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4"/>
  </bookViews>
  <sheets>
    <sheet name="NEW" sheetId="64" r:id="rId1"/>
    <sheet name="20221231T210000" sheetId="65" r:id="rId2"/>
    <sheet name="20230101T090000" sheetId="66" r:id="rId3"/>
    <sheet name="20230102T090000" sheetId="67" r:id="rId4"/>
    <sheet name="Sheet2" sheetId="63" r:id="rId5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7" l="1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/>
  <c r="BD184" i="67"/>
  <c r="BE184" i="67"/>
  <c r="BD185" i="67"/>
  <c r="BE185" i="67"/>
  <c r="BD186" i="67"/>
  <c r="BE186" i="67"/>
  <c r="BD187" i="67"/>
  <c r="BE187" i="67"/>
  <c r="BD188" i="67"/>
  <c r="BE188" i="67"/>
  <c r="BD189" i="67"/>
  <c r="BE189" i="67"/>
  <c r="BD190" i="67"/>
  <c r="BE190" i="67"/>
  <c r="BD191" i="67"/>
  <c r="BE191" i="67"/>
  <c r="BD192" i="67"/>
  <c r="BE192" i="67"/>
  <c r="BD193" i="67"/>
  <c r="BE193" i="67"/>
  <c r="BD194" i="67"/>
  <c r="BE194" i="67"/>
  <c r="BD195" i="67"/>
  <c r="BE195" i="67"/>
  <c r="BD196" i="67"/>
  <c r="BE196" i="67"/>
  <c r="BD197" i="67"/>
  <c r="BE197" i="67"/>
  <c r="BD198" i="67"/>
  <c r="BE198" i="67"/>
  <c r="BD199" i="67"/>
  <c r="BE199" i="67"/>
  <c r="BD200" i="67"/>
  <c r="BE200" i="67"/>
  <c r="BD201" i="67"/>
  <c r="BE201" i="67"/>
  <c r="BD202" i="67"/>
  <c r="BE202" i="67"/>
  <c r="BD203" i="67"/>
  <c r="BE203" i="67"/>
  <c r="BD204" i="67"/>
  <c r="BE204" i="67"/>
  <c r="BD205" i="67"/>
  <c r="BE205" i="67"/>
  <c r="BD206" i="67"/>
  <c r="BE206" i="67"/>
  <c r="BD207" i="67"/>
  <c r="BE207" i="67"/>
  <c r="BD208" i="67"/>
  <c r="BE208" i="67"/>
  <c r="BD209" i="67"/>
  <c r="BE209" i="67"/>
  <c r="BD210" i="67"/>
  <c r="BE210" i="67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/>
  <c r="BD235" i="67"/>
  <c r="BE235" i="67"/>
  <c r="BD236" i="67"/>
  <c r="BE236" i="67"/>
  <c r="BD237" i="67"/>
  <c r="BE237" i="67"/>
  <c r="BD238" i="67"/>
  <c r="BE238" i="67"/>
  <c r="BD239" i="67"/>
  <c r="BE239" i="67"/>
  <c r="BD240" i="67"/>
  <c r="BE240" i="67"/>
  <c r="BD241" i="67"/>
  <c r="BE241" i="67"/>
  <c r="BD242" i="67"/>
  <c r="BE242" i="67"/>
  <c r="BD243" i="67"/>
  <c r="BE243" i="67"/>
  <c r="BD244" i="67"/>
  <c r="BE244" i="67"/>
  <c r="BD245" i="67"/>
  <c r="BE245" i="67"/>
  <c r="BD246" i="67"/>
  <c r="BE246" i="67"/>
  <c r="BD247" i="67"/>
  <c r="BE247" i="67"/>
  <c r="BD248" i="67"/>
  <c r="BE248" i="67"/>
  <c r="BD249" i="67"/>
  <c r="BE249" i="67"/>
  <c r="BD250" i="67"/>
  <c r="BE250" i="67"/>
  <c r="BD251" i="67"/>
  <c r="BE251" i="67"/>
  <c r="BD252" i="67"/>
  <c r="BE252" i="67"/>
  <c r="BD253" i="67"/>
  <c r="BE253" i="67"/>
  <c r="BD254" i="67"/>
  <c r="BE254" i="67"/>
  <c r="BD255" i="67"/>
  <c r="BE255" i="67"/>
  <c r="BD256" i="67"/>
  <c r="BE256" i="67"/>
  <c r="BD257" i="67"/>
  <c r="BE257" i="67"/>
  <c r="BD258" i="67"/>
  <c r="BE258" i="67"/>
  <c r="BD259" i="67"/>
  <c r="BE259" i="67"/>
  <c r="BD260" i="67"/>
  <c r="BE260" i="67"/>
  <c r="BD261" i="67"/>
  <c r="BE261" i="67"/>
  <c r="BD262" i="67"/>
  <c r="BE262" i="67"/>
  <c r="BD263" i="67"/>
  <c r="BE263" i="67"/>
  <c r="BD264" i="67"/>
  <c r="BE264" i="67"/>
  <c r="BD265" i="67"/>
  <c r="BE265" i="67"/>
  <c r="BD266" i="67"/>
  <c r="BE266" i="67"/>
  <c r="BD267" i="67"/>
  <c r="BE267" i="67"/>
  <c r="BD268" i="67"/>
  <c r="BE268" i="67"/>
  <c r="BD269" i="67"/>
  <c r="BE269" i="67"/>
  <c r="BD270" i="67"/>
  <c r="BE270" i="67"/>
  <c r="BD271" i="67"/>
  <c r="BE271" i="67"/>
  <c r="BD272" i="67"/>
  <c r="BE272" i="67"/>
  <c r="BD273" i="67"/>
  <c r="BE273" i="67"/>
  <c r="BD274" i="67"/>
  <c r="BE274" i="67"/>
  <c r="BD275" i="67"/>
  <c r="BE275" i="67"/>
  <c r="BD276" i="67"/>
  <c r="BE276" i="67"/>
  <c r="BD277" i="67"/>
  <c r="BE277" i="67"/>
  <c r="BD278" i="67"/>
  <c r="BE278" i="67"/>
  <c r="BD279" i="67"/>
  <c r="BE279" i="67"/>
  <c r="BD280" i="67"/>
  <c r="BE280" i="67"/>
  <c r="BD281" i="67"/>
  <c r="BE281" i="67"/>
  <c r="BD282" i="67"/>
  <c r="BE282" i="67"/>
  <c r="BD283" i="67"/>
  <c r="BE283" i="67"/>
  <c r="BD284" i="67"/>
  <c r="BE284" i="67"/>
  <c r="BD285" i="67"/>
  <c r="BE285" i="67"/>
  <c r="BD286" i="67"/>
  <c r="BE286" i="67"/>
  <c r="BD287" i="67"/>
  <c r="BE287" i="67"/>
  <c r="BD288" i="67"/>
  <c r="BE288" i="67"/>
  <c r="BD289" i="67"/>
  <c r="BE289" i="67"/>
  <c r="BD290" i="67"/>
  <c r="BE290" i="67"/>
  <c r="BD291" i="67"/>
  <c r="BE291" i="67"/>
  <c r="BD292" i="67"/>
  <c r="BE292" i="67"/>
  <c r="BD293" i="67"/>
  <c r="BE293" i="67"/>
  <c r="BD294" i="67"/>
  <c r="BE294" i="67"/>
  <c r="BD295" i="67"/>
  <c r="BE295" i="67"/>
  <c r="BD296" i="67"/>
  <c r="BE296" i="67"/>
  <c r="BD297" i="67"/>
  <c r="BE297" i="67"/>
  <c r="BD298" i="67"/>
  <c r="BE298" i="67"/>
  <c r="BD299" i="67"/>
  <c r="BE299" i="67"/>
  <c r="BD300" i="67"/>
  <c r="BE300" i="67"/>
  <c r="BD301" i="67"/>
  <c r="BE301" i="67"/>
  <c r="BD302" i="67"/>
  <c r="BE302" i="67"/>
  <c r="BD303" i="67"/>
  <c r="BE303" i="67"/>
  <c r="BD304" i="67"/>
  <c r="BE304" i="67"/>
  <c r="BD305" i="67"/>
  <c r="BE305" i="67"/>
  <c r="BD306" i="67"/>
  <c r="BE306" i="67"/>
  <c r="BD307" i="67"/>
  <c r="BE307" i="67"/>
  <c r="BD308" i="67"/>
  <c r="BE308" i="67"/>
  <c r="BD309" i="67"/>
  <c r="BE309" i="67"/>
  <c r="BD310" i="67"/>
  <c r="BE310" i="67"/>
  <c r="BD311" i="67"/>
  <c r="BE311" i="67"/>
  <c r="BD312" i="67"/>
  <c r="BE312" i="67"/>
  <c r="BD313" i="67"/>
  <c r="BE313" i="67"/>
  <c r="BD314" i="67"/>
  <c r="BE314" i="67"/>
  <c r="BD315" i="67"/>
  <c r="BE315" i="67"/>
  <c r="BD316" i="67"/>
  <c r="BE316" i="67"/>
  <c r="BD317" i="67"/>
  <c r="BE317" i="67"/>
  <c r="BD318" i="67"/>
  <c r="BE318" i="67"/>
  <c r="BD319" i="67"/>
  <c r="BE319" i="67"/>
  <c r="BD320" i="67"/>
  <c r="BE320" i="67"/>
  <c r="BD321" i="67"/>
  <c r="BE321" i="67"/>
  <c r="BD322" i="67"/>
  <c r="BE322" i="67"/>
  <c r="BD323" i="67"/>
  <c r="BE323" i="67"/>
  <c r="BD324" i="67"/>
  <c r="BE324" i="67"/>
  <c r="BD325" i="67"/>
  <c r="BE325" i="67"/>
  <c r="BD326" i="67"/>
  <c r="BE326" i="67"/>
  <c r="BD327" i="67"/>
  <c r="BE327" i="67" s="1"/>
  <c r="BD328" i="67"/>
  <c r="BE328" i="67"/>
  <c r="BD329" i="67"/>
  <c r="BE329" i="67"/>
  <c r="BD330" i="67"/>
  <c r="BE330" i="67"/>
  <c r="BD331" i="67"/>
  <c r="BE331" i="67"/>
  <c r="BD332" i="67"/>
  <c r="BE332" i="67"/>
  <c r="BD333" i="67"/>
  <c r="BE333" i="67"/>
  <c r="BD334" i="67"/>
  <c r="BE334" i="67"/>
  <c r="BD335" i="67"/>
  <c r="BE335" i="67" s="1"/>
  <c r="BD336" i="67"/>
  <c r="BE336" i="67"/>
  <c r="BD337" i="67"/>
  <c r="BE337" i="67"/>
  <c r="BD338" i="67"/>
  <c r="BE338" i="67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 s="1"/>
  <c r="BD381" i="67"/>
  <c r="BE381" i="67" s="1"/>
  <c r="BD382" i="67"/>
  <c r="BE382" i="67" s="1"/>
  <c r="BD383" i="67"/>
  <c r="BE383" i="67" s="1"/>
  <c r="BD384" i="67"/>
  <c r="BE384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 s="1"/>
  <c r="AV218" i="67"/>
  <c r="AW218" i="67"/>
  <c r="AV219" i="67"/>
  <c r="AW219" i="67"/>
  <c r="AV220" i="67"/>
  <c r="AW220" i="67"/>
  <c r="AV221" i="67"/>
  <c r="AW221" i="67"/>
  <c r="AV222" i="67"/>
  <c r="AW222" i="67" s="1"/>
  <c r="AV223" i="67"/>
  <c r="AW223" i="67" s="1"/>
  <c r="AV224" i="67"/>
  <c r="AW224" i="67" s="1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V375" i="67"/>
  <c r="AW375" i="67" s="1"/>
  <c r="AV376" i="67"/>
  <c r="AW376" i="67" s="1"/>
  <c r="AV377" i="67"/>
  <c r="AW377" i="67" s="1"/>
  <c r="AV378" i="67"/>
  <c r="AW378" i="67" s="1"/>
  <c r="AV379" i="67"/>
  <c r="AW379" i="67" s="1"/>
  <c r="AV380" i="67"/>
  <c r="AW380" i="67" s="1"/>
  <c r="AV381" i="67"/>
  <c r="AW381" i="67" s="1"/>
  <c r="AV382" i="67"/>
  <c r="AW382" i="67" s="1"/>
  <c r="AV383" i="67"/>
  <c r="AW383" i="67" s="1"/>
  <c r="AV384" i="67"/>
  <c r="AW384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/>
  <c r="AL220" i="67"/>
  <c r="AM220" i="67"/>
  <c r="AL221" i="67"/>
  <c r="AM221" i="67"/>
  <c r="AL222" i="67"/>
  <c r="AM222" i="67"/>
  <c r="AL223" i="67"/>
  <c r="AM223" i="67"/>
  <c r="AL224" i="67"/>
  <c r="AM224" i="67"/>
  <c r="AL225" i="67"/>
  <c r="AM225" i="67"/>
  <c r="AL226" i="67"/>
  <c r="AM226" i="67"/>
  <c r="AL227" i="67"/>
  <c r="AM227" i="67"/>
  <c r="AL228" i="67"/>
  <c r="AM228" i="67"/>
  <c r="AL229" i="67"/>
  <c r="AM229" i="67" s="1"/>
  <c r="AL230" i="67"/>
  <c r="AM230" i="67"/>
  <c r="AL231" i="67"/>
  <c r="AM231" i="67"/>
  <c r="AL232" i="67"/>
  <c r="AM232" i="67"/>
  <c r="AL233" i="67"/>
  <c r="AM233" i="67"/>
  <c r="AL234" i="67"/>
  <c r="AM234" i="67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D12" i="67"/>
  <c r="AE12" i="67"/>
  <c r="AD13" i="67"/>
  <c r="AE13" i="67"/>
  <c r="AD14" i="67"/>
  <c r="AE14" i="67"/>
  <c r="AD15" i="67"/>
  <c r="AE15" i="67"/>
  <c r="AD16" i="67"/>
  <c r="AE16" i="67"/>
  <c r="AD17" i="67"/>
  <c r="AE17" i="67"/>
  <c r="AD18" i="67"/>
  <c r="AE18" i="67"/>
  <c r="AD19" i="67"/>
  <c r="AE19" i="67"/>
  <c r="AD20" i="67"/>
  <c r="AE20" i="67"/>
  <c r="AD21" i="67"/>
  <c r="AE21" i="67"/>
  <c r="AD22" i="67"/>
  <c r="AE22" i="67"/>
  <c r="AD23" i="67"/>
  <c r="AE23" i="67"/>
  <c r="AD24" i="67"/>
  <c r="AE24" i="67"/>
  <c r="AD25" i="67"/>
  <c r="AE25" i="67"/>
  <c r="AD26" i="67"/>
  <c r="AE26" i="67"/>
  <c r="AD27" i="67"/>
  <c r="AE27" i="67"/>
  <c r="AD28" i="67"/>
  <c r="AE28" i="67"/>
  <c r="AD29" i="67"/>
  <c r="AE29" i="67"/>
  <c r="AD30" i="67"/>
  <c r="AE30" i="67"/>
  <c r="AD31" i="67"/>
  <c r="AE31" i="67"/>
  <c r="AD32" i="67"/>
  <c r="AE32" i="67"/>
  <c r="AD33" i="67"/>
  <c r="AE33" i="67"/>
  <c r="AD34" i="67"/>
  <c r="AE34" i="67"/>
  <c r="AD35" i="67"/>
  <c r="AE35" i="67"/>
  <c r="AD36" i="67"/>
  <c r="AE36" i="67"/>
  <c r="AD37" i="67"/>
  <c r="AE37" i="67"/>
  <c r="AD38" i="67"/>
  <c r="AE38" i="67"/>
  <c r="AD39" i="67"/>
  <c r="AE39" i="67"/>
  <c r="AD40" i="67"/>
  <c r="AE40" i="67"/>
  <c r="AD41" i="67"/>
  <c r="AE41" i="67"/>
  <c r="AD42" i="67"/>
  <c r="AE42" i="67"/>
  <c r="AD43" i="67"/>
  <c r="AE43" i="67"/>
  <c r="AD44" i="67"/>
  <c r="AE44" i="67"/>
  <c r="AD45" i="67"/>
  <c r="AE45" i="67"/>
  <c r="AD46" i="67"/>
  <c r="AE46" i="67"/>
  <c r="AD47" i="67"/>
  <c r="AE47" i="67"/>
  <c r="AD48" i="67"/>
  <c r="AE48" i="67"/>
  <c r="AD49" i="67"/>
  <c r="AE49" i="67"/>
  <c r="AD50" i="67"/>
  <c r="AE50" i="67"/>
  <c r="AD51" i="67"/>
  <c r="AE51" i="67"/>
  <c r="AD52" i="67"/>
  <c r="AE52" i="67"/>
  <c r="AD53" i="67"/>
  <c r="AE53" i="67"/>
  <c r="AD54" i="67"/>
  <c r="AE54" i="67"/>
  <c r="AD55" i="67"/>
  <c r="AE55" i="67"/>
  <c r="AD56" i="67"/>
  <c r="AE56" i="67"/>
  <c r="AD57" i="67"/>
  <c r="AE57" i="67"/>
  <c r="AD58" i="67"/>
  <c r="AE58" i="67"/>
  <c r="AD59" i="67"/>
  <c r="AE59" i="67"/>
  <c r="AD60" i="67"/>
  <c r="AE60" i="67"/>
  <c r="AD61" i="67"/>
  <c r="AE61" i="67"/>
  <c r="AD62" i="67"/>
  <c r="AE62" i="67"/>
  <c r="AD63" i="67"/>
  <c r="AE63" i="67"/>
  <c r="AD64" i="67"/>
  <c r="AE64" i="67"/>
  <c r="AD65" i="67"/>
  <c r="AE65" i="67"/>
  <c r="AD66" i="67"/>
  <c r="AE66" i="67"/>
  <c r="AD67" i="67"/>
  <c r="AE67" i="67"/>
  <c r="AD68" i="67"/>
  <c r="AE68" i="67"/>
  <c r="AD69" i="67"/>
  <c r="AE69" i="67"/>
  <c r="AD70" i="67"/>
  <c r="AE70" i="67"/>
  <c r="AD71" i="67"/>
  <c r="AE71" i="67"/>
  <c r="AD72" i="67"/>
  <c r="AE72" i="67"/>
  <c r="AD73" i="67"/>
  <c r="AE73" i="67"/>
  <c r="AD74" i="67"/>
  <c r="AE74" i="67"/>
  <c r="AD75" i="67"/>
  <c r="AE75" i="67"/>
  <c r="AD76" i="67"/>
  <c r="AE76" i="67"/>
  <c r="AD77" i="67"/>
  <c r="AE77" i="67"/>
  <c r="AD78" i="67"/>
  <c r="AE78" i="67"/>
  <c r="AD79" i="67"/>
  <c r="AE79" i="67"/>
  <c r="AD80" i="67"/>
  <c r="AE80" i="67"/>
  <c r="AD81" i="67"/>
  <c r="AE81" i="67"/>
  <c r="AD82" i="67"/>
  <c r="AE82" i="67"/>
  <c r="AD83" i="67"/>
  <c r="AE83" i="67"/>
  <c r="AD84" i="67"/>
  <c r="AE84" i="67"/>
  <c r="AD85" i="67"/>
  <c r="AE85" i="67"/>
  <c r="AD86" i="67"/>
  <c r="AE86" i="67"/>
  <c r="AD87" i="67"/>
  <c r="AE87" i="67"/>
  <c r="AD88" i="67"/>
  <c r="AE88" i="67"/>
  <c r="AD89" i="67"/>
  <c r="AE89" i="67"/>
  <c r="AD90" i="67"/>
  <c r="AE90" i="67"/>
  <c r="AD91" i="67"/>
  <c r="AE91" i="67"/>
  <c r="AD92" i="67"/>
  <c r="AE92" i="67"/>
  <c r="AD93" i="67"/>
  <c r="AE93" i="67"/>
  <c r="AD94" i="67"/>
  <c r="AE94" i="67"/>
  <c r="AD95" i="67"/>
  <c r="AE95" i="67"/>
  <c r="AD96" i="67"/>
  <c r="AE96" i="67"/>
  <c r="AD97" i="67"/>
  <c r="AE97" i="67"/>
  <c r="AD98" i="67"/>
  <c r="AE98" i="67"/>
  <c r="AD99" i="67"/>
  <c r="AE99" i="67"/>
  <c r="AD100" i="67"/>
  <c r="AE100" i="67"/>
  <c r="AD101" i="67"/>
  <c r="AE101" i="67"/>
  <c r="AD102" i="67"/>
  <c r="AE102" i="67"/>
  <c r="AD103" i="67"/>
  <c r="AE103" i="67"/>
  <c r="AD104" i="67"/>
  <c r="AE104" i="67"/>
  <c r="AD105" i="67"/>
  <c r="AE105" i="67"/>
  <c r="AD106" i="67"/>
  <c r="AE106" i="67"/>
  <c r="AD107" i="67"/>
  <c r="AE107" i="67"/>
  <c r="AD108" i="67"/>
  <c r="AE108" i="67"/>
  <c r="AD109" i="67"/>
  <c r="AE109" i="67"/>
  <c r="AD110" i="67"/>
  <c r="AE110" i="67"/>
  <c r="AD111" i="67"/>
  <c r="AE111" i="67"/>
  <c r="AD112" i="67"/>
  <c r="AE112" i="67"/>
  <c r="AD113" i="67"/>
  <c r="AE113" i="67"/>
  <c r="AD114" i="67"/>
  <c r="AE114" i="67"/>
  <c r="AD115" i="67"/>
  <c r="AE115" i="67"/>
  <c r="AD116" i="67"/>
  <c r="AE116" i="67"/>
  <c r="AD117" i="67"/>
  <c r="AE117" i="67"/>
  <c r="AD118" i="67"/>
  <c r="AE118" i="67"/>
  <c r="AD119" i="67"/>
  <c r="AE119" i="67"/>
  <c r="AD120" i="67"/>
  <c r="AE120" i="67"/>
  <c r="AD121" i="67"/>
  <c r="AE121" i="67"/>
  <c r="AD122" i="67"/>
  <c r="AE122" i="67"/>
  <c r="AD123" i="67"/>
  <c r="AE123" i="67"/>
  <c r="AD124" i="67"/>
  <c r="AE124" i="67"/>
  <c r="AD125" i="67"/>
  <c r="AE125" i="67"/>
  <c r="AD126" i="67"/>
  <c r="AE126" i="67"/>
  <c r="AD127" i="67"/>
  <c r="AE127" i="67"/>
  <c r="AD128" i="67"/>
  <c r="AE128" i="67"/>
  <c r="AD129" i="67"/>
  <c r="AE129" i="67"/>
  <c r="AD130" i="67"/>
  <c r="AE130" i="67"/>
  <c r="AD131" i="67"/>
  <c r="AE131" i="67"/>
  <c r="AD132" i="67"/>
  <c r="AE132" i="67"/>
  <c r="AD133" i="67"/>
  <c r="AE133" i="67"/>
  <c r="AD134" i="67"/>
  <c r="AE134" i="67"/>
  <c r="AD135" i="67"/>
  <c r="AE135" i="67"/>
  <c r="AD136" i="67"/>
  <c r="AE136" i="67"/>
  <c r="AD137" i="67"/>
  <c r="AE137" i="67"/>
  <c r="AD138" i="67"/>
  <c r="AE138" i="67"/>
  <c r="AD139" i="67"/>
  <c r="AE139" i="67"/>
  <c r="AD140" i="67"/>
  <c r="AE140" i="67"/>
  <c r="AD141" i="67"/>
  <c r="AE141" i="67"/>
  <c r="AD142" i="67"/>
  <c r="AE142" i="67"/>
  <c r="AD143" i="67"/>
  <c r="AE143" i="67"/>
  <c r="AD144" i="67"/>
  <c r="AE144" i="67"/>
  <c r="AD145" i="67"/>
  <c r="AE145" i="67"/>
  <c r="AD146" i="67"/>
  <c r="AE146" i="67"/>
  <c r="AD147" i="67"/>
  <c r="AE147" i="67"/>
  <c r="AD148" i="67"/>
  <c r="AE148" i="67"/>
  <c r="AD149" i="67"/>
  <c r="AE149" i="67"/>
  <c r="AD150" i="67"/>
  <c r="AE150" i="67"/>
  <c r="AD151" i="67"/>
  <c r="AE151" i="67"/>
  <c r="AD152" i="67"/>
  <c r="AE152" i="67"/>
  <c r="AD153" i="67"/>
  <c r="AE153" i="67"/>
  <c r="AD154" i="67"/>
  <c r="AE154" i="67"/>
  <c r="AD155" i="67"/>
  <c r="AE155" i="67"/>
  <c r="AD156" i="67"/>
  <c r="AE156" i="67"/>
  <c r="AD157" i="67"/>
  <c r="AE157" i="67"/>
  <c r="AD158" i="67"/>
  <c r="AE158" i="67"/>
  <c r="AD159" i="67"/>
  <c r="AE159" i="67"/>
  <c r="AD160" i="67"/>
  <c r="AE160" i="67"/>
  <c r="AD161" i="67"/>
  <c r="AE161" i="67"/>
  <c r="AD162" i="67"/>
  <c r="AE162" i="67"/>
  <c r="AD163" i="67"/>
  <c r="AE163" i="67"/>
  <c r="AD164" i="67"/>
  <c r="AE164" i="67"/>
  <c r="AD165" i="67"/>
  <c r="AE165" i="67"/>
  <c r="AD166" i="67"/>
  <c r="AE166" i="67"/>
  <c r="AD167" i="67"/>
  <c r="AE167" i="67"/>
  <c r="AD168" i="67"/>
  <c r="AE168" i="67"/>
  <c r="AD169" i="67"/>
  <c r="AE169" i="67"/>
  <c r="AD170" i="67"/>
  <c r="AE170" i="67"/>
  <c r="AD171" i="67"/>
  <c r="AE171" i="67"/>
  <c r="AD172" i="67"/>
  <c r="AE172" i="67"/>
  <c r="AD173" i="67"/>
  <c r="AE173" i="67"/>
  <c r="AD174" i="67"/>
  <c r="AE174" i="67"/>
  <c r="AD175" i="67"/>
  <c r="AE175" i="67"/>
  <c r="AD176" i="67"/>
  <c r="AE176" i="67"/>
  <c r="AD177" i="67"/>
  <c r="AE177" i="67"/>
  <c r="AD178" i="67"/>
  <c r="AE178" i="67"/>
  <c r="AD179" i="67"/>
  <c r="AE179" i="67"/>
  <c r="AD180" i="67"/>
  <c r="AE180" i="67"/>
  <c r="AD181" i="67"/>
  <c r="AE181" i="67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/>
  <c r="AD212" i="67"/>
  <c r="AE212" i="67"/>
  <c r="AD213" i="67"/>
  <c r="AE213" i="67"/>
  <c r="AD214" i="67"/>
  <c r="AE214" i="67"/>
  <c r="AD215" i="67"/>
  <c r="AE215" i="67"/>
  <c r="AD216" i="67"/>
  <c r="AE216" i="67"/>
  <c r="AD217" i="67"/>
  <c r="AE217" i="67"/>
  <c r="AD218" i="67"/>
  <c r="AE218" i="67"/>
  <c r="AD219" i="67"/>
  <c r="AE219" i="67"/>
  <c r="AD220" i="67"/>
  <c r="AE220" i="67"/>
  <c r="AD221" i="67"/>
  <c r="AE221" i="67"/>
  <c r="AD222" i="67"/>
  <c r="AE222" i="67"/>
  <c r="AD223" i="67"/>
  <c r="AE223" i="67"/>
  <c r="AD224" i="67"/>
  <c r="AE224" i="67"/>
  <c r="AD225" i="67"/>
  <c r="AE225" i="67"/>
  <c r="AD226" i="67"/>
  <c r="AE226" i="67"/>
  <c r="AD227" i="67"/>
  <c r="AE227" i="67"/>
  <c r="AD228" i="67"/>
  <c r="AE228" i="67"/>
  <c r="AD229" i="67"/>
  <c r="AE229" i="67"/>
  <c r="AD230" i="67"/>
  <c r="AE230" i="67"/>
  <c r="AD231" i="67"/>
  <c r="AE231" i="67"/>
  <c r="AD232" i="67"/>
  <c r="AE232" i="67"/>
  <c r="AD233" i="67"/>
  <c r="AE233" i="67"/>
  <c r="AD234" i="67"/>
  <c r="AE234" i="67"/>
  <c r="AD235" i="67"/>
  <c r="AE235" i="67"/>
  <c r="AD236" i="67"/>
  <c r="AE236" i="67"/>
  <c r="AD237" i="67"/>
  <c r="AE237" i="67"/>
  <c r="AD238" i="67"/>
  <c r="AE238" i="67"/>
  <c r="AD239" i="67"/>
  <c r="AE239" i="67"/>
  <c r="AD240" i="67"/>
  <c r="AE240" i="67"/>
  <c r="AD241" i="67"/>
  <c r="AE241" i="67"/>
  <c r="AD242" i="67"/>
  <c r="AE242" i="67"/>
  <c r="AD243" i="67"/>
  <c r="AE243" i="67"/>
  <c r="AD244" i="67"/>
  <c r="AE244" i="67"/>
  <c r="AD245" i="67"/>
  <c r="AE245" i="67"/>
  <c r="AD246" i="67"/>
  <c r="AE246" i="67"/>
  <c r="AD247" i="67"/>
  <c r="AE247" i="67"/>
  <c r="AD248" i="67"/>
  <c r="AE248" i="67"/>
  <c r="AD249" i="67"/>
  <c r="AE249" i="67"/>
  <c r="AD250" i="67"/>
  <c r="AE250" i="67"/>
  <c r="AD251" i="67"/>
  <c r="AE251" i="67"/>
  <c r="AD252" i="67"/>
  <c r="AE252" i="67"/>
  <c r="AD253" i="67"/>
  <c r="AE253" i="67"/>
  <c r="AD254" i="67"/>
  <c r="AE254" i="67"/>
  <c r="AD255" i="67"/>
  <c r="AE255" i="67"/>
  <c r="AD256" i="67"/>
  <c r="AE256" i="67"/>
  <c r="AD257" i="67"/>
  <c r="AE257" i="67"/>
  <c r="AD258" i="67"/>
  <c r="AE258" i="67"/>
  <c r="AD259" i="67"/>
  <c r="AE259" i="67"/>
  <c r="AD260" i="67"/>
  <c r="AE260" i="67"/>
  <c r="AD261" i="67"/>
  <c r="AE261" i="67"/>
  <c r="AD262" i="67"/>
  <c r="AE262" i="67"/>
  <c r="AD263" i="67"/>
  <c r="AE263" i="67"/>
  <c r="AD264" i="67"/>
  <c r="AE264" i="67"/>
  <c r="AD265" i="67"/>
  <c r="AE265" i="67"/>
  <c r="AD266" i="67"/>
  <c r="AE266" i="67"/>
  <c r="AD267" i="67"/>
  <c r="AE267" i="67"/>
  <c r="AD268" i="67"/>
  <c r="AE268" i="67"/>
  <c r="AD269" i="67"/>
  <c r="AE269" i="67"/>
  <c r="AD270" i="67"/>
  <c r="AE270" i="67"/>
  <c r="AD271" i="67"/>
  <c r="AE271" i="67"/>
  <c r="AD272" i="67"/>
  <c r="AE272" i="67"/>
  <c r="AD273" i="67"/>
  <c r="AE273" i="67"/>
  <c r="AD274" i="67"/>
  <c r="AE274" i="67"/>
  <c r="AD275" i="67"/>
  <c r="AE275" i="67"/>
  <c r="AD276" i="67"/>
  <c r="AE276" i="67"/>
  <c r="AD277" i="67"/>
  <c r="AE277" i="67"/>
  <c r="AD278" i="67"/>
  <c r="AE278" i="67"/>
  <c r="AD279" i="67"/>
  <c r="AE279" i="67"/>
  <c r="AD280" i="67"/>
  <c r="AE280" i="67"/>
  <c r="AD281" i="67"/>
  <c r="AE281" i="67"/>
  <c r="AD282" i="67"/>
  <c r="AE282" i="67"/>
  <c r="AD283" i="67"/>
  <c r="AE283" i="67"/>
  <c r="AD284" i="67"/>
  <c r="AE284" i="67"/>
  <c r="AD285" i="67"/>
  <c r="AE285" i="67"/>
  <c r="AD286" i="67"/>
  <c r="AE286" i="67"/>
  <c r="AD287" i="67"/>
  <c r="AE287" i="67"/>
  <c r="AD288" i="67"/>
  <c r="AE288" i="67"/>
  <c r="AD289" i="67"/>
  <c r="AE289" i="67"/>
  <c r="AD290" i="67"/>
  <c r="AE290" i="67"/>
  <c r="AD291" i="67"/>
  <c r="AE291" i="67"/>
  <c r="AD292" i="67"/>
  <c r="AE292" i="67"/>
  <c r="AD293" i="67"/>
  <c r="AE293" i="67"/>
  <c r="AD294" i="67"/>
  <c r="AE294" i="67"/>
  <c r="AD295" i="67"/>
  <c r="AE295" i="67"/>
  <c r="AD296" i="67"/>
  <c r="AE296" i="67"/>
  <c r="AD297" i="67"/>
  <c r="AE297" i="67"/>
  <c r="AD298" i="67"/>
  <c r="AE298" i="67"/>
  <c r="AD299" i="67"/>
  <c r="AE299" i="67"/>
  <c r="AD300" i="67"/>
  <c r="AE300" i="67"/>
  <c r="AD301" i="67"/>
  <c r="AE301" i="67"/>
  <c r="AD302" i="67"/>
  <c r="AE302" i="67"/>
  <c r="AD303" i="67"/>
  <c r="AE303" i="67"/>
  <c r="AD304" i="67"/>
  <c r="AE304" i="67"/>
  <c r="AD305" i="67"/>
  <c r="AE305" i="67"/>
  <c r="AD306" i="67"/>
  <c r="AE306" i="67"/>
  <c r="AD307" i="67"/>
  <c r="AE307" i="67"/>
  <c r="AD308" i="67"/>
  <c r="AE308" i="67"/>
  <c r="AD309" i="67"/>
  <c r="AE309" i="67"/>
  <c r="AD310" i="67"/>
  <c r="AE310" i="67"/>
  <c r="AD311" i="67"/>
  <c r="AE311" i="67"/>
  <c r="AD312" i="67"/>
  <c r="AE312" i="67"/>
  <c r="AD313" i="67"/>
  <c r="AE313" i="67"/>
  <c r="AD314" i="67"/>
  <c r="AE314" i="67"/>
  <c r="AD315" i="67"/>
  <c r="AE315" i="67"/>
  <c r="AD316" i="67"/>
  <c r="AE316" i="67"/>
  <c r="AD317" i="67"/>
  <c r="AE317" i="67"/>
  <c r="AD318" i="67"/>
  <c r="AE318" i="67"/>
  <c r="AD319" i="67"/>
  <c r="AE319" i="67"/>
  <c r="AD320" i="67"/>
  <c r="AE320" i="67"/>
  <c r="AD321" i="67"/>
  <c r="AE321" i="67"/>
  <c r="AD322" i="67"/>
  <c r="AE322" i="67"/>
  <c r="AD323" i="67"/>
  <c r="AE323" i="67"/>
  <c r="AD324" i="67"/>
  <c r="AE324" i="67"/>
  <c r="AD325" i="67"/>
  <c r="AE325" i="67"/>
  <c r="AD326" i="67"/>
  <c r="AE326" i="67"/>
  <c r="AD327" i="67"/>
  <c r="AE327" i="67"/>
  <c r="AD328" i="67"/>
  <c r="AE328" i="67"/>
  <c r="AD329" i="67"/>
  <c r="AE329" i="67"/>
  <c r="AD330" i="67"/>
  <c r="AE330" i="67"/>
  <c r="AD331" i="67"/>
  <c r="AE331" i="67"/>
  <c r="AD332" i="67"/>
  <c r="AE332" i="67"/>
  <c r="AD333" i="67"/>
  <c r="AE333" i="67"/>
  <c r="AD334" i="67"/>
  <c r="AE334" i="67"/>
  <c r="AD335" i="67"/>
  <c r="AE335" i="67"/>
  <c r="AD336" i="67"/>
  <c r="AE336" i="67"/>
  <c r="AD337" i="67"/>
  <c r="AE337" i="67"/>
  <c r="AD338" i="67"/>
  <c r="AE338" i="67"/>
  <c r="AD339" i="67"/>
  <c r="AE339" i="67"/>
  <c r="AD340" i="67"/>
  <c r="AE340" i="67"/>
  <c r="AD341" i="67"/>
  <c r="AE341" i="67"/>
  <c r="AD342" i="67"/>
  <c r="AE342" i="67"/>
  <c r="AD343" i="67"/>
  <c r="AE343" i="67"/>
  <c r="AD344" i="67"/>
  <c r="AE344" i="67"/>
  <c r="AD345" i="67"/>
  <c r="AE345" i="67"/>
  <c r="AD346" i="67"/>
  <c r="AE346" i="67"/>
  <c r="AD347" i="67"/>
  <c r="AE347" i="67"/>
  <c r="AD348" i="67"/>
  <c r="AE348" i="67"/>
  <c r="AD349" i="67"/>
  <c r="AE349" i="67"/>
  <c r="AD350" i="67"/>
  <c r="AE350" i="67"/>
  <c r="AD351" i="67"/>
  <c r="AE351" i="67"/>
  <c r="AD352" i="67"/>
  <c r="AE352" i="67"/>
  <c r="AD353" i="67"/>
  <c r="AE353" i="67"/>
  <c r="AD354" i="67"/>
  <c r="AE354" i="67"/>
  <c r="AD355" i="67"/>
  <c r="AE355" i="67"/>
  <c r="AD356" i="67"/>
  <c r="AE356" i="67"/>
  <c r="AD357" i="67"/>
  <c r="AE357" i="67"/>
  <c r="AD358" i="67"/>
  <c r="AE358" i="67"/>
  <c r="AD359" i="67"/>
  <c r="AE359" i="67"/>
  <c r="AD360" i="67"/>
  <c r="AE360" i="67"/>
  <c r="AD361" i="67"/>
  <c r="AE361" i="67"/>
  <c r="AD362" i="67"/>
  <c r="AE362" i="67"/>
  <c r="AD363" i="67"/>
  <c r="AE363" i="67"/>
  <c r="AD364" i="67"/>
  <c r="AE364" i="67"/>
  <c r="AD365" i="67"/>
  <c r="AE365" i="67"/>
  <c r="AD366" i="67"/>
  <c r="AE366" i="67"/>
  <c r="AD367" i="67"/>
  <c r="AE367" i="67"/>
  <c r="AD368" i="67"/>
  <c r="AE368" i="67"/>
  <c r="AD369" i="67"/>
  <c r="AE369" i="67"/>
  <c r="AD370" i="67"/>
  <c r="AE370" i="67"/>
  <c r="AD371" i="67"/>
  <c r="AE371" i="67"/>
  <c r="AD372" i="67"/>
  <c r="AE372" i="67"/>
  <c r="AD373" i="67"/>
  <c r="AE373" i="67"/>
  <c r="AD374" i="67"/>
  <c r="AE374" i="67"/>
  <c r="AD375" i="67"/>
  <c r="AE375" i="67"/>
  <c r="AD376" i="67"/>
  <c r="AE376" i="67"/>
  <c r="AD377" i="67"/>
  <c r="AE377" i="67"/>
  <c r="AD378" i="67"/>
  <c r="AE378" i="67"/>
  <c r="AD379" i="67"/>
  <c r="AE379" i="67"/>
  <c r="AD380" i="67"/>
  <c r="AE380" i="67"/>
  <c r="AD381" i="67"/>
  <c r="AE381" i="67"/>
  <c r="AD382" i="67"/>
  <c r="AE382" i="67"/>
  <c r="AD383" i="67"/>
  <c r="AE383" i="67"/>
  <c r="AD384" i="67"/>
  <c r="AE384" i="67"/>
  <c r="T12" i="67"/>
  <c r="U12" i="67"/>
  <c r="T13" i="67"/>
  <c r="U13" i="67"/>
  <c r="T14" i="67"/>
  <c r="U14" i="67"/>
  <c r="T15" i="67"/>
  <c r="U15" i="67"/>
  <c r="T16" i="67"/>
  <c r="U16" i="67"/>
  <c r="T17" i="67"/>
  <c r="U17" i="67"/>
  <c r="T18" i="67"/>
  <c r="U18" i="67"/>
  <c r="T19" i="67"/>
  <c r="U19" i="67"/>
  <c r="T20" i="67"/>
  <c r="U20" i="67"/>
  <c r="T21" i="67"/>
  <c r="U21" i="67"/>
  <c r="T22" i="67"/>
  <c r="U22" i="67"/>
  <c r="T23" i="67"/>
  <c r="U23" i="67"/>
  <c r="T24" i="67"/>
  <c r="U24" i="67"/>
  <c r="T25" i="67"/>
  <c r="U25" i="67"/>
  <c r="T26" i="67"/>
  <c r="U26" i="67"/>
  <c r="T27" i="67"/>
  <c r="U27" i="67"/>
  <c r="T28" i="67"/>
  <c r="U28" i="67"/>
  <c r="T29" i="67"/>
  <c r="U29" i="67"/>
  <c r="T30" i="67"/>
  <c r="U30" i="67"/>
  <c r="T31" i="67"/>
  <c r="U31" i="67"/>
  <c r="T32" i="67"/>
  <c r="U32" i="67"/>
  <c r="T33" i="67"/>
  <c r="U33" i="67"/>
  <c r="T34" i="67"/>
  <c r="U34" i="67"/>
  <c r="T35" i="67"/>
  <c r="U35" i="67"/>
  <c r="T36" i="67"/>
  <c r="U36" i="67"/>
  <c r="T37" i="67"/>
  <c r="U37" i="67"/>
  <c r="T38" i="67"/>
  <c r="U38" i="67"/>
  <c r="T39" i="67"/>
  <c r="U39" i="67"/>
  <c r="T40" i="67"/>
  <c r="U40" i="67"/>
  <c r="T41" i="67"/>
  <c r="U41" i="67"/>
  <c r="T42" i="67"/>
  <c r="U42" i="67"/>
  <c r="T43" i="67"/>
  <c r="U43" i="67"/>
  <c r="T44" i="67"/>
  <c r="U44" i="67"/>
  <c r="T45" i="67"/>
  <c r="U45" i="67"/>
  <c r="T46" i="67"/>
  <c r="U46" i="67"/>
  <c r="T47" i="67"/>
  <c r="U47" i="67"/>
  <c r="T48" i="67"/>
  <c r="U48" i="67"/>
  <c r="T49" i="67"/>
  <c r="U49" i="67"/>
  <c r="T50" i="67"/>
  <c r="U50" i="67"/>
  <c r="T51" i="67"/>
  <c r="U51" i="67"/>
  <c r="T52" i="67"/>
  <c r="U52" i="67"/>
  <c r="T53" i="67"/>
  <c r="U53" i="67"/>
  <c r="T54" i="67"/>
  <c r="U54" i="67"/>
  <c r="T55" i="67"/>
  <c r="U55" i="67"/>
  <c r="T56" i="67"/>
  <c r="U56" i="67"/>
  <c r="T57" i="67"/>
  <c r="U57" i="67"/>
  <c r="T58" i="67"/>
  <c r="U58" i="67"/>
  <c r="T59" i="67"/>
  <c r="U59" i="67"/>
  <c r="T60" i="67"/>
  <c r="U60" i="67"/>
  <c r="T61" i="67"/>
  <c r="U61" i="67"/>
  <c r="T62" i="67"/>
  <c r="U62" i="67"/>
  <c r="T63" i="67"/>
  <c r="U63" i="67"/>
  <c r="T64" i="67"/>
  <c r="U64" i="67"/>
  <c r="T65" i="67"/>
  <c r="U65" i="67"/>
  <c r="T66" i="67"/>
  <c r="U66" i="67"/>
  <c r="T67" i="67"/>
  <c r="U67" i="67"/>
  <c r="T68" i="67"/>
  <c r="U68" i="67"/>
  <c r="T69" i="67"/>
  <c r="U69" i="67"/>
  <c r="T70" i="67"/>
  <c r="U70" i="67"/>
  <c r="T71" i="67"/>
  <c r="U71" i="67"/>
  <c r="T72" i="67"/>
  <c r="U72" i="67"/>
  <c r="T73" i="67"/>
  <c r="U73" i="67"/>
  <c r="T74" i="67"/>
  <c r="U74" i="67"/>
  <c r="T75" i="67"/>
  <c r="U75" i="67"/>
  <c r="T76" i="67"/>
  <c r="U76" i="67"/>
  <c r="T77" i="67"/>
  <c r="U77" i="67"/>
  <c r="T78" i="67"/>
  <c r="U78" i="67"/>
  <c r="T79" i="67"/>
  <c r="U79" i="67"/>
  <c r="T80" i="67"/>
  <c r="U80" i="67"/>
  <c r="T81" i="67"/>
  <c r="U81" i="67"/>
  <c r="T82" i="67"/>
  <c r="U82" i="67"/>
  <c r="T83" i="67"/>
  <c r="U83" i="67"/>
  <c r="T84" i="67"/>
  <c r="U84" i="67"/>
  <c r="T85" i="67"/>
  <c r="U85" i="67"/>
  <c r="T86" i="67"/>
  <c r="U86" i="67"/>
  <c r="T87" i="67"/>
  <c r="U87" i="67"/>
  <c r="T88" i="67"/>
  <c r="U88" i="67"/>
  <c r="T89" i="67"/>
  <c r="U89" i="67"/>
  <c r="T90" i="67"/>
  <c r="U90" i="67"/>
  <c r="T91" i="67"/>
  <c r="U91" i="67"/>
  <c r="T92" i="67"/>
  <c r="U92" i="67"/>
  <c r="T93" i="67"/>
  <c r="U93" i="67"/>
  <c r="T94" i="67"/>
  <c r="U94" i="67"/>
  <c r="T95" i="67"/>
  <c r="U95" i="67"/>
  <c r="T96" i="67"/>
  <c r="U96" i="67"/>
  <c r="T97" i="67"/>
  <c r="U97" i="67"/>
  <c r="T98" i="67"/>
  <c r="U98" i="67"/>
  <c r="T99" i="67"/>
  <c r="U99" i="67"/>
  <c r="T100" i="67"/>
  <c r="U100" i="67"/>
  <c r="T101" i="67"/>
  <c r="U101" i="67"/>
  <c r="T102" i="67"/>
  <c r="U102" i="67"/>
  <c r="T103" i="67"/>
  <c r="U103" i="67"/>
  <c r="T104" i="67"/>
  <c r="U104" i="67"/>
  <c r="T105" i="67"/>
  <c r="U105" i="67"/>
  <c r="T106" i="67"/>
  <c r="U106" i="67"/>
  <c r="T107" i="67"/>
  <c r="U107" i="67"/>
  <c r="T108" i="67"/>
  <c r="U108" i="67"/>
  <c r="T109" i="67"/>
  <c r="U109" i="67"/>
  <c r="T110" i="67"/>
  <c r="U110" i="67"/>
  <c r="T111" i="67"/>
  <c r="U111" i="67"/>
  <c r="T112" i="67"/>
  <c r="U112" i="67"/>
  <c r="T113" i="67"/>
  <c r="U113" i="67"/>
  <c r="T114" i="67"/>
  <c r="U114" i="67"/>
  <c r="T115" i="67"/>
  <c r="U115" i="67"/>
  <c r="T116" i="67"/>
  <c r="U116" i="67"/>
  <c r="T117" i="67"/>
  <c r="U117" i="67"/>
  <c r="T118" i="67"/>
  <c r="U118" i="67"/>
  <c r="T119" i="67"/>
  <c r="U119" i="67"/>
  <c r="T120" i="67"/>
  <c r="U120" i="67"/>
  <c r="T121" i="67"/>
  <c r="U121" i="67"/>
  <c r="T122" i="67"/>
  <c r="U122" i="67"/>
  <c r="T123" i="67"/>
  <c r="U123" i="67"/>
  <c r="T124" i="67"/>
  <c r="U124" i="67"/>
  <c r="T125" i="67"/>
  <c r="U125" i="67"/>
  <c r="T126" i="67"/>
  <c r="U126" i="67"/>
  <c r="T127" i="67"/>
  <c r="U127" i="67"/>
  <c r="T128" i="67"/>
  <c r="U128" i="67"/>
  <c r="T129" i="67"/>
  <c r="U129" i="67"/>
  <c r="T130" i="67"/>
  <c r="U130" i="67"/>
  <c r="T131" i="67"/>
  <c r="U131" i="67"/>
  <c r="T132" i="67"/>
  <c r="U132" i="67"/>
  <c r="T133" i="67"/>
  <c r="U133" i="67"/>
  <c r="T134" i="67"/>
  <c r="U134" i="67"/>
  <c r="T135" i="67"/>
  <c r="U135" i="67"/>
  <c r="T136" i="67"/>
  <c r="U136" i="67"/>
  <c r="T137" i="67"/>
  <c r="U137" i="67"/>
  <c r="T138" i="67"/>
  <c r="U138" i="67"/>
  <c r="T139" i="67"/>
  <c r="U139" i="67"/>
  <c r="T140" i="67"/>
  <c r="U140" i="67"/>
  <c r="T141" i="67"/>
  <c r="U141" i="67"/>
  <c r="T142" i="67"/>
  <c r="U142" i="67"/>
  <c r="T143" i="67"/>
  <c r="U143" i="67"/>
  <c r="T144" i="67"/>
  <c r="U144" i="67"/>
  <c r="T145" i="67"/>
  <c r="U145" i="67"/>
  <c r="T146" i="67"/>
  <c r="U146" i="67"/>
  <c r="T147" i="67"/>
  <c r="U147" i="67"/>
  <c r="T148" i="67"/>
  <c r="U148" i="67"/>
  <c r="T149" i="67"/>
  <c r="U149" i="67"/>
  <c r="T150" i="67"/>
  <c r="U150" i="67"/>
  <c r="T151" i="67"/>
  <c r="U151" i="67"/>
  <c r="T152" i="67"/>
  <c r="U152" i="67"/>
  <c r="T153" i="67"/>
  <c r="U153" i="67"/>
  <c r="T154" i="67"/>
  <c r="U154" i="67"/>
  <c r="T155" i="67"/>
  <c r="U155" i="67"/>
  <c r="T156" i="67"/>
  <c r="U156" i="67"/>
  <c r="T157" i="67"/>
  <c r="U157" i="67"/>
  <c r="T158" i="67"/>
  <c r="U158" i="67"/>
  <c r="T159" i="67"/>
  <c r="U159" i="67"/>
  <c r="T160" i="67"/>
  <c r="U160" i="67"/>
  <c r="T161" i="67"/>
  <c r="U161" i="67"/>
  <c r="T162" i="67"/>
  <c r="U162" i="67"/>
  <c r="T163" i="67"/>
  <c r="U163" i="67"/>
  <c r="T164" i="67"/>
  <c r="U164" i="67"/>
  <c r="T165" i="67"/>
  <c r="U165" i="67"/>
  <c r="T166" i="67"/>
  <c r="U166" i="67"/>
  <c r="T167" i="67"/>
  <c r="U167" i="67"/>
  <c r="T168" i="67"/>
  <c r="U168" i="67"/>
  <c r="T169" i="67"/>
  <c r="U169" i="67"/>
  <c r="T170" i="67"/>
  <c r="U170" i="67"/>
  <c r="T171" i="67"/>
  <c r="U171" i="67"/>
  <c r="T172" i="67"/>
  <c r="U172" i="67"/>
  <c r="T173" i="67"/>
  <c r="U173" i="67"/>
  <c r="T174" i="67"/>
  <c r="U174" i="67"/>
  <c r="T175" i="67"/>
  <c r="U175" i="67"/>
  <c r="T176" i="67"/>
  <c r="U176" i="67"/>
  <c r="T177" i="67"/>
  <c r="U177" i="67"/>
  <c r="T178" i="67"/>
  <c r="U178" i="67"/>
  <c r="T179" i="67"/>
  <c r="U179" i="67"/>
  <c r="T180" i="67"/>
  <c r="U180" i="67"/>
  <c r="T181" i="67"/>
  <c r="U181" i="67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/>
  <c r="T231" i="67"/>
  <c r="U231" i="67"/>
  <c r="T232" i="67"/>
  <c r="U232" i="67"/>
  <c r="T233" i="67"/>
  <c r="U233" i="67"/>
  <c r="T234" i="67"/>
  <c r="U234" i="67"/>
  <c r="T235" i="67"/>
  <c r="U235" i="67"/>
  <c r="T236" i="67"/>
  <c r="U236" i="67"/>
  <c r="T237" i="67"/>
  <c r="U237" i="67"/>
  <c r="T238" i="67"/>
  <c r="U238" i="67"/>
  <c r="T239" i="67"/>
  <c r="U239" i="67"/>
  <c r="T240" i="67"/>
  <c r="U240" i="67"/>
  <c r="T241" i="67"/>
  <c r="U241" i="67"/>
  <c r="T242" i="67"/>
  <c r="U242" i="67"/>
  <c r="T243" i="67"/>
  <c r="U243" i="67"/>
  <c r="T244" i="67"/>
  <c r="U244" i="67"/>
  <c r="T245" i="67"/>
  <c r="U245" i="67"/>
  <c r="T246" i="67"/>
  <c r="U246" i="67"/>
  <c r="T247" i="67"/>
  <c r="U247" i="67"/>
  <c r="T248" i="67"/>
  <c r="U248" i="67"/>
  <c r="T249" i="67"/>
  <c r="U249" i="67"/>
  <c r="T250" i="67"/>
  <c r="U250" i="67"/>
  <c r="T251" i="67"/>
  <c r="U251" i="67"/>
  <c r="T252" i="67"/>
  <c r="U252" i="67"/>
  <c r="T253" i="67"/>
  <c r="U253" i="67"/>
  <c r="T254" i="67"/>
  <c r="U254" i="67"/>
  <c r="T255" i="67"/>
  <c r="U255" i="67"/>
  <c r="T256" i="67"/>
  <c r="U256" i="67"/>
  <c r="T257" i="67"/>
  <c r="U257" i="67"/>
  <c r="T258" i="67"/>
  <c r="U258" i="67"/>
  <c r="T259" i="67"/>
  <c r="U259" i="67"/>
  <c r="T260" i="67"/>
  <c r="U260" i="67"/>
  <c r="T261" i="67"/>
  <c r="U261" i="67"/>
  <c r="T262" i="67"/>
  <c r="U262" i="67"/>
  <c r="T263" i="67"/>
  <c r="U263" i="67"/>
  <c r="T264" i="67"/>
  <c r="U264" i="67"/>
  <c r="T265" i="67"/>
  <c r="U265" i="67"/>
  <c r="T266" i="67"/>
  <c r="U266" i="67"/>
  <c r="T267" i="67"/>
  <c r="U267" i="67"/>
  <c r="T268" i="67"/>
  <c r="U268" i="67"/>
  <c r="T269" i="67"/>
  <c r="U269" i="67"/>
  <c r="T270" i="67"/>
  <c r="U270" i="67"/>
  <c r="T271" i="67"/>
  <c r="U271" i="67"/>
  <c r="T272" i="67"/>
  <c r="U272" i="67"/>
  <c r="T273" i="67"/>
  <c r="U273" i="67"/>
  <c r="T274" i="67"/>
  <c r="U274" i="67"/>
  <c r="T275" i="67"/>
  <c r="U275" i="67"/>
  <c r="T276" i="67"/>
  <c r="U276" i="67"/>
  <c r="T277" i="67"/>
  <c r="U277" i="67"/>
  <c r="T278" i="67"/>
  <c r="U278" i="67"/>
  <c r="T279" i="67"/>
  <c r="U279" i="67"/>
  <c r="T280" i="67"/>
  <c r="U280" i="67"/>
  <c r="T281" i="67"/>
  <c r="U281" i="67"/>
  <c r="T282" i="67"/>
  <c r="U282" i="67"/>
  <c r="T283" i="67"/>
  <c r="U283" i="67"/>
  <c r="T284" i="67"/>
  <c r="U284" i="67"/>
  <c r="T285" i="67"/>
  <c r="U285" i="67"/>
  <c r="T286" i="67"/>
  <c r="U286" i="67"/>
  <c r="T287" i="67"/>
  <c r="U287" i="67"/>
  <c r="T288" i="67"/>
  <c r="U288" i="67"/>
  <c r="T289" i="67"/>
  <c r="U289" i="67"/>
  <c r="T290" i="67"/>
  <c r="U290" i="67"/>
  <c r="T291" i="67"/>
  <c r="U291" i="67"/>
  <c r="T292" i="67"/>
  <c r="U292" i="67"/>
  <c r="T293" i="67"/>
  <c r="U293" i="67"/>
  <c r="T294" i="67"/>
  <c r="U294" i="67"/>
  <c r="T295" i="67"/>
  <c r="U295" i="67"/>
  <c r="T296" i="67"/>
  <c r="U296" i="67"/>
  <c r="T297" i="67"/>
  <c r="U297" i="67"/>
  <c r="T298" i="67"/>
  <c r="U298" i="67"/>
  <c r="T299" i="67"/>
  <c r="U299" i="67"/>
  <c r="T300" i="67"/>
  <c r="U300" i="67"/>
  <c r="T301" i="67"/>
  <c r="U301" i="67"/>
  <c r="T302" i="67"/>
  <c r="U302" i="67"/>
  <c r="T303" i="67"/>
  <c r="U303" i="67"/>
  <c r="T304" i="67"/>
  <c r="U304" i="67"/>
  <c r="T305" i="67"/>
  <c r="U305" i="67"/>
  <c r="T306" i="67"/>
  <c r="U306" i="67"/>
  <c r="T307" i="67"/>
  <c r="U307" i="67"/>
  <c r="T308" i="67"/>
  <c r="U308" i="67"/>
  <c r="T309" i="67"/>
  <c r="U309" i="67"/>
  <c r="T310" i="67"/>
  <c r="U310" i="67"/>
  <c r="T311" i="67"/>
  <c r="U311" i="67"/>
  <c r="T312" i="67"/>
  <c r="U312" i="67"/>
  <c r="T313" i="67"/>
  <c r="U313" i="67"/>
  <c r="T314" i="67"/>
  <c r="U314" i="67"/>
  <c r="T315" i="67"/>
  <c r="U315" i="67"/>
  <c r="T316" i="67"/>
  <c r="U316" i="67"/>
  <c r="T317" i="67"/>
  <c r="U317" i="67"/>
  <c r="T318" i="67"/>
  <c r="U318" i="67"/>
  <c r="T319" i="67"/>
  <c r="U319" i="67"/>
  <c r="T320" i="67"/>
  <c r="U320" i="67"/>
  <c r="T321" i="67"/>
  <c r="U321" i="67"/>
  <c r="T322" i="67"/>
  <c r="U322" i="67"/>
  <c r="T323" i="67"/>
  <c r="U323" i="67"/>
  <c r="T324" i="67"/>
  <c r="U324" i="67"/>
  <c r="T325" i="67"/>
  <c r="U325" i="67"/>
  <c r="T326" i="67"/>
  <c r="U326" i="67"/>
  <c r="T327" i="67"/>
  <c r="U327" i="67"/>
  <c r="T328" i="67"/>
  <c r="U328" i="67"/>
  <c r="T329" i="67"/>
  <c r="U329" i="67"/>
  <c r="T330" i="67"/>
  <c r="U330" i="67"/>
  <c r="T331" i="67"/>
  <c r="U331" i="67"/>
  <c r="T332" i="67"/>
  <c r="U332" i="67"/>
  <c r="T333" i="67"/>
  <c r="U333" i="67"/>
  <c r="T334" i="67"/>
  <c r="U334" i="67"/>
  <c r="T335" i="67"/>
  <c r="U335" i="67"/>
  <c r="T336" i="67"/>
  <c r="U336" i="67"/>
  <c r="T337" i="67"/>
  <c r="U337" i="67"/>
  <c r="T338" i="67"/>
  <c r="U338" i="67"/>
  <c r="T339" i="67"/>
  <c r="U339" i="67"/>
  <c r="T340" i="67"/>
  <c r="U340" i="67"/>
  <c r="T341" i="67"/>
  <c r="U341" i="67"/>
  <c r="T342" i="67"/>
  <c r="U342" i="67"/>
  <c r="T343" i="67"/>
  <c r="U343" i="67"/>
  <c r="T344" i="67"/>
  <c r="U344" i="67"/>
  <c r="T345" i="67"/>
  <c r="U345" i="67"/>
  <c r="T346" i="67"/>
  <c r="U346" i="67"/>
  <c r="T347" i="67"/>
  <c r="U347" i="67"/>
  <c r="T348" i="67"/>
  <c r="U348" i="67"/>
  <c r="T349" i="67"/>
  <c r="U349" i="67"/>
  <c r="T350" i="67"/>
  <c r="U350" i="67"/>
  <c r="T351" i="67"/>
  <c r="U351" i="67"/>
  <c r="T352" i="67"/>
  <c r="U352" i="67"/>
  <c r="T353" i="67"/>
  <c r="U353" i="67"/>
  <c r="T354" i="67"/>
  <c r="U354" i="67"/>
  <c r="T355" i="67"/>
  <c r="U355" i="67"/>
  <c r="T356" i="67"/>
  <c r="U356" i="67"/>
  <c r="T357" i="67"/>
  <c r="U357" i="67"/>
  <c r="T358" i="67"/>
  <c r="U358" i="67"/>
  <c r="T359" i="67"/>
  <c r="U359" i="67"/>
  <c r="T360" i="67"/>
  <c r="U360" i="67"/>
  <c r="T361" i="67"/>
  <c r="U361" i="67"/>
  <c r="T362" i="67"/>
  <c r="U362" i="67"/>
  <c r="T363" i="67"/>
  <c r="U363" i="67"/>
  <c r="T364" i="67"/>
  <c r="U364" i="67"/>
  <c r="T365" i="67"/>
  <c r="U365" i="67"/>
  <c r="T366" i="67"/>
  <c r="U366" i="67"/>
  <c r="T367" i="67"/>
  <c r="U367" i="67"/>
  <c r="T368" i="67"/>
  <c r="U368" i="67"/>
  <c r="T369" i="67"/>
  <c r="U369" i="67"/>
  <c r="T370" i="67"/>
  <c r="U370" i="67"/>
  <c r="T371" i="67"/>
  <c r="U371" i="67"/>
  <c r="T372" i="67"/>
  <c r="U372" i="67"/>
  <c r="T373" i="67"/>
  <c r="U373" i="67"/>
  <c r="T374" i="67"/>
  <c r="U374" i="67"/>
  <c r="T375" i="67"/>
  <c r="U375" i="67"/>
  <c r="T376" i="67"/>
  <c r="U376" i="67"/>
  <c r="T377" i="67"/>
  <c r="U377" i="67"/>
  <c r="T378" i="67"/>
  <c r="U378" i="67"/>
  <c r="T379" i="67"/>
  <c r="U379" i="67"/>
  <c r="T380" i="67"/>
  <c r="U380" i="67"/>
  <c r="T381" i="67"/>
  <c r="U381" i="67"/>
  <c r="T382" i="67"/>
  <c r="U382" i="67"/>
  <c r="T383" i="67"/>
  <c r="U383" i="67"/>
  <c r="T384" i="67"/>
  <c r="U384" i="67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/>
  <c r="L241" i="67"/>
  <c r="M241" i="67"/>
  <c r="L242" i="67"/>
  <c r="M242" i="67"/>
  <c r="L243" i="67"/>
  <c r="M243" i="67"/>
  <c r="L244" i="67"/>
  <c r="M244" i="67"/>
  <c r="L245" i="67"/>
  <c r="M245" i="67"/>
  <c r="L246" i="67"/>
  <c r="M246" i="67"/>
  <c r="L247" i="67"/>
  <c r="M247" i="67"/>
  <c r="L248" i="67"/>
  <c r="M248" i="67"/>
  <c r="L249" i="67"/>
  <c r="M249" i="67"/>
  <c r="L250" i="67"/>
  <c r="M250" i="67"/>
  <c r="L251" i="67"/>
  <c r="M251" i="67"/>
  <c r="L252" i="67"/>
  <c r="M252" i="67"/>
  <c r="L253" i="67"/>
  <c r="M253" i="67"/>
  <c r="L254" i="67"/>
  <c r="M254" i="67"/>
  <c r="L255" i="67"/>
  <c r="M255" i="67"/>
  <c r="L256" i="67"/>
  <c r="M256" i="67" s="1"/>
  <c r="L257" i="67"/>
  <c r="M257" i="67"/>
  <c r="L258" i="67"/>
  <c r="M258" i="67"/>
  <c r="L259" i="67"/>
  <c r="M259" i="67"/>
  <c r="L260" i="67"/>
  <c r="M260" i="67"/>
  <c r="L261" i="67"/>
  <c r="M261" i="67"/>
  <c r="L262" i="67"/>
  <c r="M262" i="67"/>
  <c r="L263" i="67"/>
  <c r="M263" i="67"/>
  <c r="L264" i="67"/>
  <c r="M264" i="67"/>
  <c r="L265" i="67"/>
  <c r="M265" i="67"/>
  <c r="L266" i="67"/>
  <c r="M266" i="67"/>
  <c r="L267" i="67"/>
  <c r="M267" i="67"/>
  <c r="L268" i="67"/>
  <c r="M268" i="67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L379" i="67"/>
  <c r="M379" i="67" s="1"/>
  <c r="L380" i="67"/>
  <c r="M380" i="67" s="1"/>
  <c r="L381" i="67"/>
  <c r="M381" i="67" s="1"/>
  <c r="L382" i="67"/>
  <c r="M382" i="67" s="1"/>
  <c r="L383" i="67"/>
  <c r="M383" i="67" s="1"/>
  <c r="L384" i="67"/>
  <c r="M384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AE9" i="67" s="1"/>
  <c r="AE7" i="67" s="1"/>
  <c r="T11" i="67"/>
  <c r="U11" i="67" s="1"/>
  <c r="U9" i="67" s="1"/>
  <c r="U7" i="67" s="1"/>
  <c r="L11" i="67"/>
  <c r="M11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T7" i="67"/>
  <c r="S7" i="67" s="1"/>
  <c r="L7" i="67"/>
  <c r="K7" i="67" s="1"/>
  <c r="FG6" i="67"/>
  <c r="EY6" i="67"/>
  <c r="EX6" i="67"/>
  <c r="EP6" i="67"/>
  <c r="EH6" i="67"/>
  <c r="EG6" i="67"/>
  <c r="DX6" i="67"/>
  <c r="DP6" i="67"/>
  <c r="DO6" i="67"/>
  <c r="DF6" i="67"/>
  <c r="CX6" i="67"/>
  <c r="CW6" i="67"/>
  <c r="CN6" i="67"/>
  <c r="CF6" i="67"/>
  <c r="CE6" i="67"/>
  <c r="BV6" i="67"/>
  <c r="BN6" i="67"/>
  <c r="BM6" i="67"/>
  <c r="BD6" i="67"/>
  <c r="AV6" i="67"/>
  <c r="AU6" i="67" s="1"/>
  <c r="AQ2" i="67" s="1"/>
  <c r="AL6" i="67"/>
  <c r="AD6" i="67"/>
  <c r="AC6" i="67"/>
  <c r="Y2" i="67" s="1"/>
  <c r="T6" i="67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AE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FF3" i="67" s="1"/>
  <c r="EZ3" i="67"/>
  <c r="EX3" i="67"/>
  <c r="EV3" i="67"/>
  <c r="EV6" i="67" s="1"/>
  <c r="EQ3" i="67"/>
  <c r="EM3" i="67"/>
  <c r="EO3" i="67" s="1"/>
  <c r="EI3" i="67"/>
  <c r="EG3" i="67"/>
  <c r="EE3" i="67"/>
  <c r="EE6" i="67" s="1"/>
  <c r="DY3" i="67"/>
  <c r="DU3" i="67"/>
  <c r="DW3" i="67" s="1"/>
  <c r="DQ3" i="67"/>
  <c r="DO3" i="67"/>
  <c r="DM3" i="67"/>
  <c r="DM6" i="67" s="1"/>
  <c r="DG3" i="67"/>
  <c r="DC3" i="67"/>
  <c r="DE3" i="67" s="1"/>
  <c r="CY3" i="67"/>
  <c r="CW3" i="67"/>
  <c r="CU3" i="67"/>
  <c r="CU6" i="67" s="1"/>
  <c r="A21" i="67" s="1"/>
  <c r="CO3" i="67"/>
  <c r="CK3" i="67"/>
  <c r="CM3" i="67" s="1"/>
  <c r="CG3" i="67"/>
  <c r="CE3" i="67"/>
  <c r="CC3" i="67"/>
  <c r="CC6" i="67" s="1"/>
  <c r="A19" i="67" s="1"/>
  <c r="BW3" i="67"/>
  <c r="BS3" i="67"/>
  <c r="BU3" i="67" s="1"/>
  <c r="BO3" i="67"/>
  <c r="BM3" i="67"/>
  <c r="BK3" i="67"/>
  <c r="BK6" i="67" s="1"/>
  <c r="A17" i="67" s="1"/>
  <c r="BA3" i="67"/>
  <c r="AS3" i="67"/>
  <c r="AI3" i="67"/>
  <c r="AE3" i="67"/>
  <c r="AA3" i="67"/>
  <c r="U3" i="67"/>
  <c r="I3" i="67"/>
  <c r="A5" i="63" a="1"/>
  <c r="A5" i="63" l="1"/>
  <c r="BE9" i="67"/>
  <c r="BE5" i="67" s="1"/>
  <c r="AW9" i="67"/>
  <c r="AU3" i="67"/>
  <c r="AS6" i="67" s="1"/>
  <c r="A15" i="67" s="1"/>
  <c r="AM9" i="67"/>
  <c r="AC3" i="67"/>
  <c r="AA6" i="67" s="1"/>
  <c r="A13" i="67" s="1"/>
  <c r="Q3" i="67"/>
  <c r="S3" i="67" s="1"/>
  <c r="O4" i="67" s="1"/>
  <c r="U5" i="67"/>
  <c r="M9" i="67"/>
  <c r="M5" i="67" s="1"/>
  <c r="G2" i="67"/>
  <c r="K3" i="67"/>
  <c r="I6" i="67" s="1"/>
  <c r="A11" i="67" s="1"/>
  <c r="BS6" i="67"/>
  <c r="A18" i="67" s="1"/>
  <c r="CK6" i="67"/>
  <c r="A20" i="67" s="1"/>
  <c r="DC6" i="67"/>
  <c r="A22" i="67" s="1"/>
  <c r="DU6" i="67"/>
  <c r="EM6" i="67"/>
  <c r="FD6" i="67"/>
  <c r="AK3" i="67"/>
  <c r="AG4" i="67" s="1"/>
  <c r="BC3" i="67"/>
  <c r="AY4" i="67" s="1"/>
  <c r="Y4" i="67"/>
  <c r="L9" i="67"/>
  <c r="B11" i="67" s="1"/>
  <c r="S6" i="67"/>
  <c r="O2" i="67" s="1"/>
  <c r="AD9" i="67"/>
  <c r="B13" i="67" s="1"/>
  <c r="AK6" i="67"/>
  <c r="AG2" i="67" s="1"/>
  <c r="AV9" i="67"/>
  <c r="B15" i="67" s="1"/>
  <c r="BC6" i="67"/>
  <c r="AY2" i="67" s="1"/>
  <c r="BN9" i="67"/>
  <c r="B17" i="67" s="1"/>
  <c r="BU6" i="67"/>
  <c r="BV9" i="67" s="1"/>
  <c r="B18" i="67" s="1"/>
  <c r="CF9" i="67"/>
  <c r="B19" i="67" s="1"/>
  <c r="CM6" i="67"/>
  <c r="CN9" i="67" s="1"/>
  <c r="B20" i="67" s="1"/>
  <c r="CX9" i="67"/>
  <c r="B21" i="67" s="1"/>
  <c r="DE6" i="67"/>
  <c r="DF9" i="67" s="1"/>
  <c r="B22" i="67" s="1"/>
  <c r="DP9" i="67"/>
  <c r="DP4" i="67" s="1"/>
  <c r="DP2" i="67" s="1"/>
  <c r="DM9" i="67" s="1"/>
  <c r="E23" i="67" s="1"/>
  <c r="DW6" i="67"/>
  <c r="DX9" i="67" s="1"/>
  <c r="EH9" i="67"/>
  <c r="EH4" i="67" s="1"/>
  <c r="EH2" i="67" s="1"/>
  <c r="EE9" i="67" s="1"/>
  <c r="E25" i="67" s="1"/>
  <c r="EO6" i="67"/>
  <c r="EP9" i="67" s="1"/>
  <c r="EY9" i="67"/>
  <c r="EY4" i="67" s="1"/>
  <c r="EY2" i="67" s="1"/>
  <c r="EV9" i="67" s="1"/>
  <c r="FF6" i="67"/>
  <c r="FG9" i="67" s="1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 s="1"/>
  <c r="BD212" i="66"/>
  <c r="BE212" i="66"/>
  <c r="BD213" i="66"/>
  <c r="BE213" i="66"/>
  <c r="BD214" i="66"/>
  <c r="BE214" i="66"/>
  <c r="BD215" i="66"/>
  <c r="BE215" i="66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 s="1"/>
  <c r="BD386" i="66"/>
  <c r="BE386" i="66" s="1"/>
  <c r="BD387" i="66"/>
  <c r="BE387" i="66" s="1"/>
  <c r="BD388" i="66"/>
  <c r="BE388" i="66" s="1"/>
  <c r="BD389" i="66"/>
  <c r="BE389" i="66" s="1"/>
  <c r="BD390" i="66"/>
  <c r="BE390" i="66"/>
  <c r="BD391" i="66"/>
  <c r="BE391" i="66"/>
  <c r="BD392" i="66"/>
  <c r="BE392" i="66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/>
  <c r="AV183" i="66"/>
  <c r="AW183" i="66"/>
  <c r="AV184" i="66"/>
  <c r="AW184" i="66"/>
  <c r="AV185" i="66"/>
  <c r="AW185" i="66"/>
  <c r="AV186" i="66"/>
  <c r="AW186" i="66"/>
  <c r="AV187" i="66"/>
  <c r="AW187" i="66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/>
  <c r="AV217" i="66"/>
  <c r="AW217" i="66" s="1"/>
  <c r="AV218" i="66"/>
  <c r="AW218" i="66"/>
  <c r="AV219" i="66"/>
  <c r="AW219" i="66" s="1"/>
  <c r="AV220" i="66"/>
  <c r="AW220" i="66" s="1"/>
  <c r="AV221" i="66"/>
  <c r="AW221" i="66" s="1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V385" i="66"/>
  <c r="AW385" i="66" s="1"/>
  <c r="AV386" i="66"/>
  <c r="AW386" i="66" s="1"/>
  <c r="AV387" i="66"/>
  <c r="AW387" i="66" s="1"/>
  <c r="AV388" i="66"/>
  <c r="AW388" i="66"/>
  <c r="AV389" i="66"/>
  <c r="AW389" i="66"/>
  <c r="AV390" i="66"/>
  <c r="AW390" i="66"/>
  <c r="AV391" i="66"/>
  <c r="AW391" i="66"/>
  <c r="AV392" i="66"/>
  <c r="AW392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 s="1"/>
  <c r="AL233" i="66"/>
  <c r="AM233" i="66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L379" i="66"/>
  <c r="AM379" i="66" s="1"/>
  <c r="AL380" i="66"/>
  <c r="AM380" i="66" s="1"/>
  <c r="AL381" i="66"/>
  <c r="AM381" i="66" s="1"/>
  <c r="AL382" i="66"/>
  <c r="AM382" i="66" s="1"/>
  <c r="AL383" i="66"/>
  <c r="AM383" i="66" s="1"/>
  <c r="AL384" i="66"/>
  <c r="AM384" i="66" s="1"/>
  <c r="AL385" i="66"/>
  <c r="AM385" i="66" s="1"/>
  <c r="AL386" i="66"/>
  <c r="AM386" i="66" s="1"/>
  <c r="AL387" i="66"/>
  <c r="AM387" i="66" s="1"/>
  <c r="AL388" i="66"/>
  <c r="AM388" i="66" s="1"/>
  <c r="AL389" i="66"/>
  <c r="AM389" i="66" s="1"/>
  <c r="AL390" i="66"/>
  <c r="AM390" i="66" s="1"/>
  <c r="AL391" i="66"/>
  <c r="AM391" i="66" s="1"/>
  <c r="AL392" i="66"/>
  <c r="AM392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 s="1"/>
  <c r="AD190" i="66"/>
  <c r="AE190" i="66" s="1"/>
  <c r="AD191" i="66"/>
  <c r="AE191" i="66" s="1"/>
  <c r="AD192" i="66"/>
  <c r="AE192" i="66" s="1"/>
  <c r="AD193" i="66"/>
  <c r="AE193" i="66" s="1"/>
  <c r="AD194" i="66"/>
  <c r="AE194" i="66" s="1"/>
  <c r="AD195" i="66"/>
  <c r="AE195" i="66" s="1"/>
  <c r="AD196" i="66"/>
  <c r="AE196" i="66" s="1"/>
  <c r="AD197" i="66"/>
  <c r="AE197" i="66" s="1"/>
  <c r="AD198" i="66"/>
  <c r="AE198" i="66" s="1"/>
  <c r="AD199" i="66"/>
  <c r="AE199" i="66" s="1"/>
  <c r="AD200" i="66"/>
  <c r="AE200" i="66" s="1"/>
  <c r="AD201" i="66"/>
  <c r="AE201" i="66" s="1"/>
  <c r="AD202" i="66"/>
  <c r="AE202" i="66" s="1"/>
  <c r="AD203" i="66"/>
  <c r="AE203" i="66" s="1"/>
  <c r="AD204" i="66"/>
  <c r="AE204" i="66" s="1"/>
  <c r="AD205" i="66"/>
  <c r="AE205" i="66" s="1"/>
  <c r="AD206" i="66"/>
  <c r="AE206" i="66" s="1"/>
  <c r="AD207" i="66"/>
  <c r="AE207" i="66" s="1"/>
  <c r="AD208" i="66"/>
  <c r="AE208" i="66" s="1"/>
  <c r="AD209" i="66"/>
  <c r="AE209" i="66" s="1"/>
  <c r="AD210" i="66"/>
  <c r="AE210" i="66" s="1"/>
  <c r="AD211" i="66"/>
  <c r="AE211" i="66" s="1"/>
  <c r="AD212" i="66"/>
  <c r="AE212" i="66" s="1"/>
  <c r="AD213" i="66"/>
  <c r="AE213" i="66" s="1"/>
  <c r="AD214" i="66"/>
  <c r="AE214" i="66" s="1"/>
  <c r="AD215" i="66"/>
  <c r="AE215" i="66" s="1"/>
  <c r="AD216" i="66"/>
  <c r="AE216" i="66" s="1"/>
  <c r="AD217" i="66"/>
  <c r="AE217" i="66" s="1"/>
  <c r="AD218" i="66"/>
  <c r="AE218" i="66" s="1"/>
  <c r="AD219" i="66"/>
  <c r="AE219" i="66" s="1"/>
  <c r="AD220" i="66"/>
  <c r="AE220" i="66" s="1"/>
  <c r="AD221" i="66"/>
  <c r="AE221" i="66" s="1"/>
  <c r="AD222" i="66"/>
  <c r="AE222" i="66" s="1"/>
  <c r="AD223" i="66"/>
  <c r="AE223" i="66" s="1"/>
  <c r="AD224" i="66"/>
  <c r="AE224" i="66" s="1"/>
  <c r="AD225" i="66"/>
  <c r="AE225" i="66" s="1"/>
  <c r="AD226" i="66"/>
  <c r="AE226" i="66" s="1"/>
  <c r="AD227" i="66"/>
  <c r="AE227" i="66" s="1"/>
  <c r="AD228" i="66"/>
  <c r="AE228" i="66" s="1"/>
  <c r="AD229" i="66"/>
  <c r="AE229" i="66" s="1"/>
  <c r="AD230" i="66"/>
  <c r="AE230" i="66" s="1"/>
  <c r="AD231" i="66"/>
  <c r="AE231" i="66" s="1"/>
  <c r="AD232" i="66"/>
  <c r="AE232" i="66" s="1"/>
  <c r="AD233" i="66"/>
  <c r="AE233" i="66" s="1"/>
  <c r="AD234" i="66"/>
  <c r="AE234" i="66" s="1"/>
  <c r="AD235" i="66"/>
  <c r="AE235" i="66" s="1"/>
  <c r="AD236" i="66"/>
  <c r="AE236" i="66" s="1"/>
  <c r="AD237" i="66"/>
  <c r="AE237" i="66" s="1"/>
  <c r="AD238" i="66"/>
  <c r="AE238" i="66" s="1"/>
  <c r="AD239" i="66"/>
  <c r="AE239" i="66" s="1"/>
  <c r="AD240" i="66"/>
  <c r="AE240" i="66" s="1"/>
  <c r="AD241" i="66"/>
  <c r="AE241" i="66" s="1"/>
  <c r="AD242" i="66"/>
  <c r="AE242" i="66" s="1"/>
  <c r="AD243" i="66"/>
  <c r="AE243" i="66" s="1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/>
  <c r="AD360" i="66"/>
  <c r="AE360" i="66"/>
  <c r="AD361" i="66"/>
  <c r="AE361" i="66"/>
  <c r="AD362" i="66"/>
  <c r="AE362" i="66"/>
  <c r="AD363" i="66"/>
  <c r="AE363" i="66"/>
  <c r="AD364" i="66"/>
  <c r="AE364" i="66"/>
  <c r="AD365" i="66"/>
  <c r="AE365" i="66"/>
  <c r="AD366" i="66"/>
  <c r="AE366" i="66"/>
  <c r="AD367" i="66"/>
  <c r="AE367" i="66"/>
  <c r="AD368" i="66"/>
  <c r="AE368" i="66"/>
  <c r="AD369" i="66"/>
  <c r="AE369" i="66"/>
  <c r="AD370" i="66"/>
  <c r="AE370" i="66"/>
  <c r="AD371" i="66"/>
  <c r="AE371" i="66"/>
  <c r="AD372" i="66"/>
  <c r="AE372" i="66"/>
  <c r="AD373" i="66"/>
  <c r="AE373" i="66"/>
  <c r="AD374" i="66"/>
  <c r="AE374" i="66"/>
  <c r="AD375" i="66"/>
  <c r="AE375" i="66"/>
  <c r="AD376" i="66"/>
  <c r="AE376" i="66"/>
  <c r="AD377" i="66"/>
  <c r="AE377" i="66"/>
  <c r="AD378" i="66"/>
  <c r="AE378" i="66"/>
  <c r="AD379" i="66"/>
  <c r="AE379" i="66"/>
  <c r="AD380" i="66"/>
  <c r="AE380" i="66"/>
  <c r="AD381" i="66"/>
  <c r="AE381" i="66"/>
  <c r="AD382" i="66"/>
  <c r="AE382" i="66"/>
  <c r="AD383" i="66"/>
  <c r="AE383" i="66"/>
  <c r="AD384" i="66"/>
  <c r="AE384" i="66"/>
  <c r="AD385" i="66"/>
  <c r="AE385" i="66"/>
  <c r="AD386" i="66"/>
  <c r="AE386" i="66"/>
  <c r="AD387" i="66"/>
  <c r="AE387" i="66" s="1"/>
  <c r="AD388" i="66"/>
  <c r="AE388" i="66" s="1"/>
  <c r="AD389" i="66"/>
  <c r="AE389" i="66" s="1"/>
  <c r="AD390" i="66"/>
  <c r="AE390" i="66" s="1"/>
  <c r="AD391" i="66"/>
  <c r="AE391" i="66" s="1"/>
  <c r="AD392" i="66"/>
  <c r="AE392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/>
  <c r="T229" i="66"/>
  <c r="U229" i="66"/>
  <c r="T230" i="66"/>
  <c r="U230" i="66"/>
  <c r="T231" i="66"/>
  <c r="U231" i="66"/>
  <c r="T232" i="66"/>
  <c r="U232" i="66"/>
  <c r="T233" i="66"/>
  <c r="U233" i="66"/>
  <c r="T234" i="66"/>
  <c r="U234" i="66"/>
  <c r="T235" i="66"/>
  <c r="U235" i="66"/>
  <c r="T236" i="66"/>
  <c r="U236" i="66"/>
  <c r="T237" i="66"/>
  <c r="U237" i="66"/>
  <c r="T238" i="66"/>
  <c r="U238" i="66"/>
  <c r="T239" i="66"/>
  <c r="U239" i="66"/>
  <c r="T240" i="66"/>
  <c r="U240" i="66"/>
  <c r="T241" i="66"/>
  <c r="U241" i="66"/>
  <c r="T242" i="66"/>
  <c r="U242" i="66"/>
  <c r="T243" i="66"/>
  <c r="U243" i="66"/>
  <c r="T244" i="66"/>
  <c r="U244" i="66"/>
  <c r="T245" i="66"/>
  <c r="U245" i="66"/>
  <c r="T246" i="66"/>
  <c r="U246" i="66"/>
  <c r="T247" i="66"/>
  <c r="U247" i="66"/>
  <c r="T248" i="66"/>
  <c r="U248" i="66"/>
  <c r="T249" i="66"/>
  <c r="U249" i="66"/>
  <c r="T250" i="66"/>
  <c r="U250" i="66"/>
  <c r="T251" i="66"/>
  <c r="U251" i="66"/>
  <c r="T252" i="66"/>
  <c r="U252" i="66"/>
  <c r="T253" i="66"/>
  <c r="U253" i="66"/>
  <c r="T254" i="66"/>
  <c r="U254" i="66"/>
  <c r="T255" i="66"/>
  <c r="U255" i="66"/>
  <c r="T256" i="66"/>
  <c r="U256" i="66"/>
  <c r="T257" i="66"/>
  <c r="U257" i="66"/>
  <c r="T258" i="66"/>
  <c r="U258" i="66"/>
  <c r="T259" i="66"/>
  <c r="U259" i="66"/>
  <c r="T260" i="66"/>
  <c r="U260" i="66" s="1"/>
  <c r="T261" i="66"/>
  <c r="U261" i="66"/>
  <c r="T262" i="66"/>
  <c r="U262" i="66"/>
  <c r="T263" i="66"/>
  <c r="U263" i="66"/>
  <c r="T264" i="66"/>
  <c r="U264" i="66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T387" i="66"/>
  <c r="U387" i="66" s="1"/>
  <c r="T388" i="66"/>
  <c r="U388" i="66" s="1"/>
  <c r="T389" i="66"/>
  <c r="U389" i="66" s="1"/>
  <c r="T390" i="66"/>
  <c r="U390" i="66" s="1"/>
  <c r="T391" i="66"/>
  <c r="U391" i="66" s="1"/>
  <c r="T392" i="66"/>
  <c r="U392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/>
  <c r="L217" i="66"/>
  <c r="M217" i="66"/>
  <c r="L218" i="66"/>
  <c r="M218" i="66"/>
  <c r="L219" i="66"/>
  <c r="M219" i="66"/>
  <c r="L220" i="66"/>
  <c r="M220" i="66" s="1"/>
  <c r="L221" i="66"/>
  <c r="M221" i="66"/>
  <c r="L222" i="66"/>
  <c r="M222" i="66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L389" i="66"/>
  <c r="M389" i="66" s="1"/>
  <c r="L390" i="66"/>
  <c r="M390" i="66" s="1"/>
  <c r="L391" i="66"/>
  <c r="M391" i="66" s="1"/>
  <c r="L392" i="66"/>
  <c r="M392" i="66"/>
  <c r="FH11" i="66"/>
  <c r="FH9" i="66" s="1"/>
  <c r="FG11" i="66"/>
  <c r="EZ11" i="66"/>
  <c r="EZ9" i="66" s="1"/>
  <c r="EZ7" i="66" s="1"/>
  <c r="EY11" i="66"/>
  <c r="EQ11" i="66"/>
  <c r="EP11" i="66"/>
  <c r="EI11" i="66"/>
  <c r="EH11" i="66"/>
  <c r="DY11" i="66"/>
  <c r="DY9" i="66" s="1"/>
  <c r="DX11" i="66"/>
  <c r="DQ11" i="66"/>
  <c r="DQ9" i="66" s="1"/>
  <c r="DQ7" i="66" s="1"/>
  <c r="DP11" i="66"/>
  <c r="DG11" i="66"/>
  <c r="DF11" i="66"/>
  <c r="CY11" i="66"/>
  <c r="CX11" i="66"/>
  <c r="CO11" i="66"/>
  <c r="CO9" i="66" s="1"/>
  <c r="CN11" i="66"/>
  <c r="CG11" i="66"/>
  <c r="CG9" i="66" s="1"/>
  <c r="CG7" i="66" s="1"/>
  <c r="CF11" i="66"/>
  <c r="BW11" i="66"/>
  <c r="BV11" i="66"/>
  <c r="BO11" i="66"/>
  <c r="BN11" i="66"/>
  <c r="BD11" i="66"/>
  <c r="BE11" i="66" s="1"/>
  <c r="BE9" i="66" s="1"/>
  <c r="AW11" i="66"/>
  <c r="AW9" i="66" s="1"/>
  <c r="AW7" i="66" s="1"/>
  <c r="AV11" i="66"/>
  <c r="AL11" i="66"/>
  <c r="AM11" i="66" s="1"/>
  <c r="AE11" i="66"/>
  <c r="AD11" i="66"/>
  <c r="T11" i="66"/>
  <c r="U11" i="66" s="1"/>
  <c r="L11" i="66"/>
  <c r="M11" i="66" s="1"/>
  <c r="M9" i="66" s="1"/>
  <c r="EQ9" i="66"/>
  <c r="EQ3" i="66" s="1"/>
  <c r="EI9" i="66"/>
  <c r="EI7" i="66" s="1"/>
  <c r="DP9" i="66"/>
  <c r="DG9" i="66"/>
  <c r="CY9" i="66"/>
  <c r="BW9" i="66"/>
  <c r="BO9" i="66"/>
  <c r="BO7" i="66" s="1"/>
  <c r="FH7" i="66"/>
  <c r="FG7" i="66"/>
  <c r="FF7" i="66"/>
  <c r="EY7" i="66"/>
  <c r="EX7" i="66" s="1"/>
  <c r="EQ7" i="66"/>
  <c r="EP7" i="66"/>
  <c r="EO7" i="66"/>
  <c r="EH7" i="66"/>
  <c r="EG7" i="66" s="1"/>
  <c r="DY7" i="66"/>
  <c r="DX7" i="66"/>
  <c r="DW7" i="66"/>
  <c r="DP7" i="66"/>
  <c r="DO7" i="66" s="1"/>
  <c r="DG7" i="66"/>
  <c r="DF7" i="66"/>
  <c r="DE7" i="66"/>
  <c r="CX7" i="66"/>
  <c r="CW7" i="66" s="1"/>
  <c r="CO7" i="66"/>
  <c r="CN7" i="66"/>
  <c r="CM7" i="66"/>
  <c r="CF7" i="66"/>
  <c r="CE7" i="66" s="1"/>
  <c r="BW7" i="66"/>
  <c r="BV7" i="66"/>
  <c r="BU7" i="66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L7" i="66"/>
  <c r="K7" i="66" s="1"/>
  <c r="FG6" i="66"/>
  <c r="FF6" i="66" s="1"/>
  <c r="EY6" i="66"/>
  <c r="EX6" i="66"/>
  <c r="EP6" i="66"/>
  <c r="EH6" i="66"/>
  <c r="EH9" i="66" s="1"/>
  <c r="EG6" i="66"/>
  <c r="DX6" i="66"/>
  <c r="DP6" i="66"/>
  <c r="DO6" i="66"/>
  <c r="DF6" i="66"/>
  <c r="CX6" i="66"/>
  <c r="CX9" i="66" s="1"/>
  <c r="B21" i="66" s="1"/>
  <c r="CW6" i="66"/>
  <c r="CN6" i="66"/>
  <c r="CM6" i="66" s="1"/>
  <c r="CF6" i="66"/>
  <c r="CE6" i="66"/>
  <c r="BV6" i="66"/>
  <c r="BN6" i="66"/>
  <c r="BN9" i="66" s="1"/>
  <c r="B17" i="66" s="1"/>
  <c r="BM6" i="66"/>
  <c r="BD6" i="66"/>
  <c r="AV6" i="66"/>
  <c r="AU6" i="66" s="1"/>
  <c r="AL6" i="66"/>
  <c r="AD6" i="66"/>
  <c r="T6" i="66"/>
  <c r="S6" i="66" s="1"/>
  <c r="L6" i="66"/>
  <c r="FH5" i="66"/>
  <c r="EZ5" i="66"/>
  <c r="EQ5" i="66"/>
  <c r="EI5" i="66"/>
  <c r="DY5" i="66"/>
  <c r="DQ5" i="66"/>
  <c r="DG5" i="66"/>
  <c r="CO5" i="66"/>
  <c r="CG5" i="66"/>
  <c r="BW5" i="66"/>
  <c r="BO5" i="66"/>
  <c r="AW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I4" i="66"/>
  <c r="K4" i="66" s="1"/>
  <c r="FH3" i="66"/>
  <c r="FD3" i="66"/>
  <c r="EZ3" i="66"/>
  <c r="EX3" i="66"/>
  <c r="EV3" i="66"/>
  <c r="EM3" i="66"/>
  <c r="EI3" i="66"/>
  <c r="EG3" i="66"/>
  <c r="EE3" i="66"/>
  <c r="DY3" i="66"/>
  <c r="DU3" i="66"/>
  <c r="DQ3" i="66"/>
  <c r="DO3" i="66"/>
  <c r="DM3" i="66"/>
  <c r="DG3" i="66"/>
  <c r="DC3" i="66"/>
  <c r="CW3" i="66"/>
  <c r="CU3" i="66"/>
  <c r="CO3" i="66"/>
  <c r="CK3" i="66"/>
  <c r="CG3" i="66"/>
  <c r="CE3" i="66"/>
  <c r="CC3" i="66"/>
  <c r="BW3" i="66"/>
  <c r="BS3" i="66"/>
  <c r="BO3" i="66"/>
  <c r="BM3" i="66"/>
  <c r="BK3" i="66"/>
  <c r="BA3" i="66"/>
  <c r="AW3" i="66"/>
  <c r="AS3" i="66"/>
  <c r="AU3" i="66" s="1"/>
  <c r="AI3" i="66"/>
  <c r="AC3" i="66"/>
  <c r="AA3" i="66"/>
  <c r="I3" i="66"/>
  <c r="K3" i="66" s="1"/>
  <c r="A4" i="63" a="1"/>
  <c r="BE7" i="67" l="1"/>
  <c r="BE3" i="67"/>
  <c r="AW7" i="67"/>
  <c r="AW5" i="67"/>
  <c r="AW3" i="67"/>
  <c r="AQ4" i="67"/>
  <c r="AM7" i="67"/>
  <c r="AM3" i="67"/>
  <c r="AM5" i="67"/>
  <c r="G4" i="67"/>
  <c r="M7" i="67"/>
  <c r="M3" i="67"/>
  <c r="FG4" i="67"/>
  <c r="FG2" i="67" s="1"/>
  <c r="DX4" i="67"/>
  <c r="DX2" i="67" s="1"/>
  <c r="EP4" i="67"/>
  <c r="EP2" i="67" s="1"/>
  <c r="BA6" i="67"/>
  <c r="AI6" i="67"/>
  <c r="Q6" i="67"/>
  <c r="CX4" i="67"/>
  <c r="BN4" i="67"/>
  <c r="CN4" i="67"/>
  <c r="BD9" i="67"/>
  <c r="B16" i="67" s="1"/>
  <c r="AL9" i="67"/>
  <c r="B14" i="67" s="1"/>
  <c r="T9" i="67"/>
  <c r="B12" i="67" s="1"/>
  <c r="DF4" i="67"/>
  <c r="BV4" i="67"/>
  <c r="AD4" i="67"/>
  <c r="CF4" i="67"/>
  <c r="CF2" i="67" s="1"/>
  <c r="AV4" i="67"/>
  <c r="L4" i="67"/>
  <c r="A4" i="63"/>
  <c r="BE5" i="66"/>
  <c r="BE7" i="66"/>
  <c r="BE3" i="66"/>
  <c r="AQ2" i="66"/>
  <c r="AV9" i="66"/>
  <c r="B15" i="66" s="1"/>
  <c r="AM9" i="66"/>
  <c r="AM7" i="66" s="1"/>
  <c r="AM5" i="66"/>
  <c r="AE9" i="66"/>
  <c r="AC6" i="66"/>
  <c r="Y2" i="66" s="1"/>
  <c r="U9" i="66"/>
  <c r="U7" i="66" s="1"/>
  <c r="U5" i="66"/>
  <c r="Q3" i="66"/>
  <c r="S3" i="66" s="1"/>
  <c r="Q4" i="66"/>
  <c r="S4" i="66" s="1"/>
  <c r="M7" i="66"/>
  <c r="M5" i="66"/>
  <c r="M3" i="66"/>
  <c r="I6" i="66"/>
  <c r="A11" i="66" s="1"/>
  <c r="K6" i="66"/>
  <c r="G2" i="66" s="1"/>
  <c r="BC3" i="66"/>
  <c r="BA6" i="66" s="1"/>
  <c r="CM3" i="66"/>
  <c r="CK6" i="66" s="1"/>
  <c r="DE3" i="66"/>
  <c r="DC6" i="66" s="1"/>
  <c r="EO3" i="66"/>
  <c r="EM6" i="66" s="1"/>
  <c r="EP4" i="66" s="1"/>
  <c r="EP2" i="66" s="1"/>
  <c r="BC6" i="66"/>
  <c r="BD9" i="66" s="1"/>
  <c r="B16" i="66" s="1"/>
  <c r="DW6" i="66"/>
  <c r="DX9" i="66"/>
  <c r="O2" i="66"/>
  <c r="AE7" i="66"/>
  <c r="AE5" i="66"/>
  <c r="AE3" i="66"/>
  <c r="CN9" i="66"/>
  <c r="B20" i="66" s="1"/>
  <c r="AK3" i="66"/>
  <c r="AI6" i="66" s="1"/>
  <c r="BU3" i="66"/>
  <c r="BS6" i="66" s="1"/>
  <c r="DW3" i="66"/>
  <c r="DU6" i="66" s="1"/>
  <c r="DX4" i="66" s="1"/>
  <c r="DX2" i="66" s="1"/>
  <c r="FF3" i="66"/>
  <c r="FD6" i="66" s="1"/>
  <c r="FG4" i="66" s="1"/>
  <c r="FG2" i="66" s="1"/>
  <c r="AK6" i="66"/>
  <c r="AG2" i="66" s="1"/>
  <c r="BV9" i="66"/>
  <c r="B18" i="66" s="1"/>
  <c r="BU6" i="66"/>
  <c r="DF9" i="66"/>
  <c r="B22" i="66" s="1"/>
  <c r="DE6" i="66"/>
  <c r="EP9" i="66"/>
  <c r="EO6" i="66"/>
  <c r="T9" i="66"/>
  <c r="B12" i="66" s="1"/>
  <c r="CY7" i="66"/>
  <c r="CY5" i="66"/>
  <c r="CY3" i="66"/>
  <c r="FG9" i="66"/>
  <c r="AA6" i="66"/>
  <c r="A13" i="66" s="1"/>
  <c r="AS6" i="66"/>
  <c r="BK6" i="66"/>
  <c r="A17" i="66" s="1"/>
  <c r="CC6" i="66"/>
  <c r="A19" i="66" s="1"/>
  <c r="CU6" i="66"/>
  <c r="A21" i="66" s="1"/>
  <c r="DM6" i="66"/>
  <c r="DP4" i="66" s="1"/>
  <c r="DP2" i="66" s="1"/>
  <c r="DM9" i="66" s="1"/>
  <c r="E23" i="66" s="1"/>
  <c r="EE6" i="66"/>
  <c r="EH4" i="66" s="1"/>
  <c r="EH2" i="66" s="1"/>
  <c r="EE9" i="66" s="1"/>
  <c r="E25" i="66" s="1"/>
  <c r="EV6" i="66"/>
  <c r="EY4" i="66" s="1"/>
  <c r="EY2" i="66" s="1"/>
  <c r="EV9" i="66" s="1"/>
  <c r="G4" i="66"/>
  <c r="Y4" i="66"/>
  <c r="AQ4" i="66"/>
  <c r="CF9" i="66"/>
  <c r="B19" i="66" s="1"/>
  <c r="EY9" i="66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 s="1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 s="1"/>
  <c r="BD221" i="65"/>
  <c r="BE221" i="65" s="1"/>
  <c r="BD222" i="65"/>
  <c r="BE222" i="65" s="1"/>
  <c r="BD223" i="65"/>
  <c r="BE223" i="65" s="1"/>
  <c r="BD224" i="65"/>
  <c r="BE224" i="65" s="1"/>
  <c r="BD225" i="65"/>
  <c r="BE225" i="65" s="1"/>
  <c r="BD226" i="65"/>
  <c r="BE226" i="65" s="1"/>
  <c r="BD227" i="65"/>
  <c r="BE227" i="65" s="1"/>
  <c r="BD228" i="65"/>
  <c r="BE228" i="65" s="1"/>
  <c r="BD229" i="65"/>
  <c r="BE229" i="65" s="1"/>
  <c r="BD230" i="65"/>
  <c r="BE230" i="65" s="1"/>
  <c r="BD231" i="65"/>
  <c r="BE231" i="65" s="1"/>
  <c r="BD232" i="65"/>
  <c r="BE232" i="65" s="1"/>
  <c r="BD233" i="65"/>
  <c r="BE233" i="65" s="1"/>
  <c r="BD234" i="65"/>
  <c r="BE234" i="65" s="1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BD389" i="65"/>
  <c r="BE389" i="65" s="1"/>
  <c r="BD390" i="65"/>
  <c r="BE390" i="65" s="1"/>
  <c r="BD391" i="65"/>
  <c r="BE391" i="65" s="1"/>
  <c r="BD392" i="65"/>
  <c r="BE392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 s="1"/>
  <c r="AV224" i="65"/>
  <c r="AW224" i="65"/>
  <c r="AV225" i="65"/>
  <c r="AW225" i="65"/>
  <c r="AV226" i="65"/>
  <c r="AW226" i="65" s="1"/>
  <c r="AV227" i="65"/>
  <c r="AW227" i="65" s="1"/>
  <c r="AV228" i="65"/>
  <c r="AW228" i="65" s="1"/>
  <c r="AV229" i="65"/>
  <c r="AW229" i="65" s="1"/>
  <c r="AV230" i="65"/>
  <c r="AW230" i="65" s="1"/>
  <c r="AV231" i="65"/>
  <c r="AW231" i="65" s="1"/>
  <c r="AV232" i="65"/>
  <c r="AW232" i="65" s="1"/>
  <c r="AV233" i="65"/>
  <c r="AW233" i="65" s="1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V389" i="65"/>
  <c r="AW389" i="65" s="1"/>
  <c r="AV390" i="65"/>
  <c r="AW390" i="65" s="1"/>
  <c r="AV391" i="65"/>
  <c r="AW391" i="65" s="1"/>
  <c r="AV392" i="65"/>
  <c r="AW392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/>
  <c r="AL208" i="65"/>
  <c r="AM208" i="65"/>
  <c r="AL209" i="65"/>
  <c r="AM209" i="65"/>
  <c r="AL210" i="65"/>
  <c r="AM210" i="65"/>
  <c r="AL211" i="65"/>
  <c r="AM211" i="65"/>
  <c r="AL212" i="65"/>
  <c r="AM212" i="65"/>
  <c r="AL213" i="65"/>
  <c r="AM213" i="65"/>
  <c r="AL214" i="65"/>
  <c r="AM214" i="65"/>
  <c r="AL215" i="65"/>
  <c r="AM215" i="65"/>
  <c r="AL216" i="65"/>
  <c r="AM216" i="65"/>
  <c r="AL217" i="65"/>
  <c r="AM217" i="65"/>
  <c r="AL218" i="65"/>
  <c r="AM218" i="65"/>
  <c r="AL219" i="65"/>
  <c r="AM219" i="65"/>
  <c r="AL220" i="65"/>
  <c r="AM220" i="65"/>
  <c r="AL221" i="65"/>
  <c r="AM221" i="65"/>
  <c r="AL222" i="65"/>
  <c r="AM222" i="65"/>
  <c r="AL223" i="65"/>
  <c r="AM223" i="65"/>
  <c r="AL224" i="65"/>
  <c r="AM224" i="65"/>
  <c r="AL225" i="65"/>
  <c r="AM225" i="65" s="1"/>
  <c r="AL226" i="65"/>
  <c r="AM226" i="65"/>
  <c r="AL227" i="65"/>
  <c r="AM227" i="65"/>
  <c r="AL228" i="65"/>
  <c r="AM228" i="65"/>
  <c r="AL229" i="65"/>
  <c r="AM229" i="65"/>
  <c r="AL230" i="65"/>
  <c r="AM230" i="65"/>
  <c r="AL231" i="65"/>
  <c r="AM231" i="65"/>
  <c r="AL232" i="65"/>
  <c r="AM232" i="65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L389" i="65"/>
  <c r="AM389" i="65" s="1"/>
  <c r="AL390" i="65"/>
  <c r="AM390" i="65" s="1"/>
  <c r="AL391" i="65"/>
  <c r="AM391" i="65" s="1"/>
  <c r="AL392" i="65"/>
  <c r="AM392" i="65" s="1"/>
  <c r="AD12" i="65"/>
  <c r="AE12" i="65"/>
  <c r="AD13" i="65"/>
  <c r="AE13" i="65"/>
  <c r="AD14" i="65"/>
  <c r="AE14" i="65"/>
  <c r="AD15" i="65"/>
  <c r="AE15" i="65"/>
  <c r="AD16" i="65"/>
  <c r="AE16" i="65"/>
  <c r="AD17" i="65"/>
  <c r="AE17" i="65"/>
  <c r="AD18" i="65"/>
  <c r="AE18" i="65"/>
  <c r="AD19" i="65"/>
  <c r="AE19" i="65"/>
  <c r="AD20" i="65"/>
  <c r="AE20" i="65"/>
  <c r="AD21" i="65"/>
  <c r="AE21" i="65"/>
  <c r="AD22" i="65"/>
  <c r="AE22" i="65"/>
  <c r="AD23" i="65"/>
  <c r="AE23" i="65"/>
  <c r="AD24" i="65"/>
  <c r="AE24" i="65"/>
  <c r="AD25" i="65"/>
  <c r="AE25" i="65"/>
  <c r="AD26" i="65"/>
  <c r="AE26" i="65"/>
  <c r="AD27" i="65"/>
  <c r="AE27" i="65"/>
  <c r="AD28" i="65"/>
  <c r="AE28" i="65"/>
  <c r="AD29" i="65"/>
  <c r="AE29" i="65"/>
  <c r="AD30" i="65"/>
  <c r="AE30" i="65"/>
  <c r="AD31" i="65"/>
  <c r="AE31" i="65"/>
  <c r="AD32" i="65"/>
  <c r="AE32" i="65"/>
  <c r="AD33" i="65"/>
  <c r="AE33" i="65"/>
  <c r="AD34" i="65"/>
  <c r="AE34" i="65"/>
  <c r="AD35" i="65"/>
  <c r="AE35" i="65"/>
  <c r="AD36" i="65"/>
  <c r="AE36" i="65"/>
  <c r="AD37" i="65"/>
  <c r="AE37" i="65"/>
  <c r="AD38" i="65"/>
  <c r="AE38" i="65"/>
  <c r="AD39" i="65"/>
  <c r="AE39" i="65"/>
  <c r="AD40" i="65"/>
  <c r="AE40" i="65"/>
  <c r="AD41" i="65"/>
  <c r="AE41" i="65"/>
  <c r="AD42" i="65"/>
  <c r="AE42" i="65"/>
  <c r="AD43" i="65"/>
  <c r="AE43" i="65"/>
  <c r="AD44" i="65"/>
  <c r="AE44" i="65"/>
  <c r="AD45" i="65"/>
  <c r="AE45" i="65"/>
  <c r="AD46" i="65"/>
  <c r="AE46" i="65"/>
  <c r="AD47" i="65"/>
  <c r="AE47" i="65"/>
  <c r="AD48" i="65"/>
  <c r="AE48" i="65"/>
  <c r="AD49" i="65"/>
  <c r="AE49" i="65"/>
  <c r="AD50" i="65"/>
  <c r="AE50" i="65"/>
  <c r="AD51" i="65"/>
  <c r="AE51" i="65"/>
  <c r="AD52" i="65"/>
  <c r="AE52" i="65"/>
  <c r="AD53" i="65"/>
  <c r="AE53" i="65"/>
  <c r="AD54" i="65"/>
  <c r="AE54" i="65"/>
  <c r="AD55" i="65"/>
  <c r="AE55" i="65"/>
  <c r="AD56" i="65"/>
  <c r="AE56" i="65"/>
  <c r="AD57" i="65"/>
  <c r="AE57" i="65"/>
  <c r="AD58" i="65"/>
  <c r="AE58" i="65"/>
  <c r="AD59" i="65"/>
  <c r="AE59" i="65"/>
  <c r="AD60" i="65"/>
  <c r="AE60" i="65"/>
  <c r="AD61" i="65"/>
  <c r="AE61" i="65"/>
  <c r="AD62" i="65"/>
  <c r="AE62" i="65"/>
  <c r="AD63" i="65"/>
  <c r="AE63" i="65"/>
  <c r="AD64" i="65"/>
  <c r="AE64" i="65"/>
  <c r="AD65" i="65"/>
  <c r="AE65" i="65"/>
  <c r="AD66" i="65"/>
  <c r="AE66" i="65"/>
  <c r="AD67" i="65"/>
  <c r="AE67" i="65"/>
  <c r="AD68" i="65"/>
  <c r="AE68" i="65"/>
  <c r="AD69" i="65"/>
  <c r="AE69" i="65"/>
  <c r="AD70" i="65"/>
  <c r="AE70" i="65"/>
  <c r="AD71" i="65"/>
  <c r="AE71" i="65"/>
  <c r="AD72" i="65"/>
  <c r="AE72" i="65"/>
  <c r="AD73" i="65"/>
  <c r="AE73" i="65"/>
  <c r="AD74" i="65"/>
  <c r="AE74" i="65"/>
  <c r="AD75" i="65"/>
  <c r="AE75" i="65"/>
  <c r="AD76" i="65"/>
  <c r="AE76" i="65"/>
  <c r="AD77" i="65"/>
  <c r="AE77" i="65"/>
  <c r="AD78" i="65"/>
  <c r="AE78" i="65"/>
  <c r="AD79" i="65"/>
  <c r="AE79" i="65"/>
  <c r="AD80" i="65"/>
  <c r="AE80" i="65"/>
  <c r="AD81" i="65"/>
  <c r="AE81" i="65"/>
  <c r="AD82" i="65"/>
  <c r="AE82" i="65"/>
  <c r="AD83" i="65"/>
  <c r="AE83" i="65"/>
  <c r="AD84" i="65"/>
  <c r="AE84" i="65"/>
  <c r="AD85" i="65"/>
  <c r="AE85" i="65"/>
  <c r="AD86" i="65"/>
  <c r="AE86" i="65"/>
  <c r="AD87" i="65"/>
  <c r="AE87" i="65"/>
  <c r="AD88" i="65"/>
  <c r="AE88" i="65"/>
  <c r="AD89" i="65"/>
  <c r="AE89" i="65"/>
  <c r="AD90" i="65"/>
  <c r="AE90" i="65"/>
  <c r="AD91" i="65"/>
  <c r="AE91" i="65"/>
  <c r="AD92" i="65"/>
  <c r="AE92" i="65"/>
  <c r="AD93" i="65"/>
  <c r="AE93" i="65"/>
  <c r="AD94" i="65"/>
  <c r="AE94" i="65"/>
  <c r="AD95" i="65"/>
  <c r="AE95" i="65"/>
  <c r="AD96" i="65"/>
  <c r="AE96" i="65"/>
  <c r="AD97" i="65"/>
  <c r="AE97" i="65"/>
  <c r="AD98" i="65"/>
  <c r="AE98" i="65"/>
  <c r="AD99" i="65"/>
  <c r="AE99" i="65"/>
  <c r="AD100" i="65"/>
  <c r="AE100" i="65"/>
  <c r="AD101" i="65"/>
  <c r="AE101" i="65"/>
  <c r="AD102" i="65"/>
  <c r="AE102" i="65"/>
  <c r="AD103" i="65"/>
  <c r="AE103" i="65"/>
  <c r="AD104" i="65"/>
  <c r="AE104" i="65"/>
  <c r="AD105" i="65"/>
  <c r="AE105" i="65"/>
  <c r="AD106" i="65"/>
  <c r="AE106" i="65"/>
  <c r="AD107" i="65"/>
  <c r="AE107" i="65"/>
  <c r="AD108" i="65"/>
  <c r="AE108" i="65"/>
  <c r="AD109" i="65"/>
  <c r="AE109" i="65"/>
  <c r="AD110" i="65"/>
  <c r="AE110" i="65"/>
  <c r="AD111" i="65"/>
  <c r="AE111" i="65"/>
  <c r="AD112" i="65"/>
  <c r="AE112" i="65"/>
  <c r="AD113" i="65"/>
  <c r="AE113" i="65"/>
  <c r="AD114" i="65"/>
  <c r="AE114" i="65"/>
  <c r="AD115" i="65"/>
  <c r="AE115" i="65"/>
  <c r="AD116" i="65"/>
  <c r="AE116" i="65"/>
  <c r="AD117" i="65"/>
  <c r="AE117" i="65"/>
  <c r="AD118" i="65"/>
  <c r="AE118" i="65"/>
  <c r="AD119" i="65"/>
  <c r="AE119" i="65"/>
  <c r="AD120" i="65"/>
  <c r="AE120" i="65"/>
  <c r="AD121" i="65"/>
  <c r="AE121" i="65"/>
  <c r="AD122" i="65"/>
  <c r="AE122" i="65"/>
  <c r="AD123" i="65"/>
  <c r="AE123" i="65"/>
  <c r="AD124" i="65"/>
  <c r="AE124" i="65"/>
  <c r="AD125" i="65"/>
  <c r="AE125" i="65"/>
  <c r="AD126" i="65"/>
  <c r="AE126" i="65"/>
  <c r="AD127" i="65"/>
  <c r="AE127" i="65"/>
  <c r="AD128" i="65"/>
  <c r="AE128" i="65"/>
  <c r="AD129" i="65"/>
  <c r="AE129" i="65"/>
  <c r="AD130" i="65"/>
  <c r="AE130" i="65"/>
  <c r="AD131" i="65"/>
  <c r="AE131" i="65"/>
  <c r="AD132" i="65"/>
  <c r="AE132" i="65"/>
  <c r="AD133" i="65"/>
  <c r="AE133" i="65"/>
  <c r="AD134" i="65"/>
  <c r="AE134" i="65"/>
  <c r="AD135" i="65"/>
  <c r="AE135" i="65"/>
  <c r="AD136" i="65"/>
  <c r="AE136" i="65"/>
  <c r="AD137" i="65"/>
  <c r="AE137" i="65"/>
  <c r="AD138" i="65"/>
  <c r="AE138" i="65"/>
  <c r="AD139" i="65"/>
  <c r="AE139" i="65"/>
  <c r="AD140" i="65"/>
  <c r="AE140" i="65"/>
  <c r="AD141" i="65"/>
  <c r="AE141" i="65"/>
  <c r="AD142" i="65"/>
  <c r="AE142" i="65"/>
  <c r="AD143" i="65"/>
  <c r="AE143" i="65"/>
  <c r="AD144" i="65"/>
  <c r="AE144" i="65"/>
  <c r="AD145" i="65"/>
  <c r="AE145" i="65"/>
  <c r="AD146" i="65"/>
  <c r="AE146" i="65"/>
  <c r="AD147" i="65"/>
  <c r="AE147" i="65"/>
  <c r="AD148" i="65"/>
  <c r="AE148" i="65"/>
  <c r="AD149" i="65"/>
  <c r="AE149" i="65"/>
  <c r="AD150" i="65"/>
  <c r="AE150" i="65"/>
  <c r="AD151" i="65"/>
  <c r="AE151" i="65"/>
  <c r="AD152" i="65"/>
  <c r="AE152" i="65"/>
  <c r="AD153" i="65"/>
  <c r="AE153" i="65"/>
  <c r="AD154" i="65"/>
  <c r="AE154" i="65"/>
  <c r="AD155" i="65"/>
  <c r="AE155" i="65"/>
  <c r="AD156" i="65"/>
  <c r="AE156" i="65"/>
  <c r="AD157" i="65"/>
  <c r="AE157" i="65"/>
  <c r="AD158" i="65"/>
  <c r="AE158" i="65"/>
  <c r="AD159" i="65"/>
  <c r="AE159" i="65"/>
  <c r="AD160" i="65"/>
  <c r="AE160" i="65"/>
  <c r="AD161" i="65"/>
  <c r="AE161" i="65"/>
  <c r="AD162" i="65"/>
  <c r="AE162" i="65"/>
  <c r="AD163" i="65"/>
  <c r="AE163" i="65"/>
  <c r="AD164" i="65"/>
  <c r="AE164" i="65"/>
  <c r="AD165" i="65"/>
  <c r="AE165" i="65"/>
  <c r="AD166" i="65"/>
  <c r="AE166" i="65"/>
  <c r="AD167" i="65"/>
  <c r="AE167" i="65"/>
  <c r="AD168" i="65"/>
  <c r="AE168" i="65"/>
  <c r="AD169" i="65"/>
  <c r="AE169" i="65"/>
  <c r="AD170" i="65"/>
  <c r="AE170" i="65"/>
  <c r="AD171" i="65"/>
  <c r="AE171" i="65"/>
  <c r="AD172" i="65"/>
  <c r="AE172" i="65"/>
  <c r="AD173" i="65"/>
  <c r="AE173" i="65"/>
  <c r="AD174" i="65"/>
  <c r="AE174" i="65"/>
  <c r="AD175" i="65"/>
  <c r="AE175" i="65"/>
  <c r="AD176" i="65"/>
  <c r="AE176" i="65"/>
  <c r="AD177" i="65"/>
  <c r="AE177" i="65"/>
  <c r="AD178" i="65"/>
  <c r="AE178" i="65"/>
  <c r="AD179" i="65"/>
  <c r="AE179" i="65"/>
  <c r="AD180" i="65"/>
  <c r="AE180" i="65"/>
  <c r="AD181" i="65"/>
  <c r="AE181" i="65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/>
  <c r="AD232" i="65"/>
  <c r="AE232" i="65"/>
  <c r="AD233" i="65"/>
  <c r="AE233" i="65"/>
  <c r="AD234" i="65"/>
  <c r="AE234" i="65"/>
  <c r="AD235" i="65"/>
  <c r="AE235" i="65"/>
  <c r="AD236" i="65"/>
  <c r="AE236" i="65"/>
  <c r="AD237" i="65"/>
  <c r="AE237" i="65"/>
  <c r="AD238" i="65"/>
  <c r="AE238" i="65"/>
  <c r="AD239" i="65"/>
  <c r="AE239" i="65"/>
  <c r="AD240" i="65"/>
  <c r="AE240" i="65"/>
  <c r="AD241" i="65"/>
  <c r="AE241" i="65"/>
  <c r="AD242" i="65"/>
  <c r="AE242" i="65"/>
  <c r="AD243" i="65"/>
  <c r="AE243" i="65"/>
  <c r="AD244" i="65"/>
  <c r="AE244" i="65"/>
  <c r="AD245" i="65"/>
  <c r="AE245" i="65"/>
  <c r="AD246" i="65"/>
  <c r="AE246" i="65"/>
  <c r="AD247" i="65"/>
  <c r="AE247" i="65"/>
  <c r="AD248" i="65"/>
  <c r="AE248" i="65"/>
  <c r="AD249" i="65"/>
  <c r="AE249" i="65"/>
  <c r="AD250" i="65"/>
  <c r="AE250" i="65"/>
  <c r="AD251" i="65"/>
  <c r="AE251" i="65"/>
  <c r="AD252" i="65"/>
  <c r="AE252" i="65"/>
  <c r="AD253" i="65"/>
  <c r="AE253" i="65"/>
  <c r="AD254" i="65"/>
  <c r="AE254" i="65"/>
  <c r="AD255" i="65"/>
  <c r="AE255" i="65"/>
  <c r="AD256" i="65"/>
  <c r="AE256" i="65"/>
  <c r="AD257" i="65"/>
  <c r="AE257" i="65"/>
  <c r="AD258" i="65"/>
  <c r="AE258" i="65"/>
  <c r="AD259" i="65"/>
  <c r="AE259" i="65"/>
  <c r="AD260" i="65"/>
  <c r="AE260" i="65"/>
  <c r="AD261" i="65"/>
  <c r="AE261" i="65"/>
  <c r="AD262" i="65"/>
  <c r="AE262" i="65"/>
  <c r="AD263" i="65"/>
  <c r="AE263" i="65"/>
  <c r="AD264" i="65"/>
  <c r="AE264" i="65"/>
  <c r="AD265" i="65"/>
  <c r="AE265" i="65"/>
  <c r="AD266" i="65"/>
  <c r="AE266" i="65"/>
  <c r="AD267" i="65"/>
  <c r="AE267" i="65"/>
  <c r="AD268" i="65"/>
  <c r="AE268" i="65"/>
  <c r="AD269" i="65"/>
  <c r="AE269" i="65"/>
  <c r="AD270" i="65"/>
  <c r="AE270" i="65"/>
  <c r="AD271" i="65"/>
  <c r="AE271" i="65"/>
  <c r="AD272" i="65"/>
  <c r="AE272" i="65"/>
  <c r="AD273" i="65"/>
  <c r="AE273" i="65"/>
  <c r="AD274" i="65"/>
  <c r="AE274" i="65"/>
  <c r="AD275" i="65"/>
  <c r="AE275" i="65"/>
  <c r="AD276" i="65"/>
  <c r="AE276" i="65"/>
  <c r="AD277" i="65"/>
  <c r="AE277" i="65"/>
  <c r="AD278" i="65"/>
  <c r="AE278" i="65"/>
  <c r="AD279" i="65"/>
  <c r="AE279" i="65"/>
  <c r="AD280" i="65"/>
  <c r="AE280" i="65"/>
  <c r="AD281" i="65"/>
  <c r="AE281" i="65"/>
  <c r="AD282" i="65"/>
  <c r="AE282" i="65"/>
  <c r="AD283" i="65"/>
  <c r="AE283" i="65"/>
  <c r="AD284" i="65"/>
  <c r="AE284" i="65"/>
  <c r="AD285" i="65"/>
  <c r="AE285" i="65"/>
  <c r="AD286" i="65"/>
  <c r="AE286" i="65"/>
  <c r="AD287" i="65"/>
  <c r="AE287" i="65"/>
  <c r="AD288" i="65"/>
  <c r="AE288" i="65"/>
  <c r="AD289" i="65"/>
  <c r="AE289" i="65"/>
  <c r="AD290" i="65"/>
  <c r="AE290" i="65"/>
  <c r="AD291" i="65"/>
  <c r="AE291" i="65"/>
  <c r="AD292" i="65"/>
  <c r="AE292" i="65"/>
  <c r="AD293" i="65"/>
  <c r="AE293" i="65"/>
  <c r="AD294" i="65"/>
  <c r="AE294" i="65"/>
  <c r="AD295" i="65"/>
  <c r="AE295" i="65"/>
  <c r="AD296" i="65"/>
  <c r="AE296" i="65"/>
  <c r="AD297" i="65"/>
  <c r="AE297" i="65"/>
  <c r="AD298" i="65"/>
  <c r="AE298" i="65"/>
  <c r="AD299" i="65"/>
  <c r="AE299" i="65"/>
  <c r="AD300" i="65"/>
  <c r="AE300" i="65"/>
  <c r="AD301" i="65"/>
  <c r="AE301" i="65"/>
  <c r="AD302" i="65"/>
  <c r="AE302" i="65"/>
  <c r="AD303" i="65"/>
  <c r="AE303" i="65"/>
  <c r="AD304" i="65"/>
  <c r="AE304" i="65"/>
  <c r="AD305" i="65"/>
  <c r="AE305" i="65"/>
  <c r="AD306" i="65"/>
  <c r="AE306" i="65"/>
  <c r="AD307" i="65"/>
  <c r="AE307" i="65"/>
  <c r="AD308" i="65"/>
  <c r="AE308" i="65"/>
  <c r="AD309" i="65"/>
  <c r="AE309" i="65"/>
  <c r="AD310" i="65"/>
  <c r="AE310" i="65"/>
  <c r="AD311" i="65"/>
  <c r="AE311" i="65"/>
  <c r="AD312" i="65"/>
  <c r="AE312" i="65"/>
  <c r="AD313" i="65"/>
  <c r="AE313" i="65"/>
  <c r="AD314" i="65"/>
  <c r="AE314" i="65"/>
  <c r="AD315" i="65"/>
  <c r="AE315" i="65"/>
  <c r="AD316" i="65"/>
  <c r="AE316" i="65"/>
  <c r="AD317" i="65"/>
  <c r="AE317" i="65"/>
  <c r="AD318" i="65"/>
  <c r="AE318" i="65"/>
  <c r="AD319" i="65"/>
  <c r="AE319" i="65"/>
  <c r="AD320" i="65"/>
  <c r="AE320" i="65"/>
  <c r="AD321" i="65"/>
  <c r="AE321" i="65"/>
  <c r="AD322" i="65"/>
  <c r="AE322" i="65"/>
  <c r="AD323" i="65"/>
  <c r="AE323" i="65"/>
  <c r="AD324" i="65"/>
  <c r="AE324" i="65"/>
  <c r="AD325" i="65"/>
  <c r="AE325" i="65"/>
  <c r="AD326" i="65"/>
  <c r="AE326" i="65"/>
  <c r="AD327" i="65"/>
  <c r="AE327" i="65"/>
  <c r="AD328" i="65"/>
  <c r="AE328" i="65"/>
  <c r="AD329" i="65"/>
  <c r="AE329" i="65"/>
  <c r="AD330" i="65"/>
  <c r="AE330" i="65"/>
  <c r="AD331" i="65"/>
  <c r="AE331" i="65"/>
  <c r="AD332" i="65"/>
  <c r="AE332" i="65"/>
  <c r="AD333" i="65"/>
  <c r="AE333" i="65"/>
  <c r="AD334" i="65"/>
  <c r="AE334" i="65"/>
  <c r="AD335" i="65"/>
  <c r="AE335" i="65"/>
  <c r="AD336" i="65"/>
  <c r="AE336" i="65"/>
  <c r="AD337" i="65"/>
  <c r="AE337" i="65"/>
  <c r="AD338" i="65"/>
  <c r="AE338" i="65"/>
  <c r="AD339" i="65"/>
  <c r="AE339" i="65"/>
  <c r="AD340" i="65"/>
  <c r="AE340" i="65"/>
  <c r="AD341" i="65"/>
  <c r="AE341" i="65"/>
  <c r="AD342" i="65"/>
  <c r="AE342" i="65"/>
  <c r="AD343" i="65"/>
  <c r="AE343" i="65"/>
  <c r="AD344" i="65"/>
  <c r="AE344" i="65"/>
  <c r="AD345" i="65"/>
  <c r="AE345" i="65"/>
  <c r="AD346" i="65"/>
  <c r="AE346" i="65"/>
  <c r="AD347" i="65"/>
  <c r="AE347" i="65"/>
  <c r="AD348" i="65"/>
  <c r="AE348" i="65"/>
  <c r="AD349" i="65"/>
  <c r="AE349" i="65"/>
  <c r="AD350" i="65"/>
  <c r="AE350" i="65"/>
  <c r="AD351" i="65"/>
  <c r="AE351" i="65"/>
  <c r="AD352" i="65"/>
  <c r="AE352" i="65"/>
  <c r="AD353" i="65"/>
  <c r="AE353" i="65"/>
  <c r="AD354" i="65"/>
  <c r="AE354" i="65"/>
  <c r="AD355" i="65"/>
  <c r="AE355" i="65"/>
  <c r="AD356" i="65"/>
  <c r="AE356" i="65"/>
  <c r="AD357" i="65"/>
  <c r="AE357" i="65"/>
  <c r="AD358" i="65"/>
  <c r="AE358" i="65"/>
  <c r="AD359" i="65"/>
  <c r="AE359" i="65"/>
  <c r="AD360" i="65"/>
  <c r="AE360" i="65"/>
  <c r="AD361" i="65"/>
  <c r="AE361" i="65"/>
  <c r="AD362" i="65"/>
  <c r="AE362" i="65"/>
  <c r="AD363" i="65"/>
  <c r="AE363" i="65"/>
  <c r="AD364" i="65"/>
  <c r="AE364" i="65"/>
  <c r="AD365" i="65"/>
  <c r="AE365" i="65"/>
  <c r="AD366" i="65"/>
  <c r="AE366" i="65"/>
  <c r="AD367" i="65"/>
  <c r="AE367" i="65"/>
  <c r="AD368" i="65"/>
  <c r="AE368" i="65"/>
  <c r="AD369" i="65"/>
  <c r="AE369" i="65"/>
  <c r="AD370" i="65"/>
  <c r="AE370" i="65"/>
  <c r="AD371" i="65"/>
  <c r="AE371" i="65"/>
  <c r="AD372" i="65"/>
  <c r="AE372" i="65"/>
  <c r="AD373" i="65"/>
  <c r="AE373" i="65"/>
  <c r="AD374" i="65"/>
  <c r="AE374" i="65"/>
  <c r="AD375" i="65"/>
  <c r="AE375" i="65"/>
  <c r="AD376" i="65"/>
  <c r="AE376" i="65"/>
  <c r="AD377" i="65"/>
  <c r="AE377" i="65"/>
  <c r="AD378" i="65"/>
  <c r="AE378" i="65"/>
  <c r="AD379" i="65"/>
  <c r="AE379" i="65"/>
  <c r="AD380" i="65"/>
  <c r="AE380" i="65"/>
  <c r="AD381" i="65"/>
  <c r="AE381" i="65"/>
  <c r="AD382" i="65"/>
  <c r="AE382" i="65"/>
  <c r="AD383" i="65"/>
  <c r="AE383" i="65"/>
  <c r="AD384" i="65"/>
  <c r="AE384" i="65"/>
  <c r="AD385" i="65"/>
  <c r="AE385" i="65"/>
  <c r="AD386" i="65"/>
  <c r="AE386" i="65"/>
  <c r="AD387" i="65"/>
  <c r="AE387" i="65"/>
  <c r="AD388" i="65"/>
  <c r="AE388" i="65"/>
  <c r="AD389" i="65"/>
  <c r="AE389" i="65"/>
  <c r="AD390" i="65"/>
  <c r="AE390" i="65"/>
  <c r="AD391" i="65"/>
  <c r="AE391" i="65"/>
  <c r="AD392" i="65"/>
  <c r="AE392" i="65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/>
  <c r="T206" i="65"/>
  <c r="U206" i="65"/>
  <c r="T207" i="65"/>
  <c r="U207" i="65"/>
  <c r="T208" i="65"/>
  <c r="U208" i="65"/>
  <c r="T209" i="65"/>
  <c r="U209" i="65"/>
  <c r="T210" i="65"/>
  <c r="U210" i="65"/>
  <c r="T211" i="65"/>
  <c r="U211" i="65"/>
  <c r="T212" i="65"/>
  <c r="U212" i="65"/>
  <c r="T213" i="65"/>
  <c r="U213" i="65"/>
  <c r="T214" i="65"/>
  <c r="U214" i="65"/>
  <c r="T215" i="65"/>
  <c r="U215" i="65"/>
  <c r="T216" i="65"/>
  <c r="U216" i="65"/>
  <c r="T217" i="65"/>
  <c r="U217" i="65"/>
  <c r="T218" i="65"/>
  <c r="U218" i="65"/>
  <c r="T219" i="65"/>
  <c r="U219" i="65"/>
  <c r="T220" i="65"/>
  <c r="U220" i="65"/>
  <c r="T221" i="65"/>
  <c r="U221" i="65"/>
  <c r="T222" i="65"/>
  <c r="U222" i="65"/>
  <c r="T223" i="65"/>
  <c r="U223" i="65"/>
  <c r="T224" i="65"/>
  <c r="U224" i="65"/>
  <c r="T225" i="65"/>
  <c r="U225" i="65"/>
  <c r="T226" i="65"/>
  <c r="U226" i="65"/>
  <c r="T227" i="65"/>
  <c r="U227" i="65" s="1"/>
  <c r="T228" i="65"/>
  <c r="U228" i="65"/>
  <c r="T229" i="65"/>
  <c r="U229" i="65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T389" i="65"/>
  <c r="U389" i="65" s="1"/>
  <c r="T390" i="65"/>
  <c r="U390" i="65" s="1"/>
  <c r="T391" i="65"/>
  <c r="U391" i="65" s="1"/>
  <c r="T392" i="65"/>
  <c r="U392" i="65" s="1"/>
  <c r="L12" i="65"/>
  <c r="M12" i="65"/>
  <c r="L13" i="65"/>
  <c r="M13" i="65"/>
  <c r="L14" i="65"/>
  <c r="M14" i="65"/>
  <c r="L15" i="65"/>
  <c r="M15" i="65"/>
  <c r="L16" i="65"/>
  <c r="M16" i="65"/>
  <c r="L17" i="65"/>
  <c r="M17" i="65"/>
  <c r="L18" i="65"/>
  <c r="M18" i="65"/>
  <c r="L19" i="65"/>
  <c r="M19" i="65"/>
  <c r="L20" i="65"/>
  <c r="M20" i="65"/>
  <c r="L21" i="65"/>
  <c r="M21" i="65"/>
  <c r="L22" i="65"/>
  <c r="M22" i="65"/>
  <c r="L23" i="65"/>
  <c r="M23" i="65"/>
  <c r="L24" i="65"/>
  <c r="M24" i="65"/>
  <c r="L25" i="65"/>
  <c r="M25" i="65"/>
  <c r="L26" i="65"/>
  <c r="M26" i="65"/>
  <c r="L27" i="65"/>
  <c r="M27" i="65"/>
  <c r="L28" i="65"/>
  <c r="M28" i="65"/>
  <c r="L29" i="65"/>
  <c r="M29" i="65"/>
  <c r="L30" i="65"/>
  <c r="M30" i="65"/>
  <c r="L31" i="65"/>
  <c r="M31" i="65"/>
  <c r="L32" i="65"/>
  <c r="M32" i="65"/>
  <c r="L33" i="65"/>
  <c r="M33" i="65"/>
  <c r="L34" i="65"/>
  <c r="M34" i="65"/>
  <c r="L35" i="65"/>
  <c r="M35" i="65"/>
  <c r="L36" i="65"/>
  <c r="M36" i="65"/>
  <c r="L37" i="65"/>
  <c r="M37" i="65"/>
  <c r="L38" i="65"/>
  <c r="M38" i="65"/>
  <c r="L39" i="65"/>
  <c r="M39" i="65"/>
  <c r="L40" i="65"/>
  <c r="M40" i="65"/>
  <c r="L41" i="65"/>
  <c r="M41" i="65"/>
  <c r="L42" i="65"/>
  <c r="M42" i="65"/>
  <c r="L43" i="65"/>
  <c r="M43" i="65"/>
  <c r="L44" i="65"/>
  <c r="M44" i="65"/>
  <c r="L45" i="65"/>
  <c r="M45" i="65"/>
  <c r="L46" i="65"/>
  <c r="M46" i="65"/>
  <c r="L47" i="65"/>
  <c r="M47" i="65"/>
  <c r="L48" i="65"/>
  <c r="M48" i="65"/>
  <c r="L49" i="65"/>
  <c r="M49" i="65"/>
  <c r="L50" i="65"/>
  <c r="M50" i="65"/>
  <c r="L51" i="65"/>
  <c r="M51" i="65"/>
  <c r="L52" i="65"/>
  <c r="M52" i="65"/>
  <c r="L53" i="65"/>
  <c r="M53" i="65"/>
  <c r="L54" i="65"/>
  <c r="M54" i="65"/>
  <c r="L55" i="65"/>
  <c r="M55" i="65"/>
  <c r="L56" i="65"/>
  <c r="M56" i="65"/>
  <c r="L57" i="65"/>
  <c r="M57" i="65"/>
  <c r="L58" i="65"/>
  <c r="M58" i="65"/>
  <c r="L59" i="65"/>
  <c r="M59" i="65"/>
  <c r="L60" i="65"/>
  <c r="M60" i="65"/>
  <c r="L61" i="65"/>
  <c r="M61" i="65"/>
  <c r="L62" i="65"/>
  <c r="M62" i="65"/>
  <c r="L63" i="65"/>
  <c r="M63" i="65"/>
  <c r="L64" i="65"/>
  <c r="M64" i="65"/>
  <c r="L65" i="65"/>
  <c r="M65" i="65"/>
  <c r="L66" i="65"/>
  <c r="M66" i="65"/>
  <c r="L67" i="65"/>
  <c r="M67" i="65"/>
  <c r="L68" i="65"/>
  <c r="M68" i="65"/>
  <c r="L69" i="65"/>
  <c r="M69" i="65"/>
  <c r="L70" i="65"/>
  <c r="M70" i="65"/>
  <c r="L71" i="65"/>
  <c r="M71" i="65"/>
  <c r="L72" i="65"/>
  <c r="M72" i="65"/>
  <c r="L73" i="65"/>
  <c r="M73" i="65"/>
  <c r="L74" i="65"/>
  <c r="M74" i="65"/>
  <c r="L75" i="65"/>
  <c r="M75" i="65"/>
  <c r="L76" i="65"/>
  <c r="M76" i="65"/>
  <c r="L77" i="65"/>
  <c r="M77" i="65"/>
  <c r="L78" i="65"/>
  <c r="M78" i="65"/>
  <c r="L79" i="65"/>
  <c r="M79" i="65"/>
  <c r="L80" i="65"/>
  <c r="M80" i="65"/>
  <c r="L81" i="65"/>
  <c r="M81" i="65"/>
  <c r="L82" i="65"/>
  <c r="M82" i="65"/>
  <c r="L83" i="65"/>
  <c r="M83" i="65"/>
  <c r="L84" i="65"/>
  <c r="M84" i="65"/>
  <c r="L85" i="65"/>
  <c r="M85" i="65"/>
  <c r="L86" i="65"/>
  <c r="M86" i="65"/>
  <c r="L87" i="65"/>
  <c r="M87" i="65"/>
  <c r="L88" i="65"/>
  <c r="M88" i="65"/>
  <c r="L89" i="65"/>
  <c r="M89" i="65"/>
  <c r="L90" i="65"/>
  <c r="M90" i="65"/>
  <c r="L91" i="65"/>
  <c r="M91" i="65"/>
  <c r="L92" i="65"/>
  <c r="M92" i="65"/>
  <c r="L93" i="65"/>
  <c r="M93" i="65"/>
  <c r="L94" i="65"/>
  <c r="M94" i="65"/>
  <c r="L95" i="65"/>
  <c r="M95" i="65"/>
  <c r="L96" i="65"/>
  <c r="M96" i="65"/>
  <c r="L97" i="65"/>
  <c r="M97" i="65"/>
  <c r="L98" i="65"/>
  <c r="M98" i="65"/>
  <c r="L99" i="65"/>
  <c r="M99" i="65"/>
  <c r="L100" i="65"/>
  <c r="M100" i="65"/>
  <c r="L101" i="65"/>
  <c r="M101" i="65"/>
  <c r="L102" i="65"/>
  <c r="M102" i="65"/>
  <c r="L103" i="65"/>
  <c r="M103" i="65"/>
  <c r="L104" i="65"/>
  <c r="M104" i="65"/>
  <c r="L105" i="65"/>
  <c r="M105" i="65"/>
  <c r="L106" i="65"/>
  <c r="M106" i="65"/>
  <c r="L107" i="65"/>
  <c r="M107" i="65"/>
  <c r="L108" i="65"/>
  <c r="M108" i="65"/>
  <c r="L109" i="65"/>
  <c r="M109" i="65"/>
  <c r="L110" i="65"/>
  <c r="M110" i="65"/>
  <c r="L111" i="65"/>
  <c r="M111" i="65"/>
  <c r="L112" i="65"/>
  <c r="M112" i="65"/>
  <c r="L113" i="65"/>
  <c r="M113" i="65"/>
  <c r="L114" i="65"/>
  <c r="M114" i="65"/>
  <c r="L115" i="65"/>
  <c r="M115" i="65"/>
  <c r="L116" i="65"/>
  <c r="M116" i="65"/>
  <c r="L117" i="65"/>
  <c r="M117" i="65"/>
  <c r="L118" i="65"/>
  <c r="M118" i="65"/>
  <c r="L119" i="65"/>
  <c r="M119" i="65"/>
  <c r="L120" i="65"/>
  <c r="M120" i="65"/>
  <c r="L121" i="65"/>
  <c r="M121" i="65"/>
  <c r="L122" i="65"/>
  <c r="M122" i="65"/>
  <c r="L123" i="65"/>
  <c r="M123" i="65"/>
  <c r="L124" i="65"/>
  <c r="M124" i="65"/>
  <c r="L125" i="65"/>
  <c r="M125" i="65"/>
  <c r="L126" i="65"/>
  <c r="M126" i="65"/>
  <c r="L127" i="65"/>
  <c r="M127" i="65"/>
  <c r="L128" i="65"/>
  <c r="M128" i="65"/>
  <c r="L129" i="65"/>
  <c r="M129" i="65"/>
  <c r="L130" i="65"/>
  <c r="M130" i="65"/>
  <c r="L131" i="65"/>
  <c r="M131" i="65"/>
  <c r="L132" i="65"/>
  <c r="M132" i="65"/>
  <c r="L133" i="65"/>
  <c r="M133" i="65"/>
  <c r="L134" i="65"/>
  <c r="M134" i="65"/>
  <c r="L135" i="65"/>
  <c r="M135" i="65"/>
  <c r="L136" i="65"/>
  <c r="M136" i="65"/>
  <c r="L137" i="65"/>
  <c r="M137" i="65"/>
  <c r="L138" i="65"/>
  <c r="M138" i="65"/>
  <c r="L139" i="65"/>
  <c r="M139" i="65"/>
  <c r="L140" i="65"/>
  <c r="M140" i="65"/>
  <c r="L141" i="65"/>
  <c r="M141" i="65"/>
  <c r="L142" i="65"/>
  <c r="M142" i="65"/>
  <c r="L143" i="65"/>
  <c r="M143" i="65"/>
  <c r="L144" i="65"/>
  <c r="M144" i="65"/>
  <c r="L145" i="65"/>
  <c r="M145" i="65"/>
  <c r="L146" i="65"/>
  <c r="M146" i="65"/>
  <c r="L147" i="65"/>
  <c r="M147" i="65"/>
  <c r="L148" i="65"/>
  <c r="M148" i="65"/>
  <c r="L149" i="65"/>
  <c r="M149" i="65"/>
  <c r="L150" i="65"/>
  <c r="M150" i="65"/>
  <c r="L151" i="65"/>
  <c r="M151" i="65"/>
  <c r="L152" i="65"/>
  <c r="M152" i="65"/>
  <c r="L153" i="65"/>
  <c r="M153" i="65"/>
  <c r="L154" i="65"/>
  <c r="M154" i="65"/>
  <c r="L155" i="65"/>
  <c r="M155" i="65"/>
  <c r="L156" i="65"/>
  <c r="M156" i="65"/>
  <c r="L157" i="65"/>
  <c r="M157" i="65"/>
  <c r="L158" i="65"/>
  <c r="M158" i="65"/>
  <c r="L159" i="65"/>
  <c r="M159" i="65"/>
  <c r="L160" i="65"/>
  <c r="M160" i="65"/>
  <c r="L161" i="65"/>
  <c r="M161" i="65"/>
  <c r="L162" i="65"/>
  <c r="M162" i="65"/>
  <c r="L163" i="65"/>
  <c r="M163" i="65"/>
  <c r="L164" i="65"/>
  <c r="M164" i="65"/>
  <c r="L165" i="65"/>
  <c r="M165" i="65"/>
  <c r="L166" i="65"/>
  <c r="M166" i="65"/>
  <c r="L167" i="65"/>
  <c r="M167" i="65"/>
  <c r="L168" i="65"/>
  <c r="M168" i="65"/>
  <c r="L169" i="65"/>
  <c r="M169" i="65"/>
  <c r="L170" i="65"/>
  <c r="M170" i="65"/>
  <c r="L171" i="65"/>
  <c r="M171" i="65"/>
  <c r="L172" i="65"/>
  <c r="M172" i="65"/>
  <c r="L173" i="65"/>
  <c r="M173" i="65"/>
  <c r="L174" i="65"/>
  <c r="M174" i="65"/>
  <c r="L175" i="65"/>
  <c r="M175" i="65"/>
  <c r="L176" i="65"/>
  <c r="M176" i="65"/>
  <c r="L177" i="65"/>
  <c r="M177" i="65"/>
  <c r="L178" i="65"/>
  <c r="M178" i="65"/>
  <c r="L179" i="65"/>
  <c r="M179" i="65"/>
  <c r="L180" i="65"/>
  <c r="M180" i="65"/>
  <c r="L181" i="65"/>
  <c r="M181" i="65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/>
  <c r="L207" i="65"/>
  <c r="M207" i="65"/>
  <c r="L208" i="65"/>
  <c r="M208" i="65"/>
  <c r="L209" i="65"/>
  <c r="M209" i="65"/>
  <c r="L210" i="65"/>
  <c r="M210" i="65"/>
  <c r="L211" i="65"/>
  <c r="M211" i="65"/>
  <c r="L212" i="65"/>
  <c r="M212" i="65"/>
  <c r="L213" i="65"/>
  <c r="M213" i="65"/>
  <c r="L214" i="65"/>
  <c r="M214" i="65"/>
  <c r="L215" i="65"/>
  <c r="M215" i="65"/>
  <c r="L216" i="65"/>
  <c r="M216" i="65"/>
  <c r="L217" i="65"/>
  <c r="M217" i="65"/>
  <c r="L218" i="65"/>
  <c r="M218" i="65"/>
  <c r="L219" i="65"/>
  <c r="M219" i="65"/>
  <c r="L220" i="65"/>
  <c r="M220" i="65"/>
  <c r="L221" i="65"/>
  <c r="M221" i="65"/>
  <c r="L222" i="65"/>
  <c r="M222" i="65"/>
  <c r="L223" i="65"/>
  <c r="M223" i="65"/>
  <c r="L224" i="65"/>
  <c r="M224" i="65"/>
  <c r="L225" i="65"/>
  <c r="M225" i="65"/>
  <c r="L226" i="65"/>
  <c r="M226" i="65"/>
  <c r="L227" i="65"/>
  <c r="M227" i="65"/>
  <c r="L228" i="65"/>
  <c r="M228" i="65"/>
  <c r="L229" i="65"/>
  <c r="M229" i="65"/>
  <c r="L230" i="65"/>
  <c r="M230" i="65"/>
  <c r="L231" i="65"/>
  <c r="M231" i="65"/>
  <c r="L232" i="65"/>
  <c r="M232" i="65"/>
  <c r="L233" i="65"/>
  <c r="M233" i="65"/>
  <c r="L234" i="65"/>
  <c r="M234" i="65"/>
  <c r="L235" i="65"/>
  <c r="M235" i="65"/>
  <c r="L236" i="65"/>
  <c r="M236" i="65"/>
  <c r="L237" i="65"/>
  <c r="M237" i="65"/>
  <c r="L238" i="65"/>
  <c r="M238" i="65"/>
  <c r="L239" i="65"/>
  <c r="M239" i="65"/>
  <c r="L240" i="65"/>
  <c r="M240" i="65"/>
  <c r="L241" i="65"/>
  <c r="M241" i="65"/>
  <c r="L242" i="65"/>
  <c r="M242" i="65"/>
  <c r="L243" i="65"/>
  <c r="M243" i="65"/>
  <c r="L244" i="65"/>
  <c r="M244" i="65"/>
  <c r="L245" i="65"/>
  <c r="M245" i="65"/>
  <c r="L246" i="65"/>
  <c r="M246" i="65"/>
  <c r="L247" i="65"/>
  <c r="M247" i="65"/>
  <c r="L248" i="65"/>
  <c r="M248" i="65"/>
  <c r="L249" i="65"/>
  <c r="M249" i="65"/>
  <c r="L250" i="65"/>
  <c r="M250" i="65"/>
  <c r="L251" i="65"/>
  <c r="M251" i="65"/>
  <c r="L252" i="65"/>
  <c r="M252" i="65"/>
  <c r="L253" i="65"/>
  <c r="M253" i="65"/>
  <c r="L254" i="65"/>
  <c r="M254" i="65"/>
  <c r="L255" i="65"/>
  <c r="M255" i="65"/>
  <c r="L256" i="65"/>
  <c r="M256" i="65"/>
  <c r="L257" i="65"/>
  <c r="M257" i="65"/>
  <c r="L258" i="65"/>
  <c r="M258" i="65"/>
  <c r="L259" i="65"/>
  <c r="M259" i="65"/>
  <c r="L260" i="65"/>
  <c r="M260" i="65"/>
  <c r="L261" i="65"/>
  <c r="M261" i="65"/>
  <c r="L262" i="65"/>
  <c r="M262" i="65"/>
  <c r="L263" i="65"/>
  <c r="M263" i="65"/>
  <c r="L264" i="65"/>
  <c r="M264" i="65"/>
  <c r="L265" i="65"/>
  <c r="M265" i="65"/>
  <c r="L266" i="65"/>
  <c r="M266" i="65"/>
  <c r="L267" i="65"/>
  <c r="M267" i="65"/>
  <c r="L268" i="65"/>
  <c r="M268" i="65"/>
  <c r="L269" i="65"/>
  <c r="M269" i="65"/>
  <c r="L270" i="65"/>
  <c r="M270" i="65"/>
  <c r="L271" i="65"/>
  <c r="M271" i="65"/>
  <c r="L272" i="65"/>
  <c r="M272" i="65"/>
  <c r="L273" i="65"/>
  <c r="M273" i="65"/>
  <c r="L274" i="65"/>
  <c r="M274" i="65"/>
  <c r="L275" i="65"/>
  <c r="M275" i="65"/>
  <c r="L276" i="65"/>
  <c r="M276" i="65"/>
  <c r="L277" i="65"/>
  <c r="M277" i="65"/>
  <c r="L278" i="65"/>
  <c r="M278" i="65"/>
  <c r="L279" i="65"/>
  <c r="M279" i="65"/>
  <c r="L280" i="65"/>
  <c r="M280" i="65"/>
  <c r="L281" i="65"/>
  <c r="M281" i="65"/>
  <c r="L282" i="65"/>
  <c r="M282" i="65"/>
  <c r="L283" i="65"/>
  <c r="M283" i="65" s="1"/>
  <c r="L284" i="65"/>
  <c r="M284" i="65"/>
  <c r="L285" i="65"/>
  <c r="M285" i="65"/>
  <c r="L286" i="65"/>
  <c r="M286" i="65"/>
  <c r="L287" i="65"/>
  <c r="M287" i="65"/>
  <c r="L288" i="65"/>
  <c r="M288" i="65"/>
  <c r="L289" i="65"/>
  <c r="M289" i="65"/>
  <c r="L290" i="65"/>
  <c r="M290" i="65"/>
  <c r="L291" i="65"/>
  <c r="M291" i="65"/>
  <c r="L292" i="65"/>
  <c r="M292" i="65" s="1"/>
  <c r="L293" i="65"/>
  <c r="M293" i="65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/>
  <c r="L378" i="65"/>
  <c r="M378" i="65"/>
  <c r="L379" i="65"/>
  <c r="M379" i="65"/>
  <c r="L380" i="65"/>
  <c r="M380" i="65"/>
  <c r="L381" i="65"/>
  <c r="M381" i="65"/>
  <c r="L382" i="65"/>
  <c r="M382" i="65"/>
  <c r="L383" i="65"/>
  <c r="M383" i="65"/>
  <c r="L384" i="65"/>
  <c r="M384" i="65"/>
  <c r="L385" i="65"/>
  <c r="M385" i="65"/>
  <c r="L386" i="65"/>
  <c r="M386" i="65"/>
  <c r="L387" i="65"/>
  <c r="M387" i="65"/>
  <c r="L388" i="65"/>
  <c r="M388" i="65" s="1"/>
  <c r="L389" i="65"/>
  <c r="M389" i="65"/>
  <c r="L390" i="65"/>
  <c r="M390" i="65"/>
  <c r="L391" i="65"/>
  <c r="M391" i="65"/>
  <c r="L392" i="65"/>
  <c r="M392" i="65"/>
  <c r="E5" i="63"/>
  <c r="J5" i="63"/>
  <c r="C11" i="67" l="1"/>
  <c r="L2" i="67"/>
  <c r="D19" i="67"/>
  <c r="CC9" i="67"/>
  <c r="E19" i="67" s="1"/>
  <c r="C18" i="67"/>
  <c r="BV2" i="67"/>
  <c r="D18" i="67" s="1"/>
  <c r="C17" i="67"/>
  <c r="C19" i="67"/>
  <c r="BN2" i="67"/>
  <c r="A12" i="67"/>
  <c r="T4" i="67"/>
  <c r="A16" i="67"/>
  <c r="BD4" i="67"/>
  <c r="C15" i="67"/>
  <c r="AV2" i="67"/>
  <c r="C13" i="67"/>
  <c r="AD2" i="67"/>
  <c r="C22" i="67"/>
  <c r="DF2" i="67"/>
  <c r="D22" i="67" s="1"/>
  <c r="C20" i="67"/>
  <c r="CN2" i="67"/>
  <c r="D20" i="67" s="1"/>
  <c r="C21" i="67"/>
  <c r="CX2" i="67"/>
  <c r="A14" i="67"/>
  <c r="AL4" i="67"/>
  <c r="AY2" i="66"/>
  <c r="AM3" i="66"/>
  <c r="AL9" i="66"/>
  <c r="B14" i="66" s="1"/>
  <c r="AD9" i="66"/>
  <c r="B13" i="66" s="1"/>
  <c r="U3" i="66"/>
  <c r="O4" i="66"/>
  <c r="Q6" i="66"/>
  <c r="A12" i="66" s="1"/>
  <c r="L9" i="66"/>
  <c r="A14" i="66"/>
  <c r="A20" i="66"/>
  <c r="CN4" i="66"/>
  <c r="A18" i="66"/>
  <c r="BV4" i="66"/>
  <c r="A22" i="66"/>
  <c r="DF4" i="66"/>
  <c r="A16" i="66"/>
  <c r="BD4" i="66"/>
  <c r="CX4" i="66"/>
  <c r="CF4" i="66"/>
  <c r="CF2" i="66" s="1"/>
  <c r="AG4" i="66"/>
  <c r="BN4" i="66"/>
  <c r="AY4" i="66"/>
  <c r="A15" i="66"/>
  <c r="AV4" i="66"/>
  <c r="AD4" i="66"/>
  <c r="T4" i="66"/>
  <c r="L6" i="65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M11" i="65" s="1"/>
  <c r="M9" i="65" s="1"/>
  <c r="M7" i="65" s="1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G5" i="63"/>
  <c r="H5" i="63"/>
  <c r="L5" i="63"/>
  <c r="C5" i="63"/>
  <c r="I5" i="63"/>
  <c r="B5" i="63"/>
  <c r="D5" i="63"/>
  <c r="E4" i="63"/>
  <c r="J4" i="63"/>
  <c r="D11" i="67" l="1"/>
  <c r="C14" i="67"/>
  <c r="AL2" i="67"/>
  <c r="D14" i="67" s="1"/>
  <c r="D21" i="67"/>
  <c r="CU9" i="67"/>
  <c r="E21" i="67" s="1"/>
  <c r="D13" i="67"/>
  <c r="AA9" i="67"/>
  <c r="E13" i="67" s="1"/>
  <c r="D15" i="67"/>
  <c r="C16" i="67"/>
  <c r="BD2" i="67"/>
  <c r="D16" i="67" s="1"/>
  <c r="C12" i="67"/>
  <c r="T2" i="67"/>
  <c r="D12" i="67" s="1"/>
  <c r="D17" i="67"/>
  <c r="BK9" i="67"/>
  <c r="E17" i="67" s="1"/>
  <c r="AL4" i="66"/>
  <c r="B11" i="66"/>
  <c r="L4" i="66"/>
  <c r="C13" i="66"/>
  <c r="AD2" i="66"/>
  <c r="C17" i="66"/>
  <c r="BN2" i="66"/>
  <c r="C19" i="66"/>
  <c r="D19" i="66"/>
  <c r="CC9" i="66"/>
  <c r="E19" i="66" s="1"/>
  <c r="C16" i="66"/>
  <c r="BD2" i="66"/>
  <c r="D16" i="66" s="1"/>
  <c r="C22" i="66"/>
  <c r="DF2" i="66"/>
  <c r="D22" i="66" s="1"/>
  <c r="C18" i="66"/>
  <c r="BV2" i="66"/>
  <c r="D18" i="66" s="1"/>
  <c r="C20" i="66"/>
  <c r="CN2" i="66"/>
  <c r="D20" i="66" s="1"/>
  <c r="C14" i="66"/>
  <c r="AL2" i="66"/>
  <c r="D14" i="66" s="1"/>
  <c r="C12" i="66"/>
  <c r="T2" i="66"/>
  <c r="D12" i="66" s="1"/>
  <c r="C15" i="66"/>
  <c r="AV2" i="66"/>
  <c r="C21" i="66"/>
  <c r="CX2" i="66"/>
  <c r="Q4" i="65"/>
  <c r="S4" i="65" s="1"/>
  <c r="I4" i="65"/>
  <c r="K4" i="65" s="1"/>
  <c r="K3" i="65"/>
  <c r="CE3" i="65"/>
  <c r="CA4" i="65" s="1"/>
  <c r="DE3" i="65"/>
  <c r="DA4" i="65" s="1"/>
  <c r="Y2" i="65"/>
  <c r="AQ2" i="65"/>
  <c r="BI2" i="65"/>
  <c r="CA2" i="65"/>
  <c r="K6" i="65"/>
  <c r="G2" i="65" s="1"/>
  <c r="AK3" i="65"/>
  <c r="AG4" i="65" s="1"/>
  <c r="AU3" i="65"/>
  <c r="AQ4" i="65" s="1"/>
  <c r="AC3" i="65"/>
  <c r="Y4" i="65" s="1"/>
  <c r="BM3" i="65"/>
  <c r="BI4" i="65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G4" i="63"/>
  <c r="L4" i="63"/>
  <c r="I4" i="63"/>
  <c r="D4" i="63"/>
  <c r="C4" i="63"/>
  <c r="B4" i="63"/>
  <c r="H4" i="63"/>
  <c r="A3" i="63" a="1"/>
  <c r="AS9" i="67" l="1"/>
  <c r="E15" i="67" s="1"/>
  <c r="I9" i="67"/>
  <c r="E11" i="67" s="1"/>
  <c r="L2" i="66"/>
  <c r="C11" i="66"/>
  <c r="D17" i="66"/>
  <c r="BK9" i="66"/>
  <c r="E17" i="66" s="1"/>
  <c r="D13" i="66"/>
  <c r="AA9" i="66"/>
  <c r="E13" i="66" s="1"/>
  <c r="D21" i="66"/>
  <c r="CU9" i="66"/>
  <c r="E21" i="66" s="1"/>
  <c r="D15" i="66"/>
  <c r="AS9" i="66"/>
  <c r="E15" i="66" s="1"/>
  <c r="AS6" i="65"/>
  <c r="A15" i="65" s="1"/>
  <c r="AI6" i="65"/>
  <c r="A14" i="65" s="1"/>
  <c r="L9" i="65"/>
  <c r="B11" i="65" s="1"/>
  <c r="G4" i="65"/>
  <c r="S3" i="65"/>
  <c r="Q6" i="65" s="1"/>
  <c r="A12" i="65" s="1"/>
  <c r="CM3" i="65"/>
  <c r="CK6" i="65" s="1"/>
  <c r="A20" i="65" s="1"/>
  <c r="BQ2" i="65"/>
  <c r="AG2" i="65"/>
  <c r="CW3" i="65"/>
  <c r="CU6" i="65" s="1"/>
  <c r="A21" i="65" s="1"/>
  <c r="CI2" i="65"/>
  <c r="BU3" i="65"/>
  <c r="BS6" i="65" s="1"/>
  <c r="A18" i="65" s="1"/>
  <c r="BQ4" i="65"/>
  <c r="BC3" i="65"/>
  <c r="BA6" i="65" s="1"/>
  <c r="A16" i="65" s="1"/>
  <c r="AY2" i="65"/>
  <c r="DA2" i="65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CX4" i="65"/>
  <c r="BN4" i="65"/>
  <c r="AD4" i="65"/>
  <c r="EX6" i="64"/>
  <c r="EY9" i="64" s="1"/>
  <c r="EG6" i="64"/>
  <c r="EH9" i="64" s="1"/>
  <c r="DO6" i="64"/>
  <c r="DP9" i="64" s="1"/>
  <c r="A3" i="63"/>
  <c r="D11" i="66" l="1"/>
  <c r="I9" i="66"/>
  <c r="E11" i="66" s="1"/>
  <c r="BD4" i="65"/>
  <c r="T4" i="65"/>
  <c r="AY4" i="65"/>
  <c r="CS4" i="65"/>
  <c r="CI4" i="65"/>
  <c r="O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16" i="65"/>
  <c r="BD2" i="65"/>
  <c r="D16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L9" i="64"/>
  <c r="B11" i="64" s="1"/>
  <c r="A2" i="63" a="1"/>
  <c r="K3" i="64" l="1"/>
  <c r="G4" i="64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Y4" i="64" s="1"/>
  <c r="EY2" i="64" s="1"/>
  <c r="EV9" i="64" s="1"/>
  <c r="EZ5" i="64"/>
  <c r="EI5" i="64"/>
  <c r="EI7" i="64"/>
  <c r="EI3" i="64"/>
  <c r="DQ7" i="64"/>
  <c r="DQ3" i="64"/>
  <c r="DP4" i="64" s="1"/>
  <c r="DP2" i="64" s="1"/>
  <c r="DM9" i="64" s="1"/>
  <c r="E23" i="64" s="1"/>
  <c r="DQ5" i="64"/>
  <c r="DC6" i="64"/>
  <c r="A22" i="64" s="1"/>
  <c r="DE3" i="64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 s="1"/>
  <c r="A17" i="64" s="1"/>
  <c r="AV9" i="64"/>
  <c r="B15" i="64" s="1"/>
  <c r="AW7" i="64"/>
  <c r="AW3" i="64"/>
  <c r="AV4" i="64" s="1"/>
  <c r="AW5" i="64"/>
  <c r="AC3" i="64"/>
  <c r="Y4" i="64" s="1"/>
  <c r="M7" i="64"/>
  <c r="M5" i="64"/>
  <c r="M3" i="64"/>
  <c r="I6" i="64"/>
  <c r="A11" i="64" s="1"/>
  <c r="A2" i="63"/>
  <c r="AA6" i="64" l="1"/>
  <c r="A13" i="64" s="1"/>
  <c r="AI6" i="64"/>
  <c r="A14" i="64" s="1"/>
  <c r="T9" i="64"/>
  <c r="B12" i="64" s="1"/>
  <c r="BD9" i="64"/>
  <c r="B16" i="64" s="1"/>
  <c r="AY4" i="64"/>
  <c r="O4" i="64"/>
  <c r="AG2" i="64"/>
  <c r="CF4" i="64"/>
  <c r="CF2" i="64" s="1"/>
  <c r="CC9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D15" i="64"/>
  <c r="C22" i="64"/>
  <c r="C20" i="64" l="1"/>
  <c r="BD4" i="64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BD2" i="64" l="1"/>
  <c r="D16" i="64" s="1"/>
  <c r="C16" i="64"/>
  <c r="AA9" i="64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E2" i="63"/>
  <c r="J2" i="63"/>
  <c r="H2" i="63"/>
  <c r="I2" i="63"/>
  <c r="C2" i="63"/>
  <c r="B2" i="63"/>
  <c r="H3" i="63"/>
  <c r="B3" i="63"/>
  <c r="D3" i="63"/>
  <c r="G3" i="63"/>
  <c r="C3" i="63"/>
  <c r="G2" i="63"/>
  <c r="D2" i="63"/>
  <c r="L2" i="63"/>
  <c r="I3" i="63"/>
  <c r="L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<sst xmlns="http://schemas.openxmlformats.org/spreadsheetml/2006/main" count="1648" uniqueCount="46">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</sst>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'20221231T210000'!$L$10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'20221231T210000'!$G$11:$G$500</c:f>
              <c:numCache>
                <c:formatCode>General</c:formatCode>
                <c:ptCount val="490"/>
                <c:pt idx="0">
                  <c:v>1.8150299999999999</c:v>
                </c:pt>
                <c:pt idx="1">
                  <c:v>1.81</c:v>
                </c:pt>
                <c:pt idx="2">
                  <c:v>1.8049599999999999</c:v>
                </c:pt>
                <c:pt idx="3">
                  <c:v>1.79993</c:v>
                </c:pt>
                <c:pt idx="4">
                  <c:v>1.7948900000000001</c:v>
                </c:pt>
                <c:pt idx="5">
                  <c:v>1.78986</c:v>
                </c:pt>
                <c:pt idx="6">
                  <c:v>1.7848200000000001</c:v>
                </c:pt>
                <c:pt idx="7">
                  <c:v>1.77979</c:v>
                </c:pt>
                <c:pt idx="8">
                  <c:v>1.77475</c:v>
                </c:pt>
                <c:pt idx="9">
                  <c:v>1.7697099999999999</c:v>
                </c:pt>
                <c:pt idx="10">
                  <c:v>1.76468</c:v>
                </c:pt>
                <c:pt idx="11">
                  <c:v>1.7596400000000001</c:v>
                </c:pt>
                <c:pt idx="12">
                  <c:v>1.75461</c:v>
                </c:pt>
                <c:pt idx="13">
                  <c:v>1.7495700000000001</c:v>
                </c:pt>
                <c:pt idx="14">
                  <c:v>1.74454</c:v>
                </c:pt>
                <c:pt idx="15">
                  <c:v>1.7395</c:v>
                </c:pt>
                <c:pt idx="16">
                  <c:v>1.73447</c:v>
                </c:pt>
                <c:pt idx="17">
                  <c:v>1.72943</c:v>
                </c:pt>
                <c:pt idx="18">
                  <c:v>1.7243999999999999</c:v>
                </c:pt>
                <c:pt idx="19">
                  <c:v>1.71936</c:v>
                </c:pt>
                <c:pt idx="20">
                  <c:v>1.7143200000000001</c:v>
                </c:pt>
                <c:pt idx="21">
                  <c:v>1.70929</c:v>
                </c:pt>
                <c:pt idx="22">
                  <c:v>1.70425</c:v>
                </c:pt>
                <c:pt idx="23">
                  <c:v>1.69922</c:v>
                </c:pt>
                <c:pt idx="24">
                  <c:v>1.69418</c:v>
                </c:pt>
                <c:pt idx="25">
                  <c:v>1.6891499999999999</c:v>
                </c:pt>
                <c:pt idx="26">
                  <c:v>1.68411</c:v>
                </c:pt>
                <c:pt idx="27">
                  <c:v>1.6790799999999999</c:v>
                </c:pt>
                <c:pt idx="28">
                  <c:v>1.67404</c:v>
                </c:pt>
                <c:pt idx="29">
                  <c:v>1.6690100000000001</c:v>
                </c:pt>
                <c:pt idx="30">
                  <c:v>1.6639699999999999</c:v>
                </c:pt>
                <c:pt idx="31">
                  <c:v>1.6589400000000001</c:v>
                </c:pt>
                <c:pt idx="32">
                  <c:v>1.6538999999999999</c:v>
                </c:pt>
                <c:pt idx="33">
                  <c:v>1.64886</c:v>
                </c:pt>
                <c:pt idx="34">
                  <c:v>1.6438299999999999</c:v>
                </c:pt>
                <c:pt idx="35">
                  <c:v>1.63879</c:v>
                </c:pt>
                <c:pt idx="36">
                  <c:v>1.6337600000000001</c:v>
                </c:pt>
                <c:pt idx="37">
                  <c:v>1.6287199999999999</c:v>
                </c:pt>
                <c:pt idx="38">
                  <c:v>1.6236900000000001</c:v>
                </c:pt>
                <c:pt idx="39">
                  <c:v>1.6186499999999999</c:v>
                </c:pt>
                <c:pt idx="40">
                  <c:v>1.6136200000000001</c:v>
                </c:pt>
                <c:pt idx="41">
                  <c:v>1.6085799999999999</c:v>
                </c:pt>
                <c:pt idx="42">
                  <c:v>1.60355</c:v>
                </c:pt>
                <c:pt idx="43">
                  <c:v>1.5985100000000001</c:v>
                </c:pt>
                <c:pt idx="44">
                  <c:v>1.59348</c:v>
                </c:pt>
                <c:pt idx="45">
                  <c:v>1.5884400000000001</c:v>
                </c:pt>
                <c:pt idx="46">
                  <c:v>1.5833999999999999</c:v>
                </c:pt>
                <c:pt idx="47">
                  <c:v>1.5783700000000001</c:v>
                </c:pt>
                <c:pt idx="48">
                  <c:v>1.5733299999999999</c:v>
                </c:pt>
                <c:pt idx="49">
                  <c:v>1.5683</c:v>
                </c:pt>
                <c:pt idx="50">
                  <c:v>1.5632600000000001</c:v>
                </c:pt>
                <c:pt idx="51">
                  <c:v>1.55823</c:v>
                </c:pt>
                <c:pt idx="52">
                  <c:v>1.5531900000000001</c:v>
                </c:pt>
                <c:pt idx="53">
                  <c:v>1.54816</c:v>
                </c:pt>
                <c:pt idx="54">
                  <c:v>1.54312</c:v>
                </c:pt>
                <c:pt idx="55">
                  <c:v>1.53809</c:v>
                </c:pt>
                <c:pt idx="56">
                  <c:v>1.53305</c:v>
                </c:pt>
                <c:pt idx="57">
                  <c:v>1.5280199999999999</c:v>
                </c:pt>
                <c:pt idx="58">
                  <c:v>1.52298</c:v>
                </c:pt>
                <c:pt idx="59">
                  <c:v>1.5179400000000001</c:v>
                </c:pt>
                <c:pt idx="60">
                  <c:v>1.51291</c:v>
                </c:pt>
                <c:pt idx="61">
                  <c:v>1.50787</c:v>
                </c:pt>
                <c:pt idx="62">
                  <c:v>1.50284</c:v>
                </c:pt>
                <c:pt idx="63">
                  <c:v>1.4978</c:v>
                </c:pt>
                <c:pt idx="64">
                  <c:v>1.4927699999999999</c:v>
                </c:pt>
                <c:pt idx="65">
                  <c:v>1.48773</c:v>
                </c:pt>
                <c:pt idx="66">
                  <c:v>1.4826999999999999</c:v>
                </c:pt>
                <c:pt idx="67">
                  <c:v>1.47766</c:v>
                </c:pt>
                <c:pt idx="68">
                  <c:v>1.4726300000000001</c:v>
                </c:pt>
                <c:pt idx="69">
                  <c:v>1.46759</c:v>
                </c:pt>
                <c:pt idx="70">
                  <c:v>1.46255</c:v>
                </c:pt>
                <c:pt idx="71">
                  <c:v>1.4575199999999999</c:v>
                </c:pt>
                <c:pt idx="72">
                  <c:v>1.45248</c:v>
                </c:pt>
                <c:pt idx="73">
                  <c:v>1.4474499999999999</c:v>
                </c:pt>
                <c:pt idx="74">
                  <c:v>1.44241</c:v>
                </c:pt>
                <c:pt idx="75">
                  <c:v>1.4373800000000001</c:v>
                </c:pt>
                <c:pt idx="76">
                  <c:v>1.4323399999999999</c:v>
                </c:pt>
                <c:pt idx="77">
                  <c:v>1.4273100000000001</c:v>
                </c:pt>
                <c:pt idx="78">
                  <c:v>1.4222699999999999</c:v>
                </c:pt>
                <c:pt idx="79">
                  <c:v>1.4172400000000001</c:v>
                </c:pt>
                <c:pt idx="80">
                  <c:v>1.4121999999999999</c:v>
                </c:pt>
                <c:pt idx="81">
                  <c:v>1.40717</c:v>
                </c:pt>
                <c:pt idx="82">
                  <c:v>1.4021300000000001</c:v>
                </c:pt>
                <c:pt idx="83">
                  <c:v>1.3970899999999999</c:v>
                </c:pt>
                <c:pt idx="84">
                  <c:v>1.3920600000000001</c:v>
                </c:pt>
                <c:pt idx="85">
                  <c:v>1.3870199999999999</c:v>
                </c:pt>
                <c:pt idx="86">
                  <c:v>1.3819900000000001</c:v>
                </c:pt>
                <c:pt idx="87">
                  <c:v>1.3769499999999999</c:v>
                </c:pt>
                <c:pt idx="88">
                  <c:v>1.37192</c:v>
                </c:pt>
                <c:pt idx="89">
                  <c:v>1.3668800000000001</c:v>
                </c:pt>
                <c:pt idx="90">
                  <c:v>1.36185</c:v>
                </c:pt>
                <c:pt idx="91">
                  <c:v>1.3568100000000001</c:v>
                </c:pt>
                <c:pt idx="92">
                  <c:v>1.35178</c:v>
                </c:pt>
                <c:pt idx="93">
                  <c:v>1.34674</c:v>
                </c:pt>
                <c:pt idx="94">
                  <c:v>1.34171</c:v>
                </c:pt>
                <c:pt idx="95">
                  <c:v>1.33667</c:v>
                </c:pt>
                <c:pt idx="96">
                  <c:v>1.3316300000000001</c:v>
                </c:pt>
                <c:pt idx="97">
                  <c:v>1.3266</c:v>
                </c:pt>
                <c:pt idx="98">
                  <c:v>1.3215600000000001</c:v>
                </c:pt>
                <c:pt idx="99">
                  <c:v>1.31653</c:v>
                </c:pt>
                <c:pt idx="100">
                  <c:v>1.31149</c:v>
                </c:pt>
                <c:pt idx="101">
                  <c:v>1.30646</c:v>
                </c:pt>
                <c:pt idx="102">
                  <c:v>1.30142</c:v>
                </c:pt>
                <c:pt idx="103">
                  <c:v>1.2963899999999999</c:v>
                </c:pt>
                <c:pt idx="104">
                  <c:v>1.29135</c:v>
                </c:pt>
                <c:pt idx="105">
                  <c:v>1.2863199999999999</c:v>
                </c:pt>
                <c:pt idx="106">
                  <c:v>1.28128</c:v>
                </c:pt>
                <c:pt idx="107">
                  <c:v>1.2762500000000001</c:v>
                </c:pt>
                <c:pt idx="108">
                  <c:v>1.27121</c:v>
                </c:pt>
                <c:pt idx="109">
                  <c:v>1.26617</c:v>
                </c:pt>
                <c:pt idx="110">
                  <c:v>1.2611399999999999</c:v>
                </c:pt>
                <c:pt idx="111">
                  <c:v>1.2561</c:v>
                </c:pt>
                <c:pt idx="112">
                  <c:v>1.2510699999999999</c:v>
                </c:pt>
                <c:pt idx="113">
                  <c:v>1.24603</c:v>
                </c:pt>
                <c:pt idx="114">
                  <c:v>1.2410000000000001</c:v>
                </c:pt>
                <c:pt idx="115">
                  <c:v>1.2359599999999999</c:v>
                </c:pt>
                <c:pt idx="116">
                  <c:v>1.2309300000000001</c:v>
                </c:pt>
                <c:pt idx="117">
                  <c:v>1.2258899999999999</c:v>
                </c:pt>
                <c:pt idx="118">
                  <c:v>1.2208600000000001</c:v>
                </c:pt>
                <c:pt idx="119">
                  <c:v>1.2158199999999999</c:v>
                </c:pt>
                <c:pt idx="120">
                  <c:v>1.21078</c:v>
                </c:pt>
                <c:pt idx="121">
                  <c:v>1.2057500000000001</c:v>
                </c:pt>
                <c:pt idx="122">
                  <c:v>1.2007099999999999</c:v>
                </c:pt>
                <c:pt idx="123">
                  <c:v>1.1956800000000001</c:v>
                </c:pt>
                <c:pt idx="124">
                  <c:v>1.1906399999999999</c:v>
                </c:pt>
                <c:pt idx="125">
                  <c:v>1.1856100000000001</c:v>
                </c:pt>
                <c:pt idx="126">
                  <c:v>1.1805699999999999</c:v>
                </c:pt>
                <c:pt idx="127">
                  <c:v>1.17554</c:v>
                </c:pt>
                <c:pt idx="128">
                  <c:v>1.1705000000000001</c:v>
                </c:pt>
                <c:pt idx="129">
                  <c:v>1.16547</c:v>
                </c:pt>
                <c:pt idx="130">
                  <c:v>1.1604300000000001</c:v>
                </c:pt>
                <c:pt idx="131">
                  <c:v>1.1554</c:v>
                </c:pt>
                <c:pt idx="132">
                  <c:v>1.15036</c:v>
                </c:pt>
                <c:pt idx="133">
                  <c:v>1.1453199999999999</c:v>
                </c:pt>
                <c:pt idx="134">
                  <c:v>1.14029</c:v>
                </c:pt>
                <c:pt idx="135">
                  <c:v>1.1352500000000001</c:v>
                </c:pt>
                <c:pt idx="136">
                  <c:v>1.13022</c:v>
                </c:pt>
                <c:pt idx="137">
                  <c:v>1.1251800000000001</c:v>
                </c:pt>
                <c:pt idx="138">
                  <c:v>1.12015</c:v>
                </c:pt>
                <c:pt idx="139">
                  <c:v>1.11511</c:v>
                </c:pt>
                <c:pt idx="140">
                  <c:v>1.11008</c:v>
                </c:pt>
                <c:pt idx="141">
                  <c:v>1.10504</c:v>
                </c:pt>
                <c:pt idx="142">
                  <c:v>1.1000099999999999</c:v>
                </c:pt>
                <c:pt idx="143">
                  <c:v>1.09497</c:v>
                </c:pt>
                <c:pt idx="144">
                  <c:v>1.0899399999999999</c:v>
                </c:pt>
                <c:pt idx="145">
                  <c:v>1.0849</c:v>
                </c:pt>
                <c:pt idx="146">
                  <c:v>1.07986</c:v>
                </c:pt>
                <c:pt idx="147">
                  <c:v>1.07483</c:v>
                </c:pt>
                <c:pt idx="148">
                  <c:v>1.06979</c:v>
                </c:pt>
                <c:pt idx="149">
                  <c:v>1.0647599999999999</c:v>
                </c:pt>
                <c:pt idx="150">
                  <c:v>1.05972</c:v>
                </c:pt>
                <c:pt idx="151">
                  <c:v>1.0546899999999999</c:v>
                </c:pt>
                <c:pt idx="152">
                  <c:v>1.04965</c:v>
                </c:pt>
                <c:pt idx="153">
                  <c:v>1.0446200000000001</c:v>
                </c:pt>
                <c:pt idx="154">
                  <c:v>1.0395799999999999</c:v>
                </c:pt>
                <c:pt idx="155">
                  <c:v>1.0345500000000001</c:v>
                </c:pt>
                <c:pt idx="156">
                  <c:v>1.0295099999999999</c:v>
                </c:pt>
                <c:pt idx="157">
                  <c:v>1.0244800000000001</c:v>
                </c:pt>
                <c:pt idx="158">
                  <c:v>1.0194399999999999</c:v>
                </c:pt>
                <c:pt idx="159">
                  <c:v>1.0144</c:v>
                </c:pt>
                <c:pt idx="160">
                  <c:v>1.0093700000000001</c:v>
                </c:pt>
                <c:pt idx="161">
                  <c:v>1.0043299999999999</c:v>
                </c:pt>
                <c:pt idx="162">
                  <c:v>0.99929800000000002</c:v>
                </c:pt>
                <c:pt idx="163">
                  <c:v>0.99426300000000001</c:v>
                </c:pt>
                <c:pt idx="164">
                  <c:v>0.98922699999999997</c:v>
                </c:pt>
                <c:pt idx="165">
                  <c:v>0.98419199999999996</c:v>
                </c:pt>
                <c:pt idx="166">
                  <c:v>0.97915600000000003</c:v>
                </c:pt>
                <c:pt idx="167">
                  <c:v>0.97412100000000001</c:v>
                </c:pt>
                <c:pt idx="168">
                  <c:v>0.969086</c:v>
                </c:pt>
                <c:pt idx="169">
                  <c:v>0.96404999999999996</c:v>
                </c:pt>
                <c:pt idx="170">
                  <c:v>0.95901499999999995</c:v>
                </c:pt>
                <c:pt idx="171">
                  <c:v>0.95397900000000002</c:v>
                </c:pt>
                <c:pt idx="172">
                  <c:v>0.94894400000000001</c:v>
                </c:pt>
                <c:pt idx="173">
                  <c:v>0.943909</c:v>
                </c:pt>
                <c:pt idx="174">
                  <c:v>0.93887299999999996</c:v>
                </c:pt>
                <c:pt idx="175">
                  <c:v>0.93383799999999995</c:v>
                </c:pt>
                <c:pt idx="176">
                  <c:v>0.92880200000000002</c:v>
                </c:pt>
                <c:pt idx="177">
                  <c:v>0.923767</c:v>
                </c:pt>
                <c:pt idx="178">
                  <c:v>0.91873199999999999</c:v>
                </c:pt>
                <c:pt idx="179">
                  <c:v>0.91369599999999995</c:v>
                </c:pt>
                <c:pt idx="180">
                  <c:v>0.90866100000000005</c:v>
                </c:pt>
                <c:pt idx="181">
                  <c:v>0.90362500000000001</c:v>
                </c:pt>
                <c:pt idx="182">
                  <c:v>0.89859</c:v>
                </c:pt>
                <c:pt idx="183">
                  <c:v>0.89355499999999999</c:v>
                </c:pt>
                <c:pt idx="184">
                  <c:v>0.88851899999999995</c:v>
                </c:pt>
                <c:pt idx="185">
                  <c:v>0.88348400000000005</c:v>
                </c:pt>
                <c:pt idx="186">
                  <c:v>0.87844800000000001</c:v>
                </c:pt>
                <c:pt idx="187">
                  <c:v>0.87341299999999999</c:v>
                </c:pt>
                <c:pt idx="188">
                  <c:v>0.86837799999999998</c:v>
                </c:pt>
                <c:pt idx="189">
                  <c:v>0.86334200000000005</c:v>
                </c:pt>
                <c:pt idx="190">
                  <c:v>0.85830700000000004</c:v>
                </c:pt>
                <c:pt idx="191">
                  <c:v>0.853271</c:v>
                </c:pt>
                <c:pt idx="192">
                  <c:v>0.84823599999999999</c:v>
                </c:pt>
                <c:pt idx="193">
                  <c:v>0.84320099999999998</c:v>
                </c:pt>
                <c:pt idx="194">
                  <c:v>0.83816500000000005</c:v>
                </c:pt>
                <c:pt idx="195">
                  <c:v>0.83313000000000004</c:v>
                </c:pt>
                <c:pt idx="196">
                  <c:v>0.828094</c:v>
                </c:pt>
                <c:pt idx="197">
                  <c:v>0.82305899999999999</c:v>
                </c:pt>
                <c:pt idx="198">
                  <c:v>0.81802399999999997</c:v>
                </c:pt>
                <c:pt idx="199">
                  <c:v>0.81298800000000004</c:v>
                </c:pt>
                <c:pt idx="200">
                  <c:v>0.80795300000000003</c:v>
                </c:pt>
                <c:pt idx="201">
                  <c:v>0.80291699999999999</c:v>
                </c:pt>
                <c:pt idx="202">
                  <c:v>0.79788199999999998</c:v>
                </c:pt>
                <c:pt idx="203">
                  <c:v>0.79284699999999997</c:v>
                </c:pt>
                <c:pt idx="204">
                  <c:v>0.78781100000000004</c:v>
                </c:pt>
                <c:pt idx="205">
                  <c:v>0.78277600000000003</c:v>
                </c:pt>
                <c:pt idx="206">
                  <c:v>0.77773999999999999</c:v>
                </c:pt>
                <c:pt idx="207">
                  <c:v>0.77270499999999998</c:v>
                </c:pt>
                <c:pt idx="208">
                  <c:v>0.76766999999999996</c:v>
                </c:pt>
                <c:pt idx="209">
                  <c:v>0.76263400000000003</c:v>
                </c:pt>
                <c:pt idx="210">
                  <c:v>0.75759900000000002</c:v>
                </c:pt>
                <c:pt idx="211">
                  <c:v>0.75256299999999998</c:v>
                </c:pt>
                <c:pt idx="212">
                  <c:v>0.74752799999999997</c:v>
                </c:pt>
                <c:pt idx="213">
                  <c:v>0.74249299999999996</c:v>
                </c:pt>
                <c:pt idx="214">
                  <c:v>0.73745700000000003</c:v>
                </c:pt>
                <c:pt idx="215">
                  <c:v>0.73242200000000002</c:v>
                </c:pt>
                <c:pt idx="216">
                  <c:v>0.72738599999999998</c:v>
                </c:pt>
                <c:pt idx="217">
                  <c:v>0.72235099999999997</c:v>
                </c:pt>
                <c:pt idx="218">
                  <c:v>0.71731599999999995</c:v>
                </c:pt>
                <c:pt idx="219">
                  <c:v>0.71228000000000002</c:v>
                </c:pt>
                <c:pt idx="220">
                  <c:v>0.70724500000000001</c:v>
                </c:pt>
                <c:pt idx="221">
                  <c:v>0.70220899999999997</c:v>
                </c:pt>
                <c:pt idx="222">
                  <c:v>0.69717399999999996</c:v>
                </c:pt>
                <c:pt idx="223">
                  <c:v>0.69213899999999995</c:v>
                </c:pt>
                <c:pt idx="224">
                  <c:v>0.68710300000000002</c:v>
                </c:pt>
                <c:pt idx="225">
                  <c:v>0.68206800000000001</c:v>
                </c:pt>
                <c:pt idx="226">
                  <c:v>0.67703199999999997</c:v>
                </c:pt>
                <c:pt idx="227">
                  <c:v>0.67199699999999996</c:v>
                </c:pt>
                <c:pt idx="228">
                  <c:v>0.66696200000000005</c:v>
                </c:pt>
                <c:pt idx="229">
                  <c:v>0.66192600000000001</c:v>
                </c:pt>
                <c:pt idx="230">
                  <c:v>0.656891</c:v>
                </c:pt>
                <c:pt idx="231">
                  <c:v>0.65185499999999996</c:v>
                </c:pt>
                <c:pt idx="232">
                  <c:v>0.64681999999999995</c:v>
                </c:pt>
                <c:pt idx="233">
                  <c:v>0.64178500000000005</c:v>
                </c:pt>
                <c:pt idx="234">
                  <c:v>0.63674900000000001</c:v>
                </c:pt>
                <c:pt idx="235">
                  <c:v>0.631714</c:v>
                </c:pt>
                <c:pt idx="236">
                  <c:v>0.62667799999999996</c:v>
                </c:pt>
                <c:pt idx="237">
                  <c:v>0.62164299999999995</c:v>
                </c:pt>
                <c:pt idx="238">
                  <c:v>0.61660800000000004</c:v>
                </c:pt>
                <c:pt idx="239">
                  <c:v>0.611572</c:v>
                </c:pt>
                <c:pt idx="240">
                  <c:v>0.60653699999999999</c:v>
                </c:pt>
                <c:pt idx="241">
                  <c:v>0.60150099999999995</c:v>
                </c:pt>
                <c:pt idx="242">
                  <c:v>0.59646600000000005</c:v>
                </c:pt>
                <c:pt idx="243">
                  <c:v>0.59143100000000004</c:v>
                </c:pt>
                <c:pt idx="244">
                  <c:v>0.586395</c:v>
                </c:pt>
                <c:pt idx="245">
                  <c:v>0.58135999999999999</c:v>
                </c:pt>
                <c:pt idx="246">
                  <c:v>0.57632399999999995</c:v>
                </c:pt>
                <c:pt idx="247">
                  <c:v>0.57128900000000005</c:v>
                </c:pt>
                <c:pt idx="248">
                  <c:v>0.56625400000000004</c:v>
                </c:pt>
                <c:pt idx="249">
                  <c:v>0.56121799999999999</c:v>
                </c:pt>
                <c:pt idx="250">
                  <c:v>0.55618299999999998</c:v>
                </c:pt>
                <c:pt idx="251">
                  <c:v>0.55114700000000005</c:v>
                </c:pt>
                <c:pt idx="252">
                  <c:v>0.54611200000000004</c:v>
                </c:pt>
                <c:pt idx="253">
                  <c:v>0.54107700000000003</c:v>
                </c:pt>
                <c:pt idx="254">
                  <c:v>0.53604099999999999</c:v>
                </c:pt>
                <c:pt idx="255">
                  <c:v>0.53100599999999998</c:v>
                </c:pt>
                <c:pt idx="256">
                  <c:v>0.52597000000000005</c:v>
                </c:pt>
                <c:pt idx="257">
                  <c:v>0.52093500000000004</c:v>
                </c:pt>
                <c:pt idx="258">
                  <c:v>0.51590000000000003</c:v>
                </c:pt>
                <c:pt idx="259">
                  <c:v>0.51086399999999998</c:v>
                </c:pt>
                <c:pt idx="260">
                  <c:v>0.50582899999999997</c:v>
                </c:pt>
                <c:pt idx="261">
                  <c:v>0.50079300000000004</c:v>
                </c:pt>
                <c:pt idx="262">
                  <c:v>0.49575799999999998</c:v>
                </c:pt>
                <c:pt idx="263">
                  <c:v>0.49072300000000002</c:v>
                </c:pt>
                <c:pt idx="264">
                  <c:v>0.48568699999999998</c:v>
                </c:pt>
                <c:pt idx="265">
                  <c:v>0.48065200000000002</c:v>
                </c:pt>
                <c:pt idx="266">
                  <c:v>0.47561599999999998</c:v>
                </c:pt>
                <c:pt idx="267">
                  <c:v>0.47058100000000003</c:v>
                </c:pt>
                <c:pt idx="268">
                  <c:v>0.46554600000000002</c:v>
                </c:pt>
                <c:pt idx="269">
                  <c:v>0.46050999999999997</c:v>
                </c:pt>
                <c:pt idx="270">
                  <c:v>0.45547500000000002</c:v>
                </c:pt>
                <c:pt idx="271">
                  <c:v>0.45043899999999998</c:v>
                </c:pt>
                <c:pt idx="272">
                  <c:v>0.44540400000000002</c:v>
                </c:pt>
                <c:pt idx="273">
                  <c:v>0.44036900000000001</c:v>
                </c:pt>
                <c:pt idx="274">
                  <c:v>0.43533300000000003</c:v>
                </c:pt>
                <c:pt idx="275">
                  <c:v>0.43029800000000001</c:v>
                </c:pt>
                <c:pt idx="276">
                  <c:v>0.42526199999999997</c:v>
                </c:pt>
                <c:pt idx="277">
                  <c:v>0.42022700000000002</c:v>
                </c:pt>
                <c:pt idx="278">
                  <c:v>0.41519200000000001</c:v>
                </c:pt>
                <c:pt idx="279">
                  <c:v>0.41015600000000002</c:v>
                </c:pt>
                <c:pt idx="280">
                  <c:v>0.40512100000000001</c:v>
                </c:pt>
                <c:pt idx="281">
                  <c:v>0.40008500000000002</c:v>
                </c:pt>
                <c:pt idx="282">
                  <c:v>0.39505000000000001</c:v>
                </c:pt>
                <c:pt idx="283">
                  <c:v>0.390015</c:v>
                </c:pt>
                <c:pt idx="284">
                  <c:v>0.38497900000000002</c:v>
                </c:pt>
                <c:pt idx="285">
                  <c:v>0.379944</c:v>
                </c:pt>
                <c:pt idx="286">
                  <c:v>0.37490800000000002</c:v>
                </c:pt>
                <c:pt idx="287">
                  <c:v>0.36987300000000001</c:v>
                </c:pt>
                <c:pt idx="288">
                  <c:v>0.364838</c:v>
                </c:pt>
                <c:pt idx="289">
                  <c:v>0.35980200000000001</c:v>
                </c:pt>
                <c:pt idx="290">
                  <c:v>0.354767</c:v>
                </c:pt>
                <c:pt idx="291">
                  <c:v>0.34973100000000001</c:v>
                </c:pt>
                <c:pt idx="292">
                  <c:v>0.344696</c:v>
                </c:pt>
                <c:pt idx="293">
                  <c:v>0.33966099999999999</c:v>
                </c:pt>
                <c:pt idx="294">
                  <c:v>0.33462500000000001</c:v>
                </c:pt>
                <c:pt idx="295">
                  <c:v>0.32958999999999999</c:v>
                </c:pt>
                <c:pt idx="296">
                  <c:v>0.32455400000000001</c:v>
                </c:pt>
                <c:pt idx="297">
                  <c:v>0.319519</c:v>
                </c:pt>
                <c:pt idx="298">
                  <c:v>0.31448399999999999</c:v>
                </c:pt>
                <c:pt idx="299">
                  <c:v>0.309448</c:v>
                </c:pt>
                <c:pt idx="300">
                  <c:v>0.30441299999999999</c:v>
                </c:pt>
                <c:pt idx="301">
                  <c:v>0.299377</c:v>
                </c:pt>
                <c:pt idx="302">
                  <c:v>0.29434199999999999</c:v>
                </c:pt>
                <c:pt idx="303">
                  <c:v>0.28930699999999998</c:v>
                </c:pt>
                <c:pt idx="304">
                  <c:v>0.284271</c:v>
                </c:pt>
                <c:pt idx="305">
                  <c:v>0.27923599999999998</c:v>
                </c:pt>
                <c:pt idx="306">
                  <c:v>0.2742</c:v>
                </c:pt>
                <c:pt idx="307">
                  <c:v>0.26916499999999999</c:v>
                </c:pt>
                <c:pt idx="308">
                  <c:v>0.26412999999999998</c:v>
                </c:pt>
                <c:pt idx="309">
                  <c:v>0.25909399999999999</c:v>
                </c:pt>
                <c:pt idx="310">
                  <c:v>0.25405899999999998</c:v>
                </c:pt>
                <c:pt idx="311">
                  <c:v>0.24902299999999999</c:v>
                </c:pt>
                <c:pt idx="312">
                  <c:v>0.24398800000000001</c:v>
                </c:pt>
                <c:pt idx="313">
                  <c:v>0.238953</c:v>
                </c:pt>
                <c:pt idx="314">
                  <c:v>0.23391700000000001</c:v>
                </c:pt>
                <c:pt idx="315">
                  <c:v>0.228882</c:v>
                </c:pt>
                <c:pt idx="316">
                  <c:v>0.22384599999999999</c:v>
                </c:pt>
                <c:pt idx="317">
                  <c:v>0.21881100000000001</c:v>
                </c:pt>
                <c:pt idx="318">
                  <c:v>0.21377599999999999</c:v>
                </c:pt>
                <c:pt idx="319">
                  <c:v>0.20874000000000001</c:v>
                </c:pt>
                <c:pt idx="320">
                  <c:v>0.203705</c:v>
                </c:pt>
                <c:pt idx="321">
                  <c:v>0.19866900000000001</c:v>
                </c:pt>
                <c:pt idx="322">
                  <c:v>0.193634</c:v>
                </c:pt>
                <c:pt idx="323">
                  <c:v>0.18859899999999999</c:v>
                </c:pt>
                <c:pt idx="324">
                  <c:v>0.183563</c:v>
                </c:pt>
                <c:pt idx="325">
                  <c:v>0.17852799999999999</c:v>
                </c:pt>
                <c:pt idx="326">
                  <c:v>0.17349200000000001</c:v>
                </c:pt>
                <c:pt idx="327">
                  <c:v>0.168457</c:v>
                </c:pt>
                <c:pt idx="328">
                  <c:v>0.16342200000000001</c:v>
                </c:pt>
                <c:pt idx="329">
                  <c:v>0.158386</c:v>
                </c:pt>
                <c:pt idx="330">
                  <c:v>0.15335099999999999</c:v>
                </c:pt>
                <c:pt idx="331">
                  <c:v>0.148315</c:v>
                </c:pt>
                <c:pt idx="332">
                  <c:v>0.14327999999999999</c:v>
                </c:pt>
                <c:pt idx="333">
                  <c:v>0.13824500000000001</c:v>
                </c:pt>
                <c:pt idx="334">
                  <c:v>0.13320899999999999</c:v>
                </c:pt>
                <c:pt idx="335">
                  <c:v>0.12817400000000001</c:v>
                </c:pt>
                <c:pt idx="336">
                  <c:v>0.123138</c:v>
                </c:pt>
                <c:pt idx="337">
                  <c:v>0.118103</c:v>
                </c:pt>
                <c:pt idx="338">
                  <c:v>0.113068</c:v>
                </c:pt>
                <c:pt idx="339">
                  <c:v>0.108032</c:v>
                </c:pt>
                <c:pt idx="340">
                  <c:v>0.10299700000000001</c:v>
                </c:pt>
                <c:pt idx="341">
                  <c:v>9.7961400000000004E-2</c:v>
                </c:pt>
                <c:pt idx="342">
                  <c:v>9.2925999999999995E-2</c:v>
                </c:pt>
                <c:pt idx="343">
                  <c:v>8.7890599999999999E-2</c:v>
                </c:pt>
                <c:pt idx="344">
                  <c:v>8.2855200000000004E-2</c:v>
                </c:pt>
                <c:pt idx="345">
                  <c:v>7.7819799999999995E-2</c:v>
                </c:pt>
                <c:pt idx="346">
                  <c:v>7.2784399999999999E-2</c:v>
                </c:pt>
                <c:pt idx="347">
                  <c:v>6.7749000000000004E-2</c:v>
                </c:pt>
                <c:pt idx="348">
                  <c:v>6.2713599999999994E-2</c:v>
                </c:pt>
                <c:pt idx="349">
                  <c:v>5.7678199999999999E-2</c:v>
                </c:pt>
                <c:pt idx="350">
                  <c:v>5.2642799999999997E-2</c:v>
                </c:pt>
                <c:pt idx="351">
                  <c:v>4.7607400000000001E-2</c:v>
                </c:pt>
                <c:pt idx="352">
                  <c:v>4.2571999999999999E-2</c:v>
                </c:pt>
                <c:pt idx="353">
                  <c:v>3.7536600000000003E-2</c:v>
                </c:pt>
                <c:pt idx="354">
                  <c:v>3.2501200000000001E-2</c:v>
                </c:pt>
                <c:pt idx="355">
                  <c:v>2.7465799999999999E-2</c:v>
                </c:pt>
                <c:pt idx="356">
                  <c:v>2.24304E-2</c:v>
                </c:pt>
                <c:pt idx="357">
                  <c:v>1.7395000000000001E-2</c:v>
                </c:pt>
                <c:pt idx="358">
                  <c:v>1.23596E-2</c:v>
                </c:pt>
                <c:pt idx="359">
                  <c:v>7.3242200000000002E-3</c:v>
                </c:pt>
                <c:pt idx="360">
                  <c:v>2.28882E-3</c:v>
                </c:pt>
                <c:pt idx="361">
                  <c:v>-2.7465800000000002E-3</c:v>
                </c:pt>
                <c:pt idx="362">
                  <c:v>-7.78198E-3</c:v>
                </c:pt>
                <c:pt idx="363">
                  <c:v>-1.28174E-2</c:v>
                </c:pt>
                <c:pt idx="364">
                  <c:v>-1.7852799999999999E-2</c:v>
                </c:pt>
                <c:pt idx="365">
                  <c:v>-2.2888200000000001E-2</c:v>
                </c:pt>
                <c:pt idx="366">
                  <c:v>-2.79236E-2</c:v>
                </c:pt>
                <c:pt idx="367">
                  <c:v>-3.2959000000000002E-2</c:v>
                </c:pt>
                <c:pt idx="368">
                  <c:v>-3.7994399999999998E-2</c:v>
                </c:pt>
                <c:pt idx="369">
                  <c:v>-4.30298E-2</c:v>
                </c:pt>
                <c:pt idx="370">
                  <c:v>-4.8065200000000002E-2</c:v>
                </c:pt>
                <c:pt idx="371">
                  <c:v>-5.3100599999999998E-2</c:v>
                </c:pt>
                <c:pt idx="372">
                  <c:v>-5.8136E-2</c:v>
                </c:pt>
                <c:pt idx="373">
                  <c:v>-6.3171400000000003E-2</c:v>
                </c:pt>
                <c:pt idx="374">
                  <c:v>-6.8206799999999998E-2</c:v>
                </c:pt>
                <c:pt idx="375">
                  <c:v>-7.3242199999999993E-2</c:v>
                </c:pt>
                <c:pt idx="376">
                  <c:v>-7.8277600000000003E-2</c:v>
                </c:pt>
                <c:pt idx="377">
                  <c:v>-8.3312999999999998E-2</c:v>
                </c:pt>
                <c:pt idx="378">
                  <c:v>-8.8348399999999994E-2</c:v>
                </c:pt>
                <c:pt idx="379">
                  <c:v>-9.3383800000000003E-2</c:v>
                </c:pt>
                <c:pt idx="380">
                  <c:v>-9.8419199999999998E-2</c:v>
                </c:pt>
                <c:pt idx="381">
                  <c:v>-0.10345500000000001</c:v>
                </c:pt>
              </c:numCache>
            </c:numRef>
          </c:xVal>
          <c:yVal>
            <c:numRef>
              <c:f>'20221231T210000'!$L$11:$L$500</c:f>
              <c:numCache>
                <c:formatCode>General</c:formatCode>
                <c:ptCount val="490"/>
                <c:pt idx="0">
                  <c:v>-20.228271604938271</c:v>
                </c:pt>
                <c:pt idx="1">
                  <c:v>-14.226419753086418</c:v>
                </c:pt>
                <c:pt idx="2">
                  <c:v>-9.6563703703703698</c:v>
                </c:pt>
                <c:pt idx="3">
                  <c:v>-6.0496419753086421</c:v>
                </c:pt>
                <c:pt idx="4">
                  <c:v>-3.1278641975308643</c:v>
                </c:pt>
                <c:pt idx="5">
                  <c:v>-0.88199629629629617</c:v>
                </c:pt>
                <c:pt idx="6">
                  <c:v>0.98409753086419738</c:v>
                </c:pt>
                <c:pt idx="7">
                  <c:v>2.6252592592592596</c:v>
                </c:pt>
                <c:pt idx="8">
                  <c:v>3.8896666666666668</c:v>
                </c:pt>
                <c:pt idx="9">
                  <c:v>4.9257654320987658</c:v>
                </c:pt>
                <c:pt idx="10">
                  <c:v>5.9490493827160495</c:v>
                </c:pt>
                <c:pt idx="11">
                  <c:v>6.8042839506172834</c:v>
                </c:pt>
                <c:pt idx="12">
                  <c:v>7.5389753086419757</c:v>
                </c:pt>
                <c:pt idx="13">
                  <c:v>8.209604938271605</c:v>
                </c:pt>
                <c:pt idx="14">
                  <c:v>8.7747407407407394</c:v>
                </c:pt>
                <c:pt idx="15">
                  <c:v>9.3097407407407395</c:v>
                </c:pt>
                <c:pt idx="16">
                  <c:v>9.7618518518518513</c:v>
                </c:pt>
                <c:pt idx="17">
                  <c:v>10.142382716049381</c:v>
                </c:pt>
                <c:pt idx="18">
                  <c:v>10.519148148148147</c:v>
                </c:pt>
                <c:pt idx="19">
                  <c:v>10.858234567901235</c:v>
                </c:pt>
                <c:pt idx="20">
                  <c:v>11.17848148148148</c:v>
                </c:pt>
                <c:pt idx="21">
                  <c:v>11.464814814814813</c:v>
                </c:pt>
                <c:pt idx="22">
                  <c:v>11.747382716049382</c:v>
                </c:pt>
                <c:pt idx="23">
                  <c:v>11.98474074074074</c:v>
                </c:pt>
                <c:pt idx="24">
                  <c:v>12.297456790123457</c:v>
                </c:pt>
                <c:pt idx="25">
                  <c:v>12.534814814814814</c:v>
                </c:pt>
                <c:pt idx="26">
                  <c:v>12.7458024691358</c:v>
                </c:pt>
                <c:pt idx="27">
                  <c:v>12.941728395061729</c:v>
                </c:pt>
                <c:pt idx="28">
                  <c:v>13.10753086419753</c:v>
                </c:pt>
                <c:pt idx="29">
                  <c:v>13.265679012345677</c:v>
                </c:pt>
                <c:pt idx="30">
                  <c:v>13.42395061728395</c:v>
                </c:pt>
                <c:pt idx="31">
                  <c:v>13.570864197530863</c:v>
                </c:pt>
                <c:pt idx="32">
                  <c:v>13.695185185185183</c:v>
                </c:pt>
                <c:pt idx="33">
                  <c:v>13.804444444444444</c:v>
                </c:pt>
                <c:pt idx="34">
                  <c:v>13.925061728395063</c:v>
                </c:pt>
                <c:pt idx="35">
                  <c:v>14.011728395061727</c:v>
                </c:pt>
                <c:pt idx="36">
                  <c:v>14.124691358024689</c:v>
                </c:pt>
                <c:pt idx="37">
                  <c:v>14.226419753086418</c:v>
                </c:pt>
                <c:pt idx="38">
                  <c:v>14.313086419753086</c:v>
                </c:pt>
                <c:pt idx="39">
                  <c:v>14.392222222222221</c:v>
                </c:pt>
                <c:pt idx="40">
                  <c:v>14.490246913580247</c:v>
                </c:pt>
                <c:pt idx="41">
                  <c:v>14.546666666666665</c:v>
                </c:pt>
                <c:pt idx="42">
                  <c:v>14.61074074074074</c:v>
                </c:pt>
                <c:pt idx="43">
                  <c:v>14.659753086419753</c:v>
                </c:pt>
                <c:pt idx="44">
                  <c:v>14.738888888888887</c:v>
                </c:pt>
                <c:pt idx="45">
                  <c:v>14.791604938271602</c:v>
                </c:pt>
                <c:pt idx="46">
                  <c:v>14.844320987654321</c:v>
                </c:pt>
                <c:pt idx="47">
                  <c:v>14.889506172839505</c:v>
                </c:pt>
                <c:pt idx="48">
                  <c:v>14.946049382716049</c:v>
                </c:pt>
                <c:pt idx="49">
                  <c:v>14.995061728395061</c:v>
                </c:pt>
                <c:pt idx="50">
                  <c:v>15.051604938271602</c:v>
                </c:pt>
                <c:pt idx="51">
                  <c:v>15.11938271604938</c:v>
                </c:pt>
                <c:pt idx="52">
                  <c:v>15.175925925925924</c:v>
                </c:pt>
                <c:pt idx="53">
                  <c:v>15.209753086419752</c:v>
                </c:pt>
                <c:pt idx="54">
                  <c:v>15.239999999999998</c:v>
                </c:pt>
                <c:pt idx="55">
                  <c:v>15.277654320987653</c:v>
                </c:pt>
                <c:pt idx="56">
                  <c:v>15.319012345679011</c:v>
                </c:pt>
                <c:pt idx="57">
                  <c:v>15.368024691358023</c:v>
                </c:pt>
                <c:pt idx="58">
                  <c:v>15.390617283950617</c:v>
                </c:pt>
                <c:pt idx="59">
                  <c:v>15.386913580246912</c:v>
                </c:pt>
                <c:pt idx="60">
                  <c:v>15.405679012345677</c:v>
                </c:pt>
                <c:pt idx="61">
                  <c:v>15.417037037037037</c:v>
                </c:pt>
                <c:pt idx="62">
                  <c:v>15.454691358024689</c:v>
                </c:pt>
                <c:pt idx="63">
                  <c:v>15.484814814814815</c:v>
                </c:pt>
                <c:pt idx="64">
                  <c:v>15.526296296296294</c:v>
                </c:pt>
                <c:pt idx="65">
                  <c:v>15.556419753086418</c:v>
                </c:pt>
                <c:pt idx="66">
                  <c:v>15.590370370370369</c:v>
                </c:pt>
                <c:pt idx="67">
                  <c:v>15.620493827160493</c:v>
                </c:pt>
                <c:pt idx="68">
                  <c:v>15.654444444444444</c:v>
                </c:pt>
                <c:pt idx="69">
                  <c:v>15.684567901234566</c:v>
                </c:pt>
                <c:pt idx="70">
                  <c:v>15.718395061728396</c:v>
                </c:pt>
                <c:pt idx="71">
                  <c:v>15.725925925925925</c:v>
                </c:pt>
                <c:pt idx="72">
                  <c:v>15.740987654320987</c:v>
                </c:pt>
                <c:pt idx="73">
                  <c:v>15.763703703703703</c:v>
                </c:pt>
                <c:pt idx="74">
                  <c:v>15.786296296296294</c:v>
                </c:pt>
                <c:pt idx="75">
                  <c:v>15.805061728395062</c:v>
                </c:pt>
                <c:pt idx="76">
                  <c:v>15.820123456790125</c:v>
                </c:pt>
                <c:pt idx="77">
                  <c:v>15.82395061728395</c:v>
                </c:pt>
                <c:pt idx="78">
                  <c:v>15.839012345679013</c:v>
                </c:pt>
                <c:pt idx="79">
                  <c:v>15.850246913580245</c:v>
                </c:pt>
                <c:pt idx="80">
                  <c:v>15.861604938271604</c:v>
                </c:pt>
                <c:pt idx="81">
                  <c:v>15.876666666666663</c:v>
                </c:pt>
                <c:pt idx="82">
                  <c:v>15.888024691358023</c:v>
                </c:pt>
                <c:pt idx="83">
                  <c:v>15.914320987654323</c:v>
                </c:pt>
                <c:pt idx="84">
                  <c:v>15.929382716049382</c:v>
                </c:pt>
                <c:pt idx="85">
                  <c:v>15.967037037037036</c:v>
                </c:pt>
                <c:pt idx="86">
                  <c:v>15.978395061728392</c:v>
                </c:pt>
                <c:pt idx="87">
                  <c:v>15.997283950617284</c:v>
                </c:pt>
                <c:pt idx="88">
                  <c:v>16.008518518518514</c:v>
                </c:pt>
                <c:pt idx="89">
                  <c:v>16.023580246913578</c:v>
                </c:pt>
                <c:pt idx="90">
                  <c:v>16.049999999999997</c:v>
                </c:pt>
                <c:pt idx="91">
                  <c:v>16.076419753086416</c:v>
                </c:pt>
                <c:pt idx="92">
                  <c:v>16.080123456790126</c:v>
                </c:pt>
                <c:pt idx="93">
                  <c:v>16.09148148148148</c:v>
                </c:pt>
                <c:pt idx="94">
                  <c:v>16.114074074074072</c:v>
                </c:pt>
                <c:pt idx="95">
                  <c:v>16.129135802469136</c:v>
                </c:pt>
                <c:pt idx="96">
                  <c:v>16.155432098765431</c:v>
                </c:pt>
                <c:pt idx="97">
                  <c:v>16.170493827160495</c:v>
                </c:pt>
                <c:pt idx="98">
                  <c:v>16.18938271604938</c:v>
                </c:pt>
                <c:pt idx="99">
                  <c:v>16.211975308641971</c:v>
                </c:pt>
                <c:pt idx="100">
                  <c:v>16.230864197530863</c:v>
                </c:pt>
                <c:pt idx="101">
                  <c:v>16.230864197530863</c:v>
                </c:pt>
                <c:pt idx="102">
                  <c:v>16.245925925925924</c:v>
                </c:pt>
                <c:pt idx="103">
                  <c:v>16.245925925925924</c:v>
                </c:pt>
                <c:pt idx="104">
                  <c:v>16.200740740740741</c:v>
                </c:pt>
                <c:pt idx="105">
                  <c:v>16.204444444444441</c:v>
                </c:pt>
                <c:pt idx="106">
                  <c:v>16.211975308641971</c:v>
                </c:pt>
                <c:pt idx="107">
                  <c:v>16.223333333333333</c:v>
                </c:pt>
                <c:pt idx="108">
                  <c:v>16.245925925925924</c:v>
                </c:pt>
                <c:pt idx="109">
                  <c:v>16.260987654320989</c:v>
                </c:pt>
                <c:pt idx="110">
                  <c:v>16.260987654320989</c:v>
                </c:pt>
                <c:pt idx="111">
                  <c:v>16.28358024691358</c:v>
                </c:pt>
                <c:pt idx="112">
                  <c:v>16.29111111111111</c:v>
                </c:pt>
                <c:pt idx="113">
                  <c:v>16.279753086419749</c:v>
                </c:pt>
                <c:pt idx="114">
                  <c:v>16.272222222222219</c:v>
                </c:pt>
                <c:pt idx="115">
                  <c:v>16.272222222222219</c:v>
                </c:pt>
                <c:pt idx="116">
                  <c:v>16.268518518518519</c:v>
                </c:pt>
                <c:pt idx="117">
                  <c:v>16.28358024691358</c:v>
                </c:pt>
                <c:pt idx="118">
                  <c:v>16.306172839506171</c:v>
                </c:pt>
                <c:pt idx="119">
                  <c:v>16.32506172839506</c:v>
                </c:pt>
                <c:pt idx="120">
                  <c:v>16.332592592592594</c:v>
                </c:pt>
                <c:pt idx="121">
                  <c:v>16.321234567901232</c:v>
                </c:pt>
                <c:pt idx="122">
                  <c:v>16.321234567901232</c:v>
                </c:pt>
                <c:pt idx="123">
                  <c:v>16.328765432098766</c:v>
                </c:pt>
                <c:pt idx="124">
                  <c:v>16.340123456790124</c:v>
                </c:pt>
                <c:pt idx="125">
                  <c:v>16.351358024691358</c:v>
                </c:pt>
                <c:pt idx="126">
                  <c:v>16.355185185185185</c:v>
                </c:pt>
                <c:pt idx="127">
                  <c:v>16.355185185185185</c:v>
                </c:pt>
                <c:pt idx="128">
                  <c:v>16.358888888888888</c:v>
                </c:pt>
                <c:pt idx="129">
                  <c:v>16.373950617283949</c:v>
                </c:pt>
                <c:pt idx="130">
                  <c:v>16.377777777777776</c:v>
                </c:pt>
                <c:pt idx="131">
                  <c:v>16.38148148148148</c:v>
                </c:pt>
                <c:pt idx="132">
                  <c:v>16.38901234567901</c:v>
                </c:pt>
                <c:pt idx="133">
                  <c:v>16.404197530864195</c:v>
                </c:pt>
                <c:pt idx="134">
                  <c:v>16.415432098765429</c:v>
                </c:pt>
                <c:pt idx="135">
                  <c:v>16.430493827160493</c:v>
                </c:pt>
                <c:pt idx="136">
                  <c:v>16.441851851851851</c:v>
                </c:pt>
                <c:pt idx="137">
                  <c:v>16.460617283950615</c:v>
                </c:pt>
                <c:pt idx="138">
                  <c:v>16.468148148148149</c:v>
                </c:pt>
                <c:pt idx="139">
                  <c:v>16.479506172839503</c:v>
                </c:pt>
                <c:pt idx="140">
                  <c:v>16.483209876543206</c:v>
                </c:pt>
                <c:pt idx="141">
                  <c:v>16.483209876543206</c:v>
                </c:pt>
                <c:pt idx="142">
                  <c:v>16.49074074074074</c:v>
                </c:pt>
                <c:pt idx="143">
                  <c:v>16.49074074074074</c:v>
                </c:pt>
                <c:pt idx="144">
                  <c:v>16.502098765432098</c:v>
                </c:pt>
                <c:pt idx="145">
                  <c:v>16.517160493827159</c:v>
                </c:pt>
                <c:pt idx="146">
                  <c:v>16.517160493827159</c:v>
                </c:pt>
                <c:pt idx="147">
                  <c:v>16.52469135802469</c:v>
                </c:pt>
                <c:pt idx="148">
                  <c:v>16.53222222222222</c:v>
                </c:pt>
                <c:pt idx="149">
                  <c:v>16.53222222222222</c:v>
                </c:pt>
                <c:pt idx="150">
                  <c:v>16.539753086419751</c:v>
                </c:pt>
                <c:pt idx="151">
                  <c:v>16.558641975308642</c:v>
                </c:pt>
                <c:pt idx="152">
                  <c:v>16.558641975308642</c:v>
                </c:pt>
                <c:pt idx="153">
                  <c:v>16.562345679012346</c:v>
                </c:pt>
                <c:pt idx="154">
                  <c:v>16.554814814814815</c:v>
                </c:pt>
                <c:pt idx="155">
                  <c:v>16.543580246913578</c:v>
                </c:pt>
                <c:pt idx="156">
                  <c:v>16.551111111111108</c:v>
                </c:pt>
                <c:pt idx="157">
                  <c:v>16.547283950617281</c:v>
                </c:pt>
                <c:pt idx="158">
                  <c:v>16.551111111111108</c:v>
                </c:pt>
                <c:pt idx="159">
                  <c:v>16.551111111111108</c:v>
                </c:pt>
                <c:pt idx="160">
                  <c:v>16.558641975308642</c:v>
                </c:pt>
                <c:pt idx="161">
                  <c:v>16.581234567901234</c:v>
                </c:pt>
                <c:pt idx="162">
                  <c:v>16.596296296296295</c:v>
                </c:pt>
                <c:pt idx="163">
                  <c:v>16.607530864197528</c:v>
                </c:pt>
                <c:pt idx="164">
                  <c:v>16.603827160493829</c:v>
                </c:pt>
                <c:pt idx="165">
                  <c:v>16.599999999999998</c:v>
                </c:pt>
                <c:pt idx="166">
                  <c:v>16.596296296296295</c:v>
                </c:pt>
                <c:pt idx="167">
                  <c:v>16.599999999999998</c:v>
                </c:pt>
                <c:pt idx="168">
                  <c:v>16.603827160493829</c:v>
                </c:pt>
                <c:pt idx="169">
                  <c:v>16.611358024691356</c:v>
                </c:pt>
                <c:pt idx="170">
                  <c:v>16.630246913580244</c:v>
                </c:pt>
                <c:pt idx="171">
                  <c:v>16.630246913580244</c:v>
                </c:pt>
                <c:pt idx="172">
                  <c:v>16.622716049382717</c:v>
                </c:pt>
                <c:pt idx="173">
                  <c:v>16.633950617283947</c:v>
                </c:pt>
                <c:pt idx="174">
                  <c:v>16.645308641975308</c:v>
                </c:pt>
                <c:pt idx="175">
                  <c:v>16.652839506172839</c:v>
                </c:pt>
                <c:pt idx="176">
                  <c:v>16.656543209876542</c:v>
                </c:pt>
                <c:pt idx="177">
                  <c:v>16.664074074074072</c:v>
                </c:pt>
                <c:pt idx="178">
                  <c:v>16.679135802469133</c:v>
                </c:pt>
                <c:pt idx="179">
                  <c:v>16.686666666666664</c:v>
                </c:pt>
                <c:pt idx="180">
                  <c:v>16.690493827160495</c:v>
                </c:pt>
                <c:pt idx="181">
                  <c:v>16.701728395061725</c:v>
                </c:pt>
                <c:pt idx="182">
                  <c:v>16.709259259259255</c:v>
                </c:pt>
                <c:pt idx="183">
                  <c:v>16.709259259259255</c:v>
                </c:pt>
                <c:pt idx="184">
                  <c:v>16.690493827160495</c:v>
                </c:pt>
                <c:pt idx="185">
                  <c:v>16.686666666666664</c:v>
                </c:pt>
                <c:pt idx="186">
                  <c:v>16.67543209876543</c:v>
                </c:pt>
                <c:pt idx="187">
                  <c:v>16.679135802469133</c:v>
                </c:pt>
                <c:pt idx="188">
                  <c:v>16.667901234567903</c:v>
                </c:pt>
                <c:pt idx="189">
                  <c:v>16.671604938271606</c:v>
                </c:pt>
                <c:pt idx="190">
                  <c:v>16.67543209876543</c:v>
                </c:pt>
                <c:pt idx="191">
                  <c:v>16.67543209876543</c:v>
                </c:pt>
                <c:pt idx="192">
                  <c:v>16.690493827160495</c:v>
                </c:pt>
                <c:pt idx="193">
                  <c:v>16.698024691358025</c:v>
                </c:pt>
                <c:pt idx="194">
                  <c:v>16.709259259259255</c:v>
                </c:pt>
                <c:pt idx="195">
                  <c:v>16.72444444444444</c:v>
                </c:pt>
                <c:pt idx="196">
                  <c:v>16.735679012345678</c:v>
                </c:pt>
                <c:pt idx="197">
                  <c:v>16.731975308641974</c:v>
                </c:pt>
                <c:pt idx="198">
                  <c:v>16.731975308641974</c:v>
                </c:pt>
                <c:pt idx="199">
                  <c:v>16.72444444444444</c:v>
                </c:pt>
                <c:pt idx="200">
                  <c:v>16.713086419753086</c:v>
                </c:pt>
                <c:pt idx="201">
                  <c:v>16.720617283950617</c:v>
                </c:pt>
                <c:pt idx="202">
                  <c:v>16.743209876543208</c:v>
                </c:pt>
                <c:pt idx="203">
                  <c:v>16.750740740740738</c:v>
                </c:pt>
                <c:pt idx="204">
                  <c:v>16.7620987654321</c:v>
                </c:pt>
                <c:pt idx="205">
                  <c:v>16.765802469135803</c:v>
                </c:pt>
                <c:pt idx="206">
                  <c:v>16.754567901234566</c:v>
                </c:pt>
                <c:pt idx="207">
                  <c:v>16.743209876543208</c:v>
                </c:pt>
                <c:pt idx="208">
                  <c:v>16.747037037037035</c:v>
                </c:pt>
                <c:pt idx="209">
                  <c:v>16.758271604938273</c:v>
                </c:pt>
                <c:pt idx="210">
                  <c:v>16.77333333333333</c:v>
                </c:pt>
                <c:pt idx="211">
                  <c:v>16.792222222222222</c:v>
                </c:pt>
                <c:pt idx="212">
                  <c:v>16.795925925925925</c:v>
                </c:pt>
                <c:pt idx="213">
                  <c:v>16.799753086419752</c:v>
                </c:pt>
                <c:pt idx="214">
                  <c:v>16.814814814814813</c:v>
                </c:pt>
                <c:pt idx="215">
                  <c:v>16.822345679012344</c:v>
                </c:pt>
                <c:pt idx="216">
                  <c:v>16.829876543209878</c:v>
                </c:pt>
                <c:pt idx="217">
                  <c:v>16.833703703703701</c:v>
                </c:pt>
                <c:pt idx="218">
                  <c:v>16.833703703703701</c:v>
                </c:pt>
                <c:pt idx="219">
                  <c:v>16.848765432098766</c:v>
                </c:pt>
                <c:pt idx="220">
                  <c:v>16.856296296296296</c:v>
                </c:pt>
                <c:pt idx="221">
                  <c:v>16.863827160493827</c:v>
                </c:pt>
                <c:pt idx="222">
                  <c:v>16.86</c:v>
                </c:pt>
                <c:pt idx="223">
                  <c:v>16.86</c:v>
                </c:pt>
                <c:pt idx="224">
                  <c:v>16.86753086419753</c:v>
                </c:pt>
                <c:pt idx="225">
                  <c:v>16.871358024691357</c:v>
                </c:pt>
                <c:pt idx="226">
                  <c:v>16.878888888888888</c:v>
                </c:pt>
                <c:pt idx="227">
                  <c:v>16.882592592592591</c:v>
                </c:pt>
                <c:pt idx="228">
                  <c:v>16.886419753086418</c:v>
                </c:pt>
                <c:pt idx="229">
                  <c:v>16.893950617283949</c:v>
                </c:pt>
                <c:pt idx="230">
                  <c:v>16.897654320987655</c:v>
                </c:pt>
                <c:pt idx="231">
                  <c:v>16.90901234567901</c:v>
                </c:pt>
                <c:pt idx="232">
                  <c:v>16.90901234567901</c:v>
                </c:pt>
                <c:pt idx="233">
                  <c:v>16.905185185185186</c:v>
                </c:pt>
                <c:pt idx="234">
                  <c:v>16.893950617283949</c:v>
                </c:pt>
                <c:pt idx="235">
                  <c:v>16.886419753086418</c:v>
                </c:pt>
                <c:pt idx="236">
                  <c:v>16.886419753086418</c:v>
                </c:pt>
                <c:pt idx="237">
                  <c:v>16.878888888888888</c:v>
                </c:pt>
                <c:pt idx="238">
                  <c:v>16.878888888888888</c:v>
                </c:pt>
                <c:pt idx="239">
                  <c:v>16.882592592592591</c:v>
                </c:pt>
                <c:pt idx="240">
                  <c:v>16.890123456790121</c:v>
                </c:pt>
                <c:pt idx="241">
                  <c:v>16.901481481481479</c:v>
                </c:pt>
                <c:pt idx="242">
                  <c:v>16.90901234567901</c:v>
                </c:pt>
                <c:pt idx="243">
                  <c:v>16.905185185185186</c:v>
                </c:pt>
                <c:pt idx="244">
                  <c:v>16.905185185185186</c:v>
                </c:pt>
                <c:pt idx="245">
                  <c:v>16.90901234567901</c:v>
                </c:pt>
                <c:pt idx="246">
                  <c:v>16.905185185185186</c:v>
                </c:pt>
                <c:pt idx="247">
                  <c:v>16.912716049382716</c:v>
                </c:pt>
                <c:pt idx="248">
                  <c:v>16.912716049382716</c:v>
                </c:pt>
                <c:pt idx="249">
                  <c:v>16.901481481481479</c:v>
                </c:pt>
                <c:pt idx="250">
                  <c:v>16.886419753086418</c:v>
                </c:pt>
                <c:pt idx="251">
                  <c:v>16.882592592592591</c:v>
                </c:pt>
                <c:pt idx="252">
                  <c:v>16.87506172839506</c:v>
                </c:pt>
                <c:pt idx="253">
                  <c:v>16.863827160493827</c:v>
                </c:pt>
                <c:pt idx="254">
                  <c:v>16.86</c:v>
                </c:pt>
                <c:pt idx="255">
                  <c:v>16.86</c:v>
                </c:pt>
                <c:pt idx="256">
                  <c:v>16.86</c:v>
                </c:pt>
                <c:pt idx="257">
                  <c:v>16.871358024691357</c:v>
                </c:pt>
                <c:pt idx="258">
                  <c:v>16.871358024691357</c:v>
                </c:pt>
                <c:pt idx="259">
                  <c:v>16.882592592592591</c:v>
                </c:pt>
                <c:pt idx="260">
                  <c:v>16.893950617283949</c:v>
                </c:pt>
                <c:pt idx="261">
                  <c:v>16.897654320987655</c:v>
                </c:pt>
                <c:pt idx="262">
                  <c:v>16.90901234567901</c:v>
                </c:pt>
                <c:pt idx="263">
                  <c:v>16.905185185185186</c:v>
                </c:pt>
                <c:pt idx="264">
                  <c:v>16.897654320987655</c:v>
                </c:pt>
                <c:pt idx="265">
                  <c:v>16.882592592592591</c:v>
                </c:pt>
                <c:pt idx="266">
                  <c:v>16.871358024691357</c:v>
                </c:pt>
                <c:pt idx="267">
                  <c:v>16.882592592592591</c:v>
                </c:pt>
                <c:pt idx="268">
                  <c:v>16.890123456790121</c:v>
                </c:pt>
                <c:pt idx="269">
                  <c:v>16.893950617283949</c:v>
                </c:pt>
                <c:pt idx="270">
                  <c:v>16.901481481481479</c:v>
                </c:pt>
                <c:pt idx="271">
                  <c:v>16.901481481481479</c:v>
                </c:pt>
                <c:pt idx="272">
                  <c:v>16.897654320987655</c:v>
                </c:pt>
                <c:pt idx="273">
                  <c:v>16.897654320987655</c:v>
                </c:pt>
                <c:pt idx="274">
                  <c:v>16.901481481481479</c:v>
                </c:pt>
                <c:pt idx="275">
                  <c:v>16.897654320987655</c:v>
                </c:pt>
                <c:pt idx="276">
                  <c:v>16.901481481481479</c:v>
                </c:pt>
                <c:pt idx="277">
                  <c:v>16.897654320987655</c:v>
                </c:pt>
                <c:pt idx="278">
                  <c:v>16.897654320987655</c:v>
                </c:pt>
                <c:pt idx="279">
                  <c:v>16.901481481481479</c:v>
                </c:pt>
                <c:pt idx="280">
                  <c:v>16.90901234567901</c:v>
                </c:pt>
                <c:pt idx="281">
                  <c:v>16.920246913580247</c:v>
                </c:pt>
                <c:pt idx="282">
                  <c:v>16.916543209876544</c:v>
                </c:pt>
                <c:pt idx="283">
                  <c:v>16.920246913580247</c:v>
                </c:pt>
                <c:pt idx="284">
                  <c:v>16.935432098765432</c:v>
                </c:pt>
                <c:pt idx="285">
                  <c:v>16.939135802469135</c:v>
                </c:pt>
                <c:pt idx="286">
                  <c:v>16.935432098765432</c:v>
                </c:pt>
                <c:pt idx="287">
                  <c:v>16.935432098765432</c:v>
                </c:pt>
                <c:pt idx="288">
                  <c:v>16.931604938271605</c:v>
                </c:pt>
                <c:pt idx="289">
                  <c:v>16.935432098765432</c:v>
                </c:pt>
                <c:pt idx="290">
                  <c:v>16.939135802469135</c:v>
                </c:pt>
                <c:pt idx="291">
                  <c:v>16.939135802469135</c:v>
                </c:pt>
                <c:pt idx="292">
                  <c:v>16.950493827160493</c:v>
                </c:pt>
                <c:pt idx="293">
                  <c:v>16.969259259259257</c:v>
                </c:pt>
                <c:pt idx="294">
                  <c:v>16.973086419753084</c:v>
                </c:pt>
                <c:pt idx="295">
                  <c:v>16.976790123456787</c:v>
                </c:pt>
                <c:pt idx="296">
                  <c:v>16.980617283950615</c:v>
                </c:pt>
                <c:pt idx="297">
                  <c:v>16.995679012345676</c:v>
                </c:pt>
                <c:pt idx="298">
                  <c:v>17.00320987654321</c:v>
                </c:pt>
                <c:pt idx="299">
                  <c:v>16.999382716049382</c:v>
                </c:pt>
                <c:pt idx="300">
                  <c:v>16.995679012345676</c:v>
                </c:pt>
                <c:pt idx="301">
                  <c:v>16.991851851851852</c:v>
                </c:pt>
                <c:pt idx="302">
                  <c:v>16.995679012345676</c:v>
                </c:pt>
                <c:pt idx="303">
                  <c:v>16.991851851851852</c:v>
                </c:pt>
                <c:pt idx="304">
                  <c:v>16.999382716049382</c:v>
                </c:pt>
                <c:pt idx="305">
                  <c:v>17.00320987654321</c:v>
                </c:pt>
                <c:pt idx="306">
                  <c:v>17.01074074074074</c:v>
                </c:pt>
                <c:pt idx="307">
                  <c:v>17.00320987654321</c:v>
                </c:pt>
                <c:pt idx="308">
                  <c:v>17.00320987654321</c:v>
                </c:pt>
                <c:pt idx="309">
                  <c:v>17.00320987654321</c:v>
                </c:pt>
                <c:pt idx="310">
                  <c:v>17.01074074074074</c:v>
                </c:pt>
                <c:pt idx="311">
                  <c:v>17.021975308641974</c:v>
                </c:pt>
                <c:pt idx="312">
                  <c:v>17.021975308641974</c:v>
                </c:pt>
                <c:pt idx="313">
                  <c:v>17.018271604938271</c:v>
                </c:pt>
                <c:pt idx="314">
                  <c:v>17.006913580246916</c:v>
                </c:pt>
                <c:pt idx="315">
                  <c:v>16.991851851851852</c:v>
                </c:pt>
                <c:pt idx="316">
                  <c:v>16.973086419753084</c:v>
                </c:pt>
                <c:pt idx="317">
                  <c:v>16.973086419753084</c:v>
                </c:pt>
                <c:pt idx="318">
                  <c:v>16.973086419753084</c:v>
                </c:pt>
                <c:pt idx="319">
                  <c:v>16.980617283950615</c:v>
                </c:pt>
                <c:pt idx="320">
                  <c:v>16.991851851851852</c:v>
                </c:pt>
                <c:pt idx="321">
                  <c:v>17.00320987654321</c:v>
                </c:pt>
                <c:pt idx="322">
                  <c:v>17.01074074074074</c:v>
                </c:pt>
                <c:pt idx="323">
                  <c:v>17.01074074074074</c:v>
                </c:pt>
                <c:pt idx="324">
                  <c:v>17.006913580246916</c:v>
                </c:pt>
                <c:pt idx="325">
                  <c:v>16.995679012345676</c:v>
                </c:pt>
                <c:pt idx="326">
                  <c:v>16.995679012345676</c:v>
                </c:pt>
                <c:pt idx="327">
                  <c:v>16.999382716049382</c:v>
                </c:pt>
                <c:pt idx="328">
                  <c:v>16.995679012345676</c:v>
                </c:pt>
                <c:pt idx="329">
                  <c:v>16.999382716049382</c:v>
                </c:pt>
                <c:pt idx="330">
                  <c:v>16.999382716049382</c:v>
                </c:pt>
                <c:pt idx="331">
                  <c:v>16.999382716049382</c:v>
                </c:pt>
                <c:pt idx="332">
                  <c:v>17.00320987654321</c:v>
                </c:pt>
                <c:pt idx="333">
                  <c:v>17.01074074074074</c:v>
                </c:pt>
                <c:pt idx="334">
                  <c:v>17.025802469135801</c:v>
                </c:pt>
                <c:pt idx="335">
                  <c:v>17.033333333333331</c:v>
                </c:pt>
                <c:pt idx="336">
                  <c:v>17.037037037037035</c:v>
                </c:pt>
                <c:pt idx="337">
                  <c:v>17.044691358024689</c:v>
                </c:pt>
                <c:pt idx="338">
                  <c:v>17.048395061728392</c:v>
                </c:pt>
                <c:pt idx="339">
                  <c:v>17.048395061728392</c:v>
                </c:pt>
                <c:pt idx="340">
                  <c:v>17.048395061728392</c:v>
                </c:pt>
                <c:pt idx="341">
                  <c:v>17.05975308641975</c:v>
                </c:pt>
                <c:pt idx="342">
                  <c:v>17.067283950617281</c:v>
                </c:pt>
                <c:pt idx="343">
                  <c:v>17.074814814814815</c:v>
                </c:pt>
                <c:pt idx="344">
                  <c:v>17.067283950617281</c:v>
                </c:pt>
                <c:pt idx="345">
                  <c:v>17.052222222222223</c:v>
                </c:pt>
                <c:pt idx="346">
                  <c:v>17.044691358024689</c:v>
                </c:pt>
                <c:pt idx="347">
                  <c:v>17.040864197530862</c:v>
                </c:pt>
                <c:pt idx="348">
                  <c:v>17.048395061728392</c:v>
                </c:pt>
                <c:pt idx="349">
                  <c:v>17.05975308641975</c:v>
                </c:pt>
                <c:pt idx="350">
                  <c:v>17.05975308641975</c:v>
                </c:pt>
                <c:pt idx="351">
                  <c:v>17.05975308641975</c:v>
                </c:pt>
                <c:pt idx="352">
                  <c:v>17.055925925925926</c:v>
                </c:pt>
                <c:pt idx="353">
                  <c:v>17.063456790123453</c:v>
                </c:pt>
                <c:pt idx="354">
                  <c:v>17.063456790123453</c:v>
                </c:pt>
                <c:pt idx="355">
                  <c:v>17.070987654320987</c:v>
                </c:pt>
                <c:pt idx="356">
                  <c:v>17.063456790123453</c:v>
                </c:pt>
                <c:pt idx="357">
                  <c:v>17.063456790123453</c:v>
                </c:pt>
                <c:pt idx="358">
                  <c:v>17.05975308641975</c:v>
                </c:pt>
                <c:pt idx="359">
                  <c:v>17.063456790123453</c:v>
                </c:pt>
                <c:pt idx="360">
                  <c:v>17.078518518518518</c:v>
                </c:pt>
                <c:pt idx="361">
                  <c:v>17.082345679012345</c:v>
                </c:pt>
                <c:pt idx="362">
                  <c:v>17.089876543209876</c:v>
                </c:pt>
                <c:pt idx="363">
                  <c:v>17.09740740740741</c:v>
                </c:pt>
                <c:pt idx="364">
                  <c:v>17.104938271604937</c:v>
                </c:pt>
                <c:pt idx="365">
                  <c:v>17.104938271604937</c:v>
                </c:pt>
                <c:pt idx="366">
                  <c:v>17.10864197530864</c:v>
                </c:pt>
                <c:pt idx="367">
                  <c:v>17.104938271604937</c:v>
                </c:pt>
                <c:pt idx="368">
                  <c:v>17.112469135802467</c:v>
                </c:pt>
                <c:pt idx="369">
                  <c:v>17.11617283950617</c:v>
                </c:pt>
                <c:pt idx="370">
                  <c:v>17.112469135802467</c:v>
                </c:pt>
                <c:pt idx="371">
                  <c:v>17.10864197530864</c:v>
                </c:pt>
                <c:pt idx="372">
                  <c:v>17.104938271604937</c:v>
                </c:pt>
                <c:pt idx="373">
                  <c:v>17.104938271604937</c:v>
                </c:pt>
                <c:pt idx="374">
                  <c:v>17.101111111111113</c:v>
                </c:pt>
                <c:pt idx="375">
                  <c:v>17.104938271604937</c:v>
                </c:pt>
                <c:pt idx="376">
                  <c:v>17.104938271604937</c:v>
                </c:pt>
                <c:pt idx="377">
                  <c:v>17.112469135802467</c:v>
                </c:pt>
                <c:pt idx="378">
                  <c:v>17.12</c:v>
                </c:pt>
                <c:pt idx="379">
                  <c:v>17.127530864197528</c:v>
                </c:pt>
                <c:pt idx="380">
                  <c:v>17.123703703703701</c:v>
                </c:pt>
                <c:pt idx="381">
                  <c:v>17.123703703703701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9F6-4B87-BA1D-73BAB01E4585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'20221231T210000'!$O$11:$O$500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  <c:pt idx="376">
                  <c:v>1.7984</c:v>
                </c:pt>
                <c:pt idx="377">
                  <c:v>1.8034399999999999</c:v>
                </c:pt>
                <c:pt idx="378">
                  <c:v>1.80847</c:v>
                </c:pt>
                <c:pt idx="379">
                  <c:v>1.81351</c:v>
                </c:pt>
                <c:pt idx="380">
                  <c:v>1.81854</c:v>
                </c:pt>
                <c:pt idx="381">
                  <c:v>1.82358</c:v>
                </c:pt>
              </c:numCache>
            </c:numRef>
          </c:xVal>
          <c:yVal>
            <c:numRef>
              <c:f>'20221231T210000'!$T$11:$T$500</c:f>
              <c:numCache>
                <c:formatCode>General</c:formatCode>
                <c:ptCount val="490"/>
                <c:pt idx="0">
                  <c:v>17.104938271604937</c:v>
                </c:pt>
                <c:pt idx="1">
                  <c:v>17.112469135802467</c:v>
                </c:pt>
                <c:pt idx="2">
                  <c:v>17.112469135802467</c:v>
                </c:pt>
                <c:pt idx="3">
                  <c:v>17.104938271604937</c:v>
                </c:pt>
                <c:pt idx="4">
                  <c:v>17.09740740740741</c:v>
                </c:pt>
                <c:pt idx="5">
                  <c:v>17.089876543209876</c:v>
                </c:pt>
                <c:pt idx="6">
                  <c:v>17.074814814814815</c:v>
                </c:pt>
                <c:pt idx="7">
                  <c:v>17.05975308641975</c:v>
                </c:pt>
                <c:pt idx="8">
                  <c:v>17.05975308641975</c:v>
                </c:pt>
                <c:pt idx="9">
                  <c:v>17.052222222222223</c:v>
                </c:pt>
                <c:pt idx="10">
                  <c:v>17.048395061728392</c:v>
                </c:pt>
                <c:pt idx="11">
                  <c:v>17.055925925925926</c:v>
                </c:pt>
                <c:pt idx="12">
                  <c:v>17.063456790123453</c:v>
                </c:pt>
                <c:pt idx="13">
                  <c:v>17.067283950617281</c:v>
                </c:pt>
                <c:pt idx="14">
                  <c:v>17.055925925925926</c:v>
                </c:pt>
                <c:pt idx="15">
                  <c:v>17.040864197530862</c:v>
                </c:pt>
                <c:pt idx="16">
                  <c:v>17.025802469135801</c:v>
                </c:pt>
                <c:pt idx="17">
                  <c:v>17.021975308641974</c:v>
                </c:pt>
                <c:pt idx="18">
                  <c:v>17.033333333333331</c:v>
                </c:pt>
                <c:pt idx="19">
                  <c:v>17.040864197530862</c:v>
                </c:pt>
                <c:pt idx="20">
                  <c:v>17.048395061728392</c:v>
                </c:pt>
                <c:pt idx="21">
                  <c:v>17.044691358024689</c:v>
                </c:pt>
                <c:pt idx="22">
                  <c:v>17.040864197530862</c:v>
                </c:pt>
                <c:pt idx="23">
                  <c:v>17.033333333333331</c:v>
                </c:pt>
                <c:pt idx="24">
                  <c:v>17.033333333333331</c:v>
                </c:pt>
                <c:pt idx="25">
                  <c:v>17.040864197530862</c:v>
                </c:pt>
                <c:pt idx="26">
                  <c:v>17.048395061728392</c:v>
                </c:pt>
                <c:pt idx="27">
                  <c:v>17.052222222222223</c:v>
                </c:pt>
                <c:pt idx="28">
                  <c:v>17.044691358024689</c:v>
                </c:pt>
                <c:pt idx="29">
                  <c:v>17.037037037037035</c:v>
                </c:pt>
                <c:pt idx="30">
                  <c:v>17.029506172839504</c:v>
                </c:pt>
                <c:pt idx="31">
                  <c:v>17.018271604938271</c:v>
                </c:pt>
                <c:pt idx="32">
                  <c:v>17.021975308641974</c:v>
                </c:pt>
                <c:pt idx="33">
                  <c:v>17.018271604938271</c:v>
                </c:pt>
                <c:pt idx="34">
                  <c:v>17.01074074074074</c:v>
                </c:pt>
                <c:pt idx="35">
                  <c:v>17.014444444444443</c:v>
                </c:pt>
                <c:pt idx="36">
                  <c:v>16.995679012345676</c:v>
                </c:pt>
                <c:pt idx="37">
                  <c:v>16.984320987654321</c:v>
                </c:pt>
                <c:pt idx="38">
                  <c:v>16.980617283950615</c:v>
                </c:pt>
                <c:pt idx="39">
                  <c:v>16.999382716049382</c:v>
                </c:pt>
                <c:pt idx="40">
                  <c:v>16.995679012345676</c:v>
                </c:pt>
                <c:pt idx="41">
                  <c:v>16.999382716049382</c:v>
                </c:pt>
                <c:pt idx="42">
                  <c:v>17.00320987654321</c:v>
                </c:pt>
                <c:pt idx="43">
                  <c:v>17.021975308641974</c:v>
                </c:pt>
                <c:pt idx="44">
                  <c:v>17.029506172839504</c:v>
                </c:pt>
                <c:pt idx="45">
                  <c:v>17.025802469135801</c:v>
                </c:pt>
                <c:pt idx="46">
                  <c:v>17.021975308641974</c:v>
                </c:pt>
                <c:pt idx="47">
                  <c:v>17.014444444444443</c:v>
                </c:pt>
                <c:pt idx="48">
                  <c:v>17.01074074074074</c:v>
                </c:pt>
                <c:pt idx="49">
                  <c:v>17.00320987654321</c:v>
                </c:pt>
                <c:pt idx="50">
                  <c:v>16.984320987654321</c:v>
                </c:pt>
                <c:pt idx="51">
                  <c:v>16.980617283950615</c:v>
                </c:pt>
                <c:pt idx="52">
                  <c:v>16.980617283950615</c:v>
                </c:pt>
                <c:pt idx="53">
                  <c:v>16.991851851851852</c:v>
                </c:pt>
                <c:pt idx="54">
                  <c:v>16.988148148148149</c:v>
                </c:pt>
                <c:pt idx="55">
                  <c:v>16.984320987654321</c:v>
                </c:pt>
                <c:pt idx="56">
                  <c:v>16.965555555555554</c:v>
                </c:pt>
                <c:pt idx="57">
                  <c:v>16.950493827160493</c:v>
                </c:pt>
                <c:pt idx="58">
                  <c:v>16.942962962962962</c:v>
                </c:pt>
                <c:pt idx="59">
                  <c:v>16.954197530864196</c:v>
                </c:pt>
                <c:pt idx="60">
                  <c:v>16.958024691358023</c:v>
                </c:pt>
                <c:pt idx="61">
                  <c:v>16.961728395061726</c:v>
                </c:pt>
                <c:pt idx="62">
                  <c:v>16.976790123456787</c:v>
                </c:pt>
                <c:pt idx="63">
                  <c:v>16.984320987654321</c:v>
                </c:pt>
                <c:pt idx="64">
                  <c:v>16.980617283950615</c:v>
                </c:pt>
                <c:pt idx="65">
                  <c:v>16.965555555555554</c:v>
                </c:pt>
                <c:pt idx="66">
                  <c:v>16.965555555555554</c:v>
                </c:pt>
                <c:pt idx="67">
                  <c:v>16.973086419753084</c:v>
                </c:pt>
                <c:pt idx="68">
                  <c:v>16.988148148148149</c:v>
                </c:pt>
                <c:pt idx="69">
                  <c:v>16.984320987654321</c:v>
                </c:pt>
                <c:pt idx="70">
                  <c:v>16.969259259259257</c:v>
                </c:pt>
                <c:pt idx="71">
                  <c:v>16.961728395061726</c:v>
                </c:pt>
                <c:pt idx="72">
                  <c:v>16.961728395061726</c:v>
                </c:pt>
                <c:pt idx="73">
                  <c:v>16.946666666666665</c:v>
                </c:pt>
                <c:pt idx="74">
                  <c:v>16.927777777777777</c:v>
                </c:pt>
                <c:pt idx="75">
                  <c:v>16.927777777777777</c:v>
                </c:pt>
                <c:pt idx="76">
                  <c:v>16.931604938271605</c:v>
                </c:pt>
                <c:pt idx="77">
                  <c:v>16.931604938271605</c:v>
                </c:pt>
                <c:pt idx="78">
                  <c:v>16.931604938271605</c:v>
                </c:pt>
                <c:pt idx="79">
                  <c:v>16.931604938271605</c:v>
                </c:pt>
                <c:pt idx="80">
                  <c:v>16.931604938271605</c:v>
                </c:pt>
                <c:pt idx="81">
                  <c:v>16.935432098765432</c:v>
                </c:pt>
                <c:pt idx="82">
                  <c:v>16.935432098765432</c:v>
                </c:pt>
                <c:pt idx="83">
                  <c:v>16.931604938271605</c:v>
                </c:pt>
                <c:pt idx="84">
                  <c:v>16.927777777777777</c:v>
                </c:pt>
                <c:pt idx="85">
                  <c:v>16.935432098765432</c:v>
                </c:pt>
                <c:pt idx="86">
                  <c:v>16.931604938271605</c:v>
                </c:pt>
                <c:pt idx="87">
                  <c:v>16.935432098765432</c:v>
                </c:pt>
                <c:pt idx="88">
                  <c:v>16.935432098765432</c:v>
                </c:pt>
                <c:pt idx="89">
                  <c:v>16.931604938271605</c:v>
                </c:pt>
                <c:pt idx="90">
                  <c:v>16.939135802469135</c:v>
                </c:pt>
                <c:pt idx="91">
                  <c:v>16.942962962962962</c:v>
                </c:pt>
                <c:pt idx="92">
                  <c:v>16.946666666666665</c:v>
                </c:pt>
                <c:pt idx="93">
                  <c:v>16.935432098765432</c:v>
                </c:pt>
                <c:pt idx="94">
                  <c:v>16.927777777777777</c:v>
                </c:pt>
                <c:pt idx="95">
                  <c:v>16.920246913580247</c:v>
                </c:pt>
                <c:pt idx="96">
                  <c:v>16.920246913580247</c:v>
                </c:pt>
                <c:pt idx="97">
                  <c:v>16.931604938271605</c:v>
                </c:pt>
                <c:pt idx="98">
                  <c:v>16.950493827160493</c:v>
                </c:pt>
                <c:pt idx="99">
                  <c:v>16.958024691358023</c:v>
                </c:pt>
                <c:pt idx="100">
                  <c:v>16.954197530864196</c:v>
                </c:pt>
                <c:pt idx="101">
                  <c:v>16.939135802469135</c:v>
                </c:pt>
                <c:pt idx="102">
                  <c:v>16.939135802469135</c:v>
                </c:pt>
                <c:pt idx="103">
                  <c:v>16.939135802469135</c:v>
                </c:pt>
                <c:pt idx="104">
                  <c:v>16.935432098765432</c:v>
                </c:pt>
                <c:pt idx="105">
                  <c:v>16.90901234567901</c:v>
                </c:pt>
                <c:pt idx="106">
                  <c:v>16.893950617283949</c:v>
                </c:pt>
                <c:pt idx="107">
                  <c:v>16.886419753086418</c:v>
                </c:pt>
                <c:pt idx="108">
                  <c:v>16.905185185185186</c:v>
                </c:pt>
                <c:pt idx="109">
                  <c:v>16.916543209876544</c:v>
                </c:pt>
                <c:pt idx="110">
                  <c:v>16.912716049382716</c:v>
                </c:pt>
                <c:pt idx="111">
                  <c:v>16.920246913580247</c:v>
                </c:pt>
                <c:pt idx="112">
                  <c:v>16.912716049382716</c:v>
                </c:pt>
                <c:pt idx="113">
                  <c:v>16.90901234567901</c:v>
                </c:pt>
                <c:pt idx="114">
                  <c:v>16.916543209876544</c:v>
                </c:pt>
                <c:pt idx="115">
                  <c:v>16.920246913580247</c:v>
                </c:pt>
                <c:pt idx="116">
                  <c:v>16.920246913580247</c:v>
                </c:pt>
                <c:pt idx="117">
                  <c:v>16.931604938271605</c:v>
                </c:pt>
                <c:pt idx="118">
                  <c:v>16.935432098765432</c:v>
                </c:pt>
                <c:pt idx="119">
                  <c:v>16.935432098765432</c:v>
                </c:pt>
                <c:pt idx="120">
                  <c:v>16.931604938271605</c:v>
                </c:pt>
                <c:pt idx="121">
                  <c:v>16.939135802469135</c:v>
                </c:pt>
                <c:pt idx="122">
                  <c:v>16.935432098765432</c:v>
                </c:pt>
                <c:pt idx="123">
                  <c:v>16.935432098765432</c:v>
                </c:pt>
                <c:pt idx="124">
                  <c:v>16.931604938271605</c:v>
                </c:pt>
                <c:pt idx="125">
                  <c:v>16.927777777777777</c:v>
                </c:pt>
                <c:pt idx="126">
                  <c:v>16.912716049382716</c:v>
                </c:pt>
                <c:pt idx="127">
                  <c:v>16.897654320987655</c:v>
                </c:pt>
                <c:pt idx="128">
                  <c:v>16.890123456790121</c:v>
                </c:pt>
                <c:pt idx="129">
                  <c:v>16.886419753086418</c:v>
                </c:pt>
                <c:pt idx="130">
                  <c:v>16.886419753086418</c:v>
                </c:pt>
                <c:pt idx="131">
                  <c:v>16.882592592592591</c:v>
                </c:pt>
                <c:pt idx="132">
                  <c:v>16.882592592592591</c:v>
                </c:pt>
                <c:pt idx="133">
                  <c:v>16.890123456790121</c:v>
                </c:pt>
                <c:pt idx="134">
                  <c:v>16.890123456790121</c:v>
                </c:pt>
                <c:pt idx="135">
                  <c:v>16.890123456790121</c:v>
                </c:pt>
                <c:pt idx="136">
                  <c:v>16.890123456790121</c:v>
                </c:pt>
                <c:pt idx="137">
                  <c:v>16.886419753086418</c:v>
                </c:pt>
                <c:pt idx="138">
                  <c:v>16.882592592592591</c:v>
                </c:pt>
                <c:pt idx="139">
                  <c:v>16.882592592592591</c:v>
                </c:pt>
                <c:pt idx="140">
                  <c:v>16.890123456790121</c:v>
                </c:pt>
                <c:pt idx="141">
                  <c:v>16.878888888888888</c:v>
                </c:pt>
                <c:pt idx="142">
                  <c:v>16.863827160493827</c:v>
                </c:pt>
                <c:pt idx="143">
                  <c:v>16.852469135802469</c:v>
                </c:pt>
                <c:pt idx="144">
                  <c:v>16.852469135802469</c:v>
                </c:pt>
                <c:pt idx="145">
                  <c:v>16.856296296296296</c:v>
                </c:pt>
                <c:pt idx="146">
                  <c:v>16.844938271604939</c:v>
                </c:pt>
                <c:pt idx="147">
                  <c:v>16.841234567901232</c:v>
                </c:pt>
                <c:pt idx="148">
                  <c:v>16.844938271604939</c:v>
                </c:pt>
                <c:pt idx="149">
                  <c:v>16.841234567901232</c:v>
                </c:pt>
                <c:pt idx="150">
                  <c:v>16.86</c:v>
                </c:pt>
                <c:pt idx="151">
                  <c:v>16.863827160493827</c:v>
                </c:pt>
                <c:pt idx="152">
                  <c:v>16.863827160493827</c:v>
                </c:pt>
                <c:pt idx="153">
                  <c:v>16.848765432098766</c:v>
                </c:pt>
                <c:pt idx="154">
                  <c:v>16.856296296296296</c:v>
                </c:pt>
                <c:pt idx="155">
                  <c:v>16.848765432098766</c:v>
                </c:pt>
                <c:pt idx="156">
                  <c:v>16.837407407407408</c:v>
                </c:pt>
                <c:pt idx="157">
                  <c:v>16.822345679012344</c:v>
                </c:pt>
                <c:pt idx="158">
                  <c:v>16.822345679012344</c:v>
                </c:pt>
                <c:pt idx="159">
                  <c:v>16.826172839506171</c:v>
                </c:pt>
                <c:pt idx="160">
                  <c:v>16.826172839506171</c:v>
                </c:pt>
                <c:pt idx="161">
                  <c:v>16.837407407407408</c:v>
                </c:pt>
                <c:pt idx="162">
                  <c:v>16.844938271604939</c:v>
                </c:pt>
                <c:pt idx="163">
                  <c:v>16.841234567901232</c:v>
                </c:pt>
                <c:pt idx="164">
                  <c:v>16.852469135802469</c:v>
                </c:pt>
                <c:pt idx="165">
                  <c:v>16.844938271604939</c:v>
                </c:pt>
                <c:pt idx="166">
                  <c:v>16.841234567901232</c:v>
                </c:pt>
                <c:pt idx="167">
                  <c:v>16.837407407407408</c:v>
                </c:pt>
                <c:pt idx="168">
                  <c:v>16.829876543209878</c:v>
                </c:pt>
                <c:pt idx="169">
                  <c:v>16.829876543209878</c:v>
                </c:pt>
                <c:pt idx="170">
                  <c:v>16.826172839506171</c:v>
                </c:pt>
                <c:pt idx="171">
                  <c:v>16.826172839506171</c:v>
                </c:pt>
                <c:pt idx="172">
                  <c:v>16.822345679012344</c:v>
                </c:pt>
                <c:pt idx="173">
                  <c:v>16.829876543209878</c:v>
                </c:pt>
                <c:pt idx="174">
                  <c:v>16.818518518518516</c:v>
                </c:pt>
                <c:pt idx="175">
                  <c:v>16.818518518518516</c:v>
                </c:pt>
                <c:pt idx="176">
                  <c:v>16.814814814814813</c:v>
                </c:pt>
                <c:pt idx="177">
                  <c:v>16.803456790123455</c:v>
                </c:pt>
                <c:pt idx="178">
                  <c:v>16.799753086419752</c:v>
                </c:pt>
                <c:pt idx="179">
                  <c:v>16.792222222222222</c:v>
                </c:pt>
                <c:pt idx="180">
                  <c:v>16.780864197530864</c:v>
                </c:pt>
                <c:pt idx="181">
                  <c:v>16.77333333333333</c:v>
                </c:pt>
                <c:pt idx="182">
                  <c:v>16.7620987654321</c:v>
                </c:pt>
                <c:pt idx="183">
                  <c:v>16.76962962962963</c:v>
                </c:pt>
                <c:pt idx="184">
                  <c:v>16.765802469135803</c:v>
                </c:pt>
                <c:pt idx="185">
                  <c:v>16.758271604938273</c:v>
                </c:pt>
                <c:pt idx="186">
                  <c:v>16.750740740740738</c:v>
                </c:pt>
                <c:pt idx="187">
                  <c:v>16.739506172839505</c:v>
                </c:pt>
                <c:pt idx="188">
                  <c:v>16.747037037037035</c:v>
                </c:pt>
                <c:pt idx="189">
                  <c:v>16.76962962962963</c:v>
                </c:pt>
                <c:pt idx="190">
                  <c:v>16.780864197530864</c:v>
                </c:pt>
                <c:pt idx="191">
                  <c:v>16.784691358024691</c:v>
                </c:pt>
                <c:pt idx="192">
                  <c:v>16.780864197530864</c:v>
                </c:pt>
                <c:pt idx="193">
                  <c:v>16.777160493827161</c:v>
                </c:pt>
                <c:pt idx="194">
                  <c:v>16.76962962962963</c:v>
                </c:pt>
                <c:pt idx="195">
                  <c:v>16.780864197530864</c:v>
                </c:pt>
                <c:pt idx="196">
                  <c:v>16.788395061728394</c:v>
                </c:pt>
                <c:pt idx="197">
                  <c:v>16.792222222222222</c:v>
                </c:pt>
                <c:pt idx="198">
                  <c:v>16.784691358024691</c:v>
                </c:pt>
                <c:pt idx="199">
                  <c:v>16.777160493827161</c:v>
                </c:pt>
                <c:pt idx="200">
                  <c:v>16.76962962962963</c:v>
                </c:pt>
                <c:pt idx="201">
                  <c:v>16.758271604938273</c:v>
                </c:pt>
                <c:pt idx="202">
                  <c:v>16.7620987654321</c:v>
                </c:pt>
                <c:pt idx="203">
                  <c:v>16.750740740740738</c:v>
                </c:pt>
                <c:pt idx="204">
                  <c:v>16.743209876543208</c:v>
                </c:pt>
                <c:pt idx="205">
                  <c:v>16.739506172839505</c:v>
                </c:pt>
                <c:pt idx="206">
                  <c:v>16.743209876543208</c:v>
                </c:pt>
                <c:pt idx="207">
                  <c:v>16.739506172839505</c:v>
                </c:pt>
                <c:pt idx="208">
                  <c:v>16.739506172839505</c:v>
                </c:pt>
                <c:pt idx="209">
                  <c:v>16.739506172839505</c:v>
                </c:pt>
                <c:pt idx="210">
                  <c:v>16.747037037037035</c:v>
                </c:pt>
                <c:pt idx="211">
                  <c:v>16.743209876543208</c:v>
                </c:pt>
                <c:pt idx="212">
                  <c:v>16.739506172839505</c:v>
                </c:pt>
                <c:pt idx="213">
                  <c:v>16.735679012345678</c:v>
                </c:pt>
                <c:pt idx="214">
                  <c:v>16.72444444444444</c:v>
                </c:pt>
                <c:pt idx="215">
                  <c:v>16.720617283950617</c:v>
                </c:pt>
                <c:pt idx="216">
                  <c:v>16.713086419753086</c:v>
                </c:pt>
                <c:pt idx="217">
                  <c:v>16.701728395061725</c:v>
                </c:pt>
                <c:pt idx="218">
                  <c:v>16.698024691358025</c:v>
                </c:pt>
                <c:pt idx="219">
                  <c:v>16.694197530864194</c:v>
                </c:pt>
                <c:pt idx="220">
                  <c:v>16.698024691358025</c:v>
                </c:pt>
                <c:pt idx="221">
                  <c:v>16.679135802469133</c:v>
                </c:pt>
                <c:pt idx="222">
                  <c:v>16.664074074074072</c:v>
                </c:pt>
                <c:pt idx="223">
                  <c:v>16.656543209876542</c:v>
                </c:pt>
                <c:pt idx="224">
                  <c:v>16.656543209876542</c:v>
                </c:pt>
                <c:pt idx="225">
                  <c:v>16.649012345679012</c:v>
                </c:pt>
                <c:pt idx="226">
                  <c:v>16.645308641975308</c:v>
                </c:pt>
                <c:pt idx="227">
                  <c:v>16.641481481481478</c:v>
                </c:pt>
                <c:pt idx="228">
                  <c:v>16.652839506172839</c:v>
                </c:pt>
                <c:pt idx="229">
                  <c:v>16.637777777777774</c:v>
                </c:pt>
                <c:pt idx="230">
                  <c:v>16.622716049382717</c:v>
                </c:pt>
                <c:pt idx="231">
                  <c:v>16.618888888888886</c:v>
                </c:pt>
                <c:pt idx="232">
                  <c:v>16.611358024691356</c:v>
                </c:pt>
                <c:pt idx="233">
                  <c:v>16.603827160493829</c:v>
                </c:pt>
                <c:pt idx="234">
                  <c:v>16.603827160493829</c:v>
                </c:pt>
                <c:pt idx="235">
                  <c:v>16.599999999999998</c:v>
                </c:pt>
                <c:pt idx="236">
                  <c:v>16.588765432098764</c:v>
                </c:pt>
                <c:pt idx="237">
                  <c:v>16.57740740740741</c:v>
                </c:pt>
                <c:pt idx="238">
                  <c:v>16.569876543209876</c:v>
                </c:pt>
                <c:pt idx="239">
                  <c:v>16.558641975308642</c:v>
                </c:pt>
                <c:pt idx="240">
                  <c:v>16.566172839506169</c:v>
                </c:pt>
                <c:pt idx="241">
                  <c:v>16.569876543209876</c:v>
                </c:pt>
                <c:pt idx="242">
                  <c:v>16.554814814814815</c:v>
                </c:pt>
                <c:pt idx="243">
                  <c:v>16.543580246913578</c:v>
                </c:pt>
                <c:pt idx="244">
                  <c:v>16.543580246913578</c:v>
                </c:pt>
                <c:pt idx="245">
                  <c:v>16.543580246913578</c:v>
                </c:pt>
                <c:pt idx="246">
                  <c:v>16.536049382716048</c:v>
                </c:pt>
                <c:pt idx="247">
                  <c:v>16.528518518518517</c:v>
                </c:pt>
                <c:pt idx="248">
                  <c:v>16.517160493827159</c:v>
                </c:pt>
                <c:pt idx="249">
                  <c:v>16.517160493827159</c:v>
                </c:pt>
                <c:pt idx="250">
                  <c:v>16.505925925925922</c:v>
                </c:pt>
                <c:pt idx="251">
                  <c:v>16.502098765432098</c:v>
                </c:pt>
                <c:pt idx="252">
                  <c:v>16.487037037037037</c:v>
                </c:pt>
                <c:pt idx="253">
                  <c:v>16.479506172839503</c:v>
                </c:pt>
                <c:pt idx="254">
                  <c:v>16.464444444444442</c:v>
                </c:pt>
                <c:pt idx="255">
                  <c:v>16.453086419753085</c:v>
                </c:pt>
                <c:pt idx="256">
                  <c:v>16.441851851851851</c:v>
                </c:pt>
                <c:pt idx="257">
                  <c:v>16.434320987654321</c:v>
                </c:pt>
                <c:pt idx="258">
                  <c:v>16.42679012345679</c:v>
                </c:pt>
                <c:pt idx="259">
                  <c:v>16.411728395061726</c:v>
                </c:pt>
                <c:pt idx="260">
                  <c:v>16.396666666666665</c:v>
                </c:pt>
                <c:pt idx="261">
                  <c:v>16.392839506172837</c:v>
                </c:pt>
                <c:pt idx="262">
                  <c:v>16.396666666666665</c:v>
                </c:pt>
                <c:pt idx="263">
                  <c:v>16.385308641975307</c:v>
                </c:pt>
                <c:pt idx="264">
                  <c:v>16.362716049382716</c:v>
                </c:pt>
                <c:pt idx="265">
                  <c:v>16.347654320987651</c:v>
                </c:pt>
                <c:pt idx="266">
                  <c:v>16.340123456790124</c:v>
                </c:pt>
                <c:pt idx="267">
                  <c:v>16.32506172839506</c:v>
                </c:pt>
                <c:pt idx="268">
                  <c:v>16.313703703703702</c:v>
                </c:pt>
                <c:pt idx="269">
                  <c:v>16.294938271604938</c:v>
                </c:pt>
                <c:pt idx="270">
                  <c:v>16.28358024691358</c:v>
                </c:pt>
                <c:pt idx="271">
                  <c:v>16.268518518518519</c:v>
                </c:pt>
                <c:pt idx="272">
                  <c:v>16.260987654320989</c:v>
                </c:pt>
                <c:pt idx="273">
                  <c:v>16.2420987654321</c:v>
                </c:pt>
                <c:pt idx="274">
                  <c:v>16.238395061728394</c:v>
                </c:pt>
                <c:pt idx="275">
                  <c:v>16.234567901234566</c:v>
                </c:pt>
                <c:pt idx="276">
                  <c:v>16.227037037037036</c:v>
                </c:pt>
                <c:pt idx="277">
                  <c:v>16.219506172839505</c:v>
                </c:pt>
                <c:pt idx="278">
                  <c:v>16.204444444444441</c:v>
                </c:pt>
                <c:pt idx="279">
                  <c:v>16.200740740740741</c:v>
                </c:pt>
                <c:pt idx="280">
                  <c:v>16.204444444444441</c:v>
                </c:pt>
                <c:pt idx="281">
                  <c:v>16.181851851851849</c:v>
                </c:pt>
                <c:pt idx="282">
                  <c:v>16.155432098765431</c:v>
                </c:pt>
                <c:pt idx="283">
                  <c:v>16.132839506172839</c:v>
                </c:pt>
                <c:pt idx="284">
                  <c:v>16.117777777777775</c:v>
                </c:pt>
                <c:pt idx="285">
                  <c:v>16.09148148148148</c:v>
                </c:pt>
                <c:pt idx="286">
                  <c:v>16.072592592592592</c:v>
                </c:pt>
                <c:pt idx="287">
                  <c:v>16.0537037037037</c:v>
                </c:pt>
                <c:pt idx="288">
                  <c:v>16.023580246913578</c:v>
                </c:pt>
                <c:pt idx="289">
                  <c:v>15.997283950617284</c:v>
                </c:pt>
                <c:pt idx="290">
                  <c:v>15.967037037037036</c:v>
                </c:pt>
                <c:pt idx="291">
                  <c:v>15.951975308641973</c:v>
                </c:pt>
                <c:pt idx="292">
                  <c:v>15.940740740740738</c:v>
                </c:pt>
                <c:pt idx="293">
                  <c:v>15.918148148148147</c:v>
                </c:pt>
                <c:pt idx="294">
                  <c:v>15.906790123456791</c:v>
                </c:pt>
                <c:pt idx="295">
                  <c:v>15.876666666666663</c:v>
                </c:pt>
                <c:pt idx="296">
                  <c:v>15.854074074074072</c:v>
                </c:pt>
                <c:pt idx="297">
                  <c:v>15.835185185185185</c:v>
                </c:pt>
                <c:pt idx="298">
                  <c:v>15.812592592592594</c:v>
                </c:pt>
                <c:pt idx="299">
                  <c:v>15.79</c:v>
                </c:pt>
                <c:pt idx="300">
                  <c:v>15.771234567901235</c:v>
                </c:pt>
                <c:pt idx="301">
                  <c:v>15.733456790123457</c:v>
                </c:pt>
                <c:pt idx="302">
                  <c:v>15.68827160493827</c:v>
                </c:pt>
                <c:pt idx="303">
                  <c:v>15.650617283950618</c:v>
                </c:pt>
                <c:pt idx="304">
                  <c:v>15.639259259259259</c:v>
                </c:pt>
                <c:pt idx="305">
                  <c:v>15.616666666666664</c:v>
                </c:pt>
                <c:pt idx="306">
                  <c:v>15.586543209876544</c:v>
                </c:pt>
                <c:pt idx="307">
                  <c:v>15.548888888888886</c:v>
                </c:pt>
                <c:pt idx="308">
                  <c:v>15.511234567901234</c:v>
                </c:pt>
                <c:pt idx="309">
                  <c:v>15.466049382716049</c:v>
                </c:pt>
                <c:pt idx="310">
                  <c:v>15.417037037037037</c:v>
                </c:pt>
                <c:pt idx="311">
                  <c:v>15.375555555555556</c:v>
                </c:pt>
                <c:pt idx="312">
                  <c:v>15.34543209876543</c:v>
                </c:pt>
                <c:pt idx="313">
                  <c:v>15.311481481481479</c:v>
                </c:pt>
                <c:pt idx="314">
                  <c:v>15.270123456790122</c:v>
                </c:pt>
                <c:pt idx="315">
                  <c:v>15.22111111111111</c:v>
                </c:pt>
                <c:pt idx="316">
                  <c:v>15.175925925925924</c:v>
                </c:pt>
                <c:pt idx="317">
                  <c:v>15.11938271604938</c:v>
                </c:pt>
                <c:pt idx="318">
                  <c:v>15.062839506172839</c:v>
                </c:pt>
                <c:pt idx="319">
                  <c:v>15.017654320987653</c:v>
                </c:pt>
                <c:pt idx="320">
                  <c:v>14.972469135802468</c:v>
                </c:pt>
                <c:pt idx="321">
                  <c:v>14.915925925925924</c:v>
                </c:pt>
                <c:pt idx="322">
                  <c:v>14.85938271604938</c:v>
                </c:pt>
                <c:pt idx="323">
                  <c:v>14.802962962962962</c:v>
                </c:pt>
                <c:pt idx="324">
                  <c:v>14.757654320987653</c:v>
                </c:pt>
                <c:pt idx="325">
                  <c:v>14.693703703703703</c:v>
                </c:pt>
                <c:pt idx="326">
                  <c:v>14.640864197530862</c:v>
                </c:pt>
                <c:pt idx="327">
                  <c:v>14.565555555555555</c:v>
                </c:pt>
                <c:pt idx="328">
                  <c:v>14.512839506172838</c:v>
                </c:pt>
                <c:pt idx="329">
                  <c:v>14.433703703703703</c:v>
                </c:pt>
                <c:pt idx="330">
                  <c:v>14.35074074074074</c:v>
                </c:pt>
                <c:pt idx="331">
                  <c:v>14.275432098765432</c:v>
                </c:pt>
                <c:pt idx="332">
                  <c:v>14.245308641975308</c:v>
                </c:pt>
                <c:pt idx="333">
                  <c:v>14.19259259259259</c:v>
                </c:pt>
                <c:pt idx="334">
                  <c:v>14.113456790123456</c:v>
                </c:pt>
                <c:pt idx="335">
                  <c:v>14.022962962962962</c:v>
                </c:pt>
                <c:pt idx="336">
                  <c:v>13.940123456790122</c:v>
                </c:pt>
                <c:pt idx="337">
                  <c:v>13.823333333333332</c:v>
                </c:pt>
                <c:pt idx="338">
                  <c:v>13.729135802469134</c:v>
                </c:pt>
                <c:pt idx="339">
                  <c:v>13.631234567901235</c:v>
                </c:pt>
                <c:pt idx="340">
                  <c:v>13.533209876543209</c:v>
                </c:pt>
                <c:pt idx="341">
                  <c:v>13.416419753086419</c:v>
                </c:pt>
                <c:pt idx="342">
                  <c:v>13.292098765432097</c:v>
                </c:pt>
                <c:pt idx="343">
                  <c:v>13.15641975308642</c:v>
                </c:pt>
                <c:pt idx="344">
                  <c:v>12.998271604938271</c:v>
                </c:pt>
                <c:pt idx="345">
                  <c:v>12.798518518518518</c:v>
                </c:pt>
                <c:pt idx="346">
                  <c:v>12.644074074074073</c:v>
                </c:pt>
                <c:pt idx="347">
                  <c:v>12.474567901234566</c:v>
                </c:pt>
                <c:pt idx="348">
                  <c:v>12.297456790123457</c:v>
                </c:pt>
                <c:pt idx="349">
                  <c:v>12.097765432098763</c:v>
                </c:pt>
                <c:pt idx="350">
                  <c:v>11.89432098765432</c:v>
                </c:pt>
                <c:pt idx="351">
                  <c:v>11.645654320987655</c:v>
                </c:pt>
                <c:pt idx="352">
                  <c:v>11.44220987654321</c:v>
                </c:pt>
                <c:pt idx="353">
                  <c:v>11.193543209876541</c:v>
                </c:pt>
                <c:pt idx="354">
                  <c:v>10.956185185185186</c:v>
                </c:pt>
                <c:pt idx="355">
                  <c:v>10.669851851851853</c:v>
                </c:pt>
                <c:pt idx="356">
                  <c:v>10.406123456790121</c:v>
                </c:pt>
                <c:pt idx="357">
                  <c:v>10.048197530864197</c:v>
                </c:pt>
                <c:pt idx="358">
                  <c:v>9.6488271604938252</c:v>
                </c:pt>
                <c:pt idx="359">
                  <c:v>9.2833703703703687</c:v>
                </c:pt>
                <c:pt idx="360">
                  <c:v>8.8576296296296277</c:v>
                </c:pt>
                <c:pt idx="361">
                  <c:v>8.4394320987654314</c:v>
                </c:pt>
                <c:pt idx="362">
                  <c:v>7.9308024691358021</c:v>
                </c:pt>
                <c:pt idx="363">
                  <c:v>7.3392839506172827</c:v>
                </c:pt>
                <c:pt idx="364">
                  <c:v>6.7327037037037032</c:v>
                </c:pt>
                <c:pt idx="365">
                  <c:v>6.0270370370370365</c:v>
                </c:pt>
                <c:pt idx="366">
                  <c:v>5.234703703703703</c:v>
                </c:pt>
                <c:pt idx="367">
                  <c:v>4.3334938271604937</c:v>
                </c:pt>
                <c:pt idx="368">
                  <c:v>3.3369629629629625</c:v>
                </c:pt>
                <c:pt idx="369">
                  <c:v>2.1554444444444441</c:v>
                </c:pt>
                <c:pt idx="370">
                  <c:v>0.87106913580246914</c:v>
                </c:pt>
                <c:pt idx="371">
                  <c:v>-0.6762851851851851</c:v>
                </c:pt>
                <c:pt idx="372">
                  <c:v>-2.5936172839506173</c:v>
                </c:pt>
                <c:pt idx="373">
                  <c:v>-4.8473950617283954</c:v>
                </c:pt>
                <c:pt idx="374">
                  <c:v>-7.4975308641975307</c:v>
                </c:pt>
                <c:pt idx="375">
                  <c:v>-10.62464197530864</c:v>
                </c:pt>
                <c:pt idx="376">
                  <c:v>-14.885802469135802</c:v>
                </c:pt>
                <c:pt idx="377">
                  <c:v>-19.851481481481482</c:v>
                </c:pt>
                <c:pt idx="378">
                  <c:v>-26.467407407407403</c:v>
                </c:pt>
                <c:pt idx="379">
                  <c:v>-34.172098765432096</c:v>
                </c:pt>
                <c:pt idx="380">
                  <c:v>-43.72296296296296</c:v>
                </c:pt>
                <c:pt idx="381">
                  <c:v>-55.161481481481481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89F6-4B87-BA1D-73BAB01E4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699328"/>
        <c:axId val="95700864"/>
      </c:scatterChart>
      <c:valAx>
        <c:axId val="95699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00864"/>
        <c:crosses val="autoZero"/>
        <c:crossBetween val="midCat"/>
      </c:valAx>
      <c:valAx>
        <c:axId val="9570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993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'20221231T210000'!$AD$10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'20221231T210000'!$Y$11:$Y$500</c:f>
              <c:numCache>
                <c:formatCode>General</c:formatCode>
                <c:ptCount val="490"/>
                <c:pt idx="0">
                  <c:v>1.8150299999999999</c:v>
                </c:pt>
                <c:pt idx="1">
                  <c:v>1.81</c:v>
                </c:pt>
                <c:pt idx="2">
                  <c:v>1.8049599999999999</c:v>
                </c:pt>
                <c:pt idx="3">
                  <c:v>1.79993</c:v>
                </c:pt>
                <c:pt idx="4">
                  <c:v>1.7948900000000001</c:v>
                </c:pt>
                <c:pt idx="5">
                  <c:v>1.78986</c:v>
                </c:pt>
                <c:pt idx="6">
                  <c:v>1.7848200000000001</c:v>
                </c:pt>
                <c:pt idx="7">
                  <c:v>1.77979</c:v>
                </c:pt>
                <c:pt idx="8">
                  <c:v>1.77475</c:v>
                </c:pt>
                <c:pt idx="9">
                  <c:v>1.7697099999999999</c:v>
                </c:pt>
                <c:pt idx="10">
                  <c:v>1.76468</c:v>
                </c:pt>
                <c:pt idx="11">
                  <c:v>1.7596400000000001</c:v>
                </c:pt>
                <c:pt idx="12">
                  <c:v>1.75461</c:v>
                </c:pt>
                <c:pt idx="13">
                  <c:v>1.7495700000000001</c:v>
                </c:pt>
                <c:pt idx="14">
                  <c:v>1.74454</c:v>
                </c:pt>
                <c:pt idx="15">
                  <c:v>1.7395</c:v>
                </c:pt>
                <c:pt idx="16">
                  <c:v>1.73447</c:v>
                </c:pt>
                <c:pt idx="17">
                  <c:v>1.72943</c:v>
                </c:pt>
                <c:pt idx="18">
                  <c:v>1.7243999999999999</c:v>
                </c:pt>
                <c:pt idx="19">
                  <c:v>1.71936</c:v>
                </c:pt>
                <c:pt idx="20">
                  <c:v>1.7143200000000001</c:v>
                </c:pt>
                <c:pt idx="21">
                  <c:v>1.70929</c:v>
                </c:pt>
                <c:pt idx="22">
                  <c:v>1.70425</c:v>
                </c:pt>
                <c:pt idx="23">
                  <c:v>1.69922</c:v>
                </c:pt>
                <c:pt idx="24">
                  <c:v>1.69418</c:v>
                </c:pt>
                <c:pt idx="25">
                  <c:v>1.6891499999999999</c:v>
                </c:pt>
                <c:pt idx="26">
                  <c:v>1.68411</c:v>
                </c:pt>
                <c:pt idx="27">
                  <c:v>1.6790799999999999</c:v>
                </c:pt>
                <c:pt idx="28">
                  <c:v>1.67404</c:v>
                </c:pt>
                <c:pt idx="29">
                  <c:v>1.6690100000000001</c:v>
                </c:pt>
                <c:pt idx="30">
                  <c:v>1.6639699999999999</c:v>
                </c:pt>
                <c:pt idx="31">
                  <c:v>1.6589400000000001</c:v>
                </c:pt>
                <c:pt idx="32">
                  <c:v>1.6538999999999999</c:v>
                </c:pt>
                <c:pt idx="33">
                  <c:v>1.64886</c:v>
                </c:pt>
                <c:pt idx="34">
                  <c:v>1.6438299999999999</c:v>
                </c:pt>
                <c:pt idx="35">
                  <c:v>1.63879</c:v>
                </c:pt>
                <c:pt idx="36">
                  <c:v>1.6337600000000001</c:v>
                </c:pt>
                <c:pt idx="37">
                  <c:v>1.6287199999999999</c:v>
                </c:pt>
                <c:pt idx="38">
                  <c:v>1.6236900000000001</c:v>
                </c:pt>
                <c:pt idx="39">
                  <c:v>1.6186499999999999</c:v>
                </c:pt>
                <c:pt idx="40">
                  <c:v>1.6136200000000001</c:v>
                </c:pt>
                <c:pt idx="41">
                  <c:v>1.6085799999999999</c:v>
                </c:pt>
                <c:pt idx="42">
                  <c:v>1.60355</c:v>
                </c:pt>
                <c:pt idx="43">
                  <c:v>1.5985100000000001</c:v>
                </c:pt>
                <c:pt idx="44">
                  <c:v>1.59348</c:v>
                </c:pt>
                <c:pt idx="45">
                  <c:v>1.5884400000000001</c:v>
                </c:pt>
                <c:pt idx="46">
                  <c:v>1.5833999999999999</c:v>
                </c:pt>
                <c:pt idx="47">
                  <c:v>1.5783700000000001</c:v>
                </c:pt>
                <c:pt idx="48">
                  <c:v>1.5733299999999999</c:v>
                </c:pt>
                <c:pt idx="49">
                  <c:v>1.5683</c:v>
                </c:pt>
                <c:pt idx="50">
                  <c:v>1.5632600000000001</c:v>
                </c:pt>
                <c:pt idx="51">
                  <c:v>1.55823</c:v>
                </c:pt>
                <c:pt idx="52">
                  <c:v>1.5531900000000001</c:v>
                </c:pt>
                <c:pt idx="53">
                  <c:v>1.54816</c:v>
                </c:pt>
                <c:pt idx="54">
                  <c:v>1.54312</c:v>
                </c:pt>
                <c:pt idx="55">
                  <c:v>1.53809</c:v>
                </c:pt>
                <c:pt idx="56">
                  <c:v>1.53305</c:v>
                </c:pt>
                <c:pt idx="57">
                  <c:v>1.5280199999999999</c:v>
                </c:pt>
                <c:pt idx="58">
                  <c:v>1.52298</c:v>
                </c:pt>
                <c:pt idx="59">
                  <c:v>1.5179400000000001</c:v>
                </c:pt>
                <c:pt idx="60">
                  <c:v>1.51291</c:v>
                </c:pt>
                <c:pt idx="61">
                  <c:v>1.50787</c:v>
                </c:pt>
                <c:pt idx="62">
                  <c:v>1.50284</c:v>
                </c:pt>
                <c:pt idx="63">
                  <c:v>1.4978</c:v>
                </c:pt>
                <c:pt idx="64">
                  <c:v>1.4927699999999999</c:v>
                </c:pt>
                <c:pt idx="65">
                  <c:v>1.48773</c:v>
                </c:pt>
                <c:pt idx="66">
                  <c:v>1.4826999999999999</c:v>
                </c:pt>
                <c:pt idx="67">
                  <c:v>1.47766</c:v>
                </c:pt>
                <c:pt idx="68">
                  <c:v>1.4726300000000001</c:v>
                </c:pt>
                <c:pt idx="69">
                  <c:v>1.46759</c:v>
                </c:pt>
                <c:pt idx="70">
                  <c:v>1.46255</c:v>
                </c:pt>
                <c:pt idx="71">
                  <c:v>1.4575199999999999</c:v>
                </c:pt>
                <c:pt idx="72">
                  <c:v>1.45248</c:v>
                </c:pt>
                <c:pt idx="73">
                  <c:v>1.4474499999999999</c:v>
                </c:pt>
                <c:pt idx="74">
                  <c:v>1.44241</c:v>
                </c:pt>
                <c:pt idx="75">
                  <c:v>1.4373800000000001</c:v>
                </c:pt>
                <c:pt idx="76">
                  <c:v>1.4323399999999999</c:v>
                </c:pt>
                <c:pt idx="77">
                  <c:v>1.4273100000000001</c:v>
                </c:pt>
                <c:pt idx="78">
                  <c:v>1.4222699999999999</c:v>
                </c:pt>
                <c:pt idx="79">
                  <c:v>1.4172400000000001</c:v>
                </c:pt>
                <c:pt idx="80">
                  <c:v>1.4121999999999999</c:v>
                </c:pt>
                <c:pt idx="81">
                  <c:v>1.40717</c:v>
                </c:pt>
                <c:pt idx="82">
                  <c:v>1.4021300000000001</c:v>
                </c:pt>
                <c:pt idx="83">
                  <c:v>1.3970899999999999</c:v>
                </c:pt>
                <c:pt idx="84">
                  <c:v>1.3920600000000001</c:v>
                </c:pt>
                <c:pt idx="85">
                  <c:v>1.3870199999999999</c:v>
                </c:pt>
                <c:pt idx="86">
                  <c:v>1.3819900000000001</c:v>
                </c:pt>
                <c:pt idx="87">
                  <c:v>1.3769499999999999</c:v>
                </c:pt>
                <c:pt idx="88">
                  <c:v>1.37192</c:v>
                </c:pt>
                <c:pt idx="89">
                  <c:v>1.3668800000000001</c:v>
                </c:pt>
                <c:pt idx="90">
                  <c:v>1.36185</c:v>
                </c:pt>
                <c:pt idx="91">
                  <c:v>1.3568100000000001</c:v>
                </c:pt>
                <c:pt idx="92">
                  <c:v>1.35178</c:v>
                </c:pt>
                <c:pt idx="93">
                  <c:v>1.34674</c:v>
                </c:pt>
                <c:pt idx="94">
                  <c:v>1.34171</c:v>
                </c:pt>
                <c:pt idx="95">
                  <c:v>1.33667</c:v>
                </c:pt>
                <c:pt idx="96">
                  <c:v>1.3316300000000001</c:v>
                </c:pt>
                <c:pt idx="97">
                  <c:v>1.3266</c:v>
                </c:pt>
                <c:pt idx="98">
                  <c:v>1.3215600000000001</c:v>
                </c:pt>
                <c:pt idx="99">
                  <c:v>1.31653</c:v>
                </c:pt>
                <c:pt idx="100">
                  <c:v>1.31149</c:v>
                </c:pt>
                <c:pt idx="101">
                  <c:v>1.30646</c:v>
                </c:pt>
                <c:pt idx="102">
                  <c:v>1.30142</c:v>
                </c:pt>
                <c:pt idx="103">
                  <c:v>1.2963899999999999</c:v>
                </c:pt>
                <c:pt idx="104">
                  <c:v>1.29135</c:v>
                </c:pt>
                <c:pt idx="105">
                  <c:v>1.2863199999999999</c:v>
                </c:pt>
                <c:pt idx="106">
                  <c:v>1.28128</c:v>
                </c:pt>
                <c:pt idx="107">
                  <c:v>1.2762500000000001</c:v>
                </c:pt>
                <c:pt idx="108">
                  <c:v>1.27121</c:v>
                </c:pt>
                <c:pt idx="109">
                  <c:v>1.26617</c:v>
                </c:pt>
                <c:pt idx="110">
                  <c:v>1.2611399999999999</c:v>
                </c:pt>
                <c:pt idx="111">
                  <c:v>1.2561</c:v>
                </c:pt>
                <c:pt idx="112">
                  <c:v>1.2510699999999999</c:v>
                </c:pt>
                <c:pt idx="113">
                  <c:v>1.24603</c:v>
                </c:pt>
                <c:pt idx="114">
                  <c:v>1.2410000000000001</c:v>
                </c:pt>
                <c:pt idx="115">
                  <c:v>1.2359599999999999</c:v>
                </c:pt>
                <c:pt idx="116">
                  <c:v>1.2309300000000001</c:v>
                </c:pt>
                <c:pt idx="117">
                  <c:v>1.2258899999999999</c:v>
                </c:pt>
                <c:pt idx="118">
                  <c:v>1.2208600000000001</c:v>
                </c:pt>
                <c:pt idx="119">
                  <c:v>1.2158199999999999</c:v>
                </c:pt>
                <c:pt idx="120">
                  <c:v>1.21078</c:v>
                </c:pt>
                <c:pt idx="121">
                  <c:v>1.2057500000000001</c:v>
                </c:pt>
                <c:pt idx="122">
                  <c:v>1.2007099999999999</c:v>
                </c:pt>
                <c:pt idx="123">
                  <c:v>1.1956800000000001</c:v>
                </c:pt>
                <c:pt idx="124">
                  <c:v>1.1906399999999999</c:v>
                </c:pt>
                <c:pt idx="125">
                  <c:v>1.1856100000000001</c:v>
                </c:pt>
                <c:pt idx="126">
                  <c:v>1.1805699999999999</c:v>
                </c:pt>
                <c:pt idx="127">
                  <c:v>1.17554</c:v>
                </c:pt>
                <c:pt idx="128">
                  <c:v>1.1705000000000001</c:v>
                </c:pt>
                <c:pt idx="129">
                  <c:v>1.16547</c:v>
                </c:pt>
                <c:pt idx="130">
                  <c:v>1.1604300000000001</c:v>
                </c:pt>
                <c:pt idx="131">
                  <c:v>1.1554</c:v>
                </c:pt>
                <c:pt idx="132">
                  <c:v>1.15036</c:v>
                </c:pt>
                <c:pt idx="133">
                  <c:v>1.1453199999999999</c:v>
                </c:pt>
                <c:pt idx="134">
                  <c:v>1.14029</c:v>
                </c:pt>
                <c:pt idx="135">
                  <c:v>1.1352500000000001</c:v>
                </c:pt>
                <c:pt idx="136">
                  <c:v>1.13022</c:v>
                </c:pt>
                <c:pt idx="137">
                  <c:v>1.1251800000000001</c:v>
                </c:pt>
                <c:pt idx="138">
                  <c:v>1.12015</c:v>
                </c:pt>
                <c:pt idx="139">
                  <c:v>1.11511</c:v>
                </c:pt>
                <c:pt idx="140">
                  <c:v>1.11008</c:v>
                </c:pt>
                <c:pt idx="141">
                  <c:v>1.10504</c:v>
                </c:pt>
                <c:pt idx="142">
                  <c:v>1.1000099999999999</c:v>
                </c:pt>
                <c:pt idx="143">
                  <c:v>1.09497</c:v>
                </c:pt>
                <c:pt idx="144">
                  <c:v>1.0899399999999999</c:v>
                </c:pt>
                <c:pt idx="145">
                  <c:v>1.0849</c:v>
                </c:pt>
                <c:pt idx="146">
                  <c:v>1.07986</c:v>
                </c:pt>
                <c:pt idx="147">
                  <c:v>1.07483</c:v>
                </c:pt>
                <c:pt idx="148">
                  <c:v>1.06979</c:v>
                </c:pt>
                <c:pt idx="149">
                  <c:v>1.0647599999999999</c:v>
                </c:pt>
                <c:pt idx="150">
                  <c:v>1.05972</c:v>
                </c:pt>
                <c:pt idx="151">
                  <c:v>1.0546899999999999</c:v>
                </c:pt>
                <c:pt idx="152">
                  <c:v>1.04965</c:v>
                </c:pt>
                <c:pt idx="153">
                  <c:v>1.0446200000000001</c:v>
                </c:pt>
                <c:pt idx="154">
                  <c:v>1.0395799999999999</c:v>
                </c:pt>
                <c:pt idx="155">
                  <c:v>1.0345500000000001</c:v>
                </c:pt>
                <c:pt idx="156">
                  <c:v>1.0295099999999999</c:v>
                </c:pt>
                <c:pt idx="157">
                  <c:v>1.0244800000000001</c:v>
                </c:pt>
                <c:pt idx="158">
                  <c:v>1.0194399999999999</c:v>
                </c:pt>
                <c:pt idx="159">
                  <c:v>1.0144</c:v>
                </c:pt>
                <c:pt idx="160">
                  <c:v>1.0093700000000001</c:v>
                </c:pt>
                <c:pt idx="161">
                  <c:v>1.0043299999999999</c:v>
                </c:pt>
                <c:pt idx="162">
                  <c:v>0.99929800000000002</c:v>
                </c:pt>
                <c:pt idx="163">
                  <c:v>0.99426300000000001</c:v>
                </c:pt>
                <c:pt idx="164">
                  <c:v>0.98922699999999997</c:v>
                </c:pt>
                <c:pt idx="165">
                  <c:v>0.98419199999999996</c:v>
                </c:pt>
                <c:pt idx="166">
                  <c:v>0.97915600000000003</c:v>
                </c:pt>
                <c:pt idx="167">
                  <c:v>0.97412100000000001</c:v>
                </c:pt>
                <c:pt idx="168">
                  <c:v>0.969086</c:v>
                </c:pt>
                <c:pt idx="169">
                  <c:v>0.96404999999999996</c:v>
                </c:pt>
                <c:pt idx="170">
                  <c:v>0.95901499999999995</c:v>
                </c:pt>
                <c:pt idx="171">
                  <c:v>0.95397900000000002</c:v>
                </c:pt>
                <c:pt idx="172">
                  <c:v>0.94894400000000001</c:v>
                </c:pt>
                <c:pt idx="173">
                  <c:v>0.943909</c:v>
                </c:pt>
                <c:pt idx="174">
                  <c:v>0.93887299999999996</c:v>
                </c:pt>
                <c:pt idx="175">
                  <c:v>0.93383799999999995</c:v>
                </c:pt>
                <c:pt idx="176">
                  <c:v>0.92880200000000002</c:v>
                </c:pt>
                <c:pt idx="177">
                  <c:v>0.923767</c:v>
                </c:pt>
                <c:pt idx="178">
                  <c:v>0.91873199999999999</c:v>
                </c:pt>
                <c:pt idx="179">
                  <c:v>0.91369599999999995</c:v>
                </c:pt>
                <c:pt idx="180">
                  <c:v>0.90866100000000005</c:v>
                </c:pt>
                <c:pt idx="181">
                  <c:v>0.90362500000000001</c:v>
                </c:pt>
                <c:pt idx="182">
                  <c:v>0.89859</c:v>
                </c:pt>
                <c:pt idx="183">
                  <c:v>0.89355499999999999</c:v>
                </c:pt>
                <c:pt idx="184">
                  <c:v>0.88851899999999995</c:v>
                </c:pt>
                <c:pt idx="185">
                  <c:v>0.88348400000000005</c:v>
                </c:pt>
                <c:pt idx="186">
                  <c:v>0.87844800000000001</c:v>
                </c:pt>
                <c:pt idx="187">
                  <c:v>0.87341299999999999</c:v>
                </c:pt>
                <c:pt idx="188">
                  <c:v>0.86837799999999998</c:v>
                </c:pt>
                <c:pt idx="189">
                  <c:v>0.86334200000000005</c:v>
                </c:pt>
                <c:pt idx="190">
                  <c:v>0.85830700000000004</c:v>
                </c:pt>
                <c:pt idx="191">
                  <c:v>0.853271</c:v>
                </c:pt>
                <c:pt idx="192">
                  <c:v>0.84823599999999999</c:v>
                </c:pt>
                <c:pt idx="193">
                  <c:v>0.84320099999999998</c:v>
                </c:pt>
                <c:pt idx="194">
                  <c:v>0.83816500000000005</c:v>
                </c:pt>
                <c:pt idx="195">
                  <c:v>0.83313000000000004</c:v>
                </c:pt>
                <c:pt idx="196">
                  <c:v>0.828094</c:v>
                </c:pt>
                <c:pt idx="197">
                  <c:v>0.82305899999999999</c:v>
                </c:pt>
                <c:pt idx="198">
                  <c:v>0.81802399999999997</c:v>
                </c:pt>
                <c:pt idx="199">
                  <c:v>0.81298800000000004</c:v>
                </c:pt>
                <c:pt idx="200">
                  <c:v>0.80795300000000003</c:v>
                </c:pt>
                <c:pt idx="201">
                  <c:v>0.80291699999999999</c:v>
                </c:pt>
                <c:pt idx="202">
                  <c:v>0.79788199999999998</c:v>
                </c:pt>
                <c:pt idx="203">
                  <c:v>0.79284699999999997</c:v>
                </c:pt>
                <c:pt idx="204">
                  <c:v>0.78781100000000004</c:v>
                </c:pt>
                <c:pt idx="205">
                  <c:v>0.78277600000000003</c:v>
                </c:pt>
                <c:pt idx="206">
                  <c:v>0.77773999999999999</c:v>
                </c:pt>
                <c:pt idx="207">
                  <c:v>0.77270499999999998</c:v>
                </c:pt>
                <c:pt idx="208">
                  <c:v>0.76766999999999996</c:v>
                </c:pt>
                <c:pt idx="209">
                  <c:v>0.76263400000000003</c:v>
                </c:pt>
                <c:pt idx="210">
                  <c:v>0.75759900000000002</c:v>
                </c:pt>
                <c:pt idx="211">
                  <c:v>0.75256299999999998</c:v>
                </c:pt>
                <c:pt idx="212">
                  <c:v>0.74752799999999997</c:v>
                </c:pt>
                <c:pt idx="213">
                  <c:v>0.74249299999999996</c:v>
                </c:pt>
                <c:pt idx="214">
                  <c:v>0.73745700000000003</c:v>
                </c:pt>
                <c:pt idx="215">
                  <c:v>0.73242200000000002</c:v>
                </c:pt>
                <c:pt idx="216">
                  <c:v>0.72738599999999998</c:v>
                </c:pt>
                <c:pt idx="217">
                  <c:v>0.72235099999999997</c:v>
                </c:pt>
                <c:pt idx="218">
                  <c:v>0.71731599999999995</c:v>
                </c:pt>
                <c:pt idx="219">
                  <c:v>0.71228000000000002</c:v>
                </c:pt>
                <c:pt idx="220">
                  <c:v>0.70724500000000001</c:v>
                </c:pt>
                <c:pt idx="221">
                  <c:v>0.70220899999999997</c:v>
                </c:pt>
                <c:pt idx="222">
                  <c:v>0.69717399999999996</c:v>
                </c:pt>
                <c:pt idx="223">
                  <c:v>0.69213899999999995</c:v>
                </c:pt>
                <c:pt idx="224">
                  <c:v>0.68710300000000002</c:v>
                </c:pt>
                <c:pt idx="225">
                  <c:v>0.68206800000000001</c:v>
                </c:pt>
                <c:pt idx="226">
                  <c:v>0.67703199999999997</c:v>
                </c:pt>
                <c:pt idx="227">
                  <c:v>0.67199699999999996</c:v>
                </c:pt>
                <c:pt idx="228">
                  <c:v>0.66696200000000005</c:v>
                </c:pt>
                <c:pt idx="229">
                  <c:v>0.66192600000000001</c:v>
                </c:pt>
                <c:pt idx="230">
                  <c:v>0.656891</c:v>
                </c:pt>
                <c:pt idx="231">
                  <c:v>0.65185499999999996</c:v>
                </c:pt>
                <c:pt idx="232">
                  <c:v>0.64681999999999995</c:v>
                </c:pt>
                <c:pt idx="233">
                  <c:v>0.64178500000000005</c:v>
                </c:pt>
                <c:pt idx="234">
                  <c:v>0.63674900000000001</c:v>
                </c:pt>
                <c:pt idx="235">
                  <c:v>0.631714</c:v>
                </c:pt>
                <c:pt idx="236">
                  <c:v>0.62667799999999996</c:v>
                </c:pt>
                <c:pt idx="237">
                  <c:v>0.62164299999999995</c:v>
                </c:pt>
                <c:pt idx="238">
                  <c:v>0.61660800000000004</c:v>
                </c:pt>
                <c:pt idx="239">
                  <c:v>0.611572</c:v>
                </c:pt>
                <c:pt idx="240">
                  <c:v>0.60653699999999999</c:v>
                </c:pt>
                <c:pt idx="241">
                  <c:v>0.60150099999999995</c:v>
                </c:pt>
                <c:pt idx="242">
                  <c:v>0.59646600000000005</c:v>
                </c:pt>
                <c:pt idx="243">
                  <c:v>0.59143100000000004</c:v>
                </c:pt>
                <c:pt idx="244">
                  <c:v>0.586395</c:v>
                </c:pt>
                <c:pt idx="245">
                  <c:v>0.58135999999999999</c:v>
                </c:pt>
                <c:pt idx="246">
                  <c:v>0.57632399999999995</c:v>
                </c:pt>
                <c:pt idx="247">
                  <c:v>0.57128900000000005</c:v>
                </c:pt>
                <c:pt idx="248">
                  <c:v>0.56625400000000004</c:v>
                </c:pt>
                <c:pt idx="249">
                  <c:v>0.56121799999999999</c:v>
                </c:pt>
                <c:pt idx="250">
                  <c:v>0.55618299999999998</c:v>
                </c:pt>
                <c:pt idx="251">
                  <c:v>0.55114700000000005</c:v>
                </c:pt>
                <c:pt idx="252">
                  <c:v>0.54611200000000004</c:v>
                </c:pt>
                <c:pt idx="253">
                  <c:v>0.54107700000000003</c:v>
                </c:pt>
                <c:pt idx="254">
                  <c:v>0.53604099999999999</c:v>
                </c:pt>
                <c:pt idx="255">
                  <c:v>0.53100599999999998</c:v>
                </c:pt>
                <c:pt idx="256">
                  <c:v>0.52597000000000005</c:v>
                </c:pt>
                <c:pt idx="257">
                  <c:v>0.52093500000000004</c:v>
                </c:pt>
                <c:pt idx="258">
                  <c:v>0.51590000000000003</c:v>
                </c:pt>
                <c:pt idx="259">
                  <c:v>0.51086399999999998</c:v>
                </c:pt>
                <c:pt idx="260">
                  <c:v>0.50582899999999997</c:v>
                </c:pt>
                <c:pt idx="261">
                  <c:v>0.50079300000000004</c:v>
                </c:pt>
                <c:pt idx="262">
                  <c:v>0.49575799999999998</c:v>
                </c:pt>
                <c:pt idx="263">
                  <c:v>0.49072300000000002</c:v>
                </c:pt>
                <c:pt idx="264">
                  <c:v>0.48568699999999998</c:v>
                </c:pt>
                <c:pt idx="265">
                  <c:v>0.48065200000000002</c:v>
                </c:pt>
                <c:pt idx="266">
                  <c:v>0.47561599999999998</c:v>
                </c:pt>
                <c:pt idx="267">
                  <c:v>0.47058100000000003</c:v>
                </c:pt>
                <c:pt idx="268">
                  <c:v>0.46554600000000002</c:v>
                </c:pt>
                <c:pt idx="269">
                  <c:v>0.46050999999999997</c:v>
                </c:pt>
                <c:pt idx="270">
                  <c:v>0.45547500000000002</c:v>
                </c:pt>
                <c:pt idx="271">
                  <c:v>0.45043899999999998</c:v>
                </c:pt>
                <c:pt idx="272">
                  <c:v>0.44540400000000002</c:v>
                </c:pt>
                <c:pt idx="273">
                  <c:v>0.44036900000000001</c:v>
                </c:pt>
                <c:pt idx="274">
                  <c:v>0.43533300000000003</c:v>
                </c:pt>
                <c:pt idx="275">
                  <c:v>0.43029800000000001</c:v>
                </c:pt>
                <c:pt idx="276">
                  <c:v>0.42526199999999997</c:v>
                </c:pt>
                <c:pt idx="277">
                  <c:v>0.42022700000000002</c:v>
                </c:pt>
                <c:pt idx="278">
                  <c:v>0.41519200000000001</c:v>
                </c:pt>
                <c:pt idx="279">
                  <c:v>0.41015600000000002</c:v>
                </c:pt>
                <c:pt idx="280">
                  <c:v>0.40512100000000001</c:v>
                </c:pt>
                <c:pt idx="281">
                  <c:v>0.40008500000000002</c:v>
                </c:pt>
                <c:pt idx="282">
                  <c:v>0.39505000000000001</c:v>
                </c:pt>
                <c:pt idx="283">
                  <c:v>0.390015</c:v>
                </c:pt>
                <c:pt idx="284">
                  <c:v>0.38497900000000002</c:v>
                </c:pt>
                <c:pt idx="285">
                  <c:v>0.379944</c:v>
                </c:pt>
                <c:pt idx="286">
                  <c:v>0.37490800000000002</c:v>
                </c:pt>
                <c:pt idx="287">
                  <c:v>0.36987300000000001</c:v>
                </c:pt>
                <c:pt idx="288">
                  <c:v>0.364838</c:v>
                </c:pt>
                <c:pt idx="289">
                  <c:v>0.35980200000000001</c:v>
                </c:pt>
                <c:pt idx="290">
                  <c:v>0.354767</c:v>
                </c:pt>
                <c:pt idx="291">
                  <c:v>0.34973100000000001</c:v>
                </c:pt>
                <c:pt idx="292">
                  <c:v>0.344696</c:v>
                </c:pt>
                <c:pt idx="293">
                  <c:v>0.33966099999999999</c:v>
                </c:pt>
                <c:pt idx="294">
                  <c:v>0.33462500000000001</c:v>
                </c:pt>
                <c:pt idx="295">
                  <c:v>0.32958999999999999</c:v>
                </c:pt>
                <c:pt idx="296">
                  <c:v>0.32455400000000001</c:v>
                </c:pt>
                <c:pt idx="297">
                  <c:v>0.319519</c:v>
                </c:pt>
                <c:pt idx="298">
                  <c:v>0.31448399999999999</c:v>
                </c:pt>
                <c:pt idx="299">
                  <c:v>0.309448</c:v>
                </c:pt>
                <c:pt idx="300">
                  <c:v>0.30441299999999999</c:v>
                </c:pt>
                <c:pt idx="301">
                  <c:v>0.299377</c:v>
                </c:pt>
                <c:pt idx="302">
                  <c:v>0.29434199999999999</c:v>
                </c:pt>
                <c:pt idx="303">
                  <c:v>0.28930699999999998</c:v>
                </c:pt>
                <c:pt idx="304">
                  <c:v>0.284271</c:v>
                </c:pt>
                <c:pt idx="305">
                  <c:v>0.27923599999999998</c:v>
                </c:pt>
                <c:pt idx="306">
                  <c:v>0.2742</c:v>
                </c:pt>
                <c:pt idx="307">
                  <c:v>0.26916499999999999</c:v>
                </c:pt>
                <c:pt idx="308">
                  <c:v>0.26412999999999998</c:v>
                </c:pt>
                <c:pt idx="309">
                  <c:v>0.25909399999999999</c:v>
                </c:pt>
                <c:pt idx="310">
                  <c:v>0.25405899999999998</c:v>
                </c:pt>
                <c:pt idx="311">
                  <c:v>0.24902299999999999</c:v>
                </c:pt>
                <c:pt idx="312">
                  <c:v>0.24398800000000001</c:v>
                </c:pt>
                <c:pt idx="313">
                  <c:v>0.238953</c:v>
                </c:pt>
                <c:pt idx="314">
                  <c:v>0.23391700000000001</c:v>
                </c:pt>
                <c:pt idx="315">
                  <c:v>0.228882</c:v>
                </c:pt>
                <c:pt idx="316">
                  <c:v>0.22384599999999999</c:v>
                </c:pt>
                <c:pt idx="317">
                  <c:v>0.21881100000000001</c:v>
                </c:pt>
                <c:pt idx="318">
                  <c:v>0.21377599999999999</c:v>
                </c:pt>
                <c:pt idx="319">
                  <c:v>0.20874000000000001</c:v>
                </c:pt>
                <c:pt idx="320">
                  <c:v>0.203705</c:v>
                </c:pt>
                <c:pt idx="321">
                  <c:v>0.19866900000000001</c:v>
                </c:pt>
                <c:pt idx="322">
                  <c:v>0.193634</c:v>
                </c:pt>
                <c:pt idx="323">
                  <c:v>0.18859899999999999</c:v>
                </c:pt>
                <c:pt idx="324">
                  <c:v>0.183563</c:v>
                </c:pt>
                <c:pt idx="325">
                  <c:v>0.17852799999999999</c:v>
                </c:pt>
                <c:pt idx="326">
                  <c:v>0.17349200000000001</c:v>
                </c:pt>
                <c:pt idx="327">
                  <c:v>0.168457</c:v>
                </c:pt>
                <c:pt idx="328">
                  <c:v>0.16342200000000001</c:v>
                </c:pt>
                <c:pt idx="329">
                  <c:v>0.158386</c:v>
                </c:pt>
                <c:pt idx="330">
                  <c:v>0.15335099999999999</c:v>
                </c:pt>
                <c:pt idx="331">
                  <c:v>0.148315</c:v>
                </c:pt>
                <c:pt idx="332">
                  <c:v>0.14327999999999999</c:v>
                </c:pt>
                <c:pt idx="333">
                  <c:v>0.13824500000000001</c:v>
                </c:pt>
                <c:pt idx="334">
                  <c:v>0.13320899999999999</c:v>
                </c:pt>
                <c:pt idx="335">
                  <c:v>0.12817400000000001</c:v>
                </c:pt>
                <c:pt idx="336">
                  <c:v>0.123138</c:v>
                </c:pt>
                <c:pt idx="337">
                  <c:v>0.118103</c:v>
                </c:pt>
                <c:pt idx="338">
                  <c:v>0.113068</c:v>
                </c:pt>
                <c:pt idx="339">
                  <c:v>0.108032</c:v>
                </c:pt>
                <c:pt idx="340">
                  <c:v>0.10299700000000001</c:v>
                </c:pt>
                <c:pt idx="341">
                  <c:v>9.7961400000000004E-2</c:v>
                </c:pt>
                <c:pt idx="342">
                  <c:v>9.2925999999999995E-2</c:v>
                </c:pt>
                <c:pt idx="343">
                  <c:v>8.7890599999999999E-2</c:v>
                </c:pt>
                <c:pt idx="344">
                  <c:v>8.2855200000000004E-2</c:v>
                </c:pt>
                <c:pt idx="345">
                  <c:v>7.7819799999999995E-2</c:v>
                </c:pt>
                <c:pt idx="346">
                  <c:v>7.2784399999999999E-2</c:v>
                </c:pt>
                <c:pt idx="347">
                  <c:v>6.7749000000000004E-2</c:v>
                </c:pt>
                <c:pt idx="348">
                  <c:v>6.2713599999999994E-2</c:v>
                </c:pt>
                <c:pt idx="349">
                  <c:v>5.7678199999999999E-2</c:v>
                </c:pt>
                <c:pt idx="350">
                  <c:v>5.2642799999999997E-2</c:v>
                </c:pt>
                <c:pt idx="351">
                  <c:v>4.7607400000000001E-2</c:v>
                </c:pt>
                <c:pt idx="352">
                  <c:v>4.2571999999999999E-2</c:v>
                </c:pt>
                <c:pt idx="353">
                  <c:v>3.7536600000000003E-2</c:v>
                </c:pt>
                <c:pt idx="354">
                  <c:v>3.2501200000000001E-2</c:v>
                </c:pt>
                <c:pt idx="355">
                  <c:v>2.7465799999999999E-2</c:v>
                </c:pt>
                <c:pt idx="356">
                  <c:v>2.24304E-2</c:v>
                </c:pt>
                <c:pt idx="357">
                  <c:v>1.7395000000000001E-2</c:v>
                </c:pt>
                <c:pt idx="358">
                  <c:v>1.23596E-2</c:v>
                </c:pt>
                <c:pt idx="359">
                  <c:v>7.3242200000000002E-3</c:v>
                </c:pt>
                <c:pt idx="360">
                  <c:v>2.28882E-3</c:v>
                </c:pt>
                <c:pt idx="361">
                  <c:v>-2.7465800000000002E-3</c:v>
                </c:pt>
                <c:pt idx="362">
                  <c:v>-7.78198E-3</c:v>
                </c:pt>
                <c:pt idx="363">
                  <c:v>-1.28174E-2</c:v>
                </c:pt>
                <c:pt idx="364">
                  <c:v>-1.7852799999999999E-2</c:v>
                </c:pt>
                <c:pt idx="365">
                  <c:v>-2.2888200000000001E-2</c:v>
                </c:pt>
                <c:pt idx="366">
                  <c:v>-2.79236E-2</c:v>
                </c:pt>
                <c:pt idx="367">
                  <c:v>-3.2959000000000002E-2</c:v>
                </c:pt>
                <c:pt idx="368">
                  <c:v>-3.7994399999999998E-2</c:v>
                </c:pt>
                <c:pt idx="369">
                  <c:v>-4.30298E-2</c:v>
                </c:pt>
                <c:pt idx="370">
                  <c:v>-4.8065200000000002E-2</c:v>
                </c:pt>
                <c:pt idx="371">
                  <c:v>-5.3100599999999998E-2</c:v>
                </c:pt>
                <c:pt idx="372">
                  <c:v>-5.8136E-2</c:v>
                </c:pt>
                <c:pt idx="373">
                  <c:v>-6.3171400000000003E-2</c:v>
                </c:pt>
                <c:pt idx="374">
                  <c:v>-6.8206799999999998E-2</c:v>
                </c:pt>
                <c:pt idx="375">
                  <c:v>-7.3242199999999993E-2</c:v>
                </c:pt>
                <c:pt idx="376">
                  <c:v>-7.8277600000000003E-2</c:v>
                </c:pt>
                <c:pt idx="377">
                  <c:v>-8.3312999999999998E-2</c:v>
                </c:pt>
                <c:pt idx="378">
                  <c:v>-8.8348399999999994E-2</c:v>
                </c:pt>
                <c:pt idx="379">
                  <c:v>-9.3383800000000003E-2</c:v>
                </c:pt>
                <c:pt idx="380">
                  <c:v>-9.8419199999999998E-2</c:v>
                </c:pt>
                <c:pt idx="381">
                  <c:v>-0.10345500000000001</c:v>
                </c:pt>
              </c:numCache>
            </c:numRef>
          </c:xVal>
          <c:yVal>
            <c:numRef>
              <c:f>'20221231T210000'!$AD$11:$AD$500</c:f>
              <c:numCache>
                <c:formatCode>General</c:formatCode>
                <c:ptCount val="490"/>
                <c:pt idx="0">
                  <c:v>-31.821111111111104</c:v>
                </c:pt>
                <c:pt idx="1">
                  <c:v>-23.001234567901236</c:v>
                </c:pt>
                <c:pt idx="2">
                  <c:v>-16.362716049382716</c:v>
                </c:pt>
                <c:pt idx="3">
                  <c:v>-11.325407407407408</c:v>
                </c:pt>
                <c:pt idx="4">
                  <c:v>-7.2790123456790123</c:v>
                </c:pt>
                <c:pt idx="5">
                  <c:v>-4.2445802469135794</c:v>
                </c:pt>
                <c:pt idx="6">
                  <c:v>-1.8058148148148148</c:v>
                </c:pt>
                <c:pt idx="7">
                  <c:v>0.16611358024691358</c:v>
                </c:pt>
                <c:pt idx="8">
                  <c:v>1.9165802469135802</c:v>
                </c:pt>
                <c:pt idx="9">
                  <c:v>3.3987530864197528</c:v>
                </c:pt>
                <c:pt idx="10">
                  <c:v>4.6043827160493818</c:v>
                </c:pt>
                <c:pt idx="11">
                  <c:v>5.62841975308642</c:v>
                </c:pt>
                <c:pt idx="12">
                  <c:v>6.5292592592592591</c:v>
                </c:pt>
                <c:pt idx="13">
                  <c:v>7.3656666666666659</c:v>
                </c:pt>
                <c:pt idx="14">
                  <c:v>8.1191851851851844</c:v>
                </c:pt>
                <c:pt idx="15">
                  <c:v>8.6466419753086416</c:v>
                </c:pt>
                <c:pt idx="16">
                  <c:v>9.1967160493827151</c:v>
                </c:pt>
                <c:pt idx="17">
                  <c:v>9.6978024691358016</c:v>
                </c:pt>
                <c:pt idx="18">
                  <c:v>10.142382716049381</c:v>
                </c:pt>
                <c:pt idx="19">
                  <c:v>10.549283950617282</c:v>
                </c:pt>
                <c:pt idx="20">
                  <c:v>10.937345679012346</c:v>
                </c:pt>
                <c:pt idx="21">
                  <c:v>11.272666666666666</c:v>
                </c:pt>
                <c:pt idx="22">
                  <c:v>11.581604938271603</c:v>
                </c:pt>
                <c:pt idx="23">
                  <c:v>11.860407407407406</c:v>
                </c:pt>
                <c:pt idx="24">
                  <c:v>12.131679012345678</c:v>
                </c:pt>
                <c:pt idx="25">
                  <c:v>12.365308641975307</c:v>
                </c:pt>
                <c:pt idx="26">
                  <c:v>12.591358024691356</c:v>
                </c:pt>
                <c:pt idx="27">
                  <c:v>12.806049382716049</c:v>
                </c:pt>
                <c:pt idx="28">
                  <c:v>12.986913580246913</c:v>
                </c:pt>
                <c:pt idx="29">
                  <c:v>13.17148148148148</c:v>
                </c:pt>
                <c:pt idx="30">
                  <c:v>13.333580246913579</c:v>
                </c:pt>
                <c:pt idx="31">
                  <c:v>13.465432098765431</c:v>
                </c:pt>
                <c:pt idx="32">
                  <c:v>13.608518518518519</c:v>
                </c:pt>
                <c:pt idx="33">
                  <c:v>13.736666666666666</c:v>
                </c:pt>
                <c:pt idx="34">
                  <c:v>13.849753086419753</c:v>
                </c:pt>
                <c:pt idx="35">
                  <c:v>14.000370370370367</c:v>
                </c:pt>
                <c:pt idx="36">
                  <c:v>14.102098765432096</c:v>
                </c:pt>
                <c:pt idx="37">
                  <c:v>14.207654320987654</c:v>
                </c:pt>
                <c:pt idx="38">
                  <c:v>14.298024691358025</c:v>
                </c:pt>
                <c:pt idx="39">
                  <c:v>14.407283950617282</c:v>
                </c:pt>
                <c:pt idx="40">
                  <c:v>14.505308641975308</c:v>
                </c:pt>
                <c:pt idx="41">
                  <c:v>14.599506172839504</c:v>
                </c:pt>
                <c:pt idx="42">
                  <c:v>14.686172839506172</c:v>
                </c:pt>
                <c:pt idx="43">
                  <c:v>14.776543209876543</c:v>
                </c:pt>
                <c:pt idx="44">
                  <c:v>14.836790123456788</c:v>
                </c:pt>
                <c:pt idx="45">
                  <c:v>14.885802469135802</c:v>
                </c:pt>
                <c:pt idx="46">
                  <c:v>14.95358024691358</c:v>
                </c:pt>
                <c:pt idx="47">
                  <c:v>15.002592592592592</c:v>
                </c:pt>
                <c:pt idx="48">
                  <c:v>15.055308641975309</c:v>
                </c:pt>
                <c:pt idx="49">
                  <c:v>15.104320987654321</c:v>
                </c:pt>
                <c:pt idx="50">
                  <c:v>15.179629629629629</c:v>
                </c:pt>
                <c:pt idx="51">
                  <c:v>15.228641975308641</c:v>
                </c:pt>
                <c:pt idx="52">
                  <c:v>15.285185185185183</c:v>
                </c:pt>
                <c:pt idx="53">
                  <c:v>15.34543209876543</c:v>
                </c:pt>
                <c:pt idx="54">
                  <c:v>15.390617283950617</c:v>
                </c:pt>
                <c:pt idx="55">
                  <c:v>15.443456790123456</c:v>
                </c:pt>
                <c:pt idx="56">
                  <c:v>15.477283950617283</c:v>
                </c:pt>
                <c:pt idx="57">
                  <c:v>15.514938271604937</c:v>
                </c:pt>
                <c:pt idx="58">
                  <c:v>15.541358024691359</c:v>
                </c:pt>
                <c:pt idx="59">
                  <c:v>15.586543209876544</c:v>
                </c:pt>
                <c:pt idx="60">
                  <c:v>15.616666666666664</c:v>
                </c:pt>
                <c:pt idx="61">
                  <c:v>15.643086419753088</c:v>
                </c:pt>
                <c:pt idx="62">
                  <c:v>15.692098765432098</c:v>
                </c:pt>
                <c:pt idx="63">
                  <c:v>15.714691358024689</c:v>
                </c:pt>
                <c:pt idx="64">
                  <c:v>15.729753086419752</c:v>
                </c:pt>
                <c:pt idx="65">
                  <c:v>15.740987654320987</c:v>
                </c:pt>
                <c:pt idx="66">
                  <c:v>15.763703703703703</c:v>
                </c:pt>
                <c:pt idx="67">
                  <c:v>15.793827160493827</c:v>
                </c:pt>
                <c:pt idx="68">
                  <c:v>15.820123456790125</c:v>
                </c:pt>
                <c:pt idx="69">
                  <c:v>15.850246913580245</c:v>
                </c:pt>
                <c:pt idx="70">
                  <c:v>15.861604938271604</c:v>
                </c:pt>
                <c:pt idx="71">
                  <c:v>15.895555555555555</c:v>
                </c:pt>
                <c:pt idx="72">
                  <c:v>15.910617283950618</c:v>
                </c:pt>
                <c:pt idx="73">
                  <c:v>15.936913580246911</c:v>
                </c:pt>
                <c:pt idx="74">
                  <c:v>15.955802469135801</c:v>
                </c:pt>
                <c:pt idx="75">
                  <c:v>15.967037037037036</c:v>
                </c:pt>
                <c:pt idx="76">
                  <c:v>15.985925925925924</c:v>
                </c:pt>
                <c:pt idx="77">
                  <c:v>16.012345679012348</c:v>
                </c:pt>
                <c:pt idx="78">
                  <c:v>16.027407407407406</c:v>
                </c:pt>
                <c:pt idx="79">
                  <c:v>16.049999999999997</c:v>
                </c:pt>
                <c:pt idx="80">
                  <c:v>16.072592592592592</c:v>
                </c:pt>
                <c:pt idx="81">
                  <c:v>16.099012345679011</c:v>
                </c:pt>
                <c:pt idx="82">
                  <c:v>16.121604938271602</c:v>
                </c:pt>
                <c:pt idx="83">
                  <c:v>16.14037037037037</c:v>
                </c:pt>
                <c:pt idx="84">
                  <c:v>16.159259259259258</c:v>
                </c:pt>
                <c:pt idx="85">
                  <c:v>16.174320987654323</c:v>
                </c:pt>
                <c:pt idx="86">
                  <c:v>16.178024691358022</c:v>
                </c:pt>
                <c:pt idx="87">
                  <c:v>16.181851851851849</c:v>
                </c:pt>
                <c:pt idx="88">
                  <c:v>16.193209876543211</c:v>
                </c:pt>
                <c:pt idx="89">
                  <c:v>16.204444444444441</c:v>
                </c:pt>
                <c:pt idx="90">
                  <c:v>16.211975308641971</c:v>
                </c:pt>
                <c:pt idx="91">
                  <c:v>16.204444444444441</c:v>
                </c:pt>
                <c:pt idx="92">
                  <c:v>16.227037037037036</c:v>
                </c:pt>
                <c:pt idx="93">
                  <c:v>16.2420987654321</c:v>
                </c:pt>
                <c:pt idx="94">
                  <c:v>16.249629629629627</c:v>
                </c:pt>
                <c:pt idx="95">
                  <c:v>16.272222222222219</c:v>
                </c:pt>
                <c:pt idx="96">
                  <c:v>16.287283950617283</c:v>
                </c:pt>
                <c:pt idx="97">
                  <c:v>16.302469135802468</c:v>
                </c:pt>
                <c:pt idx="98">
                  <c:v>16.317530864197529</c:v>
                </c:pt>
                <c:pt idx="99">
                  <c:v>16.328765432098766</c:v>
                </c:pt>
                <c:pt idx="100">
                  <c:v>16.340123456790124</c:v>
                </c:pt>
                <c:pt idx="101">
                  <c:v>16.343827160493824</c:v>
                </c:pt>
                <c:pt idx="102">
                  <c:v>16.347654320987651</c:v>
                </c:pt>
                <c:pt idx="103">
                  <c:v>16.366419753086415</c:v>
                </c:pt>
                <c:pt idx="104">
                  <c:v>16.377777777777776</c:v>
                </c:pt>
                <c:pt idx="105">
                  <c:v>16.38901234567901</c:v>
                </c:pt>
                <c:pt idx="106">
                  <c:v>16.38901234567901</c:v>
                </c:pt>
                <c:pt idx="107">
                  <c:v>16.38901234567901</c:v>
                </c:pt>
                <c:pt idx="108">
                  <c:v>16.407901234567902</c:v>
                </c:pt>
                <c:pt idx="109">
                  <c:v>16.422962962962963</c:v>
                </c:pt>
                <c:pt idx="110">
                  <c:v>16.434320987654321</c:v>
                </c:pt>
                <c:pt idx="111">
                  <c:v>16.430493827160493</c:v>
                </c:pt>
                <c:pt idx="112">
                  <c:v>16.441851851851851</c:v>
                </c:pt>
                <c:pt idx="113">
                  <c:v>16.456913580246912</c:v>
                </c:pt>
                <c:pt idx="114">
                  <c:v>16.460617283950615</c:v>
                </c:pt>
                <c:pt idx="115">
                  <c:v>16.471975308641973</c:v>
                </c:pt>
                <c:pt idx="116">
                  <c:v>16.479506172839503</c:v>
                </c:pt>
                <c:pt idx="117">
                  <c:v>16.487037037037037</c:v>
                </c:pt>
                <c:pt idx="118">
                  <c:v>16.487037037037037</c:v>
                </c:pt>
                <c:pt idx="119">
                  <c:v>16.483209876543206</c:v>
                </c:pt>
                <c:pt idx="120">
                  <c:v>16.494567901234568</c:v>
                </c:pt>
                <c:pt idx="121">
                  <c:v>16.494567901234568</c:v>
                </c:pt>
                <c:pt idx="122">
                  <c:v>16.494567901234568</c:v>
                </c:pt>
                <c:pt idx="123">
                  <c:v>16.494567901234568</c:v>
                </c:pt>
                <c:pt idx="124">
                  <c:v>16.513456790123456</c:v>
                </c:pt>
                <c:pt idx="125">
                  <c:v>16.528518518518517</c:v>
                </c:pt>
                <c:pt idx="126">
                  <c:v>16.539753086419751</c:v>
                </c:pt>
                <c:pt idx="127">
                  <c:v>16.543580246913578</c:v>
                </c:pt>
                <c:pt idx="128">
                  <c:v>16.547283950617281</c:v>
                </c:pt>
                <c:pt idx="129">
                  <c:v>16.566172839506169</c:v>
                </c:pt>
                <c:pt idx="130">
                  <c:v>16.581234567901234</c:v>
                </c:pt>
                <c:pt idx="131">
                  <c:v>16.57740740740741</c:v>
                </c:pt>
                <c:pt idx="132">
                  <c:v>16.581234567901234</c:v>
                </c:pt>
                <c:pt idx="133">
                  <c:v>16.57740740740741</c:v>
                </c:pt>
                <c:pt idx="134">
                  <c:v>16.588765432098764</c:v>
                </c:pt>
                <c:pt idx="135">
                  <c:v>16.599999999999998</c:v>
                </c:pt>
                <c:pt idx="136">
                  <c:v>16.596296296296295</c:v>
                </c:pt>
                <c:pt idx="137">
                  <c:v>16.603827160493829</c:v>
                </c:pt>
                <c:pt idx="138">
                  <c:v>16.618888888888886</c:v>
                </c:pt>
                <c:pt idx="139">
                  <c:v>16.622716049382717</c:v>
                </c:pt>
                <c:pt idx="140">
                  <c:v>16.618888888888886</c:v>
                </c:pt>
                <c:pt idx="141">
                  <c:v>16.626419753086417</c:v>
                </c:pt>
                <c:pt idx="142">
                  <c:v>16.630246913580244</c:v>
                </c:pt>
                <c:pt idx="143">
                  <c:v>16.622716049382717</c:v>
                </c:pt>
                <c:pt idx="144">
                  <c:v>16.615185185185183</c:v>
                </c:pt>
                <c:pt idx="145">
                  <c:v>16.615185185185183</c:v>
                </c:pt>
                <c:pt idx="146">
                  <c:v>16.622716049382717</c:v>
                </c:pt>
                <c:pt idx="147">
                  <c:v>16.633950617283947</c:v>
                </c:pt>
                <c:pt idx="148">
                  <c:v>16.660370370370369</c:v>
                </c:pt>
                <c:pt idx="149">
                  <c:v>16.664074074074072</c:v>
                </c:pt>
                <c:pt idx="150">
                  <c:v>16.67543209876543</c:v>
                </c:pt>
                <c:pt idx="151">
                  <c:v>16.694197530864194</c:v>
                </c:pt>
                <c:pt idx="152">
                  <c:v>16.698024691358025</c:v>
                </c:pt>
                <c:pt idx="153">
                  <c:v>16.698024691358025</c:v>
                </c:pt>
                <c:pt idx="154">
                  <c:v>16.694197530864194</c:v>
                </c:pt>
                <c:pt idx="155">
                  <c:v>16.705555555555552</c:v>
                </c:pt>
                <c:pt idx="156">
                  <c:v>16.698024691358025</c:v>
                </c:pt>
                <c:pt idx="157">
                  <c:v>16.686666666666664</c:v>
                </c:pt>
                <c:pt idx="158">
                  <c:v>16.690493827160495</c:v>
                </c:pt>
                <c:pt idx="159">
                  <c:v>16.701728395061725</c:v>
                </c:pt>
                <c:pt idx="160">
                  <c:v>16.720617283950617</c:v>
                </c:pt>
                <c:pt idx="161">
                  <c:v>16.716790123456789</c:v>
                </c:pt>
                <c:pt idx="162">
                  <c:v>16.716790123456789</c:v>
                </c:pt>
                <c:pt idx="163">
                  <c:v>16.709259259259255</c:v>
                </c:pt>
                <c:pt idx="164">
                  <c:v>16.713086419753086</c:v>
                </c:pt>
                <c:pt idx="165">
                  <c:v>16.716790123456789</c:v>
                </c:pt>
                <c:pt idx="166">
                  <c:v>16.731975308641974</c:v>
                </c:pt>
                <c:pt idx="167">
                  <c:v>16.739506172839505</c:v>
                </c:pt>
                <c:pt idx="168">
                  <c:v>16.728148148148147</c:v>
                </c:pt>
                <c:pt idx="169">
                  <c:v>16.728148148148147</c:v>
                </c:pt>
                <c:pt idx="170">
                  <c:v>16.735679012345678</c:v>
                </c:pt>
                <c:pt idx="171">
                  <c:v>16.739506172839505</c:v>
                </c:pt>
                <c:pt idx="172">
                  <c:v>16.739506172839505</c:v>
                </c:pt>
                <c:pt idx="173">
                  <c:v>16.750740740740738</c:v>
                </c:pt>
                <c:pt idx="174">
                  <c:v>16.76962962962963</c:v>
                </c:pt>
                <c:pt idx="175">
                  <c:v>16.777160493827161</c:v>
                </c:pt>
                <c:pt idx="176">
                  <c:v>16.777160493827161</c:v>
                </c:pt>
                <c:pt idx="177">
                  <c:v>16.788395061728394</c:v>
                </c:pt>
                <c:pt idx="178">
                  <c:v>16.788395061728394</c:v>
                </c:pt>
                <c:pt idx="179">
                  <c:v>16.803456790123455</c:v>
                </c:pt>
                <c:pt idx="180">
                  <c:v>16.810987654320986</c:v>
                </c:pt>
                <c:pt idx="181">
                  <c:v>16.810987654320986</c:v>
                </c:pt>
                <c:pt idx="182">
                  <c:v>16.803456790123455</c:v>
                </c:pt>
                <c:pt idx="183">
                  <c:v>16.795925925925925</c:v>
                </c:pt>
                <c:pt idx="184">
                  <c:v>16.795925925925925</c:v>
                </c:pt>
                <c:pt idx="185">
                  <c:v>16.795925925925925</c:v>
                </c:pt>
                <c:pt idx="186">
                  <c:v>16.810987654320986</c:v>
                </c:pt>
                <c:pt idx="187">
                  <c:v>16.818518518518516</c:v>
                </c:pt>
                <c:pt idx="188">
                  <c:v>16.810987654320986</c:v>
                </c:pt>
                <c:pt idx="189">
                  <c:v>16.822345679012344</c:v>
                </c:pt>
                <c:pt idx="190">
                  <c:v>16.826172839506171</c:v>
                </c:pt>
                <c:pt idx="191">
                  <c:v>16.822345679012344</c:v>
                </c:pt>
                <c:pt idx="192">
                  <c:v>16.818518518518516</c:v>
                </c:pt>
                <c:pt idx="193">
                  <c:v>16.814814814814813</c:v>
                </c:pt>
                <c:pt idx="194">
                  <c:v>16.807283950617283</c:v>
                </c:pt>
                <c:pt idx="195">
                  <c:v>16.814814814814813</c:v>
                </c:pt>
                <c:pt idx="196">
                  <c:v>16.826172839506171</c:v>
                </c:pt>
                <c:pt idx="197">
                  <c:v>16.826172839506171</c:v>
                </c:pt>
                <c:pt idx="198">
                  <c:v>16.829876543209878</c:v>
                </c:pt>
                <c:pt idx="199">
                  <c:v>16.829876543209878</c:v>
                </c:pt>
                <c:pt idx="200">
                  <c:v>16.826172839506171</c:v>
                </c:pt>
                <c:pt idx="201">
                  <c:v>16.829876543209878</c:v>
                </c:pt>
                <c:pt idx="202">
                  <c:v>16.833703703703701</c:v>
                </c:pt>
                <c:pt idx="203">
                  <c:v>16.852469135802469</c:v>
                </c:pt>
                <c:pt idx="204">
                  <c:v>16.871358024691357</c:v>
                </c:pt>
                <c:pt idx="205">
                  <c:v>16.882592592592591</c:v>
                </c:pt>
                <c:pt idx="206">
                  <c:v>16.890123456790121</c:v>
                </c:pt>
                <c:pt idx="207">
                  <c:v>16.886419753086418</c:v>
                </c:pt>
                <c:pt idx="208">
                  <c:v>16.890123456790121</c:v>
                </c:pt>
                <c:pt idx="209">
                  <c:v>16.890123456790121</c:v>
                </c:pt>
                <c:pt idx="210">
                  <c:v>16.893950617283949</c:v>
                </c:pt>
                <c:pt idx="211">
                  <c:v>16.90901234567901</c:v>
                </c:pt>
                <c:pt idx="212">
                  <c:v>16.912716049382716</c:v>
                </c:pt>
                <c:pt idx="213">
                  <c:v>16.916543209876544</c:v>
                </c:pt>
                <c:pt idx="214">
                  <c:v>16.931604938271605</c:v>
                </c:pt>
                <c:pt idx="215">
                  <c:v>16.946666666666665</c:v>
                </c:pt>
                <c:pt idx="216">
                  <c:v>16.958024691358023</c:v>
                </c:pt>
                <c:pt idx="217">
                  <c:v>16.958024691358023</c:v>
                </c:pt>
                <c:pt idx="218">
                  <c:v>16.954197530864196</c:v>
                </c:pt>
                <c:pt idx="219">
                  <c:v>16.939135802469135</c:v>
                </c:pt>
                <c:pt idx="220">
                  <c:v>16.942962962962962</c:v>
                </c:pt>
                <c:pt idx="221">
                  <c:v>16.942962962962962</c:v>
                </c:pt>
                <c:pt idx="222">
                  <c:v>16.939135802469135</c:v>
                </c:pt>
                <c:pt idx="223">
                  <c:v>16.935432098765432</c:v>
                </c:pt>
                <c:pt idx="224">
                  <c:v>16.946666666666665</c:v>
                </c:pt>
                <c:pt idx="225">
                  <c:v>16.954197530864196</c:v>
                </c:pt>
                <c:pt idx="226">
                  <c:v>16.958024691358023</c:v>
                </c:pt>
                <c:pt idx="227">
                  <c:v>16.976790123456787</c:v>
                </c:pt>
                <c:pt idx="228">
                  <c:v>16.988148148148149</c:v>
                </c:pt>
                <c:pt idx="229">
                  <c:v>16.988148148148149</c:v>
                </c:pt>
                <c:pt idx="230">
                  <c:v>16.973086419753084</c:v>
                </c:pt>
                <c:pt idx="231">
                  <c:v>16.950493827160493</c:v>
                </c:pt>
                <c:pt idx="232">
                  <c:v>16.939135802469135</c:v>
                </c:pt>
                <c:pt idx="233">
                  <c:v>16.931604938271605</c:v>
                </c:pt>
                <c:pt idx="234">
                  <c:v>16.942962962962962</c:v>
                </c:pt>
                <c:pt idx="235">
                  <c:v>16.958024691358023</c:v>
                </c:pt>
                <c:pt idx="236">
                  <c:v>16.954197530864196</c:v>
                </c:pt>
                <c:pt idx="237">
                  <c:v>16.958024691358023</c:v>
                </c:pt>
                <c:pt idx="238">
                  <c:v>16.954197530864196</c:v>
                </c:pt>
                <c:pt idx="239">
                  <c:v>16.961728395061726</c:v>
                </c:pt>
                <c:pt idx="240">
                  <c:v>16.965555555555554</c:v>
                </c:pt>
                <c:pt idx="241">
                  <c:v>16.969259259259257</c:v>
                </c:pt>
                <c:pt idx="242">
                  <c:v>16.973086419753084</c:v>
                </c:pt>
                <c:pt idx="243">
                  <c:v>16.973086419753084</c:v>
                </c:pt>
                <c:pt idx="244">
                  <c:v>16.976790123456787</c:v>
                </c:pt>
                <c:pt idx="245">
                  <c:v>16.976790123456787</c:v>
                </c:pt>
                <c:pt idx="246">
                  <c:v>16.976790123456787</c:v>
                </c:pt>
                <c:pt idx="247">
                  <c:v>16.980617283950615</c:v>
                </c:pt>
                <c:pt idx="248">
                  <c:v>16.976790123456787</c:v>
                </c:pt>
                <c:pt idx="249">
                  <c:v>16.980617283950615</c:v>
                </c:pt>
                <c:pt idx="250">
                  <c:v>16.976790123456787</c:v>
                </c:pt>
                <c:pt idx="251">
                  <c:v>16.969259259259257</c:v>
                </c:pt>
                <c:pt idx="252">
                  <c:v>16.965555555555554</c:v>
                </c:pt>
                <c:pt idx="253">
                  <c:v>16.973086419753084</c:v>
                </c:pt>
                <c:pt idx="254">
                  <c:v>16.973086419753084</c:v>
                </c:pt>
                <c:pt idx="255">
                  <c:v>16.965555555555554</c:v>
                </c:pt>
                <c:pt idx="256">
                  <c:v>16.965555555555554</c:v>
                </c:pt>
                <c:pt idx="257">
                  <c:v>16.965555555555554</c:v>
                </c:pt>
                <c:pt idx="258">
                  <c:v>16.958024691358023</c:v>
                </c:pt>
                <c:pt idx="259">
                  <c:v>16.950493827160493</c:v>
                </c:pt>
                <c:pt idx="260">
                  <c:v>16.942962962962962</c:v>
                </c:pt>
                <c:pt idx="261">
                  <c:v>16.942962962962962</c:v>
                </c:pt>
                <c:pt idx="262">
                  <c:v>16.939135802469135</c:v>
                </c:pt>
                <c:pt idx="263">
                  <c:v>16.950493827160493</c:v>
                </c:pt>
                <c:pt idx="264">
                  <c:v>16.958024691358023</c:v>
                </c:pt>
                <c:pt idx="265">
                  <c:v>16.961728395061726</c:v>
                </c:pt>
                <c:pt idx="266">
                  <c:v>16.961728395061726</c:v>
                </c:pt>
                <c:pt idx="267">
                  <c:v>16.958024691358023</c:v>
                </c:pt>
                <c:pt idx="268">
                  <c:v>16.950493827160493</c:v>
                </c:pt>
                <c:pt idx="269">
                  <c:v>16.950493827160493</c:v>
                </c:pt>
                <c:pt idx="270">
                  <c:v>16.958024691358023</c:v>
                </c:pt>
                <c:pt idx="271">
                  <c:v>16.958024691358023</c:v>
                </c:pt>
                <c:pt idx="272">
                  <c:v>16.965555555555554</c:v>
                </c:pt>
                <c:pt idx="273">
                  <c:v>16.973086419753084</c:v>
                </c:pt>
                <c:pt idx="274">
                  <c:v>16.965555555555554</c:v>
                </c:pt>
                <c:pt idx="275">
                  <c:v>16.954197530864196</c:v>
                </c:pt>
                <c:pt idx="276">
                  <c:v>16.950493827160493</c:v>
                </c:pt>
                <c:pt idx="277">
                  <c:v>16.954197530864196</c:v>
                </c:pt>
                <c:pt idx="278">
                  <c:v>16.958024691358023</c:v>
                </c:pt>
                <c:pt idx="279">
                  <c:v>16.965555555555554</c:v>
                </c:pt>
                <c:pt idx="280">
                  <c:v>16.973086419753084</c:v>
                </c:pt>
                <c:pt idx="281">
                  <c:v>16.984320987654321</c:v>
                </c:pt>
                <c:pt idx="282">
                  <c:v>16.988148148148149</c:v>
                </c:pt>
                <c:pt idx="283">
                  <c:v>16.991851851851852</c:v>
                </c:pt>
                <c:pt idx="284">
                  <c:v>16.995679012345676</c:v>
                </c:pt>
                <c:pt idx="285">
                  <c:v>17.01074074074074</c:v>
                </c:pt>
                <c:pt idx="286">
                  <c:v>17.006913580246916</c:v>
                </c:pt>
                <c:pt idx="287">
                  <c:v>17.01074074074074</c:v>
                </c:pt>
                <c:pt idx="288">
                  <c:v>17.006913580246916</c:v>
                </c:pt>
                <c:pt idx="289">
                  <c:v>17.00320987654321</c:v>
                </c:pt>
                <c:pt idx="290">
                  <c:v>16.999382716049382</c:v>
                </c:pt>
                <c:pt idx="291">
                  <c:v>16.988148148148149</c:v>
                </c:pt>
                <c:pt idx="292">
                  <c:v>16.988148148148149</c:v>
                </c:pt>
                <c:pt idx="293">
                  <c:v>16.991851851851852</c:v>
                </c:pt>
                <c:pt idx="294">
                  <c:v>16.995679012345676</c:v>
                </c:pt>
                <c:pt idx="295">
                  <c:v>16.984320987654321</c:v>
                </c:pt>
                <c:pt idx="296">
                  <c:v>16.969259259259257</c:v>
                </c:pt>
                <c:pt idx="297">
                  <c:v>16.969259259259257</c:v>
                </c:pt>
                <c:pt idx="298">
                  <c:v>16.976790123456787</c:v>
                </c:pt>
                <c:pt idx="299">
                  <c:v>16.999382716049382</c:v>
                </c:pt>
                <c:pt idx="300">
                  <c:v>17.018271604938271</c:v>
                </c:pt>
                <c:pt idx="301">
                  <c:v>17.021975308641974</c:v>
                </c:pt>
                <c:pt idx="302">
                  <c:v>17.021975308641974</c:v>
                </c:pt>
                <c:pt idx="303">
                  <c:v>17.021975308641974</c:v>
                </c:pt>
                <c:pt idx="304">
                  <c:v>17.014444444444443</c:v>
                </c:pt>
                <c:pt idx="305">
                  <c:v>16.999382716049382</c:v>
                </c:pt>
                <c:pt idx="306">
                  <c:v>16.999382716049382</c:v>
                </c:pt>
                <c:pt idx="307">
                  <c:v>16.995679012345676</c:v>
                </c:pt>
                <c:pt idx="308">
                  <c:v>16.995679012345676</c:v>
                </c:pt>
                <c:pt idx="309">
                  <c:v>16.988148148148149</c:v>
                </c:pt>
                <c:pt idx="310">
                  <c:v>16.973086419753084</c:v>
                </c:pt>
                <c:pt idx="311">
                  <c:v>16.969259259259257</c:v>
                </c:pt>
                <c:pt idx="312">
                  <c:v>16.976790123456787</c:v>
                </c:pt>
                <c:pt idx="313">
                  <c:v>16.984320987654321</c:v>
                </c:pt>
                <c:pt idx="314">
                  <c:v>16.999382716049382</c:v>
                </c:pt>
                <c:pt idx="315">
                  <c:v>17.01074074074074</c:v>
                </c:pt>
                <c:pt idx="316">
                  <c:v>17.025802469135801</c:v>
                </c:pt>
                <c:pt idx="317">
                  <c:v>17.029506172839504</c:v>
                </c:pt>
                <c:pt idx="318">
                  <c:v>17.033333333333331</c:v>
                </c:pt>
                <c:pt idx="319">
                  <c:v>17.033333333333331</c:v>
                </c:pt>
                <c:pt idx="320">
                  <c:v>17.025802469135801</c:v>
                </c:pt>
                <c:pt idx="321">
                  <c:v>17.029506172839504</c:v>
                </c:pt>
                <c:pt idx="322">
                  <c:v>17.029506172839504</c:v>
                </c:pt>
                <c:pt idx="323">
                  <c:v>17.033333333333331</c:v>
                </c:pt>
                <c:pt idx="324">
                  <c:v>17.033333333333331</c:v>
                </c:pt>
                <c:pt idx="325">
                  <c:v>17.040864197530862</c:v>
                </c:pt>
                <c:pt idx="326">
                  <c:v>17.055925925925926</c:v>
                </c:pt>
                <c:pt idx="327">
                  <c:v>17.048395061728392</c:v>
                </c:pt>
                <c:pt idx="328">
                  <c:v>17.044691358024689</c:v>
                </c:pt>
                <c:pt idx="329">
                  <c:v>17.052222222222223</c:v>
                </c:pt>
                <c:pt idx="330">
                  <c:v>17.055925925925926</c:v>
                </c:pt>
                <c:pt idx="331">
                  <c:v>17.05975308641975</c:v>
                </c:pt>
                <c:pt idx="332">
                  <c:v>17.067283950617281</c:v>
                </c:pt>
                <c:pt idx="333">
                  <c:v>17.070987654320987</c:v>
                </c:pt>
                <c:pt idx="334">
                  <c:v>17.070987654320987</c:v>
                </c:pt>
                <c:pt idx="335">
                  <c:v>17.074814814814815</c:v>
                </c:pt>
                <c:pt idx="336">
                  <c:v>17.078518518518518</c:v>
                </c:pt>
                <c:pt idx="337">
                  <c:v>17.074814814814815</c:v>
                </c:pt>
                <c:pt idx="338">
                  <c:v>17.063456790123453</c:v>
                </c:pt>
                <c:pt idx="339">
                  <c:v>17.05975308641975</c:v>
                </c:pt>
                <c:pt idx="340">
                  <c:v>17.063456790123453</c:v>
                </c:pt>
                <c:pt idx="341">
                  <c:v>17.05975308641975</c:v>
                </c:pt>
                <c:pt idx="342">
                  <c:v>17.055925925925926</c:v>
                </c:pt>
                <c:pt idx="343">
                  <c:v>17.052222222222223</c:v>
                </c:pt>
                <c:pt idx="344">
                  <c:v>17.048395061728392</c:v>
                </c:pt>
                <c:pt idx="345">
                  <c:v>17.044691358024689</c:v>
                </c:pt>
                <c:pt idx="346">
                  <c:v>17.040864197530862</c:v>
                </c:pt>
                <c:pt idx="347">
                  <c:v>17.044691358024689</c:v>
                </c:pt>
                <c:pt idx="348">
                  <c:v>17.052222222222223</c:v>
                </c:pt>
                <c:pt idx="349">
                  <c:v>17.067283950617281</c:v>
                </c:pt>
                <c:pt idx="350">
                  <c:v>17.086049382716048</c:v>
                </c:pt>
                <c:pt idx="351">
                  <c:v>17.089876543209876</c:v>
                </c:pt>
                <c:pt idx="352">
                  <c:v>17.093580246913579</c:v>
                </c:pt>
                <c:pt idx="353">
                  <c:v>17.089876543209876</c:v>
                </c:pt>
                <c:pt idx="354">
                  <c:v>17.089876543209876</c:v>
                </c:pt>
                <c:pt idx="355">
                  <c:v>17.089876543209876</c:v>
                </c:pt>
                <c:pt idx="356">
                  <c:v>17.093580246913579</c:v>
                </c:pt>
                <c:pt idx="357">
                  <c:v>17.093580246913579</c:v>
                </c:pt>
                <c:pt idx="358">
                  <c:v>17.09740740740741</c:v>
                </c:pt>
                <c:pt idx="359">
                  <c:v>17.104938271604937</c:v>
                </c:pt>
                <c:pt idx="360">
                  <c:v>17.101111111111113</c:v>
                </c:pt>
                <c:pt idx="361">
                  <c:v>17.089876543209876</c:v>
                </c:pt>
                <c:pt idx="362">
                  <c:v>17.093580246913579</c:v>
                </c:pt>
                <c:pt idx="363">
                  <c:v>17.09740740740741</c:v>
                </c:pt>
                <c:pt idx="364">
                  <c:v>17.101111111111113</c:v>
                </c:pt>
                <c:pt idx="365">
                  <c:v>17.093580246913579</c:v>
                </c:pt>
                <c:pt idx="366">
                  <c:v>17.089876543209876</c:v>
                </c:pt>
                <c:pt idx="367">
                  <c:v>17.082345679012345</c:v>
                </c:pt>
                <c:pt idx="368">
                  <c:v>17.078518518518518</c:v>
                </c:pt>
                <c:pt idx="369">
                  <c:v>17.074814814814815</c:v>
                </c:pt>
                <c:pt idx="370">
                  <c:v>17.070987654320987</c:v>
                </c:pt>
                <c:pt idx="371">
                  <c:v>17.082345679012345</c:v>
                </c:pt>
                <c:pt idx="372">
                  <c:v>17.093580246913579</c:v>
                </c:pt>
                <c:pt idx="373">
                  <c:v>17.086049382716048</c:v>
                </c:pt>
                <c:pt idx="374">
                  <c:v>17.093580246913579</c:v>
                </c:pt>
                <c:pt idx="375">
                  <c:v>17.101111111111113</c:v>
                </c:pt>
                <c:pt idx="376">
                  <c:v>17.10864197530864</c:v>
                </c:pt>
                <c:pt idx="377">
                  <c:v>17.11617283950617</c:v>
                </c:pt>
                <c:pt idx="378">
                  <c:v>17.127530864197528</c:v>
                </c:pt>
                <c:pt idx="379">
                  <c:v>17.127530864197528</c:v>
                </c:pt>
                <c:pt idx="380">
                  <c:v>17.123703703703701</c:v>
                </c:pt>
                <c:pt idx="381">
                  <c:v>17.123703703703701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435-4110-8E96-102166006E83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'20221231T210000'!$AG$11:$AG$500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  <c:pt idx="376">
                  <c:v>1.7984</c:v>
                </c:pt>
                <c:pt idx="377">
                  <c:v>1.8034399999999999</c:v>
                </c:pt>
                <c:pt idx="378">
                  <c:v>1.80847</c:v>
                </c:pt>
                <c:pt idx="379">
                  <c:v>1.81351</c:v>
                </c:pt>
                <c:pt idx="380">
                  <c:v>1.81854</c:v>
                </c:pt>
                <c:pt idx="381">
                  <c:v>1.82358</c:v>
                </c:pt>
              </c:numCache>
            </c:numRef>
          </c:xVal>
          <c:yVal>
            <c:numRef>
              <c:f>'20221231T210000'!$AL$11:$AL$500</c:f>
              <c:numCache>
                <c:formatCode>General</c:formatCode>
                <c:ptCount val="490"/>
                <c:pt idx="0">
                  <c:v>17.112469135802467</c:v>
                </c:pt>
                <c:pt idx="1">
                  <c:v>17.112469135802467</c:v>
                </c:pt>
                <c:pt idx="2">
                  <c:v>17.10864197530864</c:v>
                </c:pt>
                <c:pt idx="3">
                  <c:v>17.10864197530864</c:v>
                </c:pt>
                <c:pt idx="4">
                  <c:v>17.10864197530864</c:v>
                </c:pt>
                <c:pt idx="5">
                  <c:v>17.101111111111113</c:v>
                </c:pt>
                <c:pt idx="6">
                  <c:v>17.101111111111113</c:v>
                </c:pt>
                <c:pt idx="7">
                  <c:v>17.104938271604937</c:v>
                </c:pt>
                <c:pt idx="8">
                  <c:v>17.09740740740741</c:v>
                </c:pt>
                <c:pt idx="9">
                  <c:v>17.089876543209876</c:v>
                </c:pt>
                <c:pt idx="10">
                  <c:v>17.067283950617281</c:v>
                </c:pt>
                <c:pt idx="11">
                  <c:v>17.05975308641975</c:v>
                </c:pt>
                <c:pt idx="12">
                  <c:v>17.05975308641975</c:v>
                </c:pt>
                <c:pt idx="13">
                  <c:v>17.055925925925926</c:v>
                </c:pt>
                <c:pt idx="14">
                  <c:v>17.055925925925926</c:v>
                </c:pt>
                <c:pt idx="15">
                  <c:v>17.05975308641975</c:v>
                </c:pt>
                <c:pt idx="16">
                  <c:v>17.063456790123453</c:v>
                </c:pt>
                <c:pt idx="17">
                  <c:v>17.063456790123453</c:v>
                </c:pt>
                <c:pt idx="18">
                  <c:v>17.067283950617281</c:v>
                </c:pt>
                <c:pt idx="19">
                  <c:v>17.070987654320987</c:v>
                </c:pt>
                <c:pt idx="20">
                  <c:v>17.070987654320987</c:v>
                </c:pt>
                <c:pt idx="21">
                  <c:v>17.070987654320987</c:v>
                </c:pt>
                <c:pt idx="22">
                  <c:v>17.063456790123453</c:v>
                </c:pt>
                <c:pt idx="23">
                  <c:v>17.063456790123453</c:v>
                </c:pt>
                <c:pt idx="24">
                  <c:v>17.063456790123453</c:v>
                </c:pt>
                <c:pt idx="25">
                  <c:v>17.055925925925926</c:v>
                </c:pt>
                <c:pt idx="26">
                  <c:v>17.040864197530862</c:v>
                </c:pt>
                <c:pt idx="27">
                  <c:v>17.037037037037035</c:v>
                </c:pt>
                <c:pt idx="28">
                  <c:v>17.033333333333331</c:v>
                </c:pt>
                <c:pt idx="29">
                  <c:v>17.025802469135801</c:v>
                </c:pt>
                <c:pt idx="30">
                  <c:v>17.029506172839504</c:v>
                </c:pt>
                <c:pt idx="31">
                  <c:v>17.025802469135801</c:v>
                </c:pt>
                <c:pt idx="32">
                  <c:v>17.018271604938271</c:v>
                </c:pt>
                <c:pt idx="33">
                  <c:v>17.018271604938271</c:v>
                </c:pt>
                <c:pt idx="34">
                  <c:v>17.025802469135801</c:v>
                </c:pt>
                <c:pt idx="35">
                  <c:v>17.025802469135801</c:v>
                </c:pt>
                <c:pt idx="36">
                  <c:v>17.021975308641974</c:v>
                </c:pt>
                <c:pt idx="37">
                  <c:v>17.018271604938271</c:v>
                </c:pt>
                <c:pt idx="38">
                  <c:v>17.021975308641974</c:v>
                </c:pt>
                <c:pt idx="39">
                  <c:v>17.033333333333331</c:v>
                </c:pt>
                <c:pt idx="40">
                  <c:v>17.044691358024689</c:v>
                </c:pt>
                <c:pt idx="41">
                  <c:v>17.052222222222223</c:v>
                </c:pt>
                <c:pt idx="42">
                  <c:v>17.048395061728392</c:v>
                </c:pt>
                <c:pt idx="43">
                  <c:v>17.05975308641975</c:v>
                </c:pt>
                <c:pt idx="44">
                  <c:v>17.070987654320987</c:v>
                </c:pt>
                <c:pt idx="45">
                  <c:v>17.074814814814815</c:v>
                </c:pt>
                <c:pt idx="46">
                  <c:v>17.067283950617281</c:v>
                </c:pt>
                <c:pt idx="47">
                  <c:v>17.05975308641975</c:v>
                </c:pt>
                <c:pt idx="48">
                  <c:v>17.067283950617281</c:v>
                </c:pt>
                <c:pt idx="49">
                  <c:v>17.067283950617281</c:v>
                </c:pt>
                <c:pt idx="50">
                  <c:v>17.063456790123453</c:v>
                </c:pt>
                <c:pt idx="51">
                  <c:v>17.052222222222223</c:v>
                </c:pt>
                <c:pt idx="52">
                  <c:v>17.037037037037035</c:v>
                </c:pt>
                <c:pt idx="53">
                  <c:v>17.037037037037035</c:v>
                </c:pt>
                <c:pt idx="54">
                  <c:v>17.037037037037035</c:v>
                </c:pt>
                <c:pt idx="55">
                  <c:v>17.037037037037035</c:v>
                </c:pt>
                <c:pt idx="56">
                  <c:v>17.029506172839504</c:v>
                </c:pt>
                <c:pt idx="57">
                  <c:v>17.029506172839504</c:v>
                </c:pt>
                <c:pt idx="58">
                  <c:v>17.021975308641974</c:v>
                </c:pt>
                <c:pt idx="59">
                  <c:v>17.025802469135801</c:v>
                </c:pt>
                <c:pt idx="60">
                  <c:v>17.033333333333331</c:v>
                </c:pt>
                <c:pt idx="61">
                  <c:v>17.037037037037035</c:v>
                </c:pt>
                <c:pt idx="62">
                  <c:v>17.048395061728392</c:v>
                </c:pt>
                <c:pt idx="63">
                  <c:v>17.052222222222223</c:v>
                </c:pt>
                <c:pt idx="64">
                  <c:v>17.063456790123453</c:v>
                </c:pt>
                <c:pt idx="65">
                  <c:v>17.063456790123453</c:v>
                </c:pt>
                <c:pt idx="66">
                  <c:v>17.063456790123453</c:v>
                </c:pt>
                <c:pt idx="67">
                  <c:v>17.055925925925926</c:v>
                </c:pt>
                <c:pt idx="68">
                  <c:v>17.048395061728392</c:v>
                </c:pt>
                <c:pt idx="69">
                  <c:v>17.052222222222223</c:v>
                </c:pt>
                <c:pt idx="70">
                  <c:v>17.040864197530862</c:v>
                </c:pt>
                <c:pt idx="71">
                  <c:v>17.029506172839504</c:v>
                </c:pt>
                <c:pt idx="72">
                  <c:v>17.01074074074074</c:v>
                </c:pt>
                <c:pt idx="73">
                  <c:v>16.999382716049382</c:v>
                </c:pt>
                <c:pt idx="74">
                  <c:v>16.995679012345676</c:v>
                </c:pt>
                <c:pt idx="75">
                  <c:v>16.988148148148149</c:v>
                </c:pt>
                <c:pt idx="76">
                  <c:v>16.988148148148149</c:v>
                </c:pt>
                <c:pt idx="77">
                  <c:v>16.984320987654321</c:v>
                </c:pt>
                <c:pt idx="78">
                  <c:v>16.999382716049382</c:v>
                </c:pt>
                <c:pt idx="79">
                  <c:v>17.014444444444443</c:v>
                </c:pt>
                <c:pt idx="80">
                  <c:v>17.014444444444443</c:v>
                </c:pt>
                <c:pt idx="81">
                  <c:v>17.018271604938271</c:v>
                </c:pt>
                <c:pt idx="82">
                  <c:v>17.021975308641974</c:v>
                </c:pt>
                <c:pt idx="83">
                  <c:v>17.01074074074074</c:v>
                </c:pt>
                <c:pt idx="84">
                  <c:v>17.01074074074074</c:v>
                </c:pt>
                <c:pt idx="85">
                  <c:v>16.999382716049382</c:v>
                </c:pt>
                <c:pt idx="86">
                  <c:v>16.995679012345676</c:v>
                </c:pt>
                <c:pt idx="87">
                  <c:v>16.984320987654321</c:v>
                </c:pt>
                <c:pt idx="88">
                  <c:v>16.991851851851852</c:v>
                </c:pt>
                <c:pt idx="89">
                  <c:v>17.00320987654321</c:v>
                </c:pt>
                <c:pt idx="90">
                  <c:v>16.995679012345676</c:v>
                </c:pt>
                <c:pt idx="91">
                  <c:v>16.980617283950615</c:v>
                </c:pt>
                <c:pt idx="92">
                  <c:v>16.961728395061726</c:v>
                </c:pt>
                <c:pt idx="93">
                  <c:v>16.969259259259257</c:v>
                </c:pt>
                <c:pt idx="94">
                  <c:v>16.980617283950615</c:v>
                </c:pt>
                <c:pt idx="95">
                  <c:v>16.984320987654321</c:v>
                </c:pt>
                <c:pt idx="96">
                  <c:v>16.976790123456787</c:v>
                </c:pt>
                <c:pt idx="97">
                  <c:v>16.961728395061726</c:v>
                </c:pt>
                <c:pt idx="98">
                  <c:v>16.969259259259257</c:v>
                </c:pt>
                <c:pt idx="99">
                  <c:v>16.976790123456787</c:v>
                </c:pt>
                <c:pt idx="100">
                  <c:v>16.984320987654321</c:v>
                </c:pt>
                <c:pt idx="101">
                  <c:v>16.991851851851852</c:v>
                </c:pt>
                <c:pt idx="102">
                  <c:v>16.995679012345676</c:v>
                </c:pt>
                <c:pt idx="103">
                  <c:v>17.00320987654321</c:v>
                </c:pt>
                <c:pt idx="104">
                  <c:v>16.999382716049382</c:v>
                </c:pt>
                <c:pt idx="105">
                  <c:v>16.984320987654321</c:v>
                </c:pt>
                <c:pt idx="106">
                  <c:v>16.973086419753084</c:v>
                </c:pt>
                <c:pt idx="107">
                  <c:v>16.950493827160493</c:v>
                </c:pt>
                <c:pt idx="108">
                  <c:v>16.942962962962962</c:v>
                </c:pt>
                <c:pt idx="109">
                  <c:v>16.954197530864196</c:v>
                </c:pt>
                <c:pt idx="110">
                  <c:v>16.958024691358023</c:v>
                </c:pt>
                <c:pt idx="111">
                  <c:v>16.950493827160493</c:v>
                </c:pt>
                <c:pt idx="112">
                  <c:v>16.942962962962962</c:v>
                </c:pt>
                <c:pt idx="113">
                  <c:v>16.942962962962962</c:v>
                </c:pt>
                <c:pt idx="114">
                  <c:v>16.939135802469135</c:v>
                </c:pt>
                <c:pt idx="115">
                  <c:v>16.946666666666665</c:v>
                </c:pt>
                <c:pt idx="116">
                  <c:v>16.946666666666665</c:v>
                </c:pt>
                <c:pt idx="117">
                  <c:v>16.950493827160493</c:v>
                </c:pt>
                <c:pt idx="118">
                  <c:v>16.946666666666665</c:v>
                </c:pt>
                <c:pt idx="119">
                  <c:v>16.950493827160493</c:v>
                </c:pt>
                <c:pt idx="120">
                  <c:v>16.954197530864196</c:v>
                </c:pt>
                <c:pt idx="121">
                  <c:v>16.958024691358023</c:v>
                </c:pt>
                <c:pt idx="122">
                  <c:v>16.958024691358023</c:v>
                </c:pt>
                <c:pt idx="123">
                  <c:v>16.958024691358023</c:v>
                </c:pt>
                <c:pt idx="124">
                  <c:v>16.969259259259257</c:v>
                </c:pt>
                <c:pt idx="125">
                  <c:v>16.988148148148149</c:v>
                </c:pt>
                <c:pt idx="126">
                  <c:v>16.988148148148149</c:v>
                </c:pt>
                <c:pt idx="127">
                  <c:v>16.999382716049382</c:v>
                </c:pt>
                <c:pt idx="128">
                  <c:v>16.999382716049382</c:v>
                </c:pt>
                <c:pt idx="129">
                  <c:v>17.006913580246916</c:v>
                </c:pt>
                <c:pt idx="130">
                  <c:v>16.999382716049382</c:v>
                </c:pt>
                <c:pt idx="131">
                  <c:v>16.976790123456787</c:v>
                </c:pt>
                <c:pt idx="132">
                  <c:v>16.965555555555554</c:v>
                </c:pt>
                <c:pt idx="133">
                  <c:v>16.954197530864196</c:v>
                </c:pt>
                <c:pt idx="134">
                  <c:v>16.973086419753084</c:v>
                </c:pt>
                <c:pt idx="135">
                  <c:v>16.984320987654321</c:v>
                </c:pt>
                <c:pt idx="136">
                  <c:v>16.984320987654321</c:v>
                </c:pt>
                <c:pt idx="137">
                  <c:v>16.980617283950615</c:v>
                </c:pt>
                <c:pt idx="138">
                  <c:v>16.980617283950615</c:v>
                </c:pt>
                <c:pt idx="139">
                  <c:v>16.991851851851852</c:v>
                </c:pt>
                <c:pt idx="140">
                  <c:v>16.984320987654321</c:v>
                </c:pt>
                <c:pt idx="141">
                  <c:v>16.969259259259257</c:v>
                </c:pt>
                <c:pt idx="142">
                  <c:v>16.961728395061726</c:v>
                </c:pt>
                <c:pt idx="143">
                  <c:v>16.950493827160493</c:v>
                </c:pt>
                <c:pt idx="144">
                  <c:v>16.942962962962962</c:v>
                </c:pt>
                <c:pt idx="145">
                  <c:v>16.935432098765432</c:v>
                </c:pt>
                <c:pt idx="146">
                  <c:v>16.927777777777777</c:v>
                </c:pt>
                <c:pt idx="147">
                  <c:v>16.920246913580247</c:v>
                </c:pt>
                <c:pt idx="148">
                  <c:v>16.924074074074074</c:v>
                </c:pt>
                <c:pt idx="149">
                  <c:v>16.924074074074074</c:v>
                </c:pt>
                <c:pt idx="150">
                  <c:v>16.927777777777777</c:v>
                </c:pt>
                <c:pt idx="151">
                  <c:v>16.924074074074074</c:v>
                </c:pt>
                <c:pt idx="152">
                  <c:v>16.916543209876544</c:v>
                </c:pt>
                <c:pt idx="153">
                  <c:v>16.924074074074074</c:v>
                </c:pt>
                <c:pt idx="154">
                  <c:v>16.931604938271605</c:v>
                </c:pt>
                <c:pt idx="155">
                  <c:v>16.942962962962962</c:v>
                </c:pt>
                <c:pt idx="156">
                  <c:v>16.954197530864196</c:v>
                </c:pt>
                <c:pt idx="157">
                  <c:v>16.961728395061726</c:v>
                </c:pt>
                <c:pt idx="158">
                  <c:v>16.965555555555554</c:v>
                </c:pt>
                <c:pt idx="159">
                  <c:v>16.965555555555554</c:v>
                </c:pt>
                <c:pt idx="160">
                  <c:v>16.954197530864196</c:v>
                </c:pt>
                <c:pt idx="161">
                  <c:v>16.942962962962962</c:v>
                </c:pt>
                <c:pt idx="162">
                  <c:v>16.927777777777777</c:v>
                </c:pt>
                <c:pt idx="163">
                  <c:v>16.924074074074074</c:v>
                </c:pt>
                <c:pt idx="164">
                  <c:v>16.924074074074074</c:v>
                </c:pt>
                <c:pt idx="165">
                  <c:v>16.924074074074074</c:v>
                </c:pt>
                <c:pt idx="166">
                  <c:v>16.924074074074074</c:v>
                </c:pt>
                <c:pt idx="167">
                  <c:v>16.924074074074074</c:v>
                </c:pt>
                <c:pt idx="168">
                  <c:v>16.927777777777777</c:v>
                </c:pt>
                <c:pt idx="169">
                  <c:v>16.927777777777777</c:v>
                </c:pt>
                <c:pt idx="170">
                  <c:v>16.935432098765432</c:v>
                </c:pt>
                <c:pt idx="171">
                  <c:v>16.931604938271605</c:v>
                </c:pt>
                <c:pt idx="172">
                  <c:v>16.924074074074074</c:v>
                </c:pt>
                <c:pt idx="173">
                  <c:v>16.90901234567901</c:v>
                </c:pt>
                <c:pt idx="174">
                  <c:v>16.897654320987655</c:v>
                </c:pt>
                <c:pt idx="175">
                  <c:v>16.890123456790121</c:v>
                </c:pt>
                <c:pt idx="176">
                  <c:v>16.882592592592591</c:v>
                </c:pt>
                <c:pt idx="177">
                  <c:v>16.882592592592591</c:v>
                </c:pt>
                <c:pt idx="178">
                  <c:v>16.882592592592591</c:v>
                </c:pt>
                <c:pt idx="179">
                  <c:v>16.878888888888888</c:v>
                </c:pt>
                <c:pt idx="180">
                  <c:v>16.87506172839506</c:v>
                </c:pt>
                <c:pt idx="181">
                  <c:v>16.871358024691357</c:v>
                </c:pt>
                <c:pt idx="182">
                  <c:v>16.871358024691357</c:v>
                </c:pt>
                <c:pt idx="183">
                  <c:v>16.86753086419753</c:v>
                </c:pt>
                <c:pt idx="184">
                  <c:v>16.863827160493827</c:v>
                </c:pt>
                <c:pt idx="185">
                  <c:v>16.871358024691357</c:v>
                </c:pt>
                <c:pt idx="186">
                  <c:v>16.863827160493827</c:v>
                </c:pt>
                <c:pt idx="187">
                  <c:v>16.878888888888888</c:v>
                </c:pt>
                <c:pt idx="188">
                  <c:v>16.871358024691357</c:v>
                </c:pt>
                <c:pt idx="189">
                  <c:v>16.863827160493827</c:v>
                </c:pt>
                <c:pt idx="190">
                  <c:v>16.852469135802469</c:v>
                </c:pt>
                <c:pt idx="191">
                  <c:v>16.848765432098766</c:v>
                </c:pt>
                <c:pt idx="192">
                  <c:v>16.856296296296296</c:v>
                </c:pt>
                <c:pt idx="193">
                  <c:v>16.871358024691357</c:v>
                </c:pt>
                <c:pt idx="194">
                  <c:v>16.882592592592591</c:v>
                </c:pt>
                <c:pt idx="195">
                  <c:v>16.890123456790121</c:v>
                </c:pt>
                <c:pt idx="196">
                  <c:v>16.886419753086418</c:v>
                </c:pt>
                <c:pt idx="197">
                  <c:v>16.890123456790121</c:v>
                </c:pt>
                <c:pt idx="198">
                  <c:v>16.882592592592591</c:v>
                </c:pt>
                <c:pt idx="199">
                  <c:v>16.86753086419753</c:v>
                </c:pt>
                <c:pt idx="200">
                  <c:v>16.856296296296296</c:v>
                </c:pt>
                <c:pt idx="201">
                  <c:v>16.856296296296296</c:v>
                </c:pt>
                <c:pt idx="202">
                  <c:v>16.856296296296296</c:v>
                </c:pt>
                <c:pt idx="203">
                  <c:v>16.848765432098766</c:v>
                </c:pt>
                <c:pt idx="204">
                  <c:v>16.841234567901232</c:v>
                </c:pt>
                <c:pt idx="205">
                  <c:v>16.814814814814813</c:v>
                </c:pt>
                <c:pt idx="206">
                  <c:v>16.799753086419752</c:v>
                </c:pt>
                <c:pt idx="207">
                  <c:v>16.803456790123455</c:v>
                </c:pt>
                <c:pt idx="208">
                  <c:v>16.795925925925925</c:v>
                </c:pt>
                <c:pt idx="209">
                  <c:v>16.784691358024691</c:v>
                </c:pt>
                <c:pt idx="210">
                  <c:v>16.76962962962963</c:v>
                </c:pt>
                <c:pt idx="211">
                  <c:v>16.758271604938273</c:v>
                </c:pt>
                <c:pt idx="212">
                  <c:v>16.758271604938273</c:v>
                </c:pt>
                <c:pt idx="213">
                  <c:v>16.7620987654321</c:v>
                </c:pt>
                <c:pt idx="214">
                  <c:v>16.758271604938273</c:v>
                </c:pt>
                <c:pt idx="215">
                  <c:v>16.765802469135803</c:v>
                </c:pt>
                <c:pt idx="216">
                  <c:v>16.7620987654321</c:v>
                </c:pt>
                <c:pt idx="217">
                  <c:v>16.750740740740738</c:v>
                </c:pt>
                <c:pt idx="218">
                  <c:v>16.747037037037035</c:v>
                </c:pt>
                <c:pt idx="219">
                  <c:v>16.750740740740738</c:v>
                </c:pt>
                <c:pt idx="220">
                  <c:v>16.747037037037035</c:v>
                </c:pt>
                <c:pt idx="221">
                  <c:v>16.735679012345678</c:v>
                </c:pt>
                <c:pt idx="222">
                  <c:v>16.720617283950617</c:v>
                </c:pt>
                <c:pt idx="223">
                  <c:v>16.709259259259255</c:v>
                </c:pt>
                <c:pt idx="224">
                  <c:v>16.679135802469133</c:v>
                </c:pt>
                <c:pt idx="225">
                  <c:v>16.667901234567903</c:v>
                </c:pt>
                <c:pt idx="226">
                  <c:v>16.667901234567903</c:v>
                </c:pt>
                <c:pt idx="227">
                  <c:v>16.660370370370369</c:v>
                </c:pt>
                <c:pt idx="228">
                  <c:v>16.645308641975308</c:v>
                </c:pt>
                <c:pt idx="229">
                  <c:v>16.637777777777774</c:v>
                </c:pt>
                <c:pt idx="230">
                  <c:v>16.626419753086417</c:v>
                </c:pt>
                <c:pt idx="231">
                  <c:v>16.626419753086417</c:v>
                </c:pt>
                <c:pt idx="232">
                  <c:v>16.622716049382717</c:v>
                </c:pt>
                <c:pt idx="233">
                  <c:v>16.630246913580244</c:v>
                </c:pt>
                <c:pt idx="234">
                  <c:v>16.637777777777774</c:v>
                </c:pt>
                <c:pt idx="235">
                  <c:v>16.645308641975308</c:v>
                </c:pt>
                <c:pt idx="236">
                  <c:v>16.633950617283947</c:v>
                </c:pt>
                <c:pt idx="237">
                  <c:v>16.622716049382717</c:v>
                </c:pt>
                <c:pt idx="238">
                  <c:v>16.618888888888886</c:v>
                </c:pt>
                <c:pt idx="239">
                  <c:v>16.611358024691356</c:v>
                </c:pt>
                <c:pt idx="240">
                  <c:v>16.618888888888886</c:v>
                </c:pt>
                <c:pt idx="241">
                  <c:v>16.603827160493829</c:v>
                </c:pt>
                <c:pt idx="242">
                  <c:v>16.592469135802467</c:v>
                </c:pt>
                <c:pt idx="243">
                  <c:v>16.588765432098764</c:v>
                </c:pt>
                <c:pt idx="244">
                  <c:v>16.588765432098764</c:v>
                </c:pt>
                <c:pt idx="245">
                  <c:v>16.5737037037037</c:v>
                </c:pt>
                <c:pt idx="246">
                  <c:v>16.566172839506169</c:v>
                </c:pt>
                <c:pt idx="247">
                  <c:v>16.562345679012346</c:v>
                </c:pt>
                <c:pt idx="248">
                  <c:v>16.539753086419751</c:v>
                </c:pt>
                <c:pt idx="249">
                  <c:v>16.536049382716048</c:v>
                </c:pt>
                <c:pt idx="250">
                  <c:v>16.52469135802469</c:v>
                </c:pt>
                <c:pt idx="251">
                  <c:v>16.517160493827159</c:v>
                </c:pt>
                <c:pt idx="252">
                  <c:v>16.513456790123456</c:v>
                </c:pt>
                <c:pt idx="253">
                  <c:v>16.494567901234568</c:v>
                </c:pt>
                <c:pt idx="254">
                  <c:v>16.487037037037037</c:v>
                </c:pt>
                <c:pt idx="255">
                  <c:v>16.471975308641973</c:v>
                </c:pt>
                <c:pt idx="256">
                  <c:v>16.464444444444442</c:v>
                </c:pt>
                <c:pt idx="257">
                  <c:v>16.464444444444442</c:v>
                </c:pt>
                <c:pt idx="258">
                  <c:v>16.441851851851851</c:v>
                </c:pt>
                <c:pt idx="259">
                  <c:v>16.434320987654321</c:v>
                </c:pt>
                <c:pt idx="260">
                  <c:v>16.411728395061726</c:v>
                </c:pt>
                <c:pt idx="261">
                  <c:v>16.392839506172837</c:v>
                </c:pt>
                <c:pt idx="262">
                  <c:v>16.370246913580246</c:v>
                </c:pt>
                <c:pt idx="263">
                  <c:v>16.358888888888888</c:v>
                </c:pt>
                <c:pt idx="264">
                  <c:v>16.358888888888888</c:v>
                </c:pt>
                <c:pt idx="265">
                  <c:v>16.347654320987651</c:v>
                </c:pt>
                <c:pt idx="266">
                  <c:v>16.340123456790124</c:v>
                </c:pt>
                <c:pt idx="267">
                  <c:v>16.32506172839506</c:v>
                </c:pt>
                <c:pt idx="268">
                  <c:v>16.317530864197529</c:v>
                </c:pt>
                <c:pt idx="269">
                  <c:v>16.306172839506171</c:v>
                </c:pt>
                <c:pt idx="270">
                  <c:v>16.294938271604938</c:v>
                </c:pt>
                <c:pt idx="271">
                  <c:v>16.294938271604938</c:v>
                </c:pt>
                <c:pt idx="272">
                  <c:v>16.29111111111111</c:v>
                </c:pt>
                <c:pt idx="273">
                  <c:v>16.29111111111111</c:v>
                </c:pt>
                <c:pt idx="274">
                  <c:v>16.28358024691358</c:v>
                </c:pt>
                <c:pt idx="275">
                  <c:v>16.276049382716046</c:v>
                </c:pt>
                <c:pt idx="276">
                  <c:v>16.264691358024692</c:v>
                </c:pt>
                <c:pt idx="277">
                  <c:v>16.253456790123455</c:v>
                </c:pt>
                <c:pt idx="278">
                  <c:v>16.234567901234566</c:v>
                </c:pt>
                <c:pt idx="279">
                  <c:v>16.215802469135802</c:v>
                </c:pt>
                <c:pt idx="280">
                  <c:v>16.200740740740741</c:v>
                </c:pt>
                <c:pt idx="281">
                  <c:v>16.19691358024691</c:v>
                </c:pt>
                <c:pt idx="282">
                  <c:v>16.178024691358022</c:v>
                </c:pt>
                <c:pt idx="283">
                  <c:v>16.166790123456789</c:v>
                </c:pt>
                <c:pt idx="284">
                  <c:v>16.151728395061728</c:v>
                </c:pt>
                <c:pt idx="285">
                  <c:v>16.144197530864194</c:v>
                </c:pt>
                <c:pt idx="286">
                  <c:v>16.144197530864194</c:v>
                </c:pt>
                <c:pt idx="287">
                  <c:v>16.136666666666663</c:v>
                </c:pt>
                <c:pt idx="288">
                  <c:v>16.129135802469136</c:v>
                </c:pt>
                <c:pt idx="289">
                  <c:v>16.117777777777775</c:v>
                </c:pt>
                <c:pt idx="290">
                  <c:v>16.09148148148148</c:v>
                </c:pt>
                <c:pt idx="291">
                  <c:v>16.072592592592592</c:v>
                </c:pt>
                <c:pt idx="292">
                  <c:v>16.0537037037037</c:v>
                </c:pt>
                <c:pt idx="293">
                  <c:v>16.019876543209875</c:v>
                </c:pt>
                <c:pt idx="294">
                  <c:v>15.982222222222221</c:v>
                </c:pt>
                <c:pt idx="295">
                  <c:v>15.944444444444441</c:v>
                </c:pt>
                <c:pt idx="296">
                  <c:v>15.899259259259258</c:v>
                </c:pt>
                <c:pt idx="297">
                  <c:v>15.876666666666663</c:v>
                </c:pt>
                <c:pt idx="298">
                  <c:v>15.850246913580245</c:v>
                </c:pt>
                <c:pt idx="299">
                  <c:v>15.816419753086418</c:v>
                </c:pt>
                <c:pt idx="300">
                  <c:v>15.79753086419753</c:v>
                </c:pt>
                <c:pt idx="301">
                  <c:v>15.771234567901235</c:v>
                </c:pt>
                <c:pt idx="302">
                  <c:v>15.740987654320987</c:v>
                </c:pt>
                <c:pt idx="303">
                  <c:v>15.710864197530865</c:v>
                </c:pt>
                <c:pt idx="304">
                  <c:v>15.677037037037039</c:v>
                </c:pt>
                <c:pt idx="305">
                  <c:v>15.643086419753088</c:v>
                </c:pt>
                <c:pt idx="306">
                  <c:v>15.616666666666664</c:v>
                </c:pt>
                <c:pt idx="307">
                  <c:v>15.590370370370369</c:v>
                </c:pt>
                <c:pt idx="308">
                  <c:v>15.548888888888886</c:v>
                </c:pt>
                <c:pt idx="309">
                  <c:v>15.522469135802467</c:v>
                </c:pt>
                <c:pt idx="310">
                  <c:v>15.473580246913581</c:v>
                </c:pt>
                <c:pt idx="311">
                  <c:v>15.443456790123456</c:v>
                </c:pt>
                <c:pt idx="312">
                  <c:v>15.409506172839505</c:v>
                </c:pt>
                <c:pt idx="313">
                  <c:v>15.352962962962962</c:v>
                </c:pt>
                <c:pt idx="314">
                  <c:v>15.307777777777778</c:v>
                </c:pt>
                <c:pt idx="315">
                  <c:v>15.262592592592593</c:v>
                </c:pt>
                <c:pt idx="316">
                  <c:v>15.22111111111111</c:v>
                </c:pt>
                <c:pt idx="317">
                  <c:v>15.172098765432098</c:v>
                </c:pt>
                <c:pt idx="318">
                  <c:v>15.126913580246912</c:v>
                </c:pt>
                <c:pt idx="319">
                  <c:v>15.08925925925926</c:v>
                </c:pt>
                <c:pt idx="320">
                  <c:v>15.047777777777776</c:v>
                </c:pt>
                <c:pt idx="321">
                  <c:v>14.998765432098764</c:v>
                </c:pt>
                <c:pt idx="322">
                  <c:v>14.942345679012346</c:v>
                </c:pt>
                <c:pt idx="323">
                  <c:v>14.881975308641973</c:v>
                </c:pt>
                <c:pt idx="324">
                  <c:v>14.818024691358024</c:v>
                </c:pt>
                <c:pt idx="325">
                  <c:v>14.761481481481482</c:v>
                </c:pt>
                <c:pt idx="326">
                  <c:v>14.701234567901233</c:v>
                </c:pt>
                <c:pt idx="327">
                  <c:v>14.614567901234569</c:v>
                </c:pt>
                <c:pt idx="328">
                  <c:v>14.550493827160492</c:v>
                </c:pt>
                <c:pt idx="329">
                  <c:v>14.49395061728395</c:v>
                </c:pt>
                <c:pt idx="330">
                  <c:v>14.414814814814815</c:v>
                </c:pt>
                <c:pt idx="331">
                  <c:v>14.343209876543209</c:v>
                </c:pt>
                <c:pt idx="332">
                  <c:v>14.252839506172839</c:v>
                </c:pt>
                <c:pt idx="333">
                  <c:v>14.17753086419753</c:v>
                </c:pt>
                <c:pt idx="334">
                  <c:v>14.083333333333332</c:v>
                </c:pt>
                <c:pt idx="335">
                  <c:v>14.000370370370367</c:v>
                </c:pt>
                <c:pt idx="336">
                  <c:v>13.93259259259259</c:v>
                </c:pt>
                <c:pt idx="337">
                  <c:v>13.82716049382716</c:v>
                </c:pt>
                <c:pt idx="338">
                  <c:v>13.721604938271604</c:v>
                </c:pt>
                <c:pt idx="339">
                  <c:v>13.619876543209877</c:v>
                </c:pt>
                <c:pt idx="340">
                  <c:v>13.469135802469134</c:v>
                </c:pt>
                <c:pt idx="341">
                  <c:v>13.363703703703703</c:v>
                </c:pt>
                <c:pt idx="342">
                  <c:v>13.212962962962964</c:v>
                </c:pt>
                <c:pt idx="343">
                  <c:v>13.073580246913579</c:v>
                </c:pt>
                <c:pt idx="344">
                  <c:v>12.96432098765432</c:v>
                </c:pt>
                <c:pt idx="345">
                  <c:v>12.806049382716049</c:v>
                </c:pt>
                <c:pt idx="346">
                  <c:v>12.655432098765431</c:v>
                </c:pt>
                <c:pt idx="347">
                  <c:v>12.508395061728393</c:v>
                </c:pt>
                <c:pt idx="348">
                  <c:v>12.342666666666666</c:v>
                </c:pt>
                <c:pt idx="349">
                  <c:v>12.142987654320986</c:v>
                </c:pt>
                <c:pt idx="350">
                  <c:v>11.962135802469135</c:v>
                </c:pt>
                <c:pt idx="351">
                  <c:v>11.743617283950616</c:v>
                </c:pt>
                <c:pt idx="352">
                  <c:v>11.521333333333333</c:v>
                </c:pt>
                <c:pt idx="353">
                  <c:v>11.24253086419753</c:v>
                </c:pt>
                <c:pt idx="354">
                  <c:v>10.978790123456788</c:v>
                </c:pt>
                <c:pt idx="355">
                  <c:v>10.669851851851853</c:v>
                </c:pt>
                <c:pt idx="356">
                  <c:v>10.342074074074073</c:v>
                </c:pt>
                <c:pt idx="357">
                  <c:v>10.055728395061728</c:v>
                </c:pt>
                <c:pt idx="358">
                  <c:v>9.6714320987654308</c:v>
                </c:pt>
                <c:pt idx="359">
                  <c:v>9.2796049382716053</c:v>
                </c:pt>
                <c:pt idx="360">
                  <c:v>8.8613950617283948</c:v>
                </c:pt>
                <c:pt idx="361">
                  <c:v>8.3339382716049375</c:v>
                </c:pt>
                <c:pt idx="362">
                  <c:v>7.8215432098765438</c:v>
                </c:pt>
                <c:pt idx="363">
                  <c:v>7.2488641975308639</c:v>
                </c:pt>
                <c:pt idx="364">
                  <c:v>6.5782345679012337</c:v>
                </c:pt>
                <c:pt idx="365">
                  <c:v>5.8981851851851852</c:v>
                </c:pt>
                <c:pt idx="366">
                  <c:v>5.05574074074074</c:v>
                </c:pt>
                <c:pt idx="367">
                  <c:v>4.0972716049382711</c:v>
                </c:pt>
                <c:pt idx="368">
                  <c:v>2.9394814814814811</c:v>
                </c:pt>
                <c:pt idx="369">
                  <c:v>1.7888518518518517</c:v>
                </c:pt>
                <c:pt idx="370">
                  <c:v>0.40173950617283943</c:v>
                </c:pt>
                <c:pt idx="371">
                  <c:v>-1.226730864197531</c:v>
                </c:pt>
                <c:pt idx="372">
                  <c:v>-3.2634938271604934</c:v>
                </c:pt>
                <c:pt idx="373">
                  <c:v>-5.6762716049382718</c:v>
                </c:pt>
                <c:pt idx="374">
                  <c:v>-8.5034814814814812</c:v>
                </c:pt>
                <c:pt idx="375">
                  <c:v>-12.191962962962963</c:v>
                </c:pt>
                <c:pt idx="376">
                  <c:v>-16.633950617283947</c:v>
                </c:pt>
                <c:pt idx="377">
                  <c:v>-22.251481481481481</c:v>
                </c:pt>
                <c:pt idx="378">
                  <c:v>-29.327037037037034</c:v>
                </c:pt>
                <c:pt idx="379">
                  <c:v>-38.075432098765432</c:v>
                </c:pt>
                <c:pt idx="380">
                  <c:v>-48.485308641975301</c:v>
                </c:pt>
                <c:pt idx="381">
                  <c:v>-61.10679012345679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F-7435-4110-8E96-102166006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732096"/>
        <c:axId val="95733632"/>
      </c:scatterChart>
      <c:valAx>
        <c:axId val="95732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33632"/>
        <c:crosses val="autoZero"/>
        <c:crossBetween val="midCat"/>
      </c:valAx>
      <c:valAx>
        <c:axId val="95733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32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'20221231T210000'!$AV$10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'20221231T210000'!$AQ$11:$AQ$398</c:f>
              <c:numCache>
                <c:formatCode>General</c:formatCode>
                <c:ptCount val="388"/>
                <c:pt idx="0">
                  <c:v>1.8150299999999999</c:v>
                </c:pt>
                <c:pt idx="1">
                  <c:v>1.81</c:v>
                </c:pt>
                <c:pt idx="2">
                  <c:v>1.8049599999999999</c:v>
                </c:pt>
                <c:pt idx="3">
                  <c:v>1.79993</c:v>
                </c:pt>
                <c:pt idx="4">
                  <c:v>1.7948900000000001</c:v>
                </c:pt>
                <c:pt idx="5">
                  <c:v>1.78986</c:v>
                </c:pt>
                <c:pt idx="6">
                  <c:v>1.7848200000000001</c:v>
                </c:pt>
                <c:pt idx="7">
                  <c:v>1.77979</c:v>
                </c:pt>
                <c:pt idx="8">
                  <c:v>1.77475</c:v>
                </c:pt>
                <c:pt idx="9">
                  <c:v>1.7697099999999999</c:v>
                </c:pt>
                <c:pt idx="10">
                  <c:v>1.76468</c:v>
                </c:pt>
                <c:pt idx="11">
                  <c:v>1.7596400000000001</c:v>
                </c:pt>
                <c:pt idx="12">
                  <c:v>1.75461</c:v>
                </c:pt>
                <c:pt idx="13">
                  <c:v>1.7495700000000001</c:v>
                </c:pt>
                <c:pt idx="14">
                  <c:v>1.74454</c:v>
                </c:pt>
                <c:pt idx="15">
                  <c:v>1.7395</c:v>
                </c:pt>
                <c:pt idx="16">
                  <c:v>1.73447</c:v>
                </c:pt>
                <c:pt idx="17">
                  <c:v>1.72943</c:v>
                </c:pt>
                <c:pt idx="18">
                  <c:v>1.7243999999999999</c:v>
                </c:pt>
                <c:pt idx="19">
                  <c:v>1.71936</c:v>
                </c:pt>
                <c:pt idx="20">
                  <c:v>1.7143200000000001</c:v>
                </c:pt>
                <c:pt idx="21">
                  <c:v>1.70929</c:v>
                </c:pt>
                <c:pt idx="22">
                  <c:v>1.70425</c:v>
                </c:pt>
                <c:pt idx="23">
                  <c:v>1.69922</c:v>
                </c:pt>
                <c:pt idx="24">
                  <c:v>1.69418</c:v>
                </c:pt>
                <c:pt idx="25">
                  <c:v>1.6891499999999999</c:v>
                </c:pt>
                <c:pt idx="26">
                  <c:v>1.68411</c:v>
                </c:pt>
                <c:pt idx="27">
                  <c:v>1.6790799999999999</c:v>
                </c:pt>
                <c:pt idx="28">
                  <c:v>1.67404</c:v>
                </c:pt>
                <c:pt idx="29">
                  <c:v>1.6690100000000001</c:v>
                </c:pt>
                <c:pt idx="30">
                  <c:v>1.6639699999999999</c:v>
                </c:pt>
                <c:pt idx="31">
                  <c:v>1.6589400000000001</c:v>
                </c:pt>
                <c:pt idx="32">
                  <c:v>1.6538999999999999</c:v>
                </c:pt>
                <c:pt idx="33">
                  <c:v>1.64886</c:v>
                </c:pt>
                <c:pt idx="34">
                  <c:v>1.6438299999999999</c:v>
                </c:pt>
                <c:pt idx="35">
                  <c:v>1.63879</c:v>
                </c:pt>
                <c:pt idx="36">
                  <c:v>1.6337600000000001</c:v>
                </c:pt>
                <c:pt idx="37">
                  <c:v>1.6287199999999999</c:v>
                </c:pt>
                <c:pt idx="38">
                  <c:v>1.6236900000000001</c:v>
                </c:pt>
                <c:pt idx="39">
                  <c:v>1.6186499999999999</c:v>
                </c:pt>
                <c:pt idx="40">
                  <c:v>1.6136200000000001</c:v>
                </c:pt>
                <c:pt idx="41">
                  <c:v>1.6085799999999999</c:v>
                </c:pt>
                <c:pt idx="42">
                  <c:v>1.60355</c:v>
                </c:pt>
                <c:pt idx="43">
                  <c:v>1.5985100000000001</c:v>
                </c:pt>
                <c:pt idx="44">
                  <c:v>1.59348</c:v>
                </c:pt>
                <c:pt idx="45">
                  <c:v>1.5884400000000001</c:v>
                </c:pt>
                <c:pt idx="46">
                  <c:v>1.5833999999999999</c:v>
                </c:pt>
                <c:pt idx="47">
                  <c:v>1.5783700000000001</c:v>
                </c:pt>
                <c:pt idx="48">
                  <c:v>1.5733299999999999</c:v>
                </c:pt>
                <c:pt idx="49">
                  <c:v>1.5683</c:v>
                </c:pt>
                <c:pt idx="50">
                  <c:v>1.5632600000000001</c:v>
                </c:pt>
                <c:pt idx="51">
                  <c:v>1.55823</c:v>
                </c:pt>
                <c:pt idx="52">
                  <c:v>1.5531900000000001</c:v>
                </c:pt>
                <c:pt idx="53">
                  <c:v>1.54816</c:v>
                </c:pt>
                <c:pt idx="54">
                  <c:v>1.54312</c:v>
                </c:pt>
                <c:pt idx="55">
                  <c:v>1.53809</c:v>
                </c:pt>
                <c:pt idx="56">
                  <c:v>1.53305</c:v>
                </c:pt>
                <c:pt idx="57">
                  <c:v>1.5280199999999999</c:v>
                </c:pt>
                <c:pt idx="58">
                  <c:v>1.52298</c:v>
                </c:pt>
                <c:pt idx="59">
                  <c:v>1.5179400000000001</c:v>
                </c:pt>
                <c:pt idx="60">
                  <c:v>1.51291</c:v>
                </c:pt>
                <c:pt idx="61">
                  <c:v>1.50787</c:v>
                </c:pt>
                <c:pt idx="62">
                  <c:v>1.50284</c:v>
                </c:pt>
                <c:pt idx="63">
                  <c:v>1.4978</c:v>
                </c:pt>
                <c:pt idx="64">
                  <c:v>1.4927699999999999</c:v>
                </c:pt>
                <c:pt idx="65">
                  <c:v>1.48773</c:v>
                </c:pt>
                <c:pt idx="66">
                  <c:v>1.4826999999999999</c:v>
                </c:pt>
                <c:pt idx="67">
                  <c:v>1.47766</c:v>
                </c:pt>
                <c:pt idx="68">
                  <c:v>1.4726300000000001</c:v>
                </c:pt>
                <c:pt idx="69">
                  <c:v>1.46759</c:v>
                </c:pt>
                <c:pt idx="70">
                  <c:v>1.46255</c:v>
                </c:pt>
                <c:pt idx="71">
                  <c:v>1.4575199999999999</c:v>
                </c:pt>
                <c:pt idx="72">
                  <c:v>1.45248</c:v>
                </c:pt>
                <c:pt idx="73">
                  <c:v>1.4474499999999999</c:v>
                </c:pt>
                <c:pt idx="74">
                  <c:v>1.44241</c:v>
                </c:pt>
                <c:pt idx="75">
                  <c:v>1.4373800000000001</c:v>
                </c:pt>
                <c:pt idx="76">
                  <c:v>1.4323399999999999</c:v>
                </c:pt>
                <c:pt idx="77">
                  <c:v>1.4273100000000001</c:v>
                </c:pt>
                <c:pt idx="78">
                  <c:v>1.4222699999999999</c:v>
                </c:pt>
                <c:pt idx="79">
                  <c:v>1.4172400000000001</c:v>
                </c:pt>
                <c:pt idx="80">
                  <c:v>1.4121999999999999</c:v>
                </c:pt>
                <c:pt idx="81">
                  <c:v>1.40717</c:v>
                </c:pt>
                <c:pt idx="82">
                  <c:v>1.4021300000000001</c:v>
                </c:pt>
                <c:pt idx="83">
                  <c:v>1.3970899999999999</c:v>
                </c:pt>
                <c:pt idx="84">
                  <c:v>1.3920600000000001</c:v>
                </c:pt>
                <c:pt idx="85">
                  <c:v>1.3870199999999999</c:v>
                </c:pt>
                <c:pt idx="86">
                  <c:v>1.3819900000000001</c:v>
                </c:pt>
                <c:pt idx="87">
                  <c:v>1.3769499999999999</c:v>
                </c:pt>
                <c:pt idx="88">
                  <c:v>1.37192</c:v>
                </c:pt>
                <c:pt idx="89">
                  <c:v>1.3668800000000001</c:v>
                </c:pt>
                <c:pt idx="90">
                  <c:v>1.36185</c:v>
                </c:pt>
                <c:pt idx="91">
                  <c:v>1.3568100000000001</c:v>
                </c:pt>
                <c:pt idx="92">
                  <c:v>1.35178</c:v>
                </c:pt>
                <c:pt idx="93">
                  <c:v>1.34674</c:v>
                </c:pt>
                <c:pt idx="94">
                  <c:v>1.34171</c:v>
                </c:pt>
                <c:pt idx="95">
                  <c:v>1.33667</c:v>
                </c:pt>
                <c:pt idx="96">
                  <c:v>1.3316300000000001</c:v>
                </c:pt>
                <c:pt idx="97">
                  <c:v>1.3266</c:v>
                </c:pt>
                <c:pt idx="98">
                  <c:v>1.3215600000000001</c:v>
                </c:pt>
                <c:pt idx="99">
                  <c:v>1.31653</c:v>
                </c:pt>
                <c:pt idx="100">
                  <c:v>1.31149</c:v>
                </c:pt>
                <c:pt idx="101">
                  <c:v>1.30646</c:v>
                </c:pt>
                <c:pt idx="102">
                  <c:v>1.30142</c:v>
                </c:pt>
                <c:pt idx="103">
                  <c:v>1.2963899999999999</c:v>
                </c:pt>
                <c:pt idx="104">
                  <c:v>1.29135</c:v>
                </c:pt>
                <c:pt idx="105">
                  <c:v>1.2863199999999999</c:v>
                </c:pt>
                <c:pt idx="106">
                  <c:v>1.28128</c:v>
                </c:pt>
                <c:pt idx="107">
                  <c:v>1.2762500000000001</c:v>
                </c:pt>
                <c:pt idx="108">
                  <c:v>1.27121</c:v>
                </c:pt>
                <c:pt idx="109">
                  <c:v>1.26617</c:v>
                </c:pt>
                <c:pt idx="110">
                  <c:v>1.2611399999999999</c:v>
                </c:pt>
                <c:pt idx="111">
                  <c:v>1.2561</c:v>
                </c:pt>
                <c:pt idx="112">
                  <c:v>1.2510699999999999</c:v>
                </c:pt>
                <c:pt idx="113">
                  <c:v>1.24603</c:v>
                </c:pt>
                <c:pt idx="114">
                  <c:v>1.2410000000000001</c:v>
                </c:pt>
                <c:pt idx="115">
                  <c:v>1.2359599999999999</c:v>
                </c:pt>
                <c:pt idx="116">
                  <c:v>1.2309300000000001</c:v>
                </c:pt>
                <c:pt idx="117">
                  <c:v>1.2258899999999999</c:v>
                </c:pt>
                <c:pt idx="118">
                  <c:v>1.2208600000000001</c:v>
                </c:pt>
                <c:pt idx="119">
                  <c:v>1.2158199999999999</c:v>
                </c:pt>
                <c:pt idx="120">
                  <c:v>1.21078</c:v>
                </c:pt>
                <c:pt idx="121">
                  <c:v>1.2057500000000001</c:v>
                </c:pt>
                <c:pt idx="122">
                  <c:v>1.2007099999999999</c:v>
                </c:pt>
                <c:pt idx="123">
                  <c:v>1.1956800000000001</c:v>
                </c:pt>
                <c:pt idx="124">
                  <c:v>1.1906399999999999</c:v>
                </c:pt>
                <c:pt idx="125">
                  <c:v>1.1856100000000001</c:v>
                </c:pt>
                <c:pt idx="126">
                  <c:v>1.1805699999999999</c:v>
                </c:pt>
                <c:pt idx="127">
                  <c:v>1.17554</c:v>
                </c:pt>
                <c:pt idx="128">
                  <c:v>1.1705000000000001</c:v>
                </c:pt>
                <c:pt idx="129">
                  <c:v>1.16547</c:v>
                </c:pt>
                <c:pt idx="130">
                  <c:v>1.1604300000000001</c:v>
                </c:pt>
                <c:pt idx="131">
                  <c:v>1.1554</c:v>
                </c:pt>
                <c:pt idx="132">
                  <c:v>1.15036</c:v>
                </c:pt>
                <c:pt idx="133">
                  <c:v>1.1453199999999999</c:v>
                </c:pt>
                <c:pt idx="134">
                  <c:v>1.14029</c:v>
                </c:pt>
                <c:pt idx="135">
                  <c:v>1.1352500000000001</c:v>
                </c:pt>
                <c:pt idx="136">
                  <c:v>1.13022</c:v>
                </c:pt>
                <c:pt idx="137">
                  <c:v>1.1251800000000001</c:v>
                </c:pt>
                <c:pt idx="138">
                  <c:v>1.12015</c:v>
                </c:pt>
                <c:pt idx="139">
                  <c:v>1.11511</c:v>
                </c:pt>
                <c:pt idx="140">
                  <c:v>1.11008</c:v>
                </c:pt>
                <c:pt idx="141">
                  <c:v>1.10504</c:v>
                </c:pt>
                <c:pt idx="142">
                  <c:v>1.1000099999999999</c:v>
                </c:pt>
                <c:pt idx="143">
                  <c:v>1.09497</c:v>
                </c:pt>
                <c:pt idx="144">
                  <c:v>1.0899399999999999</c:v>
                </c:pt>
                <c:pt idx="145">
                  <c:v>1.0849</c:v>
                </c:pt>
                <c:pt idx="146">
                  <c:v>1.07986</c:v>
                </c:pt>
                <c:pt idx="147">
                  <c:v>1.07483</c:v>
                </c:pt>
                <c:pt idx="148">
                  <c:v>1.06979</c:v>
                </c:pt>
                <c:pt idx="149">
                  <c:v>1.0647599999999999</c:v>
                </c:pt>
                <c:pt idx="150">
                  <c:v>1.05972</c:v>
                </c:pt>
                <c:pt idx="151">
                  <c:v>1.0546899999999999</c:v>
                </c:pt>
                <c:pt idx="152">
                  <c:v>1.04965</c:v>
                </c:pt>
                <c:pt idx="153">
                  <c:v>1.0446200000000001</c:v>
                </c:pt>
                <c:pt idx="154">
                  <c:v>1.0395799999999999</c:v>
                </c:pt>
                <c:pt idx="155">
                  <c:v>1.0345500000000001</c:v>
                </c:pt>
                <c:pt idx="156">
                  <c:v>1.0295099999999999</c:v>
                </c:pt>
                <c:pt idx="157">
                  <c:v>1.0244800000000001</c:v>
                </c:pt>
                <c:pt idx="158">
                  <c:v>1.0194399999999999</c:v>
                </c:pt>
                <c:pt idx="159">
                  <c:v>1.0144</c:v>
                </c:pt>
                <c:pt idx="160">
                  <c:v>1.0093700000000001</c:v>
                </c:pt>
                <c:pt idx="161">
                  <c:v>1.0043299999999999</c:v>
                </c:pt>
                <c:pt idx="162">
                  <c:v>0.99929800000000002</c:v>
                </c:pt>
                <c:pt idx="163">
                  <c:v>0.99426300000000001</c:v>
                </c:pt>
                <c:pt idx="164">
                  <c:v>0.98922699999999997</c:v>
                </c:pt>
                <c:pt idx="165">
                  <c:v>0.98419199999999996</c:v>
                </c:pt>
                <c:pt idx="166">
                  <c:v>0.97915600000000003</c:v>
                </c:pt>
                <c:pt idx="167">
                  <c:v>0.97412100000000001</c:v>
                </c:pt>
                <c:pt idx="168">
                  <c:v>0.969086</c:v>
                </c:pt>
                <c:pt idx="169">
                  <c:v>0.96404999999999996</c:v>
                </c:pt>
                <c:pt idx="170">
                  <c:v>0.95901499999999995</c:v>
                </c:pt>
                <c:pt idx="171">
                  <c:v>0.95397900000000002</c:v>
                </c:pt>
                <c:pt idx="172">
                  <c:v>0.94894400000000001</c:v>
                </c:pt>
                <c:pt idx="173">
                  <c:v>0.943909</c:v>
                </c:pt>
                <c:pt idx="174">
                  <c:v>0.93887299999999996</c:v>
                </c:pt>
                <c:pt idx="175">
                  <c:v>0.93383799999999995</c:v>
                </c:pt>
                <c:pt idx="176">
                  <c:v>0.92880200000000002</c:v>
                </c:pt>
                <c:pt idx="177">
                  <c:v>0.923767</c:v>
                </c:pt>
                <c:pt idx="178">
                  <c:v>0.91873199999999999</c:v>
                </c:pt>
                <c:pt idx="179">
                  <c:v>0.91369599999999995</c:v>
                </c:pt>
                <c:pt idx="180">
                  <c:v>0.90866100000000005</c:v>
                </c:pt>
                <c:pt idx="181">
                  <c:v>0.90362500000000001</c:v>
                </c:pt>
                <c:pt idx="182">
                  <c:v>0.89859</c:v>
                </c:pt>
                <c:pt idx="183">
                  <c:v>0.89355499999999999</c:v>
                </c:pt>
                <c:pt idx="184">
                  <c:v>0.88851899999999995</c:v>
                </c:pt>
                <c:pt idx="185">
                  <c:v>0.88348400000000005</c:v>
                </c:pt>
                <c:pt idx="186">
                  <c:v>0.87844800000000001</c:v>
                </c:pt>
                <c:pt idx="187">
                  <c:v>0.87341299999999999</c:v>
                </c:pt>
                <c:pt idx="188">
                  <c:v>0.86837799999999998</c:v>
                </c:pt>
                <c:pt idx="189">
                  <c:v>0.86334200000000005</c:v>
                </c:pt>
                <c:pt idx="190">
                  <c:v>0.85830700000000004</c:v>
                </c:pt>
                <c:pt idx="191">
                  <c:v>0.853271</c:v>
                </c:pt>
                <c:pt idx="192">
                  <c:v>0.84823599999999999</c:v>
                </c:pt>
                <c:pt idx="193">
                  <c:v>0.84320099999999998</c:v>
                </c:pt>
                <c:pt idx="194">
                  <c:v>0.83816500000000005</c:v>
                </c:pt>
                <c:pt idx="195">
                  <c:v>0.83313000000000004</c:v>
                </c:pt>
                <c:pt idx="196">
                  <c:v>0.828094</c:v>
                </c:pt>
                <c:pt idx="197">
                  <c:v>0.82305899999999999</c:v>
                </c:pt>
                <c:pt idx="198">
                  <c:v>0.81802399999999997</c:v>
                </c:pt>
                <c:pt idx="199">
                  <c:v>0.81298800000000004</c:v>
                </c:pt>
                <c:pt idx="200">
                  <c:v>0.80795300000000003</c:v>
                </c:pt>
                <c:pt idx="201">
                  <c:v>0.80291699999999999</c:v>
                </c:pt>
                <c:pt idx="202">
                  <c:v>0.79788199999999998</c:v>
                </c:pt>
                <c:pt idx="203">
                  <c:v>0.79284699999999997</c:v>
                </c:pt>
                <c:pt idx="204">
                  <c:v>0.78781100000000004</c:v>
                </c:pt>
                <c:pt idx="205">
                  <c:v>0.78277600000000003</c:v>
                </c:pt>
                <c:pt idx="206">
                  <c:v>0.77773999999999999</c:v>
                </c:pt>
                <c:pt idx="207">
                  <c:v>0.77270499999999998</c:v>
                </c:pt>
                <c:pt idx="208">
                  <c:v>0.76766999999999996</c:v>
                </c:pt>
                <c:pt idx="209">
                  <c:v>0.76263400000000003</c:v>
                </c:pt>
                <c:pt idx="210">
                  <c:v>0.75759900000000002</c:v>
                </c:pt>
                <c:pt idx="211">
                  <c:v>0.75256299999999998</c:v>
                </c:pt>
                <c:pt idx="212">
                  <c:v>0.74752799999999997</c:v>
                </c:pt>
                <c:pt idx="213">
                  <c:v>0.74249299999999996</c:v>
                </c:pt>
                <c:pt idx="214">
                  <c:v>0.73745700000000003</c:v>
                </c:pt>
                <c:pt idx="215">
                  <c:v>0.73242200000000002</c:v>
                </c:pt>
                <c:pt idx="216">
                  <c:v>0.72738599999999998</c:v>
                </c:pt>
                <c:pt idx="217">
                  <c:v>0.72235099999999997</c:v>
                </c:pt>
                <c:pt idx="218">
                  <c:v>0.71731599999999995</c:v>
                </c:pt>
                <c:pt idx="219">
                  <c:v>0.71228000000000002</c:v>
                </c:pt>
                <c:pt idx="220">
                  <c:v>0.70724500000000001</c:v>
                </c:pt>
                <c:pt idx="221">
                  <c:v>0.70220899999999997</c:v>
                </c:pt>
                <c:pt idx="222">
                  <c:v>0.69717399999999996</c:v>
                </c:pt>
                <c:pt idx="223">
                  <c:v>0.69213899999999995</c:v>
                </c:pt>
                <c:pt idx="224">
                  <c:v>0.68710300000000002</c:v>
                </c:pt>
                <c:pt idx="225">
                  <c:v>0.68206800000000001</c:v>
                </c:pt>
                <c:pt idx="226">
                  <c:v>0.67703199999999997</c:v>
                </c:pt>
                <c:pt idx="227">
                  <c:v>0.67199699999999996</c:v>
                </c:pt>
                <c:pt idx="228">
                  <c:v>0.66696200000000005</c:v>
                </c:pt>
                <c:pt idx="229">
                  <c:v>0.66192600000000001</c:v>
                </c:pt>
                <c:pt idx="230">
                  <c:v>0.656891</c:v>
                </c:pt>
                <c:pt idx="231">
                  <c:v>0.65185499999999996</c:v>
                </c:pt>
                <c:pt idx="232">
                  <c:v>0.64681999999999995</c:v>
                </c:pt>
                <c:pt idx="233">
                  <c:v>0.64178500000000005</c:v>
                </c:pt>
                <c:pt idx="234">
                  <c:v>0.63674900000000001</c:v>
                </c:pt>
                <c:pt idx="235">
                  <c:v>0.631714</c:v>
                </c:pt>
                <c:pt idx="236">
                  <c:v>0.62667799999999996</c:v>
                </c:pt>
                <c:pt idx="237">
                  <c:v>0.62164299999999995</c:v>
                </c:pt>
                <c:pt idx="238">
                  <c:v>0.61660800000000004</c:v>
                </c:pt>
                <c:pt idx="239">
                  <c:v>0.611572</c:v>
                </c:pt>
                <c:pt idx="240">
                  <c:v>0.60653699999999999</c:v>
                </c:pt>
                <c:pt idx="241">
                  <c:v>0.60150099999999995</c:v>
                </c:pt>
                <c:pt idx="242">
                  <c:v>0.59646600000000005</c:v>
                </c:pt>
                <c:pt idx="243">
                  <c:v>0.59143100000000004</c:v>
                </c:pt>
                <c:pt idx="244">
                  <c:v>0.586395</c:v>
                </c:pt>
                <c:pt idx="245">
                  <c:v>0.58135999999999999</c:v>
                </c:pt>
                <c:pt idx="246">
                  <c:v>0.57632399999999995</c:v>
                </c:pt>
                <c:pt idx="247">
                  <c:v>0.57128900000000005</c:v>
                </c:pt>
                <c:pt idx="248">
                  <c:v>0.56625400000000004</c:v>
                </c:pt>
                <c:pt idx="249">
                  <c:v>0.56121799999999999</c:v>
                </c:pt>
                <c:pt idx="250">
                  <c:v>0.55618299999999998</c:v>
                </c:pt>
                <c:pt idx="251">
                  <c:v>0.55114700000000005</c:v>
                </c:pt>
                <c:pt idx="252">
                  <c:v>0.54611200000000004</c:v>
                </c:pt>
                <c:pt idx="253">
                  <c:v>0.54107700000000003</c:v>
                </c:pt>
                <c:pt idx="254">
                  <c:v>0.53604099999999999</c:v>
                </c:pt>
                <c:pt idx="255">
                  <c:v>0.53100599999999998</c:v>
                </c:pt>
                <c:pt idx="256">
                  <c:v>0.52597000000000005</c:v>
                </c:pt>
                <c:pt idx="257">
                  <c:v>0.52093500000000004</c:v>
                </c:pt>
                <c:pt idx="258">
                  <c:v>0.51590000000000003</c:v>
                </c:pt>
                <c:pt idx="259">
                  <c:v>0.51086399999999998</c:v>
                </c:pt>
                <c:pt idx="260">
                  <c:v>0.50582899999999997</c:v>
                </c:pt>
                <c:pt idx="261">
                  <c:v>0.50079300000000004</c:v>
                </c:pt>
                <c:pt idx="262">
                  <c:v>0.49575799999999998</c:v>
                </c:pt>
                <c:pt idx="263">
                  <c:v>0.49072300000000002</c:v>
                </c:pt>
                <c:pt idx="264">
                  <c:v>0.48568699999999998</c:v>
                </c:pt>
                <c:pt idx="265">
                  <c:v>0.48065200000000002</c:v>
                </c:pt>
                <c:pt idx="266">
                  <c:v>0.47561599999999998</c:v>
                </c:pt>
                <c:pt idx="267">
                  <c:v>0.47058100000000003</c:v>
                </c:pt>
                <c:pt idx="268">
                  <c:v>0.46554600000000002</c:v>
                </c:pt>
                <c:pt idx="269">
                  <c:v>0.46050999999999997</c:v>
                </c:pt>
                <c:pt idx="270">
                  <c:v>0.45547500000000002</c:v>
                </c:pt>
                <c:pt idx="271">
                  <c:v>0.45043899999999998</c:v>
                </c:pt>
                <c:pt idx="272">
                  <c:v>0.44540400000000002</c:v>
                </c:pt>
                <c:pt idx="273">
                  <c:v>0.44036900000000001</c:v>
                </c:pt>
                <c:pt idx="274">
                  <c:v>0.43533300000000003</c:v>
                </c:pt>
                <c:pt idx="275">
                  <c:v>0.43029800000000001</c:v>
                </c:pt>
                <c:pt idx="276">
                  <c:v>0.42526199999999997</c:v>
                </c:pt>
                <c:pt idx="277">
                  <c:v>0.42022700000000002</c:v>
                </c:pt>
                <c:pt idx="278">
                  <c:v>0.41519200000000001</c:v>
                </c:pt>
                <c:pt idx="279">
                  <c:v>0.41015600000000002</c:v>
                </c:pt>
                <c:pt idx="280">
                  <c:v>0.40512100000000001</c:v>
                </c:pt>
                <c:pt idx="281">
                  <c:v>0.40008500000000002</c:v>
                </c:pt>
                <c:pt idx="282">
                  <c:v>0.39505000000000001</c:v>
                </c:pt>
                <c:pt idx="283">
                  <c:v>0.390015</c:v>
                </c:pt>
                <c:pt idx="284">
                  <c:v>0.38497900000000002</c:v>
                </c:pt>
                <c:pt idx="285">
                  <c:v>0.379944</c:v>
                </c:pt>
                <c:pt idx="286">
                  <c:v>0.37490800000000002</c:v>
                </c:pt>
                <c:pt idx="287">
                  <c:v>0.36987300000000001</c:v>
                </c:pt>
                <c:pt idx="288">
                  <c:v>0.364838</c:v>
                </c:pt>
                <c:pt idx="289">
                  <c:v>0.35980200000000001</c:v>
                </c:pt>
                <c:pt idx="290">
                  <c:v>0.354767</c:v>
                </c:pt>
                <c:pt idx="291">
                  <c:v>0.34973100000000001</c:v>
                </c:pt>
                <c:pt idx="292">
                  <c:v>0.344696</c:v>
                </c:pt>
                <c:pt idx="293">
                  <c:v>0.33966099999999999</c:v>
                </c:pt>
                <c:pt idx="294">
                  <c:v>0.33462500000000001</c:v>
                </c:pt>
                <c:pt idx="295">
                  <c:v>0.32958999999999999</c:v>
                </c:pt>
                <c:pt idx="296">
                  <c:v>0.32455400000000001</c:v>
                </c:pt>
                <c:pt idx="297">
                  <c:v>0.319519</c:v>
                </c:pt>
                <c:pt idx="298">
                  <c:v>0.31448399999999999</c:v>
                </c:pt>
                <c:pt idx="299">
                  <c:v>0.309448</c:v>
                </c:pt>
                <c:pt idx="300">
                  <c:v>0.30441299999999999</c:v>
                </c:pt>
                <c:pt idx="301">
                  <c:v>0.299377</c:v>
                </c:pt>
                <c:pt idx="302">
                  <c:v>0.29434199999999999</c:v>
                </c:pt>
                <c:pt idx="303">
                  <c:v>0.28930699999999998</c:v>
                </c:pt>
                <c:pt idx="304">
                  <c:v>0.284271</c:v>
                </c:pt>
                <c:pt idx="305">
                  <c:v>0.27923599999999998</c:v>
                </c:pt>
                <c:pt idx="306">
                  <c:v>0.2742</c:v>
                </c:pt>
                <c:pt idx="307">
                  <c:v>0.26916499999999999</c:v>
                </c:pt>
                <c:pt idx="308">
                  <c:v>0.26412999999999998</c:v>
                </c:pt>
                <c:pt idx="309">
                  <c:v>0.25909399999999999</c:v>
                </c:pt>
                <c:pt idx="310">
                  <c:v>0.25405899999999998</c:v>
                </c:pt>
                <c:pt idx="311">
                  <c:v>0.24902299999999999</c:v>
                </c:pt>
                <c:pt idx="312">
                  <c:v>0.24398800000000001</c:v>
                </c:pt>
                <c:pt idx="313">
                  <c:v>0.238953</c:v>
                </c:pt>
                <c:pt idx="314">
                  <c:v>0.23391700000000001</c:v>
                </c:pt>
                <c:pt idx="315">
                  <c:v>0.228882</c:v>
                </c:pt>
                <c:pt idx="316">
                  <c:v>0.22384599999999999</c:v>
                </c:pt>
                <c:pt idx="317">
                  <c:v>0.21881100000000001</c:v>
                </c:pt>
                <c:pt idx="318">
                  <c:v>0.21377599999999999</c:v>
                </c:pt>
                <c:pt idx="319">
                  <c:v>0.20874000000000001</c:v>
                </c:pt>
                <c:pt idx="320">
                  <c:v>0.203705</c:v>
                </c:pt>
                <c:pt idx="321">
                  <c:v>0.19866900000000001</c:v>
                </c:pt>
                <c:pt idx="322">
                  <c:v>0.193634</c:v>
                </c:pt>
                <c:pt idx="323">
                  <c:v>0.18859899999999999</c:v>
                </c:pt>
                <c:pt idx="324">
                  <c:v>0.183563</c:v>
                </c:pt>
                <c:pt idx="325">
                  <c:v>0.17852799999999999</c:v>
                </c:pt>
                <c:pt idx="326">
                  <c:v>0.17349200000000001</c:v>
                </c:pt>
                <c:pt idx="327">
                  <c:v>0.168457</c:v>
                </c:pt>
                <c:pt idx="328">
                  <c:v>0.16342200000000001</c:v>
                </c:pt>
                <c:pt idx="329">
                  <c:v>0.158386</c:v>
                </c:pt>
                <c:pt idx="330">
                  <c:v>0.15335099999999999</c:v>
                </c:pt>
                <c:pt idx="331">
                  <c:v>0.148315</c:v>
                </c:pt>
                <c:pt idx="332">
                  <c:v>0.14327999999999999</c:v>
                </c:pt>
                <c:pt idx="333">
                  <c:v>0.13824500000000001</c:v>
                </c:pt>
                <c:pt idx="334">
                  <c:v>0.13320899999999999</c:v>
                </c:pt>
                <c:pt idx="335">
                  <c:v>0.12817400000000001</c:v>
                </c:pt>
                <c:pt idx="336">
                  <c:v>0.123138</c:v>
                </c:pt>
                <c:pt idx="337">
                  <c:v>0.118103</c:v>
                </c:pt>
                <c:pt idx="338">
                  <c:v>0.113068</c:v>
                </c:pt>
                <c:pt idx="339">
                  <c:v>0.108032</c:v>
                </c:pt>
                <c:pt idx="340">
                  <c:v>0.10299700000000001</c:v>
                </c:pt>
                <c:pt idx="341">
                  <c:v>9.7961400000000004E-2</c:v>
                </c:pt>
                <c:pt idx="342">
                  <c:v>9.2925999999999995E-2</c:v>
                </c:pt>
                <c:pt idx="343">
                  <c:v>8.7890599999999999E-2</c:v>
                </c:pt>
                <c:pt idx="344">
                  <c:v>8.2855200000000004E-2</c:v>
                </c:pt>
                <c:pt idx="345">
                  <c:v>7.7819799999999995E-2</c:v>
                </c:pt>
                <c:pt idx="346">
                  <c:v>7.2784399999999999E-2</c:v>
                </c:pt>
                <c:pt idx="347">
                  <c:v>6.7749000000000004E-2</c:v>
                </c:pt>
                <c:pt idx="348">
                  <c:v>6.2713599999999994E-2</c:v>
                </c:pt>
                <c:pt idx="349">
                  <c:v>5.7678199999999999E-2</c:v>
                </c:pt>
                <c:pt idx="350">
                  <c:v>5.2642799999999997E-2</c:v>
                </c:pt>
                <c:pt idx="351">
                  <c:v>4.7607400000000001E-2</c:v>
                </c:pt>
                <c:pt idx="352">
                  <c:v>4.2571999999999999E-2</c:v>
                </c:pt>
                <c:pt idx="353">
                  <c:v>3.7536600000000003E-2</c:v>
                </c:pt>
                <c:pt idx="354">
                  <c:v>3.2501200000000001E-2</c:v>
                </c:pt>
                <c:pt idx="355">
                  <c:v>2.7465799999999999E-2</c:v>
                </c:pt>
                <c:pt idx="356">
                  <c:v>2.24304E-2</c:v>
                </c:pt>
                <c:pt idx="357">
                  <c:v>1.7395000000000001E-2</c:v>
                </c:pt>
                <c:pt idx="358">
                  <c:v>1.23596E-2</c:v>
                </c:pt>
                <c:pt idx="359">
                  <c:v>7.3242200000000002E-3</c:v>
                </c:pt>
                <c:pt idx="360">
                  <c:v>2.28882E-3</c:v>
                </c:pt>
                <c:pt idx="361">
                  <c:v>-2.7465800000000002E-3</c:v>
                </c:pt>
                <c:pt idx="362">
                  <c:v>-7.78198E-3</c:v>
                </c:pt>
                <c:pt idx="363">
                  <c:v>-1.28174E-2</c:v>
                </c:pt>
                <c:pt idx="364">
                  <c:v>-1.7852799999999999E-2</c:v>
                </c:pt>
                <c:pt idx="365">
                  <c:v>-2.2888200000000001E-2</c:v>
                </c:pt>
                <c:pt idx="366">
                  <c:v>-2.79236E-2</c:v>
                </c:pt>
                <c:pt idx="367">
                  <c:v>-3.2959000000000002E-2</c:v>
                </c:pt>
                <c:pt idx="368">
                  <c:v>-3.7994399999999998E-2</c:v>
                </c:pt>
                <c:pt idx="369">
                  <c:v>-4.30298E-2</c:v>
                </c:pt>
                <c:pt idx="370">
                  <c:v>-4.8065200000000002E-2</c:v>
                </c:pt>
                <c:pt idx="371">
                  <c:v>-5.3100599999999998E-2</c:v>
                </c:pt>
                <c:pt idx="372">
                  <c:v>-5.8136E-2</c:v>
                </c:pt>
                <c:pt idx="373">
                  <c:v>-6.3171400000000003E-2</c:v>
                </c:pt>
                <c:pt idx="374">
                  <c:v>-6.8206799999999998E-2</c:v>
                </c:pt>
                <c:pt idx="375">
                  <c:v>-7.3242199999999993E-2</c:v>
                </c:pt>
                <c:pt idx="376">
                  <c:v>-7.8277600000000003E-2</c:v>
                </c:pt>
                <c:pt idx="377">
                  <c:v>-8.3312999999999998E-2</c:v>
                </c:pt>
                <c:pt idx="378">
                  <c:v>-8.8348399999999994E-2</c:v>
                </c:pt>
                <c:pt idx="379">
                  <c:v>-9.3383800000000003E-2</c:v>
                </c:pt>
                <c:pt idx="380">
                  <c:v>-9.8419199999999998E-2</c:v>
                </c:pt>
                <c:pt idx="381">
                  <c:v>-0.10345500000000001</c:v>
                </c:pt>
              </c:numCache>
            </c:numRef>
          </c:xVal>
          <c:yVal>
            <c:numRef>
              <c:f>'20221231T210000'!$AV$11:$AV$398</c:f>
              <c:numCache>
                <c:formatCode>General</c:formatCode>
                <c:ptCount val="388"/>
                <c:pt idx="0">
                  <c:v>-35.027407407407402</c:v>
                </c:pt>
                <c:pt idx="1">
                  <c:v>-25.472716049382711</c:v>
                </c:pt>
                <c:pt idx="2">
                  <c:v>-18.351975308641972</c:v>
                </c:pt>
                <c:pt idx="3">
                  <c:v>-12.787283950617283</c:v>
                </c:pt>
                <c:pt idx="4">
                  <c:v>-8.6880864197530858</c:v>
                </c:pt>
                <c:pt idx="5">
                  <c:v>-5.3334197530864182</c:v>
                </c:pt>
                <c:pt idx="6">
                  <c:v>-2.6866790123456785</c:v>
                </c:pt>
                <c:pt idx="7">
                  <c:v>-0.37811604938271604</c:v>
                </c:pt>
                <c:pt idx="8">
                  <c:v>1.4090864197530861</c:v>
                </c:pt>
                <c:pt idx="9">
                  <c:v>2.9986296296296291</c:v>
                </c:pt>
                <c:pt idx="10">
                  <c:v>4.2543703703703706</c:v>
                </c:pt>
                <c:pt idx="11">
                  <c:v>5.4189382716049384</c:v>
                </c:pt>
                <c:pt idx="12">
                  <c:v>6.314506172839506</c:v>
                </c:pt>
                <c:pt idx="13">
                  <c:v>7.1019259259259258</c:v>
                </c:pt>
                <c:pt idx="14">
                  <c:v>7.8592222222222219</c:v>
                </c:pt>
                <c:pt idx="15">
                  <c:v>8.5072469135802482</c:v>
                </c:pt>
                <c:pt idx="16">
                  <c:v>9.1138271604938268</c:v>
                </c:pt>
                <c:pt idx="17">
                  <c:v>9.6149259259259257</c:v>
                </c:pt>
                <c:pt idx="18">
                  <c:v>10.002987654320988</c:v>
                </c:pt>
                <c:pt idx="19">
                  <c:v>10.470160493827159</c:v>
                </c:pt>
                <c:pt idx="20">
                  <c:v>10.85069135802469</c:v>
                </c:pt>
                <c:pt idx="21">
                  <c:v>11.204851851851851</c:v>
                </c:pt>
                <c:pt idx="22">
                  <c:v>11.510024691358025</c:v>
                </c:pt>
                <c:pt idx="23">
                  <c:v>11.796358024691358</c:v>
                </c:pt>
                <c:pt idx="24">
                  <c:v>12.056333333333335</c:v>
                </c:pt>
                <c:pt idx="25">
                  <c:v>12.282382716049382</c:v>
                </c:pt>
                <c:pt idx="26">
                  <c:v>12.527283950617283</c:v>
                </c:pt>
                <c:pt idx="27">
                  <c:v>12.757160493827159</c:v>
                </c:pt>
                <c:pt idx="28">
                  <c:v>12.96432098765432</c:v>
                </c:pt>
                <c:pt idx="29">
                  <c:v>13.130123456790121</c:v>
                </c:pt>
                <c:pt idx="30">
                  <c:v>13.329753086419753</c:v>
                </c:pt>
                <c:pt idx="31">
                  <c:v>13.495555555555557</c:v>
                </c:pt>
                <c:pt idx="32">
                  <c:v>13.64246913580247</c:v>
                </c:pt>
                <c:pt idx="33">
                  <c:v>13.808271604938271</c:v>
                </c:pt>
                <c:pt idx="34">
                  <c:v>13.943950617283949</c:v>
                </c:pt>
                <c:pt idx="35">
                  <c:v>14.075802469135803</c:v>
                </c:pt>
                <c:pt idx="36">
                  <c:v>14.17</c:v>
                </c:pt>
                <c:pt idx="37">
                  <c:v>14.260370370370369</c:v>
                </c:pt>
                <c:pt idx="38">
                  <c:v>14.37716049382716</c:v>
                </c:pt>
                <c:pt idx="39">
                  <c:v>14.490246913580247</c:v>
                </c:pt>
                <c:pt idx="40">
                  <c:v>14.595679012345677</c:v>
                </c:pt>
                <c:pt idx="41">
                  <c:v>14.667283950617284</c:v>
                </c:pt>
                <c:pt idx="42">
                  <c:v>14.75395061728395</c:v>
                </c:pt>
                <c:pt idx="43">
                  <c:v>14.840617283950616</c:v>
                </c:pt>
                <c:pt idx="44">
                  <c:v>14.900864197530863</c:v>
                </c:pt>
                <c:pt idx="45">
                  <c:v>14.976172839506171</c:v>
                </c:pt>
                <c:pt idx="46">
                  <c:v>15.029012345679011</c:v>
                </c:pt>
                <c:pt idx="47">
                  <c:v>15.081728395061727</c:v>
                </c:pt>
                <c:pt idx="48">
                  <c:v>15.141975308641973</c:v>
                </c:pt>
                <c:pt idx="49">
                  <c:v>15.19469135802469</c:v>
                </c:pt>
                <c:pt idx="50">
                  <c:v>15.255061728395061</c:v>
                </c:pt>
                <c:pt idx="51">
                  <c:v>15.311481481481479</c:v>
                </c:pt>
                <c:pt idx="52">
                  <c:v>15.360493827160493</c:v>
                </c:pt>
                <c:pt idx="53">
                  <c:v>15.401975308641974</c:v>
                </c:pt>
                <c:pt idx="54">
                  <c:v>15.443456790123456</c:v>
                </c:pt>
                <c:pt idx="55">
                  <c:v>15.48111111111111</c:v>
                </c:pt>
                <c:pt idx="56">
                  <c:v>15.526296296296294</c:v>
                </c:pt>
                <c:pt idx="57">
                  <c:v>15.571481481481479</c:v>
                </c:pt>
                <c:pt idx="58">
                  <c:v>15.609135802469137</c:v>
                </c:pt>
                <c:pt idx="59">
                  <c:v>15.639259259259259</c:v>
                </c:pt>
                <c:pt idx="60">
                  <c:v>15.67320987654321</c:v>
                </c:pt>
                <c:pt idx="61">
                  <c:v>15.725925925925925</c:v>
                </c:pt>
                <c:pt idx="62">
                  <c:v>15.763703703703703</c:v>
                </c:pt>
                <c:pt idx="63">
                  <c:v>15.79</c:v>
                </c:pt>
                <c:pt idx="64">
                  <c:v>15.827654320987653</c:v>
                </c:pt>
                <c:pt idx="65">
                  <c:v>15.846543209876542</c:v>
                </c:pt>
                <c:pt idx="66">
                  <c:v>15.87296296296296</c:v>
                </c:pt>
                <c:pt idx="67">
                  <c:v>15.891728395061728</c:v>
                </c:pt>
                <c:pt idx="68">
                  <c:v>15.918148148148147</c:v>
                </c:pt>
                <c:pt idx="69">
                  <c:v>15.940740740740738</c:v>
                </c:pt>
                <c:pt idx="70">
                  <c:v>15.982222222222221</c:v>
                </c:pt>
                <c:pt idx="71">
                  <c:v>16.023580246913578</c:v>
                </c:pt>
                <c:pt idx="72">
                  <c:v>16.042469135802467</c:v>
                </c:pt>
                <c:pt idx="73">
                  <c:v>16.061234567901234</c:v>
                </c:pt>
                <c:pt idx="74">
                  <c:v>16.076419753086416</c:v>
                </c:pt>
                <c:pt idx="75">
                  <c:v>16.099012345679011</c:v>
                </c:pt>
                <c:pt idx="76">
                  <c:v>16.132839506172839</c:v>
                </c:pt>
                <c:pt idx="77">
                  <c:v>16.155432098765431</c:v>
                </c:pt>
                <c:pt idx="78">
                  <c:v>16.170493827160495</c:v>
                </c:pt>
                <c:pt idx="79">
                  <c:v>16.18938271604938</c:v>
                </c:pt>
                <c:pt idx="80">
                  <c:v>16.204444444444441</c:v>
                </c:pt>
                <c:pt idx="81">
                  <c:v>16.223333333333333</c:v>
                </c:pt>
                <c:pt idx="82">
                  <c:v>16.234567901234566</c:v>
                </c:pt>
                <c:pt idx="83">
                  <c:v>16.238395061728394</c:v>
                </c:pt>
                <c:pt idx="84">
                  <c:v>16.230864197530863</c:v>
                </c:pt>
                <c:pt idx="85">
                  <c:v>16.249629629629627</c:v>
                </c:pt>
                <c:pt idx="86">
                  <c:v>16.268518518518519</c:v>
                </c:pt>
                <c:pt idx="87">
                  <c:v>16.276049382716046</c:v>
                </c:pt>
                <c:pt idx="88">
                  <c:v>16.294938271604938</c:v>
                </c:pt>
                <c:pt idx="89">
                  <c:v>16.309999999999999</c:v>
                </c:pt>
                <c:pt idx="90">
                  <c:v>16.336296296296297</c:v>
                </c:pt>
                <c:pt idx="91">
                  <c:v>16.347654320987651</c:v>
                </c:pt>
                <c:pt idx="92">
                  <c:v>16.358888888888888</c:v>
                </c:pt>
                <c:pt idx="93">
                  <c:v>16.355185185185185</c:v>
                </c:pt>
                <c:pt idx="94">
                  <c:v>16.351358024691358</c:v>
                </c:pt>
                <c:pt idx="95">
                  <c:v>16.362716049382716</c:v>
                </c:pt>
                <c:pt idx="96">
                  <c:v>16.373950617283949</c:v>
                </c:pt>
                <c:pt idx="97">
                  <c:v>16.392839506172837</c:v>
                </c:pt>
                <c:pt idx="98">
                  <c:v>16.404197530864195</c:v>
                </c:pt>
                <c:pt idx="99">
                  <c:v>16.42679012345679</c:v>
                </c:pt>
                <c:pt idx="100">
                  <c:v>16.445555555555554</c:v>
                </c:pt>
                <c:pt idx="101">
                  <c:v>16.453086419753085</c:v>
                </c:pt>
                <c:pt idx="102">
                  <c:v>16.468148148148149</c:v>
                </c:pt>
                <c:pt idx="103">
                  <c:v>16.487037037037037</c:v>
                </c:pt>
                <c:pt idx="104">
                  <c:v>16.502098765432098</c:v>
                </c:pt>
                <c:pt idx="105">
                  <c:v>16.520987654320987</c:v>
                </c:pt>
                <c:pt idx="106">
                  <c:v>16.528518518518517</c:v>
                </c:pt>
                <c:pt idx="107">
                  <c:v>16.543580246913578</c:v>
                </c:pt>
                <c:pt idx="108">
                  <c:v>16.558641975308642</c:v>
                </c:pt>
                <c:pt idx="109">
                  <c:v>16.566172839506169</c:v>
                </c:pt>
                <c:pt idx="110">
                  <c:v>16.5737037037037</c:v>
                </c:pt>
                <c:pt idx="111">
                  <c:v>16.5737037037037</c:v>
                </c:pt>
                <c:pt idx="112">
                  <c:v>16.581234567901234</c:v>
                </c:pt>
                <c:pt idx="113">
                  <c:v>16.592469135802467</c:v>
                </c:pt>
                <c:pt idx="114">
                  <c:v>16.592469135802467</c:v>
                </c:pt>
                <c:pt idx="115">
                  <c:v>16.596296296296295</c:v>
                </c:pt>
                <c:pt idx="116">
                  <c:v>16.603827160493829</c:v>
                </c:pt>
                <c:pt idx="117">
                  <c:v>16.615185185185183</c:v>
                </c:pt>
                <c:pt idx="118">
                  <c:v>16.630246913580244</c:v>
                </c:pt>
                <c:pt idx="119">
                  <c:v>16.641481481481478</c:v>
                </c:pt>
                <c:pt idx="120">
                  <c:v>16.645308641975308</c:v>
                </c:pt>
                <c:pt idx="121">
                  <c:v>16.649012345679012</c:v>
                </c:pt>
                <c:pt idx="122">
                  <c:v>16.652839506172839</c:v>
                </c:pt>
                <c:pt idx="123">
                  <c:v>16.656543209876542</c:v>
                </c:pt>
                <c:pt idx="124">
                  <c:v>16.660370370370369</c:v>
                </c:pt>
                <c:pt idx="125">
                  <c:v>16.671604938271606</c:v>
                </c:pt>
                <c:pt idx="126">
                  <c:v>16.682962962962961</c:v>
                </c:pt>
                <c:pt idx="127">
                  <c:v>16.682962962962961</c:v>
                </c:pt>
                <c:pt idx="128">
                  <c:v>16.686666666666664</c:v>
                </c:pt>
                <c:pt idx="129">
                  <c:v>16.682962962962961</c:v>
                </c:pt>
                <c:pt idx="130">
                  <c:v>16.686666666666664</c:v>
                </c:pt>
                <c:pt idx="131">
                  <c:v>16.682962962962961</c:v>
                </c:pt>
                <c:pt idx="132">
                  <c:v>16.682962962962961</c:v>
                </c:pt>
                <c:pt idx="133">
                  <c:v>16.679135802469133</c:v>
                </c:pt>
                <c:pt idx="134">
                  <c:v>16.690493827160495</c:v>
                </c:pt>
                <c:pt idx="135">
                  <c:v>16.694197530864194</c:v>
                </c:pt>
                <c:pt idx="136">
                  <c:v>16.716790123456789</c:v>
                </c:pt>
                <c:pt idx="137">
                  <c:v>16.731975308641974</c:v>
                </c:pt>
                <c:pt idx="138">
                  <c:v>16.743209876543208</c:v>
                </c:pt>
                <c:pt idx="139">
                  <c:v>16.747037037037035</c:v>
                </c:pt>
                <c:pt idx="140">
                  <c:v>16.750740740740738</c:v>
                </c:pt>
                <c:pt idx="141">
                  <c:v>16.758271604938273</c:v>
                </c:pt>
                <c:pt idx="142">
                  <c:v>16.758271604938273</c:v>
                </c:pt>
                <c:pt idx="143">
                  <c:v>16.758271604938273</c:v>
                </c:pt>
                <c:pt idx="144">
                  <c:v>16.758271604938273</c:v>
                </c:pt>
                <c:pt idx="145">
                  <c:v>16.747037037037035</c:v>
                </c:pt>
                <c:pt idx="146">
                  <c:v>16.747037037037035</c:v>
                </c:pt>
                <c:pt idx="147">
                  <c:v>16.739506172839505</c:v>
                </c:pt>
                <c:pt idx="148">
                  <c:v>16.739506172839505</c:v>
                </c:pt>
                <c:pt idx="149">
                  <c:v>16.739506172839505</c:v>
                </c:pt>
                <c:pt idx="150">
                  <c:v>16.750740740740738</c:v>
                </c:pt>
                <c:pt idx="151">
                  <c:v>16.765802469135803</c:v>
                </c:pt>
                <c:pt idx="152">
                  <c:v>16.76962962962963</c:v>
                </c:pt>
                <c:pt idx="153">
                  <c:v>16.76962962962963</c:v>
                </c:pt>
                <c:pt idx="154">
                  <c:v>16.780864197530864</c:v>
                </c:pt>
                <c:pt idx="155">
                  <c:v>16.784691358024691</c:v>
                </c:pt>
                <c:pt idx="156">
                  <c:v>16.784691358024691</c:v>
                </c:pt>
                <c:pt idx="157">
                  <c:v>16.792222222222222</c:v>
                </c:pt>
                <c:pt idx="158">
                  <c:v>16.795925925925925</c:v>
                </c:pt>
                <c:pt idx="159">
                  <c:v>16.803456790123455</c:v>
                </c:pt>
                <c:pt idx="160">
                  <c:v>16.822345679012344</c:v>
                </c:pt>
                <c:pt idx="161">
                  <c:v>16.826172839506171</c:v>
                </c:pt>
                <c:pt idx="162">
                  <c:v>16.829876543209878</c:v>
                </c:pt>
                <c:pt idx="163">
                  <c:v>16.833703703703701</c:v>
                </c:pt>
                <c:pt idx="164">
                  <c:v>16.844938271604939</c:v>
                </c:pt>
                <c:pt idx="165">
                  <c:v>16.852469135802469</c:v>
                </c:pt>
                <c:pt idx="166">
                  <c:v>16.852469135802469</c:v>
                </c:pt>
                <c:pt idx="167">
                  <c:v>16.86</c:v>
                </c:pt>
                <c:pt idx="168">
                  <c:v>16.86</c:v>
                </c:pt>
                <c:pt idx="169">
                  <c:v>16.86753086419753</c:v>
                </c:pt>
                <c:pt idx="170">
                  <c:v>16.871358024691357</c:v>
                </c:pt>
                <c:pt idx="171">
                  <c:v>16.871358024691357</c:v>
                </c:pt>
                <c:pt idx="172">
                  <c:v>16.86753086419753</c:v>
                </c:pt>
                <c:pt idx="173">
                  <c:v>16.86753086419753</c:v>
                </c:pt>
                <c:pt idx="174">
                  <c:v>16.871358024691357</c:v>
                </c:pt>
                <c:pt idx="175">
                  <c:v>16.87506172839506</c:v>
                </c:pt>
                <c:pt idx="176">
                  <c:v>16.871358024691357</c:v>
                </c:pt>
                <c:pt idx="177">
                  <c:v>16.87506172839506</c:v>
                </c:pt>
                <c:pt idx="178">
                  <c:v>16.871358024691357</c:v>
                </c:pt>
                <c:pt idx="179">
                  <c:v>16.882592592592591</c:v>
                </c:pt>
                <c:pt idx="180">
                  <c:v>16.90901234567901</c:v>
                </c:pt>
                <c:pt idx="181">
                  <c:v>16.920246913580247</c:v>
                </c:pt>
                <c:pt idx="182">
                  <c:v>16.935432098765432</c:v>
                </c:pt>
                <c:pt idx="183">
                  <c:v>16.961728395061726</c:v>
                </c:pt>
                <c:pt idx="184">
                  <c:v>16.980617283950615</c:v>
                </c:pt>
                <c:pt idx="185">
                  <c:v>16.976790123456787</c:v>
                </c:pt>
                <c:pt idx="186">
                  <c:v>16.973086419753084</c:v>
                </c:pt>
                <c:pt idx="187">
                  <c:v>16.958024691358023</c:v>
                </c:pt>
                <c:pt idx="188">
                  <c:v>16.946666666666665</c:v>
                </c:pt>
                <c:pt idx="189">
                  <c:v>16.942962962962962</c:v>
                </c:pt>
                <c:pt idx="190">
                  <c:v>16.931604938271605</c:v>
                </c:pt>
                <c:pt idx="191">
                  <c:v>16.935432098765432</c:v>
                </c:pt>
                <c:pt idx="192">
                  <c:v>16.920246913580247</c:v>
                </c:pt>
                <c:pt idx="193">
                  <c:v>16.90901234567901</c:v>
                </c:pt>
                <c:pt idx="194">
                  <c:v>16.912716049382716</c:v>
                </c:pt>
                <c:pt idx="195">
                  <c:v>16.901481481481479</c:v>
                </c:pt>
                <c:pt idx="196">
                  <c:v>16.905185185185186</c:v>
                </c:pt>
                <c:pt idx="197">
                  <c:v>16.897654320987655</c:v>
                </c:pt>
                <c:pt idx="198">
                  <c:v>16.882592592592591</c:v>
                </c:pt>
                <c:pt idx="199">
                  <c:v>16.87506172839506</c:v>
                </c:pt>
                <c:pt idx="200">
                  <c:v>16.871358024691357</c:v>
                </c:pt>
                <c:pt idx="201">
                  <c:v>16.87506172839506</c:v>
                </c:pt>
                <c:pt idx="202">
                  <c:v>16.882592592592591</c:v>
                </c:pt>
                <c:pt idx="203">
                  <c:v>16.890123456790121</c:v>
                </c:pt>
                <c:pt idx="204">
                  <c:v>16.893950617283949</c:v>
                </c:pt>
                <c:pt idx="205">
                  <c:v>16.897654320987655</c:v>
                </c:pt>
                <c:pt idx="206">
                  <c:v>16.90901234567901</c:v>
                </c:pt>
                <c:pt idx="207">
                  <c:v>16.90901234567901</c:v>
                </c:pt>
                <c:pt idx="208">
                  <c:v>16.912716049382716</c:v>
                </c:pt>
                <c:pt idx="209">
                  <c:v>16.90901234567901</c:v>
                </c:pt>
                <c:pt idx="210">
                  <c:v>16.90901234567901</c:v>
                </c:pt>
                <c:pt idx="211">
                  <c:v>16.924074074074074</c:v>
                </c:pt>
                <c:pt idx="212">
                  <c:v>16.939135802469135</c:v>
                </c:pt>
                <c:pt idx="213">
                  <c:v>16.946666666666665</c:v>
                </c:pt>
                <c:pt idx="214">
                  <c:v>16.954197530864196</c:v>
                </c:pt>
                <c:pt idx="215">
                  <c:v>16.958024691358023</c:v>
                </c:pt>
                <c:pt idx="216">
                  <c:v>16.942962962962962</c:v>
                </c:pt>
                <c:pt idx="217">
                  <c:v>16.931604938271605</c:v>
                </c:pt>
                <c:pt idx="218">
                  <c:v>16.931604938271605</c:v>
                </c:pt>
                <c:pt idx="219">
                  <c:v>16.924074074074074</c:v>
                </c:pt>
                <c:pt idx="220">
                  <c:v>16.924074074074074</c:v>
                </c:pt>
                <c:pt idx="221">
                  <c:v>16.924074074074074</c:v>
                </c:pt>
                <c:pt idx="222">
                  <c:v>16.927777777777777</c:v>
                </c:pt>
                <c:pt idx="223">
                  <c:v>16.939135802469135</c:v>
                </c:pt>
                <c:pt idx="224">
                  <c:v>16.954197530864196</c:v>
                </c:pt>
                <c:pt idx="225">
                  <c:v>16.961728395061726</c:v>
                </c:pt>
                <c:pt idx="226">
                  <c:v>16.969259259259257</c:v>
                </c:pt>
                <c:pt idx="227">
                  <c:v>16.969259259259257</c:v>
                </c:pt>
                <c:pt idx="228">
                  <c:v>16.969259259259257</c:v>
                </c:pt>
                <c:pt idx="229">
                  <c:v>16.961728395061726</c:v>
                </c:pt>
                <c:pt idx="230">
                  <c:v>16.950493827160493</c:v>
                </c:pt>
                <c:pt idx="231">
                  <c:v>16.954197530864196</c:v>
                </c:pt>
                <c:pt idx="232">
                  <c:v>16.961728395061726</c:v>
                </c:pt>
                <c:pt idx="233">
                  <c:v>16.961728395061726</c:v>
                </c:pt>
                <c:pt idx="234">
                  <c:v>16.961728395061726</c:v>
                </c:pt>
                <c:pt idx="235">
                  <c:v>16.961728395061726</c:v>
                </c:pt>
                <c:pt idx="236">
                  <c:v>16.965555555555554</c:v>
                </c:pt>
                <c:pt idx="237">
                  <c:v>16.969259259259257</c:v>
                </c:pt>
                <c:pt idx="238">
                  <c:v>16.958024691358023</c:v>
                </c:pt>
                <c:pt idx="239">
                  <c:v>16.961728395061726</c:v>
                </c:pt>
                <c:pt idx="240">
                  <c:v>16.973086419753084</c:v>
                </c:pt>
                <c:pt idx="241">
                  <c:v>16.976790123456787</c:v>
                </c:pt>
                <c:pt idx="242">
                  <c:v>16.984320987654321</c:v>
                </c:pt>
                <c:pt idx="243">
                  <c:v>16.988148148148149</c:v>
                </c:pt>
                <c:pt idx="244">
                  <c:v>16.995679012345676</c:v>
                </c:pt>
                <c:pt idx="245">
                  <c:v>17.01074074074074</c:v>
                </c:pt>
                <c:pt idx="246">
                  <c:v>17.021975308641974</c:v>
                </c:pt>
                <c:pt idx="247">
                  <c:v>17.025802469135801</c:v>
                </c:pt>
                <c:pt idx="248">
                  <c:v>17.040864197530862</c:v>
                </c:pt>
                <c:pt idx="249">
                  <c:v>17.048395061728392</c:v>
                </c:pt>
                <c:pt idx="250">
                  <c:v>17.052222222222223</c:v>
                </c:pt>
                <c:pt idx="251">
                  <c:v>17.05975308641975</c:v>
                </c:pt>
                <c:pt idx="252">
                  <c:v>17.070987654320987</c:v>
                </c:pt>
                <c:pt idx="253">
                  <c:v>17.082345679012345</c:v>
                </c:pt>
                <c:pt idx="254">
                  <c:v>17.089876543209876</c:v>
                </c:pt>
                <c:pt idx="255">
                  <c:v>17.086049382716048</c:v>
                </c:pt>
                <c:pt idx="256">
                  <c:v>17.086049382716048</c:v>
                </c:pt>
                <c:pt idx="257">
                  <c:v>17.067283950617281</c:v>
                </c:pt>
                <c:pt idx="258">
                  <c:v>17.055925925925926</c:v>
                </c:pt>
                <c:pt idx="259">
                  <c:v>17.052222222222223</c:v>
                </c:pt>
                <c:pt idx="260">
                  <c:v>17.040864197530862</c:v>
                </c:pt>
                <c:pt idx="261">
                  <c:v>17.044691358024689</c:v>
                </c:pt>
                <c:pt idx="262">
                  <c:v>17.037037037037035</c:v>
                </c:pt>
                <c:pt idx="263">
                  <c:v>17.044691358024689</c:v>
                </c:pt>
                <c:pt idx="264">
                  <c:v>17.048395061728392</c:v>
                </c:pt>
                <c:pt idx="265">
                  <c:v>17.052222222222223</c:v>
                </c:pt>
                <c:pt idx="266">
                  <c:v>17.063456790123453</c:v>
                </c:pt>
                <c:pt idx="267">
                  <c:v>17.063456790123453</c:v>
                </c:pt>
                <c:pt idx="268">
                  <c:v>17.074814814814815</c:v>
                </c:pt>
                <c:pt idx="269">
                  <c:v>17.082345679012345</c:v>
                </c:pt>
                <c:pt idx="270">
                  <c:v>17.086049382716048</c:v>
                </c:pt>
                <c:pt idx="271">
                  <c:v>17.086049382716048</c:v>
                </c:pt>
                <c:pt idx="272">
                  <c:v>17.086049382716048</c:v>
                </c:pt>
                <c:pt idx="273">
                  <c:v>17.086049382716048</c:v>
                </c:pt>
                <c:pt idx="274">
                  <c:v>17.086049382716048</c:v>
                </c:pt>
                <c:pt idx="275">
                  <c:v>17.082345679012345</c:v>
                </c:pt>
                <c:pt idx="276">
                  <c:v>17.070987654320987</c:v>
                </c:pt>
                <c:pt idx="277">
                  <c:v>17.063456790123453</c:v>
                </c:pt>
                <c:pt idx="278">
                  <c:v>17.067283950617281</c:v>
                </c:pt>
                <c:pt idx="279">
                  <c:v>17.05975308641975</c:v>
                </c:pt>
                <c:pt idx="280">
                  <c:v>17.074814814814815</c:v>
                </c:pt>
                <c:pt idx="281">
                  <c:v>17.089876543209876</c:v>
                </c:pt>
                <c:pt idx="282">
                  <c:v>17.093580246913579</c:v>
                </c:pt>
                <c:pt idx="283">
                  <c:v>17.093580246913579</c:v>
                </c:pt>
                <c:pt idx="284">
                  <c:v>17.089876543209876</c:v>
                </c:pt>
                <c:pt idx="285">
                  <c:v>17.078518518518518</c:v>
                </c:pt>
                <c:pt idx="286">
                  <c:v>17.070987654320987</c:v>
                </c:pt>
                <c:pt idx="287">
                  <c:v>17.074814814814815</c:v>
                </c:pt>
                <c:pt idx="288">
                  <c:v>17.089876543209876</c:v>
                </c:pt>
                <c:pt idx="289">
                  <c:v>17.104938271604937</c:v>
                </c:pt>
                <c:pt idx="290">
                  <c:v>17.11617283950617</c:v>
                </c:pt>
                <c:pt idx="291">
                  <c:v>17.112469135802467</c:v>
                </c:pt>
                <c:pt idx="292">
                  <c:v>17.101111111111113</c:v>
                </c:pt>
                <c:pt idx="293">
                  <c:v>17.089876543209876</c:v>
                </c:pt>
                <c:pt idx="294">
                  <c:v>17.089876543209876</c:v>
                </c:pt>
                <c:pt idx="295">
                  <c:v>17.093580246913579</c:v>
                </c:pt>
                <c:pt idx="296">
                  <c:v>17.09740740740741</c:v>
                </c:pt>
                <c:pt idx="297">
                  <c:v>17.09740740740741</c:v>
                </c:pt>
                <c:pt idx="298">
                  <c:v>17.089876543209876</c:v>
                </c:pt>
                <c:pt idx="299">
                  <c:v>17.093580246913579</c:v>
                </c:pt>
                <c:pt idx="300">
                  <c:v>17.101111111111113</c:v>
                </c:pt>
                <c:pt idx="301">
                  <c:v>17.104938271604937</c:v>
                </c:pt>
                <c:pt idx="302">
                  <c:v>17.10864197530864</c:v>
                </c:pt>
                <c:pt idx="303">
                  <c:v>17.09740740740741</c:v>
                </c:pt>
                <c:pt idx="304">
                  <c:v>17.093580246913579</c:v>
                </c:pt>
                <c:pt idx="305">
                  <c:v>17.089876543209876</c:v>
                </c:pt>
                <c:pt idx="306">
                  <c:v>17.078518518518518</c:v>
                </c:pt>
                <c:pt idx="307">
                  <c:v>17.067283950617281</c:v>
                </c:pt>
                <c:pt idx="308">
                  <c:v>17.05975308641975</c:v>
                </c:pt>
                <c:pt idx="309">
                  <c:v>17.052222222222223</c:v>
                </c:pt>
                <c:pt idx="310">
                  <c:v>17.037037037037035</c:v>
                </c:pt>
                <c:pt idx="311">
                  <c:v>17.029506172839504</c:v>
                </c:pt>
                <c:pt idx="312">
                  <c:v>17.033333333333331</c:v>
                </c:pt>
                <c:pt idx="313">
                  <c:v>17.052222222222223</c:v>
                </c:pt>
                <c:pt idx="314">
                  <c:v>17.067283950617281</c:v>
                </c:pt>
                <c:pt idx="315">
                  <c:v>17.078518518518518</c:v>
                </c:pt>
                <c:pt idx="316">
                  <c:v>17.078518518518518</c:v>
                </c:pt>
                <c:pt idx="317">
                  <c:v>17.067283950617281</c:v>
                </c:pt>
                <c:pt idx="318">
                  <c:v>17.067283950617281</c:v>
                </c:pt>
                <c:pt idx="319">
                  <c:v>17.070987654320987</c:v>
                </c:pt>
                <c:pt idx="320">
                  <c:v>17.074814814814815</c:v>
                </c:pt>
                <c:pt idx="321">
                  <c:v>17.074814814814815</c:v>
                </c:pt>
                <c:pt idx="322">
                  <c:v>17.067283950617281</c:v>
                </c:pt>
                <c:pt idx="323">
                  <c:v>17.063456790123453</c:v>
                </c:pt>
                <c:pt idx="324">
                  <c:v>17.063456790123453</c:v>
                </c:pt>
                <c:pt idx="325">
                  <c:v>17.055925925925926</c:v>
                </c:pt>
                <c:pt idx="326">
                  <c:v>17.05975308641975</c:v>
                </c:pt>
                <c:pt idx="327">
                  <c:v>17.05975308641975</c:v>
                </c:pt>
                <c:pt idx="328">
                  <c:v>17.052222222222223</c:v>
                </c:pt>
                <c:pt idx="329">
                  <c:v>17.040864197530862</c:v>
                </c:pt>
                <c:pt idx="330">
                  <c:v>17.055925925925926</c:v>
                </c:pt>
                <c:pt idx="331">
                  <c:v>17.063456790123453</c:v>
                </c:pt>
                <c:pt idx="332">
                  <c:v>17.074814814814815</c:v>
                </c:pt>
                <c:pt idx="333">
                  <c:v>17.086049382716048</c:v>
                </c:pt>
                <c:pt idx="334">
                  <c:v>17.093580246913579</c:v>
                </c:pt>
                <c:pt idx="335">
                  <c:v>17.104938271604937</c:v>
                </c:pt>
                <c:pt idx="336">
                  <c:v>17.11617283950617</c:v>
                </c:pt>
                <c:pt idx="337">
                  <c:v>17.131234567901231</c:v>
                </c:pt>
                <c:pt idx="338">
                  <c:v>17.142592592592592</c:v>
                </c:pt>
                <c:pt idx="339">
                  <c:v>17.150123456790123</c:v>
                </c:pt>
                <c:pt idx="340">
                  <c:v>17.161481481481481</c:v>
                </c:pt>
                <c:pt idx="341">
                  <c:v>17.169012345679011</c:v>
                </c:pt>
                <c:pt idx="342">
                  <c:v>17.169012345679011</c:v>
                </c:pt>
                <c:pt idx="343">
                  <c:v>17.161481481481481</c:v>
                </c:pt>
                <c:pt idx="344">
                  <c:v>17.150123456790123</c:v>
                </c:pt>
                <c:pt idx="345">
                  <c:v>17.131234567901231</c:v>
                </c:pt>
                <c:pt idx="346">
                  <c:v>17.123703703703701</c:v>
                </c:pt>
                <c:pt idx="347">
                  <c:v>17.127530864197528</c:v>
                </c:pt>
                <c:pt idx="348">
                  <c:v>17.12</c:v>
                </c:pt>
                <c:pt idx="349">
                  <c:v>17.12</c:v>
                </c:pt>
                <c:pt idx="350">
                  <c:v>17.127530864197528</c:v>
                </c:pt>
                <c:pt idx="351">
                  <c:v>17.135061728395058</c:v>
                </c:pt>
                <c:pt idx="352">
                  <c:v>17.138765432098765</c:v>
                </c:pt>
                <c:pt idx="353">
                  <c:v>17.138765432098765</c:v>
                </c:pt>
                <c:pt idx="354">
                  <c:v>17.146296296296295</c:v>
                </c:pt>
                <c:pt idx="355">
                  <c:v>17.146296296296295</c:v>
                </c:pt>
                <c:pt idx="356">
                  <c:v>17.142592592592592</c:v>
                </c:pt>
                <c:pt idx="357">
                  <c:v>17.153950617283947</c:v>
                </c:pt>
                <c:pt idx="358">
                  <c:v>17.161481481481481</c:v>
                </c:pt>
                <c:pt idx="359">
                  <c:v>17.169012345679011</c:v>
                </c:pt>
                <c:pt idx="360">
                  <c:v>17.165185185185184</c:v>
                </c:pt>
                <c:pt idx="361">
                  <c:v>17.157654320987653</c:v>
                </c:pt>
                <c:pt idx="362">
                  <c:v>17.161481481481481</c:v>
                </c:pt>
                <c:pt idx="363">
                  <c:v>17.157654320987653</c:v>
                </c:pt>
                <c:pt idx="364">
                  <c:v>17.165185185185184</c:v>
                </c:pt>
                <c:pt idx="365">
                  <c:v>17.161481481481481</c:v>
                </c:pt>
                <c:pt idx="366">
                  <c:v>17.161481481481481</c:v>
                </c:pt>
                <c:pt idx="367">
                  <c:v>17.157654320987653</c:v>
                </c:pt>
                <c:pt idx="368">
                  <c:v>17.157654320987653</c:v>
                </c:pt>
                <c:pt idx="369">
                  <c:v>17.150123456790123</c:v>
                </c:pt>
                <c:pt idx="370">
                  <c:v>17.142592592592592</c:v>
                </c:pt>
                <c:pt idx="371">
                  <c:v>17.131234567901231</c:v>
                </c:pt>
                <c:pt idx="372">
                  <c:v>17.123703703703701</c:v>
                </c:pt>
                <c:pt idx="373">
                  <c:v>17.127530864197528</c:v>
                </c:pt>
                <c:pt idx="374">
                  <c:v>17.135061728395058</c:v>
                </c:pt>
                <c:pt idx="375">
                  <c:v>17.131234567901231</c:v>
                </c:pt>
                <c:pt idx="376">
                  <c:v>17.138765432098765</c:v>
                </c:pt>
                <c:pt idx="377">
                  <c:v>17.150123456790123</c:v>
                </c:pt>
                <c:pt idx="378">
                  <c:v>17.153950617283947</c:v>
                </c:pt>
                <c:pt idx="379">
                  <c:v>17.161481481481481</c:v>
                </c:pt>
                <c:pt idx="380">
                  <c:v>17.165185185185184</c:v>
                </c:pt>
                <c:pt idx="381">
                  <c:v>17.172716049382714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3D0-4F65-A235-9162CC21C933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'20221231T210000'!$AY$11:$AY$500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  <c:pt idx="376">
                  <c:v>1.7984</c:v>
                </c:pt>
                <c:pt idx="377">
                  <c:v>1.8034399999999999</c:v>
                </c:pt>
                <c:pt idx="378">
                  <c:v>1.80847</c:v>
                </c:pt>
                <c:pt idx="379">
                  <c:v>1.81351</c:v>
                </c:pt>
                <c:pt idx="380">
                  <c:v>1.81854</c:v>
                </c:pt>
                <c:pt idx="381">
                  <c:v>1.82358</c:v>
                </c:pt>
              </c:numCache>
            </c:numRef>
          </c:xVal>
          <c:yVal>
            <c:numRef>
              <c:f>'20221231T210000'!$BD$11:$BD$500</c:f>
              <c:numCache>
                <c:formatCode>General</c:formatCode>
                <c:ptCount val="490"/>
                <c:pt idx="0">
                  <c:v>17.135061728395058</c:v>
                </c:pt>
                <c:pt idx="1">
                  <c:v>17.131234567901231</c:v>
                </c:pt>
                <c:pt idx="2">
                  <c:v>17.131234567901231</c:v>
                </c:pt>
                <c:pt idx="3">
                  <c:v>17.131234567901231</c:v>
                </c:pt>
                <c:pt idx="4">
                  <c:v>17.135061728395058</c:v>
                </c:pt>
                <c:pt idx="5">
                  <c:v>17.135061728395058</c:v>
                </c:pt>
                <c:pt idx="6">
                  <c:v>17.123703703703701</c:v>
                </c:pt>
                <c:pt idx="7">
                  <c:v>17.123703703703701</c:v>
                </c:pt>
                <c:pt idx="8">
                  <c:v>17.123703703703701</c:v>
                </c:pt>
                <c:pt idx="9">
                  <c:v>17.127530864197528</c:v>
                </c:pt>
                <c:pt idx="10">
                  <c:v>17.131234567901231</c:v>
                </c:pt>
                <c:pt idx="11">
                  <c:v>17.131234567901231</c:v>
                </c:pt>
                <c:pt idx="12">
                  <c:v>17.142592592592592</c:v>
                </c:pt>
                <c:pt idx="13">
                  <c:v>17.142592592592592</c:v>
                </c:pt>
                <c:pt idx="14">
                  <c:v>17.153950617283947</c:v>
                </c:pt>
                <c:pt idx="15">
                  <c:v>17.157654320987653</c:v>
                </c:pt>
                <c:pt idx="16">
                  <c:v>17.165185185185184</c:v>
                </c:pt>
                <c:pt idx="17">
                  <c:v>17.157654320987653</c:v>
                </c:pt>
                <c:pt idx="18">
                  <c:v>17.150123456790123</c:v>
                </c:pt>
                <c:pt idx="19">
                  <c:v>17.150123456790123</c:v>
                </c:pt>
                <c:pt idx="20">
                  <c:v>17.146296296296295</c:v>
                </c:pt>
                <c:pt idx="21">
                  <c:v>17.153950617283947</c:v>
                </c:pt>
                <c:pt idx="22">
                  <c:v>17.146296296296295</c:v>
                </c:pt>
                <c:pt idx="23">
                  <c:v>17.142592592592592</c:v>
                </c:pt>
                <c:pt idx="24">
                  <c:v>17.138765432098765</c:v>
                </c:pt>
                <c:pt idx="25">
                  <c:v>17.142592592592592</c:v>
                </c:pt>
                <c:pt idx="26">
                  <c:v>17.150123456790123</c:v>
                </c:pt>
                <c:pt idx="27">
                  <c:v>17.157654320987653</c:v>
                </c:pt>
                <c:pt idx="28">
                  <c:v>17.157654320987653</c:v>
                </c:pt>
                <c:pt idx="29">
                  <c:v>17.146296296296295</c:v>
                </c:pt>
                <c:pt idx="30">
                  <c:v>17.138765432098765</c:v>
                </c:pt>
                <c:pt idx="31">
                  <c:v>17.127530864197528</c:v>
                </c:pt>
                <c:pt idx="32">
                  <c:v>17.11617283950617</c:v>
                </c:pt>
                <c:pt idx="33">
                  <c:v>17.12</c:v>
                </c:pt>
                <c:pt idx="34">
                  <c:v>17.138765432098765</c:v>
                </c:pt>
                <c:pt idx="35">
                  <c:v>17.142592592592592</c:v>
                </c:pt>
                <c:pt idx="36">
                  <c:v>17.142592592592592</c:v>
                </c:pt>
                <c:pt idx="37">
                  <c:v>17.138765432098765</c:v>
                </c:pt>
                <c:pt idx="38">
                  <c:v>17.135061728395058</c:v>
                </c:pt>
                <c:pt idx="39">
                  <c:v>17.127530864197528</c:v>
                </c:pt>
                <c:pt idx="40">
                  <c:v>17.123703703703701</c:v>
                </c:pt>
                <c:pt idx="41">
                  <c:v>17.127530864197528</c:v>
                </c:pt>
                <c:pt idx="42">
                  <c:v>17.127530864197528</c:v>
                </c:pt>
                <c:pt idx="43">
                  <c:v>17.138765432098765</c:v>
                </c:pt>
                <c:pt idx="44">
                  <c:v>17.138765432098765</c:v>
                </c:pt>
                <c:pt idx="45">
                  <c:v>17.138765432098765</c:v>
                </c:pt>
                <c:pt idx="46">
                  <c:v>17.135061728395058</c:v>
                </c:pt>
                <c:pt idx="47">
                  <c:v>17.127530864197528</c:v>
                </c:pt>
                <c:pt idx="48">
                  <c:v>17.127530864197528</c:v>
                </c:pt>
                <c:pt idx="49">
                  <c:v>17.12</c:v>
                </c:pt>
                <c:pt idx="50">
                  <c:v>17.112469135802467</c:v>
                </c:pt>
                <c:pt idx="51">
                  <c:v>17.10864197530864</c:v>
                </c:pt>
                <c:pt idx="52">
                  <c:v>17.10864197530864</c:v>
                </c:pt>
                <c:pt idx="53">
                  <c:v>17.101111111111113</c:v>
                </c:pt>
                <c:pt idx="54">
                  <c:v>17.09740740740741</c:v>
                </c:pt>
                <c:pt idx="55">
                  <c:v>17.101111111111113</c:v>
                </c:pt>
                <c:pt idx="56">
                  <c:v>17.089876543209876</c:v>
                </c:pt>
                <c:pt idx="57">
                  <c:v>17.078518518518518</c:v>
                </c:pt>
                <c:pt idx="58">
                  <c:v>17.070987654320987</c:v>
                </c:pt>
                <c:pt idx="59">
                  <c:v>17.086049382716048</c:v>
                </c:pt>
                <c:pt idx="60">
                  <c:v>17.101111111111113</c:v>
                </c:pt>
                <c:pt idx="61">
                  <c:v>17.101111111111113</c:v>
                </c:pt>
                <c:pt idx="62">
                  <c:v>17.101111111111113</c:v>
                </c:pt>
                <c:pt idx="63">
                  <c:v>17.09740740740741</c:v>
                </c:pt>
                <c:pt idx="64">
                  <c:v>17.101111111111113</c:v>
                </c:pt>
                <c:pt idx="65">
                  <c:v>17.09740740740741</c:v>
                </c:pt>
                <c:pt idx="66">
                  <c:v>17.09740740740741</c:v>
                </c:pt>
                <c:pt idx="67">
                  <c:v>17.09740740740741</c:v>
                </c:pt>
                <c:pt idx="68">
                  <c:v>17.093580246913579</c:v>
                </c:pt>
                <c:pt idx="69">
                  <c:v>17.093580246913579</c:v>
                </c:pt>
                <c:pt idx="70">
                  <c:v>17.09740740740741</c:v>
                </c:pt>
                <c:pt idx="71">
                  <c:v>17.093580246913579</c:v>
                </c:pt>
                <c:pt idx="72">
                  <c:v>17.09740740740741</c:v>
                </c:pt>
                <c:pt idx="73">
                  <c:v>17.089876543209876</c:v>
                </c:pt>
                <c:pt idx="74">
                  <c:v>17.093580246913579</c:v>
                </c:pt>
                <c:pt idx="75">
                  <c:v>17.093580246913579</c:v>
                </c:pt>
                <c:pt idx="76">
                  <c:v>17.093580246913579</c:v>
                </c:pt>
                <c:pt idx="77">
                  <c:v>17.089876543209876</c:v>
                </c:pt>
                <c:pt idx="78">
                  <c:v>17.086049382716048</c:v>
                </c:pt>
                <c:pt idx="79">
                  <c:v>17.082345679012345</c:v>
                </c:pt>
                <c:pt idx="80">
                  <c:v>17.070987654320987</c:v>
                </c:pt>
                <c:pt idx="81">
                  <c:v>17.074814814814815</c:v>
                </c:pt>
                <c:pt idx="82">
                  <c:v>17.082345679012345</c:v>
                </c:pt>
                <c:pt idx="83">
                  <c:v>17.089876543209876</c:v>
                </c:pt>
                <c:pt idx="84">
                  <c:v>17.093580246913579</c:v>
                </c:pt>
                <c:pt idx="85">
                  <c:v>17.086049382716048</c:v>
                </c:pt>
                <c:pt idx="86">
                  <c:v>17.086049382716048</c:v>
                </c:pt>
                <c:pt idx="87">
                  <c:v>17.078518518518518</c:v>
                </c:pt>
                <c:pt idx="88">
                  <c:v>17.074814814814815</c:v>
                </c:pt>
                <c:pt idx="89">
                  <c:v>17.074814814814815</c:v>
                </c:pt>
                <c:pt idx="90">
                  <c:v>17.070987654320987</c:v>
                </c:pt>
                <c:pt idx="91">
                  <c:v>17.05975308641975</c:v>
                </c:pt>
                <c:pt idx="92">
                  <c:v>17.048395061728392</c:v>
                </c:pt>
                <c:pt idx="93">
                  <c:v>17.044691358024689</c:v>
                </c:pt>
                <c:pt idx="94">
                  <c:v>17.037037037037035</c:v>
                </c:pt>
                <c:pt idx="95">
                  <c:v>17.037037037037035</c:v>
                </c:pt>
                <c:pt idx="96">
                  <c:v>17.044691358024689</c:v>
                </c:pt>
                <c:pt idx="97">
                  <c:v>17.037037037037035</c:v>
                </c:pt>
                <c:pt idx="98">
                  <c:v>17.040864197530862</c:v>
                </c:pt>
                <c:pt idx="99">
                  <c:v>17.033333333333331</c:v>
                </c:pt>
                <c:pt idx="100">
                  <c:v>17.033333333333331</c:v>
                </c:pt>
                <c:pt idx="101">
                  <c:v>17.040864197530862</c:v>
                </c:pt>
                <c:pt idx="102">
                  <c:v>17.044691358024689</c:v>
                </c:pt>
                <c:pt idx="103">
                  <c:v>17.044691358024689</c:v>
                </c:pt>
                <c:pt idx="104">
                  <c:v>17.037037037037035</c:v>
                </c:pt>
                <c:pt idx="105">
                  <c:v>17.029506172839504</c:v>
                </c:pt>
                <c:pt idx="106">
                  <c:v>17.029506172839504</c:v>
                </c:pt>
                <c:pt idx="107">
                  <c:v>17.037037037037035</c:v>
                </c:pt>
                <c:pt idx="108">
                  <c:v>17.040864197530862</c:v>
                </c:pt>
                <c:pt idx="109">
                  <c:v>17.037037037037035</c:v>
                </c:pt>
                <c:pt idx="110">
                  <c:v>17.029506172839504</c:v>
                </c:pt>
                <c:pt idx="111">
                  <c:v>17.029506172839504</c:v>
                </c:pt>
                <c:pt idx="112">
                  <c:v>17.025802469135801</c:v>
                </c:pt>
                <c:pt idx="113">
                  <c:v>17.037037037037035</c:v>
                </c:pt>
                <c:pt idx="114">
                  <c:v>17.052222222222223</c:v>
                </c:pt>
                <c:pt idx="115">
                  <c:v>17.067283950617281</c:v>
                </c:pt>
                <c:pt idx="116">
                  <c:v>17.067283950617281</c:v>
                </c:pt>
                <c:pt idx="117">
                  <c:v>17.063456790123453</c:v>
                </c:pt>
                <c:pt idx="118">
                  <c:v>17.044691358024689</c:v>
                </c:pt>
                <c:pt idx="119">
                  <c:v>17.029506172839504</c:v>
                </c:pt>
                <c:pt idx="120">
                  <c:v>17.021975308641974</c:v>
                </c:pt>
                <c:pt idx="121">
                  <c:v>17.01074074074074</c:v>
                </c:pt>
                <c:pt idx="122">
                  <c:v>17.006913580246916</c:v>
                </c:pt>
                <c:pt idx="123">
                  <c:v>16.999382716049382</c:v>
                </c:pt>
                <c:pt idx="124">
                  <c:v>16.995679012345676</c:v>
                </c:pt>
                <c:pt idx="125">
                  <c:v>16.999382716049382</c:v>
                </c:pt>
                <c:pt idx="126">
                  <c:v>16.991851851851852</c:v>
                </c:pt>
                <c:pt idx="127">
                  <c:v>16.991851851851852</c:v>
                </c:pt>
                <c:pt idx="128">
                  <c:v>16.999382716049382</c:v>
                </c:pt>
                <c:pt idx="129">
                  <c:v>16.999382716049382</c:v>
                </c:pt>
                <c:pt idx="130">
                  <c:v>16.999382716049382</c:v>
                </c:pt>
                <c:pt idx="131">
                  <c:v>16.995679012345676</c:v>
                </c:pt>
                <c:pt idx="132">
                  <c:v>16.995679012345676</c:v>
                </c:pt>
                <c:pt idx="133">
                  <c:v>16.980617283950615</c:v>
                </c:pt>
                <c:pt idx="134">
                  <c:v>16.980617283950615</c:v>
                </c:pt>
                <c:pt idx="135">
                  <c:v>16.984320987654321</c:v>
                </c:pt>
                <c:pt idx="136">
                  <c:v>16.991851851851852</c:v>
                </c:pt>
                <c:pt idx="137">
                  <c:v>17.00320987654321</c:v>
                </c:pt>
                <c:pt idx="138">
                  <c:v>16.999382716049382</c:v>
                </c:pt>
                <c:pt idx="139">
                  <c:v>16.999382716049382</c:v>
                </c:pt>
                <c:pt idx="140">
                  <c:v>16.999382716049382</c:v>
                </c:pt>
                <c:pt idx="141">
                  <c:v>17.006913580246916</c:v>
                </c:pt>
                <c:pt idx="142">
                  <c:v>16.995679012345676</c:v>
                </c:pt>
                <c:pt idx="143">
                  <c:v>16.973086419753084</c:v>
                </c:pt>
                <c:pt idx="144">
                  <c:v>16.965555555555554</c:v>
                </c:pt>
                <c:pt idx="145">
                  <c:v>16.946666666666665</c:v>
                </c:pt>
                <c:pt idx="146">
                  <c:v>16.946666666666665</c:v>
                </c:pt>
                <c:pt idx="147">
                  <c:v>16.946666666666665</c:v>
                </c:pt>
                <c:pt idx="148">
                  <c:v>16.961728395061726</c:v>
                </c:pt>
                <c:pt idx="149">
                  <c:v>16.965555555555554</c:v>
                </c:pt>
                <c:pt idx="150">
                  <c:v>16.965555555555554</c:v>
                </c:pt>
                <c:pt idx="151">
                  <c:v>16.965555555555554</c:v>
                </c:pt>
                <c:pt idx="152">
                  <c:v>16.958024691358023</c:v>
                </c:pt>
                <c:pt idx="153">
                  <c:v>16.950493827160493</c:v>
                </c:pt>
                <c:pt idx="154">
                  <c:v>16.946666666666665</c:v>
                </c:pt>
                <c:pt idx="155">
                  <c:v>16.942962962962962</c:v>
                </c:pt>
                <c:pt idx="156">
                  <c:v>16.935432098765432</c:v>
                </c:pt>
                <c:pt idx="157">
                  <c:v>16.924074074074074</c:v>
                </c:pt>
                <c:pt idx="158">
                  <c:v>16.920246913580247</c:v>
                </c:pt>
                <c:pt idx="159">
                  <c:v>16.916543209876544</c:v>
                </c:pt>
                <c:pt idx="160">
                  <c:v>16.927777777777777</c:v>
                </c:pt>
                <c:pt idx="161">
                  <c:v>16.924074074074074</c:v>
                </c:pt>
                <c:pt idx="162">
                  <c:v>16.920246913580247</c:v>
                </c:pt>
                <c:pt idx="163">
                  <c:v>16.912716049382716</c:v>
                </c:pt>
                <c:pt idx="164">
                  <c:v>16.905185185185186</c:v>
                </c:pt>
                <c:pt idx="165">
                  <c:v>16.897654320987655</c:v>
                </c:pt>
                <c:pt idx="166">
                  <c:v>16.905185185185186</c:v>
                </c:pt>
                <c:pt idx="167">
                  <c:v>16.905185185185186</c:v>
                </c:pt>
                <c:pt idx="168">
                  <c:v>16.916543209876544</c:v>
                </c:pt>
                <c:pt idx="169">
                  <c:v>16.916543209876544</c:v>
                </c:pt>
                <c:pt idx="170">
                  <c:v>16.90901234567901</c:v>
                </c:pt>
                <c:pt idx="171">
                  <c:v>16.916543209876544</c:v>
                </c:pt>
                <c:pt idx="172">
                  <c:v>16.916543209876544</c:v>
                </c:pt>
                <c:pt idx="173">
                  <c:v>16.920246913580247</c:v>
                </c:pt>
                <c:pt idx="174">
                  <c:v>16.905185185185186</c:v>
                </c:pt>
                <c:pt idx="175">
                  <c:v>16.901481481481479</c:v>
                </c:pt>
                <c:pt idx="176">
                  <c:v>16.901481481481479</c:v>
                </c:pt>
                <c:pt idx="177">
                  <c:v>16.916543209876544</c:v>
                </c:pt>
                <c:pt idx="178">
                  <c:v>16.916543209876544</c:v>
                </c:pt>
                <c:pt idx="179">
                  <c:v>16.905185185185186</c:v>
                </c:pt>
                <c:pt idx="180">
                  <c:v>16.897654320987655</c:v>
                </c:pt>
                <c:pt idx="181">
                  <c:v>16.897654320987655</c:v>
                </c:pt>
                <c:pt idx="182">
                  <c:v>16.890123456790121</c:v>
                </c:pt>
                <c:pt idx="183">
                  <c:v>16.890123456790121</c:v>
                </c:pt>
                <c:pt idx="184">
                  <c:v>16.897654320987655</c:v>
                </c:pt>
                <c:pt idx="185">
                  <c:v>16.897654320987655</c:v>
                </c:pt>
                <c:pt idx="186">
                  <c:v>16.901481481481479</c:v>
                </c:pt>
                <c:pt idx="187">
                  <c:v>16.905185185185186</c:v>
                </c:pt>
                <c:pt idx="188">
                  <c:v>16.897654320987655</c:v>
                </c:pt>
                <c:pt idx="189">
                  <c:v>16.882592592592591</c:v>
                </c:pt>
                <c:pt idx="190">
                  <c:v>16.87506172839506</c:v>
                </c:pt>
                <c:pt idx="191">
                  <c:v>16.878888888888888</c:v>
                </c:pt>
                <c:pt idx="192">
                  <c:v>16.886419753086418</c:v>
                </c:pt>
                <c:pt idx="193">
                  <c:v>16.878888888888888</c:v>
                </c:pt>
                <c:pt idx="194">
                  <c:v>16.86753086419753</c:v>
                </c:pt>
                <c:pt idx="195">
                  <c:v>16.863827160493827</c:v>
                </c:pt>
                <c:pt idx="196">
                  <c:v>16.86753086419753</c:v>
                </c:pt>
                <c:pt idx="197">
                  <c:v>16.87506172839506</c:v>
                </c:pt>
                <c:pt idx="198">
                  <c:v>16.882592592592591</c:v>
                </c:pt>
                <c:pt idx="199">
                  <c:v>16.886419753086418</c:v>
                </c:pt>
                <c:pt idx="200">
                  <c:v>16.86753086419753</c:v>
                </c:pt>
                <c:pt idx="201">
                  <c:v>16.86753086419753</c:v>
                </c:pt>
                <c:pt idx="202">
                  <c:v>16.86</c:v>
                </c:pt>
                <c:pt idx="203">
                  <c:v>16.848765432098766</c:v>
                </c:pt>
                <c:pt idx="204">
                  <c:v>16.837407407407408</c:v>
                </c:pt>
                <c:pt idx="205">
                  <c:v>16.822345679012344</c:v>
                </c:pt>
                <c:pt idx="206">
                  <c:v>16.814814814814813</c:v>
                </c:pt>
                <c:pt idx="207">
                  <c:v>16.814814814814813</c:v>
                </c:pt>
                <c:pt idx="208">
                  <c:v>16.822345679012344</c:v>
                </c:pt>
                <c:pt idx="209">
                  <c:v>16.826172839506171</c:v>
                </c:pt>
                <c:pt idx="210">
                  <c:v>16.826172839506171</c:v>
                </c:pt>
                <c:pt idx="211">
                  <c:v>16.810987654320986</c:v>
                </c:pt>
                <c:pt idx="212">
                  <c:v>16.792222222222222</c:v>
                </c:pt>
                <c:pt idx="213">
                  <c:v>16.784691358024691</c:v>
                </c:pt>
                <c:pt idx="214">
                  <c:v>16.76962962962963</c:v>
                </c:pt>
                <c:pt idx="215">
                  <c:v>16.758271604938273</c:v>
                </c:pt>
                <c:pt idx="216">
                  <c:v>16.76962962962963</c:v>
                </c:pt>
                <c:pt idx="217">
                  <c:v>16.784691358024691</c:v>
                </c:pt>
                <c:pt idx="218">
                  <c:v>16.792222222222222</c:v>
                </c:pt>
                <c:pt idx="219">
                  <c:v>16.784691358024691</c:v>
                </c:pt>
                <c:pt idx="220">
                  <c:v>16.777160493827161</c:v>
                </c:pt>
                <c:pt idx="221">
                  <c:v>16.780864197530864</c:v>
                </c:pt>
                <c:pt idx="222">
                  <c:v>16.780864197530864</c:v>
                </c:pt>
                <c:pt idx="223">
                  <c:v>16.788395061728394</c:v>
                </c:pt>
                <c:pt idx="224">
                  <c:v>16.792222222222222</c:v>
                </c:pt>
                <c:pt idx="225">
                  <c:v>16.807283950617283</c:v>
                </c:pt>
                <c:pt idx="226">
                  <c:v>16.822345679012344</c:v>
                </c:pt>
                <c:pt idx="227">
                  <c:v>16.814814814814813</c:v>
                </c:pt>
                <c:pt idx="228">
                  <c:v>16.799753086419752</c:v>
                </c:pt>
                <c:pt idx="229">
                  <c:v>16.77333333333333</c:v>
                </c:pt>
                <c:pt idx="230">
                  <c:v>16.754567901234566</c:v>
                </c:pt>
                <c:pt idx="231">
                  <c:v>16.743209876543208</c:v>
                </c:pt>
                <c:pt idx="232">
                  <c:v>16.735679012345678</c:v>
                </c:pt>
                <c:pt idx="233">
                  <c:v>16.731975308641974</c:v>
                </c:pt>
                <c:pt idx="234">
                  <c:v>16.720617283950617</c:v>
                </c:pt>
                <c:pt idx="235">
                  <c:v>16.728148148148147</c:v>
                </c:pt>
                <c:pt idx="236">
                  <c:v>16.72444444444444</c:v>
                </c:pt>
                <c:pt idx="237">
                  <c:v>16.720617283950617</c:v>
                </c:pt>
                <c:pt idx="238">
                  <c:v>16.720617283950617</c:v>
                </c:pt>
                <c:pt idx="239">
                  <c:v>16.705555555555552</c:v>
                </c:pt>
                <c:pt idx="240">
                  <c:v>16.698024691358025</c:v>
                </c:pt>
                <c:pt idx="241">
                  <c:v>16.694197530864194</c:v>
                </c:pt>
                <c:pt idx="242">
                  <c:v>16.694197530864194</c:v>
                </c:pt>
                <c:pt idx="243">
                  <c:v>16.701728395061725</c:v>
                </c:pt>
                <c:pt idx="244">
                  <c:v>16.705555555555552</c:v>
                </c:pt>
                <c:pt idx="245">
                  <c:v>16.705555555555552</c:v>
                </c:pt>
                <c:pt idx="246">
                  <c:v>16.690493827160495</c:v>
                </c:pt>
                <c:pt idx="247">
                  <c:v>16.690493827160495</c:v>
                </c:pt>
                <c:pt idx="248">
                  <c:v>16.690493827160495</c:v>
                </c:pt>
                <c:pt idx="249">
                  <c:v>16.682962962962961</c:v>
                </c:pt>
                <c:pt idx="250">
                  <c:v>16.667901234567903</c:v>
                </c:pt>
                <c:pt idx="251">
                  <c:v>16.652839506172839</c:v>
                </c:pt>
                <c:pt idx="252">
                  <c:v>16.637777777777774</c:v>
                </c:pt>
                <c:pt idx="253">
                  <c:v>16.615185185185183</c:v>
                </c:pt>
                <c:pt idx="254">
                  <c:v>16.603827160493829</c:v>
                </c:pt>
                <c:pt idx="255">
                  <c:v>16.607530864197528</c:v>
                </c:pt>
                <c:pt idx="256">
                  <c:v>16.611358024691356</c:v>
                </c:pt>
                <c:pt idx="257">
                  <c:v>16.596296296296295</c:v>
                </c:pt>
                <c:pt idx="258">
                  <c:v>16.584938271604937</c:v>
                </c:pt>
                <c:pt idx="259">
                  <c:v>16.584938271604937</c:v>
                </c:pt>
                <c:pt idx="260">
                  <c:v>16.569876543209876</c:v>
                </c:pt>
                <c:pt idx="261">
                  <c:v>16.551111111111108</c:v>
                </c:pt>
                <c:pt idx="262">
                  <c:v>16.543580246913578</c:v>
                </c:pt>
                <c:pt idx="263">
                  <c:v>16.52469135802469</c:v>
                </c:pt>
                <c:pt idx="264">
                  <c:v>16.52469135802469</c:v>
                </c:pt>
                <c:pt idx="265">
                  <c:v>16.52469135802469</c:v>
                </c:pt>
                <c:pt idx="266">
                  <c:v>16.52469135802469</c:v>
                </c:pt>
                <c:pt idx="267">
                  <c:v>16.513456790123456</c:v>
                </c:pt>
                <c:pt idx="268">
                  <c:v>16.498271604938271</c:v>
                </c:pt>
                <c:pt idx="269">
                  <c:v>16.483209876543206</c:v>
                </c:pt>
                <c:pt idx="270">
                  <c:v>16.456913580246912</c:v>
                </c:pt>
                <c:pt idx="271">
                  <c:v>16.430493827160493</c:v>
                </c:pt>
                <c:pt idx="272">
                  <c:v>16.411728395061726</c:v>
                </c:pt>
                <c:pt idx="273">
                  <c:v>16.415432098765429</c:v>
                </c:pt>
                <c:pt idx="274">
                  <c:v>16.411728395061726</c:v>
                </c:pt>
                <c:pt idx="275">
                  <c:v>16.400370370370371</c:v>
                </c:pt>
                <c:pt idx="276">
                  <c:v>16.396666666666665</c:v>
                </c:pt>
                <c:pt idx="277">
                  <c:v>16.373950617283949</c:v>
                </c:pt>
                <c:pt idx="278">
                  <c:v>16.355185185185185</c:v>
                </c:pt>
                <c:pt idx="279">
                  <c:v>16.351358024691358</c:v>
                </c:pt>
                <c:pt idx="280">
                  <c:v>16.336296296296297</c:v>
                </c:pt>
                <c:pt idx="281">
                  <c:v>16.328765432098766</c:v>
                </c:pt>
                <c:pt idx="282">
                  <c:v>16.313703703703702</c:v>
                </c:pt>
                <c:pt idx="283">
                  <c:v>16.287283950617283</c:v>
                </c:pt>
                <c:pt idx="284">
                  <c:v>16.268518518518519</c:v>
                </c:pt>
                <c:pt idx="285">
                  <c:v>16.257160493827158</c:v>
                </c:pt>
                <c:pt idx="286">
                  <c:v>16.238395061728394</c:v>
                </c:pt>
                <c:pt idx="287">
                  <c:v>16.230864197530863</c:v>
                </c:pt>
                <c:pt idx="288">
                  <c:v>16.208271604938268</c:v>
                </c:pt>
                <c:pt idx="289">
                  <c:v>16.18938271604938</c:v>
                </c:pt>
                <c:pt idx="290">
                  <c:v>16.162962962962961</c:v>
                </c:pt>
                <c:pt idx="291">
                  <c:v>16.136666666666663</c:v>
                </c:pt>
                <c:pt idx="292">
                  <c:v>16.114074074074072</c:v>
                </c:pt>
                <c:pt idx="293">
                  <c:v>16.087654320987653</c:v>
                </c:pt>
                <c:pt idx="294">
                  <c:v>16.080123456790126</c:v>
                </c:pt>
                <c:pt idx="295">
                  <c:v>16.068765432098765</c:v>
                </c:pt>
                <c:pt idx="296">
                  <c:v>16.049999999999997</c:v>
                </c:pt>
                <c:pt idx="297">
                  <c:v>16.04617283950617</c:v>
                </c:pt>
                <c:pt idx="298">
                  <c:v>16.042469135802467</c:v>
                </c:pt>
                <c:pt idx="299">
                  <c:v>16.027407407407406</c:v>
                </c:pt>
                <c:pt idx="300">
                  <c:v>15.997283950617284</c:v>
                </c:pt>
                <c:pt idx="301">
                  <c:v>15.970864197530865</c:v>
                </c:pt>
                <c:pt idx="302">
                  <c:v>15.944444444444441</c:v>
                </c:pt>
                <c:pt idx="303">
                  <c:v>15.903086419753087</c:v>
                </c:pt>
                <c:pt idx="304">
                  <c:v>15.869135802469136</c:v>
                </c:pt>
                <c:pt idx="305">
                  <c:v>15.846543209876542</c:v>
                </c:pt>
                <c:pt idx="306">
                  <c:v>15.812592592592594</c:v>
                </c:pt>
                <c:pt idx="307">
                  <c:v>15.778765432098764</c:v>
                </c:pt>
                <c:pt idx="308">
                  <c:v>15.744814814814816</c:v>
                </c:pt>
                <c:pt idx="309">
                  <c:v>15.718395061728396</c:v>
                </c:pt>
                <c:pt idx="310">
                  <c:v>15.703333333333333</c:v>
                </c:pt>
                <c:pt idx="311">
                  <c:v>15.67320987654321</c:v>
                </c:pt>
                <c:pt idx="312">
                  <c:v>15.646913580246911</c:v>
                </c:pt>
                <c:pt idx="313">
                  <c:v>15.609135802469137</c:v>
                </c:pt>
                <c:pt idx="314">
                  <c:v>15.56395061728395</c:v>
                </c:pt>
                <c:pt idx="315">
                  <c:v>15.518765432098766</c:v>
                </c:pt>
                <c:pt idx="316">
                  <c:v>15.48111111111111</c:v>
                </c:pt>
                <c:pt idx="317">
                  <c:v>15.439629629629628</c:v>
                </c:pt>
                <c:pt idx="318">
                  <c:v>15.379382716049379</c:v>
                </c:pt>
                <c:pt idx="319">
                  <c:v>15.319012345679011</c:v>
                </c:pt>
                <c:pt idx="320">
                  <c:v>15.258765432098766</c:v>
                </c:pt>
                <c:pt idx="321">
                  <c:v>15.202222222222222</c:v>
                </c:pt>
                <c:pt idx="322">
                  <c:v>15.157037037037037</c:v>
                </c:pt>
                <c:pt idx="323">
                  <c:v>15.111851851851853</c:v>
                </c:pt>
                <c:pt idx="324">
                  <c:v>15.062839506172839</c:v>
                </c:pt>
                <c:pt idx="325">
                  <c:v>14.998765432098764</c:v>
                </c:pt>
                <c:pt idx="326">
                  <c:v>14.949876543209875</c:v>
                </c:pt>
                <c:pt idx="327">
                  <c:v>14.881975308641973</c:v>
                </c:pt>
                <c:pt idx="328">
                  <c:v>14.806666666666667</c:v>
                </c:pt>
                <c:pt idx="329">
                  <c:v>14.738888888888887</c:v>
                </c:pt>
                <c:pt idx="330">
                  <c:v>14.667283950617284</c:v>
                </c:pt>
                <c:pt idx="331">
                  <c:v>14.607037037037037</c:v>
                </c:pt>
                <c:pt idx="332">
                  <c:v>14.520370370370369</c:v>
                </c:pt>
                <c:pt idx="333">
                  <c:v>14.429876543209874</c:v>
                </c:pt>
                <c:pt idx="334">
                  <c:v>14.343209876543209</c:v>
                </c:pt>
                <c:pt idx="335">
                  <c:v>14.241481481481481</c:v>
                </c:pt>
                <c:pt idx="336">
                  <c:v>14.15111111111111</c:v>
                </c:pt>
                <c:pt idx="337">
                  <c:v>14.068271604938271</c:v>
                </c:pt>
                <c:pt idx="338">
                  <c:v>13.966543209876543</c:v>
                </c:pt>
                <c:pt idx="339">
                  <c:v>13.857283950617285</c:v>
                </c:pt>
                <c:pt idx="340">
                  <c:v>13.732962962962963</c:v>
                </c:pt>
                <c:pt idx="341">
                  <c:v>13.627407407407405</c:v>
                </c:pt>
                <c:pt idx="342">
                  <c:v>13.510617283950616</c:v>
                </c:pt>
                <c:pt idx="343">
                  <c:v>13.386296296296297</c:v>
                </c:pt>
                <c:pt idx="344">
                  <c:v>13.258148148148148</c:v>
                </c:pt>
                <c:pt idx="345">
                  <c:v>13.103703703703703</c:v>
                </c:pt>
                <c:pt idx="346">
                  <c:v>12.945432098765432</c:v>
                </c:pt>
                <c:pt idx="347">
                  <c:v>12.775925925925925</c:v>
                </c:pt>
                <c:pt idx="348">
                  <c:v>12.606419753086419</c:v>
                </c:pt>
                <c:pt idx="349">
                  <c:v>12.402962962962963</c:v>
                </c:pt>
                <c:pt idx="350">
                  <c:v>12.195728395061728</c:v>
                </c:pt>
                <c:pt idx="351">
                  <c:v>11.980975308641977</c:v>
                </c:pt>
                <c:pt idx="352">
                  <c:v>11.751148148148149</c:v>
                </c:pt>
                <c:pt idx="353">
                  <c:v>11.49495061728395</c:v>
                </c:pt>
                <c:pt idx="354">
                  <c:v>11.17848148148148</c:v>
                </c:pt>
                <c:pt idx="355">
                  <c:v>10.877061728395059</c:v>
                </c:pt>
                <c:pt idx="356">
                  <c:v>10.605802469135801</c:v>
                </c:pt>
                <c:pt idx="357">
                  <c:v>10.266716049382715</c:v>
                </c:pt>
                <c:pt idx="358">
                  <c:v>9.8937283950617285</c:v>
                </c:pt>
                <c:pt idx="359">
                  <c:v>9.5018888888888871</c:v>
                </c:pt>
                <c:pt idx="360">
                  <c:v>9.0234074074074062</c:v>
                </c:pt>
                <c:pt idx="361">
                  <c:v>8.4846419753086408</c:v>
                </c:pt>
                <c:pt idx="362">
                  <c:v>8.077740740740742</c:v>
                </c:pt>
                <c:pt idx="363">
                  <c:v>7.425938271604938</c:v>
                </c:pt>
                <c:pt idx="364">
                  <c:v>6.7477777777777783</c:v>
                </c:pt>
                <c:pt idx="365">
                  <c:v>6.0756296296296295</c:v>
                </c:pt>
                <c:pt idx="366">
                  <c:v>5.2030617283950606</c:v>
                </c:pt>
                <c:pt idx="367">
                  <c:v>4.2555061728395058</c:v>
                </c:pt>
                <c:pt idx="368">
                  <c:v>3.1489629629629627</c:v>
                </c:pt>
                <c:pt idx="369">
                  <c:v>2.0846172839506174</c:v>
                </c:pt>
                <c:pt idx="370">
                  <c:v>0.55911234567901225</c:v>
                </c:pt>
                <c:pt idx="371">
                  <c:v>-1.1234987654320987</c:v>
                </c:pt>
                <c:pt idx="372">
                  <c:v>-3.1338888888888885</c:v>
                </c:pt>
                <c:pt idx="373">
                  <c:v>-5.3515061728395068</c:v>
                </c:pt>
                <c:pt idx="374">
                  <c:v>-7.9534074074074077</c:v>
                </c:pt>
                <c:pt idx="375">
                  <c:v>-11.363086419753087</c:v>
                </c:pt>
                <c:pt idx="376">
                  <c:v>-15.92185185185185</c:v>
                </c:pt>
                <c:pt idx="377">
                  <c:v>-21.158888888888885</c:v>
                </c:pt>
                <c:pt idx="378">
                  <c:v>-28.317283950617281</c:v>
                </c:pt>
                <c:pt idx="379">
                  <c:v>-36.538148148148146</c:v>
                </c:pt>
                <c:pt idx="380">
                  <c:v>-46.906666666666659</c:v>
                </c:pt>
                <c:pt idx="381">
                  <c:v>-59.727777777777774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03D0-4F65-A235-9162CC21C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657984"/>
        <c:axId val="95659520"/>
      </c:scatterChart>
      <c:valAx>
        <c:axId val="95657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59520"/>
        <c:crosses val="autoZero"/>
        <c:crossBetween val="midCat"/>
      </c:valAx>
      <c:valAx>
        <c:axId val="9565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657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476250</xdr:colOff>
      <xdr:row>12</xdr:row>
      <xdr:rowOff>127635</xdr:rowOff>
    </xdr:from>
    <xdr:to>
      <xdr:col>19</xdr:col>
      <xdr:colOff>171450</xdr:colOff>
      <xdr:row>27</xdr:row>
      <xdr:rowOff>127635</xdr:rowOff>
    </xdr:to>
    <xdr:graphicFrame macro="">
      <xdr:nvGraphicFramePr>
        <xdr:cNvPr id="11" name="图表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28575</xdr:colOff>
      <xdr:row>12</xdr:row>
      <xdr:rowOff>13335</xdr:rowOff>
    </xdr:from>
    <xdr:to>
      <xdr:col>35</xdr:col>
      <xdr:colOff>333375</xdr:colOff>
      <xdr:row>27</xdr:row>
      <xdr:rowOff>13335</xdr:rowOff>
    </xdr:to>
    <xdr:graphicFrame macro="">
      <xdr:nvGraphicFramePr>
        <xdr:cNvPr id="12" name="图表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44</xdr:col>
      <xdr:colOff>581025</xdr:colOff>
      <xdr:row>12</xdr:row>
      <xdr:rowOff>51435</xdr:rowOff>
    </xdr:from>
    <xdr:to>
      <xdr:col>52</xdr:col>
      <xdr:colOff>276225</xdr:colOff>
      <xdr:row>27</xdr:row>
      <xdr:rowOff>51435</xdr:rowOff>
    </xdr:to>
    <xdr:graphicFrame macro="">
      <xdr:nvGraphicFramePr>
        <xdr:cNvPr id="13" name="图表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-0.1234567901234568</v>
      </c>
      <c r="L3" s="27" t="s">
        <v>16</v>
      </c>
      <c r="M3" s="11">
        <f>M9</f>
        <v>-0.14998765432098768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4.1059382716049377</v>
      </c>
      <c r="T3" s="29" t="s">
        <v>16</v>
      </c>
      <c r="U3" s="11">
        <f>U9</f>
        <v>-0.38969336957654316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-4.5501358024691356</v>
      </c>
      <c r="AD3" s="29" t="s">
        <v>16</v>
      </c>
      <c r="AE3" s="11">
        <f>AE9</f>
        <v>-5.5279599864197531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4.0829506172839505</v>
      </c>
      <c r="AL3" s="29" t="s">
        <v>16</v>
      </c>
      <c r="AM3" s="11">
        <f>AM9</f>
        <v>-0.38751161820123453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-4.456691358024691</v>
      </c>
      <c r="AV3" s="29" t="s">
        <v>16</v>
      </c>
      <c r="AW3" s="11">
        <f>AW9</f>
        <v>-5.4144343308641973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4.0667530864197525</v>
      </c>
      <c r="BD3" s="29" t="s">
        <v>16</v>
      </c>
      <c r="BE3" s="11">
        <f>BE9</f>
        <v>-0.38597431540617277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9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9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9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9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9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9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-0.1234567901234568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4.1059382716049377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-4.5501358024691356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4.0829506172839505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-4.456691358024691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4.0667530864197525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-0.1234567901234568</v>
      </c>
      <c r="M6" s="8" t="s">
        <v>22</v>
      </c>
      <c r="N6" s="9"/>
      <c r="O6" s="2"/>
      <c r="P6" s="2"/>
      <c r="Q6" s="36" t="e">
        <f>(Q3-Q4)/(S3-S4)*(-S4)+Q4</f>
        <v>#N/A</v>
      </c>
      <c r="R6" s="36"/>
      <c r="S6" s="13">
        <f>INDEX(S11:S1056,MATCH(T6,T11:T1056,0))</f>
        <v>-9.5642099999999994E-2</v>
      </c>
      <c r="T6" s="10">
        <f>INDEX(T11:T1056,MATCH(0,S11:S1056,1))</f>
        <v>4.1059382716049377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-4.5501358024691356</v>
      </c>
      <c r="AE6" s="8" t="s">
        <v>22</v>
      </c>
      <c r="AF6" s="9"/>
      <c r="AG6" s="2"/>
      <c r="AH6" s="2"/>
      <c r="AI6" s="36" t="e">
        <f>(AI3-AI4)/(AK3-AK4)*(-AK4)+AI4</f>
        <v>#N/A</v>
      </c>
      <c r="AJ6" s="36"/>
      <c r="AK6" s="13">
        <f>INDEX(AK11:AK1056,MATCH(AL6,AL11:AL1056,0))</f>
        <v>-9.5245399999999994E-2</v>
      </c>
      <c r="AL6" s="10">
        <f>INDEX(AL11:AL1056,MATCH(0,AK11:AK1056,1))</f>
        <v>4.0829506172839505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-4.456691358024691</v>
      </c>
      <c r="AW6" s="8" t="s">
        <v>22</v>
      </c>
      <c r="AX6" s="9"/>
      <c r="AY6" s="2"/>
      <c r="AZ6" s="2"/>
      <c r="BA6" s="36" t="e">
        <f>(BA3-BA4)/(BC3-BC4)*(-BC4)+BA4</f>
        <v>#N/A</v>
      </c>
      <c r="BB6" s="36"/>
      <c r="BC6" s="13">
        <f>INDEX(BC11:BC1056,MATCH(BD6,BD11:BD1056,0))</f>
        <v>-9.5977800000000002E-2</v>
      </c>
      <c r="BD6" s="10">
        <f>INDEX(BD11:BD1056,MATCH(0,BC11:BC1056,1))</f>
        <v>4.0667530864197525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-0.14998765432098768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-0.38969336957654316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-5.5279599864197531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-0.38751161820123453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-5.4144343308641973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-0.38597431540617277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-0.1234567901234568</v>
      </c>
      <c r="M11">
        <f>L11*G11</f>
        <v>-0.14998765432098768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4.1059382716049377</v>
      </c>
      <c r="U11">
        <f>T11*O11</f>
        <v>-0.38969336957654316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-4.5501358024691356</v>
      </c>
      <c r="AE11">
        <f>AD11*Y11</f>
        <v>-5.5279599864197531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4.0829506172839505</v>
      </c>
      <c r="AM11">
        <f>AL11*AG11</f>
        <v>-0.38751161820123453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-4.456691358024691</v>
      </c>
      <c r="AW11">
        <f>AV11*AQ11</f>
        <v>-5.4144343308641973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4.0667530864197525</v>
      </c>
      <c r="BE11">
        <f>BD11*AY11</f>
        <v>-0.38597431540617277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activeCell="BD11" sqref="BD1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1321.282451612833</v>
      </c>
      <c r="H2" s="2"/>
      <c r="I2" s="6" t="s">
        <v>12</v>
      </c>
      <c r="J2" s="2"/>
      <c r="K2" s="7" t="s">
        <v>13</v>
      </c>
      <c r="L2" s="3">
        <f>L4*I6*L9/100*100</f>
        <v>23.571096388888886</v>
      </c>
      <c r="M2" s="8" t="s">
        <v>14</v>
      </c>
      <c r="N2" s="9"/>
      <c r="O2" s="2">
        <f>ABS(S7-S6)/ABS(T7-T6)*1000</f>
        <v>2013.6042295083043</v>
      </c>
      <c r="P2" s="2"/>
      <c r="Q2" s="6" t="s">
        <v>15</v>
      </c>
      <c r="R2" s="2"/>
      <c r="S2" s="7" t="s">
        <v>13</v>
      </c>
      <c r="T2" s="3">
        <f>T4*Q6*T9/100*100</f>
        <v>22.707434444444441</v>
      </c>
      <c r="U2" s="8" t="s">
        <v>14</v>
      </c>
      <c r="X2" s="9"/>
      <c r="Y2" s="2">
        <f>ABS(AC7-AC6)/ABS(AD7-AD6)*1000</f>
        <v>4956.6143076911849</v>
      </c>
      <c r="Z2" s="2"/>
      <c r="AA2" s="6" t="s">
        <v>12</v>
      </c>
      <c r="AB2" s="2"/>
      <c r="AC2" s="7" t="s">
        <v>13</v>
      </c>
      <c r="AD2" s="3">
        <f>AD4*AA6*AD9/100*100</f>
        <v>23.757184158024689</v>
      </c>
      <c r="AE2" s="8" t="s">
        <v>14</v>
      </c>
      <c r="AF2" s="9"/>
      <c r="AG2" s="2">
        <f>ABS(AK7-AK6)/ABS(AL7-AL6)*1000</f>
        <v>12286.28357999022</v>
      </c>
      <c r="AH2" s="2"/>
      <c r="AI2" s="6" t="s">
        <v>15</v>
      </c>
      <c r="AJ2" s="2"/>
      <c r="AK2" s="7" t="s">
        <v>13</v>
      </c>
      <c r="AL2" s="3">
        <f>AL4*AI6*AL9/100*100</f>
        <v>22.819871666666668</v>
      </c>
      <c r="AM2" s="8" t="s">
        <v>14</v>
      </c>
      <c r="AP2" s="9"/>
      <c r="AQ2" s="2">
        <f>ABS(AU7-AU6)/ABS(AV7-AV6)*1000</f>
        <v>12069.47404918097</v>
      </c>
      <c r="AR2" s="2"/>
      <c r="AS2" s="6" t="s">
        <v>12</v>
      </c>
      <c r="AT2" s="2"/>
      <c r="AU2" s="7" t="s">
        <v>13</v>
      </c>
      <c r="AV2" s="3">
        <f>AV4*AS6*AV9/100*100</f>
        <v>23.858809788888884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1.78894</v>
      </c>
      <c r="J3" s="2"/>
      <c r="K3" s="10">
        <f>INDEX(L11:L1056,MATCH(I3,K11:K1056,0))</f>
        <v>-0.88199629629629617</v>
      </c>
      <c r="L3" s="31" t="s">
        <v>16</v>
      </c>
      <c r="M3" s="11">
        <f>M9</f>
        <v>23.571096388888886</v>
      </c>
      <c r="N3" s="9"/>
      <c r="O3" s="2" t="s">
        <v>44</v>
      </c>
      <c r="P3" s="2"/>
      <c r="Q3" s="2">
        <f>INDEX(S11:S1056,MATCH(0,T11:T1056,-1))</f>
        <v>1.7672699999999999</v>
      </c>
      <c r="R3" s="2"/>
      <c r="S3" s="10">
        <f>INDEX(T11:T1056,MATCH(Q3,S11:S1056,0))</f>
        <v>0.87106913580246914</v>
      </c>
      <c r="T3" s="31" t="s">
        <v>16</v>
      </c>
      <c r="U3" s="11">
        <f>U9</f>
        <v>22.707434444444441</v>
      </c>
      <c r="X3" s="9"/>
      <c r="Y3" s="2" t="s">
        <v>44</v>
      </c>
      <c r="Z3" s="2"/>
      <c r="AA3" s="2">
        <f>INDEX(AC11:AC856,MATCH(0,AD11:AD856,1))</f>
        <v>1.78345</v>
      </c>
      <c r="AB3" s="2"/>
      <c r="AC3" s="10">
        <f>INDEX(AD11:AD1056,MATCH(AA3,AC11:AC1056,0))</f>
        <v>-1.8058148148148148</v>
      </c>
      <c r="AD3" s="31" t="s">
        <v>16</v>
      </c>
      <c r="AE3" s="11">
        <f>AE9</f>
        <v>23.757184158024689</v>
      </c>
      <c r="AF3" s="9"/>
      <c r="AG3" s="2" t="s">
        <v>44</v>
      </c>
      <c r="AH3" s="2"/>
      <c r="AI3" s="2">
        <f>INDEX(AK11:AK1056,MATCH(0,AL11:AL1056,-1))</f>
        <v>1.7669699999999999</v>
      </c>
      <c r="AJ3" s="2"/>
      <c r="AK3" s="10">
        <f>INDEX(AL11:AL1056,MATCH(AI3,AK11:AK1056,0))</f>
        <v>0.40173950617283943</v>
      </c>
      <c r="AL3" s="31" t="s">
        <v>16</v>
      </c>
      <c r="AM3" s="11">
        <f>AM9</f>
        <v>22.819871666666664</v>
      </c>
      <c r="AP3" s="9"/>
      <c r="AQ3" s="2" t="s">
        <v>44</v>
      </c>
      <c r="AR3" s="2"/>
      <c r="AS3" s="2">
        <f>INDEX(AU11:AU856,MATCH(0,AV11:AV856,1))</f>
        <v>1.77948</v>
      </c>
      <c r="AT3" s="2"/>
      <c r="AU3" s="10">
        <f>INDEX(AV11:AV1056,MATCH(AS3,AU11:AU1056,0))</f>
        <v>-0.37811604938271604</v>
      </c>
      <c r="AV3" s="31" t="s">
        <v>16</v>
      </c>
      <c r="AW3" s="11">
        <f>AW9</f>
        <v>23.858809788888884</v>
      </c>
      <c r="AX3" s="9"/>
      <c r="AY3" s="2" t="s">
        <v>44</v>
      </c>
      <c r="AZ3" s="2"/>
      <c r="BA3" s="2">
        <f>INDEX(BC11:BC1056,MATCH(0,BD11:BD1056,-1))</f>
        <v>1.7672699999999999</v>
      </c>
      <c r="BB3" s="2"/>
      <c r="BC3" s="10">
        <f>INDEX(BD11:BD1056,MATCH(BA3,BC11:BC1056,0))</f>
        <v>0.55911234567901225</v>
      </c>
      <c r="BD3" s="31" t="s">
        <v>16</v>
      </c>
      <c r="BE3" s="11">
        <f>BE9</f>
        <v>23.179670359259255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1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1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1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1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1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1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2.9419742566501865</v>
      </c>
      <c r="H4" s="2"/>
      <c r="I4" s="2">
        <f>INDEX(K11:K1000,1+MATCH(0,L11:L856,1))</f>
        <v>1.78345</v>
      </c>
      <c r="J4" s="2"/>
      <c r="K4" s="10">
        <f>INDEX(L11:L1056,MATCH(I4,K11:K1056,0))</f>
        <v>0.98409753086419738</v>
      </c>
      <c r="L4" s="30">
        <f>M3/(I6*L9)</f>
        <v>0.77254710900516665</v>
      </c>
      <c r="M4" s="8" t="s">
        <v>17</v>
      </c>
      <c r="N4" s="9"/>
      <c r="O4" s="2">
        <f>ABS(Q3-Q4)/ABS(S3-S4)*1000</f>
        <v>3.1602328785813221</v>
      </c>
      <c r="P4" s="2"/>
      <c r="Q4" s="2">
        <f>INDEX(S11:S856,1+MATCH(0,T11:T856,-1))</f>
        <v>1.77216</v>
      </c>
      <c r="R4" s="2"/>
      <c r="S4" s="10">
        <f>INDEX(T11:T856,MATCH(Q4,S11:S856,0))</f>
        <v>-0.6762851851851851</v>
      </c>
      <c r="T4" s="30">
        <f>U3/(Q6*T9)</f>
        <v>0.75326388904695651</v>
      </c>
      <c r="U4" s="8" t="s">
        <v>17</v>
      </c>
      <c r="X4" s="9"/>
      <c r="Y4" s="2">
        <f>ABS(AA3-AA4)/ABS(AC3-AC4)*1000</f>
        <v>2.3225995484773461</v>
      </c>
      <c r="Z4" s="2"/>
      <c r="AA4" s="2">
        <f>INDEX(AC11:AC1000,1+MATCH(0,AD11:AD856,1))</f>
        <v>1.77887</v>
      </c>
      <c r="AB4" s="2"/>
      <c r="AC4" s="10">
        <f>INDEX(AD11:AD1056,MATCH(AA4,AC11:AC1056,0))</f>
        <v>0.16611358024691358</v>
      </c>
      <c r="AD4" s="30">
        <f>AE3/(AA6*AD9)</f>
        <v>0.78080515297795883</v>
      </c>
      <c r="AE4" s="8" t="s">
        <v>17</v>
      </c>
      <c r="AF4" s="9"/>
      <c r="AG4" s="2">
        <f>ABS(AI3-AI4)/ABS(AK3-AK4)*1000</f>
        <v>3.3712618294377559</v>
      </c>
      <c r="AH4" s="2"/>
      <c r="AI4" s="2">
        <f>INDEX(AK11:AK856,1+MATCH(0,AL11:AL856,-1))</f>
        <v>1.7724599999999999</v>
      </c>
      <c r="AJ4" s="2"/>
      <c r="AK4" s="10">
        <f>INDEX(AL11:AL856,MATCH(AI4,AK11:AK856,0))</f>
        <v>-1.226730864197531</v>
      </c>
      <c r="AL4" s="30">
        <f>AM3/(AI6*AL9)</f>
        <v>0.75595111290767691</v>
      </c>
      <c r="AM4" s="8" t="s">
        <v>17</v>
      </c>
      <c r="AP4" s="9"/>
      <c r="AQ4" s="2">
        <f>ABS(AS3-AS4)/ABS(AU3-AU4)*1000</f>
        <v>2.9039798733657975</v>
      </c>
      <c r="AR4" s="2"/>
      <c r="AS4" s="2">
        <f>INDEX(AU11:AU1000,1+MATCH(0,AV11:AV856,1))</f>
        <v>1.7742899999999999</v>
      </c>
      <c r="AT4" s="2"/>
      <c r="AU4" s="10">
        <f>INDEX(AV11:AV1056,MATCH(AS4,AU11:AU1056,0))</f>
        <v>1.4090864197530861</v>
      </c>
      <c r="AV4" s="30">
        <f>AW3/(AS6*AV9)</f>
        <v>0.78159088449900171</v>
      </c>
      <c r="AW4" s="8" t="s">
        <v>17</v>
      </c>
      <c r="AX4" s="9"/>
      <c r="AY4" s="2">
        <f>ABS(BA3-BA4)/ABS(BC3-BC4)*1000</f>
        <v>2.9061973784132169</v>
      </c>
      <c r="AZ4" s="2"/>
      <c r="BA4" s="2">
        <f>INDEX(BC11:BC856,1+MATCH(0,BD11:BD856,-1))</f>
        <v>1.77216</v>
      </c>
      <c r="BB4" s="2"/>
      <c r="BC4" s="10">
        <f>INDEX(BD11:BD856,MATCH(BA4,BC11:BC856,0))</f>
        <v>-1.1234987654320987</v>
      </c>
      <c r="BD4" s="30" t="e">
        <f>BE3/(BA6*BD9)</f>
        <v>#DIV/0!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15.175925925925924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15.175925925925924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15.34543209876543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14.998765432098764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15.311481481481479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15.439629629629628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1.7863451896018354</v>
      </c>
      <c r="J6" s="30"/>
      <c r="K6" s="13">
        <f>INDEX(K11:K1056,MATCH(L6,L11:L1056,0))</f>
        <v>2.03857E-3</v>
      </c>
      <c r="L6" s="10">
        <f>INDEX(L11:L1056,MATCH(0,K11:K1056,-1))</f>
        <v>17.078518518518518</v>
      </c>
      <c r="M6" s="8" t="s">
        <v>22</v>
      </c>
      <c r="N6" s="9"/>
      <c r="O6" s="2"/>
      <c r="P6" s="2"/>
      <c r="Q6" s="36">
        <f>(Q3-Q4)/(S3-S4)*(-S4)+Q4</f>
        <v>1.7700227813224803</v>
      </c>
      <c r="R6" s="36"/>
      <c r="S6" s="13">
        <f>INDEX(S11:S1056,MATCH(T6,T11:T1056,0))</f>
        <v>-4.54712E-3</v>
      </c>
      <c r="T6" s="10">
        <f>INDEX(T11:T1056,MATCH(0,S11:S1056,1))</f>
        <v>17.033333333333331</v>
      </c>
      <c r="U6" s="8" t="s">
        <v>22</v>
      </c>
      <c r="X6" s="9"/>
      <c r="Y6" s="2"/>
      <c r="Z6" s="2"/>
      <c r="AA6" s="30">
        <f>(AA3-AA4)/(AC3-AC4)*(-AC4)+AA4</f>
        <v>1.7792558153264775</v>
      </c>
      <c r="AB6" s="30"/>
      <c r="AC6" s="13">
        <f>INDEX(AC11:AC1056,MATCH(AD6,AD11:AD1056,0))</f>
        <v>2.0355199999999999E-3</v>
      </c>
      <c r="AD6" s="10">
        <f>INDEX(AD11:AD1056,MATCH(0,AC11:AC1056,-1))</f>
        <v>17.101111111111113</v>
      </c>
      <c r="AE6" s="8" t="s">
        <v>22</v>
      </c>
      <c r="AF6" s="9"/>
      <c r="AG6" s="2"/>
      <c r="AH6" s="2"/>
      <c r="AI6" s="36">
        <f>(AI3-AI4)/(AK3-AK4)*(-AK4)+AI4</f>
        <v>1.7683243690625376</v>
      </c>
      <c r="AJ6" s="36"/>
      <c r="AK6" s="13">
        <f>INDEX(AK11:AK1056,MATCH(AL6,AL11:AL1056,0))</f>
        <v>-4.4976799999999997E-2</v>
      </c>
      <c r="AL6" s="10">
        <f>INDEX(AL11:AL1056,MATCH(0,AK11:AK1056,1))</f>
        <v>17.067283950617281</v>
      </c>
      <c r="AM6" s="8" t="s">
        <v>22</v>
      </c>
      <c r="AP6" s="9"/>
      <c r="AQ6" s="2"/>
      <c r="AR6" s="2"/>
      <c r="AS6" s="30">
        <f>(AS3-AS4)/(AU3-AU4)*(-AU4)+AS4</f>
        <v>1.778381958602796</v>
      </c>
      <c r="AT6" s="30"/>
      <c r="AU6" s="13">
        <f>INDEX(AU11:AU1056,MATCH(AV6,AV11:AV1056,0))</f>
        <v>2.02637E-3</v>
      </c>
      <c r="AV6" s="10">
        <f>INDEX(AV11:AV1056,MATCH(0,AU11:AU1056,-1))</f>
        <v>17.165185185185184</v>
      </c>
      <c r="AW6" s="8" t="s">
        <v>22</v>
      </c>
      <c r="AX6" s="9"/>
      <c r="AY6" s="2"/>
      <c r="AZ6" s="2"/>
      <c r="BA6" s="36">
        <f>(BA3-BA4)/(BC3-BC4)*(-BC4)+BA4</f>
        <v>1.7688948908332507</v>
      </c>
      <c r="BB6" s="36"/>
      <c r="BC6" s="13">
        <f>INDEX(BC11:BC1056,MATCH(BD6,BD11:BD1056,0))</f>
        <v>-4.5440699999999999E-3</v>
      </c>
      <c r="BD6" s="10">
        <f>INDEX(BD11:BD1056,MATCH(0,BC11:BC1056,1))</f>
        <v>17.150123456790123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-3.01819E-3</v>
      </c>
      <c r="L7" s="10">
        <f>INDEX(L11:L856,1+MATCH(0,K11:K856,-1))</f>
        <v>17.082345679012345</v>
      </c>
      <c r="M7" s="12">
        <f>INDEX(K11:K1056,MATCH(M9,M11:M1056,0))</f>
        <v>1.55243</v>
      </c>
      <c r="N7" s="9"/>
      <c r="O7" s="2"/>
      <c r="P7" s="2"/>
      <c r="Q7" s="2"/>
      <c r="R7" s="2"/>
      <c r="S7" s="13">
        <f>INDEX(S11:S1056,MATCH(T7,T11:T1056,0))</f>
        <v>-1.9711300000000001E-2</v>
      </c>
      <c r="T7" s="10">
        <f>INDEX(T11:T1056,1+MATCH(0,S11:S1056,1))</f>
        <v>17.040864197530862</v>
      </c>
      <c r="U7" s="12">
        <f>INDEX(S11:S1056,MATCH(U9,U11:U1056,0))</f>
        <v>1.4950600000000001</v>
      </c>
      <c r="X7" s="9"/>
      <c r="Y7" s="2"/>
      <c r="Z7" s="2"/>
      <c r="AA7" s="2"/>
      <c r="AB7" s="2"/>
      <c r="AC7" s="13">
        <f>INDEX(AC11:AC856,MATCH(AD7,AD11:AD856,1))</f>
        <v>-5.36499E-2</v>
      </c>
      <c r="AD7" s="10">
        <f>INDEX(AD11:AD856,1+MATCH(0,AC11:AC856,-1))</f>
        <v>17.089876543209876</v>
      </c>
      <c r="AE7" s="12">
        <f>INDEX(AC11:AC1056,MATCH(AE9,AE11:AE1056,0))</f>
        <v>1.5472399999999999</v>
      </c>
      <c r="AF7" s="9"/>
      <c r="AG7" s="2"/>
      <c r="AH7" s="2"/>
      <c r="AI7" s="2"/>
      <c r="AJ7" s="2"/>
      <c r="AK7" s="13">
        <f>INDEX(AK11:AK1056,MATCH(AL7,AL11:AL1056,0))</f>
        <v>5.2795399999999997E-4</v>
      </c>
      <c r="AL7" s="10">
        <f>INDEX(AL11:AL1056,1+MATCH(0,AK11:AK1056,1))</f>
        <v>17.070987654320987</v>
      </c>
      <c r="AM7" s="12">
        <f>INDEX(AK11:AK1056,MATCH(AM9,AM11:AM1056,0))</f>
        <v>1.5200800000000001</v>
      </c>
      <c r="AP7" s="9"/>
      <c r="AQ7" s="2"/>
      <c r="AR7" s="2"/>
      <c r="AS7" s="2"/>
      <c r="AT7" s="2"/>
      <c r="AU7" s="13">
        <f>INDEX(AU11:AU856,MATCH(AV7,AV11:AV856,1))</f>
        <v>-8.8867199999999993E-2</v>
      </c>
      <c r="AV7" s="10">
        <f>INDEX(AV11:AV856,1+MATCH(0,AU11:AU856,-1))</f>
        <v>17.157654320987653</v>
      </c>
      <c r="AW7" s="12">
        <f>INDEX(AU11:AU1056,MATCH(AW9,AW11:AW1056,0))</f>
        <v>1.55731</v>
      </c>
      <c r="AX7" s="9"/>
      <c r="AY7" s="2"/>
      <c r="AZ7" s="2"/>
      <c r="BA7" s="2"/>
      <c r="BB7" s="2"/>
      <c r="BC7" s="13">
        <f>INDEX(BC11:BC1056,MATCH(BD7,BD11:BD1056,0))</f>
        <v>-4.5440699999999999E-3</v>
      </c>
      <c r="BD7" s="10">
        <f>INDEX(BD11:BD1056,1+MATCH(0,BC11:BC1056,1))</f>
        <v>17.150123456790123</v>
      </c>
      <c r="BE7" s="12">
        <f>INDEX(BC11:BC1056,MATCH(BE9,BE11:BE1056,0))</f>
        <v>1.5005500000000001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3.6640720066443921</v>
      </c>
      <c r="J9" s="2"/>
      <c r="K9" s="2"/>
      <c r="L9" s="3">
        <f>(L6-L7)/(K6-K7)*(-K7)+L7</f>
        <v>17.080061390746565</v>
      </c>
      <c r="M9" s="16">
        <f>MAX(M11:M1056)</f>
        <v>23.571096388888886</v>
      </c>
      <c r="N9" s="9"/>
      <c r="O9" s="2"/>
      <c r="P9" s="2"/>
      <c r="Q9" s="2"/>
      <c r="R9" s="2"/>
      <c r="S9" s="2"/>
      <c r="T9" s="3">
        <f>(T6-T7)/(S6-S7)*(-S7)+T7</f>
        <v>17.031075133865251</v>
      </c>
      <c r="U9" s="16">
        <f>MAX(U11:U1056)</f>
        <v>22.707434444444441</v>
      </c>
      <c r="X9" s="9"/>
      <c r="Y9" s="2"/>
      <c r="Z9" s="2"/>
      <c r="AA9" s="15">
        <f>(MAX(AD2,AL2)-MIN(AD2,AL2))/MAX(AD2,AL2)%</f>
        <v>3.9453854679213589</v>
      </c>
      <c r="AB9" s="2"/>
      <c r="AC9" s="2"/>
      <c r="AD9" s="3">
        <f>(AD6-AD7)/(AC6-AC7)*(-AC7)+AD7</f>
        <v>17.100700443693064</v>
      </c>
      <c r="AE9" s="16">
        <f>MAX(AE11:AE1056)</f>
        <v>23.757184158024689</v>
      </c>
      <c r="AF9" s="9"/>
      <c r="AG9" s="2"/>
      <c r="AH9" s="2"/>
      <c r="AI9" s="2"/>
      <c r="AJ9" s="2"/>
      <c r="AK9" s="2"/>
      <c r="AL9" s="3">
        <f>(AL6-AL7)/(AK6-AK7)*(-AK7)+AL7</f>
        <v>17.070944683312174</v>
      </c>
      <c r="AM9" s="16">
        <f>MAX(AM11:AM1056)</f>
        <v>22.819871666666664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17.165017293030832</v>
      </c>
      <c r="AW9" s="16">
        <f>MAX(AW11:AW1056)</f>
        <v>23.858809788888884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23.179670359259255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1.7863451896018354</v>
      </c>
      <c r="B11" s="19">
        <f>IFERROR(L9,0)</f>
        <v>17.080061390746565</v>
      </c>
      <c r="C11" s="20">
        <f>IFERROR(L4,0)</f>
        <v>0.77254710900516665</v>
      </c>
      <c r="D11" s="21">
        <f>IFERROR(L2,0)</f>
        <v>23.571096388888886</v>
      </c>
      <c r="E11" s="21">
        <f>IFERROR(I9,0)</f>
        <v>3.6640720066443921</v>
      </c>
      <c r="F11" s="9"/>
      <c r="G11" s="22">
        <v>1.8150299999999999</v>
      </c>
      <c r="H11" s="22">
        <v>5.2363999999999997</v>
      </c>
      <c r="I11" s="22">
        <v>1.6384900000000001E-2</v>
      </c>
      <c r="J11" s="22">
        <v>1</v>
      </c>
      <c r="K11" s="22">
        <v>1.81427</v>
      </c>
      <c r="L11">
        <f>-I11/$F$2*1000</f>
        <v>-20.228271604938271</v>
      </c>
      <c r="M11">
        <f>L11*G11</f>
        <v>-36.714919811111109</v>
      </c>
      <c r="N11" s="9"/>
      <c r="O11" s="22">
        <v>-9.49097E-2</v>
      </c>
      <c r="P11" s="22">
        <v>9.0958699999999997</v>
      </c>
      <c r="Q11" s="22">
        <v>-1.3854999999999999E-2</v>
      </c>
      <c r="R11" s="22">
        <v>1</v>
      </c>
      <c r="S11" s="22">
        <v>-9.5459000000000002E-2</v>
      </c>
      <c r="T11">
        <f>-Q11/$F$2*1000</f>
        <v>17.104938271604937</v>
      </c>
      <c r="U11">
        <f>T11*O11</f>
        <v>-1.6234245598765431</v>
      </c>
      <c r="V11" s="23"/>
      <c r="W11" s="24"/>
      <c r="X11" s="9"/>
      <c r="Y11" s="22">
        <v>1.8150299999999999</v>
      </c>
      <c r="Z11" s="22">
        <v>14.5726</v>
      </c>
      <c r="AA11" s="22">
        <v>2.5775099999999999E-2</v>
      </c>
      <c r="AB11" s="22">
        <v>1</v>
      </c>
      <c r="AC11" s="22">
        <v>1.81427</v>
      </c>
      <c r="AD11">
        <f>-AA11/$F$2*1000</f>
        <v>-31.821111111111104</v>
      </c>
      <c r="AE11">
        <f>AD11*Y11</f>
        <v>-57.756271299999987</v>
      </c>
      <c r="AF11" s="9"/>
      <c r="AG11" s="22">
        <v>-9.49097E-2</v>
      </c>
      <c r="AH11" s="22">
        <v>18.432099999999998</v>
      </c>
      <c r="AI11" s="22">
        <v>-1.3861099999999999E-2</v>
      </c>
      <c r="AJ11" s="22">
        <v>1</v>
      </c>
      <c r="AK11" s="22">
        <v>-9.5459000000000002E-2</v>
      </c>
      <c r="AL11">
        <f>-AI11/$F$2*1000</f>
        <v>17.112469135802467</v>
      </c>
      <c r="AM11">
        <f>AL11*AG11</f>
        <v>-1.6241393119382714</v>
      </c>
      <c r="AP11" s="9"/>
      <c r="AQ11" s="22">
        <v>1.8150299999999999</v>
      </c>
      <c r="AR11" s="22">
        <v>23.995899999999999</v>
      </c>
      <c r="AS11" s="22">
        <v>2.83722E-2</v>
      </c>
      <c r="AT11" s="22">
        <v>1</v>
      </c>
      <c r="AU11" s="22">
        <v>1.81396</v>
      </c>
      <c r="AV11">
        <f>-AS11/$F$2*1000</f>
        <v>-35.027407407407402</v>
      </c>
      <c r="AW11">
        <f>AV11*AQ11</f>
        <v>-63.575795266666653</v>
      </c>
      <c r="AX11" s="9"/>
      <c r="AY11" s="22">
        <v>-9.49097E-2</v>
      </c>
      <c r="AZ11" s="22">
        <v>27.855399999999999</v>
      </c>
      <c r="BA11" s="22">
        <v>-1.38794E-2</v>
      </c>
      <c r="BB11" s="22">
        <v>1</v>
      </c>
      <c r="BC11" s="22">
        <v>-9.5489500000000005E-2</v>
      </c>
      <c r="BD11">
        <f>-BA11/$F$2*1000</f>
        <v>17.135061728395058</v>
      </c>
      <c r="BE11">
        <f>BD11*AY11</f>
        <v>-1.6262835681234564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1.7700227813224803</v>
      </c>
      <c r="B12" s="19">
        <f>IFERROR(T9,0)</f>
        <v>17.031075133865251</v>
      </c>
      <c r="C12" s="20">
        <f>IFERROR(T4,0)</f>
        <v>0.75326388904695651</v>
      </c>
      <c r="D12" s="21">
        <f>IFERROR(T2,0)</f>
        <v>22.707434444444441</v>
      </c>
      <c r="E12" s="21"/>
      <c r="F12" s="9"/>
      <c r="G12" s="22">
        <v>1.81</v>
      </c>
      <c r="H12" s="22">
        <v>5.2464700000000004</v>
      </c>
      <c r="I12" s="22">
        <v>1.15234E-2</v>
      </c>
      <c r="J12" s="22">
        <v>2</v>
      </c>
      <c r="K12" s="22">
        <v>1.80908</v>
      </c>
      <c r="L12">
        <f t="shared" ref="L12:L75" si="0">-I12/$F$2*1000</f>
        <v>-14.226419753086418</v>
      </c>
      <c r="M12">
        <f t="shared" ref="M12:M75" si="1">L12*G12</f>
        <v>-25.749819753086417</v>
      </c>
      <c r="N12" s="9"/>
      <c r="O12" s="22">
        <v>-8.9874300000000004E-2</v>
      </c>
      <c r="P12" s="22">
        <v>9.1059400000000004</v>
      </c>
      <c r="Q12" s="22">
        <v>-1.3861099999999999E-2</v>
      </c>
      <c r="R12" s="22">
        <v>2</v>
      </c>
      <c r="S12" s="22">
        <v>-9.0515100000000001E-2</v>
      </c>
      <c r="T12">
        <f t="shared" ref="T12:T75" si="2">-Q12/$F$2*1000</f>
        <v>17.112469135802467</v>
      </c>
      <c r="U12">
        <f t="shared" ref="U12:U75" si="3">T12*O12</f>
        <v>-1.5379711848518518</v>
      </c>
      <c r="V12" s="23"/>
      <c r="W12" s="24"/>
      <c r="X12" s="9"/>
      <c r="Y12" s="22">
        <v>1.81</v>
      </c>
      <c r="Z12" s="22">
        <v>14.582700000000001</v>
      </c>
      <c r="AA12" s="22">
        <v>1.8631000000000002E-2</v>
      </c>
      <c r="AB12" s="22">
        <v>2</v>
      </c>
      <c r="AC12" s="22">
        <v>1.81</v>
      </c>
      <c r="AD12">
        <f t="shared" ref="AD12:AD75" si="4">-AA12/$F$2*1000</f>
        <v>-23.001234567901236</v>
      </c>
      <c r="AE12">
        <f t="shared" ref="AE12:AE75" si="5">AD12*Y12</f>
        <v>-41.632234567901236</v>
      </c>
      <c r="AF12" s="9"/>
      <c r="AG12" s="22">
        <v>-8.9874300000000004E-2</v>
      </c>
      <c r="AH12" s="22">
        <v>18.4422</v>
      </c>
      <c r="AI12" s="22">
        <v>-1.3861099999999999E-2</v>
      </c>
      <c r="AJ12" s="22">
        <v>2</v>
      </c>
      <c r="AK12" s="22">
        <v>-9.0484599999999998E-2</v>
      </c>
      <c r="AL12">
        <f t="shared" ref="AL12:AL75" si="6">-AI12/$F$2*1000</f>
        <v>17.112469135802467</v>
      </c>
      <c r="AM12">
        <f t="shared" ref="AM12:AM75" si="7">AL12*AG12</f>
        <v>-1.5379711848518518</v>
      </c>
      <c r="AP12" s="9"/>
      <c r="AQ12" s="22">
        <v>1.81</v>
      </c>
      <c r="AR12" s="22">
        <v>24.006</v>
      </c>
      <c r="AS12" s="22">
        <v>2.0632899999999999E-2</v>
      </c>
      <c r="AT12" s="22">
        <v>2</v>
      </c>
      <c r="AU12" s="22">
        <v>1.80969</v>
      </c>
      <c r="AV12">
        <f t="shared" ref="AV12:AV75" si="8">-AS12/$F$2*1000</f>
        <v>-25.472716049382711</v>
      </c>
      <c r="AW12">
        <f t="shared" ref="AW12:AW75" si="9">AV12*AQ12</f>
        <v>-46.105616049382711</v>
      </c>
      <c r="AX12" s="9"/>
      <c r="AY12" s="22">
        <v>-8.9874300000000004E-2</v>
      </c>
      <c r="AZ12" s="22">
        <v>27.865400000000001</v>
      </c>
      <c r="BA12" s="22">
        <v>-1.3876299999999999E-2</v>
      </c>
      <c r="BB12" s="22">
        <v>2</v>
      </c>
      <c r="BC12" s="22">
        <v>-9.0484599999999998E-2</v>
      </c>
      <c r="BD12">
        <f t="shared" ref="BD12:BD75" si="10">-BA12/$F$2*1000</f>
        <v>17.131234567901231</v>
      </c>
      <c r="BE12">
        <f t="shared" ref="BE12:BE75" si="11">BD12*AY12</f>
        <v>-1.5396577149259256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1.7792558153264775</v>
      </c>
      <c r="B13" s="19">
        <f>IFERROR(AD9,0)</f>
        <v>17.100700443693064</v>
      </c>
      <c r="C13" s="20">
        <f>IFERROR(AD4,0)</f>
        <v>0.78080515297795883</v>
      </c>
      <c r="D13" s="21">
        <f>IFERROR(AD2,0)</f>
        <v>23.757184158024689</v>
      </c>
      <c r="E13" s="21">
        <f>IFERROR(AA9,0)</f>
        <v>3.9453854679213589</v>
      </c>
      <c r="F13" s="9"/>
      <c r="G13" s="22">
        <v>1.8049599999999999</v>
      </c>
      <c r="H13" s="22">
        <v>5.2565400000000002</v>
      </c>
      <c r="I13" s="22">
        <v>7.8216599999999994E-3</v>
      </c>
      <c r="J13" s="22">
        <v>3</v>
      </c>
      <c r="K13" s="22">
        <v>1.80389</v>
      </c>
      <c r="L13">
        <f t="shared" si="0"/>
        <v>-9.6563703703703698</v>
      </c>
      <c r="M13">
        <f t="shared" si="1"/>
        <v>-17.429362263703702</v>
      </c>
      <c r="N13" s="9"/>
      <c r="O13" s="22">
        <v>-8.4838899999999995E-2</v>
      </c>
      <c r="P13" s="22">
        <v>9.1160099999999993</v>
      </c>
      <c r="Q13" s="22">
        <v>-1.3861099999999999E-2</v>
      </c>
      <c r="R13" s="22">
        <v>3</v>
      </c>
      <c r="S13" s="22">
        <v>-8.5388199999999997E-2</v>
      </c>
      <c r="T13">
        <f t="shared" si="2"/>
        <v>17.112469135802467</v>
      </c>
      <c r="U13">
        <f t="shared" si="3"/>
        <v>-1.4518030577654317</v>
      </c>
      <c r="V13" s="23"/>
      <c r="W13" s="24"/>
      <c r="X13" s="9"/>
      <c r="Y13" s="22">
        <v>1.8049599999999999</v>
      </c>
      <c r="Z13" s="22">
        <v>14.5928</v>
      </c>
      <c r="AA13" s="22">
        <v>1.32538E-2</v>
      </c>
      <c r="AB13" s="22">
        <v>3</v>
      </c>
      <c r="AC13" s="22">
        <v>1.80481</v>
      </c>
      <c r="AD13">
        <f t="shared" si="4"/>
        <v>-16.362716049382716</v>
      </c>
      <c r="AE13">
        <f t="shared" si="5"/>
        <v>-29.534047960493826</v>
      </c>
      <c r="AF13" s="9"/>
      <c r="AG13" s="22">
        <v>-8.4838899999999995E-2</v>
      </c>
      <c r="AH13" s="22">
        <v>18.452300000000001</v>
      </c>
      <c r="AI13" s="22">
        <v>-1.3858000000000001E-2</v>
      </c>
      <c r="AJ13" s="22">
        <v>3</v>
      </c>
      <c r="AK13" s="22">
        <v>-8.54187E-2</v>
      </c>
      <c r="AL13">
        <f t="shared" si="6"/>
        <v>17.10864197530864</v>
      </c>
      <c r="AM13">
        <f t="shared" si="7"/>
        <v>-1.451478365679012</v>
      </c>
      <c r="AP13" s="9"/>
      <c r="AQ13" s="22">
        <v>1.8049599999999999</v>
      </c>
      <c r="AR13" s="22">
        <v>24.015999999999998</v>
      </c>
      <c r="AS13" s="22">
        <v>1.4865099999999999E-2</v>
      </c>
      <c r="AT13" s="22">
        <v>3</v>
      </c>
      <c r="AU13" s="22">
        <v>1.8042</v>
      </c>
      <c r="AV13">
        <f t="shared" si="8"/>
        <v>-18.351975308641972</v>
      </c>
      <c r="AW13">
        <f t="shared" si="9"/>
        <v>-33.124581353086413</v>
      </c>
      <c r="AX13" s="9"/>
      <c r="AY13" s="22">
        <v>-8.4838899999999995E-2</v>
      </c>
      <c r="AZ13" s="22">
        <v>27.875499999999999</v>
      </c>
      <c r="BA13" s="22">
        <v>-1.3876299999999999E-2</v>
      </c>
      <c r="BB13" s="22">
        <v>3</v>
      </c>
      <c r="BC13" s="22">
        <v>-8.5388199999999997E-2</v>
      </c>
      <c r="BD13">
        <f t="shared" si="10"/>
        <v>17.131234567901231</v>
      </c>
      <c r="BE13">
        <f t="shared" si="11"/>
        <v>-1.4533950963827156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1.7683243690625376</v>
      </c>
      <c r="B14" s="19">
        <f>IFERROR(AL9,0)</f>
        <v>17.070944683312174</v>
      </c>
      <c r="C14" s="20">
        <f>IFERROR(AL4,0)</f>
        <v>0.75595111290767691</v>
      </c>
      <c r="D14" s="21">
        <f>IFERROR(AL2,0)</f>
        <v>22.819871666666668</v>
      </c>
      <c r="E14" s="21"/>
      <c r="F14" s="9"/>
      <c r="G14" s="22">
        <v>1.79993</v>
      </c>
      <c r="H14" s="22">
        <v>5.26661</v>
      </c>
      <c r="I14" s="22">
        <v>4.9002100000000003E-3</v>
      </c>
      <c r="J14" s="22">
        <v>4</v>
      </c>
      <c r="K14" s="22">
        <v>1.79932</v>
      </c>
      <c r="L14">
        <f t="shared" si="0"/>
        <v>-6.0496419753086421</v>
      </c>
      <c r="M14">
        <f t="shared" si="1"/>
        <v>-10.888932080617284</v>
      </c>
      <c r="N14" s="9"/>
      <c r="O14" s="22">
        <v>-7.9803499999999999E-2</v>
      </c>
      <c r="P14" s="22">
        <v>9.12608</v>
      </c>
      <c r="Q14" s="22">
        <v>-1.3854999999999999E-2</v>
      </c>
      <c r="R14" s="22">
        <v>4</v>
      </c>
      <c r="S14" s="22">
        <v>-8.0322299999999999E-2</v>
      </c>
      <c r="T14">
        <f t="shared" si="2"/>
        <v>17.104938271604937</v>
      </c>
      <c r="U14">
        <f t="shared" si="3"/>
        <v>-1.3650339413580246</v>
      </c>
      <c r="V14" s="23"/>
      <c r="W14" s="24"/>
      <c r="X14" s="9"/>
      <c r="Y14" s="22">
        <v>1.79993</v>
      </c>
      <c r="Z14" s="22">
        <v>14.6029</v>
      </c>
      <c r="AA14" s="22">
        <v>9.1735800000000006E-3</v>
      </c>
      <c r="AB14" s="22">
        <v>4</v>
      </c>
      <c r="AC14" s="22">
        <v>1.79901</v>
      </c>
      <c r="AD14">
        <f t="shared" si="4"/>
        <v>-11.325407407407408</v>
      </c>
      <c r="AE14">
        <f t="shared" si="5"/>
        <v>-20.384940554814815</v>
      </c>
      <c r="AF14" s="9"/>
      <c r="AG14" s="22">
        <v>-7.9803499999999999E-2</v>
      </c>
      <c r="AH14" s="22">
        <v>18.462299999999999</v>
      </c>
      <c r="AI14" s="22">
        <v>-1.3858000000000001E-2</v>
      </c>
      <c r="AJ14" s="22">
        <v>4</v>
      </c>
      <c r="AK14" s="22">
        <v>-8.0352800000000002E-2</v>
      </c>
      <c r="AL14">
        <f t="shared" si="6"/>
        <v>17.10864197530864</v>
      </c>
      <c r="AM14">
        <f t="shared" si="7"/>
        <v>-1.365329509876543</v>
      </c>
      <c r="AP14" s="9"/>
      <c r="AQ14" s="22">
        <v>1.79993</v>
      </c>
      <c r="AR14" s="22">
        <v>24.0261</v>
      </c>
      <c r="AS14" s="22">
        <v>1.0357699999999999E-2</v>
      </c>
      <c r="AT14" s="22">
        <v>4</v>
      </c>
      <c r="AU14" s="22">
        <v>1.7984</v>
      </c>
      <c r="AV14">
        <f t="shared" si="8"/>
        <v>-12.787283950617283</v>
      </c>
      <c r="AW14">
        <f t="shared" si="9"/>
        <v>-23.016216001234568</v>
      </c>
      <c r="AX14" s="9"/>
      <c r="AY14" s="22">
        <v>-7.9803499999999999E-2</v>
      </c>
      <c r="AZ14" s="22">
        <v>27.8856</v>
      </c>
      <c r="BA14" s="22">
        <v>-1.3876299999999999E-2</v>
      </c>
      <c r="BB14" s="22">
        <v>4</v>
      </c>
      <c r="BC14" s="22">
        <v>-8.0413799999999994E-2</v>
      </c>
      <c r="BD14">
        <f t="shared" si="10"/>
        <v>17.131234567901231</v>
      </c>
      <c r="BE14">
        <f t="shared" si="11"/>
        <v>-1.367132477839506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1.778381958602796</v>
      </c>
      <c r="B15" s="19">
        <f>IFERROR(AV9,0)</f>
        <v>17.165017293030832</v>
      </c>
      <c r="C15" s="20">
        <f>IFERROR(AV4,0)</f>
        <v>0.78159088449900171</v>
      </c>
      <c r="D15" s="21">
        <f>IFERROR(AV2,0)</f>
        <v>23.858809788888884</v>
      </c>
      <c r="E15" s="21">
        <f>IFERROR(AS9,0)</f>
        <v>0</v>
      </c>
      <c r="F15" s="9"/>
      <c r="G15" s="22">
        <v>1.7948900000000001</v>
      </c>
      <c r="H15" s="22">
        <v>5.2766799999999998</v>
      </c>
      <c r="I15" s="22">
        <v>2.5335700000000002E-3</v>
      </c>
      <c r="J15" s="22">
        <v>5</v>
      </c>
      <c r="K15" s="22">
        <v>1.79352</v>
      </c>
      <c r="L15">
        <f t="shared" si="0"/>
        <v>-3.1278641975308643</v>
      </c>
      <c r="M15">
        <f t="shared" si="1"/>
        <v>-5.6141721695061735</v>
      </c>
      <c r="N15" s="9"/>
      <c r="O15" s="22">
        <v>-7.4768100000000004E-2</v>
      </c>
      <c r="P15" s="22">
        <v>9.1361500000000007</v>
      </c>
      <c r="Q15" s="22">
        <v>-1.3848900000000001E-2</v>
      </c>
      <c r="R15" s="22">
        <v>5</v>
      </c>
      <c r="S15" s="22">
        <v>-7.5286900000000004E-2</v>
      </c>
      <c r="T15">
        <f t="shared" si="2"/>
        <v>17.09740740740741</v>
      </c>
      <c r="U15">
        <f t="shared" si="3"/>
        <v>-1.2783406667777779</v>
      </c>
      <c r="V15" s="23"/>
      <c r="W15" s="24"/>
      <c r="X15" s="9"/>
      <c r="Y15" s="22">
        <v>1.7948900000000001</v>
      </c>
      <c r="Z15" s="22">
        <v>14.6129</v>
      </c>
      <c r="AA15" s="22">
        <v>5.8960000000000002E-3</v>
      </c>
      <c r="AB15" s="22">
        <v>5</v>
      </c>
      <c r="AC15" s="22">
        <v>1.79382</v>
      </c>
      <c r="AD15">
        <f t="shared" si="4"/>
        <v>-7.2790123456790123</v>
      </c>
      <c r="AE15">
        <f t="shared" si="5"/>
        <v>-13.065026469135804</v>
      </c>
      <c r="AF15" s="9"/>
      <c r="AG15" s="22">
        <v>-7.4768100000000004E-2</v>
      </c>
      <c r="AH15" s="22">
        <v>18.4724</v>
      </c>
      <c r="AI15" s="22">
        <v>-1.3858000000000001E-2</v>
      </c>
      <c r="AJ15" s="22">
        <v>5</v>
      </c>
      <c r="AK15" s="22">
        <v>-7.5256299999999998E-2</v>
      </c>
      <c r="AL15">
        <f t="shared" si="6"/>
        <v>17.10864197530864</v>
      </c>
      <c r="AM15">
        <f t="shared" si="7"/>
        <v>-1.279180654074074</v>
      </c>
      <c r="AP15" s="9"/>
      <c r="AQ15" s="22">
        <v>1.7948900000000001</v>
      </c>
      <c r="AR15" s="22">
        <v>24.036200000000001</v>
      </c>
      <c r="AS15" s="22">
        <v>7.0373500000000004E-3</v>
      </c>
      <c r="AT15" s="22">
        <v>5</v>
      </c>
      <c r="AU15" s="22">
        <v>1.79443</v>
      </c>
      <c r="AV15">
        <f t="shared" si="8"/>
        <v>-8.6880864197530858</v>
      </c>
      <c r="AW15">
        <f t="shared" si="9"/>
        <v>-15.594159433950617</v>
      </c>
      <c r="AX15" s="9"/>
      <c r="AY15" s="22">
        <v>-7.4768100000000004E-2</v>
      </c>
      <c r="AZ15" s="22">
        <v>27.895600000000002</v>
      </c>
      <c r="BA15" s="22">
        <v>-1.38794E-2</v>
      </c>
      <c r="BB15" s="22">
        <v>5</v>
      </c>
      <c r="BC15" s="22">
        <v>-7.5256299999999998E-2</v>
      </c>
      <c r="BD15">
        <f t="shared" si="10"/>
        <v>17.135061728395058</v>
      </c>
      <c r="BE15">
        <f t="shared" si="11"/>
        <v>-1.2811560088148146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1.7688948908332507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1.78986</v>
      </c>
      <c r="H16" s="22">
        <v>5.2867499999999996</v>
      </c>
      <c r="I16" s="22">
        <v>7.1441699999999996E-4</v>
      </c>
      <c r="J16" s="22">
        <v>6</v>
      </c>
      <c r="K16" s="22">
        <v>1.78894</v>
      </c>
      <c r="L16">
        <f t="shared" si="0"/>
        <v>-0.88199629629629617</v>
      </c>
      <c r="M16">
        <f t="shared" si="1"/>
        <v>-1.5786498908888886</v>
      </c>
      <c r="N16" s="9"/>
      <c r="O16" s="22">
        <v>-6.9732699999999995E-2</v>
      </c>
      <c r="P16" s="22">
        <v>9.1462199999999996</v>
      </c>
      <c r="Q16" s="22">
        <v>-1.3842800000000001E-2</v>
      </c>
      <c r="R16" s="22">
        <v>6</v>
      </c>
      <c r="S16" s="22">
        <v>-7.0281999999999997E-2</v>
      </c>
      <c r="T16">
        <f t="shared" si="2"/>
        <v>17.089876543209876</v>
      </c>
      <c r="U16">
        <f t="shared" si="3"/>
        <v>-1.1917232340246913</v>
      </c>
      <c r="V16" s="23"/>
      <c r="W16" s="24"/>
      <c r="X16" s="9"/>
      <c r="Y16" s="22">
        <v>1.78986</v>
      </c>
      <c r="Z16" s="22">
        <v>14.622999999999999</v>
      </c>
      <c r="AA16" s="22">
        <v>3.4381099999999999E-3</v>
      </c>
      <c r="AB16" s="22">
        <v>6</v>
      </c>
      <c r="AC16" s="22">
        <v>1.78864</v>
      </c>
      <c r="AD16">
        <f t="shared" si="4"/>
        <v>-4.2445802469135794</v>
      </c>
      <c r="AE16">
        <f t="shared" si="5"/>
        <v>-7.5972044007407389</v>
      </c>
      <c r="AF16" s="9"/>
      <c r="AG16" s="22">
        <v>-6.9732699999999995E-2</v>
      </c>
      <c r="AH16" s="22">
        <v>18.482500000000002</v>
      </c>
      <c r="AI16" s="22">
        <v>-1.38519E-2</v>
      </c>
      <c r="AJ16" s="22">
        <v>6</v>
      </c>
      <c r="AK16" s="22">
        <v>-7.03125E-2</v>
      </c>
      <c r="AL16">
        <f t="shared" si="6"/>
        <v>17.101111111111113</v>
      </c>
      <c r="AM16">
        <f t="shared" si="7"/>
        <v>-1.1925066507777777</v>
      </c>
      <c r="AP16" s="9"/>
      <c r="AQ16" s="22">
        <v>1.78986</v>
      </c>
      <c r="AR16" s="22">
        <v>24.046199999999999</v>
      </c>
      <c r="AS16" s="22">
        <v>4.3200699999999996E-3</v>
      </c>
      <c r="AT16" s="22">
        <v>6</v>
      </c>
      <c r="AU16" s="22">
        <v>1.78894</v>
      </c>
      <c r="AV16">
        <f t="shared" si="8"/>
        <v>-5.3334197530864182</v>
      </c>
      <c r="AW16">
        <f t="shared" si="9"/>
        <v>-9.5460746792592559</v>
      </c>
      <c r="AX16" s="9"/>
      <c r="AY16" s="22">
        <v>-6.9732699999999995E-2</v>
      </c>
      <c r="AZ16" s="22">
        <v>27.9057</v>
      </c>
      <c r="BA16" s="22">
        <v>-1.38794E-2</v>
      </c>
      <c r="BB16" s="22">
        <v>6</v>
      </c>
      <c r="BC16" s="22">
        <v>-7.0281999999999997E-2</v>
      </c>
      <c r="BD16">
        <f t="shared" si="10"/>
        <v>17.135061728395058</v>
      </c>
      <c r="BE16">
        <f t="shared" si="11"/>
        <v>-1.1948741189876539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1.7848200000000001</v>
      </c>
      <c r="H17" s="22">
        <v>5.2968200000000003</v>
      </c>
      <c r="I17" s="22">
        <v>-7.97119E-4</v>
      </c>
      <c r="J17" s="22">
        <v>7</v>
      </c>
      <c r="K17" s="22">
        <v>1.78345</v>
      </c>
      <c r="L17">
        <f t="shared" si="0"/>
        <v>0.98409753086419738</v>
      </c>
      <c r="M17">
        <f t="shared" si="1"/>
        <v>1.7564369550370369</v>
      </c>
      <c r="N17" s="9"/>
      <c r="O17" s="22">
        <v>-6.4697299999999999E-2</v>
      </c>
      <c r="P17" s="22">
        <v>9.1562900000000003</v>
      </c>
      <c r="Q17" s="22">
        <v>-1.38306E-2</v>
      </c>
      <c r="R17" s="22">
        <v>7</v>
      </c>
      <c r="S17" s="22">
        <v>-6.5185499999999993E-2</v>
      </c>
      <c r="T17">
        <f t="shared" si="2"/>
        <v>17.074814814814815</v>
      </c>
      <c r="U17">
        <f t="shared" si="3"/>
        <v>-1.1046944165185184</v>
      </c>
      <c r="V17" s="23"/>
      <c r="W17" s="24"/>
      <c r="X17" s="9"/>
      <c r="Y17" s="22">
        <v>1.7848200000000001</v>
      </c>
      <c r="Z17" s="22">
        <v>14.633100000000001</v>
      </c>
      <c r="AA17" s="22">
        <v>1.4627100000000001E-3</v>
      </c>
      <c r="AB17" s="22">
        <v>7</v>
      </c>
      <c r="AC17" s="22">
        <v>1.78345</v>
      </c>
      <c r="AD17">
        <f t="shared" si="4"/>
        <v>-1.8058148148148148</v>
      </c>
      <c r="AE17">
        <f t="shared" si="5"/>
        <v>-3.2230543977777777</v>
      </c>
      <c r="AF17" s="9"/>
      <c r="AG17" s="22">
        <v>-6.4697299999999999E-2</v>
      </c>
      <c r="AH17" s="22">
        <v>18.492599999999999</v>
      </c>
      <c r="AI17" s="22">
        <v>-1.38519E-2</v>
      </c>
      <c r="AJ17" s="22">
        <v>7</v>
      </c>
      <c r="AK17" s="22">
        <v>-6.5155000000000005E-2</v>
      </c>
      <c r="AL17">
        <f t="shared" si="6"/>
        <v>17.101111111111113</v>
      </c>
      <c r="AM17">
        <f t="shared" si="7"/>
        <v>-1.1063957158888891</v>
      </c>
      <c r="AP17" s="9"/>
      <c r="AQ17" s="22">
        <v>1.7848200000000001</v>
      </c>
      <c r="AR17" s="22">
        <v>24.0563</v>
      </c>
      <c r="AS17" s="22">
        <v>2.17621E-3</v>
      </c>
      <c r="AT17" s="22">
        <v>7</v>
      </c>
      <c r="AU17" s="22">
        <v>1.78406</v>
      </c>
      <c r="AV17">
        <f t="shared" si="8"/>
        <v>-2.6866790123456785</v>
      </c>
      <c r="AW17">
        <f t="shared" si="9"/>
        <v>-4.7952384348148138</v>
      </c>
      <c r="AX17" s="9"/>
      <c r="AY17" s="22">
        <v>-6.4697299999999999E-2</v>
      </c>
      <c r="AZ17" s="22">
        <v>27.915800000000001</v>
      </c>
      <c r="BA17" s="22">
        <v>-1.3870199999999999E-2</v>
      </c>
      <c r="BB17" s="22">
        <v>7</v>
      </c>
      <c r="BC17" s="22">
        <v>-6.5246600000000002E-2</v>
      </c>
      <c r="BD17">
        <f t="shared" si="10"/>
        <v>17.123703703703701</v>
      </c>
      <c r="BE17">
        <f t="shared" si="11"/>
        <v>-1.1078573956296294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1.77979</v>
      </c>
      <c r="H18" s="22">
        <v>5.3068900000000001</v>
      </c>
      <c r="I18" s="22">
        <v>-2.1264600000000002E-3</v>
      </c>
      <c r="J18" s="22">
        <v>8</v>
      </c>
      <c r="K18" s="22">
        <v>1.7791699999999999</v>
      </c>
      <c r="L18">
        <f t="shared" si="0"/>
        <v>2.6252592592592596</v>
      </c>
      <c r="M18">
        <f t="shared" si="1"/>
        <v>4.6724101770370376</v>
      </c>
      <c r="N18" s="9"/>
      <c r="O18" s="22">
        <v>-5.9661899999999997E-2</v>
      </c>
      <c r="P18" s="22">
        <v>9.1663700000000006</v>
      </c>
      <c r="Q18" s="22">
        <v>-1.38184E-2</v>
      </c>
      <c r="R18" s="22">
        <v>8</v>
      </c>
      <c r="S18" s="22">
        <v>-6.0211199999999999E-2</v>
      </c>
      <c r="T18">
        <f t="shared" si="2"/>
        <v>17.05975308641975</v>
      </c>
      <c r="U18">
        <f t="shared" si="3"/>
        <v>-1.0178172826666665</v>
      </c>
      <c r="V18" s="23"/>
      <c r="W18" s="24"/>
      <c r="X18" s="9"/>
      <c r="Y18" s="22">
        <v>1.77979</v>
      </c>
      <c r="Z18" s="22">
        <v>14.6431</v>
      </c>
      <c r="AA18" s="22">
        <v>-1.34552E-4</v>
      </c>
      <c r="AB18" s="22">
        <v>8</v>
      </c>
      <c r="AC18" s="22">
        <v>1.77887</v>
      </c>
      <c r="AD18">
        <f t="shared" si="4"/>
        <v>0.16611358024691358</v>
      </c>
      <c r="AE18">
        <f t="shared" si="5"/>
        <v>0.2956472889876543</v>
      </c>
      <c r="AF18" s="9"/>
      <c r="AG18" s="22">
        <v>-5.9661899999999997E-2</v>
      </c>
      <c r="AH18" s="22">
        <v>18.502600000000001</v>
      </c>
      <c r="AI18" s="22">
        <v>-1.3854999999999999E-2</v>
      </c>
      <c r="AJ18" s="22">
        <v>8</v>
      </c>
      <c r="AK18" s="22">
        <v>-6.0241700000000002E-2</v>
      </c>
      <c r="AL18">
        <f t="shared" si="6"/>
        <v>17.104938271604937</v>
      </c>
      <c r="AM18">
        <f t="shared" si="7"/>
        <v>-1.0205131166666666</v>
      </c>
      <c r="AP18" s="9"/>
      <c r="AQ18" s="22">
        <v>1.77979</v>
      </c>
      <c r="AR18" s="22">
        <v>24.066400000000002</v>
      </c>
      <c r="AS18" s="22">
        <v>3.0627399999999999E-4</v>
      </c>
      <c r="AT18" s="22">
        <v>8</v>
      </c>
      <c r="AU18" s="22">
        <v>1.77948</v>
      </c>
      <c r="AV18">
        <f t="shared" si="8"/>
        <v>-0.37811604938271604</v>
      </c>
      <c r="AW18">
        <f t="shared" si="9"/>
        <v>-0.67296716353086417</v>
      </c>
      <c r="AX18" s="9"/>
      <c r="AY18" s="22">
        <v>-5.9661899999999997E-2</v>
      </c>
      <c r="AZ18" s="22">
        <v>27.925899999999999</v>
      </c>
      <c r="BA18" s="22">
        <v>-1.3870199999999999E-2</v>
      </c>
      <c r="BB18" s="22">
        <v>8</v>
      </c>
      <c r="BC18" s="22">
        <v>-6.0272199999999998E-2</v>
      </c>
      <c r="BD18">
        <f t="shared" si="10"/>
        <v>17.123703703703701</v>
      </c>
      <c r="BE18">
        <f t="shared" si="11"/>
        <v>-1.0216326979999997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1.77475</v>
      </c>
      <c r="H19" s="22">
        <v>5.3169599999999999</v>
      </c>
      <c r="I19" s="22">
        <v>-3.1506300000000002E-3</v>
      </c>
      <c r="J19" s="22">
        <v>9</v>
      </c>
      <c r="K19" s="22">
        <v>1.77399</v>
      </c>
      <c r="L19">
        <f t="shared" si="0"/>
        <v>3.8896666666666668</v>
      </c>
      <c r="M19">
        <f t="shared" si="1"/>
        <v>6.9031859166666676</v>
      </c>
      <c r="N19" s="9"/>
      <c r="O19" s="22">
        <v>-5.4626500000000001E-2</v>
      </c>
      <c r="P19" s="22">
        <v>9.1764399999999995</v>
      </c>
      <c r="Q19" s="22">
        <v>-1.38184E-2</v>
      </c>
      <c r="R19" s="22">
        <v>9</v>
      </c>
      <c r="S19" s="22">
        <v>-5.5175799999999997E-2</v>
      </c>
      <c r="T19">
        <f t="shared" si="2"/>
        <v>17.05975308641975</v>
      </c>
      <c r="U19">
        <f t="shared" si="3"/>
        <v>-0.93191460197530851</v>
      </c>
      <c r="V19" s="23"/>
      <c r="W19" s="24"/>
      <c r="X19" s="9"/>
      <c r="Y19" s="22">
        <v>1.77475</v>
      </c>
      <c r="Z19" s="22">
        <v>14.6532</v>
      </c>
      <c r="AA19" s="22">
        <v>-1.55243E-3</v>
      </c>
      <c r="AB19" s="22">
        <v>9</v>
      </c>
      <c r="AC19" s="22">
        <v>1.77399</v>
      </c>
      <c r="AD19">
        <f t="shared" si="4"/>
        <v>1.9165802469135802</v>
      </c>
      <c r="AE19">
        <f t="shared" si="5"/>
        <v>3.4014507932098765</v>
      </c>
      <c r="AF19" s="9"/>
      <c r="AG19" s="22">
        <v>-5.4626500000000001E-2</v>
      </c>
      <c r="AH19" s="22">
        <v>18.512699999999999</v>
      </c>
      <c r="AI19" s="22">
        <v>-1.3848900000000001E-2</v>
      </c>
      <c r="AJ19" s="22">
        <v>9</v>
      </c>
      <c r="AK19" s="22">
        <v>-5.5114700000000003E-2</v>
      </c>
      <c r="AL19">
        <f t="shared" si="6"/>
        <v>17.09740740740741</v>
      </c>
      <c r="AM19">
        <f t="shared" si="7"/>
        <v>-0.93397152574074094</v>
      </c>
      <c r="AP19" s="9"/>
      <c r="AQ19" s="22">
        <v>1.77475</v>
      </c>
      <c r="AR19" s="22">
        <v>24.0764</v>
      </c>
      <c r="AS19" s="22">
        <v>-1.1413599999999999E-3</v>
      </c>
      <c r="AT19" s="22">
        <v>9</v>
      </c>
      <c r="AU19" s="22">
        <v>1.7742899999999999</v>
      </c>
      <c r="AV19">
        <f t="shared" si="8"/>
        <v>1.4090864197530861</v>
      </c>
      <c r="AW19">
        <f t="shared" si="9"/>
        <v>2.5007761234567898</v>
      </c>
      <c r="AX19" s="9"/>
      <c r="AY19" s="22">
        <v>-5.4626500000000001E-2</v>
      </c>
      <c r="AZ19" s="22">
        <v>27.9359</v>
      </c>
      <c r="BA19" s="22">
        <v>-1.3870199999999999E-2</v>
      </c>
      <c r="BB19" s="22">
        <v>9</v>
      </c>
      <c r="BC19" s="22">
        <v>-5.5236800000000003E-2</v>
      </c>
      <c r="BD19">
        <f t="shared" si="10"/>
        <v>17.123703703703701</v>
      </c>
      <c r="BE19">
        <f t="shared" si="11"/>
        <v>-0.9354080003703702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1.7697099999999999</v>
      </c>
      <c r="H20" s="22">
        <v>5.3270299999999997</v>
      </c>
      <c r="I20" s="22">
        <v>-3.9898700000000004E-3</v>
      </c>
      <c r="J20" s="22">
        <v>10</v>
      </c>
      <c r="K20" s="22">
        <v>1.7690999999999999</v>
      </c>
      <c r="L20">
        <f t="shared" si="0"/>
        <v>4.9257654320987658</v>
      </c>
      <c r="M20">
        <f t="shared" si="1"/>
        <v>8.7171763428395064</v>
      </c>
      <c r="N20" s="9"/>
      <c r="O20" s="22">
        <v>-4.9591099999999999E-2</v>
      </c>
      <c r="P20" s="22">
        <v>9.1865100000000002</v>
      </c>
      <c r="Q20" s="22">
        <v>-1.38123E-2</v>
      </c>
      <c r="R20" s="22">
        <v>10</v>
      </c>
      <c r="S20" s="22">
        <v>-5.00793E-2</v>
      </c>
      <c r="T20">
        <f t="shared" si="2"/>
        <v>17.052222222222223</v>
      </c>
      <c r="U20">
        <f t="shared" si="3"/>
        <v>-0.84563845744444444</v>
      </c>
      <c r="V20" s="23"/>
      <c r="W20" s="24"/>
      <c r="X20" s="9"/>
      <c r="Y20" s="22">
        <v>1.7697099999999999</v>
      </c>
      <c r="Z20" s="22">
        <v>14.6633</v>
      </c>
      <c r="AA20" s="22">
        <v>-2.7529899999999999E-3</v>
      </c>
      <c r="AB20" s="22">
        <v>10</v>
      </c>
      <c r="AC20" s="22">
        <v>1.7690999999999999</v>
      </c>
      <c r="AD20">
        <f t="shared" si="4"/>
        <v>3.3987530864197528</v>
      </c>
      <c r="AE20">
        <f t="shared" si="5"/>
        <v>6.0148073245679008</v>
      </c>
      <c r="AF20" s="9"/>
      <c r="AG20" s="22">
        <v>-4.9591099999999999E-2</v>
      </c>
      <c r="AH20" s="22">
        <v>18.5228</v>
      </c>
      <c r="AI20" s="22">
        <v>-1.3842800000000001E-2</v>
      </c>
      <c r="AJ20" s="22">
        <v>10</v>
      </c>
      <c r="AK20" s="22">
        <v>-5.0140400000000002E-2</v>
      </c>
      <c r="AL20">
        <f t="shared" si="6"/>
        <v>17.089876543209876</v>
      </c>
      <c r="AM20">
        <f t="shared" si="7"/>
        <v>-0.84750577664197524</v>
      </c>
      <c r="AP20" s="9"/>
      <c r="AQ20" s="22">
        <v>1.7697099999999999</v>
      </c>
      <c r="AR20" s="22">
        <v>24.086500000000001</v>
      </c>
      <c r="AS20" s="22">
        <v>-2.42889E-3</v>
      </c>
      <c r="AT20" s="22">
        <v>10</v>
      </c>
      <c r="AU20" s="22">
        <v>1.7687999999999999</v>
      </c>
      <c r="AV20">
        <f t="shared" si="8"/>
        <v>2.9986296296296291</v>
      </c>
      <c r="AW20">
        <f t="shared" si="9"/>
        <v>5.3067048418518503</v>
      </c>
      <c r="AX20" s="9"/>
      <c r="AY20" s="22">
        <v>-4.9591099999999999E-2</v>
      </c>
      <c r="AZ20" s="22">
        <v>27.946000000000002</v>
      </c>
      <c r="BA20" s="22">
        <v>-1.38733E-2</v>
      </c>
      <c r="BB20" s="22">
        <v>10</v>
      </c>
      <c r="BC20" s="22">
        <v>-5.00793E-2</v>
      </c>
      <c r="BD20">
        <f t="shared" si="10"/>
        <v>17.127530864197528</v>
      </c>
      <c r="BE20">
        <f t="shared" si="11"/>
        <v>-0.84937309583950604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1.76468</v>
      </c>
      <c r="H21" s="22">
        <v>5.33711</v>
      </c>
      <c r="I21" s="22">
        <v>-4.8187300000000002E-3</v>
      </c>
      <c r="J21" s="22">
        <v>11</v>
      </c>
      <c r="K21" s="22">
        <v>1.7639199999999999</v>
      </c>
      <c r="L21">
        <f t="shared" si="0"/>
        <v>5.9490493827160495</v>
      </c>
      <c r="M21">
        <f t="shared" si="1"/>
        <v>10.498168464691359</v>
      </c>
      <c r="N21" s="9"/>
      <c r="O21" s="22">
        <v>-4.4555699999999997E-2</v>
      </c>
      <c r="P21" s="22">
        <v>9.1965800000000009</v>
      </c>
      <c r="Q21" s="22">
        <v>-1.3809200000000001E-2</v>
      </c>
      <c r="R21" s="22">
        <v>11</v>
      </c>
      <c r="S21" s="22">
        <v>-4.4989000000000001E-2</v>
      </c>
      <c r="T21">
        <f t="shared" si="2"/>
        <v>17.048395061728392</v>
      </c>
      <c r="U21">
        <f t="shared" si="3"/>
        <v>-0.75960317585185166</v>
      </c>
      <c r="V21" s="23"/>
      <c r="W21" s="24"/>
      <c r="X21" s="9"/>
      <c r="Y21" s="22">
        <v>1.76468</v>
      </c>
      <c r="Z21" s="22">
        <v>14.673400000000001</v>
      </c>
      <c r="AA21" s="22">
        <v>-3.7295499999999999E-3</v>
      </c>
      <c r="AB21" s="22">
        <v>11</v>
      </c>
      <c r="AC21" s="22">
        <v>1.7636099999999999</v>
      </c>
      <c r="AD21">
        <f t="shared" si="4"/>
        <v>4.6043827160493818</v>
      </c>
      <c r="AE21">
        <f t="shared" si="5"/>
        <v>8.1252620913580227</v>
      </c>
      <c r="AF21" s="9"/>
      <c r="AG21" s="22">
        <v>-4.4555699999999997E-2</v>
      </c>
      <c r="AH21" s="22">
        <v>18.532800000000002</v>
      </c>
      <c r="AI21" s="22">
        <v>-1.38245E-2</v>
      </c>
      <c r="AJ21" s="22">
        <v>11</v>
      </c>
      <c r="AK21" s="22">
        <v>-4.4976799999999997E-2</v>
      </c>
      <c r="AL21">
        <f t="shared" si="6"/>
        <v>17.067283950617281</v>
      </c>
      <c r="AM21">
        <f t="shared" si="7"/>
        <v>-0.7604447835185183</v>
      </c>
      <c r="AP21" s="9"/>
      <c r="AQ21" s="22">
        <v>1.76468</v>
      </c>
      <c r="AR21" s="22">
        <v>24.096599999999999</v>
      </c>
      <c r="AS21" s="22">
        <v>-3.44604E-3</v>
      </c>
      <c r="AT21" s="22">
        <v>11</v>
      </c>
      <c r="AU21" s="22">
        <v>1.7639199999999999</v>
      </c>
      <c r="AV21">
        <f t="shared" si="8"/>
        <v>4.2543703703703706</v>
      </c>
      <c r="AW21">
        <f t="shared" si="9"/>
        <v>7.5076023051851859</v>
      </c>
      <c r="AX21" s="9"/>
      <c r="AY21" s="22">
        <v>-4.4555699999999997E-2</v>
      </c>
      <c r="AZ21" s="22">
        <v>27.956099999999999</v>
      </c>
      <c r="BA21" s="22">
        <v>-1.3876299999999999E-2</v>
      </c>
      <c r="BB21" s="22">
        <v>11</v>
      </c>
      <c r="BC21" s="22">
        <v>-4.4937100000000001E-2</v>
      </c>
      <c r="BD21">
        <f t="shared" si="10"/>
        <v>17.131234567901231</v>
      </c>
      <c r="BE21">
        <f t="shared" si="11"/>
        <v>-0.76329414803703677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1.7596400000000001</v>
      </c>
      <c r="H22" s="22">
        <v>5.3471799999999998</v>
      </c>
      <c r="I22" s="22">
        <v>-5.5114700000000001E-3</v>
      </c>
      <c r="J22" s="22">
        <v>12</v>
      </c>
      <c r="K22" s="22">
        <v>1.7590300000000001</v>
      </c>
      <c r="L22">
        <f t="shared" si="0"/>
        <v>6.8042839506172834</v>
      </c>
      <c r="M22">
        <f t="shared" si="1"/>
        <v>11.973090210864196</v>
      </c>
      <c r="N22" s="9"/>
      <c r="O22" s="22">
        <v>-3.9520300000000001E-2</v>
      </c>
      <c r="P22" s="22">
        <v>9.2066499999999998</v>
      </c>
      <c r="Q22" s="22">
        <v>-1.3815300000000001E-2</v>
      </c>
      <c r="R22" s="22">
        <v>12</v>
      </c>
      <c r="S22" s="22">
        <v>-3.9895600000000003E-2</v>
      </c>
      <c r="T22">
        <f t="shared" si="2"/>
        <v>17.055925925925926</v>
      </c>
      <c r="U22">
        <f t="shared" si="3"/>
        <v>-0.67405530937037039</v>
      </c>
      <c r="V22" s="23"/>
      <c r="W22" s="24"/>
      <c r="X22" s="9"/>
      <c r="Y22" s="22">
        <v>1.7596400000000001</v>
      </c>
      <c r="Z22" s="22">
        <v>14.683400000000001</v>
      </c>
      <c r="AA22" s="22">
        <v>-4.5590200000000004E-3</v>
      </c>
      <c r="AB22" s="22">
        <v>12</v>
      </c>
      <c r="AC22" s="22">
        <v>1.7587299999999999</v>
      </c>
      <c r="AD22">
        <f t="shared" si="4"/>
        <v>5.62841975308642</v>
      </c>
      <c r="AE22">
        <f t="shared" si="5"/>
        <v>9.903992534320988</v>
      </c>
      <c r="AF22" s="9"/>
      <c r="AG22" s="22">
        <v>-3.9520300000000001E-2</v>
      </c>
      <c r="AH22" s="22">
        <v>18.542899999999999</v>
      </c>
      <c r="AI22" s="22">
        <v>-1.38184E-2</v>
      </c>
      <c r="AJ22" s="22">
        <v>12</v>
      </c>
      <c r="AK22" s="22">
        <v>-3.9886499999999998E-2</v>
      </c>
      <c r="AL22">
        <f t="shared" si="6"/>
        <v>17.05975308641975</v>
      </c>
      <c r="AM22">
        <f t="shared" si="7"/>
        <v>-0.67420655990123446</v>
      </c>
      <c r="AP22" s="9"/>
      <c r="AQ22" s="22">
        <v>1.7596400000000001</v>
      </c>
      <c r="AR22" s="22">
        <v>24.1067</v>
      </c>
      <c r="AS22" s="22">
        <v>-4.3893400000000003E-3</v>
      </c>
      <c r="AT22" s="22">
        <v>12</v>
      </c>
      <c r="AU22" s="22">
        <v>1.7581199999999999</v>
      </c>
      <c r="AV22">
        <f t="shared" si="8"/>
        <v>5.4189382716049384</v>
      </c>
      <c r="AW22">
        <f t="shared" si="9"/>
        <v>9.5353805402469138</v>
      </c>
      <c r="AX22" s="9"/>
      <c r="AY22" s="22">
        <v>-3.9520300000000001E-2</v>
      </c>
      <c r="AZ22" s="22">
        <v>27.966100000000001</v>
      </c>
      <c r="BA22" s="22">
        <v>-1.3876299999999999E-2</v>
      </c>
      <c r="BB22" s="22">
        <v>12</v>
      </c>
      <c r="BC22" s="22">
        <v>-3.9910899999999999E-2</v>
      </c>
      <c r="BD22">
        <f t="shared" si="10"/>
        <v>17.131234567901231</v>
      </c>
      <c r="BE22">
        <f t="shared" si="11"/>
        <v>-0.67703152949382706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1.75461</v>
      </c>
      <c r="H23" s="22">
        <v>5.3572499999999996</v>
      </c>
      <c r="I23" s="22">
        <v>-6.1065700000000004E-3</v>
      </c>
      <c r="J23" s="22">
        <v>13</v>
      </c>
      <c r="K23" s="22">
        <v>1.7535400000000001</v>
      </c>
      <c r="L23">
        <f t="shared" si="0"/>
        <v>7.5389753086419757</v>
      </c>
      <c r="M23">
        <f t="shared" si="1"/>
        <v>13.227961466296296</v>
      </c>
      <c r="N23" s="9"/>
      <c r="O23" s="22">
        <v>-3.4484899999999999E-2</v>
      </c>
      <c r="P23" s="22">
        <v>9.2167200000000005</v>
      </c>
      <c r="Q23" s="22">
        <v>-1.3821399999999999E-2</v>
      </c>
      <c r="R23" s="22">
        <v>13</v>
      </c>
      <c r="S23" s="22">
        <v>-3.48083E-2</v>
      </c>
      <c r="T23">
        <f t="shared" si="2"/>
        <v>17.063456790123453</v>
      </c>
      <c r="U23">
        <f t="shared" si="3"/>
        <v>-0.5884316010617282</v>
      </c>
      <c r="V23" s="23"/>
      <c r="W23" s="24"/>
      <c r="X23" s="9"/>
      <c r="Y23" s="22">
        <v>1.75461</v>
      </c>
      <c r="Z23" s="22">
        <v>14.6935</v>
      </c>
      <c r="AA23" s="22">
        <v>-5.2887000000000003E-3</v>
      </c>
      <c r="AB23" s="22">
        <v>13</v>
      </c>
      <c r="AC23" s="22">
        <v>1.7535400000000001</v>
      </c>
      <c r="AD23">
        <f t="shared" si="4"/>
        <v>6.5292592592592591</v>
      </c>
      <c r="AE23">
        <f t="shared" si="5"/>
        <v>11.456303588888888</v>
      </c>
      <c r="AF23" s="9"/>
      <c r="AG23" s="22">
        <v>-3.4484899999999999E-2</v>
      </c>
      <c r="AH23" s="22">
        <v>18.553000000000001</v>
      </c>
      <c r="AI23" s="22">
        <v>-1.38184E-2</v>
      </c>
      <c r="AJ23" s="22">
        <v>13</v>
      </c>
      <c r="AK23" s="22">
        <v>-3.48083E-2</v>
      </c>
      <c r="AL23">
        <f t="shared" si="6"/>
        <v>17.05975308641975</v>
      </c>
      <c r="AM23">
        <f t="shared" si="7"/>
        <v>-0.58830387920987648</v>
      </c>
      <c r="AP23" s="9"/>
      <c r="AQ23" s="22">
        <v>1.75461</v>
      </c>
      <c r="AR23" s="22">
        <v>24.116700000000002</v>
      </c>
      <c r="AS23" s="22">
        <v>-5.1147500000000004E-3</v>
      </c>
      <c r="AT23" s="22">
        <v>13</v>
      </c>
      <c r="AU23" s="22">
        <v>1.7535400000000001</v>
      </c>
      <c r="AV23">
        <f t="shared" si="8"/>
        <v>6.314506172839506</v>
      </c>
      <c r="AW23">
        <f t="shared" si="9"/>
        <v>11.079495675925926</v>
      </c>
      <c r="AX23" s="9"/>
      <c r="AY23" s="22">
        <v>-3.4484899999999999E-2</v>
      </c>
      <c r="AZ23" s="22">
        <v>27.976199999999999</v>
      </c>
      <c r="BA23" s="22">
        <v>-1.38855E-2</v>
      </c>
      <c r="BB23" s="22">
        <v>13</v>
      </c>
      <c r="BC23" s="22">
        <v>-3.4799200000000002E-2</v>
      </c>
      <c r="BD23">
        <f t="shared" si="10"/>
        <v>17.142592592592592</v>
      </c>
      <c r="BE23">
        <f t="shared" si="11"/>
        <v>-0.59116059129629628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1.7495700000000001</v>
      </c>
      <c r="H24" s="22">
        <v>5.3673200000000003</v>
      </c>
      <c r="I24" s="22">
        <v>-6.6497800000000001E-3</v>
      </c>
      <c r="J24" s="22">
        <v>14</v>
      </c>
      <c r="K24" s="22">
        <v>1.7486600000000001</v>
      </c>
      <c r="L24">
        <f t="shared" si="0"/>
        <v>8.209604938271605</v>
      </c>
      <c r="M24">
        <f t="shared" si="1"/>
        <v>14.363278511851853</v>
      </c>
      <c r="N24" s="9"/>
      <c r="O24" s="22">
        <v>-2.94495E-2</v>
      </c>
      <c r="P24" s="22">
        <v>9.2267899999999994</v>
      </c>
      <c r="Q24" s="22">
        <v>-1.38245E-2</v>
      </c>
      <c r="R24" s="22">
        <v>14</v>
      </c>
      <c r="S24" s="22">
        <v>-2.9895000000000001E-2</v>
      </c>
      <c r="T24">
        <f t="shared" si="2"/>
        <v>17.067283950617281</v>
      </c>
      <c r="U24">
        <f t="shared" si="3"/>
        <v>-0.50262297870370365</v>
      </c>
      <c r="V24" s="23"/>
      <c r="W24" s="24"/>
      <c r="X24" s="9"/>
      <c r="Y24" s="22">
        <v>1.7495700000000001</v>
      </c>
      <c r="Z24" s="22">
        <v>14.7036</v>
      </c>
      <c r="AA24" s="22">
        <v>-5.9661899999999997E-3</v>
      </c>
      <c r="AB24" s="22">
        <v>14</v>
      </c>
      <c r="AC24" s="22">
        <v>1.7486600000000001</v>
      </c>
      <c r="AD24">
        <f t="shared" si="4"/>
        <v>7.3656666666666659</v>
      </c>
      <c r="AE24">
        <f t="shared" si="5"/>
        <v>12.88674943</v>
      </c>
      <c r="AF24" s="9"/>
      <c r="AG24" s="22">
        <v>-2.94495E-2</v>
      </c>
      <c r="AH24" s="22">
        <v>18.562999999999999</v>
      </c>
      <c r="AI24" s="22">
        <v>-1.3815300000000001E-2</v>
      </c>
      <c r="AJ24" s="22">
        <v>14</v>
      </c>
      <c r="AK24" s="22">
        <v>-2.9772900000000001E-2</v>
      </c>
      <c r="AL24">
        <f t="shared" si="6"/>
        <v>17.055925925925926</v>
      </c>
      <c r="AM24">
        <f t="shared" si="7"/>
        <v>-0.50228849055555558</v>
      </c>
      <c r="AP24" s="9"/>
      <c r="AQ24" s="22">
        <v>1.7495700000000001</v>
      </c>
      <c r="AR24" s="22">
        <v>24.126799999999999</v>
      </c>
      <c r="AS24" s="22">
        <v>-5.7525600000000003E-3</v>
      </c>
      <c r="AT24" s="22">
        <v>14</v>
      </c>
      <c r="AU24" s="22">
        <v>1.7486600000000001</v>
      </c>
      <c r="AV24">
        <f t="shared" si="8"/>
        <v>7.1019259259259258</v>
      </c>
      <c r="AW24">
        <f t="shared" si="9"/>
        <v>12.425316542222223</v>
      </c>
      <c r="AX24" s="9"/>
      <c r="AY24" s="22">
        <v>-2.94495E-2</v>
      </c>
      <c r="AZ24" s="22">
        <v>27.9863</v>
      </c>
      <c r="BA24" s="22">
        <v>-1.38855E-2</v>
      </c>
      <c r="BB24" s="22">
        <v>14</v>
      </c>
      <c r="BC24" s="22">
        <v>-2.9815700000000001E-2</v>
      </c>
      <c r="BD24">
        <f t="shared" si="10"/>
        <v>17.142592592592592</v>
      </c>
      <c r="BE24">
        <f t="shared" si="11"/>
        <v>-0.50484078055555559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1.74454</v>
      </c>
      <c r="H25" s="22">
        <v>5.3773900000000001</v>
      </c>
      <c r="I25" s="22">
        <v>-7.1075399999999999E-3</v>
      </c>
      <c r="J25" s="22">
        <v>15</v>
      </c>
      <c r="K25" s="22">
        <v>1.7434700000000001</v>
      </c>
      <c r="L25">
        <f t="shared" si="0"/>
        <v>8.7747407407407394</v>
      </c>
      <c r="M25">
        <f t="shared" si="1"/>
        <v>15.30788621185185</v>
      </c>
      <c r="N25" s="9"/>
      <c r="O25" s="22">
        <v>-2.4414100000000001E-2</v>
      </c>
      <c r="P25" s="22">
        <v>9.2368600000000001</v>
      </c>
      <c r="Q25" s="22">
        <v>-1.3815300000000001E-2</v>
      </c>
      <c r="R25" s="22">
        <v>15</v>
      </c>
      <c r="S25" s="22">
        <v>-2.4768100000000001E-2</v>
      </c>
      <c r="T25">
        <f t="shared" si="2"/>
        <v>17.055925925925926</v>
      </c>
      <c r="U25">
        <f t="shared" si="3"/>
        <v>-0.41640508114814817</v>
      </c>
      <c r="V25" s="23"/>
      <c r="W25" s="24"/>
      <c r="X25" s="9"/>
      <c r="Y25" s="22">
        <v>1.74454</v>
      </c>
      <c r="Z25" s="22">
        <v>14.7136</v>
      </c>
      <c r="AA25" s="22">
        <v>-6.5765399999999996E-3</v>
      </c>
      <c r="AB25" s="22">
        <v>15</v>
      </c>
      <c r="AC25" s="22">
        <v>1.7434700000000001</v>
      </c>
      <c r="AD25">
        <f t="shared" si="4"/>
        <v>8.1191851851851844</v>
      </c>
      <c r="AE25">
        <f t="shared" si="5"/>
        <v>14.164243322962962</v>
      </c>
      <c r="AF25" s="9"/>
      <c r="AG25" s="22">
        <v>-2.4414100000000001E-2</v>
      </c>
      <c r="AH25" s="22">
        <v>18.5731</v>
      </c>
      <c r="AI25" s="22">
        <v>-1.3815300000000001E-2</v>
      </c>
      <c r="AJ25" s="22">
        <v>15</v>
      </c>
      <c r="AK25" s="22">
        <v>-2.47742E-2</v>
      </c>
      <c r="AL25">
        <f t="shared" si="6"/>
        <v>17.055925925925926</v>
      </c>
      <c r="AM25">
        <f t="shared" si="7"/>
        <v>-0.41640508114814817</v>
      </c>
      <c r="AP25" s="9"/>
      <c r="AQ25" s="22">
        <v>1.74454</v>
      </c>
      <c r="AR25" s="22">
        <v>24.136900000000001</v>
      </c>
      <c r="AS25" s="22">
        <v>-6.3659700000000003E-3</v>
      </c>
      <c r="AT25" s="22">
        <v>15</v>
      </c>
      <c r="AU25" s="22">
        <v>1.74377</v>
      </c>
      <c r="AV25">
        <f t="shared" si="8"/>
        <v>7.8592222222222219</v>
      </c>
      <c r="AW25">
        <f t="shared" si="9"/>
        <v>13.710727535555554</v>
      </c>
      <c r="AX25" s="9"/>
      <c r="AY25" s="22">
        <v>-2.4414100000000001E-2</v>
      </c>
      <c r="AZ25" s="22">
        <v>27.996300000000002</v>
      </c>
      <c r="BA25" s="22">
        <v>-1.3894699999999999E-2</v>
      </c>
      <c r="BB25" s="22">
        <v>15</v>
      </c>
      <c r="BC25" s="22">
        <v>-2.4749799999999999E-2</v>
      </c>
      <c r="BD25">
        <f t="shared" si="10"/>
        <v>17.153950617283947</v>
      </c>
      <c r="BE25">
        <f t="shared" si="11"/>
        <v>-0.418798265765432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1.7395</v>
      </c>
      <c r="H26" s="22">
        <v>5.3874599999999999</v>
      </c>
      <c r="I26" s="22">
        <v>-7.5408899999999997E-3</v>
      </c>
      <c r="J26" s="22">
        <v>16</v>
      </c>
      <c r="K26" s="22">
        <v>1.7385900000000001</v>
      </c>
      <c r="L26">
        <f t="shared" si="0"/>
        <v>9.3097407407407395</v>
      </c>
      <c r="M26">
        <f t="shared" si="1"/>
        <v>16.194294018518516</v>
      </c>
      <c r="N26" s="9"/>
      <c r="O26" s="22">
        <v>-1.9378699999999999E-2</v>
      </c>
      <c r="P26" s="22">
        <v>9.2469300000000008</v>
      </c>
      <c r="Q26" s="22">
        <v>-1.38031E-2</v>
      </c>
      <c r="R26" s="22">
        <v>16</v>
      </c>
      <c r="S26" s="22">
        <v>-1.9711300000000001E-2</v>
      </c>
      <c r="T26">
        <f t="shared" si="2"/>
        <v>17.040864197530862</v>
      </c>
      <c r="U26">
        <f t="shared" si="3"/>
        <v>-0.3302297950246913</v>
      </c>
      <c r="V26" s="23"/>
      <c r="W26" s="24"/>
      <c r="X26" s="9"/>
      <c r="Y26" s="22">
        <v>1.7395</v>
      </c>
      <c r="Z26" s="22">
        <v>14.723699999999999</v>
      </c>
      <c r="AA26" s="22">
        <v>-7.0037800000000002E-3</v>
      </c>
      <c r="AB26" s="22">
        <v>16</v>
      </c>
      <c r="AC26" s="22">
        <v>1.73889</v>
      </c>
      <c r="AD26">
        <f t="shared" si="4"/>
        <v>8.6466419753086416</v>
      </c>
      <c r="AE26">
        <f t="shared" si="5"/>
        <v>15.040833716049383</v>
      </c>
      <c r="AF26" s="9"/>
      <c r="AG26" s="22">
        <v>-1.9378699999999999E-2</v>
      </c>
      <c r="AH26" s="22">
        <v>18.583200000000001</v>
      </c>
      <c r="AI26" s="22">
        <v>-1.38184E-2</v>
      </c>
      <c r="AJ26" s="22">
        <v>16</v>
      </c>
      <c r="AK26" s="22">
        <v>-1.9732699999999999E-2</v>
      </c>
      <c r="AL26">
        <f t="shared" si="6"/>
        <v>17.05975308641975</v>
      </c>
      <c r="AM26">
        <f t="shared" si="7"/>
        <v>-0.33059583713580237</v>
      </c>
      <c r="AP26" s="9"/>
      <c r="AQ26" s="22">
        <v>1.7395</v>
      </c>
      <c r="AR26" s="22">
        <v>24.146899999999999</v>
      </c>
      <c r="AS26" s="22">
        <v>-6.8908700000000003E-3</v>
      </c>
      <c r="AT26" s="22">
        <v>16</v>
      </c>
      <c r="AU26" s="22">
        <v>1.7379800000000001</v>
      </c>
      <c r="AV26">
        <f t="shared" si="8"/>
        <v>8.5072469135802482</v>
      </c>
      <c r="AW26">
        <f t="shared" si="9"/>
        <v>14.798356006172842</v>
      </c>
      <c r="AX26" s="9"/>
      <c r="AY26" s="22">
        <v>-1.9378699999999999E-2</v>
      </c>
      <c r="AZ26" s="22">
        <v>28.006399999999999</v>
      </c>
      <c r="BA26" s="22">
        <v>-1.3897700000000001E-2</v>
      </c>
      <c r="BB26" s="22">
        <v>16</v>
      </c>
      <c r="BC26" s="22">
        <v>-1.9738800000000001E-2</v>
      </c>
      <c r="BD26">
        <f t="shared" si="10"/>
        <v>17.157654320987653</v>
      </c>
      <c r="BE26">
        <f t="shared" si="11"/>
        <v>-0.3324930357901234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1.73447</v>
      </c>
      <c r="H27" s="22">
        <v>5.3975299999999997</v>
      </c>
      <c r="I27" s="22">
        <v>-7.9071000000000002E-3</v>
      </c>
      <c r="J27" s="22">
        <v>17</v>
      </c>
      <c r="K27" s="22">
        <v>1.7327900000000001</v>
      </c>
      <c r="L27">
        <f t="shared" si="0"/>
        <v>9.7618518518518513</v>
      </c>
      <c r="M27">
        <f t="shared" si="1"/>
        <v>16.931639181481479</v>
      </c>
      <c r="N27" s="9"/>
      <c r="O27" s="22">
        <v>-1.43433E-2</v>
      </c>
      <c r="P27" s="22">
        <v>9.2569999999999997</v>
      </c>
      <c r="Q27" s="22">
        <v>-1.37909E-2</v>
      </c>
      <c r="R27" s="22">
        <v>17</v>
      </c>
      <c r="S27" s="22">
        <v>-1.4648400000000001E-2</v>
      </c>
      <c r="T27">
        <f t="shared" si="2"/>
        <v>17.025802469135801</v>
      </c>
      <c r="U27">
        <f t="shared" si="3"/>
        <v>-0.24420619255555553</v>
      </c>
      <c r="X27" s="9"/>
      <c r="Y27" s="22">
        <v>1.73447</v>
      </c>
      <c r="Z27" s="22">
        <v>14.7338</v>
      </c>
      <c r="AA27" s="22">
        <v>-7.4493399999999996E-3</v>
      </c>
      <c r="AB27" s="22">
        <v>17</v>
      </c>
      <c r="AC27" s="22">
        <v>1.73309</v>
      </c>
      <c r="AD27">
        <f t="shared" si="4"/>
        <v>9.1967160493827151</v>
      </c>
      <c r="AE27">
        <f t="shared" si="5"/>
        <v>15.951428086172838</v>
      </c>
      <c r="AF27" s="9"/>
      <c r="AG27" s="22">
        <v>-1.43433E-2</v>
      </c>
      <c r="AH27" s="22">
        <v>18.593299999999999</v>
      </c>
      <c r="AI27" s="22">
        <v>-1.3821399999999999E-2</v>
      </c>
      <c r="AJ27" s="22">
        <v>17</v>
      </c>
      <c r="AK27" s="22">
        <v>-1.46637E-2</v>
      </c>
      <c r="AL27">
        <f t="shared" si="6"/>
        <v>17.063456790123453</v>
      </c>
      <c r="AM27">
        <f t="shared" si="7"/>
        <v>-0.24474627977777771</v>
      </c>
      <c r="AP27" s="9"/>
      <c r="AQ27" s="22">
        <v>1.73447</v>
      </c>
      <c r="AR27" s="22">
        <v>24.157</v>
      </c>
      <c r="AS27" s="22">
        <v>-7.3822000000000002E-3</v>
      </c>
      <c r="AT27" s="22">
        <v>17</v>
      </c>
      <c r="AU27" s="22">
        <v>1.7334000000000001</v>
      </c>
      <c r="AV27">
        <f t="shared" si="8"/>
        <v>9.1138271604938268</v>
      </c>
      <c r="AW27">
        <f t="shared" si="9"/>
        <v>15.807659795061728</v>
      </c>
      <c r="AX27" s="9"/>
      <c r="AY27" s="22">
        <v>-1.43433E-2</v>
      </c>
      <c r="AZ27" s="22">
        <v>28.016500000000001</v>
      </c>
      <c r="BA27" s="22">
        <v>-1.3903799999999999E-2</v>
      </c>
      <c r="BB27" s="22">
        <v>17</v>
      </c>
      <c r="BC27" s="22">
        <v>-1.46851E-2</v>
      </c>
      <c r="BD27">
        <f t="shared" si="10"/>
        <v>17.165185185185184</v>
      </c>
      <c r="BE27">
        <f t="shared" si="11"/>
        <v>-0.24620540066666663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1.72943</v>
      </c>
      <c r="H28" s="22">
        <v>5.4076000000000004</v>
      </c>
      <c r="I28" s="22">
        <v>-8.2153299999999999E-3</v>
      </c>
      <c r="J28" s="22">
        <v>18</v>
      </c>
      <c r="K28" s="22">
        <v>1.72882</v>
      </c>
      <c r="L28">
        <f t="shared" si="0"/>
        <v>10.142382716049381</v>
      </c>
      <c r="M28">
        <f t="shared" si="1"/>
        <v>17.54054094061728</v>
      </c>
      <c r="N28" s="9"/>
      <c r="O28" s="22">
        <v>-9.3078599999999994E-3</v>
      </c>
      <c r="P28" s="22">
        <v>9.26708</v>
      </c>
      <c r="Q28" s="22">
        <v>-1.3787799999999999E-2</v>
      </c>
      <c r="R28" s="22">
        <v>18</v>
      </c>
      <c r="S28" s="22">
        <v>-9.6374500000000005E-3</v>
      </c>
      <c r="T28">
        <f t="shared" si="2"/>
        <v>17.021975308641974</v>
      </c>
      <c r="U28">
        <f t="shared" si="3"/>
        <v>-0.15843816309629627</v>
      </c>
      <c r="X28" s="9"/>
      <c r="Y28" s="22">
        <v>1.72943</v>
      </c>
      <c r="Z28" s="22">
        <v>14.7439</v>
      </c>
      <c r="AA28" s="22">
        <v>-7.8552199999999996E-3</v>
      </c>
      <c r="AB28" s="22">
        <v>18</v>
      </c>
      <c r="AC28" s="22">
        <v>1.72882</v>
      </c>
      <c r="AD28">
        <f t="shared" si="4"/>
        <v>9.6978024691358016</v>
      </c>
      <c r="AE28">
        <f t="shared" si="5"/>
        <v>16.771670524197528</v>
      </c>
      <c r="AF28" s="9"/>
      <c r="AG28" s="22">
        <v>-9.3078599999999994E-3</v>
      </c>
      <c r="AH28" s="22">
        <v>18.603300000000001</v>
      </c>
      <c r="AI28" s="22">
        <v>-1.3821399999999999E-2</v>
      </c>
      <c r="AJ28" s="22">
        <v>18</v>
      </c>
      <c r="AK28" s="22">
        <v>-9.6130399999999998E-3</v>
      </c>
      <c r="AL28">
        <f t="shared" si="6"/>
        <v>17.063456790123453</v>
      </c>
      <c r="AM28">
        <f t="shared" si="7"/>
        <v>-0.15882426691851848</v>
      </c>
      <c r="AP28" s="9"/>
      <c r="AQ28" s="22">
        <v>1.72943</v>
      </c>
      <c r="AR28" s="22">
        <v>24.167100000000001</v>
      </c>
      <c r="AS28" s="22">
        <v>-7.7880900000000001E-3</v>
      </c>
      <c r="AT28" s="22">
        <v>18</v>
      </c>
      <c r="AU28" s="22">
        <v>1.7279100000000001</v>
      </c>
      <c r="AV28">
        <f t="shared" si="8"/>
        <v>9.6149259259259257</v>
      </c>
      <c r="AW28">
        <f t="shared" si="9"/>
        <v>16.628341344074073</v>
      </c>
      <c r="AX28" s="9"/>
      <c r="AY28" s="22">
        <v>-9.3078599999999994E-3</v>
      </c>
      <c r="AZ28" s="22">
        <v>28.026599999999998</v>
      </c>
      <c r="BA28" s="22">
        <v>-1.3897700000000001E-2</v>
      </c>
      <c r="BB28" s="22">
        <v>18</v>
      </c>
      <c r="BC28" s="22">
        <v>-9.6099900000000005E-3</v>
      </c>
      <c r="BD28">
        <f t="shared" si="10"/>
        <v>17.157654320987653</v>
      </c>
      <c r="BE28">
        <f t="shared" si="11"/>
        <v>-0.15970104434814814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1.7243999999999999</v>
      </c>
      <c r="H29" s="22">
        <v>5.4176700000000002</v>
      </c>
      <c r="I29" s="22">
        <v>-8.5205100000000002E-3</v>
      </c>
      <c r="J29" s="22">
        <v>19</v>
      </c>
      <c r="K29" s="22">
        <v>1.72363</v>
      </c>
      <c r="L29">
        <f t="shared" si="0"/>
        <v>10.519148148148147</v>
      </c>
      <c r="M29">
        <f t="shared" si="1"/>
        <v>18.139219066666666</v>
      </c>
      <c r="N29" s="9"/>
      <c r="O29" s="22">
        <v>-4.2724599999999996E-3</v>
      </c>
      <c r="P29" s="22">
        <v>9.2771500000000007</v>
      </c>
      <c r="Q29" s="22">
        <v>-1.3797E-2</v>
      </c>
      <c r="R29" s="22">
        <v>19</v>
      </c>
      <c r="S29" s="22">
        <v>-4.54712E-3</v>
      </c>
      <c r="T29">
        <f t="shared" si="2"/>
        <v>17.033333333333331</v>
      </c>
      <c r="U29">
        <f t="shared" si="3"/>
        <v>-7.2774235333333312E-2</v>
      </c>
      <c r="X29" s="9"/>
      <c r="Y29" s="22">
        <v>1.7243999999999999</v>
      </c>
      <c r="Z29" s="22">
        <v>14.7539</v>
      </c>
      <c r="AA29" s="22">
        <v>-8.2153299999999999E-3</v>
      </c>
      <c r="AB29" s="22">
        <v>19</v>
      </c>
      <c r="AC29" s="22">
        <v>1.72394</v>
      </c>
      <c r="AD29">
        <f t="shared" si="4"/>
        <v>10.142382716049381</v>
      </c>
      <c r="AE29">
        <f t="shared" si="5"/>
        <v>17.489524755555554</v>
      </c>
      <c r="AF29" s="9"/>
      <c r="AG29" s="22">
        <v>-4.2724599999999996E-3</v>
      </c>
      <c r="AH29" s="22">
        <v>18.613399999999999</v>
      </c>
      <c r="AI29" s="22">
        <v>-1.38245E-2</v>
      </c>
      <c r="AJ29" s="22">
        <v>19</v>
      </c>
      <c r="AK29" s="22">
        <v>-4.5532200000000002E-3</v>
      </c>
      <c r="AL29">
        <f t="shared" si="6"/>
        <v>17.067283950617281</v>
      </c>
      <c r="AM29">
        <f t="shared" si="7"/>
        <v>-7.2919287987654305E-2</v>
      </c>
      <c r="AP29" s="9"/>
      <c r="AQ29" s="22">
        <v>1.7243999999999999</v>
      </c>
      <c r="AR29" s="22">
        <v>24.177199999999999</v>
      </c>
      <c r="AS29" s="22">
        <v>-8.1024200000000008E-3</v>
      </c>
      <c r="AT29" s="22">
        <v>19</v>
      </c>
      <c r="AU29" s="22">
        <v>1.72333</v>
      </c>
      <c r="AV29">
        <f t="shared" si="8"/>
        <v>10.002987654320988</v>
      </c>
      <c r="AW29">
        <f t="shared" si="9"/>
        <v>17.24915191111111</v>
      </c>
      <c r="AX29" s="9"/>
      <c r="AY29" s="22">
        <v>-4.2724599999999996E-3</v>
      </c>
      <c r="AZ29" s="22">
        <v>28.0366</v>
      </c>
      <c r="BA29" s="22">
        <v>-1.38916E-2</v>
      </c>
      <c r="BB29" s="22">
        <v>19</v>
      </c>
      <c r="BC29" s="22">
        <v>-4.5440699999999999E-3</v>
      </c>
      <c r="BD29">
        <f t="shared" si="10"/>
        <v>17.150123456790123</v>
      </c>
      <c r="BE29">
        <f t="shared" si="11"/>
        <v>-7.3273216464197516E-2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1.71936</v>
      </c>
      <c r="H30" s="22">
        <v>5.42774</v>
      </c>
      <c r="I30" s="22">
        <v>-8.7951699999999997E-3</v>
      </c>
      <c r="J30" s="22">
        <v>20</v>
      </c>
      <c r="K30" s="22">
        <v>1.71875</v>
      </c>
      <c r="L30">
        <f t="shared" si="0"/>
        <v>10.858234567901235</v>
      </c>
      <c r="M30">
        <f t="shared" si="1"/>
        <v>18.669214186666668</v>
      </c>
      <c r="N30" s="9"/>
      <c r="O30" s="22">
        <v>7.6293900000000002E-4</v>
      </c>
      <c r="P30" s="22">
        <v>9.2872199999999996</v>
      </c>
      <c r="Q30" s="22">
        <v>-1.38031E-2</v>
      </c>
      <c r="R30" s="22">
        <v>20</v>
      </c>
      <c r="S30" s="22">
        <v>4.9133300000000005E-4</v>
      </c>
      <c r="T30">
        <f t="shared" si="2"/>
        <v>17.040864197530862</v>
      </c>
      <c r="U30">
        <f t="shared" si="3"/>
        <v>1.3001139889999999E-2</v>
      </c>
      <c r="X30" s="9"/>
      <c r="Y30" s="22">
        <v>1.71936</v>
      </c>
      <c r="Z30" s="22">
        <v>14.763999999999999</v>
      </c>
      <c r="AA30" s="22">
        <v>-8.5449199999999993E-3</v>
      </c>
      <c r="AB30" s="22">
        <v>20</v>
      </c>
      <c r="AC30" s="22">
        <v>1.71814</v>
      </c>
      <c r="AD30">
        <f t="shared" si="4"/>
        <v>10.549283950617282</v>
      </c>
      <c r="AE30">
        <f t="shared" si="5"/>
        <v>18.13801685333333</v>
      </c>
      <c r="AF30" s="9"/>
      <c r="AG30" s="22">
        <v>7.6293900000000002E-4</v>
      </c>
      <c r="AH30" s="22">
        <v>18.6235</v>
      </c>
      <c r="AI30" s="22">
        <v>-1.38275E-2</v>
      </c>
      <c r="AJ30" s="22">
        <v>20</v>
      </c>
      <c r="AK30" s="22">
        <v>5.2795399999999997E-4</v>
      </c>
      <c r="AL30">
        <f t="shared" si="6"/>
        <v>17.070987654320987</v>
      </c>
      <c r="AM30">
        <f t="shared" si="7"/>
        <v>1.3024122250000001E-2</v>
      </c>
      <c r="AP30" s="9"/>
      <c r="AQ30" s="22">
        <v>1.71936</v>
      </c>
      <c r="AR30" s="22">
        <v>24.187200000000001</v>
      </c>
      <c r="AS30" s="22">
        <v>-8.48083E-3</v>
      </c>
      <c r="AT30" s="22">
        <v>20</v>
      </c>
      <c r="AU30" s="22">
        <v>1.71814</v>
      </c>
      <c r="AV30">
        <f t="shared" si="8"/>
        <v>10.470160493827159</v>
      </c>
      <c r="AW30">
        <f t="shared" si="9"/>
        <v>18.001975146666663</v>
      </c>
      <c r="AX30" s="9"/>
      <c r="AY30" s="22">
        <v>7.6293900000000002E-4</v>
      </c>
      <c r="AZ30" s="22">
        <v>28.046700000000001</v>
      </c>
      <c r="BA30" s="22">
        <v>-1.38916E-2</v>
      </c>
      <c r="BB30" s="22">
        <v>20</v>
      </c>
      <c r="BC30" s="22">
        <v>5.00488E-4</v>
      </c>
      <c r="BD30">
        <f t="shared" si="10"/>
        <v>17.150123456790123</v>
      </c>
      <c r="BE30">
        <f t="shared" si="11"/>
        <v>1.308449804E-2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1.7143200000000001</v>
      </c>
      <c r="H31" s="22">
        <v>5.4378200000000003</v>
      </c>
      <c r="I31" s="22">
        <v>-9.0545699999999996E-3</v>
      </c>
      <c r="J31" s="22">
        <v>21</v>
      </c>
      <c r="K31" s="22">
        <v>1.71326</v>
      </c>
      <c r="L31">
        <f t="shared" si="0"/>
        <v>11.17848148148148</v>
      </c>
      <c r="M31">
        <f t="shared" si="1"/>
        <v>19.163494373333332</v>
      </c>
      <c r="N31" s="9"/>
      <c r="O31" s="22">
        <v>5.7983399999999999E-3</v>
      </c>
      <c r="P31" s="22">
        <v>9.2972900000000003</v>
      </c>
      <c r="Q31" s="22">
        <v>-1.3809200000000001E-2</v>
      </c>
      <c r="R31" s="22">
        <v>21</v>
      </c>
      <c r="S31" s="22">
        <v>5.5419900000000001E-3</v>
      </c>
      <c r="T31">
        <f t="shared" si="2"/>
        <v>17.048395061728392</v>
      </c>
      <c r="U31">
        <f t="shared" si="3"/>
        <v>9.8852391022222208E-2</v>
      </c>
      <c r="X31" s="9"/>
      <c r="Y31" s="22">
        <v>1.7143200000000001</v>
      </c>
      <c r="Z31" s="22">
        <v>14.774100000000001</v>
      </c>
      <c r="AA31" s="22">
        <v>-8.8592500000000008E-3</v>
      </c>
      <c r="AB31" s="22">
        <v>21</v>
      </c>
      <c r="AC31" s="22">
        <v>1.71295</v>
      </c>
      <c r="AD31">
        <f t="shared" si="4"/>
        <v>10.937345679012346</v>
      </c>
      <c r="AE31">
        <f t="shared" si="5"/>
        <v>18.750110444444445</v>
      </c>
      <c r="AF31" s="9"/>
      <c r="AG31" s="22">
        <v>5.7983399999999999E-3</v>
      </c>
      <c r="AH31" s="22">
        <v>18.633500000000002</v>
      </c>
      <c r="AI31" s="22">
        <v>-1.38275E-2</v>
      </c>
      <c r="AJ31" s="22">
        <v>21</v>
      </c>
      <c r="AK31" s="22">
        <v>5.50842E-3</v>
      </c>
      <c r="AL31">
        <f t="shared" si="6"/>
        <v>17.070987654320987</v>
      </c>
      <c r="AM31">
        <f t="shared" si="7"/>
        <v>9.898339055555555E-2</v>
      </c>
      <c r="AP31" s="9"/>
      <c r="AQ31" s="22">
        <v>1.7143200000000001</v>
      </c>
      <c r="AR31" s="22">
        <v>24.197299999999998</v>
      </c>
      <c r="AS31" s="22">
        <v>-8.7890599999999996E-3</v>
      </c>
      <c r="AT31" s="22">
        <v>21</v>
      </c>
      <c r="AU31" s="22">
        <v>1.71356</v>
      </c>
      <c r="AV31">
        <f t="shared" si="8"/>
        <v>10.85069135802469</v>
      </c>
      <c r="AW31">
        <f t="shared" si="9"/>
        <v>18.601557208888888</v>
      </c>
      <c r="AX31" s="9"/>
      <c r="AY31" s="22">
        <v>5.7983399999999999E-3</v>
      </c>
      <c r="AZ31" s="22">
        <v>28.056799999999999</v>
      </c>
      <c r="BA31" s="22">
        <v>-1.38885E-2</v>
      </c>
      <c r="BB31" s="22">
        <v>21</v>
      </c>
      <c r="BC31" s="22">
        <v>5.5358899999999999E-3</v>
      </c>
      <c r="BD31">
        <f t="shared" si="10"/>
        <v>17.146296296296295</v>
      </c>
      <c r="BE31">
        <f t="shared" si="11"/>
        <v>9.942005566666666E-2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1.70929</v>
      </c>
      <c r="H32" s="22">
        <v>5.4478900000000001</v>
      </c>
      <c r="I32" s="22">
        <v>-9.2864999999999996E-3</v>
      </c>
      <c r="J32" s="22">
        <v>22</v>
      </c>
      <c r="K32" s="22">
        <v>1.70868</v>
      </c>
      <c r="L32">
        <f t="shared" si="0"/>
        <v>11.464814814814813</v>
      </c>
      <c r="M32">
        <f t="shared" si="1"/>
        <v>19.596693314814811</v>
      </c>
      <c r="N32" s="9"/>
      <c r="O32" s="22">
        <v>1.08337E-2</v>
      </c>
      <c r="P32" s="22">
        <v>9.3073599999999992</v>
      </c>
      <c r="Q32" s="22">
        <v>-1.3806199999999999E-2</v>
      </c>
      <c r="R32" s="22">
        <v>22</v>
      </c>
      <c r="S32" s="22">
        <v>1.05804E-2</v>
      </c>
      <c r="T32">
        <f t="shared" si="2"/>
        <v>17.044691358024689</v>
      </c>
      <c r="U32">
        <f t="shared" si="3"/>
        <v>0.18465707276543208</v>
      </c>
      <c r="X32" s="9"/>
      <c r="Y32" s="22">
        <v>1.70929</v>
      </c>
      <c r="Z32" s="22">
        <v>14.7841</v>
      </c>
      <c r="AA32" s="22">
        <v>-9.1308599999999993E-3</v>
      </c>
      <c r="AB32" s="22">
        <v>22</v>
      </c>
      <c r="AC32" s="22">
        <v>1.70868</v>
      </c>
      <c r="AD32">
        <f t="shared" si="4"/>
        <v>11.272666666666666</v>
      </c>
      <c r="AE32">
        <f t="shared" si="5"/>
        <v>19.268256406666666</v>
      </c>
      <c r="AF32" s="9"/>
      <c r="AG32" s="22">
        <v>1.08337E-2</v>
      </c>
      <c r="AH32" s="22">
        <v>18.643599999999999</v>
      </c>
      <c r="AI32" s="22">
        <v>-1.38275E-2</v>
      </c>
      <c r="AJ32" s="22">
        <v>22</v>
      </c>
      <c r="AK32" s="22">
        <v>1.0577400000000001E-2</v>
      </c>
      <c r="AL32">
        <f t="shared" si="6"/>
        <v>17.070987654320987</v>
      </c>
      <c r="AM32">
        <f t="shared" si="7"/>
        <v>0.18494195895061727</v>
      </c>
      <c r="AP32" s="9"/>
      <c r="AQ32" s="22">
        <v>1.70929</v>
      </c>
      <c r="AR32" s="22">
        <v>24.2074</v>
      </c>
      <c r="AS32" s="22">
        <v>-9.0759299999999994E-3</v>
      </c>
      <c r="AT32" s="22">
        <v>22</v>
      </c>
      <c r="AU32" s="22">
        <v>1.7083699999999999</v>
      </c>
      <c r="AV32">
        <f t="shared" si="8"/>
        <v>11.204851851851851</v>
      </c>
      <c r="AW32">
        <f t="shared" si="9"/>
        <v>19.152341221851849</v>
      </c>
      <c r="AX32" s="9"/>
      <c r="AY32" s="22">
        <v>1.08337E-2</v>
      </c>
      <c r="AZ32" s="22">
        <v>28.066800000000001</v>
      </c>
      <c r="BA32" s="22">
        <v>-1.3894699999999999E-2</v>
      </c>
      <c r="BB32" s="22">
        <v>22</v>
      </c>
      <c r="BC32" s="22">
        <v>1.05865E-2</v>
      </c>
      <c r="BD32">
        <f t="shared" si="10"/>
        <v>17.153950617283947</v>
      </c>
      <c r="BE32">
        <f t="shared" si="11"/>
        <v>0.18584075480246909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1.70425</v>
      </c>
      <c r="H33" s="22">
        <v>5.4579599999999999</v>
      </c>
      <c r="I33" s="22">
        <v>-9.5153800000000004E-3</v>
      </c>
      <c r="J33" s="22">
        <v>23</v>
      </c>
      <c r="K33" s="22">
        <v>1.7034899999999999</v>
      </c>
      <c r="L33">
        <f t="shared" si="0"/>
        <v>11.747382716049382</v>
      </c>
      <c r="M33">
        <f t="shared" si="1"/>
        <v>20.02047699382716</v>
      </c>
      <c r="N33" s="9"/>
      <c r="O33" s="22">
        <v>1.5869100000000001E-2</v>
      </c>
      <c r="P33" s="22">
        <v>9.3174299999999999</v>
      </c>
      <c r="Q33" s="22">
        <v>-1.38031E-2</v>
      </c>
      <c r="R33" s="22">
        <v>23</v>
      </c>
      <c r="S33" s="22">
        <v>1.5631099999999998E-2</v>
      </c>
      <c r="T33">
        <f t="shared" si="2"/>
        <v>17.040864197530862</v>
      </c>
      <c r="U33">
        <f t="shared" si="3"/>
        <v>0.27042317803703703</v>
      </c>
      <c r="X33" s="9"/>
      <c r="Y33" s="22">
        <v>1.70425</v>
      </c>
      <c r="Z33" s="22">
        <v>14.7942</v>
      </c>
      <c r="AA33" s="22">
        <v>-9.3810999999999999E-3</v>
      </c>
      <c r="AB33" s="22">
        <v>23</v>
      </c>
      <c r="AC33" s="22">
        <v>1.70319</v>
      </c>
      <c r="AD33">
        <f t="shared" si="4"/>
        <v>11.581604938271603</v>
      </c>
      <c r="AE33">
        <f t="shared" si="5"/>
        <v>19.737950216049381</v>
      </c>
      <c r="AF33" s="9"/>
      <c r="AG33" s="22">
        <v>1.5869100000000001E-2</v>
      </c>
      <c r="AH33" s="22">
        <v>18.653700000000001</v>
      </c>
      <c r="AI33" s="22">
        <v>-1.3821399999999999E-2</v>
      </c>
      <c r="AJ33" s="22">
        <v>23</v>
      </c>
      <c r="AK33" s="22">
        <v>1.5704300000000001E-2</v>
      </c>
      <c r="AL33">
        <f t="shared" si="6"/>
        <v>17.063456790123453</v>
      </c>
      <c r="AM33">
        <f t="shared" si="7"/>
        <v>0.27078170214814812</v>
      </c>
      <c r="AP33" s="9"/>
      <c r="AQ33" s="22">
        <v>1.70425</v>
      </c>
      <c r="AR33" s="22">
        <v>24.217400000000001</v>
      </c>
      <c r="AS33" s="22">
        <v>-9.3231200000000007E-3</v>
      </c>
      <c r="AT33" s="22">
        <v>23</v>
      </c>
      <c r="AU33" s="22">
        <v>1.7034899999999999</v>
      </c>
      <c r="AV33">
        <f t="shared" si="8"/>
        <v>11.510024691358025</v>
      </c>
      <c r="AW33">
        <f t="shared" si="9"/>
        <v>19.615959580246916</v>
      </c>
      <c r="AX33" s="9"/>
      <c r="AY33" s="22">
        <v>1.5869100000000001E-2</v>
      </c>
      <c r="AZ33" s="22">
        <v>28.076899999999998</v>
      </c>
      <c r="BA33" s="22">
        <v>-1.38885E-2</v>
      </c>
      <c r="BB33" s="22">
        <v>23</v>
      </c>
      <c r="BC33" s="22">
        <v>1.5628099999999999E-2</v>
      </c>
      <c r="BD33">
        <f t="shared" si="10"/>
        <v>17.146296296296295</v>
      </c>
      <c r="BE33">
        <f t="shared" si="11"/>
        <v>0.27209629055555556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1.69922</v>
      </c>
      <c r="H34" s="22">
        <v>5.4680299999999997</v>
      </c>
      <c r="I34" s="22">
        <v>-9.70764E-3</v>
      </c>
      <c r="J34" s="22">
        <v>24</v>
      </c>
      <c r="K34" s="22">
        <v>1.698</v>
      </c>
      <c r="L34">
        <f t="shared" si="0"/>
        <v>11.98474074074074</v>
      </c>
      <c r="M34">
        <f t="shared" si="1"/>
        <v>20.36471116148148</v>
      </c>
      <c r="N34" s="9"/>
      <c r="O34" s="22">
        <v>2.0904499999999999E-2</v>
      </c>
      <c r="P34" s="22">
        <v>9.3275000000000006</v>
      </c>
      <c r="Q34" s="22">
        <v>-1.3797E-2</v>
      </c>
      <c r="R34" s="22">
        <v>24</v>
      </c>
      <c r="S34" s="22">
        <v>2.0690900000000002E-2</v>
      </c>
      <c r="T34">
        <f t="shared" si="2"/>
        <v>17.033333333333331</v>
      </c>
      <c r="U34">
        <f t="shared" si="3"/>
        <v>0.35607331666666664</v>
      </c>
      <c r="X34" s="9"/>
      <c r="Y34" s="22">
        <v>1.69922</v>
      </c>
      <c r="Z34" s="22">
        <v>14.8043</v>
      </c>
      <c r="AA34" s="22">
        <v>-9.6069299999999996E-3</v>
      </c>
      <c r="AB34" s="22">
        <v>24</v>
      </c>
      <c r="AC34" s="22">
        <v>1.6982999999999999</v>
      </c>
      <c r="AD34">
        <f t="shared" si="4"/>
        <v>11.860407407407406</v>
      </c>
      <c r="AE34">
        <f t="shared" si="5"/>
        <v>20.153441474814812</v>
      </c>
      <c r="AF34" s="9"/>
      <c r="AG34" s="22">
        <v>2.0904499999999999E-2</v>
      </c>
      <c r="AH34" s="22">
        <v>18.663799999999998</v>
      </c>
      <c r="AI34" s="22">
        <v>-1.3821399999999999E-2</v>
      </c>
      <c r="AJ34" s="22">
        <v>24</v>
      </c>
      <c r="AK34" s="22">
        <v>2.0611600000000001E-2</v>
      </c>
      <c r="AL34">
        <f t="shared" si="6"/>
        <v>17.063456790123453</v>
      </c>
      <c r="AM34">
        <f t="shared" si="7"/>
        <v>0.35670303246913571</v>
      </c>
      <c r="AP34" s="9"/>
      <c r="AQ34" s="22">
        <v>1.69922</v>
      </c>
      <c r="AR34" s="22">
        <v>24.227499999999999</v>
      </c>
      <c r="AS34" s="22">
        <v>-9.5550500000000007E-3</v>
      </c>
      <c r="AT34" s="22">
        <v>24</v>
      </c>
      <c r="AU34" s="22">
        <v>1.6982999999999999</v>
      </c>
      <c r="AV34">
        <f t="shared" si="8"/>
        <v>11.796358024691358</v>
      </c>
      <c r="AW34">
        <f t="shared" si="9"/>
        <v>20.044607482716049</v>
      </c>
      <c r="AX34" s="9"/>
      <c r="AY34" s="22">
        <v>2.0904499999999999E-2</v>
      </c>
      <c r="AZ34" s="22">
        <v>28.087</v>
      </c>
      <c r="BA34" s="22">
        <v>-1.38855E-2</v>
      </c>
      <c r="BB34" s="22">
        <v>24</v>
      </c>
      <c r="BC34" s="22">
        <v>2.0700099999999999E-2</v>
      </c>
      <c r="BD34">
        <f t="shared" si="10"/>
        <v>17.142592592592592</v>
      </c>
      <c r="BE34">
        <f t="shared" si="11"/>
        <v>0.35835732685185184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1.69418</v>
      </c>
      <c r="H35" s="22">
        <v>5.4781000000000004</v>
      </c>
      <c r="I35" s="22">
        <v>-9.9609399999999997E-3</v>
      </c>
      <c r="J35" s="22">
        <v>25</v>
      </c>
      <c r="K35" s="22">
        <v>1.69312</v>
      </c>
      <c r="L35">
        <f t="shared" si="0"/>
        <v>12.297456790123457</v>
      </c>
      <c r="M35">
        <f t="shared" si="1"/>
        <v>20.834105344691359</v>
      </c>
      <c r="N35" s="9"/>
      <c r="O35" s="22">
        <v>2.5939899999999998E-2</v>
      </c>
      <c r="P35" s="22">
        <v>9.3375699999999995</v>
      </c>
      <c r="Q35" s="22">
        <v>-1.3797E-2</v>
      </c>
      <c r="R35" s="22">
        <v>25</v>
      </c>
      <c r="S35" s="22">
        <v>2.5738500000000001E-2</v>
      </c>
      <c r="T35">
        <f t="shared" si="2"/>
        <v>17.033333333333331</v>
      </c>
      <c r="U35">
        <f t="shared" si="3"/>
        <v>0.44184296333333328</v>
      </c>
      <c r="X35" s="9"/>
      <c r="Y35" s="22">
        <v>1.69418</v>
      </c>
      <c r="Z35" s="22">
        <v>14.814399999999999</v>
      </c>
      <c r="AA35" s="22">
        <v>-9.8266599999999992E-3</v>
      </c>
      <c r="AB35" s="22">
        <v>25</v>
      </c>
      <c r="AC35" s="22">
        <v>1.69312</v>
      </c>
      <c r="AD35">
        <f t="shared" si="4"/>
        <v>12.131679012345678</v>
      </c>
      <c r="AE35">
        <f t="shared" si="5"/>
        <v>20.553247949135802</v>
      </c>
      <c r="AF35" s="9"/>
      <c r="AG35" s="22">
        <v>2.5939899999999998E-2</v>
      </c>
      <c r="AH35" s="22">
        <v>18.6738</v>
      </c>
      <c r="AI35" s="22">
        <v>-1.3821399999999999E-2</v>
      </c>
      <c r="AJ35" s="22">
        <v>25</v>
      </c>
      <c r="AK35" s="22">
        <v>2.57141E-2</v>
      </c>
      <c r="AL35">
        <f t="shared" si="6"/>
        <v>17.063456790123453</v>
      </c>
      <c r="AM35">
        <f t="shared" si="7"/>
        <v>0.44262436279012335</v>
      </c>
      <c r="AP35" s="9"/>
      <c r="AQ35" s="22">
        <v>1.69418</v>
      </c>
      <c r="AR35" s="22">
        <v>24.2376</v>
      </c>
      <c r="AS35" s="22">
        <v>-9.7656300000000008E-3</v>
      </c>
      <c r="AT35" s="22">
        <v>25</v>
      </c>
      <c r="AU35" s="22">
        <v>1.6934199999999999</v>
      </c>
      <c r="AV35">
        <f t="shared" si="8"/>
        <v>12.056333333333335</v>
      </c>
      <c r="AW35">
        <f t="shared" si="9"/>
        <v>20.42559880666667</v>
      </c>
      <c r="AX35" s="9"/>
      <c r="AY35" s="22">
        <v>2.5939899999999998E-2</v>
      </c>
      <c r="AZ35" s="22">
        <v>28.097100000000001</v>
      </c>
      <c r="BA35" s="22">
        <v>-1.38824E-2</v>
      </c>
      <c r="BB35" s="22">
        <v>25</v>
      </c>
      <c r="BC35" s="22">
        <v>2.5711100000000001E-2</v>
      </c>
      <c r="BD35">
        <f t="shared" si="10"/>
        <v>17.138765432098765</v>
      </c>
      <c r="BE35">
        <f t="shared" si="11"/>
        <v>0.44457786143209871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1.6891499999999999</v>
      </c>
      <c r="H36" s="22">
        <v>5.4881700000000002</v>
      </c>
      <c r="I36" s="22">
        <v>-1.0153199999999999E-2</v>
      </c>
      <c r="J36" s="22">
        <v>26</v>
      </c>
      <c r="K36" s="22">
        <v>1.6882299999999999</v>
      </c>
      <c r="L36">
        <f t="shared" si="0"/>
        <v>12.534814814814814</v>
      </c>
      <c r="M36">
        <f t="shared" si="1"/>
        <v>21.173182444444443</v>
      </c>
      <c r="N36" s="9"/>
      <c r="O36" s="22">
        <v>3.0975300000000001E-2</v>
      </c>
      <c r="P36" s="22">
        <v>9.3476400000000002</v>
      </c>
      <c r="Q36" s="22">
        <v>-1.38031E-2</v>
      </c>
      <c r="R36" s="22">
        <v>26</v>
      </c>
      <c r="S36" s="22">
        <v>3.0810500000000001E-2</v>
      </c>
      <c r="T36">
        <f t="shared" si="2"/>
        <v>17.040864197530862</v>
      </c>
      <c r="U36">
        <f t="shared" si="3"/>
        <v>0.52784588077777772</v>
      </c>
      <c r="X36" s="9"/>
      <c r="Y36" s="22">
        <v>1.6891499999999999</v>
      </c>
      <c r="Z36" s="22">
        <v>14.824400000000001</v>
      </c>
      <c r="AA36" s="22">
        <v>-1.0015899999999999E-2</v>
      </c>
      <c r="AB36" s="22">
        <v>26</v>
      </c>
      <c r="AC36" s="22">
        <v>1.6882299999999999</v>
      </c>
      <c r="AD36">
        <f t="shared" si="4"/>
        <v>12.365308641975307</v>
      </c>
      <c r="AE36">
        <f t="shared" si="5"/>
        <v>20.886861092592589</v>
      </c>
      <c r="AF36" s="9"/>
      <c r="AG36" s="22">
        <v>3.0975300000000001E-2</v>
      </c>
      <c r="AH36" s="22">
        <v>18.683900000000001</v>
      </c>
      <c r="AI36" s="22">
        <v>-1.3815300000000001E-2</v>
      </c>
      <c r="AJ36" s="22">
        <v>26</v>
      </c>
      <c r="AK36" s="22">
        <v>3.0783100000000001E-2</v>
      </c>
      <c r="AL36">
        <f t="shared" si="6"/>
        <v>17.055925925925926</v>
      </c>
      <c r="AM36">
        <f t="shared" si="7"/>
        <v>0.52831242233333331</v>
      </c>
      <c r="AP36" s="9"/>
      <c r="AQ36" s="22">
        <v>1.6891499999999999</v>
      </c>
      <c r="AR36" s="22">
        <v>24.247699999999998</v>
      </c>
      <c r="AS36" s="22">
        <v>-9.9487299999999994E-3</v>
      </c>
      <c r="AT36" s="22">
        <v>26</v>
      </c>
      <c r="AU36" s="22">
        <v>1.6882299999999999</v>
      </c>
      <c r="AV36">
        <f t="shared" si="8"/>
        <v>12.282382716049382</v>
      </c>
      <c r="AW36">
        <f t="shared" si="9"/>
        <v>20.746786764814811</v>
      </c>
      <c r="AX36" s="9"/>
      <c r="AY36" s="22">
        <v>3.0975300000000001E-2</v>
      </c>
      <c r="AZ36" s="22">
        <v>28.107099999999999</v>
      </c>
      <c r="BA36" s="22">
        <v>-1.38855E-2</v>
      </c>
      <c r="BB36" s="22">
        <v>26</v>
      </c>
      <c r="BC36" s="22">
        <v>3.0764799999999998E-2</v>
      </c>
      <c r="BD36">
        <f t="shared" si="10"/>
        <v>17.142592592592592</v>
      </c>
      <c r="BE36">
        <f t="shared" si="11"/>
        <v>0.53099694833333333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1.68411</v>
      </c>
      <c r="H37" s="22">
        <v>5.49824</v>
      </c>
      <c r="I37" s="22">
        <v>-1.0324099999999999E-2</v>
      </c>
      <c r="J37" s="22">
        <v>27</v>
      </c>
      <c r="K37" s="22">
        <v>1.6833499999999999</v>
      </c>
      <c r="L37">
        <f t="shared" si="0"/>
        <v>12.7458024691358</v>
      </c>
      <c r="M37">
        <f t="shared" si="1"/>
        <v>21.465333396296291</v>
      </c>
      <c r="N37" s="9"/>
      <c r="O37" s="22">
        <v>3.60107E-2</v>
      </c>
      <c r="P37" s="22">
        <v>9.3577100000000009</v>
      </c>
      <c r="Q37" s="22">
        <v>-1.3809200000000001E-2</v>
      </c>
      <c r="R37" s="22">
        <v>27</v>
      </c>
      <c r="S37" s="22">
        <v>3.58032E-2</v>
      </c>
      <c r="T37">
        <f t="shared" si="2"/>
        <v>17.048395061728392</v>
      </c>
      <c r="U37">
        <f t="shared" si="3"/>
        <v>0.61392464004938263</v>
      </c>
      <c r="X37" s="9"/>
      <c r="Y37" s="22">
        <v>1.68411</v>
      </c>
      <c r="Z37" s="22">
        <v>14.8345</v>
      </c>
      <c r="AA37" s="22">
        <v>-1.0199E-2</v>
      </c>
      <c r="AB37" s="22">
        <v>27</v>
      </c>
      <c r="AC37" s="22">
        <v>1.6833499999999999</v>
      </c>
      <c r="AD37">
        <f t="shared" si="4"/>
        <v>12.591358024691356</v>
      </c>
      <c r="AE37">
        <f t="shared" si="5"/>
        <v>21.205231962962959</v>
      </c>
      <c r="AF37" s="9"/>
      <c r="AG37" s="22">
        <v>3.60107E-2</v>
      </c>
      <c r="AH37" s="22">
        <v>18.693999999999999</v>
      </c>
      <c r="AI37" s="22">
        <v>-1.38031E-2</v>
      </c>
      <c r="AJ37" s="22">
        <v>27</v>
      </c>
      <c r="AK37" s="22">
        <v>3.5784900000000001E-2</v>
      </c>
      <c r="AL37">
        <f t="shared" si="6"/>
        <v>17.040864197530862</v>
      </c>
      <c r="AM37">
        <f t="shared" si="7"/>
        <v>0.6136534483580246</v>
      </c>
      <c r="AP37" s="9"/>
      <c r="AQ37" s="22">
        <v>1.68411</v>
      </c>
      <c r="AR37" s="22">
        <v>24.2577</v>
      </c>
      <c r="AS37" s="22">
        <v>-1.0147099999999999E-2</v>
      </c>
      <c r="AT37" s="22">
        <v>27</v>
      </c>
      <c r="AU37" s="22">
        <v>1.6833499999999999</v>
      </c>
      <c r="AV37">
        <f t="shared" si="8"/>
        <v>12.527283950617283</v>
      </c>
      <c r="AW37">
        <f t="shared" si="9"/>
        <v>21.097324174074071</v>
      </c>
      <c r="AX37" s="9"/>
      <c r="AY37" s="22">
        <v>3.60107E-2</v>
      </c>
      <c r="AZ37" s="22">
        <v>28.1172</v>
      </c>
      <c r="BA37" s="22">
        <v>-1.38916E-2</v>
      </c>
      <c r="BB37" s="22">
        <v>27</v>
      </c>
      <c r="BC37" s="22">
        <v>3.5879500000000002E-2</v>
      </c>
      <c r="BD37">
        <f t="shared" si="10"/>
        <v>17.150123456790123</v>
      </c>
      <c r="BE37">
        <f t="shared" si="11"/>
        <v>0.61758795076543205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1.6790799999999999</v>
      </c>
      <c r="H38" s="22">
        <v>5.5083099999999998</v>
      </c>
      <c r="I38" s="22">
        <v>-1.04828E-2</v>
      </c>
      <c r="J38" s="22">
        <v>28</v>
      </c>
      <c r="K38" s="22">
        <v>1.6778599999999999</v>
      </c>
      <c r="L38">
        <f t="shared" si="0"/>
        <v>12.941728395061729</v>
      </c>
      <c r="M38">
        <f t="shared" si="1"/>
        <v>21.730197313580245</v>
      </c>
      <c r="N38" s="9"/>
      <c r="O38" s="22">
        <v>4.1046100000000002E-2</v>
      </c>
      <c r="P38" s="22">
        <v>9.3677899999999994</v>
      </c>
      <c r="Q38" s="22">
        <v>-1.38123E-2</v>
      </c>
      <c r="R38" s="22">
        <v>28</v>
      </c>
      <c r="S38" s="22">
        <v>4.0853899999999999E-2</v>
      </c>
      <c r="T38">
        <f t="shared" si="2"/>
        <v>17.052222222222223</v>
      </c>
      <c r="U38">
        <f t="shared" si="3"/>
        <v>0.69992721855555562</v>
      </c>
      <c r="X38" s="9"/>
      <c r="Y38" s="22">
        <v>1.6790799999999999</v>
      </c>
      <c r="Z38" s="22">
        <v>14.8446</v>
      </c>
      <c r="AA38" s="22">
        <v>-1.0372899999999999E-2</v>
      </c>
      <c r="AB38" s="22">
        <v>28</v>
      </c>
      <c r="AC38" s="22">
        <v>1.6781600000000001</v>
      </c>
      <c r="AD38">
        <f t="shared" si="4"/>
        <v>12.806049382716049</v>
      </c>
      <c r="AE38">
        <f t="shared" si="5"/>
        <v>21.502381397530861</v>
      </c>
      <c r="AF38" s="9"/>
      <c r="AG38" s="22">
        <v>4.1046100000000002E-2</v>
      </c>
      <c r="AH38" s="22">
        <v>18.704000000000001</v>
      </c>
      <c r="AI38" s="22">
        <v>-1.38E-2</v>
      </c>
      <c r="AJ38" s="22">
        <v>28</v>
      </c>
      <c r="AK38" s="22">
        <v>4.0826399999999999E-2</v>
      </c>
      <c r="AL38">
        <f t="shared" si="6"/>
        <v>17.037037037037035</v>
      </c>
      <c r="AM38">
        <f t="shared" si="7"/>
        <v>0.69930392592592583</v>
      </c>
      <c r="AP38" s="9"/>
      <c r="AQ38" s="22">
        <v>1.6790799999999999</v>
      </c>
      <c r="AR38" s="22">
        <v>24.267800000000001</v>
      </c>
      <c r="AS38" s="22">
        <v>-1.03333E-2</v>
      </c>
      <c r="AT38" s="22">
        <v>28</v>
      </c>
      <c r="AU38" s="22">
        <v>1.6775500000000001</v>
      </c>
      <c r="AV38">
        <f t="shared" si="8"/>
        <v>12.757160493827159</v>
      </c>
      <c r="AW38">
        <f t="shared" si="9"/>
        <v>21.420293041975306</v>
      </c>
      <c r="AX38" s="9"/>
      <c r="AY38" s="22">
        <v>4.1046100000000002E-2</v>
      </c>
      <c r="AZ38" s="22">
        <v>28.127300000000002</v>
      </c>
      <c r="BA38" s="22">
        <v>-1.3897700000000001E-2</v>
      </c>
      <c r="BB38" s="22">
        <v>28</v>
      </c>
      <c r="BC38" s="22">
        <v>4.0890500000000003E-2</v>
      </c>
      <c r="BD38">
        <f t="shared" si="10"/>
        <v>17.157654320987653</v>
      </c>
      <c r="BE38">
        <f t="shared" si="11"/>
        <v>0.70425479502469135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1.67404</v>
      </c>
      <c r="H39" s="22">
        <v>5.5183799999999996</v>
      </c>
      <c r="I39" s="22">
        <v>-1.0617100000000001E-2</v>
      </c>
      <c r="J39" s="22">
        <v>29</v>
      </c>
      <c r="K39" s="22">
        <v>1.6726700000000001</v>
      </c>
      <c r="L39">
        <f t="shared" si="0"/>
        <v>13.10753086419753</v>
      </c>
      <c r="M39">
        <f t="shared" si="1"/>
        <v>21.942530967901234</v>
      </c>
      <c r="N39" s="9"/>
      <c r="O39" s="22">
        <v>4.6081499999999997E-2</v>
      </c>
      <c r="P39" s="22">
        <v>9.3778600000000001</v>
      </c>
      <c r="Q39" s="22">
        <v>-1.3806199999999999E-2</v>
      </c>
      <c r="R39" s="22">
        <v>29</v>
      </c>
      <c r="S39" s="22">
        <v>4.5883199999999999E-2</v>
      </c>
      <c r="T39">
        <f t="shared" si="2"/>
        <v>17.044691358024689</v>
      </c>
      <c r="U39">
        <f t="shared" si="3"/>
        <v>0.78544494481481464</v>
      </c>
      <c r="X39" s="9"/>
      <c r="Y39" s="22">
        <v>1.67404</v>
      </c>
      <c r="Z39" s="22">
        <v>14.8546</v>
      </c>
      <c r="AA39" s="22">
        <v>-1.05194E-2</v>
      </c>
      <c r="AB39" s="22">
        <v>29</v>
      </c>
      <c r="AC39" s="22">
        <v>1.6726700000000001</v>
      </c>
      <c r="AD39">
        <f t="shared" si="4"/>
        <v>12.986913580246913</v>
      </c>
      <c r="AE39">
        <f t="shared" si="5"/>
        <v>21.740612809876541</v>
      </c>
      <c r="AF39" s="9"/>
      <c r="AG39" s="22">
        <v>4.6081499999999997E-2</v>
      </c>
      <c r="AH39" s="22">
        <v>18.714099999999998</v>
      </c>
      <c r="AI39" s="22">
        <v>-1.3797E-2</v>
      </c>
      <c r="AJ39" s="22">
        <v>29</v>
      </c>
      <c r="AK39" s="22">
        <v>4.5901499999999998E-2</v>
      </c>
      <c r="AL39">
        <f t="shared" si="6"/>
        <v>17.033333333333331</v>
      </c>
      <c r="AM39">
        <f t="shared" si="7"/>
        <v>0.78492154999999986</v>
      </c>
      <c r="AP39" s="9"/>
      <c r="AQ39" s="22">
        <v>1.67404</v>
      </c>
      <c r="AR39" s="22">
        <v>24.277899999999999</v>
      </c>
      <c r="AS39" s="22">
        <v>-1.0501099999999999E-2</v>
      </c>
      <c r="AT39" s="22">
        <v>29</v>
      </c>
      <c r="AU39" s="22">
        <v>1.6732800000000001</v>
      </c>
      <c r="AV39">
        <f t="shared" si="8"/>
        <v>12.96432098765432</v>
      </c>
      <c r="AW39">
        <f t="shared" si="9"/>
        <v>21.702791906172838</v>
      </c>
      <c r="AX39" s="9"/>
      <c r="AY39" s="22">
        <v>4.6081499999999997E-2</v>
      </c>
      <c r="AZ39" s="22">
        <v>28.1373</v>
      </c>
      <c r="BA39" s="22">
        <v>-1.3897700000000001E-2</v>
      </c>
      <c r="BB39" s="22">
        <v>29</v>
      </c>
      <c r="BC39" s="22">
        <v>4.5892299999999997E-2</v>
      </c>
      <c r="BD39">
        <f t="shared" si="10"/>
        <v>17.157654320987653</v>
      </c>
      <c r="BE39">
        <f t="shared" si="11"/>
        <v>0.79065044759259251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1.6690100000000001</v>
      </c>
      <c r="H40" s="22">
        <v>5.5284500000000003</v>
      </c>
      <c r="I40" s="22">
        <v>-1.07452E-2</v>
      </c>
      <c r="J40" s="22">
        <v>30</v>
      </c>
      <c r="K40" s="22">
        <v>1.6674800000000001</v>
      </c>
      <c r="L40">
        <f t="shared" si="0"/>
        <v>13.265679012345677</v>
      </c>
      <c r="M40">
        <f t="shared" si="1"/>
        <v>22.140550928395058</v>
      </c>
      <c r="N40" s="9"/>
      <c r="O40" s="22">
        <v>5.11169E-2</v>
      </c>
      <c r="P40" s="22">
        <v>9.3879300000000008</v>
      </c>
      <c r="Q40" s="22">
        <v>-1.38E-2</v>
      </c>
      <c r="R40" s="22">
        <v>30</v>
      </c>
      <c r="S40" s="22">
        <v>5.04456E-2</v>
      </c>
      <c r="T40">
        <f t="shared" si="2"/>
        <v>17.037037037037035</v>
      </c>
      <c r="U40">
        <f t="shared" si="3"/>
        <v>0.87088051851851844</v>
      </c>
      <c r="X40" s="9"/>
      <c r="Y40" s="22">
        <v>1.6690100000000001</v>
      </c>
      <c r="Z40" s="22">
        <v>14.864699999999999</v>
      </c>
      <c r="AA40" s="22">
        <v>-1.06689E-2</v>
      </c>
      <c r="AB40" s="22">
        <v>30</v>
      </c>
      <c r="AC40" s="22">
        <v>1.6677900000000001</v>
      </c>
      <c r="AD40">
        <f t="shared" si="4"/>
        <v>13.17148148148148</v>
      </c>
      <c r="AE40">
        <f t="shared" si="5"/>
        <v>21.983334307407407</v>
      </c>
      <c r="AF40" s="9"/>
      <c r="AG40" s="22">
        <v>5.11169E-2</v>
      </c>
      <c r="AH40" s="22">
        <v>18.7242</v>
      </c>
      <c r="AI40" s="22">
        <v>-1.37909E-2</v>
      </c>
      <c r="AJ40" s="22">
        <v>30</v>
      </c>
      <c r="AK40" s="22">
        <v>5.0955199999999999E-2</v>
      </c>
      <c r="AL40">
        <f t="shared" si="6"/>
        <v>17.025802469135801</v>
      </c>
      <c r="AM40">
        <f t="shared" si="7"/>
        <v>0.87030624223456787</v>
      </c>
      <c r="AP40" s="9"/>
      <c r="AQ40" s="22">
        <v>1.6690100000000001</v>
      </c>
      <c r="AR40" s="22">
        <v>24.2879</v>
      </c>
      <c r="AS40" s="22">
        <v>-1.06354E-2</v>
      </c>
      <c r="AT40" s="22">
        <v>30</v>
      </c>
      <c r="AU40" s="22">
        <v>1.6677900000000001</v>
      </c>
      <c r="AV40">
        <f t="shared" si="8"/>
        <v>13.130123456790121</v>
      </c>
      <c r="AW40">
        <f t="shared" si="9"/>
        <v>21.914307350617282</v>
      </c>
      <c r="AX40" s="9"/>
      <c r="AY40" s="22">
        <v>5.11169E-2</v>
      </c>
      <c r="AZ40" s="22">
        <v>28.147400000000001</v>
      </c>
      <c r="BA40" s="22">
        <v>-1.38885E-2</v>
      </c>
      <c r="BB40" s="22">
        <v>30</v>
      </c>
      <c r="BC40" s="22">
        <v>5.0476100000000003E-2</v>
      </c>
      <c r="BD40">
        <f t="shared" si="10"/>
        <v>17.146296296296295</v>
      </c>
      <c r="BE40">
        <f t="shared" si="11"/>
        <v>0.87646551314814813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1.6639699999999999</v>
      </c>
      <c r="H41" s="22">
        <v>5.5385299999999997</v>
      </c>
      <c r="I41" s="22">
        <v>-1.08734E-2</v>
      </c>
      <c r="J41" s="22">
        <v>31</v>
      </c>
      <c r="K41" s="22">
        <v>1.66229</v>
      </c>
      <c r="L41">
        <f t="shared" si="0"/>
        <v>13.42395061728395</v>
      </c>
      <c r="M41">
        <f t="shared" si="1"/>
        <v>22.337051108641973</v>
      </c>
      <c r="N41" s="9"/>
      <c r="O41" s="22">
        <v>5.6152300000000002E-2</v>
      </c>
      <c r="P41" s="22">
        <v>9.3979999999999997</v>
      </c>
      <c r="Q41" s="22">
        <v>-1.37939E-2</v>
      </c>
      <c r="R41" s="22">
        <v>31</v>
      </c>
      <c r="S41" s="22">
        <v>5.5542000000000001E-2</v>
      </c>
      <c r="T41">
        <f t="shared" si="2"/>
        <v>17.029506172839504</v>
      </c>
      <c r="U41">
        <f t="shared" si="3"/>
        <v>0.95624593946913572</v>
      </c>
      <c r="X41" s="9"/>
      <c r="Y41" s="22">
        <v>1.6639699999999999</v>
      </c>
      <c r="Z41" s="22">
        <v>14.8748</v>
      </c>
      <c r="AA41" s="22">
        <v>-1.0800199999999999E-2</v>
      </c>
      <c r="AB41" s="22">
        <v>31</v>
      </c>
      <c r="AC41" s="22">
        <v>1.6626000000000001</v>
      </c>
      <c r="AD41">
        <f t="shared" si="4"/>
        <v>13.333580246913579</v>
      </c>
      <c r="AE41">
        <f t="shared" si="5"/>
        <v>22.186677523456787</v>
      </c>
      <c r="AF41" s="9"/>
      <c r="AG41" s="22">
        <v>5.6152300000000002E-2</v>
      </c>
      <c r="AH41" s="22">
        <v>18.734300000000001</v>
      </c>
      <c r="AI41" s="22">
        <v>-1.37939E-2</v>
      </c>
      <c r="AJ41" s="22">
        <v>31</v>
      </c>
      <c r="AK41" s="22">
        <v>5.5572499999999997E-2</v>
      </c>
      <c r="AL41">
        <f t="shared" si="6"/>
        <v>17.029506172839504</v>
      </c>
      <c r="AM41">
        <f t="shared" si="7"/>
        <v>0.95624593946913572</v>
      </c>
      <c r="AP41" s="9"/>
      <c r="AQ41" s="22">
        <v>1.6639699999999999</v>
      </c>
      <c r="AR41" s="22">
        <v>24.297999999999998</v>
      </c>
      <c r="AS41" s="22">
        <v>-1.07971E-2</v>
      </c>
      <c r="AT41" s="22">
        <v>31</v>
      </c>
      <c r="AU41" s="22">
        <v>1.6632100000000001</v>
      </c>
      <c r="AV41">
        <f t="shared" si="8"/>
        <v>13.329753086419753</v>
      </c>
      <c r="AW41">
        <f t="shared" si="9"/>
        <v>22.180309243209877</v>
      </c>
      <c r="AX41" s="9"/>
      <c r="AY41" s="22">
        <v>5.6152300000000002E-2</v>
      </c>
      <c r="AZ41" s="22">
        <v>28.157499999999999</v>
      </c>
      <c r="BA41" s="22">
        <v>-1.38824E-2</v>
      </c>
      <c r="BB41" s="22">
        <v>31</v>
      </c>
      <c r="BC41" s="22">
        <v>5.5419900000000001E-2</v>
      </c>
      <c r="BD41">
        <f t="shared" si="10"/>
        <v>17.138765432098765</v>
      </c>
      <c r="BE41">
        <f t="shared" si="11"/>
        <v>0.96238109817283957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1.6589400000000001</v>
      </c>
      <c r="H42" s="22">
        <v>5.5486000000000004</v>
      </c>
      <c r="I42" s="22">
        <v>-1.0992399999999999E-2</v>
      </c>
      <c r="J42" s="22">
        <v>32</v>
      </c>
      <c r="K42" s="22">
        <v>1.65771</v>
      </c>
      <c r="L42">
        <f t="shared" si="0"/>
        <v>13.570864197530863</v>
      </c>
      <c r="M42">
        <f t="shared" si="1"/>
        <v>22.513249451851852</v>
      </c>
      <c r="N42" s="9"/>
      <c r="O42" s="22">
        <v>6.1187699999999998E-2</v>
      </c>
      <c r="P42" s="22">
        <v>9.4080700000000004</v>
      </c>
      <c r="Q42" s="22">
        <v>-1.37848E-2</v>
      </c>
      <c r="R42" s="22">
        <v>32</v>
      </c>
      <c r="S42" s="22">
        <v>6.0577400000000003E-2</v>
      </c>
      <c r="T42">
        <f t="shared" si="2"/>
        <v>17.018271604938271</v>
      </c>
      <c r="U42">
        <f t="shared" si="3"/>
        <v>1.0413088974814815</v>
      </c>
      <c r="X42" s="9"/>
      <c r="Y42" s="22">
        <v>1.6589400000000001</v>
      </c>
      <c r="Z42" s="22">
        <v>14.8849</v>
      </c>
      <c r="AA42" s="22">
        <v>-1.0907E-2</v>
      </c>
      <c r="AB42" s="22">
        <v>32</v>
      </c>
      <c r="AC42" s="22">
        <v>1.65802</v>
      </c>
      <c r="AD42">
        <f t="shared" si="4"/>
        <v>13.465432098765431</v>
      </c>
      <c r="AE42">
        <f t="shared" si="5"/>
        <v>22.338343925925926</v>
      </c>
      <c r="AF42" s="9"/>
      <c r="AG42" s="22">
        <v>6.1187699999999998E-2</v>
      </c>
      <c r="AH42" s="22">
        <v>18.744299999999999</v>
      </c>
      <c r="AI42" s="22">
        <v>-1.37909E-2</v>
      </c>
      <c r="AJ42" s="22">
        <v>32</v>
      </c>
      <c r="AK42" s="22">
        <v>6.0607899999999999E-2</v>
      </c>
      <c r="AL42">
        <f t="shared" si="6"/>
        <v>17.025802469135801</v>
      </c>
      <c r="AM42">
        <f t="shared" si="7"/>
        <v>1.0417696937407406</v>
      </c>
      <c r="AP42" s="9"/>
      <c r="AQ42" s="22">
        <v>1.6589400000000001</v>
      </c>
      <c r="AR42" s="22">
        <v>24.3081</v>
      </c>
      <c r="AS42" s="22">
        <v>-1.0931400000000001E-2</v>
      </c>
      <c r="AT42" s="22">
        <v>32</v>
      </c>
      <c r="AU42" s="22">
        <v>1.65802</v>
      </c>
      <c r="AV42">
        <f t="shared" si="8"/>
        <v>13.495555555555557</v>
      </c>
      <c r="AW42">
        <f t="shared" si="9"/>
        <v>22.388316933333336</v>
      </c>
      <c r="AX42" s="9"/>
      <c r="AY42" s="22">
        <v>6.1187699999999998E-2</v>
      </c>
      <c r="AZ42" s="22">
        <v>28.1676</v>
      </c>
      <c r="BA42" s="22">
        <v>-1.38733E-2</v>
      </c>
      <c r="BB42" s="22">
        <v>32</v>
      </c>
      <c r="BC42" s="22">
        <v>6.0546900000000001E-2</v>
      </c>
      <c r="BD42">
        <f t="shared" si="10"/>
        <v>17.127530864197528</v>
      </c>
      <c r="BE42">
        <f t="shared" si="11"/>
        <v>1.0479942202592591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1.6538999999999999</v>
      </c>
      <c r="H43" s="22">
        <v>5.5586700000000002</v>
      </c>
      <c r="I43" s="22">
        <v>-1.10931E-2</v>
      </c>
      <c r="J43" s="22">
        <v>33</v>
      </c>
      <c r="K43" s="22">
        <v>1.65283</v>
      </c>
      <c r="L43">
        <f t="shared" si="0"/>
        <v>13.695185185185183</v>
      </c>
      <c r="M43">
        <f t="shared" si="1"/>
        <v>22.650466777777773</v>
      </c>
      <c r="N43" s="9"/>
      <c r="O43" s="22">
        <v>6.6223099999999993E-2</v>
      </c>
      <c r="P43" s="22">
        <v>9.4181399999999993</v>
      </c>
      <c r="Q43" s="22">
        <v>-1.3787799999999999E-2</v>
      </c>
      <c r="R43" s="22">
        <v>33</v>
      </c>
      <c r="S43" s="22">
        <v>6.5704299999999993E-2</v>
      </c>
      <c r="T43">
        <f t="shared" si="2"/>
        <v>17.021975308641974</v>
      </c>
      <c r="U43">
        <f t="shared" si="3"/>
        <v>1.1272479730617282</v>
      </c>
      <c r="X43" s="9"/>
      <c r="Y43" s="22">
        <v>1.6538999999999999</v>
      </c>
      <c r="Z43" s="22">
        <v>14.8949</v>
      </c>
      <c r="AA43" s="22">
        <v>-1.10229E-2</v>
      </c>
      <c r="AB43" s="22">
        <v>33</v>
      </c>
      <c r="AC43" s="22">
        <v>1.65283</v>
      </c>
      <c r="AD43">
        <f t="shared" si="4"/>
        <v>13.608518518518519</v>
      </c>
      <c r="AE43">
        <f t="shared" si="5"/>
        <v>22.507128777777776</v>
      </c>
      <c r="AF43" s="9"/>
      <c r="AG43" s="22">
        <v>6.6223099999999993E-2</v>
      </c>
      <c r="AH43" s="22">
        <v>18.7544</v>
      </c>
      <c r="AI43" s="22">
        <v>-1.37848E-2</v>
      </c>
      <c r="AJ43" s="22">
        <v>33</v>
      </c>
      <c r="AK43" s="22">
        <v>6.5673800000000004E-2</v>
      </c>
      <c r="AL43">
        <f t="shared" si="6"/>
        <v>17.018271604938271</v>
      </c>
      <c r="AM43">
        <f t="shared" si="7"/>
        <v>1.1270027023209874</v>
      </c>
      <c r="AP43" s="9"/>
      <c r="AQ43" s="22">
        <v>1.6538999999999999</v>
      </c>
      <c r="AR43" s="22">
        <v>24.318200000000001</v>
      </c>
      <c r="AS43" s="22">
        <v>-1.10504E-2</v>
      </c>
      <c r="AT43" s="22">
        <v>33</v>
      </c>
      <c r="AU43" s="22">
        <v>1.65344</v>
      </c>
      <c r="AV43">
        <f t="shared" si="8"/>
        <v>13.64246913580247</v>
      </c>
      <c r="AW43">
        <f t="shared" si="9"/>
        <v>22.563279703703703</v>
      </c>
      <c r="AX43" s="9"/>
      <c r="AY43" s="22">
        <v>6.6223099999999993E-2</v>
      </c>
      <c r="AZ43" s="22">
        <v>28.177600000000002</v>
      </c>
      <c r="BA43" s="22">
        <v>-1.3864100000000001E-2</v>
      </c>
      <c r="BB43" s="22">
        <v>33</v>
      </c>
      <c r="BC43" s="22">
        <v>6.5643300000000002E-2</v>
      </c>
      <c r="BD43">
        <f t="shared" si="10"/>
        <v>17.11617283950617</v>
      </c>
      <c r="BE43">
        <f t="shared" si="11"/>
        <v>1.1334860255679009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1.64886</v>
      </c>
      <c r="H44" s="22">
        <v>5.56874</v>
      </c>
      <c r="I44" s="22">
        <v>-1.11816E-2</v>
      </c>
      <c r="J44" s="22">
        <v>34</v>
      </c>
      <c r="K44" s="22">
        <v>1.64764</v>
      </c>
      <c r="L44">
        <f t="shared" si="0"/>
        <v>13.804444444444444</v>
      </c>
      <c r="M44">
        <f t="shared" si="1"/>
        <v>22.761596266666665</v>
      </c>
      <c r="N44" s="9"/>
      <c r="O44" s="22">
        <v>7.1258500000000002E-2</v>
      </c>
      <c r="P44" s="22">
        <v>9.42821</v>
      </c>
      <c r="Q44" s="22">
        <v>-1.37848E-2</v>
      </c>
      <c r="R44" s="22">
        <v>34</v>
      </c>
      <c r="S44" s="22">
        <v>7.07092E-2</v>
      </c>
      <c r="T44">
        <f t="shared" si="2"/>
        <v>17.018271604938271</v>
      </c>
      <c r="U44">
        <f t="shared" si="3"/>
        <v>1.2126965071604938</v>
      </c>
      <c r="X44" s="9"/>
      <c r="Y44" s="22">
        <v>1.64886</v>
      </c>
      <c r="Z44" s="22">
        <v>14.904999999999999</v>
      </c>
      <c r="AA44" s="22">
        <v>-1.11267E-2</v>
      </c>
      <c r="AB44" s="22">
        <v>34</v>
      </c>
      <c r="AC44" s="22">
        <v>1.64795</v>
      </c>
      <c r="AD44">
        <f t="shared" si="4"/>
        <v>13.736666666666666</v>
      </c>
      <c r="AE44">
        <f t="shared" si="5"/>
        <v>22.6498402</v>
      </c>
      <c r="AF44" s="9"/>
      <c r="AG44" s="22">
        <v>7.1258500000000002E-2</v>
      </c>
      <c r="AH44" s="22">
        <v>18.764500000000002</v>
      </c>
      <c r="AI44" s="22">
        <v>-1.37848E-2</v>
      </c>
      <c r="AJ44" s="22">
        <v>34</v>
      </c>
      <c r="AK44" s="22">
        <v>7.0617700000000005E-2</v>
      </c>
      <c r="AL44">
        <f t="shared" si="6"/>
        <v>17.018271604938271</v>
      </c>
      <c r="AM44">
        <f t="shared" si="7"/>
        <v>1.2126965071604938</v>
      </c>
      <c r="AP44" s="9"/>
      <c r="AQ44" s="22">
        <v>1.64886</v>
      </c>
      <c r="AR44" s="22">
        <v>24.328199999999999</v>
      </c>
      <c r="AS44" s="22">
        <v>-1.1184700000000001E-2</v>
      </c>
      <c r="AT44" s="22">
        <v>34</v>
      </c>
      <c r="AU44" s="22">
        <v>1.64795</v>
      </c>
      <c r="AV44">
        <f t="shared" si="8"/>
        <v>13.808271604938271</v>
      </c>
      <c r="AW44">
        <f t="shared" si="9"/>
        <v>22.767906718518518</v>
      </c>
      <c r="AX44" s="9"/>
      <c r="AY44" s="22">
        <v>7.1258500000000002E-2</v>
      </c>
      <c r="AZ44" s="22">
        <v>28.1877</v>
      </c>
      <c r="BA44" s="22">
        <v>-1.38672E-2</v>
      </c>
      <c r="BB44" s="22">
        <v>34</v>
      </c>
      <c r="BC44" s="22">
        <v>7.0648199999999994E-2</v>
      </c>
      <c r="BD44">
        <f t="shared" si="10"/>
        <v>17.12</v>
      </c>
      <c r="BE44">
        <f t="shared" si="11"/>
        <v>1.21994552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1.6438299999999999</v>
      </c>
      <c r="H45" s="22">
        <v>5.5788099999999998</v>
      </c>
      <c r="I45" s="22">
        <v>-1.1279300000000001E-2</v>
      </c>
      <c r="J45" s="22">
        <v>35</v>
      </c>
      <c r="K45" s="22">
        <v>1.64246</v>
      </c>
      <c r="L45">
        <f t="shared" si="0"/>
        <v>13.925061728395063</v>
      </c>
      <c r="M45">
        <f t="shared" si="1"/>
        <v>22.890434220987654</v>
      </c>
      <c r="N45" s="9"/>
      <c r="O45" s="22">
        <v>7.6293899999999998E-2</v>
      </c>
      <c r="P45" s="22">
        <v>9.4382800000000007</v>
      </c>
      <c r="Q45" s="22">
        <v>-1.37787E-2</v>
      </c>
      <c r="R45" s="22">
        <v>35</v>
      </c>
      <c r="S45" s="22">
        <v>7.5683600000000004E-2</v>
      </c>
      <c r="T45">
        <f t="shared" si="2"/>
        <v>17.01074074074074</v>
      </c>
      <c r="U45">
        <f t="shared" si="3"/>
        <v>1.2978157529999998</v>
      </c>
      <c r="X45" s="9"/>
      <c r="Y45" s="22">
        <v>1.6438299999999999</v>
      </c>
      <c r="Z45" s="22">
        <v>14.915100000000001</v>
      </c>
      <c r="AA45" s="22">
        <v>-1.12183E-2</v>
      </c>
      <c r="AB45" s="22">
        <v>35</v>
      </c>
      <c r="AC45" s="22">
        <v>1.64307</v>
      </c>
      <c r="AD45">
        <f t="shared" si="4"/>
        <v>13.849753086419753</v>
      </c>
      <c r="AE45">
        <f t="shared" si="5"/>
        <v>22.766639616049382</v>
      </c>
      <c r="AF45" s="9"/>
      <c r="AG45" s="22">
        <v>7.6293899999999998E-2</v>
      </c>
      <c r="AH45" s="22">
        <v>18.7745</v>
      </c>
      <c r="AI45" s="22">
        <v>-1.37909E-2</v>
      </c>
      <c r="AJ45" s="22">
        <v>35</v>
      </c>
      <c r="AK45" s="22">
        <v>7.5714100000000006E-2</v>
      </c>
      <c r="AL45">
        <f t="shared" si="6"/>
        <v>17.025802469135801</v>
      </c>
      <c r="AM45">
        <f t="shared" si="7"/>
        <v>1.2989648709999999</v>
      </c>
      <c r="AP45" s="9"/>
      <c r="AQ45" s="22">
        <v>1.6438299999999999</v>
      </c>
      <c r="AR45" s="22">
        <v>24.3383</v>
      </c>
      <c r="AS45" s="22">
        <v>-1.12946E-2</v>
      </c>
      <c r="AT45" s="22">
        <v>35</v>
      </c>
      <c r="AU45" s="22">
        <v>1.64307</v>
      </c>
      <c r="AV45">
        <f t="shared" si="8"/>
        <v>13.943950617283949</v>
      </c>
      <c r="AW45">
        <f t="shared" si="9"/>
        <v>22.921484343209872</v>
      </c>
      <c r="AX45" s="9"/>
      <c r="AY45" s="22">
        <v>7.6293899999999998E-2</v>
      </c>
      <c r="AZ45" s="22">
        <v>28.197800000000001</v>
      </c>
      <c r="BA45" s="22">
        <v>-1.38824E-2</v>
      </c>
      <c r="BB45" s="22">
        <v>35</v>
      </c>
      <c r="BC45" s="22">
        <v>7.5653100000000001E-2</v>
      </c>
      <c r="BD45">
        <f t="shared" si="10"/>
        <v>17.138765432098765</v>
      </c>
      <c r="BE45">
        <f t="shared" si="11"/>
        <v>1.307583256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1.63879</v>
      </c>
      <c r="H46" s="22">
        <v>5.5888799999999996</v>
      </c>
      <c r="I46" s="22">
        <v>-1.13495E-2</v>
      </c>
      <c r="J46" s="22">
        <v>36</v>
      </c>
      <c r="K46" s="22">
        <v>1.63788</v>
      </c>
      <c r="L46">
        <f t="shared" si="0"/>
        <v>14.011728395061727</v>
      </c>
      <c r="M46">
        <f t="shared" si="1"/>
        <v>22.962280376543209</v>
      </c>
      <c r="N46" s="9"/>
      <c r="O46" s="22">
        <v>8.1329299999999993E-2</v>
      </c>
      <c r="P46" s="22">
        <v>9.4483499999999996</v>
      </c>
      <c r="Q46" s="22">
        <v>-1.3781699999999999E-2</v>
      </c>
      <c r="R46" s="22">
        <v>36</v>
      </c>
      <c r="S46" s="22">
        <v>8.0718999999999999E-2</v>
      </c>
      <c r="T46">
        <f t="shared" si="2"/>
        <v>17.014444444444443</v>
      </c>
      <c r="U46">
        <f t="shared" si="3"/>
        <v>1.3837728565555554</v>
      </c>
      <c r="X46" s="9"/>
      <c r="Y46" s="22">
        <v>1.63879</v>
      </c>
      <c r="Z46" s="22">
        <v>14.9251</v>
      </c>
      <c r="AA46" s="22">
        <v>-1.1340299999999999E-2</v>
      </c>
      <c r="AB46" s="22">
        <v>36</v>
      </c>
      <c r="AC46" s="22">
        <v>1.63757</v>
      </c>
      <c r="AD46">
        <f t="shared" si="4"/>
        <v>14.000370370370367</v>
      </c>
      <c r="AE46">
        <f t="shared" si="5"/>
        <v>22.943666959259254</v>
      </c>
      <c r="AF46" s="9"/>
      <c r="AG46" s="22">
        <v>8.1329299999999993E-2</v>
      </c>
      <c r="AH46" s="22">
        <v>18.784600000000001</v>
      </c>
      <c r="AI46" s="22">
        <v>-1.37909E-2</v>
      </c>
      <c r="AJ46" s="22">
        <v>36</v>
      </c>
      <c r="AK46" s="22">
        <v>8.0780000000000005E-2</v>
      </c>
      <c r="AL46">
        <f t="shared" si="6"/>
        <v>17.025802469135801</v>
      </c>
      <c r="AM46">
        <f t="shared" si="7"/>
        <v>1.3846965967530862</v>
      </c>
      <c r="AP46" s="9"/>
      <c r="AQ46" s="22">
        <v>1.63879</v>
      </c>
      <c r="AR46" s="22">
        <v>24.348400000000002</v>
      </c>
      <c r="AS46" s="22">
        <v>-1.1401400000000001E-2</v>
      </c>
      <c r="AT46" s="22">
        <v>36</v>
      </c>
      <c r="AU46" s="22">
        <v>1.63788</v>
      </c>
      <c r="AV46">
        <f t="shared" si="8"/>
        <v>14.075802469135803</v>
      </c>
      <c r="AW46">
        <f t="shared" si="9"/>
        <v>23.067284328395061</v>
      </c>
      <c r="AX46" s="9"/>
      <c r="AY46" s="22">
        <v>8.1329299999999993E-2</v>
      </c>
      <c r="AZ46" s="22">
        <v>28.207799999999999</v>
      </c>
      <c r="BA46" s="22">
        <v>-1.38855E-2</v>
      </c>
      <c r="BB46" s="22">
        <v>36</v>
      </c>
      <c r="BC46" s="22">
        <v>8.0841099999999999E-2</v>
      </c>
      <c r="BD46">
        <f t="shared" si="10"/>
        <v>17.142592592592592</v>
      </c>
      <c r="BE46">
        <f t="shared" si="11"/>
        <v>1.3941950557407405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1.6337600000000001</v>
      </c>
      <c r="H47" s="22">
        <v>5.5989500000000003</v>
      </c>
      <c r="I47" s="22">
        <v>-1.1441E-2</v>
      </c>
      <c r="J47" s="22">
        <v>37</v>
      </c>
      <c r="K47" s="22">
        <v>1.63239</v>
      </c>
      <c r="L47">
        <f t="shared" si="0"/>
        <v>14.124691358024689</v>
      </c>
      <c r="M47">
        <f t="shared" si="1"/>
        <v>23.076355753086418</v>
      </c>
      <c r="N47" s="9"/>
      <c r="O47" s="22">
        <v>8.6364700000000003E-2</v>
      </c>
      <c r="P47" s="22">
        <v>9.4584200000000003</v>
      </c>
      <c r="Q47" s="22">
        <v>-1.3766499999999999E-2</v>
      </c>
      <c r="R47" s="22">
        <v>37</v>
      </c>
      <c r="S47" s="22">
        <v>8.5784899999999997E-2</v>
      </c>
      <c r="T47">
        <f t="shared" si="2"/>
        <v>16.995679012345676</v>
      </c>
      <c r="U47">
        <f t="shared" si="3"/>
        <v>1.4678267191975307</v>
      </c>
      <c r="X47" s="9"/>
      <c r="Y47" s="22">
        <v>1.6337600000000001</v>
      </c>
      <c r="Z47" s="22">
        <v>14.9352</v>
      </c>
      <c r="AA47" s="22">
        <v>-1.1422699999999999E-2</v>
      </c>
      <c r="AB47" s="22">
        <v>37</v>
      </c>
      <c r="AC47" s="22">
        <v>1.6333</v>
      </c>
      <c r="AD47">
        <f t="shared" si="4"/>
        <v>14.102098765432096</v>
      </c>
      <c r="AE47">
        <f t="shared" si="5"/>
        <v>23.039444879012343</v>
      </c>
      <c r="AF47" s="9"/>
      <c r="AG47" s="22">
        <v>8.6364700000000003E-2</v>
      </c>
      <c r="AH47" s="22">
        <v>18.794699999999999</v>
      </c>
      <c r="AI47" s="22">
        <v>-1.3787799999999999E-2</v>
      </c>
      <c r="AJ47" s="22">
        <v>37</v>
      </c>
      <c r="AK47" s="22">
        <v>8.5754399999999995E-2</v>
      </c>
      <c r="AL47">
        <f t="shared" si="6"/>
        <v>17.021975308641974</v>
      </c>
      <c r="AM47">
        <f t="shared" si="7"/>
        <v>1.4700977909382715</v>
      </c>
      <c r="AP47" s="9"/>
      <c r="AQ47" s="22">
        <v>1.6337600000000001</v>
      </c>
      <c r="AR47" s="22">
        <v>24.3584</v>
      </c>
      <c r="AS47" s="22">
        <v>-1.14777E-2</v>
      </c>
      <c r="AT47" s="22">
        <v>37</v>
      </c>
      <c r="AU47" s="22">
        <v>1.63269</v>
      </c>
      <c r="AV47">
        <f t="shared" si="8"/>
        <v>14.17</v>
      </c>
      <c r="AW47">
        <f t="shared" si="9"/>
        <v>23.1503792</v>
      </c>
      <c r="AX47" s="9"/>
      <c r="AY47" s="22">
        <v>8.6364700000000003E-2</v>
      </c>
      <c r="AZ47" s="22">
        <v>28.2179</v>
      </c>
      <c r="BA47" s="22">
        <v>-1.38855E-2</v>
      </c>
      <c r="BB47" s="22">
        <v>37</v>
      </c>
      <c r="BC47" s="22">
        <v>8.5784899999999997E-2</v>
      </c>
      <c r="BD47">
        <f t="shared" si="10"/>
        <v>17.142592592592592</v>
      </c>
      <c r="BE47">
        <f t="shared" si="11"/>
        <v>1.4805148664814816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1.6287199999999999</v>
      </c>
      <c r="H48" s="22">
        <v>5.6090200000000001</v>
      </c>
      <c r="I48" s="22">
        <v>-1.15234E-2</v>
      </c>
      <c r="J48" s="22">
        <v>38</v>
      </c>
      <c r="K48" s="22">
        <v>1.62781</v>
      </c>
      <c r="L48">
        <f t="shared" si="0"/>
        <v>14.226419753086418</v>
      </c>
      <c r="M48">
        <f t="shared" si="1"/>
        <v>23.170854380246912</v>
      </c>
      <c r="N48" s="9"/>
      <c r="O48" s="22">
        <v>9.1400099999999998E-2</v>
      </c>
      <c r="P48" s="22">
        <v>9.4685000000000006</v>
      </c>
      <c r="Q48" s="22">
        <v>-1.37573E-2</v>
      </c>
      <c r="R48" s="22">
        <v>38</v>
      </c>
      <c r="S48" s="22">
        <v>9.0820300000000007E-2</v>
      </c>
      <c r="T48">
        <f t="shared" si="2"/>
        <v>16.984320987654321</v>
      </c>
      <c r="U48">
        <f t="shared" si="3"/>
        <v>1.5523686367037037</v>
      </c>
      <c r="X48" s="9"/>
      <c r="Y48" s="22">
        <v>1.6287199999999999</v>
      </c>
      <c r="Z48" s="22">
        <v>14.9453</v>
      </c>
      <c r="AA48" s="22">
        <v>-1.15082E-2</v>
      </c>
      <c r="AB48" s="22">
        <v>38</v>
      </c>
      <c r="AC48" s="22">
        <v>1.6281099999999999</v>
      </c>
      <c r="AD48">
        <f t="shared" si="4"/>
        <v>14.207654320987654</v>
      </c>
      <c r="AE48">
        <f t="shared" si="5"/>
        <v>23.14029074567901</v>
      </c>
      <c r="AF48" s="9"/>
      <c r="AG48" s="22">
        <v>9.1400099999999998E-2</v>
      </c>
      <c r="AH48" s="22">
        <v>18.8048</v>
      </c>
      <c r="AI48" s="22">
        <v>-1.37848E-2</v>
      </c>
      <c r="AJ48" s="22">
        <v>38</v>
      </c>
      <c r="AK48" s="22">
        <v>9.0850799999999995E-2</v>
      </c>
      <c r="AL48">
        <f t="shared" si="6"/>
        <v>17.018271604938271</v>
      </c>
      <c r="AM48">
        <f t="shared" si="7"/>
        <v>1.5554717265185183</v>
      </c>
      <c r="AP48" s="9"/>
      <c r="AQ48" s="22">
        <v>1.6287199999999999</v>
      </c>
      <c r="AR48" s="22">
        <v>24.368500000000001</v>
      </c>
      <c r="AS48" s="22">
        <v>-1.1550899999999999E-2</v>
      </c>
      <c r="AT48" s="22">
        <v>38</v>
      </c>
      <c r="AU48" s="22">
        <v>1.62781</v>
      </c>
      <c r="AV48">
        <f t="shared" si="8"/>
        <v>14.260370370370369</v>
      </c>
      <c r="AW48">
        <f t="shared" si="9"/>
        <v>23.226150429629627</v>
      </c>
      <c r="AX48" s="9"/>
      <c r="AY48" s="22">
        <v>9.1400099999999998E-2</v>
      </c>
      <c r="AZ48" s="22">
        <v>28.228000000000002</v>
      </c>
      <c r="BA48" s="22">
        <v>-1.38824E-2</v>
      </c>
      <c r="BB48" s="22">
        <v>38</v>
      </c>
      <c r="BC48" s="22">
        <v>9.0850799999999995E-2</v>
      </c>
      <c r="BD48">
        <f t="shared" si="10"/>
        <v>17.138765432098765</v>
      </c>
      <c r="BE48">
        <f t="shared" si="11"/>
        <v>1.5664848743703703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1.6236900000000001</v>
      </c>
      <c r="H49" s="22">
        <v>5.6190899999999999</v>
      </c>
      <c r="I49" s="22">
        <v>-1.1593600000000001E-2</v>
      </c>
      <c r="J49" s="22">
        <v>39</v>
      </c>
      <c r="K49" s="22">
        <v>1.62323</v>
      </c>
      <c r="L49">
        <f t="shared" si="0"/>
        <v>14.313086419753086</v>
      </c>
      <c r="M49">
        <f t="shared" si="1"/>
        <v>23.240015288888888</v>
      </c>
      <c r="N49" s="9"/>
      <c r="O49" s="22">
        <v>9.6435499999999993E-2</v>
      </c>
      <c r="P49" s="22">
        <v>9.4785699999999995</v>
      </c>
      <c r="Q49" s="22">
        <v>-1.3754300000000001E-2</v>
      </c>
      <c r="R49" s="22">
        <v>39</v>
      </c>
      <c r="S49" s="22">
        <v>9.5855700000000002E-2</v>
      </c>
      <c r="T49">
        <f t="shared" si="2"/>
        <v>16.980617283950615</v>
      </c>
      <c r="U49">
        <f t="shared" si="3"/>
        <v>1.6375343180864195</v>
      </c>
      <c r="X49" s="9"/>
      <c r="Y49" s="22">
        <v>1.6236900000000001</v>
      </c>
      <c r="Z49" s="22">
        <v>14.955299999999999</v>
      </c>
      <c r="AA49" s="22">
        <v>-1.15814E-2</v>
      </c>
      <c r="AB49" s="22">
        <v>39</v>
      </c>
      <c r="AC49" s="22">
        <v>1.62262</v>
      </c>
      <c r="AD49">
        <f t="shared" si="4"/>
        <v>14.298024691358025</v>
      </c>
      <c r="AE49">
        <f t="shared" si="5"/>
        <v>23.215559711111112</v>
      </c>
      <c r="AF49" s="9"/>
      <c r="AG49" s="22">
        <v>9.6435499999999993E-2</v>
      </c>
      <c r="AH49" s="22">
        <v>18.814800000000002</v>
      </c>
      <c r="AI49" s="22">
        <v>-1.3787799999999999E-2</v>
      </c>
      <c r="AJ49" s="22">
        <v>39</v>
      </c>
      <c r="AK49" s="22">
        <v>9.5825199999999999E-2</v>
      </c>
      <c r="AL49">
        <f t="shared" si="6"/>
        <v>17.021975308641974</v>
      </c>
      <c r="AM49">
        <f t="shared" si="7"/>
        <v>1.6415226998765429</v>
      </c>
      <c r="AP49" s="9"/>
      <c r="AQ49" s="22">
        <v>1.6236900000000001</v>
      </c>
      <c r="AR49" s="22">
        <v>24.378599999999999</v>
      </c>
      <c r="AS49" s="22">
        <v>-1.16455E-2</v>
      </c>
      <c r="AT49" s="22">
        <v>39</v>
      </c>
      <c r="AU49" s="22">
        <v>1.6229199999999999</v>
      </c>
      <c r="AV49">
        <f t="shared" si="8"/>
        <v>14.37716049382716</v>
      </c>
      <c r="AW49">
        <f t="shared" si="9"/>
        <v>23.344051722222222</v>
      </c>
      <c r="AX49" s="9"/>
      <c r="AY49" s="22">
        <v>9.6435499999999993E-2</v>
      </c>
      <c r="AZ49" s="22">
        <v>28.238099999999999</v>
      </c>
      <c r="BA49" s="22">
        <v>-1.38794E-2</v>
      </c>
      <c r="BB49" s="22">
        <v>39</v>
      </c>
      <c r="BC49" s="22">
        <v>9.5794699999999997E-2</v>
      </c>
      <c r="BD49">
        <f t="shared" si="10"/>
        <v>17.135061728395058</v>
      </c>
      <c r="BE49">
        <f t="shared" si="11"/>
        <v>1.6524282453086416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1.6186499999999999</v>
      </c>
      <c r="H50" s="22">
        <v>5.6291599999999997</v>
      </c>
      <c r="I50" s="22">
        <v>-1.16577E-2</v>
      </c>
      <c r="J50" s="22">
        <v>40</v>
      </c>
      <c r="K50" s="22">
        <v>1.6174299999999999</v>
      </c>
      <c r="L50">
        <f t="shared" si="0"/>
        <v>14.392222222222221</v>
      </c>
      <c r="M50">
        <f t="shared" si="1"/>
        <v>23.295970499999999</v>
      </c>
      <c r="N50" s="9"/>
      <c r="O50" s="22">
        <v>0.10147100000000001</v>
      </c>
      <c r="P50" s="22">
        <v>9.4886400000000002</v>
      </c>
      <c r="Q50" s="22">
        <v>-1.37695E-2</v>
      </c>
      <c r="R50" s="22">
        <v>40</v>
      </c>
      <c r="S50" s="22">
        <v>0.10083</v>
      </c>
      <c r="T50">
        <f t="shared" si="2"/>
        <v>16.999382716049382</v>
      </c>
      <c r="U50">
        <f t="shared" si="3"/>
        <v>1.7249443635802471</v>
      </c>
      <c r="X50" s="9"/>
      <c r="Y50" s="22">
        <v>1.6186499999999999</v>
      </c>
      <c r="Z50" s="22">
        <v>14.965400000000001</v>
      </c>
      <c r="AA50" s="22">
        <v>-1.16699E-2</v>
      </c>
      <c r="AB50" s="22">
        <v>40</v>
      </c>
      <c r="AC50" s="22">
        <v>1.61774</v>
      </c>
      <c r="AD50">
        <f t="shared" si="4"/>
        <v>14.407283950617282</v>
      </c>
      <c r="AE50">
        <f t="shared" si="5"/>
        <v>23.320350166666664</v>
      </c>
      <c r="AF50" s="9"/>
      <c r="AG50" s="22">
        <v>0.10147100000000001</v>
      </c>
      <c r="AH50" s="22">
        <v>18.8249</v>
      </c>
      <c r="AI50" s="22">
        <v>-1.3797E-2</v>
      </c>
      <c r="AJ50" s="22">
        <v>40</v>
      </c>
      <c r="AK50" s="22">
        <v>0.10086100000000001</v>
      </c>
      <c r="AL50">
        <f t="shared" si="6"/>
        <v>17.033333333333331</v>
      </c>
      <c r="AM50">
        <f t="shared" si="7"/>
        <v>1.7283893666666665</v>
      </c>
      <c r="AP50" s="9"/>
      <c r="AQ50" s="22">
        <v>1.6186499999999999</v>
      </c>
      <c r="AR50" s="22">
        <v>24.3887</v>
      </c>
      <c r="AS50" s="22">
        <v>-1.17371E-2</v>
      </c>
      <c r="AT50" s="22">
        <v>40</v>
      </c>
      <c r="AU50" s="22">
        <v>1.61713</v>
      </c>
      <c r="AV50">
        <f t="shared" si="8"/>
        <v>14.490246913580247</v>
      </c>
      <c r="AW50">
        <f t="shared" si="9"/>
        <v>23.454638166666665</v>
      </c>
      <c r="AX50" s="9"/>
      <c r="AY50" s="22">
        <v>0.10147100000000001</v>
      </c>
      <c r="AZ50" s="22">
        <v>28.248100000000001</v>
      </c>
      <c r="BA50" s="22">
        <v>-1.38733E-2</v>
      </c>
      <c r="BB50" s="22">
        <v>40</v>
      </c>
      <c r="BC50" s="22">
        <v>0.10083</v>
      </c>
      <c r="BD50">
        <f t="shared" si="10"/>
        <v>17.127530864197528</v>
      </c>
      <c r="BE50">
        <f t="shared" si="11"/>
        <v>1.7379476843209873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1.6136200000000001</v>
      </c>
      <c r="H51" s="22">
        <v>5.63924</v>
      </c>
      <c r="I51" s="22">
        <v>-1.17371E-2</v>
      </c>
      <c r="J51" s="22">
        <v>41</v>
      </c>
      <c r="K51" s="22">
        <v>1.6125499999999999</v>
      </c>
      <c r="L51">
        <f t="shared" si="0"/>
        <v>14.490246913580247</v>
      </c>
      <c r="M51">
        <f t="shared" si="1"/>
        <v>23.381752224691358</v>
      </c>
      <c r="N51" s="9"/>
      <c r="O51" s="22">
        <v>0.106506</v>
      </c>
      <c r="P51" s="22">
        <v>9.4987100000000009</v>
      </c>
      <c r="Q51" s="22">
        <v>-1.3766499999999999E-2</v>
      </c>
      <c r="R51" s="22">
        <v>41</v>
      </c>
      <c r="S51" s="22">
        <v>0.105804</v>
      </c>
      <c r="T51">
        <f t="shared" si="2"/>
        <v>16.995679012345676</v>
      </c>
      <c r="U51">
        <f t="shared" si="3"/>
        <v>1.8101417888888887</v>
      </c>
      <c r="X51" s="9"/>
      <c r="Y51" s="22">
        <v>1.6136200000000001</v>
      </c>
      <c r="Z51" s="22">
        <v>14.9755</v>
      </c>
      <c r="AA51" s="22">
        <v>-1.1749300000000001E-2</v>
      </c>
      <c r="AB51" s="22">
        <v>41</v>
      </c>
      <c r="AC51" s="22">
        <v>1.6122399999999999</v>
      </c>
      <c r="AD51">
        <f t="shared" si="4"/>
        <v>14.505308641975308</v>
      </c>
      <c r="AE51">
        <f t="shared" si="5"/>
        <v>23.406056130864197</v>
      </c>
      <c r="AF51" s="9"/>
      <c r="AG51" s="22">
        <v>0.106506</v>
      </c>
      <c r="AH51" s="22">
        <v>18.835000000000001</v>
      </c>
      <c r="AI51" s="22">
        <v>-1.3806199999999999E-2</v>
      </c>
      <c r="AJ51" s="22">
        <v>41</v>
      </c>
      <c r="AK51" s="22">
        <v>0.105865</v>
      </c>
      <c r="AL51">
        <f t="shared" si="6"/>
        <v>17.044691358024689</v>
      </c>
      <c r="AM51">
        <f t="shared" si="7"/>
        <v>1.8153618977777777</v>
      </c>
      <c r="AP51" s="9"/>
      <c r="AQ51" s="22">
        <v>1.6136200000000001</v>
      </c>
      <c r="AR51" s="22">
        <v>24.398700000000002</v>
      </c>
      <c r="AS51" s="22">
        <v>-1.18225E-2</v>
      </c>
      <c r="AT51" s="22">
        <v>41</v>
      </c>
      <c r="AU51" s="22">
        <v>1.6128499999999999</v>
      </c>
      <c r="AV51">
        <f t="shared" si="8"/>
        <v>14.595679012345677</v>
      </c>
      <c r="AW51">
        <f t="shared" si="9"/>
        <v>23.551879567901231</v>
      </c>
      <c r="AX51" s="9"/>
      <c r="AY51" s="22">
        <v>0.106506</v>
      </c>
      <c r="AZ51" s="22">
        <v>28.258199999999999</v>
      </c>
      <c r="BA51" s="22">
        <v>-1.3870199999999999E-2</v>
      </c>
      <c r="BB51" s="22">
        <v>41</v>
      </c>
      <c r="BC51" s="22">
        <v>0.105896</v>
      </c>
      <c r="BD51">
        <f t="shared" si="10"/>
        <v>17.123703703703701</v>
      </c>
      <c r="BE51">
        <f t="shared" si="11"/>
        <v>1.8237771866666663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1.6085799999999999</v>
      </c>
      <c r="H52" s="22">
        <v>5.6493099999999998</v>
      </c>
      <c r="I52" s="22">
        <v>-1.17828E-2</v>
      </c>
      <c r="J52" s="22">
        <v>42</v>
      </c>
      <c r="K52" s="22">
        <v>1.6073599999999999</v>
      </c>
      <c r="L52">
        <f t="shared" si="0"/>
        <v>14.546666666666665</v>
      </c>
      <c r="M52">
        <f t="shared" si="1"/>
        <v>23.399477066666662</v>
      </c>
      <c r="N52" s="9"/>
      <c r="O52" s="22">
        <v>0.111542</v>
      </c>
      <c r="P52" s="22">
        <v>9.5087799999999998</v>
      </c>
      <c r="Q52" s="22">
        <v>-1.37695E-2</v>
      </c>
      <c r="R52" s="22">
        <v>42</v>
      </c>
      <c r="S52" s="22">
        <v>0.110809</v>
      </c>
      <c r="T52">
        <f t="shared" si="2"/>
        <v>16.999382716049382</v>
      </c>
      <c r="U52">
        <f t="shared" si="3"/>
        <v>1.8961451469135802</v>
      </c>
      <c r="X52" s="9"/>
      <c r="Y52" s="22">
        <v>1.6085799999999999</v>
      </c>
      <c r="Z52" s="22">
        <v>14.9856</v>
      </c>
      <c r="AA52" s="22">
        <v>-1.18256E-2</v>
      </c>
      <c r="AB52" s="22">
        <v>42</v>
      </c>
      <c r="AC52" s="22">
        <v>1.6079699999999999</v>
      </c>
      <c r="AD52">
        <f t="shared" si="4"/>
        <v>14.599506172839504</v>
      </c>
      <c r="AE52">
        <f t="shared" si="5"/>
        <v>23.48447363950617</v>
      </c>
      <c r="AF52" s="9"/>
      <c r="AG52" s="22">
        <v>0.111542</v>
      </c>
      <c r="AH52" s="22">
        <v>18.844999999999999</v>
      </c>
      <c r="AI52" s="22">
        <v>-1.38123E-2</v>
      </c>
      <c r="AJ52" s="22">
        <v>42</v>
      </c>
      <c r="AK52" s="22">
        <v>0.11087</v>
      </c>
      <c r="AL52">
        <f t="shared" si="6"/>
        <v>17.052222222222223</v>
      </c>
      <c r="AM52">
        <f t="shared" si="7"/>
        <v>1.9020389711111112</v>
      </c>
      <c r="AP52" s="9"/>
      <c r="AQ52" s="22">
        <v>1.6085799999999999</v>
      </c>
      <c r="AR52" s="22">
        <v>24.408799999999999</v>
      </c>
      <c r="AS52" s="22">
        <v>-1.18805E-2</v>
      </c>
      <c r="AT52" s="22">
        <v>42</v>
      </c>
      <c r="AU52" s="22">
        <v>1.6076699999999999</v>
      </c>
      <c r="AV52">
        <f t="shared" si="8"/>
        <v>14.667283950617284</v>
      </c>
      <c r="AW52">
        <f t="shared" si="9"/>
        <v>23.59349961728395</v>
      </c>
      <c r="AX52" s="9"/>
      <c r="AY52" s="22">
        <v>0.111542</v>
      </c>
      <c r="AZ52" s="22">
        <v>28.2683</v>
      </c>
      <c r="BA52" s="22">
        <v>-1.38733E-2</v>
      </c>
      <c r="BB52" s="22">
        <v>42</v>
      </c>
      <c r="BC52" s="22">
        <v>0.11083999999999999</v>
      </c>
      <c r="BD52">
        <f t="shared" si="10"/>
        <v>17.127530864197528</v>
      </c>
      <c r="BE52">
        <f t="shared" si="11"/>
        <v>1.9104390476543207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1.60355</v>
      </c>
      <c r="H53" s="22">
        <v>5.6593799999999996</v>
      </c>
      <c r="I53" s="22">
        <v>-1.18347E-2</v>
      </c>
      <c r="J53" s="22">
        <v>43</v>
      </c>
      <c r="K53" s="22">
        <v>1.6030899999999999</v>
      </c>
      <c r="L53">
        <f t="shared" si="0"/>
        <v>14.61074074074074</v>
      </c>
      <c r="M53">
        <f t="shared" si="1"/>
        <v>23.429053314814812</v>
      </c>
      <c r="N53" s="9"/>
      <c r="O53" s="22">
        <v>0.116577</v>
      </c>
      <c r="P53" s="22">
        <v>9.5188500000000005</v>
      </c>
      <c r="Q53" s="22">
        <v>-1.3772599999999999E-2</v>
      </c>
      <c r="R53" s="22">
        <v>43</v>
      </c>
      <c r="S53" s="22">
        <v>0.115997</v>
      </c>
      <c r="T53">
        <f t="shared" si="2"/>
        <v>17.00320987654321</v>
      </c>
      <c r="U53">
        <f t="shared" si="3"/>
        <v>1.9821831977777777</v>
      </c>
      <c r="X53" s="9"/>
      <c r="Y53" s="22">
        <v>1.60355</v>
      </c>
      <c r="Z53" s="22">
        <v>14.9956</v>
      </c>
      <c r="AA53" s="22">
        <v>-1.18958E-2</v>
      </c>
      <c r="AB53" s="22">
        <v>43</v>
      </c>
      <c r="AC53" s="22">
        <v>1.6024799999999999</v>
      </c>
      <c r="AD53">
        <f t="shared" si="4"/>
        <v>14.686172839506172</v>
      </c>
      <c r="AE53">
        <f t="shared" si="5"/>
        <v>23.550012456790125</v>
      </c>
      <c r="AF53" s="9"/>
      <c r="AG53" s="22">
        <v>0.116577</v>
      </c>
      <c r="AH53" s="22">
        <v>18.8551</v>
      </c>
      <c r="AI53" s="22">
        <v>-1.3809200000000001E-2</v>
      </c>
      <c r="AJ53" s="22">
        <v>43</v>
      </c>
      <c r="AK53" s="22">
        <v>0.115967</v>
      </c>
      <c r="AL53">
        <f t="shared" si="6"/>
        <v>17.048395061728392</v>
      </c>
      <c r="AM53">
        <f t="shared" si="7"/>
        <v>1.9874507511111108</v>
      </c>
      <c r="AP53" s="9"/>
      <c r="AQ53" s="22">
        <v>1.60355</v>
      </c>
      <c r="AR53" s="22">
        <v>24.418900000000001</v>
      </c>
      <c r="AS53" s="22">
        <v>-1.19507E-2</v>
      </c>
      <c r="AT53" s="22">
        <v>43</v>
      </c>
      <c r="AU53" s="22">
        <v>1.6024799999999999</v>
      </c>
      <c r="AV53">
        <f t="shared" si="8"/>
        <v>14.75395061728395</v>
      </c>
      <c r="AW53">
        <f t="shared" si="9"/>
        <v>23.658697512345679</v>
      </c>
      <c r="AX53" s="9"/>
      <c r="AY53" s="22">
        <v>0.116577</v>
      </c>
      <c r="AZ53" s="22">
        <v>28.278300000000002</v>
      </c>
      <c r="BA53" s="22">
        <v>-1.38733E-2</v>
      </c>
      <c r="BB53" s="22">
        <v>43</v>
      </c>
      <c r="BC53" s="22">
        <v>0.115967</v>
      </c>
      <c r="BD53">
        <f t="shared" si="10"/>
        <v>17.127530864197528</v>
      </c>
      <c r="BE53">
        <f t="shared" si="11"/>
        <v>1.9966761655555552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1.5985100000000001</v>
      </c>
      <c r="H54" s="22">
        <v>5.6694500000000003</v>
      </c>
      <c r="I54" s="22">
        <v>-1.18744E-2</v>
      </c>
      <c r="J54" s="22">
        <v>44</v>
      </c>
      <c r="K54" s="22">
        <v>1.5979000000000001</v>
      </c>
      <c r="L54">
        <f t="shared" si="0"/>
        <v>14.659753086419753</v>
      </c>
      <c r="M54">
        <f t="shared" si="1"/>
        <v>23.43376190617284</v>
      </c>
      <c r="N54" s="9"/>
      <c r="O54" s="22">
        <v>0.121613</v>
      </c>
      <c r="P54" s="22">
        <v>9.5289199999999994</v>
      </c>
      <c r="Q54" s="22">
        <v>-1.3787799999999999E-2</v>
      </c>
      <c r="R54" s="22">
        <v>44</v>
      </c>
      <c r="S54" s="22">
        <v>0.121033</v>
      </c>
      <c r="T54">
        <f t="shared" si="2"/>
        <v>17.021975308641974</v>
      </c>
      <c r="U54">
        <f t="shared" si="3"/>
        <v>2.0700934832098765</v>
      </c>
      <c r="X54" s="9"/>
      <c r="Y54" s="22">
        <v>1.5985100000000001</v>
      </c>
      <c r="Z54" s="22">
        <v>15.005699999999999</v>
      </c>
      <c r="AA54" s="22">
        <v>-1.1969E-2</v>
      </c>
      <c r="AB54" s="22">
        <v>44</v>
      </c>
      <c r="AC54" s="22">
        <v>1.5975999999999999</v>
      </c>
      <c r="AD54">
        <f t="shared" si="4"/>
        <v>14.776543209876543</v>
      </c>
      <c r="AE54">
        <f t="shared" si="5"/>
        <v>23.620452086419753</v>
      </c>
      <c r="AF54" s="9"/>
      <c r="AG54" s="22">
        <v>0.121613</v>
      </c>
      <c r="AH54" s="22">
        <v>18.865200000000002</v>
      </c>
      <c r="AI54" s="22">
        <v>-1.38184E-2</v>
      </c>
      <c r="AJ54" s="22">
        <v>44</v>
      </c>
      <c r="AK54" s="22">
        <v>0.120972</v>
      </c>
      <c r="AL54">
        <f t="shared" si="6"/>
        <v>17.05975308641975</v>
      </c>
      <c r="AM54">
        <f t="shared" si="7"/>
        <v>2.074687752098765</v>
      </c>
      <c r="AP54" s="9"/>
      <c r="AQ54" s="22">
        <v>1.5985100000000001</v>
      </c>
      <c r="AR54" s="22">
        <v>24.428899999999999</v>
      </c>
      <c r="AS54" s="22">
        <v>-1.2020899999999999E-2</v>
      </c>
      <c r="AT54" s="22">
        <v>44</v>
      </c>
      <c r="AU54" s="22">
        <v>1.5972900000000001</v>
      </c>
      <c r="AV54">
        <f t="shared" si="8"/>
        <v>14.840617283950616</v>
      </c>
      <c r="AW54">
        <f t="shared" si="9"/>
        <v>23.7228751345679</v>
      </c>
      <c r="AX54" s="9"/>
      <c r="AY54" s="22">
        <v>0.121613</v>
      </c>
      <c r="AZ54" s="22">
        <v>28.288399999999999</v>
      </c>
      <c r="BA54" s="22">
        <v>-1.38824E-2</v>
      </c>
      <c r="BB54" s="22">
        <v>44</v>
      </c>
      <c r="BC54" s="22">
        <v>0.121063</v>
      </c>
      <c r="BD54">
        <f t="shared" si="10"/>
        <v>17.138765432098765</v>
      </c>
      <c r="BE54">
        <f t="shared" si="11"/>
        <v>2.0842966804938272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1.59348</v>
      </c>
      <c r="H55" s="22">
        <v>5.6795200000000001</v>
      </c>
      <c r="I55" s="22">
        <v>-1.1938499999999999E-2</v>
      </c>
      <c r="J55" s="22">
        <v>45</v>
      </c>
      <c r="K55" s="22">
        <v>1.5927100000000001</v>
      </c>
      <c r="L55">
        <f t="shared" si="0"/>
        <v>14.738888888888887</v>
      </c>
      <c r="M55">
        <f t="shared" si="1"/>
        <v>23.486124666666665</v>
      </c>
      <c r="N55" s="9"/>
      <c r="O55" s="22">
        <v>0.12664800000000001</v>
      </c>
      <c r="P55" s="22">
        <v>9.5389900000000001</v>
      </c>
      <c r="Q55" s="22">
        <v>-1.37939E-2</v>
      </c>
      <c r="R55" s="22">
        <v>45</v>
      </c>
      <c r="S55" s="22">
        <v>0.12606800000000001</v>
      </c>
      <c r="T55">
        <f t="shared" si="2"/>
        <v>17.029506172839504</v>
      </c>
      <c r="U55">
        <f t="shared" si="3"/>
        <v>2.1567528977777779</v>
      </c>
      <c r="X55" s="9"/>
      <c r="Y55" s="22">
        <v>1.59348</v>
      </c>
      <c r="Z55" s="22">
        <v>15.0158</v>
      </c>
      <c r="AA55" s="22">
        <v>-1.20178E-2</v>
      </c>
      <c r="AB55" s="22">
        <v>45</v>
      </c>
      <c r="AC55" s="22">
        <v>1.5924100000000001</v>
      </c>
      <c r="AD55">
        <f t="shared" si="4"/>
        <v>14.836790123456788</v>
      </c>
      <c r="AE55">
        <f t="shared" si="5"/>
        <v>23.642128325925924</v>
      </c>
      <c r="AF55" s="9"/>
      <c r="AG55" s="22">
        <v>0.12664800000000001</v>
      </c>
      <c r="AH55" s="22">
        <v>18.8752</v>
      </c>
      <c r="AI55" s="22">
        <v>-1.38275E-2</v>
      </c>
      <c r="AJ55" s="22">
        <v>45</v>
      </c>
      <c r="AK55" s="22">
        <v>0.12600700000000001</v>
      </c>
      <c r="AL55">
        <f t="shared" si="6"/>
        <v>17.070987654320987</v>
      </c>
      <c r="AM55">
        <f t="shared" si="7"/>
        <v>2.1620064444444447</v>
      </c>
      <c r="AP55" s="9"/>
      <c r="AQ55" s="22">
        <v>1.59348</v>
      </c>
      <c r="AR55" s="22">
        <v>24.439</v>
      </c>
      <c r="AS55" s="22">
        <v>-1.2069699999999999E-2</v>
      </c>
      <c r="AT55" s="22">
        <v>45</v>
      </c>
      <c r="AU55" s="22">
        <v>1.5924100000000001</v>
      </c>
      <c r="AV55">
        <f t="shared" si="8"/>
        <v>14.900864197530863</v>
      </c>
      <c r="AW55">
        <f t="shared" si="9"/>
        <v>23.744229081481478</v>
      </c>
      <c r="AX55" s="9"/>
      <c r="AY55" s="22">
        <v>0.12664800000000001</v>
      </c>
      <c r="AZ55" s="22">
        <v>28.298500000000001</v>
      </c>
      <c r="BA55" s="22">
        <v>-1.38824E-2</v>
      </c>
      <c r="BB55" s="22">
        <v>45</v>
      </c>
      <c r="BC55" s="22">
        <v>0.12606800000000001</v>
      </c>
      <c r="BD55">
        <f t="shared" si="10"/>
        <v>17.138765432098765</v>
      </c>
      <c r="BE55">
        <f t="shared" si="11"/>
        <v>2.1705903644444446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1.5884400000000001</v>
      </c>
      <c r="H56" s="22">
        <v>5.6895899999999999</v>
      </c>
      <c r="I56" s="22">
        <v>-1.1981199999999999E-2</v>
      </c>
      <c r="J56" s="22">
        <v>46</v>
      </c>
      <c r="K56" s="22">
        <v>1.5878300000000001</v>
      </c>
      <c r="L56">
        <f t="shared" si="0"/>
        <v>14.791604938271602</v>
      </c>
      <c r="M56">
        <f t="shared" si="1"/>
        <v>23.495576948148145</v>
      </c>
      <c r="N56" s="9"/>
      <c r="O56" s="22">
        <v>0.13168299999999999</v>
      </c>
      <c r="P56" s="22">
        <v>9.5490600000000008</v>
      </c>
      <c r="Q56" s="22">
        <v>-1.37909E-2</v>
      </c>
      <c r="R56" s="22">
        <v>46</v>
      </c>
      <c r="S56" s="22">
        <v>0.131134</v>
      </c>
      <c r="T56">
        <f t="shared" si="2"/>
        <v>17.025802469135801</v>
      </c>
      <c r="U56">
        <f t="shared" si="3"/>
        <v>2.2420087465432097</v>
      </c>
      <c r="X56" s="9"/>
      <c r="Y56" s="22">
        <v>1.5884400000000001</v>
      </c>
      <c r="Z56" s="22">
        <v>15.0258</v>
      </c>
      <c r="AA56" s="22">
        <v>-1.2057500000000001E-2</v>
      </c>
      <c r="AB56" s="22">
        <v>46</v>
      </c>
      <c r="AC56" s="22">
        <v>1.5878300000000001</v>
      </c>
      <c r="AD56">
        <f t="shared" si="4"/>
        <v>14.885802469135802</v>
      </c>
      <c r="AE56">
        <f t="shared" si="5"/>
        <v>23.645204074074076</v>
      </c>
      <c r="AF56" s="9"/>
      <c r="AG56" s="22">
        <v>0.13168299999999999</v>
      </c>
      <c r="AH56" s="22">
        <v>18.885300000000001</v>
      </c>
      <c r="AI56" s="22">
        <v>-1.38306E-2</v>
      </c>
      <c r="AJ56" s="22">
        <v>46</v>
      </c>
      <c r="AK56" s="22">
        <v>0.131073</v>
      </c>
      <c r="AL56">
        <f t="shared" si="6"/>
        <v>17.074814814814815</v>
      </c>
      <c r="AM56">
        <f t="shared" si="7"/>
        <v>2.2484628392592589</v>
      </c>
      <c r="AP56" s="9"/>
      <c r="AQ56" s="22">
        <v>1.5884400000000001</v>
      </c>
      <c r="AR56" s="22">
        <v>24.449100000000001</v>
      </c>
      <c r="AS56" s="22">
        <v>-1.2130699999999999E-2</v>
      </c>
      <c r="AT56" s="22">
        <v>46</v>
      </c>
      <c r="AU56" s="22">
        <v>1.5872200000000001</v>
      </c>
      <c r="AV56">
        <f t="shared" si="8"/>
        <v>14.976172839506171</v>
      </c>
      <c r="AW56">
        <f t="shared" si="9"/>
        <v>23.788751985185183</v>
      </c>
      <c r="AX56" s="9"/>
      <c r="AY56" s="22">
        <v>0.13168299999999999</v>
      </c>
      <c r="AZ56" s="22">
        <v>28.308499999999999</v>
      </c>
      <c r="BA56" s="22">
        <v>-1.38824E-2</v>
      </c>
      <c r="BB56" s="22">
        <v>46</v>
      </c>
      <c r="BC56" s="22">
        <v>0.131104</v>
      </c>
      <c r="BD56">
        <f t="shared" si="10"/>
        <v>17.138765432098765</v>
      </c>
      <c r="BE56">
        <f t="shared" si="11"/>
        <v>2.2568840483950616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1.5833999999999999</v>
      </c>
      <c r="H57" s="22">
        <v>5.6996599999999997</v>
      </c>
      <c r="I57" s="22">
        <v>-1.2023900000000001E-2</v>
      </c>
      <c r="J57" s="22">
        <v>47</v>
      </c>
      <c r="K57" s="22">
        <v>1.5823400000000001</v>
      </c>
      <c r="L57">
        <f t="shared" si="0"/>
        <v>14.844320987654321</v>
      </c>
      <c r="M57">
        <f t="shared" si="1"/>
        <v>23.504497851851852</v>
      </c>
      <c r="N57" s="9"/>
      <c r="O57" s="22">
        <v>0.13671900000000001</v>
      </c>
      <c r="P57" s="22">
        <v>9.5591299999999997</v>
      </c>
      <c r="Q57" s="22">
        <v>-1.3787799999999999E-2</v>
      </c>
      <c r="R57" s="22">
        <v>47</v>
      </c>
      <c r="S57" s="22">
        <v>0.13610800000000001</v>
      </c>
      <c r="T57">
        <f t="shared" si="2"/>
        <v>17.021975308641974</v>
      </c>
      <c r="U57">
        <f t="shared" si="3"/>
        <v>2.3272274422222221</v>
      </c>
      <c r="X57" s="9"/>
      <c r="Y57" s="22">
        <v>1.5833999999999999</v>
      </c>
      <c r="Z57" s="22">
        <v>15.0359</v>
      </c>
      <c r="AA57" s="22">
        <v>-1.2112400000000001E-2</v>
      </c>
      <c r="AB57" s="22">
        <v>47</v>
      </c>
      <c r="AC57" s="22">
        <v>1.5823400000000001</v>
      </c>
      <c r="AD57">
        <f t="shared" si="4"/>
        <v>14.95358024691358</v>
      </c>
      <c r="AE57">
        <f t="shared" si="5"/>
        <v>23.677498962962961</v>
      </c>
      <c r="AF57" s="9"/>
      <c r="AG57" s="22">
        <v>0.13671900000000001</v>
      </c>
      <c r="AH57" s="22">
        <v>18.895399999999999</v>
      </c>
      <c r="AI57" s="22">
        <v>-1.38245E-2</v>
      </c>
      <c r="AJ57" s="22">
        <v>47</v>
      </c>
      <c r="AK57" s="22">
        <v>0.135986</v>
      </c>
      <c r="AL57">
        <f t="shared" si="6"/>
        <v>17.067283950617281</v>
      </c>
      <c r="AM57">
        <f t="shared" si="7"/>
        <v>2.3334219944444441</v>
      </c>
      <c r="AP57" s="9"/>
      <c r="AQ57" s="22">
        <v>1.5833999999999999</v>
      </c>
      <c r="AR57" s="22">
        <v>24.459099999999999</v>
      </c>
      <c r="AS57" s="22">
        <v>-1.21735E-2</v>
      </c>
      <c r="AT57" s="22">
        <v>47</v>
      </c>
      <c r="AU57" s="22">
        <v>1.5823400000000001</v>
      </c>
      <c r="AV57">
        <f t="shared" si="8"/>
        <v>15.029012345679011</v>
      </c>
      <c r="AW57">
        <f t="shared" si="9"/>
        <v>23.796938148148143</v>
      </c>
      <c r="AX57" s="9"/>
      <c r="AY57" s="22">
        <v>0.13671900000000001</v>
      </c>
      <c r="AZ57" s="22">
        <v>28.3186</v>
      </c>
      <c r="BA57" s="22">
        <v>-1.38794E-2</v>
      </c>
      <c r="BB57" s="22">
        <v>47</v>
      </c>
      <c r="BC57" s="22">
        <v>0.136047</v>
      </c>
      <c r="BD57">
        <f t="shared" si="10"/>
        <v>17.135061728395058</v>
      </c>
      <c r="BE57">
        <f t="shared" si="11"/>
        <v>2.3426885044444443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1.5783700000000001</v>
      </c>
      <c r="H58" s="22">
        <v>5.7097300000000004</v>
      </c>
      <c r="I58" s="22">
        <v>-1.20605E-2</v>
      </c>
      <c r="J58" s="22">
        <v>48</v>
      </c>
      <c r="K58" s="22">
        <v>1.57745</v>
      </c>
      <c r="L58">
        <f t="shared" si="0"/>
        <v>14.889506172839505</v>
      </c>
      <c r="M58">
        <f t="shared" si="1"/>
        <v>23.501149858024689</v>
      </c>
      <c r="N58" s="9"/>
      <c r="O58" s="22">
        <v>0.14175399999999999</v>
      </c>
      <c r="P58" s="22">
        <v>9.56921</v>
      </c>
      <c r="Q58" s="22">
        <v>-1.3781699999999999E-2</v>
      </c>
      <c r="R58" s="22">
        <v>48</v>
      </c>
      <c r="S58" s="22">
        <v>0.14114399999999999</v>
      </c>
      <c r="T58">
        <f t="shared" si="2"/>
        <v>17.014444444444443</v>
      </c>
      <c r="U58">
        <f t="shared" si="3"/>
        <v>2.4118655577777774</v>
      </c>
      <c r="X58" s="9"/>
      <c r="Y58" s="22">
        <v>1.5783700000000001</v>
      </c>
      <c r="Z58" s="22">
        <v>15.045999999999999</v>
      </c>
      <c r="AA58" s="22">
        <v>-1.2152100000000001E-2</v>
      </c>
      <c r="AB58" s="22">
        <v>48</v>
      </c>
      <c r="AC58" s="22">
        <v>1.5771500000000001</v>
      </c>
      <c r="AD58">
        <f t="shared" si="4"/>
        <v>15.002592592592592</v>
      </c>
      <c r="AE58">
        <f t="shared" si="5"/>
        <v>23.67964207037037</v>
      </c>
      <c r="AF58" s="9"/>
      <c r="AG58" s="22">
        <v>0.14175399999999999</v>
      </c>
      <c r="AH58" s="22">
        <v>18.9055</v>
      </c>
      <c r="AI58" s="22">
        <v>-1.38184E-2</v>
      </c>
      <c r="AJ58" s="22">
        <v>48</v>
      </c>
      <c r="AK58" s="22">
        <v>0.14108299999999999</v>
      </c>
      <c r="AL58">
        <f t="shared" si="6"/>
        <v>17.05975308641975</v>
      </c>
      <c r="AM58">
        <f t="shared" si="7"/>
        <v>2.418288239012345</v>
      </c>
      <c r="AP58" s="9"/>
      <c r="AQ58" s="22">
        <v>1.5783700000000001</v>
      </c>
      <c r="AR58" s="22">
        <v>24.469200000000001</v>
      </c>
      <c r="AS58" s="22">
        <v>-1.22162E-2</v>
      </c>
      <c r="AT58" s="22">
        <v>48</v>
      </c>
      <c r="AU58" s="22">
        <v>1.5777600000000001</v>
      </c>
      <c r="AV58">
        <f t="shared" si="8"/>
        <v>15.081728395061727</v>
      </c>
      <c r="AW58">
        <f t="shared" si="9"/>
        <v>23.80454764691358</v>
      </c>
      <c r="AX58" s="9"/>
      <c r="AY58" s="22">
        <v>0.14175399999999999</v>
      </c>
      <c r="AZ58" s="22">
        <v>28.328700000000001</v>
      </c>
      <c r="BA58" s="22">
        <v>-1.38733E-2</v>
      </c>
      <c r="BB58" s="22">
        <v>48</v>
      </c>
      <c r="BC58" s="22">
        <v>0.14111299999999999</v>
      </c>
      <c r="BD58">
        <f t="shared" si="10"/>
        <v>17.127530864197528</v>
      </c>
      <c r="BE58">
        <f t="shared" si="11"/>
        <v>2.4278960101234563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1.5733299999999999</v>
      </c>
      <c r="H59" s="22">
        <v>5.7198000000000002</v>
      </c>
      <c r="I59" s="22">
        <v>-1.21063E-2</v>
      </c>
      <c r="J59" s="22">
        <v>49</v>
      </c>
      <c r="K59" s="22">
        <v>1.57257</v>
      </c>
      <c r="L59">
        <f t="shared" si="0"/>
        <v>14.946049382716049</v>
      </c>
      <c r="M59">
        <f t="shared" si="1"/>
        <v>23.515067875308642</v>
      </c>
      <c r="N59" s="9"/>
      <c r="O59" s="22">
        <v>0.14679</v>
      </c>
      <c r="P59" s="22">
        <v>9.5792800000000007</v>
      </c>
      <c r="Q59" s="22">
        <v>-1.37787E-2</v>
      </c>
      <c r="R59" s="22">
        <v>49</v>
      </c>
      <c r="S59" s="22">
        <v>0.146118</v>
      </c>
      <c r="T59">
        <f t="shared" si="2"/>
        <v>17.01074074074074</v>
      </c>
      <c r="U59">
        <f t="shared" si="3"/>
        <v>2.4970066333333332</v>
      </c>
      <c r="X59" s="9"/>
      <c r="Y59" s="22">
        <v>1.5733299999999999</v>
      </c>
      <c r="Z59" s="22">
        <v>15.056100000000001</v>
      </c>
      <c r="AA59" s="22">
        <v>-1.21948E-2</v>
      </c>
      <c r="AB59" s="22">
        <v>49</v>
      </c>
      <c r="AC59" s="22">
        <v>1.57257</v>
      </c>
      <c r="AD59">
        <f t="shared" si="4"/>
        <v>15.055308641975309</v>
      </c>
      <c r="AE59">
        <f t="shared" si="5"/>
        <v>23.68696874567901</v>
      </c>
      <c r="AF59" s="9"/>
      <c r="AG59" s="22">
        <v>0.14679</v>
      </c>
      <c r="AH59" s="22">
        <v>18.915500000000002</v>
      </c>
      <c r="AI59" s="22">
        <v>-1.38245E-2</v>
      </c>
      <c r="AJ59" s="22">
        <v>49</v>
      </c>
      <c r="AK59" s="22">
        <v>0.146088</v>
      </c>
      <c r="AL59">
        <f t="shared" si="6"/>
        <v>17.067283950617281</v>
      </c>
      <c r="AM59">
        <f t="shared" si="7"/>
        <v>2.5053066111111106</v>
      </c>
      <c r="AP59" s="9"/>
      <c r="AQ59" s="22">
        <v>1.5733299999999999</v>
      </c>
      <c r="AR59" s="22">
        <v>24.479299999999999</v>
      </c>
      <c r="AS59" s="22">
        <v>-1.2265E-2</v>
      </c>
      <c r="AT59" s="22">
        <v>49</v>
      </c>
      <c r="AU59" s="22">
        <v>1.57196</v>
      </c>
      <c r="AV59">
        <f t="shared" si="8"/>
        <v>15.141975308641973</v>
      </c>
      <c r="AW59">
        <f t="shared" si="9"/>
        <v>23.823324012345672</v>
      </c>
      <c r="AX59" s="9"/>
      <c r="AY59" s="22">
        <v>0.14679</v>
      </c>
      <c r="AZ59" s="22">
        <v>28.338799999999999</v>
      </c>
      <c r="BA59" s="22">
        <v>-1.38733E-2</v>
      </c>
      <c r="BB59" s="22">
        <v>49</v>
      </c>
      <c r="BC59" s="22">
        <v>0.146179</v>
      </c>
      <c r="BD59">
        <f t="shared" si="10"/>
        <v>17.127530864197528</v>
      </c>
      <c r="BE59">
        <f t="shared" si="11"/>
        <v>2.5141502555555553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1.5683</v>
      </c>
      <c r="H60" s="22">
        <v>5.72987</v>
      </c>
      <c r="I60" s="22">
        <v>-1.2146000000000001E-2</v>
      </c>
      <c r="J60" s="22">
        <v>50</v>
      </c>
      <c r="K60" s="22">
        <v>1.56738</v>
      </c>
      <c r="L60">
        <f t="shared" si="0"/>
        <v>14.995061728395061</v>
      </c>
      <c r="M60">
        <f t="shared" si="1"/>
        <v>23.516755308641976</v>
      </c>
      <c r="N60" s="9"/>
      <c r="O60" s="22">
        <v>0.15182499999999999</v>
      </c>
      <c r="P60" s="22">
        <v>9.5893499999999996</v>
      </c>
      <c r="Q60" s="22">
        <v>-1.3772599999999999E-2</v>
      </c>
      <c r="R60" s="22">
        <v>50</v>
      </c>
      <c r="S60" s="22">
        <v>0.15118400000000001</v>
      </c>
      <c r="T60">
        <f t="shared" si="2"/>
        <v>17.00320987654321</v>
      </c>
      <c r="U60">
        <f t="shared" si="3"/>
        <v>2.5815123395061725</v>
      </c>
      <c r="X60" s="9"/>
      <c r="Y60" s="22">
        <v>1.5683</v>
      </c>
      <c r="Z60" s="22">
        <v>15.0661</v>
      </c>
      <c r="AA60" s="22">
        <v>-1.2234500000000001E-2</v>
      </c>
      <c r="AB60" s="22">
        <v>50</v>
      </c>
      <c r="AC60" s="22">
        <v>1.56677</v>
      </c>
      <c r="AD60">
        <f t="shared" si="4"/>
        <v>15.104320987654321</v>
      </c>
      <c r="AE60">
        <f t="shared" si="5"/>
        <v>23.68810660493827</v>
      </c>
      <c r="AF60" s="9"/>
      <c r="AG60" s="22">
        <v>0.15182499999999999</v>
      </c>
      <c r="AH60" s="22">
        <v>18.925599999999999</v>
      </c>
      <c r="AI60" s="22">
        <v>-1.38245E-2</v>
      </c>
      <c r="AJ60" s="22">
        <v>50</v>
      </c>
      <c r="AK60" s="22">
        <v>0.15115400000000001</v>
      </c>
      <c r="AL60">
        <f t="shared" si="6"/>
        <v>17.067283950617281</v>
      </c>
      <c r="AM60">
        <f t="shared" si="7"/>
        <v>2.5912403858024686</v>
      </c>
      <c r="AP60" s="9"/>
      <c r="AQ60" s="22">
        <v>1.5683</v>
      </c>
      <c r="AR60" s="22">
        <v>24.4894</v>
      </c>
      <c r="AS60" s="22">
        <v>-1.23077E-2</v>
      </c>
      <c r="AT60" s="22">
        <v>50</v>
      </c>
      <c r="AU60" s="22">
        <v>1.56799</v>
      </c>
      <c r="AV60">
        <f t="shared" si="8"/>
        <v>15.19469135802469</v>
      </c>
      <c r="AW60">
        <f t="shared" si="9"/>
        <v>23.82983445679012</v>
      </c>
      <c r="AX60" s="9"/>
      <c r="AY60" s="22">
        <v>0.15182499999999999</v>
      </c>
      <c r="AZ60" s="22">
        <v>28.348800000000001</v>
      </c>
      <c r="BA60" s="22">
        <v>-1.38672E-2</v>
      </c>
      <c r="BB60" s="22">
        <v>50</v>
      </c>
      <c r="BC60" s="22">
        <v>0.15121499999999999</v>
      </c>
      <c r="BD60">
        <f t="shared" si="10"/>
        <v>17.12</v>
      </c>
      <c r="BE60">
        <f t="shared" si="11"/>
        <v>2.5992440000000001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1.5632600000000001</v>
      </c>
      <c r="H61" s="22">
        <v>5.7399500000000003</v>
      </c>
      <c r="I61" s="22">
        <v>-1.2191799999999999E-2</v>
      </c>
      <c r="J61" s="22">
        <v>51</v>
      </c>
      <c r="K61" s="22">
        <v>1.56219</v>
      </c>
      <c r="L61">
        <f t="shared" si="0"/>
        <v>15.051604938271602</v>
      </c>
      <c r="M61">
        <f t="shared" si="1"/>
        <v>23.529571935802466</v>
      </c>
      <c r="N61" s="9"/>
      <c r="O61" s="22">
        <v>0.15686</v>
      </c>
      <c r="P61" s="22">
        <v>9.5994200000000003</v>
      </c>
      <c r="Q61" s="22">
        <v>-1.37573E-2</v>
      </c>
      <c r="R61" s="22">
        <v>51</v>
      </c>
      <c r="S61" s="22">
        <v>0.15625</v>
      </c>
      <c r="T61">
        <f t="shared" si="2"/>
        <v>16.984320987654321</v>
      </c>
      <c r="U61">
        <f t="shared" si="3"/>
        <v>2.6641605901234566</v>
      </c>
      <c r="X61" s="9"/>
      <c r="Y61" s="22">
        <v>1.5632600000000001</v>
      </c>
      <c r="Z61" s="22">
        <v>15.0762</v>
      </c>
      <c r="AA61" s="22">
        <v>-1.2295499999999999E-2</v>
      </c>
      <c r="AB61" s="22">
        <v>51</v>
      </c>
      <c r="AC61" s="22">
        <v>1.56281</v>
      </c>
      <c r="AD61">
        <f t="shared" si="4"/>
        <v>15.179629629629629</v>
      </c>
      <c r="AE61">
        <f t="shared" si="5"/>
        <v>23.729707814814816</v>
      </c>
      <c r="AF61" s="9"/>
      <c r="AG61" s="22">
        <v>0.15686</v>
      </c>
      <c r="AH61" s="22">
        <v>18.935700000000001</v>
      </c>
      <c r="AI61" s="22">
        <v>-1.3821399999999999E-2</v>
      </c>
      <c r="AJ61" s="22">
        <v>51</v>
      </c>
      <c r="AK61" s="22">
        <v>0.156281</v>
      </c>
      <c r="AL61">
        <f t="shared" si="6"/>
        <v>17.063456790123453</v>
      </c>
      <c r="AM61">
        <f t="shared" si="7"/>
        <v>2.6765738320987649</v>
      </c>
      <c r="AP61" s="9"/>
      <c r="AQ61" s="22">
        <v>1.5632600000000001</v>
      </c>
      <c r="AR61" s="22">
        <v>24.499400000000001</v>
      </c>
      <c r="AS61" s="22">
        <v>-1.2356600000000001E-2</v>
      </c>
      <c r="AT61" s="22">
        <v>51</v>
      </c>
      <c r="AU61" s="22">
        <v>1.5625</v>
      </c>
      <c r="AV61">
        <f t="shared" si="8"/>
        <v>15.255061728395061</v>
      </c>
      <c r="AW61">
        <f t="shared" si="9"/>
        <v>23.847627797530865</v>
      </c>
      <c r="AX61" s="9"/>
      <c r="AY61" s="22">
        <v>0.15686</v>
      </c>
      <c r="AZ61" s="22">
        <v>28.358899999999998</v>
      </c>
      <c r="BA61" s="22">
        <v>-1.3861099999999999E-2</v>
      </c>
      <c r="BB61" s="22">
        <v>51</v>
      </c>
      <c r="BC61" s="22">
        <v>0.15618899999999999</v>
      </c>
      <c r="BD61">
        <f t="shared" si="10"/>
        <v>17.112469135802467</v>
      </c>
      <c r="BE61">
        <f t="shared" si="11"/>
        <v>2.6842619086419748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1.55823</v>
      </c>
      <c r="H62" s="22">
        <v>5.7500200000000001</v>
      </c>
      <c r="I62" s="22">
        <v>-1.2246699999999999E-2</v>
      </c>
      <c r="J62" s="22">
        <v>52</v>
      </c>
      <c r="K62" s="22">
        <v>1.55792</v>
      </c>
      <c r="L62">
        <f t="shared" si="0"/>
        <v>15.11938271604938</v>
      </c>
      <c r="M62">
        <f t="shared" si="1"/>
        <v>23.559475729629625</v>
      </c>
      <c r="N62" s="9"/>
      <c r="O62" s="22">
        <v>0.16189600000000001</v>
      </c>
      <c r="P62" s="22">
        <v>9.6094899999999992</v>
      </c>
      <c r="Q62" s="22">
        <v>-1.3754300000000001E-2</v>
      </c>
      <c r="R62" s="22">
        <v>52</v>
      </c>
      <c r="S62" s="22">
        <v>0.161194</v>
      </c>
      <c r="T62">
        <f t="shared" si="2"/>
        <v>16.980617283950615</v>
      </c>
      <c r="U62">
        <f t="shared" si="3"/>
        <v>2.749094015802469</v>
      </c>
      <c r="X62" s="9"/>
      <c r="Y62" s="22">
        <v>1.55823</v>
      </c>
      <c r="Z62" s="22">
        <v>15.0863</v>
      </c>
      <c r="AA62" s="22">
        <v>-1.2335199999999999E-2</v>
      </c>
      <c r="AB62" s="22">
        <v>52</v>
      </c>
      <c r="AC62" s="22">
        <v>1.55731</v>
      </c>
      <c r="AD62">
        <f t="shared" si="4"/>
        <v>15.228641975308641</v>
      </c>
      <c r="AE62">
        <f t="shared" si="5"/>
        <v>23.729726785185182</v>
      </c>
      <c r="AF62" s="9"/>
      <c r="AG62" s="22">
        <v>0.16189600000000001</v>
      </c>
      <c r="AH62" s="22">
        <v>18.945699999999999</v>
      </c>
      <c r="AI62" s="22">
        <v>-1.38123E-2</v>
      </c>
      <c r="AJ62" s="22">
        <v>52</v>
      </c>
      <c r="AK62" s="22">
        <v>0.16125500000000001</v>
      </c>
      <c r="AL62">
        <f t="shared" si="6"/>
        <v>17.052222222222223</v>
      </c>
      <c r="AM62">
        <f t="shared" si="7"/>
        <v>2.7606865688888891</v>
      </c>
      <c r="AP62" s="9"/>
      <c r="AQ62" s="22">
        <v>1.55823</v>
      </c>
      <c r="AR62" s="22">
        <v>24.509499999999999</v>
      </c>
      <c r="AS62" s="22">
        <v>-1.24023E-2</v>
      </c>
      <c r="AT62" s="22">
        <v>52</v>
      </c>
      <c r="AU62" s="22">
        <v>1.55731</v>
      </c>
      <c r="AV62">
        <f t="shared" si="8"/>
        <v>15.311481481481479</v>
      </c>
      <c r="AW62">
        <f t="shared" si="9"/>
        <v>23.858809788888884</v>
      </c>
      <c r="AX62" s="9"/>
      <c r="AY62" s="22">
        <v>0.16189600000000001</v>
      </c>
      <c r="AZ62" s="22">
        <v>28.369</v>
      </c>
      <c r="BA62" s="22">
        <v>-1.3858000000000001E-2</v>
      </c>
      <c r="BB62" s="22">
        <v>52</v>
      </c>
      <c r="BC62" s="22">
        <v>0.16131599999999999</v>
      </c>
      <c r="BD62">
        <f t="shared" si="10"/>
        <v>17.10864197530864</v>
      </c>
      <c r="BE62">
        <f t="shared" si="11"/>
        <v>2.7698207012345679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1.5531900000000001</v>
      </c>
      <c r="H63" s="22">
        <v>5.7600899999999999</v>
      </c>
      <c r="I63" s="22">
        <v>-1.22925E-2</v>
      </c>
      <c r="J63" s="22">
        <v>53</v>
      </c>
      <c r="K63" s="22">
        <v>1.55243</v>
      </c>
      <c r="L63">
        <f t="shared" si="0"/>
        <v>15.175925925925924</v>
      </c>
      <c r="M63">
        <f t="shared" si="1"/>
        <v>23.571096388888886</v>
      </c>
      <c r="N63" s="9"/>
      <c r="O63" s="22">
        <v>0.166931</v>
      </c>
      <c r="P63" s="22">
        <v>9.6195599999999999</v>
      </c>
      <c r="Q63" s="22">
        <v>-1.3754300000000001E-2</v>
      </c>
      <c r="R63" s="22">
        <v>53</v>
      </c>
      <c r="S63" s="22">
        <v>0.16622899999999999</v>
      </c>
      <c r="T63">
        <f t="shared" si="2"/>
        <v>16.980617283950615</v>
      </c>
      <c r="U63">
        <f t="shared" si="3"/>
        <v>2.8345914238271601</v>
      </c>
      <c r="X63" s="9"/>
      <c r="Y63" s="22">
        <v>1.5531900000000001</v>
      </c>
      <c r="Z63" s="22">
        <v>15.096299999999999</v>
      </c>
      <c r="AA63" s="22">
        <v>-1.2381E-2</v>
      </c>
      <c r="AB63" s="22">
        <v>53</v>
      </c>
      <c r="AC63" s="22">
        <v>1.5521199999999999</v>
      </c>
      <c r="AD63">
        <f t="shared" si="4"/>
        <v>15.285185185185183</v>
      </c>
      <c r="AE63">
        <f t="shared" si="5"/>
        <v>23.740796777777774</v>
      </c>
      <c r="AF63" s="9"/>
      <c r="AG63" s="22">
        <v>0.166931</v>
      </c>
      <c r="AH63" s="22">
        <v>18.9558</v>
      </c>
      <c r="AI63" s="22">
        <v>-1.38E-2</v>
      </c>
      <c r="AJ63" s="22">
        <v>53</v>
      </c>
      <c r="AK63" s="22">
        <v>0.16619900000000001</v>
      </c>
      <c r="AL63">
        <f t="shared" si="6"/>
        <v>17.037037037037035</v>
      </c>
      <c r="AM63">
        <f t="shared" si="7"/>
        <v>2.8440096296296291</v>
      </c>
      <c r="AP63" s="9"/>
      <c r="AQ63" s="22">
        <v>1.5531900000000001</v>
      </c>
      <c r="AR63" s="22">
        <v>24.519600000000001</v>
      </c>
      <c r="AS63" s="22">
        <v>-1.2442E-2</v>
      </c>
      <c r="AT63" s="22">
        <v>53</v>
      </c>
      <c r="AU63" s="22">
        <v>1.55182</v>
      </c>
      <c r="AV63">
        <f t="shared" si="8"/>
        <v>15.360493827160493</v>
      </c>
      <c r="AW63">
        <f t="shared" si="9"/>
        <v>23.857765407407406</v>
      </c>
      <c r="AX63" s="9"/>
      <c r="AY63" s="22">
        <v>0.166931</v>
      </c>
      <c r="AZ63" s="22">
        <v>28.379000000000001</v>
      </c>
      <c r="BA63" s="22">
        <v>-1.3858000000000001E-2</v>
      </c>
      <c r="BB63" s="22">
        <v>53</v>
      </c>
      <c r="BC63" s="22">
        <v>0.16628999999999999</v>
      </c>
      <c r="BD63">
        <f t="shared" si="10"/>
        <v>17.10864197530864</v>
      </c>
      <c r="BE63">
        <f t="shared" si="11"/>
        <v>2.8559627135802463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1.54816</v>
      </c>
      <c r="H64" s="22">
        <v>5.7701599999999997</v>
      </c>
      <c r="I64" s="22">
        <v>-1.23199E-2</v>
      </c>
      <c r="J64" s="22">
        <v>54</v>
      </c>
      <c r="K64" s="22">
        <v>1.54694</v>
      </c>
      <c r="L64">
        <f t="shared" si="0"/>
        <v>15.209753086419752</v>
      </c>
      <c r="M64">
        <f t="shared" si="1"/>
        <v>23.547131338271605</v>
      </c>
      <c r="N64" s="9"/>
      <c r="O64" s="22">
        <v>0.17196700000000001</v>
      </c>
      <c r="P64" s="22">
        <v>9.6296300000000006</v>
      </c>
      <c r="Q64" s="22">
        <v>-1.37634E-2</v>
      </c>
      <c r="R64" s="22">
        <v>54</v>
      </c>
      <c r="S64" s="22">
        <v>0.171295</v>
      </c>
      <c r="T64">
        <f t="shared" si="2"/>
        <v>16.991851851851852</v>
      </c>
      <c r="U64">
        <f t="shared" si="3"/>
        <v>2.9220377874074077</v>
      </c>
      <c r="X64" s="9"/>
      <c r="Y64" s="22">
        <v>1.54816</v>
      </c>
      <c r="Z64" s="22">
        <v>15.106400000000001</v>
      </c>
      <c r="AA64" s="22">
        <v>-1.24298E-2</v>
      </c>
      <c r="AB64" s="22">
        <v>54</v>
      </c>
      <c r="AC64" s="22">
        <v>1.5472399999999999</v>
      </c>
      <c r="AD64">
        <f t="shared" si="4"/>
        <v>15.34543209876543</v>
      </c>
      <c r="AE64">
        <f t="shared" si="5"/>
        <v>23.757184158024689</v>
      </c>
      <c r="AF64" s="9"/>
      <c r="AG64" s="22">
        <v>0.17196700000000001</v>
      </c>
      <c r="AH64" s="22">
        <v>18.965900000000001</v>
      </c>
      <c r="AI64" s="22">
        <v>-1.38E-2</v>
      </c>
      <c r="AJ64" s="22">
        <v>54</v>
      </c>
      <c r="AK64" s="22">
        <v>0.17132600000000001</v>
      </c>
      <c r="AL64">
        <f t="shared" si="6"/>
        <v>17.037037037037035</v>
      </c>
      <c r="AM64">
        <f t="shared" si="7"/>
        <v>2.9298081481481479</v>
      </c>
      <c r="AP64" s="9"/>
      <c r="AQ64" s="22">
        <v>1.54816</v>
      </c>
      <c r="AR64" s="22">
        <v>24.529599999999999</v>
      </c>
      <c r="AS64" s="22">
        <v>-1.24756E-2</v>
      </c>
      <c r="AT64" s="22">
        <v>54</v>
      </c>
      <c r="AU64" s="22">
        <v>1.54755</v>
      </c>
      <c r="AV64">
        <f t="shared" si="8"/>
        <v>15.401975308641974</v>
      </c>
      <c r="AW64">
        <f t="shared" si="9"/>
        <v>23.844722093827158</v>
      </c>
      <c r="AX64" s="9"/>
      <c r="AY64" s="22">
        <v>0.17196700000000001</v>
      </c>
      <c r="AZ64" s="22">
        <v>28.389099999999999</v>
      </c>
      <c r="BA64" s="22">
        <v>-1.38519E-2</v>
      </c>
      <c r="BB64" s="22">
        <v>54</v>
      </c>
      <c r="BC64" s="22">
        <v>0.171295</v>
      </c>
      <c r="BD64">
        <f t="shared" si="10"/>
        <v>17.101111111111113</v>
      </c>
      <c r="BE64">
        <f t="shared" si="11"/>
        <v>2.940826774444445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1.54312</v>
      </c>
      <c r="H65" s="22">
        <v>5.7802300000000004</v>
      </c>
      <c r="I65" s="22">
        <v>-1.23444E-2</v>
      </c>
      <c r="J65" s="22">
        <v>55</v>
      </c>
      <c r="K65" s="22">
        <v>1.54175</v>
      </c>
      <c r="L65">
        <f t="shared" si="0"/>
        <v>15.239999999999998</v>
      </c>
      <c r="M65">
        <f t="shared" si="1"/>
        <v>23.517148799999998</v>
      </c>
      <c r="N65" s="9"/>
      <c r="O65" s="22">
        <v>0.17700199999999999</v>
      </c>
      <c r="P65" s="22">
        <v>9.6396999999999995</v>
      </c>
      <c r="Q65" s="22">
        <v>-1.3760400000000001E-2</v>
      </c>
      <c r="R65" s="22">
        <v>55</v>
      </c>
      <c r="S65" s="22">
        <v>0.17627000000000001</v>
      </c>
      <c r="T65">
        <f t="shared" si="2"/>
        <v>16.988148148148149</v>
      </c>
      <c r="U65">
        <f t="shared" si="3"/>
        <v>3.0069361985185186</v>
      </c>
      <c r="X65" s="9"/>
      <c r="Y65" s="22">
        <v>1.54312</v>
      </c>
      <c r="Z65" s="22">
        <v>15.1165</v>
      </c>
      <c r="AA65" s="22">
        <v>-1.2466400000000001E-2</v>
      </c>
      <c r="AB65" s="22">
        <v>55</v>
      </c>
      <c r="AC65" s="22">
        <v>1.5426599999999999</v>
      </c>
      <c r="AD65">
        <f t="shared" si="4"/>
        <v>15.390617283950617</v>
      </c>
      <c r="AE65">
        <f t="shared" si="5"/>
        <v>23.749569343209878</v>
      </c>
      <c r="AF65" s="9"/>
      <c r="AG65" s="22">
        <v>0.17700199999999999</v>
      </c>
      <c r="AH65" s="22">
        <v>18.975999999999999</v>
      </c>
      <c r="AI65" s="22">
        <v>-1.38E-2</v>
      </c>
      <c r="AJ65" s="22">
        <v>55</v>
      </c>
      <c r="AK65" s="22">
        <v>0.17636099999999999</v>
      </c>
      <c r="AL65">
        <f t="shared" si="6"/>
        <v>17.037037037037035</v>
      </c>
      <c r="AM65">
        <f t="shared" si="7"/>
        <v>3.0155896296296292</v>
      </c>
      <c r="AP65" s="9"/>
      <c r="AQ65" s="22">
        <v>1.54312</v>
      </c>
      <c r="AR65" s="22">
        <v>24.5397</v>
      </c>
      <c r="AS65" s="22">
        <v>-1.25092E-2</v>
      </c>
      <c r="AT65" s="22">
        <v>55</v>
      </c>
      <c r="AU65" s="22">
        <v>1.5420499999999999</v>
      </c>
      <c r="AV65">
        <f t="shared" si="8"/>
        <v>15.443456790123456</v>
      </c>
      <c r="AW65">
        <f t="shared" si="9"/>
        <v>23.831107041975308</v>
      </c>
      <c r="AX65" s="9"/>
      <c r="AY65" s="22">
        <v>0.17700199999999999</v>
      </c>
      <c r="AZ65" s="22">
        <v>28.3992</v>
      </c>
      <c r="BA65" s="22">
        <v>-1.3848900000000001E-2</v>
      </c>
      <c r="BB65" s="22">
        <v>55</v>
      </c>
      <c r="BC65" s="22">
        <v>0.17630000000000001</v>
      </c>
      <c r="BD65">
        <f t="shared" si="10"/>
        <v>17.09740740740741</v>
      </c>
      <c r="BE65">
        <f t="shared" si="11"/>
        <v>3.026275305925926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1.53809</v>
      </c>
      <c r="H66" s="22">
        <v>5.7903000000000002</v>
      </c>
      <c r="I66" s="22">
        <v>-1.2374899999999999E-2</v>
      </c>
      <c r="J66" s="22">
        <v>56</v>
      </c>
      <c r="K66" s="22">
        <v>1.5371699999999999</v>
      </c>
      <c r="L66">
        <f t="shared" si="0"/>
        <v>15.277654320987653</v>
      </c>
      <c r="M66">
        <f t="shared" si="1"/>
        <v>23.498407334567897</v>
      </c>
      <c r="N66" s="9"/>
      <c r="O66" s="22">
        <v>0.182037</v>
      </c>
      <c r="P66" s="22">
        <v>9.6497700000000002</v>
      </c>
      <c r="Q66" s="22">
        <v>-1.37573E-2</v>
      </c>
      <c r="R66" s="22">
        <v>56</v>
      </c>
      <c r="S66" s="22">
        <v>0.181396</v>
      </c>
      <c r="T66">
        <f t="shared" si="2"/>
        <v>16.984320987654321</v>
      </c>
      <c r="U66">
        <f t="shared" si="3"/>
        <v>3.0917748396296298</v>
      </c>
      <c r="X66" s="9"/>
      <c r="Y66" s="22">
        <v>1.53809</v>
      </c>
      <c r="Z66" s="22">
        <v>15.1266</v>
      </c>
      <c r="AA66" s="22">
        <v>-1.25092E-2</v>
      </c>
      <c r="AB66" s="22">
        <v>56</v>
      </c>
      <c r="AC66" s="22">
        <v>1.53687</v>
      </c>
      <c r="AD66">
        <f t="shared" si="4"/>
        <v>15.443456790123456</v>
      </c>
      <c r="AE66">
        <f t="shared" si="5"/>
        <v>23.753426454320987</v>
      </c>
      <c r="AF66" s="9"/>
      <c r="AG66" s="22">
        <v>0.182037</v>
      </c>
      <c r="AH66" s="22">
        <v>18.986000000000001</v>
      </c>
      <c r="AI66" s="22">
        <v>-1.38E-2</v>
      </c>
      <c r="AJ66" s="22">
        <v>56</v>
      </c>
      <c r="AK66" s="22">
        <v>0.18124399999999999</v>
      </c>
      <c r="AL66">
        <f t="shared" si="6"/>
        <v>17.037037037037035</v>
      </c>
      <c r="AM66">
        <f t="shared" si="7"/>
        <v>3.1013711111111109</v>
      </c>
      <c r="AP66" s="9"/>
      <c r="AQ66" s="22">
        <v>1.53809</v>
      </c>
      <c r="AR66" s="22">
        <v>24.549800000000001</v>
      </c>
      <c r="AS66" s="22">
        <v>-1.2539700000000001E-2</v>
      </c>
      <c r="AT66" s="22">
        <v>56</v>
      </c>
      <c r="AU66" s="22">
        <v>1.5371699999999999</v>
      </c>
      <c r="AV66">
        <f t="shared" si="8"/>
        <v>15.48111111111111</v>
      </c>
      <c r="AW66">
        <f t="shared" si="9"/>
        <v>23.811342188888887</v>
      </c>
      <c r="AX66" s="9"/>
      <c r="AY66" s="22">
        <v>0.182037</v>
      </c>
      <c r="AZ66" s="22">
        <v>28.409300000000002</v>
      </c>
      <c r="BA66" s="22">
        <v>-1.38519E-2</v>
      </c>
      <c r="BB66" s="22">
        <v>56</v>
      </c>
      <c r="BC66" s="22">
        <v>0.181366</v>
      </c>
      <c r="BD66">
        <f t="shared" si="10"/>
        <v>17.101111111111113</v>
      </c>
      <c r="BE66">
        <f t="shared" si="11"/>
        <v>3.1130349633333338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1.53305</v>
      </c>
      <c r="H67" s="22">
        <v>5.80037</v>
      </c>
      <c r="I67" s="22">
        <v>-1.24084E-2</v>
      </c>
      <c r="J67" s="22">
        <v>57</v>
      </c>
      <c r="K67" s="22">
        <v>1.5319799999999999</v>
      </c>
      <c r="L67">
        <f t="shared" si="0"/>
        <v>15.319012345679011</v>
      </c>
      <c r="M67">
        <f t="shared" si="1"/>
        <v>23.484811876543208</v>
      </c>
      <c r="N67" s="9"/>
      <c r="O67" s="22">
        <v>0.18707299999999999</v>
      </c>
      <c r="P67" s="22">
        <v>9.6598400000000009</v>
      </c>
      <c r="Q67" s="22">
        <v>-1.37421E-2</v>
      </c>
      <c r="R67" s="22">
        <v>57</v>
      </c>
      <c r="S67" s="22">
        <v>0.18640100000000001</v>
      </c>
      <c r="T67">
        <f t="shared" si="2"/>
        <v>16.965555555555554</v>
      </c>
      <c r="U67">
        <f t="shared" si="3"/>
        <v>3.1737973744444439</v>
      </c>
      <c r="X67" s="9"/>
      <c r="Y67" s="22">
        <v>1.53305</v>
      </c>
      <c r="Z67" s="22">
        <v>15.1366</v>
      </c>
      <c r="AA67" s="22">
        <v>-1.25366E-2</v>
      </c>
      <c r="AB67" s="22">
        <v>57</v>
      </c>
      <c r="AC67" s="22">
        <v>1.5316799999999999</v>
      </c>
      <c r="AD67">
        <f t="shared" si="4"/>
        <v>15.477283950617283</v>
      </c>
      <c r="AE67">
        <f t="shared" si="5"/>
        <v>23.727450160493824</v>
      </c>
      <c r="AF67" s="9"/>
      <c r="AG67" s="22">
        <v>0.18707299999999999</v>
      </c>
      <c r="AH67" s="22">
        <v>18.996099999999998</v>
      </c>
      <c r="AI67" s="22">
        <v>-1.37939E-2</v>
      </c>
      <c r="AJ67" s="22">
        <v>57</v>
      </c>
      <c r="AK67" s="22">
        <v>0.18652299999999999</v>
      </c>
      <c r="AL67">
        <f t="shared" si="6"/>
        <v>17.029506172839504</v>
      </c>
      <c r="AM67">
        <f t="shared" si="7"/>
        <v>3.1857608082716045</v>
      </c>
      <c r="AP67" s="9"/>
      <c r="AQ67" s="22">
        <v>1.53305</v>
      </c>
      <c r="AR67" s="22">
        <v>24.559899999999999</v>
      </c>
      <c r="AS67" s="22">
        <v>-1.25763E-2</v>
      </c>
      <c r="AT67" s="22">
        <v>57</v>
      </c>
      <c r="AU67" s="22">
        <v>1.5316799999999999</v>
      </c>
      <c r="AV67">
        <f t="shared" si="8"/>
        <v>15.526296296296294</v>
      </c>
      <c r="AW67">
        <f t="shared" si="9"/>
        <v>23.802588537037035</v>
      </c>
      <c r="AX67" s="9"/>
      <c r="AY67" s="22">
        <v>0.18707299999999999</v>
      </c>
      <c r="AZ67" s="22">
        <v>28.4193</v>
      </c>
      <c r="BA67" s="22">
        <v>-1.3842800000000001E-2</v>
      </c>
      <c r="BB67" s="22">
        <v>57</v>
      </c>
      <c r="BC67" s="22">
        <v>0.18649299999999999</v>
      </c>
      <c r="BD67">
        <f t="shared" si="10"/>
        <v>17.089876543209876</v>
      </c>
      <c r="BE67">
        <f t="shared" si="11"/>
        <v>3.197054474567901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1.5280199999999999</v>
      </c>
      <c r="H68" s="22">
        <v>5.8104399999999998</v>
      </c>
      <c r="I68" s="22">
        <v>-1.24481E-2</v>
      </c>
      <c r="J68" s="22">
        <v>58</v>
      </c>
      <c r="K68" s="22">
        <v>1.5270999999999999</v>
      </c>
      <c r="L68">
        <f t="shared" si="0"/>
        <v>15.368024691358023</v>
      </c>
      <c r="M68">
        <f t="shared" si="1"/>
        <v>23.482649088888884</v>
      </c>
      <c r="N68" s="9"/>
      <c r="O68" s="22">
        <v>0.192108</v>
      </c>
      <c r="P68" s="22">
        <v>9.6699199999999994</v>
      </c>
      <c r="Q68" s="22">
        <v>-1.37299E-2</v>
      </c>
      <c r="R68" s="22">
        <v>58</v>
      </c>
      <c r="S68" s="22">
        <v>0.191498</v>
      </c>
      <c r="T68">
        <f t="shared" si="2"/>
        <v>16.950493827160493</v>
      </c>
      <c r="U68">
        <f t="shared" si="3"/>
        <v>3.2563254681481482</v>
      </c>
      <c r="X68" s="9"/>
      <c r="Y68" s="22">
        <v>1.5280199999999999</v>
      </c>
      <c r="Z68" s="22">
        <v>15.146699999999999</v>
      </c>
      <c r="AA68" s="22">
        <v>-1.2567099999999999E-2</v>
      </c>
      <c r="AB68" s="22">
        <v>58</v>
      </c>
      <c r="AC68" s="22">
        <v>1.5270999999999999</v>
      </c>
      <c r="AD68">
        <f t="shared" si="4"/>
        <v>15.514938271604937</v>
      </c>
      <c r="AE68">
        <f t="shared" si="5"/>
        <v>23.707135977777774</v>
      </c>
      <c r="AF68" s="9"/>
      <c r="AG68" s="22">
        <v>0.192108</v>
      </c>
      <c r="AH68" s="22">
        <v>19.0062</v>
      </c>
      <c r="AI68" s="22">
        <v>-1.37939E-2</v>
      </c>
      <c r="AJ68" s="22">
        <v>58</v>
      </c>
      <c r="AK68" s="22">
        <v>0.19137599999999999</v>
      </c>
      <c r="AL68">
        <f t="shared" si="6"/>
        <v>17.029506172839504</v>
      </c>
      <c r="AM68">
        <f t="shared" si="7"/>
        <v>3.2715043718518513</v>
      </c>
      <c r="AP68" s="9"/>
      <c r="AQ68" s="22">
        <v>1.5280199999999999</v>
      </c>
      <c r="AR68" s="22">
        <v>24.569900000000001</v>
      </c>
      <c r="AS68" s="22">
        <v>-1.26129E-2</v>
      </c>
      <c r="AT68" s="22">
        <v>58</v>
      </c>
      <c r="AU68" s="22">
        <v>1.5267900000000001</v>
      </c>
      <c r="AV68">
        <f t="shared" si="8"/>
        <v>15.571481481481479</v>
      </c>
      <c r="AW68">
        <f t="shared" si="9"/>
        <v>23.793535133333329</v>
      </c>
      <c r="AX68" s="9"/>
      <c r="AY68" s="22">
        <v>0.192108</v>
      </c>
      <c r="AZ68" s="22">
        <v>28.429400000000001</v>
      </c>
      <c r="BA68" s="22">
        <v>-1.38336E-2</v>
      </c>
      <c r="BB68" s="22">
        <v>58</v>
      </c>
      <c r="BC68" s="22">
        <v>0.191467</v>
      </c>
      <c r="BD68">
        <f t="shared" si="10"/>
        <v>17.078518518518518</v>
      </c>
      <c r="BE68">
        <f t="shared" si="11"/>
        <v>3.2809200355555554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1.52298</v>
      </c>
      <c r="H69" s="22">
        <v>5.8205099999999996</v>
      </c>
      <c r="I69" s="22">
        <v>-1.2466400000000001E-2</v>
      </c>
      <c r="J69" s="22">
        <v>59</v>
      </c>
      <c r="K69" s="22">
        <v>1.5222199999999999</v>
      </c>
      <c r="L69">
        <f t="shared" si="0"/>
        <v>15.390617283950617</v>
      </c>
      <c r="M69">
        <f t="shared" si="1"/>
        <v>23.439602311111109</v>
      </c>
      <c r="N69" s="9"/>
      <c r="O69" s="22">
        <v>0.19714400000000001</v>
      </c>
      <c r="P69" s="22">
        <v>9.6799900000000001</v>
      </c>
      <c r="Q69" s="22">
        <v>-1.37238E-2</v>
      </c>
      <c r="R69" s="22">
        <v>59</v>
      </c>
      <c r="S69" s="22">
        <v>0.19653300000000001</v>
      </c>
      <c r="T69">
        <f t="shared" si="2"/>
        <v>16.942962962962962</v>
      </c>
      <c r="U69">
        <f t="shared" si="3"/>
        <v>3.3402034903703703</v>
      </c>
      <c r="X69" s="9"/>
      <c r="Y69" s="22">
        <v>1.52298</v>
      </c>
      <c r="Z69" s="22">
        <v>15.1568</v>
      </c>
      <c r="AA69" s="22">
        <v>-1.2588500000000001E-2</v>
      </c>
      <c r="AB69" s="22">
        <v>59</v>
      </c>
      <c r="AC69" s="22">
        <v>1.5216099999999999</v>
      </c>
      <c r="AD69">
        <f t="shared" si="4"/>
        <v>15.541358024691359</v>
      </c>
      <c r="AE69">
        <f t="shared" si="5"/>
        <v>23.669177444444447</v>
      </c>
      <c r="AF69" s="9"/>
      <c r="AG69" s="22">
        <v>0.19714400000000001</v>
      </c>
      <c r="AH69" s="22">
        <v>19.016200000000001</v>
      </c>
      <c r="AI69" s="22">
        <v>-1.3787799999999999E-2</v>
      </c>
      <c r="AJ69" s="22">
        <v>59</v>
      </c>
      <c r="AK69" s="22">
        <v>0.19656399999999999</v>
      </c>
      <c r="AL69">
        <f t="shared" si="6"/>
        <v>17.021975308641974</v>
      </c>
      <c r="AM69">
        <f t="shared" si="7"/>
        <v>3.3557803002469133</v>
      </c>
      <c r="AP69" s="9"/>
      <c r="AQ69" s="22">
        <v>1.52298</v>
      </c>
      <c r="AR69" s="22">
        <v>24.58</v>
      </c>
      <c r="AS69" s="22">
        <v>-1.2643400000000001E-2</v>
      </c>
      <c r="AT69" s="22">
        <v>59</v>
      </c>
      <c r="AU69" s="22">
        <v>1.5219100000000001</v>
      </c>
      <c r="AV69">
        <f t="shared" si="8"/>
        <v>15.609135802469137</v>
      </c>
      <c r="AW69">
        <f t="shared" si="9"/>
        <v>23.772401644444447</v>
      </c>
      <c r="AX69" s="9"/>
      <c r="AY69" s="22">
        <v>0.19714400000000001</v>
      </c>
      <c r="AZ69" s="22">
        <v>28.439499999999999</v>
      </c>
      <c r="BA69" s="22">
        <v>-1.38275E-2</v>
      </c>
      <c r="BB69" s="22">
        <v>59</v>
      </c>
      <c r="BC69" s="22">
        <v>0.19647200000000001</v>
      </c>
      <c r="BD69">
        <f t="shared" si="10"/>
        <v>17.070987654320987</v>
      </c>
      <c r="BE69">
        <f t="shared" si="11"/>
        <v>3.3654427901234572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1.5179400000000001</v>
      </c>
      <c r="H70" s="22">
        <v>5.8305800000000003</v>
      </c>
      <c r="I70" s="22">
        <v>-1.2463399999999999E-2</v>
      </c>
      <c r="J70" s="22">
        <v>60</v>
      </c>
      <c r="K70" s="22">
        <v>1.5173300000000001</v>
      </c>
      <c r="L70">
        <f t="shared" si="0"/>
        <v>15.386913580246912</v>
      </c>
      <c r="M70">
        <f t="shared" si="1"/>
        <v>23.356411599999998</v>
      </c>
      <c r="N70" s="9"/>
      <c r="O70" s="22">
        <v>0.202179</v>
      </c>
      <c r="P70" s="22">
        <v>9.6900600000000008</v>
      </c>
      <c r="Q70" s="22">
        <v>-1.3732899999999999E-2</v>
      </c>
      <c r="R70" s="22">
        <v>60</v>
      </c>
      <c r="S70" s="22">
        <v>0.20150799999999999</v>
      </c>
      <c r="T70">
        <f t="shared" si="2"/>
        <v>16.954197530864196</v>
      </c>
      <c r="U70">
        <f t="shared" si="3"/>
        <v>3.4277827025925922</v>
      </c>
      <c r="X70" s="9"/>
      <c r="Y70" s="22">
        <v>1.5179400000000001</v>
      </c>
      <c r="Z70" s="22">
        <v>15.1668</v>
      </c>
      <c r="AA70" s="22">
        <v>-1.26251E-2</v>
      </c>
      <c r="AB70" s="22">
        <v>60</v>
      </c>
      <c r="AC70" s="22">
        <v>1.5170300000000001</v>
      </c>
      <c r="AD70">
        <f t="shared" si="4"/>
        <v>15.586543209876544</v>
      </c>
      <c r="AE70">
        <f t="shared" si="5"/>
        <v>23.659437400000002</v>
      </c>
      <c r="AF70" s="9"/>
      <c r="AG70" s="22">
        <v>0.202179</v>
      </c>
      <c r="AH70" s="22">
        <v>19.026299999999999</v>
      </c>
      <c r="AI70" s="22">
        <v>-1.37909E-2</v>
      </c>
      <c r="AJ70" s="22">
        <v>60</v>
      </c>
      <c r="AK70" s="22">
        <v>0.201569</v>
      </c>
      <c r="AL70">
        <f t="shared" si="6"/>
        <v>17.025802469135801</v>
      </c>
      <c r="AM70">
        <f t="shared" si="7"/>
        <v>3.4422597174074072</v>
      </c>
      <c r="AP70" s="9"/>
      <c r="AQ70" s="22">
        <v>1.5179400000000001</v>
      </c>
      <c r="AR70" s="22">
        <v>24.5901</v>
      </c>
      <c r="AS70" s="22">
        <v>-1.26678E-2</v>
      </c>
      <c r="AT70" s="22">
        <v>60</v>
      </c>
      <c r="AU70" s="22">
        <v>1.5164200000000001</v>
      </c>
      <c r="AV70">
        <f t="shared" si="8"/>
        <v>15.639259259259259</v>
      </c>
      <c r="AW70">
        <f t="shared" si="9"/>
        <v>23.7394572</v>
      </c>
      <c r="AX70" s="9"/>
      <c r="AY70" s="22">
        <v>0.202179</v>
      </c>
      <c r="AZ70" s="22">
        <v>28.4495</v>
      </c>
      <c r="BA70" s="22">
        <v>-1.38397E-2</v>
      </c>
      <c r="BB70" s="22">
        <v>60</v>
      </c>
      <c r="BC70" s="22">
        <v>0.20150799999999999</v>
      </c>
      <c r="BD70">
        <f t="shared" si="10"/>
        <v>17.086049382716048</v>
      </c>
      <c r="BE70">
        <f t="shared" si="11"/>
        <v>3.4544403781481479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1.51291</v>
      </c>
      <c r="H71" s="22">
        <v>5.8406599999999997</v>
      </c>
      <c r="I71" s="22">
        <v>-1.2478599999999999E-2</v>
      </c>
      <c r="J71" s="22">
        <v>61</v>
      </c>
      <c r="K71" s="22">
        <v>1.5121500000000001</v>
      </c>
      <c r="L71">
        <f t="shared" si="0"/>
        <v>15.405679012345677</v>
      </c>
      <c r="M71">
        <f t="shared" si="1"/>
        <v>23.307405834567898</v>
      </c>
      <c r="N71" s="9"/>
      <c r="O71" s="22">
        <v>0.20721400000000001</v>
      </c>
      <c r="P71" s="22">
        <v>9.7001299999999997</v>
      </c>
      <c r="Q71" s="22">
        <v>-1.3736E-2</v>
      </c>
      <c r="R71" s="22">
        <v>61</v>
      </c>
      <c r="S71" s="22">
        <v>0.20657300000000001</v>
      </c>
      <c r="T71">
        <f t="shared" si="2"/>
        <v>16.958024691358023</v>
      </c>
      <c r="U71">
        <f t="shared" si="3"/>
        <v>3.5139401283950615</v>
      </c>
      <c r="X71" s="9"/>
      <c r="Y71" s="22">
        <v>1.51291</v>
      </c>
      <c r="Z71" s="22">
        <v>15.1769</v>
      </c>
      <c r="AA71" s="22">
        <v>-1.2649499999999999E-2</v>
      </c>
      <c r="AB71" s="22">
        <v>61</v>
      </c>
      <c r="AC71" s="22">
        <v>1.5115400000000001</v>
      </c>
      <c r="AD71">
        <f t="shared" si="4"/>
        <v>15.616666666666664</v>
      </c>
      <c r="AE71">
        <f t="shared" si="5"/>
        <v>23.626611166666663</v>
      </c>
      <c r="AF71" s="9"/>
      <c r="AG71" s="22">
        <v>0.20721400000000001</v>
      </c>
      <c r="AH71" s="22">
        <v>19.0364</v>
      </c>
      <c r="AI71" s="22">
        <v>-1.3797E-2</v>
      </c>
      <c r="AJ71" s="22">
        <v>61</v>
      </c>
      <c r="AK71" s="22">
        <v>0.20660400000000001</v>
      </c>
      <c r="AL71">
        <f t="shared" si="6"/>
        <v>17.033333333333331</v>
      </c>
      <c r="AM71">
        <f t="shared" si="7"/>
        <v>3.529545133333333</v>
      </c>
      <c r="AP71" s="9"/>
      <c r="AQ71" s="22">
        <v>1.51291</v>
      </c>
      <c r="AR71" s="22">
        <v>24.600100000000001</v>
      </c>
      <c r="AS71" s="22">
        <v>-1.26953E-2</v>
      </c>
      <c r="AT71" s="22">
        <v>61</v>
      </c>
      <c r="AU71" s="22">
        <v>1.5121500000000001</v>
      </c>
      <c r="AV71">
        <f t="shared" si="8"/>
        <v>15.67320987654321</v>
      </c>
      <c r="AW71">
        <f t="shared" si="9"/>
        <v>23.712155954320988</v>
      </c>
      <c r="AX71" s="9"/>
      <c r="AY71" s="22">
        <v>0.20721400000000001</v>
      </c>
      <c r="AZ71" s="22">
        <v>28.459599999999998</v>
      </c>
      <c r="BA71" s="22">
        <v>-1.38519E-2</v>
      </c>
      <c r="BB71" s="22">
        <v>61</v>
      </c>
      <c r="BC71" s="22">
        <v>0.206543</v>
      </c>
      <c r="BD71">
        <f t="shared" si="10"/>
        <v>17.101111111111113</v>
      </c>
      <c r="BE71">
        <f t="shared" si="11"/>
        <v>3.5435896377777785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1.50787</v>
      </c>
      <c r="H72" s="22">
        <v>5.8507300000000004</v>
      </c>
      <c r="I72" s="22">
        <v>-1.24878E-2</v>
      </c>
      <c r="J72" s="22">
        <v>62</v>
      </c>
      <c r="K72" s="22">
        <v>1.50726</v>
      </c>
      <c r="L72">
        <f t="shared" si="0"/>
        <v>15.417037037037037</v>
      </c>
      <c r="M72">
        <f t="shared" si="1"/>
        <v>23.246887637037037</v>
      </c>
      <c r="N72" s="9"/>
      <c r="O72" s="22">
        <v>0.21224999999999999</v>
      </c>
      <c r="P72" s="22">
        <v>9.7102000000000004</v>
      </c>
      <c r="Q72" s="22">
        <v>-1.3738999999999999E-2</v>
      </c>
      <c r="R72" s="22">
        <v>62</v>
      </c>
      <c r="S72" s="22">
        <v>0.21157799999999999</v>
      </c>
      <c r="T72">
        <f t="shared" si="2"/>
        <v>16.961728395061726</v>
      </c>
      <c r="U72">
        <f t="shared" si="3"/>
        <v>3.6001268518518512</v>
      </c>
      <c r="X72" s="9"/>
      <c r="Y72" s="22">
        <v>1.50787</v>
      </c>
      <c r="Z72" s="22">
        <v>15.186999999999999</v>
      </c>
      <c r="AA72" s="22">
        <v>-1.2670900000000001E-2</v>
      </c>
      <c r="AB72" s="22">
        <v>62</v>
      </c>
      <c r="AC72" s="22">
        <v>1.5069600000000001</v>
      </c>
      <c r="AD72">
        <f t="shared" si="4"/>
        <v>15.643086419753088</v>
      </c>
      <c r="AE72">
        <f t="shared" si="5"/>
        <v>23.587740719753089</v>
      </c>
      <c r="AF72" s="9"/>
      <c r="AG72" s="22">
        <v>0.21224999999999999</v>
      </c>
      <c r="AH72" s="22">
        <v>19.046500000000002</v>
      </c>
      <c r="AI72" s="22">
        <v>-1.38E-2</v>
      </c>
      <c r="AJ72" s="22">
        <v>62</v>
      </c>
      <c r="AK72" s="22">
        <v>0.21160899999999999</v>
      </c>
      <c r="AL72">
        <f t="shared" si="6"/>
        <v>17.037037037037035</v>
      </c>
      <c r="AM72">
        <f t="shared" si="7"/>
        <v>3.6161111111111106</v>
      </c>
      <c r="AP72" s="9"/>
      <c r="AQ72" s="22">
        <v>1.50787</v>
      </c>
      <c r="AR72" s="22">
        <v>24.610199999999999</v>
      </c>
      <c r="AS72" s="22">
        <v>-1.2737999999999999E-2</v>
      </c>
      <c r="AT72" s="22">
        <v>62</v>
      </c>
      <c r="AU72" s="22">
        <v>1.5069600000000001</v>
      </c>
      <c r="AV72">
        <f t="shared" si="8"/>
        <v>15.725925925925925</v>
      </c>
      <c r="AW72">
        <f t="shared" si="9"/>
        <v>23.712651925925925</v>
      </c>
      <c r="AX72" s="9"/>
      <c r="AY72" s="22">
        <v>0.21224999999999999</v>
      </c>
      <c r="AZ72" s="22">
        <v>28.4697</v>
      </c>
      <c r="BA72" s="22">
        <v>-1.38519E-2</v>
      </c>
      <c r="BB72" s="22">
        <v>62</v>
      </c>
      <c r="BC72" s="22">
        <v>0.21163899999999999</v>
      </c>
      <c r="BD72">
        <f t="shared" si="10"/>
        <v>17.101111111111113</v>
      </c>
      <c r="BE72">
        <f t="shared" si="11"/>
        <v>3.6297108333333337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1.50284</v>
      </c>
      <c r="H73" s="22">
        <v>5.8608000000000002</v>
      </c>
      <c r="I73" s="22">
        <v>-1.25183E-2</v>
      </c>
      <c r="J73" s="22">
        <v>63</v>
      </c>
      <c r="K73" s="22">
        <v>1.50177</v>
      </c>
      <c r="L73">
        <f t="shared" si="0"/>
        <v>15.454691358024689</v>
      </c>
      <c r="M73">
        <f t="shared" si="1"/>
        <v>23.225928360493825</v>
      </c>
      <c r="N73" s="9"/>
      <c r="O73" s="22">
        <v>0.21728500000000001</v>
      </c>
      <c r="P73" s="22">
        <v>9.7202699999999993</v>
      </c>
      <c r="Q73" s="22">
        <v>-1.37512E-2</v>
      </c>
      <c r="R73" s="22">
        <v>63</v>
      </c>
      <c r="S73" s="22">
        <v>0.216644</v>
      </c>
      <c r="T73">
        <f t="shared" si="2"/>
        <v>16.976790123456787</v>
      </c>
      <c r="U73">
        <f t="shared" si="3"/>
        <v>3.6888018419753079</v>
      </c>
      <c r="X73" s="9"/>
      <c r="Y73" s="22">
        <v>1.50284</v>
      </c>
      <c r="Z73" s="22">
        <v>15.197100000000001</v>
      </c>
      <c r="AA73" s="22">
        <v>-1.2710600000000001E-2</v>
      </c>
      <c r="AB73" s="22">
        <v>63</v>
      </c>
      <c r="AC73" s="22">
        <v>1.50177</v>
      </c>
      <c r="AD73">
        <f t="shared" si="4"/>
        <v>15.692098765432098</v>
      </c>
      <c r="AE73">
        <f t="shared" si="5"/>
        <v>23.582713708641972</v>
      </c>
      <c r="AF73" s="9"/>
      <c r="AG73" s="22">
        <v>0.21728500000000001</v>
      </c>
      <c r="AH73" s="22">
        <v>19.0565</v>
      </c>
      <c r="AI73" s="22">
        <v>-1.3809200000000001E-2</v>
      </c>
      <c r="AJ73" s="22">
        <v>63</v>
      </c>
      <c r="AK73" s="22">
        <v>0.21667500000000001</v>
      </c>
      <c r="AL73">
        <f t="shared" si="6"/>
        <v>17.048395061728392</v>
      </c>
      <c r="AM73">
        <f t="shared" si="7"/>
        <v>3.7043605209876538</v>
      </c>
      <c r="AP73" s="9"/>
      <c r="AQ73" s="22">
        <v>1.50284</v>
      </c>
      <c r="AR73" s="22">
        <v>24.6203</v>
      </c>
      <c r="AS73" s="22">
        <v>-1.27686E-2</v>
      </c>
      <c r="AT73" s="22">
        <v>63</v>
      </c>
      <c r="AU73" s="22">
        <v>1.50177</v>
      </c>
      <c r="AV73">
        <f t="shared" si="8"/>
        <v>15.763703703703703</v>
      </c>
      <c r="AW73">
        <f t="shared" si="9"/>
        <v>23.690324474074071</v>
      </c>
      <c r="AX73" s="9"/>
      <c r="AY73" s="22">
        <v>0.21728500000000001</v>
      </c>
      <c r="AZ73" s="22">
        <v>28.479800000000001</v>
      </c>
      <c r="BA73" s="22">
        <v>-1.38519E-2</v>
      </c>
      <c r="BB73" s="22">
        <v>63</v>
      </c>
      <c r="BC73" s="22">
        <v>0.216644</v>
      </c>
      <c r="BD73">
        <f t="shared" si="10"/>
        <v>17.101111111111113</v>
      </c>
      <c r="BE73">
        <f t="shared" si="11"/>
        <v>3.7158149277777781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1.4978</v>
      </c>
      <c r="H74" s="22">
        <v>5.87087</v>
      </c>
      <c r="I74" s="22">
        <v>-1.25427E-2</v>
      </c>
      <c r="J74" s="22">
        <v>64</v>
      </c>
      <c r="K74" s="22">
        <v>1.49719</v>
      </c>
      <c r="L74">
        <f t="shared" si="0"/>
        <v>15.484814814814815</v>
      </c>
      <c r="M74">
        <f t="shared" si="1"/>
        <v>23.193155629629629</v>
      </c>
      <c r="N74" s="9"/>
      <c r="O74" s="22">
        <v>0.22232099999999999</v>
      </c>
      <c r="P74" s="22">
        <v>9.73034</v>
      </c>
      <c r="Q74" s="22">
        <v>-1.37573E-2</v>
      </c>
      <c r="R74" s="22">
        <v>64</v>
      </c>
      <c r="S74" s="22">
        <v>0.22164900000000001</v>
      </c>
      <c r="T74">
        <f t="shared" si="2"/>
        <v>16.984320987654321</v>
      </c>
      <c r="U74">
        <f t="shared" si="3"/>
        <v>3.7759712262962961</v>
      </c>
      <c r="X74" s="9"/>
      <c r="Y74" s="22">
        <v>1.4978</v>
      </c>
      <c r="Z74" s="22">
        <v>15.207100000000001</v>
      </c>
      <c r="AA74" s="22">
        <v>-1.27289E-2</v>
      </c>
      <c r="AB74" s="22">
        <v>64</v>
      </c>
      <c r="AC74" s="22">
        <v>1.4968900000000001</v>
      </c>
      <c r="AD74">
        <f t="shared" si="4"/>
        <v>15.714691358024689</v>
      </c>
      <c r="AE74">
        <f t="shared" si="5"/>
        <v>23.537464716049382</v>
      </c>
      <c r="AF74" s="9"/>
      <c r="AG74" s="22">
        <v>0.22232099999999999</v>
      </c>
      <c r="AH74" s="22">
        <v>19.066600000000001</v>
      </c>
      <c r="AI74" s="22">
        <v>-1.38123E-2</v>
      </c>
      <c r="AJ74" s="22">
        <v>64</v>
      </c>
      <c r="AK74" s="22">
        <v>0.22167999999999999</v>
      </c>
      <c r="AL74">
        <f t="shared" si="6"/>
        <v>17.052222222222223</v>
      </c>
      <c r="AM74">
        <f t="shared" si="7"/>
        <v>3.7910670966666666</v>
      </c>
      <c r="AP74" s="9"/>
      <c r="AQ74" s="22">
        <v>1.4978</v>
      </c>
      <c r="AR74" s="22">
        <v>24.630400000000002</v>
      </c>
      <c r="AS74" s="22">
        <v>-1.27899E-2</v>
      </c>
      <c r="AT74" s="22">
        <v>64</v>
      </c>
      <c r="AU74" s="22">
        <v>1.49719</v>
      </c>
      <c r="AV74">
        <f t="shared" si="8"/>
        <v>15.79</v>
      </c>
      <c r="AW74">
        <f t="shared" si="9"/>
        <v>23.650261999999998</v>
      </c>
      <c r="AX74" s="9"/>
      <c r="AY74" s="22">
        <v>0.22232099999999999</v>
      </c>
      <c r="AZ74" s="22">
        <v>28.489799999999999</v>
      </c>
      <c r="BA74" s="22">
        <v>-1.3848900000000001E-2</v>
      </c>
      <c r="BB74" s="22">
        <v>64</v>
      </c>
      <c r="BC74" s="22">
        <v>0.22164900000000001</v>
      </c>
      <c r="BD74">
        <f t="shared" si="10"/>
        <v>17.09740740740741</v>
      </c>
      <c r="BE74">
        <f t="shared" si="11"/>
        <v>3.8011127122222224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1.4927699999999999</v>
      </c>
      <c r="H75" s="22">
        <v>5.8809399999999998</v>
      </c>
      <c r="I75" s="22">
        <v>-1.25763E-2</v>
      </c>
      <c r="J75" s="22">
        <v>65</v>
      </c>
      <c r="K75" s="22">
        <v>1.4917</v>
      </c>
      <c r="L75">
        <f t="shared" si="0"/>
        <v>15.526296296296294</v>
      </c>
      <c r="M75">
        <f t="shared" si="1"/>
        <v>23.177189322222219</v>
      </c>
      <c r="N75" s="9"/>
      <c r="O75" s="22">
        <v>0.227356</v>
      </c>
      <c r="P75" s="22">
        <v>9.7404100000000007</v>
      </c>
      <c r="Q75" s="22">
        <v>-1.3754300000000001E-2</v>
      </c>
      <c r="R75" s="22">
        <v>65</v>
      </c>
      <c r="S75" s="22">
        <v>0.226715</v>
      </c>
      <c r="T75">
        <f t="shared" si="2"/>
        <v>16.980617283950615</v>
      </c>
      <c r="U75">
        <f t="shared" si="3"/>
        <v>3.8606452232098758</v>
      </c>
      <c r="X75" s="9"/>
      <c r="Y75" s="22">
        <v>1.4927699999999999</v>
      </c>
      <c r="Z75" s="22">
        <v>15.2172</v>
      </c>
      <c r="AA75" s="22">
        <v>-1.27411E-2</v>
      </c>
      <c r="AB75" s="22">
        <v>65</v>
      </c>
      <c r="AC75" s="22">
        <v>1.492</v>
      </c>
      <c r="AD75">
        <f t="shared" si="4"/>
        <v>15.729753086419752</v>
      </c>
      <c r="AE75">
        <f t="shared" si="5"/>
        <v>23.480903514814813</v>
      </c>
      <c r="AF75" s="9"/>
      <c r="AG75" s="22">
        <v>0.227356</v>
      </c>
      <c r="AH75" s="22">
        <v>19.076699999999999</v>
      </c>
      <c r="AI75" s="22">
        <v>-1.3821399999999999E-2</v>
      </c>
      <c r="AJ75" s="22">
        <v>65</v>
      </c>
      <c r="AK75" s="22">
        <v>0.22677600000000001</v>
      </c>
      <c r="AL75">
        <f t="shared" si="6"/>
        <v>17.063456790123453</v>
      </c>
      <c r="AM75">
        <f t="shared" si="7"/>
        <v>3.8794792819753079</v>
      </c>
      <c r="AP75" s="9"/>
      <c r="AQ75" s="22">
        <v>1.4927699999999999</v>
      </c>
      <c r="AR75" s="22">
        <v>24.6404</v>
      </c>
      <c r="AS75" s="22">
        <v>-1.2820399999999999E-2</v>
      </c>
      <c r="AT75" s="22">
        <v>65</v>
      </c>
      <c r="AU75" s="22">
        <v>1.492</v>
      </c>
      <c r="AV75">
        <f t="shared" si="8"/>
        <v>15.827654320987653</v>
      </c>
      <c r="AW75">
        <f t="shared" si="9"/>
        <v>23.627047540740737</v>
      </c>
      <c r="AX75" s="9"/>
      <c r="AY75" s="22">
        <v>0.227356</v>
      </c>
      <c r="AZ75" s="22">
        <v>28.4999</v>
      </c>
      <c r="BA75" s="22">
        <v>-1.38519E-2</v>
      </c>
      <c r="BB75" s="22">
        <v>65</v>
      </c>
      <c r="BC75" s="22">
        <v>0.226685</v>
      </c>
      <c r="BD75">
        <f t="shared" si="10"/>
        <v>17.101111111111113</v>
      </c>
      <c r="BE75">
        <f t="shared" si="11"/>
        <v>3.8880402177777782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1.48773</v>
      </c>
      <c r="H76" s="22">
        <v>5.8910099999999996</v>
      </c>
      <c r="I76" s="22">
        <v>-1.2600699999999999E-2</v>
      </c>
      <c r="J76" s="22">
        <v>66</v>
      </c>
      <c r="K76" s="22">
        <v>1.48682</v>
      </c>
      <c r="L76">
        <f t="shared" ref="L76:L139" si="12">-I76/$F$2*1000</f>
        <v>15.556419753086418</v>
      </c>
      <c r="M76">
        <f t="shared" ref="M76:M139" si="13">L76*G76</f>
        <v>23.143752359259256</v>
      </c>
      <c r="N76" s="9"/>
      <c r="O76" s="22">
        <v>0.23239099999999999</v>
      </c>
      <c r="P76" s="22">
        <v>9.7504799999999996</v>
      </c>
      <c r="Q76" s="22">
        <v>-1.37421E-2</v>
      </c>
      <c r="R76" s="22">
        <v>66</v>
      </c>
      <c r="S76" s="22">
        <v>0.23175000000000001</v>
      </c>
      <c r="T76">
        <f t="shared" ref="T76:T139" si="14">-Q76/$F$2*1000</f>
        <v>16.965555555555554</v>
      </c>
      <c r="U76">
        <f t="shared" ref="U76:U139" si="15">T76*O76</f>
        <v>3.9426424211111106</v>
      </c>
      <c r="X76" s="9"/>
      <c r="Y76" s="22">
        <v>1.48773</v>
      </c>
      <c r="Z76" s="22">
        <v>15.2273</v>
      </c>
      <c r="AA76" s="22">
        <v>-1.27502E-2</v>
      </c>
      <c r="AB76" s="22">
        <v>66</v>
      </c>
      <c r="AC76" s="22">
        <v>1.48682</v>
      </c>
      <c r="AD76">
        <f t="shared" ref="AD76:AD139" si="16">-AA76/$F$2*1000</f>
        <v>15.740987654320987</v>
      </c>
      <c r="AE76">
        <f t="shared" ref="AE76:AE139" si="17">AD76*Y76</f>
        <v>23.418339562962963</v>
      </c>
      <c r="AF76" s="9"/>
      <c r="AG76" s="22">
        <v>0.23239099999999999</v>
      </c>
      <c r="AH76" s="22">
        <v>19.0867</v>
      </c>
      <c r="AI76" s="22">
        <v>-1.3821399999999999E-2</v>
      </c>
      <c r="AJ76" s="22">
        <v>66</v>
      </c>
      <c r="AK76" s="22">
        <v>0.23178099999999999</v>
      </c>
      <c r="AL76">
        <f t="shared" ref="AL76:AL139" si="18">-AI76/$F$2*1000</f>
        <v>17.063456790123453</v>
      </c>
      <c r="AM76">
        <f t="shared" ref="AM76:AM139" si="19">AL76*AG76</f>
        <v>3.9653937869135794</v>
      </c>
      <c r="AP76" s="9"/>
      <c r="AQ76" s="22">
        <v>1.48773</v>
      </c>
      <c r="AR76" s="22">
        <v>24.650500000000001</v>
      </c>
      <c r="AS76" s="22">
        <v>-1.28357E-2</v>
      </c>
      <c r="AT76" s="22">
        <v>66</v>
      </c>
      <c r="AU76" s="22">
        <v>1.48651</v>
      </c>
      <c r="AV76">
        <f t="shared" ref="AV76:AV139" si="20">-AS76/$F$2*1000</f>
        <v>15.846543209876542</v>
      </c>
      <c r="AW76">
        <f t="shared" ref="AW76:AW139" si="21">AV76*AQ76</f>
        <v>23.575377729629626</v>
      </c>
      <c r="AX76" s="9"/>
      <c r="AY76" s="22">
        <v>0.23239099999999999</v>
      </c>
      <c r="AZ76" s="22">
        <v>28.51</v>
      </c>
      <c r="BA76" s="22">
        <v>-1.3848900000000001E-2</v>
      </c>
      <c r="BB76" s="22">
        <v>66</v>
      </c>
      <c r="BC76" s="22">
        <v>0.23178099999999999</v>
      </c>
      <c r="BD76">
        <f t="shared" ref="BD76:BD139" si="22">-BA76/$F$2*1000</f>
        <v>17.09740740740741</v>
      </c>
      <c r="BE76">
        <f t="shared" ref="BE76:BE139" si="23">BD76*AY76</f>
        <v>3.973283604814815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1.4826999999999999</v>
      </c>
      <c r="H77" s="22">
        <v>5.9010800000000003</v>
      </c>
      <c r="I77" s="22">
        <v>-1.2628199999999999E-2</v>
      </c>
      <c r="J77" s="22">
        <v>67</v>
      </c>
      <c r="K77" s="22">
        <v>1.48193</v>
      </c>
      <c r="L77">
        <f t="shared" si="12"/>
        <v>15.590370370370369</v>
      </c>
      <c r="M77">
        <f t="shared" si="13"/>
        <v>23.115842148148143</v>
      </c>
      <c r="N77" s="9"/>
      <c r="O77" s="22">
        <v>0.237427</v>
      </c>
      <c r="P77" s="22">
        <v>9.7605500000000003</v>
      </c>
      <c r="Q77" s="22">
        <v>-1.37421E-2</v>
      </c>
      <c r="R77" s="22">
        <v>67</v>
      </c>
      <c r="S77" s="22">
        <v>0.236816</v>
      </c>
      <c r="T77">
        <f t="shared" si="14"/>
        <v>16.965555555555554</v>
      </c>
      <c r="U77">
        <f t="shared" si="15"/>
        <v>4.0280809588888884</v>
      </c>
      <c r="X77" s="9"/>
      <c r="Y77" s="22">
        <v>1.4826999999999999</v>
      </c>
      <c r="Z77" s="22">
        <v>15.237299999999999</v>
      </c>
      <c r="AA77" s="22">
        <v>-1.27686E-2</v>
      </c>
      <c r="AB77" s="22">
        <v>67</v>
      </c>
      <c r="AC77" s="22">
        <v>1.48163</v>
      </c>
      <c r="AD77">
        <f t="shared" si="16"/>
        <v>15.763703703703703</v>
      </c>
      <c r="AE77">
        <f t="shared" si="17"/>
        <v>23.372843481481478</v>
      </c>
      <c r="AF77" s="9"/>
      <c r="AG77" s="22">
        <v>0.237427</v>
      </c>
      <c r="AH77" s="22">
        <v>19.096800000000002</v>
      </c>
      <c r="AI77" s="22">
        <v>-1.3821399999999999E-2</v>
      </c>
      <c r="AJ77" s="22">
        <v>67</v>
      </c>
      <c r="AK77" s="22">
        <v>0.236786</v>
      </c>
      <c r="AL77">
        <f t="shared" si="18"/>
        <v>17.063456790123453</v>
      </c>
      <c r="AM77">
        <f t="shared" si="19"/>
        <v>4.0513253553086415</v>
      </c>
      <c r="AP77" s="9"/>
      <c r="AQ77" s="22">
        <v>1.4826999999999999</v>
      </c>
      <c r="AR77" s="22">
        <v>24.660599999999999</v>
      </c>
      <c r="AS77" s="22">
        <v>-1.28571E-2</v>
      </c>
      <c r="AT77" s="22">
        <v>67</v>
      </c>
      <c r="AU77" s="22">
        <v>1.48193</v>
      </c>
      <c r="AV77">
        <f t="shared" si="20"/>
        <v>15.87296296296296</v>
      </c>
      <c r="AW77">
        <f t="shared" si="21"/>
        <v>23.53484218518518</v>
      </c>
      <c r="AX77" s="9"/>
      <c r="AY77" s="22">
        <v>0.237427</v>
      </c>
      <c r="AZ77" s="22">
        <v>28.52</v>
      </c>
      <c r="BA77" s="22">
        <v>-1.3848900000000001E-2</v>
      </c>
      <c r="BB77" s="22">
        <v>67</v>
      </c>
      <c r="BC77" s="22">
        <v>0.236786</v>
      </c>
      <c r="BD77">
        <f t="shared" si="22"/>
        <v>17.09740740740741</v>
      </c>
      <c r="BE77">
        <f t="shared" si="23"/>
        <v>4.0593861485185192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1.47766</v>
      </c>
      <c r="H78" s="22">
        <v>5.9111500000000001</v>
      </c>
      <c r="I78" s="22">
        <v>-1.26526E-2</v>
      </c>
      <c r="J78" s="22">
        <v>68</v>
      </c>
      <c r="K78" s="22">
        <v>1.47644</v>
      </c>
      <c r="L78">
        <f t="shared" si="12"/>
        <v>15.620493827160493</v>
      </c>
      <c r="M78">
        <f t="shared" si="13"/>
        <v>23.081778908641972</v>
      </c>
      <c r="N78" s="9"/>
      <c r="O78" s="22">
        <v>0.24246200000000001</v>
      </c>
      <c r="P78" s="22">
        <v>9.7706300000000006</v>
      </c>
      <c r="Q78" s="22">
        <v>-1.37482E-2</v>
      </c>
      <c r="R78" s="22">
        <v>68</v>
      </c>
      <c r="S78" s="22">
        <v>0.24176</v>
      </c>
      <c r="T78">
        <f t="shared" si="14"/>
        <v>16.973086419753084</v>
      </c>
      <c r="U78">
        <f t="shared" si="15"/>
        <v>4.1153284795061724</v>
      </c>
      <c r="X78" s="9"/>
      <c r="Y78" s="22">
        <v>1.47766</v>
      </c>
      <c r="Z78" s="22">
        <v>15.247400000000001</v>
      </c>
      <c r="AA78" s="22">
        <v>-1.2793000000000001E-2</v>
      </c>
      <c r="AB78" s="22">
        <v>68</v>
      </c>
      <c r="AC78" s="22">
        <v>1.47644</v>
      </c>
      <c r="AD78">
        <f t="shared" si="16"/>
        <v>15.793827160493827</v>
      </c>
      <c r="AE78">
        <f t="shared" si="17"/>
        <v>23.337906641975309</v>
      </c>
      <c r="AF78" s="9"/>
      <c r="AG78" s="22">
        <v>0.24246200000000001</v>
      </c>
      <c r="AH78" s="22">
        <v>19.1069</v>
      </c>
      <c r="AI78" s="22">
        <v>-1.3815300000000001E-2</v>
      </c>
      <c r="AJ78" s="22">
        <v>68</v>
      </c>
      <c r="AK78" s="22">
        <v>0.24179100000000001</v>
      </c>
      <c r="AL78">
        <f t="shared" si="18"/>
        <v>17.055925925925926</v>
      </c>
      <c r="AM78">
        <f t="shared" si="19"/>
        <v>4.1354139118518525</v>
      </c>
      <c r="AP78" s="9"/>
      <c r="AQ78" s="22">
        <v>1.47766</v>
      </c>
      <c r="AR78" s="22">
        <v>24.6706</v>
      </c>
      <c r="AS78" s="22">
        <v>-1.28723E-2</v>
      </c>
      <c r="AT78" s="22">
        <v>68</v>
      </c>
      <c r="AU78" s="22">
        <v>1.47675</v>
      </c>
      <c r="AV78">
        <f t="shared" si="20"/>
        <v>15.891728395061728</v>
      </c>
      <c r="AW78">
        <f t="shared" si="21"/>
        <v>23.482571380246913</v>
      </c>
      <c r="AX78" s="9"/>
      <c r="AY78" s="22">
        <v>0.24246200000000001</v>
      </c>
      <c r="AZ78" s="22">
        <v>28.530100000000001</v>
      </c>
      <c r="BA78" s="22">
        <v>-1.3848900000000001E-2</v>
      </c>
      <c r="BB78" s="22">
        <v>68</v>
      </c>
      <c r="BC78" s="22">
        <v>0.24182100000000001</v>
      </c>
      <c r="BD78">
        <f t="shared" si="22"/>
        <v>17.09740740740741</v>
      </c>
      <c r="BE78">
        <f t="shared" si="23"/>
        <v>4.1454715948148158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1.4726300000000001</v>
      </c>
      <c r="H79" s="22">
        <v>5.9212199999999999</v>
      </c>
      <c r="I79" s="22">
        <v>-1.26801E-2</v>
      </c>
      <c r="J79" s="22">
        <v>69</v>
      </c>
      <c r="K79" s="22">
        <v>1.47156</v>
      </c>
      <c r="L79">
        <f t="shared" si="12"/>
        <v>15.654444444444444</v>
      </c>
      <c r="M79">
        <f t="shared" si="13"/>
        <v>23.053204522222224</v>
      </c>
      <c r="N79" s="9"/>
      <c r="O79" s="22">
        <v>0.247498</v>
      </c>
      <c r="P79" s="22">
        <v>9.7806999999999995</v>
      </c>
      <c r="Q79" s="22">
        <v>-1.3760400000000001E-2</v>
      </c>
      <c r="R79" s="22">
        <v>69</v>
      </c>
      <c r="S79" s="22">
        <v>0.246887</v>
      </c>
      <c r="T79">
        <f t="shared" si="14"/>
        <v>16.988148148148149</v>
      </c>
      <c r="U79">
        <f t="shared" si="15"/>
        <v>4.2045326903703701</v>
      </c>
      <c r="X79" s="9"/>
      <c r="Y79" s="22">
        <v>1.4726300000000001</v>
      </c>
      <c r="Z79" s="22">
        <v>15.2575</v>
      </c>
      <c r="AA79" s="22">
        <v>-1.2814300000000001E-2</v>
      </c>
      <c r="AB79" s="22">
        <v>69</v>
      </c>
      <c r="AC79" s="22">
        <v>1.4718599999999999</v>
      </c>
      <c r="AD79">
        <f t="shared" si="16"/>
        <v>15.820123456790125</v>
      </c>
      <c r="AE79">
        <f t="shared" si="17"/>
        <v>23.297188406172843</v>
      </c>
      <c r="AF79" s="9"/>
      <c r="AG79" s="22">
        <v>0.247498</v>
      </c>
      <c r="AH79" s="22">
        <v>19.117000000000001</v>
      </c>
      <c r="AI79" s="22">
        <v>-1.3809200000000001E-2</v>
      </c>
      <c r="AJ79" s="22">
        <v>69</v>
      </c>
      <c r="AK79" s="22">
        <v>0.24685699999999999</v>
      </c>
      <c r="AL79">
        <f t="shared" si="18"/>
        <v>17.048395061728392</v>
      </c>
      <c r="AM79">
        <f t="shared" si="19"/>
        <v>4.2194436809876539</v>
      </c>
      <c r="AP79" s="9"/>
      <c r="AQ79" s="22">
        <v>1.4726300000000001</v>
      </c>
      <c r="AR79" s="22">
        <v>24.680700000000002</v>
      </c>
      <c r="AS79" s="22">
        <v>-1.2893699999999999E-2</v>
      </c>
      <c r="AT79" s="22">
        <v>69</v>
      </c>
      <c r="AU79" s="22">
        <v>1.47156</v>
      </c>
      <c r="AV79">
        <f t="shared" si="20"/>
        <v>15.918148148148147</v>
      </c>
      <c r="AW79">
        <f t="shared" si="21"/>
        <v>23.441542507407405</v>
      </c>
      <c r="AX79" s="9"/>
      <c r="AY79" s="22">
        <v>0.247498</v>
      </c>
      <c r="AZ79" s="22">
        <v>28.540199999999999</v>
      </c>
      <c r="BA79" s="22">
        <v>-1.38458E-2</v>
      </c>
      <c r="BB79" s="22">
        <v>69</v>
      </c>
      <c r="BC79" s="22">
        <v>0.24685699999999999</v>
      </c>
      <c r="BD79">
        <f t="shared" si="22"/>
        <v>17.093580246913579</v>
      </c>
      <c r="BE79">
        <f t="shared" si="23"/>
        <v>4.2306269239506165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1.46759</v>
      </c>
      <c r="H80" s="22">
        <v>5.9312899999999997</v>
      </c>
      <c r="I80" s="22">
        <v>-1.2704500000000001E-2</v>
      </c>
      <c r="J80" s="22">
        <v>70</v>
      </c>
      <c r="K80" s="22">
        <v>1.4666699999999999</v>
      </c>
      <c r="L80">
        <f t="shared" si="12"/>
        <v>15.684567901234566</v>
      </c>
      <c r="M80">
        <f t="shared" si="13"/>
        <v>23.018515006172834</v>
      </c>
      <c r="N80" s="9"/>
      <c r="O80" s="22">
        <v>0.25253300000000001</v>
      </c>
      <c r="P80" s="22">
        <v>9.7907700000000002</v>
      </c>
      <c r="Q80" s="22">
        <v>-1.37573E-2</v>
      </c>
      <c r="R80" s="22">
        <v>70</v>
      </c>
      <c r="S80" s="22">
        <v>0.25183100000000003</v>
      </c>
      <c r="T80">
        <f t="shared" si="14"/>
        <v>16.984320987654321</v>
      </c>
      <c r="U80">
        <f t="shared" si="15"/>
        <v>4.2891015319753087</v>
      </c>
      <c r="X80" s="9"/>
      <c r="Y80" s="22">
        <v>1.46759</v>
      </c>
      <c r="Z80" s="22">
        <v>15.2675</v>
      </c>
      <c r="AA80" s="22">
        <v>-1.28387E-2</v>
      </c>
      <c r="AB80" s="22">
        <v>70</v>
      </c>
      <c r="AC80" s="22">
        <v>1.4681999999999999</v>
      </c>
      <c r="AD80">
        <f t="shared" si="16"/>
        <v>15.850246913580245</v>
      </c>
      <c r="AE80">
        <f t="shared" si="17"/>
        <v>23.26166386790123</v>
      </c>
      <c r="AF80" s="9"/>
      <c r="AG80" s="22">
        <v>0.25253300000000001</v>
      </c>
      <c r="AH80" s="22">
        <v>19.126999999999999</v>
      </c>
      <c r="AI80" s="22">
        <v>-1.38123E-2</v>
      </c>
      <c r="AJ80" s="22">
        <v>70</v>
      </c>
      <c r="AK80" s="22">
        <v>0.251801</v>
      </c>
      <c r="AL80">
        <f t="shared" si="18"/>
        <v>17.052222222222223</v>
      </c>
      <c r="AM80">
        <f t="shared" si="19"/>
        <v>4.3062488344444452</v>
      </c>
      <c r="AP80" s="9"/>
      <c r="AQ80" s="22">
        <v>1.46759</v>
      </c>
      <c r="AR80" s="22">
        <v>24.690799999999999</v>
      </c>
      <c r="AS80" s="22">
        <v>-1.2912E-2</v>
      </c>
      <c r="AT80" s="22">
        <v>70</v>
      </c>
      <c r="AU80" s="22">
        <v>1.4666699999999999</v>
      </c>
      <c r="AV80">
        <f t="shared" si="20"/>
        <v>15.940740740740738</v>
      </c>
      <c r="AW80">
        <f t="shared" si="21"/>
        <v>23.394471703703697</v>
      </c>
      <c r="AX80" s="9"/>
      <c r="AY80" s="22">
        <v>0.25253300000000001</v>
      </c>
      <c r="AZ80" s="22">
        <v>28.5503</v>
      </c>
      <c r="BA80" s="22">
        <v>-1.38458E-2</v>
      </c>
      <c r="BB80" s="22">
        <v>70</v>
      </c>
      <c r="BC80" s="22">
        <v>0.251801</v>
      </c>
      <c r="BD80">
        <f t="shared" si="22"/>
        <v>17.093580246913579</v>
      </c>
      <c r="BE80">
        <f t="shared" si="23"/>
        <v>4.3166931004938265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1.46255</v>
      </c>
      <c r="H81" s="22">
        <v>5.94137</v>
      </c>
      <c r="I81" s="22">
        <v>-1.2731900000000001E-2</v>
      </c>
      <c r="J81" s="22">
        <v>71</v>
      </c>
      <c r="K81" s="22">
        <v>1.4623999999999999</v>
      </c>
      <c r="L81">
        <f t="shared" si="12"/>
        <v>15.718395061728396</v>
      </c>
      <c r="M81">
        <f t="shared" si="13"/>
        <v>22.988938697530866</v>
      </c>
      <c r="N81" s="9"/>
      <c r="O81" s="22">
        <v>0.25756800000000002</v>
      </c>
      <c r="P81" s="22">
        <v>9.8008400000000009</v>
      </c>
      <c r="Q81" s="22">
        <v>-1.37451E-2</v>
      </c>
      <c r="R81" s="22">
        <v>71</v>
      </c>
      <c r="S81" s="22">
        <v>0.25689699999999999</v>
      </c>
      <c r="T81">
        <f t="shared" si="14"/>
        <v>16.969259259259257</v>
      </c>
      <c r="U81">
        <f t="shared" si="15"/>
        <v>4.3707381688888889</v>
      </c>
      <c r="X81" s="9"/>
      <c r="Y81" s="22">
        <v>1.46255</v>
      </c>
      <c r="Z81" s="22">
        <v>15.2776</v>
      </c>
      <c r="AA81" s="22">
        <v>-1.2847900000000001E-2</v>
      </c>
      <c r="AB81" s="22">
        <v>71</v>
      </c>
      <c r="AC81" s="22">
        <v>1.4617899999999999</v>
      </c>
      <c r="AD81">
        <f t="shared" si="16"/>
        <v>15.861604938271604</v>
      </c>
      <c r="AE81">
        <f t="shared" si="17"/>
        <v>23.198390302469136</v>
      </c>
      <c r="AF81" s="9"/>
      <c r="AG81" s="22">
        <v>0.25756800000000002</v>
      </c>
      <c r="AH81" s="22">
        <v>19.1371</v>
      </c>
      <c r="AI81" s="22">
        <v>-1.38031E-2</v>
      </c>
      <c r="AJ81" s="22">
        <v>71</v>
      </c>
      <c r="AK81" s="22">
        <v>0.25695800000000002</v>
      </c>
      <c r="AL81">
        <f t="shared" si="18"/>
        <v>17.040864197530862</v>
      </c>
      <c r="AM81">
        <f t="shared" si="19"/>
        <v>4.3891813096296293</v>
      </c>
      <c r="AP81" s="9"/>
      <c r="AQ81" s="22">
        <v>1.46255</v>
      </c>
      <c r="AR81" s="22">
        <v>24.700900000000001</v>
      </c>
      <c r="AS81" s="22">
        <v>-1.29456E-2</v>
      </c>
      <c r="AT81" s="22">
        <v>71</v>
      </c>
      <c r="AU81" s="22">
        <v>1.4617899999999999</v>
      </c>
      <c r="AV81">
        <f t="shared" si="20"/>
        <v>15.982222222222221</v>
      </c>
      <c r="AW81">
        <f t="shared" si="21"/>
        <v>23.374799111111109</v>
      </c>
      <c r="AX81" s="9"/>
      <c r="AY81" s="22">
        <v>0.25756800000000002</v>
      </c>
      <c r="AZ81" s="22">
        <v>28.560300000000002</v>
      </c>
      <c r="BA81" s="22">
        <v>-1.3848900000000001E-2</v>
      </c>
      <c r="BB81" s="22">
        <v>71</v>
      </c>
      <c r="BC81" s="22">
        <v>0.25686599999999998</v>
      </c>
      <c r="BD81">
        <f t="shared" si="22"/>
        <v>17.09740740740741</v>
      </c>
      <c r="BE81">
        <f t="shared" si="23"/>
        <v>4.4037450311111117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1.4575199999999999</v>
      </c>
      <c r="H82" s="22">
        <v>5.9514399999999998</v>
      </c>
      <c r="I82" s="22">
        <v>-1.2737999999999999E-2</v>
      </c>
      <c r="J82" s="22">
        <v>72</v>
      </c>
      <c r="K82" s="22">
        <v>1.4572099999999999</v>
      </c>
      <c r="L82">
        <f t="shared" si="12"/>
        <v>15.725925925925925</v>
      </c>
      <c r="M82">
        <f t="shared" si="13"/>
        <v>22.920851555555551</v>
      </c>
      <c r="N82" s="9"/>
      <c r="O82" s="22">
        <v>0.262604</v>
      </c>
      <c r="P82" s="22">
        <v>9.8109099999999998</v>
      </c>
      <c r="Q82" s="22">
        <v>-1.3738999999999999E-2</v>
      </c>
      <c r="R82" s="22">
        <v>72</v>
      </c>
      <c r="S82" s="22">
        <v>0.261932</v>
      </c>
      <c r="T82">
        <f t="shared" si="14"/>
        <v>16.961728395061726</v>
      </c>
      <c r="U82">
        <f t="shared" si="15"/>
        <v>4.4542177234567895</v>
      </c>
      <c r="X82" s="9"/>
      <c r="Y82" s="22">
        <v>1.4575199999999999</v>
      </c>
      <c r="Z82" s="22">
        <v>15.287699999999999</v>
      </c>
      <c r="AA82" s="22">
        <v>-1.28754E-2</v>
      </c>
      <c r="AB82" s="22">
        <v>72</v>
      </c>
      <c r="AC82" s="22">
        <v>1.4559899999999999</v>
      </c>
      <c r="AD82">
        <f t="shared" si="16"/>
        <v>15.895555555555555</v>
      </c>
      <c r="AE82">
        <f t="shared" si="17"/>
        <v>23.168090133333333</v>
      </c>
      <c r="AF82" s="9"/>
      <c r="AG82" s="22">
        <v>0.262604</v>
      </c>
      <c r="AH82" s="22">
        <v>19.147200000000002</v>
      </c>
      <c r="AI82" s="22">
        <v>-1.37939E-2</v>
      </c>
      <c r="AJ82" s="22">
        <v>72</v>
      </c>
      <c r="AK82" s="22">
        <v>0.26187100000000002</v>
      </c>
      <c r="AL82">
        <f t="shared" si="18"/>
        <v>17.029506172839504</v>
      </c>
      <c r="AM82">
        <f t="shared" si="19"/>
        <v>4.4720164390123456</v>
      </c>
      <c r="AP82" s="9"/>
      <c r="AQ82" s="22">
        <v>1.4575199999999999</v>
      </c>
      <c r="AR82" s="22">
        <v>24.710899999999999</v>
      </c>
      <c r="AS82" s="22">
        <v>-1.29791E-2</v>
      </c>
      <c r="AT82" s="22">
        <v>72</v>
      </c>
      <c r="AU82" s="22">
        <v>1.4565999999999999</v>
      </c>
      <c r="AV82">
        <f t="shared" si="20"/>
        <v>16.023580246913578</v>
      </c>
      <c r="AW82">
        <f t="shared" si="21"/>
        <v>23.354688681481477</v>
      </c>
      <c r="AX82" s="9"/>
      <c r="AY82" s="22">
        <v>0.262604</v>
      </c>
      <c r="AZ82" s="22">
        <v>28.570399999999999</v>
      </c>
      <c r="BA82" s="22">
        <v>-1.38458E-2</v>
      </c>
      <c r="BB82" s="22">
        <v>72</v>
      </c>
      <c r="BC82" s="22">
        <v>0.261932</v>
      </c>
      <c r="BD82">
        <f t="shared" si="22"/>
        <v>17.093580246913579</v>
      </c>
      <c r="BE82">
        <f t="shared" si="23"/>
        <v>4.4888425471604938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1.45248</v>
      </c>
      <c r="H83" s="22">
        <v>5.9615099999999996</v>
      </c>
      <c r="I83" s="22">
        <v>-1.27502E-2</v>
      </c>
      <c r="J83" s="22">
        <v>73</v>
      </c>
      <c r="K83" s="22">
        <v>1.4511099999999999</v>
      </c>
      <c r="L83">
        <f t="shared" si="12"/>
        <v>15.740987654320987</v>
      </c>
      <c r="M83">
        <f t="shared" si="13"/>
        <v>22.863469748148148</v>
      </c>
      <c r="N83" s="9"/>
      <c r="O83" s="22">
        <v>0.26763900000000002</v>
      </c>
      <c r="P83" s="22">
        <v>9.8209800000000005</v>
      </c>
      <c r="Q83" s="22">
        <v>-1.3738999999999999E-2</v>
      </c>
      <c r="R83" s="22">
        <v>73</v>
      </c>
      <c r="S83" s="22">
        <v>0.26693699999999998</v>
      </c>
      <c r="T83">
        <f t="shared" si="14"/>
        <v>16.961728395061726</v>
      </c>
      <c r="U83">
        <f t="shared" si="15"/>
        <v>4.5396200259259256</v>
      </c>
      <c r="X83" s="9"/>
      <c r="Y83" s="22">
        <v>1.45248</v>
      </c>
      <c r="Z83" s="22">
        <v>15.297800000000001</v>
      </c>
      <c r="AA83" s="22">
        <v>-1.2887600000000001E-2</v>
      </c>
      <c r="AB83" s="22">
        <v>73</v>
      </c>
      <c r="AC83" s="22">
        <v>1.4517199999999999</v>
      </c>
      <c r="AD83">
        <f t="shared" si="16"/>
        <v>15.910617283950618</v>
      </c>
      <c r="AE83">
        <f t="shared" si="17"/>
        <v>23.109853392592594</v>
      </c>
      <c r="AF83" s="9"/>
      <c r="AG83" s="22">
        <v>0.26763900000000002</v>
      </c>
      <c r="AH83" s="22">
        <v>19.1572</v>
      </c>
      <c r="AI83" s="22">
        <v>-1.37787E-2</v>
      </c>
      <c r="AJ83" s="22">
        <v>73</v>
      </c>
      <c r="AK83" s="22">
        <v>0.26693699999999998</v>
      </c>
      <c r="AL83">
        <f t="shared" si="18"/>
        <v>17.01074074074074</v>
      </c>
      <c r="AM83">
        <f t="shared" si="19"/>
        <v>4.5527376411111113</v>
      </c>
      <c r="AP83" s="9"/>
      <c r="AQ83" s="22">
        <v>1.45248</v>
      </c>
      <c r="AR83" s="22">
        <v>24.721</v>
      </c>
      <c r="AS83" s="22">
        <v>-1.29944E-2</v>
      </c>
      <c r="AT83" s="22">
        <v>73</v>
      </c>
      <c r="AU83" s="22">
        <v>1.4514199999999999</v>
      </c>
      <c r="AV83">
        <f t="shared" si="20"/>
        <v>16.042469135802467</v>
      </c>
      <c r="AW83">
        <f t="shared" si="21"/>
        <v>23.301365570370368</v>
      </c>
      <c r="AX83" s="9"/>
      <c r="AY83" s="22">
        <v>0.26763900000000002</v>
      </c>
      <c r="AZ83" s="22">
        <v>28.580500000000001</v>
      </c>
      <c r="BA83" s="22">
        <v>-1.3848900000000001E-2</v>
      </c>
      <c r="BB83" s="22">
        <v>73</v>
      </c>
      <c r="BC83" s="22">
        <v>0.26690700000000001</v>
      </c>
      <c r="BD83">
        <f t="shared" si="22"/>
        <v>17.09740740740741</v>
      </c>
      <c r="BE83">
        <f t="shared" si="23"/>
        <v>4.575933021111112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1.4474499999999999</v>
      </c>
      <c r="H84" s="22">
        <v>5.9715800000000003</v>
      </c>
      <c r="I84" s="22">
        <v>-1.27686E-2</v>
      </c>
      <c r="J84" s="22">
        <v>74</v>
      </c>
      <c r="K84" s="22">
        <v>1.4468399999999999</v>
      </c>
      <c r="L84">
        <f t="shared" si="12"/>
        <v>15.763703703703703</v>
      </c>
      <c r="M84">
        <f t="shared" si="13"/>
        <v>22.817172925925924</v>
      </c>
      <c r="N84" s="9"/>
      <c r="O84" s="22">
        <v>0.272675</v>
      </c>
      <c r="P84" s="22">
        <v>9.8310499999999994</v>
      </c>
      <c r="Q84" s="22">
        <v>-1.3726800000000001E-2</v>
      </c>
      <c r="R84" s="22">
        <v>74</v>
      </c>
      <c r="S84" s="22">
        <v>0.272034</v>
      </c>
      <c r="T84">
        <f t="shared" si="14"/>
        <v>16.946666666666665</v>
      </c>
      <c r="U84">
        <f t="shared" si="15"/>
        <v>4.6209323333333332</v>
      </c>
      <c r="X84" s="9"/>
      <c r="Y84" s="22">
        <v>1.4474499999999999</v>
      </c>
      <c r="Z84" s="22">
        <v>15.3078</v>
      </c>
      <c r="AA84" s="22">
        <v>-1.2908899999999999E-2</v>
      </c>
      <c r="AB84" s="22">
        <v>74</v>
      </c>
      <c r="AC84" s="22">
        <v>1.4462299999999999</v>
      </c>
      <c r="AD84">
        <f t="shared" si="16"/>
        <v>15.936913580246911</v>
      </c>
      <c r="AE84">
        <f t="shared" si="17"/>
        <v>23.067885561728389</v>
      </c>
      <c r="AF84" s="9"/>
      <c r="AG84" s="22">
        <v>0.272675</v>
      </c>
      <c r="AH84" s="22">
        <v>19.167300000000001</v>
      </c>
      <c r="AI84" s="22">
        <v>-1.37695E-2</v>
      </c>
      <c r="AJ84" s="22">
        <v>74</v>
      </c>
      <c r="AK84" s="22">
        <v>0.27200299999999999</v>
      </c>
      <c r="AL84">
        <f t="shared" si="18"/>
        <v>16.999382716049382</v>
      </c>
      <c r="AM84">
        <f t="shared" si="19"/>
        <v>4.635306682098765</v>
      </c>
      <c r="AP84" s="9"/>
      <c r="AQ84" s="22">
        <v>1.4474499999999999</v>
      </c>
      <c r="AR84" s="22">
        <v>24.731100000000001</v>
      </c>
      <c r="AS84" s="22">
        <v>-1.30096E-2</v>
      </c>
      <c r="AT84" s="22">
        <v>74</v>
      </c>
      <c r="AU84" s="22">
        <v>1.4468399999999999</v>
      </c>
      <c r="AV84">
        <f t="shared" si="20"/>
        <v>16.061234567901234</v>
      </c>
      <c r="AW84">
        <f t="shared" si="21"/>
        <v>23.247833975308641</v>
      </c>
      <c r="AX84" s="9"/>
      <c r="AY84" s="22">
        <v>0.272675</v>
      </c>
      <c r="AZ84" s="22">
        <v>28.590499999999999</v>
      </c>
      <c r="BA84" s="22">
        <v>-1.3842800000000001E-2</v>
      </c>
      <c r="BB84" s="22">
        <v>74</v>
      </c>
      <c r="BC84" s="22">
        <v>0.27206399999999997</v>
      </c>
      <c r="BD84">
        <f t="shared" si="22"/>
        <v>17.089876543209876</v>
      </c>
      <c r="BE84">
        <f t="shared" si="23"/>
        <v>4.6599820864197525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1.44241</v>
      </c>
      <c r="H85" s="22">
        <v>5.9816500000000001</v>
      </c>
      <c r="I85" s="22">
        <v>-1.27869E-2</v>
      </c>
      <c r="J85" s="22">
        <v>75</v>
      </c>
      <c r="K85" s="22">
        <v>1.4410400000000001</v>
      </c>
      <c r="L85">
        <f t="shared" si="12"/>
        <v>15.786296296296294</v>
      </c>
      <c r="M85">
        <f t="shared" si="13"/>
        <v>22.770311640740736</v>
      </c>
      <c r="N85" s="9"/>
      <c r="O85" s="22">
        <v>0.27771000000000001</v>
      </c>
      <c r="P85" s="22">
        <v>9.8411200000000001</v>
      </c>
      <c r="Q85" s="22">
        <v>-1.37115E-2</v>
      </c>
      <c r="R85" s="22">
        <v>75</v>
      </c>
      <c r="S85" s="22">
        <v>0.27700799999999998</v>
      </c>
      <c r="T85">
        <f t="shared" si="14"/>
        <v>16.927777777777777</v>
      </c>
      <c r="U85">
        <f t="shared" si="15"/>
        <v>4.7010131666666668</v>
      </c>
      <c r="X85" s="9"/>
      <c r="Y85" s="22">
        <v>1.44241</v>
      </c>
      <c r="Z85" s="22">
        <v>15.3179</v>
      </c>
      <c r="AA85" s="22">
        <v>-1.29242E-2</v>
      </c>
      <c r="AB85" s="22">
        <v>75</v>
      </c>
      <c r="AC85" s="22">
        <v>1.4413499999999999</v>
      </c>
      <c r="AD85">
        <f t="shared" si="16"/>
        <v>15.955802469135801</v>
      </c>
      <c r="AE85">
        <f t="shared" si="17"/>
        <v>23.014809039506169</v>
      </c>
      <c r="AF85" s="9"/>
      <c r="AG85" s="22">
        <v>0.27771000000000001</v>
      </c>
      <c r="AH85" s="22">
        <v>19.177399999999999</v>
      </c>
      <c r="AI85" s="22">
        <v>-1.3766499999999999E-2</v>
      </c>
      <c r="AJ85" s="22">
        <v>75</v>
      </c>
      <c r="AK85" s="22">
        <v>0.27700799999999998</v>
      </c>
      <c r="AL85">
        <f t="shared" si="18"/>
        <v>16.995679012345676</v>
      </c>
      <c r="AM85">
        <f t="shared" si="19"/>
        <v>4.7198700185185176</v>
      </c>
      <c r="AP85" s="9"/>
      <c r="AQ85" s="22">
        <v>1.44241</v>
      </c>
      <c r="AR85" s="22">
        <v>24.741099999999999</v>
      </c>
      <c r="AS85" s="22">
        <v>-1.3021899999999999E-2</v>
      </c>
      <c r="AT85" s="22">
        <v>75</v>
      </c>
      <c r="AU85" s="22">
        <v>1.4416500000000001</v>
      </c>
      <c r="AV85">
        <f t="shared" si="20"/>
        <v>16.076419753086416</v>
      </c>
      <c r="AW85">
        <f t="shared" si="21"/>
        <v>23.188788616049376</v>
      </c>
      <c r="AX85" s="9"/>
      <c r="AY85" s="22">
        <v>0.27771000000000001</v>
      </c>
      <c r="AZ85" s="22">
        <v>28.6006</v>
      </c>
      <c r="BA85" s="22">
        <v>-1.38458E-2</v>
      </c>
      <c r="BB85" s="22">
        <v>75</v>
      </c>
      <c r="BC85" s="22">
        <v>0.27700799999999998</v>
      </c>
      <c r="BD85">
        <f t="shared" si="22"/>
        <v>17.093580246913579</v>
      </c>
      <c r="BE85">
        <f t="shared" si="23"/>
        <v>4.7470581703703703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1.4373800000000001</v>
      </c>
      <c r="H86" s="22">
        <v>5.9917199999999999</v>
      </c>
      <c r="I86" s="22">
        <v>-1.28021E-2</v>
      </c>
      <c r="J86" s="22">
        <v>76</v>
      </c>
      <c r="K86" s="22">
        <v>1.4364600000000001</v>
      </c>
      <c r="L86">
        <f t="shared" si="12"/>
        <v>15.805061728395062</v>
      </c>
      <c r="M86">
        <f t="shared" si="13"/>
        <v>22.717879627160496</v>
      </c>
      <c r="N86" s="9"/>
      <c r="O86" s="22">
        <v>0.28274500000000002</v>
      </c>
      <c r="P86" s="22">
        <v>9.8511900000000008</v>
      </c>
      <c r="Q86" s="22">
        <v>-1.37115E-2</v>
      </c>
      <c r="R86" s="22">
        <v>76</v>
      </c>
      <c r="S86" s="22">
        <v>0.28201300000000001</v>
      </c>
      <c r="T86">
        <f t="shared" si="14"/>
        <v>16.927777777777777</v>
      </c>
      <c r="U86">
        <f t="shared" si="15"/>
        <v>4.7862445277777779</v>
      </c>
      <c r="X86" s="9"/>
      <c r="Y86" s="22">
        <v>1.4373800000000001</v>
      </c>
      <c r="Z86" s="22">
        <v>15.327999999999999</v>
      </c>
      <c r="AA86" s="22">
        <v>-1.29333E-2</v>
      </c>
      <c r="AB86" s="22">
        <v>76</v>
      </c>
      <c r="AC86" s="22">
        <v>1.4364600000000001</v>
      </c>
      <c r="AD86">
        <f t="shared" si="16"/>
        <v>15.967037037037036</v>
      </c>
      <c r="AE86">
        <f t="shared" si="17"/>
        <v>22.950699696296297</v>
      </c>
      <c r="AF86" s="9"/>
      <c r="AG86" s="22">
        <v>0.28274500000000002</v>
      </c>
      <c r="AH86" s="22">
        <v>19.1874</v>
      </c>
      <c r="AI86" s="22">
        <v>-1.3760400000000001E-2</v>
      </c>
      <c r="AJ86" s="22">
        <v>76</v>
      </c>
      <c r="AK86" s="22">
        <v>0.28201300000000001</v>
      </c>
      <c r="AL86">
        <f t="shared" si="18"/>
        <v>16.988148148148149</v>
      </c>
      <c r="AM86">
        <f t="shared" si="19"/>
        <v>4.8033139481481486</v>
      </c>
      <c r="AP86" s="9"/>
      <c r="AQ86" s="22">
        <v>1.4373800000000001</v>
      </c>
      <c r="AR86" s="22">
        <v>24.751200000000001</v>
      </c>
      <c r="AS86" s="22">
        <v>-1.30402E-2</v>
      </c>
      <c r="AT86" s="22">
        <v>76</v>
      </c>
      <c r="AU86" s="22">
        <v>1.4364600000000001</v>
      </c>
      <c r="AV86">
        <f t="shared" si="20"/>
        <v>16.099012345679011</v>
      </c>
      <c r="AW86">
        <f t="shared" si="21"/>
        <v>23.140398365432098</v>
      </c>
      <c r="AX86" s="9"/>
      <c r="AY86" s="22">
        <v>0.28274500000000002</v>
      </c>
      <c r="AZ86" s="22">
        <v>28.610700000000001</v>
      </c>
      <c r="BA86" s="22">
        <v>-1.38458E-2</v>
      </c>
      <c r="BB86" s="22">
        <v>76</v>
      </c>
      <c r="BC86" s="22">
        <v>0.28207399999999999</v>
      </c>
      <c r="BD86">
        <f t="shared" si="22"/>
        <v>17.093580246913579</v>
      </c>
      <c r="BE86">
        <f t="shared" si="23"/>
        <v>4.8331243469135803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1.4323399999999999</v>
      </c>
      <c r="H87" s="22">
        <v>6.0017899999999997</v>
      </c>
      <c r="I87" s="22">
        <v>-1.2814300000000001E-2</v>
      </c>
      <c r="J87" s="22">
        <v>77</v>
      </c>
      <c r="K87" s="22">
        <v>1.4315800000000001</v>
      </c>
      <c r="L87">
        <f t="shared" si="12"/>
        <v>15.820123456790125</v>
      </c>
      <c r="M87">
        <f t="shared" si="13"/>
        <v>22.659795632098767</v>
      </c>
      <c r="N87" s="9"/>
      <c r="O87" s="22">
        <v>0.28778100000000001</v>
      </c>
      <c r="P87" s="22">
        <v>9.8612599999999997</v>
      </c>
      <c r="Q87" s="22">
        <v>-1.37146E-2</v>
      </c>
      <c r="R87" s="22">
        <v>77</v>
      </c>
      <c r="S87" s="22">
        <v>0.28714000000000001</v>
      </c>
      <c r="T87">
        <f t="shared" si="14"/>
        <v>16.931604938271605</v>
      </c>
      <c r="U87">
        <f t="shared" si="15"/>
        <v>4.8725942007407408</v>
      </c>
      <c r="X87" s="9"/>
      <c r="Y87" s="22">
        <v>1.4323399999999999</v>
      </c>
      <c r="Z87" s="22">
        <v>15.337999999999999</v>
      </c>
      <c r="AA87" s="22">
        <v>-1.2948599999999999E-2</v>
      </c>
      <c r="AB87" s="22">
        <v>77</v>
      </c>
      <c r="AC87" s="22">
        <v>1.43127</v>
      </c>
      <c r="AD87">
        <f t="shared" si="16"/>
        <v>15.985925925925924</v>
      </c>
      <c r="AE87">
        <f t="shared" si="17"/>
        <v>22.897281140740738</v>
      </c>
      <c r="AF87" s="9"/>
      <c r="AG87" s="22">
        <v>0.28778100000000001</v>
      </c>
      <c r="AH87" s="22">
        <v>19.197500000000002</v>
      </c>
      <c r="AI87" s="22">
        <v>-1.3760400000000001E-2</v>
      </c>
      <c r="AJ87" s="22">
        <v>77</v>
      </c>
      <c r="AK87" s="22">
        <v>0.28704800000000003</v>
      </c>
      <c r="AL87">
        <f t="shared" si="18"/>
        <v>16.988148148148149</v>
      </c>
      <c r="AM87">
        <f t="shared" si="19"/>
        <v>4.8888662622222228</v>
      </c>
      <c r="AP87" s="9"/>
      <c r="AQ87" s="22">
        <v>1.4323399999999999</v>
      </c>
      <c r="AR87" s="22">
        <v>24.761299999999999</v>
      </c>
      <c r="AS87" s="22">
        <v>-1.30676E-2</v>
      </c>
      <c r="AT87" s="22">
        <v>77</v>
      </c>
      <c r="AU87" s="22">
        <v>1.4309700000000001</v>
      </c>
      <c r="AV87">
        <f t="shared" si="20"/>
        <v>16.132839506172839</v>
      </c>
      <c r="AW87">
        <f t="shared" si="21"/>
        <v>23.107711338271603</v>
      </c>
      <c r="AX87" s="9"/>
      <c r="AY87" s="22">
        <v>0.28778100000000001</v>
      </c>
      <c r="AZ87" s="22">
        <v>28.620799999999999</v>
      </c>
      <c r="BA87" s="22">
        <v>-1.38458E-2</v>
      </c>
      <c r="BB87" s="22">
        <v>77</v>
      </c>
      <c r="BC87" s="22">
        <v>0.28716999999999998</v>
      </c>
      <c r="BD87">
        <f t="shared" si="22"/>
        <v>17.093580246913579</v>
      </c>
      <c r="BE87">
        <f t="shared" si="23"/>
        <v>4.9192076170370367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1.4273100000000001</v>
      </c>
      <c r="H88" s="22">
        <v>6.0118600000000004</v>
      </c>
      <c r="I88" s="22">
        <v>-1.28174E-2</v>
      </c>
      <c r="J88" s="22">
        <v>78</v>
      </c>
      <c r="K88" s="22">
        <v>1.4260900000000001</v>
      </c>
      <c r="L88">
        <f t="shared" si="12"/>
        <v>15.82395061728395</v>
      </c>
      <c r="M88">
        <f t="shared" si="13"/>
        <v>22.585682955555555</v>
      </c>
      <c r="N88" s="9"/>
      <c r="O88" s="22">
        <v>0.29281600000000002</v>
      </c>
      <c r="P88" s="22">
        <v>9.87134</v>
      </c>
      <c r="Q88" s="22">
        <v>-1.37146E-2</v>
      </c>
      <c r="R88" s="22">
        <v>78</v>
      </c>
      <c r="S88" s="22">
        <v>0.29211399999999998</v>
      </c>
      <c r="T88">
        <f t="shared" si="14"/>
        <v>16.931604938271605</v>
      </c>
      <c r="U88">
        <f t="shared" si="15"/>
        <v>4.9578448316049384</v>
      </c>
      <c r="X88" s="9"/>
      <c r="Y88" s="22">
        <v>1.4273100000000001</v>
      </c>
      <c r="Z88" s="22">
        <v>15.348100000000001</v>
      </c>
      <c r="AA88" s="22">
        <v>-1.2970000000000001E-2</v>
      </c>
      <c r="AB88" s="22">
        <v>78</v>
      </c>
      <c r="AC88" s="22">
        <v>1.42639</v>
      </c>
      <c r="AD88">
        <f t="shared" si="16"/>
        <v>16.012345679012348</v>
      </c>
      <c r="AE88">
        <f t="shared" si="17"/>
        <v>22.854581111111116</v>
      </c>
      <c r="AF88" s="9"/>
      <c r="AG88" s="22">
        <v>0.29281600000000002</v>
      </c>
      <c r="AH88" s="22">
        <v>19.207599999999999</v>
      </c>
      <c r="AI88" s="22">
        <v>-1.37573E-2</v>
      </c>
      <c r="AJ88" s="22">
        <v>78</v>
      </c>
      <c r="AK88" s="22">
        <v>0.29208400000000001</v>
      </c>
      <c r="AL88">
        <f t="shared" si="18"/>
        <v>16.984320987654321</v>
      </c>
      <c r="AM88">
        <f t="shared" si="19"/>
        <v>4.9732809343209885</v>
      </c>
      <c r="AP88" s="9"/>
      <c r="AQ88" s="22">
        <v>1.4273100000000001</v>
      </c>
      <c r="AR88" s="22">
        <v>24.7713</v>
      </c>
      <c r="AS88" s="22">
        <v>-1.3085899999999999E-2</v>
      </c>
      <c r="AT88" s="22">
        <v>78</v>
      </c>
      <c r="AU88" s="22">
        <v>1.427</v>
      </c>
      <c r="AV88">
        <f t="shared" si="20"/>
        <v>16.155432098765431</v>
      </c>
      <c r="AW88">
        <f t="shared" si="21"/>
        <v>23.058809788888887</v>
      </c>
      <c r="AX88" s="9"/>
      <c r="AY88" s="22">
        <v>0.29281600000000002</v>
      </c>
      <c r="AZ88" s="22">
        <v>28.630800000000001</v>
      </c>
      <c r="BA88" s="22">
        <v>-1.3842800000000001E-2</v>
      </c>
      <c r="BB88" s="22">
        <v>78</v>
      </c>
      <c r="BC88" s="22">
        <v>0.29211399999999998</v>
      </c>
      <c r="BD88">
        <f t="shared" si="22"/>
        <v>17.089876543209876</v>
      </c>
      <c r="BE88">
        <f t="shared" si="23"/>
        <v>5.0041892898765434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1.4222699999999999</v>
      </c>
      <c r="H89" s="22">
        <v>6.0219300000000002</v>
      </c>
      <c r="I89" s="22">
        <v>-1.28296E-2</v>
      </c>
      <c r="J89" s="22">
        <v>79</v>
      </c>
      <c r="K89" s="22">
        <v>1.42181</v>
      </c>
      <c r="L89">
        <f t="shared" si="12"/>
        <v>15.839012345679013</v>
      </c>
      <c r="M89">
        <f t="shared" si="13"/>
        <v>22.52735208888889</v>
      </c>
      <c r="N89" s="9"/>
      <c r="O89" s="22">
        <v>0.29785200000000001</v>
      </c>
      <c r="P89" s="22">
        <v>9.8814100000000007</v>
      </c>
      <c r="Q89" s="22">
        <v>-1.37146E-2</v>
      </c>
      <c r="R89" s="22">
        <v>79</v>
      </c>
      <c r="S89" s="22">
        <v>0.29715000000000003</v>
      </c>
      <c r="T89">
        <f t="shared" si="14"/>
        <v>16.931604938271605</v>
      </c>
      <c r="U89">
        <f t="shared" si="15"/>
        <v>5.0431123940740736</v>
      </c>
      <c r="X89" s="9"/>
      <c r="Y89" s="22">
        <v>1.4222699999999999</v>
      </c>
      <c r="Z89" s="22">
        <v>15.3582</v>
      </c>
      <c r="AA89" s="22">
        <v>-1.2982199999999999E-2</v>
      </c>
      <c r="AB89" s="22">
        <v>79</v>
      </c>
      <c r="AC89" s="22">
        <v>1.4209000000000001</v>
      </c>
      <c r="AD89">
        <f t="shared" si="16"/>
        <v>16.027407407407406</v>
      </c>
      <c r="AE89">
        <f t="shared" si="17"/>
        <v>22.795300733333331</v>
      </c>
      <c r="AF89" s="9"/>
      <c r="AG89" s="22">
        <v>0.29785200000000001</v>
      </c>
      <c r="AH89" s="22">
        <v>19.217700000000001</v>
      </c>
      <c r="AI89" s="22">
        <v>-1.37695E-2</v>
      </c>
      <c r="AJ89" s="22">
        <v>79</v>
      </c>
      <c r="AK89" s="22">
        <v>0.29711900000000002</v>
      </c>
      <c r="AL89">
        <f t="shared" si="18"/>
        <v>16.999382716049382</v>
      </c>
      <c r="AM89">
        <f t="shared" si="19"/>
        <v>5.0633001407407408</v>
      </c>
      <c r="AP89" s="9"/>
      <c r="AQ89" s="22">
        <v>1.4222699999999999</v>
      </c>
      <c r="AR89" s="22">
        <v>24.781400000000001</v>
      </c>
      <c r="AS89" s="22">
        <v>-1.30981E-2</v>
      </c>
      <c r="AT89" s="22">
        <v>79</v>
      </c>
      <c r="AU89" s="22">
        <v>1.4212</v>
      </c>
      <c r="AV89">
        <f t="shared" si="20"/>
        <v>16.170493827160495</v>
      </c>
      <c r="AW89">
        <f t="shared" si="21"/>
        <v>22.998808255555556</v>
      </c>
      <c r="AX89" s="9"/>
      <c r="AY89" s="22">
        <v>0.29785200000000001</v>
      </c>
      <c r="AZ89" s="22">
        <v>28.640899999999998</v>
      </c>
      <c r="BA89" s="22">
        <v>-1.38397E-2</v>
      </c>
      <c r="BB89" s="22">
        <v>79</v>
      </c>
      <c r="BC89" s="22">
        <v>0.29711900000000002</v>
      </c>
      <c r="BD89">
        <f t="shared" si="22"/>
        <v>17.086049382716048</v>
      </c>
      <c r="BE89">
        <f t="shared" si="23"/>
        <v>5.0891139807407404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1.4172400000000001</v>
      </c>
      <c r="H90" s="22">
        <v>6.032</v>
      </c>
      <c r="I90" s="22">
        <v>-1.28387E-2</v>
      </c>
      <c r="J90" s="22">
        <v>80</v>
      </c>
      <c r="K90" s="22">
        <v>1.41571</v>
      </c>
      <c r="L90">
        <f t="shared" si="12"/>
        <v>15.850246913580245</v>
      </c>
      <c r="M90">
        <f t="shared" si="13"/>
        <v>22.463603935802468</v>
      </c>
      <c r="N90" s="9"/>
      <c r="O90" s="22">
        <v>0.30288700000000002</v>
      </c>
      <c r="P90" s="22">
        <v>9.8914799999999996</v>
      </c>
      <c r="Q90" s="22">
        <v>-1.37146E-2</v>
      </c>
      <c r="R90" s="22">
        <v>80</v>
      </c>
      <c r="S90" s="22">
        <v>0.30218499999999998</v>
      </c>
      <c r="T90">
        <f t="shared" si="14"/>
        <v>16.931604938271605</v>
      </c>
      <c r="U90">
        <f t="shared" si="15"/>
        <v>5.1283630249382721</v>
      </c>
      <c r="X90" s="9"/>
      <c r="Y90" s="22">
        <v>1.4172400000000001</v>
      </c>
      <c r="Z90" s="22">
        <v>15.3683</v>
      </c>
      <c r="AA90" s="22">
        <v>-1.30005E-2</v>
      </c>
      <c r="AB90" s="22">
        <v>80</v>
      </c>
      <c r="AC90" s="22">
        <v>1.4160200000000001</v>
      </c>
      <c r="AD90">
        <f t="shared" si="16"/>
        <v>16.049999999999997</v>
      </c>
      <c r="AE90">
        <f t="shared" si="17"/>
        <v>22.746701999999996</v>
      </c>
      <c r="AF90" s="9"/>
      <c r="AG90" s="22">
        <v>0.30288700000000002</v>
      </c>
      <c r="AH90" s="22">
        <v>19.227699999999999</v>
      </c>
      <c r="AI90" s="22">
        <v>-1.3781699999999999E-2</v>
      </c>
      <c r="AJ90" s="22">
        <v>80</v>
      </c>
      <c r="AK90" s="22">
        <v>0.30227700000000002</v>
      </c>
      <c r="AL90">
        <f t="shared" si="18"/>
        <v>17.014444444444443</v>
      </c>
      <c r="AM90">
        <f t="shared" si="19"/>
        <v>5.1534540344444446</v>
      </c>
      <c r="AP90" s="9"/>
      <c r="AQ90" s="22">
        <v>1.4172400000000001</v>
      </c>
      <c r="AR90" s="22">
        <v>24.791499999999999</v>
      </c>
      <c r="AS90" s="22">
        <v>-1.3113400000000001E-2</v>
      </c>
      <c r="AT90" s="22">
        <v>80</v>
      </c>
      <c r="AU90" s="22">
        <v>1.4160200000000001</v>
      </c>
      <c r="AV90">
        <f t="shared" si="20"/>
        <v>16.18938271604938</v>
      </c>
      <c r="AW90">
        <f t="shared" si="21"/>
        <v>22.944240760493823</v>
      </c>
      <c r="AX90" s="9"/>
      <c r="AY90" s="22">
        <v>0.30288700000000002</v>
      </c>
      <c r="AZ90" s="22">
        <v>28.651</v>
      </c>
      <c r="BA90" s="22">
        <v>-1.38367E-2</v>
      </c>
      <c r="BB90" s="22">
        <v>80</v>
      </c>
      <c r="BC90" s="22">
        <v>0.30221599999999998</v>
      </c>
      <c r="BD90">
        <f t="shared" si="22"/>
        <v>17.082345679012345</v>
      </c>
      <c r="BE90">
        <f t="shared" si="23"/>
        <v>5.1740204356790125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1.4121999999999999</v>
      </c>
      <c r="H91" s="22">
        <v>6.0420800000000003</v>
      </c>
      <c r="I91" s="22">
        <v>-1.2847900000000001E-2</v>
      </c>
      <c r="J91" s="22">
        <v>81</v>
      </c>
      <c r="K91" s="22">
        <v>1.41113</v>
      </c>
      <c r="L91">
        <f t="shared" si="12"/>
        <v>15.861604938271604</v>
      </c>
      <c r="M91">
        <f t="shared" si="13"/>
        <v>22.399758493827157</v>
      </c>
      <c r="N91" s="9"/>
      <c r="O91" s="22">
        <v>0.30792199999999997</v>
      </c>
      <c r="P91" s="22">
        <v>9.9015500000000003</v>
      </c>
      <c r="Q91" s="22">
        <v>-1.37146E-2</v>
      </c>
      <c r="R91" s="22">
        <v>81</v>
      </c>
      <c r="S91" s="22">
        <v>0.307251</v>
      </c>
      <c r="T91">
        <f t="shared" si="14"/>
        <v>16.931604938271605</v>
      </c>
      <c r="U91">
        <f t="shared" si="15"/>
        <v>5.2136136558024688</v>
      </c>
      <c r="X91" s="9"/>
      <c r="Y91" s="22">
        <v>1.4121999999999999</v>
      </c>
      <c r="Z91" s="22">
        <v>15.378299999999999</v>
      </c>
      <c r="AA91" s="22">
        <v>-1.3018800000000001E-2</v>
      </c>
      <c r="AB91" s="22">
        <v>81</v>
      </c>
      <c r="AC91" s="22">
        <v>1.41083</v>
      </c>
      <c r="AD91">
        <f t="shared" si="16"/>
        <v>16.072592592592592</v>
      </c>
      <c r="AE91">
        <f t="shared" si="17"/>
        <v>22.697715259259258</v>
      </c>
      <c r="AF91" s="9"/>
      <c r="AG91" s="22">
        <v>0.30792199999999997</v>
      </c>
      <c r="AH91" s="22">
        <v>19.2378</v>
      </c>
      <c r="AI91" s="22">
        <v>-1.3781699999999999E-2</v>
      </c>
      <c r="AJ91" s="22">
        <v>81</v>
      </c>
      <c r="AK91" s="22">
        <v>0.307251</v>
      </c>
      <c r="AL91">
        <f t="shared" si="18"/>
        <v>17.014444444444443</v>
      </c>
      <c r="AM91">
        <f t="shared" si="19"/>
        <v>5.2391217622222213</v>
      </c>
      <c r="AP91" s="9"/>
      <c r="AQ91" s="22">
        <v>1.4121999999999999</v>
      </c>
      <c r="AR91" s="22">
        <v>24.801600000000001</v>
      </c>
      <c r="AS91" s="22">
        <v>-1.3125599999999999E-2</v>
      </c>
      <c r="AT91" s="22">
        <v>81</v>
      </c>
      <c r="AU91" s="22">
        <v>1.41144</v>
      </c>
      <c r="AV91">
        <f t="shared" si="20"/>
        <v>16.204444444444441</v>
      </c>
      <c r="AW91">
        <f t="shared" si="21"/>
        <v>22.883916444444438</v>
      </c>
      <c r="AX91" s="9"/>
      <c r="AY91" s="22">
        <v>0.30792199999999997</v>
      </c>
      <c r="AZ91" s="22">
        <v>28.661000000000001</v>
      </c>
      <c r="BA91" s="22">
        <v>-1.38275E-2</v>
      </c>
      <c r="BB91" s="22">
        <v>81</v>
      </c>
      <c r="BC91" s="22">
        <v>0.30721999999999999</v>
      </c>
      <c r="BD91">
        <f t="shared" si="22"/>
        <v>17.070987654320987</v>
      </c>
      <c r="BE91">
        <f t="shared" si="23"/>
        <v>5.2565326604938267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1.40717</v>
      </c>
      <c r="H92" s="22">
        <v>6.0521500000000001</v>
      </c>
      <c r="I92" s="22">
        <v>-1.2860099999999999E-2</v>
      </c>
      <c r="J92" s="22">
        <v>82</v>
      </c>
      <c r="K92" s="22">
        <v>1.40594</v>
      </c>
      <c r="L92">
        <f t="shared" si="12"/>
        <v>15.876666666666663</v>
      </c>
      <c r="M92">
        <f t="shared" si="13"/>
        <v>22.34116903333333</v>
      </c>
      <c r="N92" s="9"/>
      <c r="O92" s="22">
        <v>0.31295800000000001</v>
      </c>
      <c r="P92" s="22">
        <v>9.9116199999999992</v>
      </c>
      <c r="Q92" s="22">
        <v>-1.3717699999999999E-2</v>
      </c>
      <c r="R92" s="22">
        <v>82</v>
      </c>
      <c r="S92" s="22">
        <v>0.312195</v>
      </c>
      <c r="T92">
        <f t="shared" si="14"/>
        <v>16.935432098765432</v>
      </c>
      <c r="U92">
        <f t="shared" si="15"/>
        <v>5.3000789587654324</v>
      </c>
      <c r="X92" s="9"/>
      <c r="Y92" s="22">
        <v>1.40717</v>
      </c>
      <c r="Z92" s="22">
        <v>15.388400000000001</v>
      </c>
      <c r="AA92" s="22">
        <v>-1.30402E-2</v>
      </c>
      <c r="AB92" s="22">
        <v>82</v>
      </c>
      <c r="AC92" s="22">
        <v>1.40564</v>
      </c>
      <c r="AD92">
        <f t="shared" si="16"/>
        <v>16.099012345679011</v>
      </c>
      <c r="AE92">
        <f t="shared" si="17"/>
        <v>22.654047202469133</v>
      </c>
      <c r="AF92" s="9"/>
      <c r="AG92" s="22">
        <v>0.31295800000000001</v>
      </c>
      <c r="AH92" s="22">
        <v>19.247900000000001</v>
      </c>
      <c r="AI92" s="22">
        <v>-1.37848E-2</v>
      </c>
      <c r="AJ92" s="22">
        <v>82</v>
      </c>
      <c r="AK92" s="22">
        <v>0.31228600000000001</v>
      </c>
      <c r="AL92">
        <f t="shared" si="18"/>
        <v>17.018271604938271</v>
      </c>
      <c r="AM92">
        <f t="shared" si="19"/>
        <v>5.3260042449382716</v>
      </c>
      <c r="AP92" s="9"/>
      <c r="AQ92" s="22">
        <v>1.40717</v>
      </c>
      <c r="AR92" s="22">
        <v>24.811599999999999</v>
      </c>
      <c r="AS92" s="22">
        <v>-1.31409E-2</v>
      </c>
      <c r="AT92" s="22">
        <v>82</v>
      </c>
      <c r="AU92" s="22">
        <v>1.40594</v>
      </c>
      <c r="AV92">
        <f t="shared" si="20"/>
        <v>16.223333333333333</v>
      </c>
      <c r="AW92">
        <f t="shared" si="21"/>
        <v>22.828987966666666</v>
      </c>
      <c r="AX92" s="9"/>
      <c r="AY92" s="22">
        <v>0.31295800000000001</v>
      </c>
      <c r="AZ92" s="22">
        <v>28.671099999999999</v>
      </c>
      <c r="BA92" s="22">
        <v>-1.38306E-2</v>
      </c>
      <c r="BB92" s="22">
        <v>82</v>
      </c>
      <c r="BC92" s="22">
        <v>0.31222499999999997</v>
      </c>
      <c r="BD92">
        <f t="shared" si="22"/>
        <v>17.074814814814815</v>
      </c>
      <c r="BE92">
        <f t="shared" si="23"/>
        <v>5.3436998948148151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1.4021300000000001</v>
      </c>
      <c r="H93" s="22">
        <v>6.0622199999999999</v>
      </c>
      <c r="I93" s="22">
        <v>-1.28693E-2</v>
      </c>
      <c r="J93" s="22">
        <v>83</v>
      </c>
      <c r="K93" s="22">
        <v>1.40106</v>
      </c>
      <c r="L93">
        <f t="shared" si="12"/>
        <v>15.888024691358023</v>
      </c>
      <c r="M93">
        <f t="shared" si="13"/>
        <v>22.277076060493826</v>
      </c>
      <c r="N93" s="9"/>
      <c r="O93" s="22">
        <v>0.31799300000000003</v>
      </c>
      <c r="P93" s="22">
        <v>9.9216899999999999</v>
      </c>
      <c r="Q93" s="22">
        <v>-1.3717699999999999E-2</v>
      </c>
      <c r="R93" s="22">
        <v>83</v>
      </c>
      <c r="S93" s="22">
        <v>0.31729099999999999</v>
      </c>
      <c r="T93">
        <f t="shared" si="14"/>
        <v>16.935432098765432</v>
      </c>
      <c r="U93">
        <f t="shared" si="15"/>
        <v>5.3853488593827166</v>
      </c>
      <c r="X93" s="9"/>
      <c r="Y93" s="22">
        <v>1.4021300000000001</v>
      </c>
      <c r="Z93" s="22">
        <v>15.3985</v>
      </c>
      <c r="AA93" s="22">
        <v>-1.3058500000000001E-2</v>
      </c>
      <c r="AB93" s="22">
        <v>83</v>
      </c>
      <c r="AC93" s="22">
        <v>1.40106</v>
      </c>
      <c r="AD93">
        <f t="shared" si="16"/>
        <v>16.121604938271602</v>
      </c>
      <c r="AE93">
        <f t="shared" si="17"/>
        <v>22.604585932098765</v>
      </c>
      <c r="AF93" s="9"/>
      <c r="AG93" s="22">
        <v>0.31799300000000003</v>
      </c>
      <c r="AH93" s="22">
        <v>19.257899999999999</v>
      </c>
      <c r="AI93" s="22">
        <v>-1.3787799999999999E-2</v>
      </c>
      <c r="AJ93" s="22">
        <v>83</v>
      </c>
      <c r="AK93" s="22">
        <v>0.31723000000000001</v>
      </c>
      <c r="AL93">
        <f t="shared" si="18"/>
        <v>17.021975308641974</v>
      </c>
      <c r="AM93">
        <f t="shared" si="19"/>
        <v>5.4128689943209878</v>
      </c>
      <c r="AP93" s="9"/>
      <c r="AQ93" s="22">
        <v>1.4021300000000001</v>
      </c>
      <c r="AR93" s="22">
        <v>24.8217</v>
      </c>
      <c r="AS93" s="22">
        <v>-1.315E-2</v>
      </c>
      <c r="AT93" s="22">
        <v>83</v>
      </c>
      <c r="AU93" s="22">
        <v>1.40045</v>
      </c>
      <c r="AV93">
        <f t="shared" si="20"/>
        <v>16.234567901234566</v>
      </c>
      <c r="AW93">
        <f t="shared" si="21"/>
        <v>22.762974691358025</v>
      </c>
      <c r="AX93" s="9"/>
      <c r="AY93" s="22">
        <v>0.31799300000000003</v>
      </c>
      <c r="AZ93" s="22">
        <v>28.6812</v>
      </c>
      <c r="BA93" s="22">
        <v>-1.38367E-2</v>
      </c>
      <c r="BB93" s="22">
        <v>83</v>
      </c>
      <c r="BC93" s="22">
        <v>0.31726100000000002</v>
      </c>
      <c r="BD93">
        <f t="shared" si="22"/>
        <v>17.082345679012345</v>
      </c>
      <c r="BE93">
        <f t="shared" si="23"/>
        <v>5.4320663495061732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1.3970899999999999</v>
      </c>
      <c r="H94" s="22">
        <v>6.0722899999999997</v>
      </c>
      <c r="I94" s="22">
        <v>-1.28906E-2</v>
      </c>
      <c r="J94" s="22">
        <v>84</v>
      </c>
      <c r="K94" s="22">
        <v>1.39679</v>
      </c>
      <c r="L94">
        <f t="shared" si="12"/>
        <v>15.914320987654323</v>
      </c>
      <c r="M94">
        <f t="shared" si="13"/>
        <v>22.233738708641976</v>
      </c>
      <c r="N94" s="9"/>
      <c r="O94" s="22">
        <v>0.32302900000000001</v>
      </c>
      <c r="P94" s="22">
        <v>9.9317600000000006</v>
      </c>
      <c r="Q94" s="22">
        <v>-1.37146E-2</v>
      </c>
      <c r="R94" s="22">
        <v>84</v>
      </c>
      <c r="S94" s="22">
        <v>0.32223499999999999</v>
      </c>
      <c r="T94">
        <f t="shared" si="14"/>
        <v>16.931604938271605</v>
      </c>
      <c r="U94">
        <f t="shared" si="15"/>
        <v>5.4693994116049387</v>
      </c>
      <c r="X94" s="9"/>
      <c r="Y94" s="22">
        <v>1.3970899999999999</v>
      </c>
      <c r="Z94" s="22">
        <v>15.4085</v>
      </c>
      <c r="AA94" s="22">
        <v>-1.3073700000000001E-2</v>
      </c>
      <c r="AB94" s="22">
        <v>84</v>
      </c>
      <c r="AC94" s="22">
        <v>1.39618</v>
      </c>
      <c r="AD94">
        <f t="shared" si="16"/>
        <v>16.14037037037037</v>
      </c>
      <c r="AE94">
        <f t="shared" si="17"/>
        <v>22.549550040740741</v>
      </c>
      <c r="AF94" s="9"/>
      <c r="AG94" s="22">
        <v>0.32302900000000001</v>
      </c>
      <c r="AH94" s="22">
        <v>19.268000000000001</v>
      </c>
      <c r="AI94" s="22">
        <v>-1.37787E-2</v>
      </c>
      <c r="AJ94" s="22">
        <v>84</v>
      </c>
      <c r="AK94" s="22">
        <v>0.32229600000000003</v>
      </c>
      <c r="AL94">
        <f t="shared" si="18"/>
        <v>17.01074074074074</v>
      </c>
      <c r="AM94">
        <f t="shared" si="19"/>
        <v>5.494962570740741</v>
      </c>
      <c r="AP94" s="9"/>
      <c r="AQ94" s="22">
        <v>1.3970899999999999</v>
      </c>
      <c r="AR94" s="22">
        <v>24.831800000000001</v>
      </c>
      <c r="AS94" s="22">
        <v>-1.3153099999999999E-2</v>
      </c>
      <c r="AT94" s="22">
        <v>84</v>
      </c>
      <c r="AU94" s="22">
        <v>1.39618</v>
      </c>
      <c r="AV94">
        <f t="shared" si="20"/>
        <v>16.238395061728394</v>
      </c>
      <c r="AW94">
        <f t="shared" si="21"/>
        <v>22.686499356790122</v>
      </c>
      <c r="AX94" s="9"/>
      <c r="AY94" s="22">
        <v>0.32302900000000001</v>
      </c>
      <c r="AZ94" s="22">
        <v>28.691199999999998</v>
      </c>
      <c r="BA94" s="22">
        <v>-1.3842800000000001E-2</v>
      </c>
      <c r="BB94" s="22">
        <v>84</v>
      </c>
      <c r="BC94" s="22">
        <v>0.32232699999999997</v>
      </c>
      <c r="BD94">
        <f t="shared" si="22"/>
        <v>17.089876543209876</v>
      </c>
      <c r="BE94">
        <f t="shared" si="23"/>
        <v>5.5205257298765433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1.3920600000000001</v>
      </c>
      <c r="H95" s="22">
        <v>6.0823600000000004</v>
      </c>
      <c r="I95" s="22">
        <v>-1.2902800000000001E-2</v>
      </c>
      <c r="J95" s="22">
        <v>85</v>
      </c>
      <c r="K95" s="22">
        <v>1.3909899999999999</v>
      </c>
      <c r="L95">
        <f t="shared" si="12"/>
        <v>15.929382716049382</v>
      </c>
      <c r="M95">
        <f t="shared" si="13"/>
        <v>22.174656503703705</v>
      </c>
      <c r="N95" s="9"/>
      <c r="O95" s="22">
        <v>0.32806400000000002</v>
      </c>
      <c r="P95" s="22">
        <v>9.9418299999999995</v>
      </c>
      <c r="Q95" s="22">
        <v>-1.37115E-2</v>
      </c>
      <c r="R95" s="22">
        <v>85</v>
      </c>
      <c r="S95" s="22">
        <v>0.32733200000000001</v>
      </c>
      <c r="T95">
        <f t="shared" si="14"/>
        <v>16.927777777777777</v>
      </c>
      <c r="U95">
        <f t="shared" si="15"/>
        <v>5.5533944888888893</v>
      </c>
      <c r="X95" s="9"/>
      <c r="Y95" s="22">
        <v>1.3920600000000001</v>
      </c>
      <c r="Z95" s="22">
        <v>15.4186</v>
      </c>
      <c r="AA95" s="22">
        <v>-1.3089E-2</v>
      </c>
      <c r="AB95" s="22">
        <v>85</v>
      </c>
      <c r="AC95" s="22">
        <v>1.3913</v>
      </c>
      <c r="AD95">
        <f t="shared" si="16"/>
        <v>16.159259259259258</v>
      </c>
      <c r="AE95">
        <f t="shared" si="17"/>
        <v>22.494658444444443</v>
      </c>
      <c r="AF95" s="9"/>
      <c r="AG95" s="22">
        <v>0.32806400000000002</v>
      </c>
      <c r="AH95" s="22">
        <v>19.278099999999998</v>
      </c>
      <c r="AI95" s="22">
        <v>-1.37787E-2</v>
      </c>
      <c r="AJ95" s="22">
        <v>85</v>
      </c>
      <c r="AK95" s="22">
        <v>0.32733200000000001</v>
      </c>
      <c r="AL95">
        <f t="shared" si="18"/>
        <v>17.01074074074074</v>
      </c>
      <c r="AM95">
        <f t="shared" si="19"/>
        <v>5.5806116503703702</v>
      </c>
      <c r="AP95" s="9"/>
      <c r="AQ95" s="22">
        <v>1.3920600000000001</v>
      </c>
      <c r="AR95" s="22">
        <v>24.841799999999999</v>
      </c>
      <c r="AS95" s="22">
        <v>-1.3147000000000001E-2</v>
      </c>
      <c r="AT95" s="22">
        <v>85</v>
      </c>
      <c r="AU95" s="22">
        <v>1.3913</v>
      </c>
      <c r="AV95">
        <f t="shared" si="20"/>
        <v>16.230864197530863</v>
      </c>
      <c r="AW95">
        <f t="shared" si="21"/>
        <v>22.594336814814813</v>
      </c>
      <c r="AX95" s="9"/>
      <c r="AY95" s="22">
        <v>0.32806400000000002</v>
      </c>
      <c r="AZ95" s="22">
        <v>28.7013</v>
      </c>
      <c r="BA95" s="22">
        <v>-1.38458E-2</v>
      </c>
      <c r="BB95" s="22">
        <v>85</v>
      </c>
      <c r="BC95" s="22">
        <v>0.32730100000000001</v>
      </c>
      <c r="BD95">
        <f t="shared" si="22"/>
        <v>17.093580246913579</v>
      </c>
      <c r="BE95">
        <f t="shared" si="23"/>
        <v>5.6077883101234569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1.3870199999999999</v>
      </c>
      <c r="H96" s="22">
        <v>6.0924300000000002</v>
      </c>
      <c r="I96" s="22">
        <v>-1.29333E-2</v>
      </c>
      <c r="J96" s="22">
        <v>86</v>
      </c>
      <c r="K96" s="22">
        <v>1.3855</v>
      </c>
      <c r="L96">
        <f t="shared" si="12"/>
        <v>15.967037037037036</v>
      </c>
      <c r="M96">
        <f t="shared" si="13"/>
        <v>22.146599711111108</v>
      </c>
      <c r="N96" s="9"/>
      <c r="O96" s="22">
        <v>0.33309899999999998</v>
      </c>
      <c r="P96" s="22">
        <v>9.9519000000000002</v>
      </c>
      <c r="Q96" s="22">
        <v>-1.3717699999999999E-2</v>
      </c>
      <c r="R96" s="22">
        <v>86</v>
      </c>
      <c r="S96" s="22">
        <v>0.332397</v>
      </c>
      <c r="T96">
        <f t="shared" si="14"/>
        <v>16.935432098765432</v>
      </c>
      <c r="U96">
        <f t="shared" si="15"/>
        <v>5.6411754966666665</v>
      </c>
      <c r="X96" s="9"/>
      <c r="Y96" s="22">
        <v>1.3870199999999999</v>
      </c>
      <c r="Z96" s="22">
        <v>15.428699999999999</v>
      </c>
      <c r="AA96" s="22">
        <v>-1.31012E-2</v>
      </c>
      <c r="AB96" s="22">
        <v>86</v>
      </c>
      <c r="AC96" s="22">
        <v>1.3864099999999999</v>
      </c>
      <c r="AD96">
        <f t="shared" si="16"/>
        <v>16.174320987654323</v>
      </c>
      <c r="AE96">
        <f t="shared" si="17"/>
        <v>22.434106696296297</v>
      </c>
      <c r="AF96" s="9"/>
      <c r="AG96" s="22">
        <v>0.33309899999999998</v>
      </c>
      <c r="AH96" s="22">
        <v>19.2882</v>
      </c>
      <c r="AI96" s="22">
        <v>-1.37695E-2</v>
      </c>
      <c r="AJ96" s="22">
        <v>86</v>
      </c>
      <c r="AK96" s="22">
        <v>0.33236700000000002</v>
      </c>
      <c r="AL96">
        <f t="shared" si="18"/>
        <v>16.999382716049382</v>
      </c>
      <c r="AM96">
        <f t="shared" si="19"/>
        <v>5.6624773833333331</v>
      </c>
      <c r="AP96" s="9"/>
      <c r="AQ96" s="22">
        <v>1.3870199999999999</v>
      </c>
      <c r="AR96" s="22">
        <v>24.851900000000001</v>
      </c>
      <c r="AS96" s="22">
        <v>-1.3162200000000001E-2</v>
      </c>
      <c r="AT96" s="22">
        <v>86</v>
      </c>
      <c r="AU96" s="22">
        <v>1.3864099999999999</v>
      </c>
      <c r="AV96">
        <f t="shared" si="20"/>
        <v>16.249629629629627</v>
      </c>
      <c r="AW96">
        <f t="shared" si="21"/>
        <v>22.538561288888886</v>
      </c>
      <c r="AX96" s="9"/>
      <c r="AY96" s="22">
        <v>0.33309899999999998</v>
      </c>
      <c r="AZ96" s="22">
        <v>28.711400000000001</v>
      </c>
      <c r="BA96" s="22">
        <v>-1.38397E-2</v>
      </c>
      <c r="BB96" s="22">
        <v>86</v>
      </c>
      <c r="BC96" s="22">
        <v>0.332397</v>
      </c>
      <c r="BD96">
        <f t="shared" si="22"/>
        <v>17.086049382716048</v>
      </c>
      <c r="BE96">
        <f t="shared" si="23"/>
        <v>5.6913459633333323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1.3819900000000001</v>
      </c>
      <c r="H97" s="22">
        <v>6.1025</v>
      </c>
      <c r="I97" s="22">
        <v>-1.2942499999999999E-2</v>
      </c>
      <c r="J97" s="22">
        <v>87</v>
      </c>
      <c r="K97" s="22">
        <v>1.38123</v>
      </c>
      <c r="L97">
        <f t="shared" si="12"/>
        <v>15.978395061728392</v>
      </c>
      <c r="M97">
        <f t="shared" si="13"/>
        <v>22.081982191358023</v>
      </c>
      <c r="N97" s="9"/>
      <c r="O97" s="22">
        <v>0.33813500000000002</v>
      </c>
      <c r="P97" s="22">
        <v>9.9619700000000009</v>
      </c>
      <c r="Q97" s="22">
        <v>-1.37146E-2</v>
      </c>
      <c r="R97" s="22">
        <v>87</v>
      </c>
      <c r="S97" s="22">
        <v>0.33740199999999998</v>
      </c>
      <c r="T97">
        <f t="shared" si="14"/>
        <v>16.931604938271605</v>
      </c>
      <c r="U97">
        <f t="shared" si="15"/>
        <v>5.7251682358024691</v>
      </c>
      <c r="X97" s="9"/>
      <c r="Y97" s="22">
        <v>1.3819900000000001</v>
      </c>
      <c r="Z97" s="22">
        <v>15.438800000000001</v>
      </c>
      <c r="AA97" s="22">
        <v>-1.31042E-2</v>
      </c>
      <c r="AB97" s="22">
        <v>87</v>
      </c>
      <c r="AC97" s="22">
        <v>1.38184</v>
      </c>
      <c r="AD97">
        <f t="shared" si="16"/>
        <v>16.178024691358022</v>
      </c>
      <c r="AE97">
        <f t="shared" si="17"/>
        <v>22.357868343209873</v>
      </c>
      <c r="AF97" s="9"/>
      <c r="AG97" s="22">
        <v>0.33813500000000002</v>
      </c>
      <c r="AH97" s="22">
        <v>19.298200000000001</v>
      </c>
      <c r="AI97" s="22">
        <v>-1.3766499999999999E-2</v>
      </c>
      <c r="AJ97" s="22">
        <v>87</v>
      </c>
      <c r="AK97" s="22">
        <v>0.33743299999999998</v>
      </c>
      <c r="AL97">
        <f t="shared" si="18"/>
        <v>16.995679012345676</v>
      </c>
      <c r="AM97">
        <f t="shared" si="19"/>
        <v>5.7468339228395049</v>
      </c>
      <c r="AP97" s="9"/>
      <c r="AQ97" s="22">
        <v>1.3819900000000001</v>
      </c>
      <c r="AR97" s="22">
        <v>24.861999999999998</v>
      </c>
      <c r="AS97" s="22">
        <v>-1.31775E-2</v>
      </c>
      <c r="AT97" s="22">
        <v>87</v>
      </c>
      <c r="AU97" s="22">
        <v>1.3809199999999999</v>
      </c>
      <c r="AV97">
        <f t="shared" si="20"/>
        <v>16.268518518518519</v>
      </c>
      <c r="AW97">
        <f t="shared" si="21"/>
        <v>22.48292990740741</v>
      </c>
      <c r="AX97" s="9"/>
      <c r="AY97" s="22">
        <v>0.33813500000000002</v>
      </c>
      <c r="AZ97" s="22">
        <v>28.721499999999999</v>
      </c>
      <c r="BA97" s="22">
        <v>-1.38397E-2</v>
      </c>
      <c r="BB97" s="22">
        <v>87</v>
      </c>
      <c r="BC97" s="22">
        <v>0.33740199999999998</v>
      </c>
      <c r="BD97">
        <f t="shared" si="22"/>
        <v>17.086049382716048</v>
      </c>
      <c r="BE97">
        <f t="shared" si="23"/>
        <v>5.7773913080246917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1.3769499999999999</v>
      </c>
      <c r="H98" s="22">
        <v>6.1125699999999998</v>
      </c>
      <c r="I98" s="22">
        <v>-1.29578E-2</v>
      </c>
      <c r="J98" s="22">
        <v>88</v>
      </c>
      <c r="K98" s="22">
        <v>1.3766499999999999</v>
      </c>
      <c r="L98">
        <f t="shared" si="12"/>
        <v>15.997283950617284</v>
      </c>
      <c r="M98">
        <f t="shared" si="13"/>
        <v>22.027460135802468</v>
      </c>
      <c r="N98" s="9"/>
      <c r="O98" s="22">
        <v>0.34316999999999998</v>
      </c>
      <c r="P98" s="22">
        <v>9.9720499999999994</v>
      </c>
      <c r="Q98" s="22">
        <v>-1.3717699999999999E-2</v>
      </c>
      <c r="R98" s="22">
        <v>88</v>
      </c>
      <c r="S98" s="22">
        <v>0.34237699999999999</v>
      </c>
      <c r="T98">
        <f t="shared" si="14"/>
        <v>16.935432098765432</v>
      </c>
      <c r="U98">
        <f t="shared" si="15"/>
        <v>5.8117322333333332</v>
      </c>
      <c r="X98" s="9"/>
      <c r="Y98" s="22">
        <v>1.3769499999999999</v>
      </c>
      <c r="Z98" s="22">
        <v>15.4488</v>
      </c>
      <c r="AA98" s="22">
        <v>-1.3107300000000001E-2</v>
      </c>
      <c r="AB98" s="22">
        <v>88</v>
      </c>
      <c r="AC98" s="22">
        <v>1.3760399999999999</v>
      </c>
      <c r="AD98">
        <f t="shared" si="16"/>
        <v>16.181851851851849</v>
      </c>
      <c r="AE98">
        <f t="shared" si="17"/>
        <v>22.281600907407402</v>
      </c>
      <c r="AF98" s="9"/>
      <c r="AG98" s="22">
        <v>0.34316999999999998</v>
      </c>
      <c r="AH98" s="22">
        <v>19.308299999999999</v>
      </c>
      <c r="AI98" s="22">
        <v>-1.37573E-2</v>
      </c>
      <c r="AJ98" s="22">
        <v>88</v>
      </c>
      <c r="AK98" s="22">
        <v>0.34240700000000002</v>
      </c>
      <c r="AL98">
        <f t="shared" si="18"/>
        <v>16.984320987654321</v>
      </c>
      <c r="AM98">
        <f t="shared" si="19"/>
        <v>5.8285094333333332</v>
      </c>
      <c r="AP98" s="9"/>
      <c r="AQ98" s="22">
        <v>1.3769499999999999</v>
      </c>
      <c r="AR98" s="22">
        <v>24.8721</v>
      </c>
      <c r="AS98" s="22">
        <v>-1.31836E-2</v>
      </c>
      <c r="AT98" s="22">
        <v>88</v>
      </c>
      <c r="AU98" s="22">
        <v>1.3754299999999999</v>
      </c>
      <c r="AV98">
        <f t="shared" si="20"/>
        <v>16.276049382716046</v>
      </c>
      <c r="AW98">
        <f t="shared" si="21"/>
        <v>22.411306197530859</v>
      </c>
      <c r="AX98" s="9"/>
      <c r="AY98" s="22">
        <v>0.34316999999999998</v>
      </c>
      <c r="AZ98" s="22">
        <v>28.7315</v>
      </c>
      <c r="BA98" s="22">
        <v>-1.38336E-2</v>
      </c>
      <c r="BB98" s="22">
        <v>88</v>
      </c>
      <c r="BC98" s="22">
        <v>0.342499</v>
      </c>
      <c r="BD98">
        <f t="shared" si="22"/>
        <v>17.078518518518518</v>
      </c>
      <c r="BE98">
        <f t="shared" si="23"/>
        <v>5.8608351999999995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1.37192</v>
      </c>
      <c r="H99" s="22">
        <v>6.1226399999999996</v>
      </c>
      <c r="I99" s="22">
        <v>-1.29669E-2</v>
      </c>
      <c r="J99" s="22">
        <v>89</v>
      </c>
      <c r="K99" s="22">
        <v>1.3705400000000001</v>
      </c>
      <c r="L99">
        <f t="shared" si="12"/>
        <v>16.008518518518514</v>
      </c>
      <c r="M99">
        <f t="shared" si="13"/>
        <v>21.96240672592592</v>
      </c>
      <c r="N99" s="9"/>
      <c r="O99" s="22">
        <v>0.34820600000000002</v>
      </c>
      <c r="P99" s="22">
        <v>9.9821200000000001</v>
      </c>
      <c r="Q99" s="22">
        <v>-1.3717699999999999E-2</v>
      </c>
      <c r="R99" s="22">
        <v>89</v>
      </c>
      <c r="S99" s="22">
        <v>0.34750399999999998</v>
      </c>
      <c r="T99">
        <f t="shared" si="14"/>
        <v>16.935432098765432</v>
      </c>
      <c r="U99">
        <f t="shared" si="15"/>
        <v>5.8970190693827158</v>
      </c>
      <c r="X99" s="9"/>
      <c r="Y99" s="22">
        <v>1.37192</v>
      </c>
      <c r="Z99" s="22">
        <v>15.4589</v>
      </c>
      <c r="AA99" s="22">
        <v>-1.31165E-2</v>
      </c>
      <c r="AB99" s="22">
        <v>89</v>
      </c>
      <c r="AC99" s="22">
        <v>1.3711500000000001</v>
      </c>
      <c r="AD99">
        <f t="shared" si="16"/>
        <v>16.193209876543211</v>
      </c>
      <c r="AE99">
        <f t="shared" si="17"/>
        <v>22.215788493827162</v>
      </c>
      <c r="AF99" s="9"/>
      <c r="AG99" s="22">
        <v>0.34820600000000002</v>
      </c>
      <c r="AH99" s="22">
        <v>19.3184</v>
      </c>
      <c r="AI99" s="22">
        <v>-1.37634E-2</v>
      </c>
      <c r="AJ99" s="22">
        <v>89</v>
      </c>
      <c r="AK99" s="22">
        <v>0.34759499999999999</v>
      </c>
      <c r="AL99">
        <f t="shared" si="18"/>
        <v>16.991851851851852</v>
      </c>
      <c r="AM99">
        <f t="shared" si="19"/>
        <v>5.9166647659259262</v>
      </c>
      <c r="AP99" s="9"/>
      <c r="AQ99" s="22">
        <v>1.37192</v>
      </c>
      <c r="AR99" s="22">
        <v>24.882100000000001</v>
      </c>
      <c r="AS99" s="22">
        <v>-1.31989E-2</v>
      </c>
      <c r="AT99" s="22">
        <v>89</v>
      </c>
      <c r="AU99" s="22">
        <v>1.3711500000000001</v>
      </c>
      <c r="AV99">
        <f t="shared" si="20"/>
        <v>16.294938271604938</v>
      </c>
      <c r="AW99">
        <f t="shared" si="21"/>
        <v>22.355351713580248</v>
      </c>
      <c r="AX99" s="9"/>
      <c r="AY99" s="22">
        <v>0.34820600000000002</v>
      </c>
      <c r="AZ99" s="22">
        <v>28.741599999999998</v>
      </c>
      <c r="BA99" s="22">
        <v>-1.38306E-2</v>
      </c>
      <c r="BB99" s="22">
        <v>89</v>
      </c>
      <c r="BC99" s="22">
        <v>0.34750399999999998</v>
      </c>
      <c r="BD99">
        <f t="shared" si="22"/>
        <v>17.074814814814815</v>
      </c>
      <c r="BE99">
        <f t="shared" si="23"/>
        <v>5.9455529674074077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1.3668800000000001</v>
      </c>
      <c r="H100" s="22">
        <v>6.1327100000000003</v>
      </c>
      <c r="I100" s="22">
        <v>-1.29791E-2</v>
      </c>
      <c r="J100" s="22">
        <v>90</v>
      </c>
      <c r="K100" s="22">
        <v>1.3656600000000001</v>
      </c>
      <c r="L100">
        <f t="shared" si="12"/>
        <v>16.023580246913578</v>
      </c>
      <c r="M100">
        <f t="shared" si="13"/>
        <v>21.902311367901234</v>
      </c>
      <c r="N100" s="9"/>
      <c r="O100" s="22">
        <v>0.35324100000000003</v>
      </c>
      <c r="P100" s="22">
        <v>9.9921900000000008</v>
      </c>
      <c r="Q100" s="22">
        <v>-1.37146E-2</v>
      </c>
      <c r="R100" s="22">
        <v>90</v>
      </c>
      <c r="S100" s="22">
        <v>0.35250900000000002</v>
      </c>
      <c r="T100">
        <f t="shared" si="14"/>
        <v>16.931604938271605</v>
      </c>
      <c r="U100">
        <f t="shared" si="15"/>
        <v>5.9809370600000005</v>
      </c>
      <c r="X100" s="9"/>
      <c r="Y100" s="22">
        <v>1.3668800000000001</v>
      </c>
      <c r="Z100" s="22">
        <v>15.468999999999999</v>
      </c>
      <c r="AA100" s="22">
        <v>-1.3125599999999999E-2</v>
      </c>
      <c r="AB100" s="22">
        <v>90</v>
      </c>
      <c r="AC100" s="22">
        <v>1.3656600000000001</v>
      </c>
      <c r="AD100">
        <f t="shared" si="16"/>
        <v>16.204444444444441</v>
      </c>
      <c r="AE100">
        <f t="shared" si="17"/>
        <v>22.14953102222222</v>
      </c>
      <c r="AF100" s="9"/>
      <c r="AG100" s="22">
        <v>0.35324100000000003</v>
      </c>
      <c r="AH100" s="22">
        <v>19.328399999999998</v>
      </c>
      <c r="AI100" s="22">
        <v>-1.3772599999999999E-2</v>
      </c>
      <c r="AJ100" s="22">
        <v>90</v>
      </c>
      <c r="AK100" s="22">
        <v>0.35247800000000001</v>
      </c>
      <c r="AL100">
        <f t="shared" si="18"/>
        <v>17.00320987654321</v>
      </c>
      <c r="AM100">
        <f t="shared" si="19"/>
        <v>6.0062308600000005</v>
      </c>
      <c r="AP100" s="9"/>
      <c r="AQ100" s="22">
        <v>1.3668800000000001</v>
      </c>
      <c r="AR100" s="22">
        <v>24.892199999999999</v>
      </c>
      <c r="AS100" s="22">
        <v>-1.32111E-2</v>
      </c>
      <c r="AT100" s="22">
        <v>90</v>
      </c>
      <c r="AU100" s="22">
        <v>1.3662700000000001</v>
      </c>
      <c r="AV100">
        <f t="shared" si="20"/>
        <v>16.309999999999999</v>
      </c>
      <c r="AW100">
        <f t="shared" si="21"/>
        <v>22.293812800000001</v>
      </c>
      <c r="AX100" s="9"/>
      <c r="AY100" s="22">
        <v>0.35324100000000003</v>
      </c>
      <c r="AZ100" s="22">
        <v>28.7517</v>
      </c>
      <c r="BA100" s="22">
        <v>-1.38306E-2</v>
      </c>
      <c r="BB100" s="22">
        <v>90</v>
      </c>
      <c r="BC100" s="22">
        <v>0.35250900000000002</v>
      </c>
      <c r="BD100">
        <f t="shared" si="22"/>
        <v>17.074814814814815</v>
      </c>
      <c r="BE100">
        <f t="shared" si="23"/>
        <v>6.0315246600000005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1.36185</v>
      </c>
      <c r="H101" s="22">
        <v>6.1427899999999998</v>
      </c>
      <c r="I101" s="22">
        <v>-1.30005E-2</v>
      </c>
      <c r="J101" s="22">
        <v>91</v>
      </c>
      <c r="K101" s="22">
        <v>1.3610800000000001</v>
      </c>
      <c r="L101">
        <f t="shared" si="12"/>
        <v>16.049999999999997</v>
      </c>
      <c r="M101">
        <f t="shared" si="13"/>
        <v>21.857692499999995</v>
      </c>
      <c r="N101" s="9"/>
      <c r="O101" s="22">
        <v>0.35827599999999998</v>
      </c>
      <c r="P101" s="22">
        <v>10.0023</v>
      </c>
      <c r="Q101" s="22">
        <v>-1.3720700000000001E-2</v>
      </c>
      <c r="R101" s="22">
        <v>91</v>
      </c>
      <c r="S101" s="22">
        <v>0.357483</v>
      </c>
      <c r="T101">
        <f t="shared" si="14"/>
        <v>16.939135802469135</v>
      </c>
      <c r="U101">
        <f t="shared" si="15"/>
        <v>6.0688858187654313</v>
      </c>
      <c r="X101" s="9"/>
      <c r="Y101" s="22">
        <v>1.36185</v>
      </c>
      <c r="Z101" s="22">
        <v>15.478999999999999</v>
      </c>
      <c r="AA101" s="22">
        <v>-1.31317E-2</v>
      </c>
      <c r="AB101" s="22">
        <v>91</v>
      </c>
      <c r="AC101" s="22">
        <v>1.3607800000000001</v>
      </c>
      <c r="AD101">
        <f t="shared" si="16"/>
        <v>16.211975308641971</v>
      </c>
      <c r="AE101">
        <f t="shared" si="17"/>
        <v>22.078278574074069</v>
      </c>
      <c r="AF101" s="9"/>
      <c r="AG101" s="22">
        <v>0.35827599999999998</v>
      </c>
      <c r="AH101" s="22">
        <v>19.3385</v>
      </c>
      <c r="AI101" s="22">
        <v>-1.3766499999999999E-2</v>
      </c>
      <c r="AJ101" s="22">
        <v>91</v>
      </c>
      <c r="AK101" s="22">
        <v>0.35754399999999997</v>
      </c>
      <c r="AL101">
        <f t="shared" si="18"/>
        <v>16.995679012345676</v>
      </c>
      <c r="AM101">
        <f t="shared" si="19"/>
        <v>6.0891438938271589</v>
      </c>
      <c r="AP101" s="9"/>
      <c r="AQ101" s="22">
        <v>1.36185</v>
      </c>
      <c r="AR101" s="22">
        <v>24.9023</v>
      </c>
      <c r="AS101" s="22">
        <v>-1.32324E-2</v>
      </c>
      <c r="AT101" s="22">
        <v>91</v>
      </c>
      <c r="AU101" s="22">
        <v>1.3610800000000001</v>
      </c>
      <c r="AV101">
        <f t="shared" si="20"/>
        <v>16.336296296296297</v>
      </c>
      <c r="AW101">
        <f t="shared" si="21"/>
        <v>22.24758511111111</v>
      </c>
      <c r="AX101" s="9"/>
      <c r="AY101" s="22">
        <v>0.35827599999999998</v>
      </c>
      <c r="AZ101" s="22">
        <v>28.761700000000001</v>
      </c>
      <c r="BA101" s="22">
        <v>-1.38275E-2</v>
      </c>
      <c r="BB101" s="22">
        <v>91</v>
      </c>
      <c r="BC101" s="22">
        <v>0.35751300000000003</v>
      </c>
      <c r="BD101">
        <f t="shared" si="22"/>
        <v>17.070987654320987</v>
      </c>
      <c r="BE101">
        <f t="shared" si="23"/>
        <v>6.1161251728395056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1.3568100000000001</v>
      </c>
      <c r="H102" s="22">
        <v>6.1528600000000004</v>
      </c>
      <c r="I102" s="22">
        <v>-1.3021899999999999E-2</v>
      </c>
      <c r="J102" s="22">
        <v>92</v>
      </c>
      <c r="K102" s="22">
        <v>1.3555900000000001</v>
      </c>
      <c r="L102">
        <f t="shared" si="12"/>
        <v>16.076419753086416</v>
      </c>
      <c r="M102">
        <f t="shared" si="13"/>
        <v>21.81264708518518</v>
      </c>
      <c r="N102" s="9"/>
      <c r="O102" s="22">
        <v>0.36331200000000002</v>
      </c>
      <c r="P102" s="22">
        <v>10.0123</v>
      </c>
      <c r="Q102" s="22">
        <v>-1.37238E-2</v>
      </c>
      <c r="R102" s="22">
        <v>92</v>
      </c>
      <c r="S102" s="22">
        <v>0.36257899999999998</v>
      </c>
      <c r="T102">
        <f t="shared" si="14"/>
        <v>16.942962962962962</v>
      </c>
      <c r="U102">
        <f t="shared" si="15"/>
        <v>6.1555817600000005</v>
      </c>
      <c r="X102" s="9"/>
      <c r="Y102" s="22">
        <v>1.3568100000000001</v>
      </c>
      <c r="Z102" s="22">
        <v>15.489100000000001</v>
      </c>
      <c r="AA102" s="22">
        <v>-1.3125599999999999E-2</v>
      </c>
      <c r="AB102" s="22">
        <v>92</v>
      </c>
      <c r="AC102" s="22">
        <v>1.3562000000000001</v>
      </c>
      <c r="AD102">
        <f t="shared" si="16"/>
        <v>16.204444444444441</v>
      </c>
      <c r="AE102">
        <f t="shared" si="17"/>
        <v>21.986352266666664</v>
      </c>
      <c r="AF102" s="9"/>
      <c r="AG102" s="22">
        <v>0.36331200000000002</v>
      </c>
      <c r="AH102" s="22">
        <v>19.348600000000001</v>
      </c>
      <c r="AI102" s="22">
        <v>-1.3754300000000001E-2</v>
      </c>
      <c r="AJ102" s="22">
        <v>92</v>
      </c>
      <c r="AK102" s="22">
        <v>0.36257899999999998</v>
      </c>
      <c r="AL102">
        <f t="shared" si="18"/>
        <v>16.980617283950615</v>
      </c>
      <c r="AM102">
        <f t="shared" si="19"/>
        <v>6.169262026666666</v>
      </c>
      <c r="AP102" s="9"/>
      <c r="AQ102" s="22">
        <v>1.3568100000000001</v>
      </c>
      <c r="AR102" s="22">
        <v>24.912299999999998</v>
      </c>
      <c r="AS102" s="22">
        <v>-1.3241599999999999E-2</v>
      </c>
      <c r="AT102" s="22">
        <v>92</v>
      </c>
      <c r="AU102" s="22">
        <v>1.3555900000000001</v>
      </c>
      <c r="AV102">
        <f t="shared" si="20"/>
        <v>16.347654320987651</v>
      </c>
      <c r="AW102">
        <f t="shared" si="21"/>
        <v>22.180660859259255</v>
      </c>
      <c r="AX102" s="9"/>
      <c r="AY102" s="22">
        <v>0.36331200000000002</v>
      </c>
      <c r="AZ102" s="22">
        <v>28.771799999999999</v>
      </c>
      <c r="BA102" s="22">
        <v>-1.38184E-2</v>
      </c>
      <c r="BB102" s="22">
        <v>92</v>
      </c>
      <c r="BC102" s="22">
        <v>0.36257899999999998</v>
      </c>
      <c r="BD102">
        <f t="shared" si="22"/>
        <v>17.05975308641975</v>
      </c>
      <c r="BE102">
        <f t="shared" si="23"/>
        <v>6.1980130133333331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1.35178</v>
      </c>
      <c r="H103" s="22">
        <v>6.1629300000000002</v>
      </c>
      <c r="I103" s="22">
        <v>-1.3024900000000001E-2</v>
      </c>
      <c r="J103" s="22">
        <v>93</v>
      </c>
      <c r="K103" s="22">
        <v>1.35101</v>
      </c>
      <c r="L103">
        <f t="shared" si="12"/>
        <v>16.080123456790126</v>
      </c>
      <c r="M103">
        <f t="shared" si="13"/>
        <v>21.736789286419757</v>
      </c>
      <c r="N103" s="9"/>
      <c r="O103" s="22">
        <v>0.36834699999999998</v>
      </c>
      <c r="P103" s="22">
        <v>10.022399999999999</v>
      </c>
      <c r="Q103" s="22">
        <v>-1.3726800000000001E-2</v>
      </c>
      <c r="R103" s="22">
        <v>93</v>
      </c>
      <c r="S103" s="22">
        <v>0.36755399999999999</v>
      </c>
      <c r="T103">
        <f t="shared" si="14"/>
        <v>16.946666666666665</v>
      </c>
      <c r="U103">
        <f t="shared" si="15"/>
        <v>6.2422538266666656</v>
      </c>
      <c r="X103" s="9"/>
      <c r="Y103" s="22">
        <v>1.35178</v>
      </c>
      <c r="Z103" s="22">
        <v>15.4992</v>
      </c>
      <c r="AA103" s="22">
        <v>-1.31439E-2</v>
      </c>
      <c r="AB103" s="22">
        <v>93</v>
      </c>
      <c r="AC103" s="22">
        <v>1.3507100000000001</v>
      </c>
      <c r="AD103">
        <f t="shared" si="16"/>
        <v>16.227037037037036</v>
      </c>
      <c r="AE103">
        <f t="shared" si="17"/>
        <v>21.935384125925925</v>
      </c>
      <c r="AF103" s="9"/>
      <c r="AG103" s="22">
        <v>0.36834699999999998</v>
      </c>
      <c r="AH103" s="22">
        <v>19.358699999999999</v>
      </c>
      <c r="AI103" s="22">
        <v>-1.3738999999999999E-2</v>
      </c>
      <c r="AJ103" s="22">
        <v>93</v>
      </c>
      <c r="AK103" s="22">
        <v>0.36752299999999999</v>
      </c>
      <c r="AL103">
        <f t="shared" si="18"/>
        <v>16.961728395061726</v>
      </c>
      <c r="AM103">
        <f t="shared" si="19"/>
        <v>6.2478017691358012</v>
      </c>
      <c r="AP103" s="9"/>
      <c r="AQ103" s="22">
        <v>1.35178</v>
      </c>
      <c r="AR103" s="22">
        <v>24.9224</v>
      </c>
      <c r="AS103" s="22">
        <v>-1.3250700000000001E-2</v>
      </c>
      <c r="AT103" s="22">
        <v>93</v>
      </c>
      <c r="AU103" s="22">
        <v>1.35101</v>
      </c>
      <c r="AV103">
        <f t="shared" si="20"/>
        <v>16.358888888888888</v>
      </c>
      <c r="AW103">
        <f t="shared" si="21"/>
        <v>22.113618822222222</v>
      </c>
      <c r="AX103" s="9"/>
      <c r="AY103" s="22">
        <v>0.36834699999999998</v>
      </c>
      <c r="AZ103" s="22">
        <v>28.7819</v>
      </c>
      <c r="BA103" s="22">
        <v>-1.3809200000000001E-2</v>
      </c>
      <c r="BB103" s="22">
        <v>93</v>
      </c>
      <c r="BC103" s="22">
        <v>0.36749300000000001</v>
      </c>
      <c r="BD103">
        <f t="shared" si="22"/>
        <v>17.048395061728392</v>
      </c>
      <c r="BE103">
        <f t="shared" si="23"/>
        <v>6.2797251758024677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1.34674</v>
      </c>
      <c r="H104" s="22">
        <v>6.173</v>
      </c>
      <c r="I104" s="22">
        <v>-1.30341E-2</v>
      </c>
      <c r="J104" s="22">
        <v>94</v>
      </c>
      <c r="K104" s="22">
        <v>1.3464400000000001</v>
      </c>
      <c r="L104">
        <f t="shared" si="12"/>
        <v>16.09148148148148</v>
      </c>
      <c r="M104">
        <f t="shared" si="13"/>
        <v>21.671041770370369</v>
      </c>
      <c r="N104" s="9"/>
      <c r="O104" s="22">
        <v>0.37338300000000002</v>
      </c>
      <c r="P104" s="22">
        <v>10.032500000000001</v>
      </c>
      <c r="Q104" s="22">
        <v>-1.3717699999999999E-2</v>
      </c>
      <c r="R104" s="22">
        <v>94</v>
      </c>
      <c r="S104" s="22">
        <v>0.37264999999999998</v>
      </c>
      <c r="T104">
        <f t="shared" si="14"/>
        <v>16.935432098765432</v>
      </c>
      <c r="U104">
        <f t="shared" si="15"/>
        <v>6.3234024433333333</v>
      </c>
      <c r="X104" s="9"/>
      <c r="Y104" s="22">
        <v>1.34674</v>
      </c>
      <c r="Z104" s="22">
        <v>15.5093</v>
      </c>
      <c r="AA104" s="22">
        <v>-1.31561E-2</v>
      </c>
      <c r="AB104" s="22">
        <v>94</v>
      </c>
      <c r="AC104" s="22">
        <v>1.34552</v>
      </c>
      <c r="AD104">
        <f t="shared" si="16"/>
        <v>16.2420987654321</v>
      </c>
      <c r="AE104">
        <f t="shared" si="17"/>
        <v>21.873884091358029</v>
      </c>
      <c r="AF104" s="9"/>
      <c r="AG104" s="22">
        <v>0.37338300000000002</v>
      </c>
      <c r="AH104" s="22">
        <v>19.3687</v>
      </c>
      <c r="AI104" s="22">
        <v>-1.37451E-2</v>
      </c>
      <c r="AJ104" s="22">
        <v>94</v>
      </c>
      <c r="AK104" s="22">
        <v>0.372589</v>
      </c>
      <c r="AL104">
        <f t="shared" si="18"/>
        <v>16.969259259259257</v>
      </c>
      <c r="AM104">
        <f t="shared" si="19"/>
        <v>6.3360329299999991</v>
      </c>
      <c r="AP104" s="9"/>
      <c r="AQ104" s="22">
        <v>1.34674</v>
      </c>
      <c r="AR104" s="22">
        <v>24.932500000000001</v>
      </c>
      <c r="AS104" s="22">
        <v>-1.3247699999999999E-2</v>
      </c>
      <c r="AT104" s="22">
        <v>94</v>
      </c>
      <c r="AU104" s="22">
        <v>1.34552</v>
      </c>
      <c r="AV104">
        <f t="shared" si="20"/>
        <v>16.355185185185185</v>
      </c>
      <c r="AW104">
        <f t="shared" si="21"/>
        <v>22.026182096296296</v>
      </c>
      <c r="AX104" s="9"/>
      <c r="AY104" s="22">
        <v>0.37338300000000002</v>
      </c>
      <c r="AZ104" s="22">
        <v>28.792000000000002</v>
      </c>
      <c r="BA104" s="22">
        <v>-1.3806199999999999E-2</v>
      </c>
      <c r="BB104" s="22">
        <v>94</v>
      </c>
      <c r="BC104" s="22">
        <v>0.37252800000000003</v>
      </c>
      <c r="BD104">
        <f t="shared" si="22"/>
        <v>17.044691358024689</v>
      </c>
      <c r="BE104">
        <f t="shared" si="23"/>
        <v>6.3641979933333328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1.34171</v>
      </c>
      <c r="H105" s="22">
        <v>6.1830699999999998</v>
      </c>
      <c r="I105" s="22">
        <v>-1.30524E-2</v>
      </c>
      <c r="J105" s="22">
        <v>95</v>
      </c>
      <c r="K105" s="22">
        <v>1.34033</v>
      </c>
      <c r="L105">
        <f t="shared" si="12"/>
        <v>16.114074074074072</v>
      </c>
      <c r="M105">
        <f t="shared" si="13"/>
        <v>21.620414325925921</v>
      </c>
      <c r="N105" s="9"/>
      <c r="O105" s="22">
        <v>0.37841799999999998</v>
      </c>
      <c r="P105" s="22">
        <v>10.0425</v>
      </c>
      <c r="Q105" s="22">
        <v>-1.37115E-2</v>
      </c>
      <c r="R105" s="22">
        <v>95</v>
      </c>
      <c r="S105" s="22">
        <v>0.37762499999999999</v>
      </c>
      <c r="T105">
        <f t="shared" si="14"/>
        <v>16.927777777777777</v>
      </c>
      <c r="U105">
        <f t="shared" si="15"/>
        <v>6.4057758111111101</v>
      </c>
      <c r="X105" s="9"/>
      <c r="Y105" s="22">
        <v>1.34171</v>
      </c>
      <c r="Z105" s="22">
        <v>15.519299999999999</v>
      </c>
      <c r="AA105" s="22">
        <v>-1.3162200000000001E-2</v>
      </c>
      <c r="AB105" s="22">
        <v>95</v>
      </c>
      <c r="AC105" s="22">
        <v>1.34094</v>
      </c>
      <c r="AD105">
        <f t="shared" si="16"/>
        <v>16.249629629629627</v>
      </c>
      <c r="AE105">
        <f t="shared" si="17"/>
        <v>21.802290570370367</v>
      </c>
      <c r="AF105" s="9"/>
      <c r="AG105" s="22">
        <v>0.37841799999999998</v>
      </c>
      <c r="AH105" s="22">
        <v>19.378799999999998</v>
      </c>
      <c r="AI105" s="22">
        <v>-1.3754300000000001E-2</v>
      </c>
      <c r="AJ105" s="22">
        <v>95</v>
      </c>
      <c r="AK105" s="22">
        <v>0.377716</v>
      </c>
      <c r="AL105">
        <f t="shared" si="18"/>
        <v>16.980617283950615</v>
      </c>
      <c r="AM105">
        <f t="shared" si="19"/>
        <v>6.4257712313580235</v>
      </c>
      <c r="AP105" s="9"/>
      <c r="AQ105" s="22">
        <v>1.34171</v>
      </c>
      <c r="AR105" s="22">
        <v>24.942599999999999</v>
      </c>
      <c r="AS105" s="22">
        <v>-1.32446E-2</v>
      </c>
      <c r="AT105" s="22">
        <v>95</v>
      </c>
      <c r="AU105" s="22">
        <v>1.34094</v>
      </c>
      <c r="AV105">
        <f t="shared" si="20"/>
        <v>16.351358024691358</v>
      </c>
      <c r="AW105">
        <f t="shared" si="21"/>
        <v>21.938780575308641</v>
      </c>
      <c r="AX105" s="9"/>
      <c r="AY105" s="22">
        <v>0.37841799999999998</v>
      </c>
      <c r="AZ105" s="22">
        <v>28.802</v>
      </c>
      <c r="BA105" s="22">
        <v>-1.38E-2</v>
      </c>
      <c r="BB105" s="22">
        <v>95</v>
      </c>
      <c r="BC105" s="22">
        <v>0.377716</v>
      </c>
      <c r="BD105">
        <f t="shared" si="22"/>
        <v>17.037037037037035</v>
      </c>
      <c r="BE105">
        <f t="shared" si="23"/>
        <v>6.4471214814814806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1.33667</v>
      </c>
      <c r="H106" s="22">
        <v>6.1931399999999996</v>
      </c>
      <c r="I106" s="22">
        <v>-1.3064600000000001E-2</v>
      </c>
      <c r="J106" s="22">
        <v>96</v>
      </c>
      <c r="K106" s="22">
        <v>1.33575</v>
      </c>
      <c r="L106">
        <f t="shared" si="12"/>
        <v>16.129135802469136</v>
      </c>
      <c r="M106">
        <f t="shared" si="13"/>
        <v>21.559331953086421</v>
      </c>
      <c r="N106" s="9"/>
      <c r="O106" s="22">
        <v>0.38345299999999999</v>
      </c>
      <c r="P106" s="22">
        <v>10.0526</v>
      </c>
      <c r="Q106" s="22">
        <v>-1.37054E-2</v>
      </c>
      <c r="R106" s="22">
        <v>96</v>
      </c>
      <c r="S106" s="22">
        <v>0.38272099999999998</v>
      </c>
      <c r="T106">
        <f t="shared" si="14"/>
        <v>16.920246913580247</v>
      </c>
      <c r="U106">
        <f t="shared" si="15"/>
        <v>6.4881194397530857</v>
      </c>
      <c r="X106" s="9"/>
      <c r="Y106" s="22">
        <v>1.33667</v>
      </c>
      <c r="Z106" s="22">
        <v>15.529400000000001</v>
      </c>
      <c r="AA106" s="22">
        <v>-1.31805E-2</v>
      </c>
      <c r="AB106" s="22">
        <v>96</v>
      </c>
      <c r="AC106" s="22">
        <v>1.33575</v>
      </c>
      <c r="AD106">
        <f t="shared" si="16"/>
        <v>16.272222222222219</v>
      </c>
      <c r="AE106">
        <f t="shared" si="17"/>
        <v>21.750591277777772</v>
      </c>
      <c r="AF106" s="9"/>
      <c r="AG106" s="22">
        <v>0.38345299999999999</v>
      </c>
      <c r="AH106" s="22">
        <v>19.3889</v>
      </c>
      <c r="AI106" s="22">
        <v>-1.37573E-2</v>
      </c>
      <c r="AJ106" s="22">
        <v>96</v>
      </c>
      <c r="AK106" s="22">
        <v>0.38275100000000001</v>
      </c>
      <c r="AL106">
        <f t="shared" si="18"/>
        <v>16.984320987654321</v>
      </c>
      <c r="AM106">
        <f t="shared" si="19"/>
        <v>6.512688835679012</v>
      </c>
      <c r="AP106" s="9"/>
      <c r="AQ106" s="22">
        <v>1.33667</v>
      </c>
      <c r="AR106" s="22">
        <v>24.9526</v>
      </c>
      <c r="AS106" s="22">
        <v>-1.32538E-2</v>
      </c>
      <c r="AT106" s="22">
        <v>96</v>
      </c>
      <c r="AU106" s="22">
        <v>1.33514</v>
      </c>
      <c r="AV106">
        <f t="shared" si="20"/>
        <v>16.362716049382716</v>
      </c>
      <c r="AW106">
        <f t="shared" si="21"/>
        <v>21.871551661728393</v>
      </c>
      <c r="AX106" s="9"/>
      <c r="AY106" s="22">
        <v>0.38345299999999999</v>
      </c>
      <c r="AZ106" s="22">
        <v>28.812100000000001</v>
      </c>
      <c r="BA106" s="22">
        <v>-1.38E-2</v>
      </c>
      <c r="BB106" s="22">
        <v>96</v>
      </c>
      <c r="BC106" s="22">
        <v>0.38272099999999998</v>
      </c>
      <c r="BD106">
        <f t="shared" si="22"/>
        <v>17.037037037037035</v>
      </c>
      <c r="BE106">
        <f t="shared" si="23"/>
        <v>6.5329029629629618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1.3316300000000001</v>
      </c>
      <c r="H107" s="22">
        <v>6.2032100000000003</v>
      </c>
      <c r="I107" s="22">
        <v>-1.3085899999999999E-2</v>
      </c>
      <c r="J107" s="22">
        <v>97</v>
      </c>
      <c r="K107" s="22">
        <v>1.33026</v>
      </c>
      <c r="L107">
        <f t="shared" si="12"/>
        <v>16.155432098765431</v>
      </c>
      <c r="M107">
        <f t="shared" si="13"/>
        <v>21.513058045679013</v>
      </c>
      <c r="N107" s="9"/>
      <c r="O107" s="22">
        <v>0.38848899999999997</v>
      </c>
      <c r="P107" s="22">
        <v>10.0627</v>
      </c>
      <c r="Q107" s="22">
        <v>-1.37054E-2</v>
      </c>
      <c r="R107" s="22">
        <v>97</v>
      </c>
      <c r="S107" s="22">
        <v>0.38784800000000003</v>
      </c>
      <c r="T107">
        <f t="shared" si="14"/>
        <v>16.920246913580247</v>
      </c>
      <c r="U107">
        <f t="shared" si="15"/>
        <v>6.5733298032098757</v>
      </c>
      <c r="X107" s="9"/>
      <c r="Y107" s="22">
        <v>1.3316300000000001</v>
      </c>
      <c r="Z107" s="22">
        <v>15.5395</v>
      </c>
      <c r="AA107" s="22">
        <v>-1.31927E-2</v>
      </c>
      <c r="AB107" s="22">
        <v>97</v>
      </c>
      <c r="AC107" s="22">
        <v>1.33026</v>
      </c>
      <c r="AD107">
        <f t="shared" si="16"/>
        <v>16.287283950617283</v>
      </c>
      <c r="AE107">
        <f t="shared" si="17"/>
        <v>21.688635927160494</v>
      </c>
      <c r="AF107" s="9"/>
      <c r="AG107" s="22">
        <v>0.38848899999999997</v>
      </c>
      <c r="AH107" s="22">
        <v>19.398900000000001</v>
      </c>
      <c r="AI107" s="22">
        <v>-1.37512E-2</v>
      </c>
      <c r="AJ107" s="22">
        <v>97</v>
      </c>
      <c r="AK107" s="22">
        <v>0.38775599999999999</v>
      </c>
      <c r="AL107">
        <f t="shared" si="18"/>
        <v>16.976790123456787</v>
      </c>
      <c r="AM107">
        <f t="shared" si="19"/>
        <v>6.5952962182716037</v>
      </c>
      <c r="AP107" s="9"/>
      <c r="AQ107" s="22">
        <v>1.3316300000000001</v>
      </c>
      <c r="AR107" s="22">
        <v>24.962700000000002</v>
      </c>
      <c r="AS107" s="22">
        <v>-1.3262899999999999E-2</v>
      </c>
      <c r="AT107" s="22">
        <v>97</v>
      </c>
      <c r="AU107" s="22">
        <v>1.33057</v>
      </c>
      <c r="AV107">
        <f t="shared" si="20"/>
        <v>16.373950617283949</v>
      </c>
      <c r="AW107">
        <f t="shared" si="21"/>
        <v>21.804043860493827</v>
      </c>
      <c r="AX107" s="9"/>
      <c r="AY107" s="22">
        <v>0.38848899999999997</v>
      </c>
      <c r="AZ107" s="22">
        <v>28.822199999999999</v>
      </c>
      <c r="BA107" s="22">
        <v>-1.3806199999999999E-2</v>
      </c>
      <c r="BB107" s="22">
        <v>97</v>
      </c>
      <c r="BC107" s="22">
        <v>0.38775599999999999</v>
      </c>
      <c r="BD107">
        <f t="shared" si="22"/>
        <v>17.044691358024689</v>
      </c>
      <c r="BE107">
        <f t="shared" si="23"/>
        <v>6.6216751009876527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1.3266</v>
      </c>
      <c r="H108" s="22">
        <v>6.2132800000000001</v>
      </c>
      <c r="I108" s="22">
        <v>-1.30981E-2</v>
      </c>
      <c r="J108" s="22">
        <v>98</v>
      </c>
      <c r="K108" s="22">
        <v>1.32568</v>
      </c>
      <c r="L108">
        <f t="shared" si="12"/>
        <v>16.170493827160495</v>
      </c>
      <c r="M108">
        <f t="shared" si="13"/>
        <v>21.451777111111113</v>
      </c>
      <c r="N108" s="9"/>
      <c r="O108" s="22">
        <v>0.39352399999999998</v>
      </c>
      <c r="P108" s="22">
        <v>10.072800000000001</v>
      </c>
      <c r="Q108" s="22">
        <v>-1.37146E-2</v>
      </c>
      <c r="R108" s="22">
        <v>98</v>
      </c>
      <c r="S108" s="22">
        <v>0.392822</v>
      </c>
      <c r="T108">
        <f t="shared" si="14"/>
        <v>16.931604938271605</v>
      </c>
      <c r="U108">
        <f t="shared" si="15"/>
        <v>6.6629929017283942</v>
      </c>
      <c r="X108" s="9"/>
      <c r="Y108" s="22">
        <v>1.3266</v>
      </c>
      <c r="Z108" s="22">
        <v>15.5495</v>
      </c>
      <c r="AA108" s="22">
        <v>-1.3205E-2</v>
      </c>
      <c r="AB108" s="22">
        <v>98</v>
      </c>
      <c r="AC108" s="22">
        <v>1.32538</v>
      </c>
      <c r="AD108">
        <f t="shared" si="16"/>
        <v>16.302469135802468</v>
      </c>
      <c r="AE108">
        <f t="shared" si="17"/>
        <v>21.626855555555554</v>
      </c>
      <c r="AF108" s="9"/>
      <c r="AG108" s="22">
        <v>0.39352399999999998</v>
      </c>
      <c r="AH108" s="22">
        <v>19.408999999999999</v>
      </c>
      <c r="AI108" s="22">
        <v>-1.3738999999999999E-2</v>
      </c>
      <c r="AJ108" s="22">
        <v>98</v>
      </c>
      <c r="AK108" s="22">
        <v>0.39279199999999997</v>
      </c>
      <c r="AL108">
        <f t="shared" si="18"/>
        <v>16.961728395061726</v>
      </c>
      <c r="AM108">
        <f t="shared" si="19"/>
        <v>6.6748472049382706</v>
      </c>
      <c r="AP108" s="9"/>
      <c r="AQ108" s="22">
        <v>1.3266</v>
      </c>
      <c r="AR108" s="22">
        <v>24.972799999999999</v>
      </c>
      <c r="AS108" s="22">
        <v>-1.32782E-2</v>
      </c>
      <c r="AT108" s="22">
        <v>98</v>
      </c>
      <c r="AU108" s="22">
        <v>1.32568</v>
      </c>
      <c r="AV108">
        <f t="shared" si="20"/>
        <v>16.392839506172837</v>
      </c>
      <c r="AW108">
        <f t="shared" si="21"/>
        <v>21.746740888888887</v>
      </c>
      <c r="AX108" s="9"/>
      <c r="AY108" s="22">
        <v>0.39352399999999998</v>
      </c>
      <c r="AZ108" s="22">
        <v>28.8322</v>
      </c>
      <c r="BA108" s="22">
        <v>-1.38E-2</v>
      </c>
      <c r="BB108" s="22">
        <v>98</v>
      </c>
      <c r="BC108" s="22">
        <v>0.39276100000000003</v>
      </c>
      <c r="BD108">
        <f t="shared" si="22"/>
        <v>17.037037037037035</v>
      </c>
      <c r="BE108">
        <f t="shared" si="23"/>
        <v>6.7044829629629614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1.3215600000000001</v>
      </c>
      <c r="H109" s="22">
        <v>6.2233499999999999</v>
      </c>
      <c r="I109" s="22">
        <v>-1.3113400000000001E-2</v>
      </c>
      <c r="J109" s="22">
        <v>99</v>
      </c>
      <c r="K109" s="22">
        <v>1.3205</v>
      </c>
      <c r="L109">
        <f t="shared" si="12"/>
        <v>16.18938271604938</v>
      </c>
      <c r="M109">
        <f t="shared" si="13"/>
        <v>21.395240622222218</v>
      </c>
      <c r="N109" s="9"/>
      <c r="O109" s="22">
        <v>0.39856000000000003</v>
      </c>
      <c r="P109" s="22">
        <v>10.082800000000001</v>
      </c>
      <c r="Q109" s="22">
        <v>-1.37299E-2</v>
      </c>
      <c r="R109" s="22">
        <v>99</v>
      </c>
      <c r="S109" s="22">
        <v>0.39788800000000002</v>
      </c>
      <c r="T109">
        <f t="shared" si="14"/>
        <v>16.950493827160493</v>
      </c>
      <c r="U109">
        <f t="shared" si="15"/>
        <v>6.7557888197530866</v>
      </c>
      <c r="X109" s="9"/>
      <c r="Y109" s="22">
        <v>1.3215600000000001</v>
      </c>
      <c r="Z109" s="22">
        <v>15.5596</v>
      </c>
      <c r="AA109" s="22">
        <v>-1.32172E-2</v>
      </c>
      <c r="AB109" s="22">
        <v>99</v>
      </c>
      <c r="AC109" s="22">
        <v>1.32019</v>
      </c>
      <c r="AD109">
        <f t="shared" si="16"/>
        <v>16.317530864197529</v>
      </c>
      <c r="AE109">
        <f t="shared" si="17"/>
        <v>21.564596088888887</v>
      </c>
      <c r="AF109" s="9"/>
      <c r="AG109" s="22">
        <v>0.39856000000000003</v>
      </c>
      <c r="AH109" s="22">
        <v>19.4191</v>
      </c>
      <c r="AI109" s="22">
        <v>-1.37451E-2</v>
      </c>
      <c r="AJ109" s="22">
        <v>99</v>
      </c>
      <c r="AK109" s="22">
        <v>0.39788800000000002</v>
      </c>
      <c r="AL109">
        <f t="shared" si="18"/>
        <v>16.969259259259257</v>
      </c>
      <c r="AM109">
        <f t="shared" si="19"/>
        <v>6.7632679703703698</v>
      </c>
      <c r="AP109" s="9"/>
      <c r="AQ109" s="22">
        <v>1.3215600000000001</v>
      </c>
      <c r="AR109" s="22">
        <v>24.982800000000001</v>
      </c>
      <c r="AS109" s="22">
        <v>-1.32874E-2</v>
      </c>
      <c r="AT109" s="22">
        <v>99</v>
      </c>
      <c r="AU109" s="22">
        <v>1.3205</v>
      </c>
      <c r="AV109">
        <f t="shared" si="20"/>
        <v>16.404197530864195</v>
      </c>
      <c r="AW109">
        <f t="shared" si="21"/>
        <v>21.679131288888886</v>
      </c>
      <c r="AX109" s="9"/>
      <c r="AY109" s="22">
        <v>0.39856000000000003</v>
      </c>
      <c r="AZ109" s="22">
        <v>28.842300000000002</v>
      </c>
      <c r="BA109" s="22">
        <v>-1.38031E-2</v>
      </c>
      <c r="BB109" s="22">
        <v>99</v>
      </c>
      <c r="BC109" s="22">
        <v>0.39782699999999999</v>
      </c>
      <c r="BD109">
        <f t="shared" si="22"/>
        <v>17.040864197530862</v>
      </c>
      <c r="BE109">
        <f t="shared" si="23"/>
        <v>6.7918068345679004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1.31653</v>
      </c>
      <c r="H110" s="22">
        <v>6.2334199999999997</v>
      </c>
      <c r="I110" s="22">
        <v>-1.31317E-2</v>
      </c>
      <c r="J110" s="22">
        <v>100</v>
      </c>
      <c r="K110" s="22">
        <v>1.3156099999999999</v>
      </c>
      <c r="L110">
        <f t="shared" si="12"/>
        <v>16.211975308641971</v>
      </c>
      <c r="M110">
        <f t="shared" si="13"/>
        <v>21.343551853086414</v>
      </c>
      <c r="N110" s="9"/>
      <c r="O110" s="22">
        <v>0.40359499999999998</v>
      </c>
      <c r="P110" s="22">
        <v>10.0929</v>
      </c>
      <c r="Q110" s="22">
        <v>-1.3736E-2</v>
      </c>
      <c r="R110" s="22">
        <v>100</v>
      </c>
      <c r="S110" s="22">
        <v>0.40283200000000002</v>
      </c>
      <c r="T110">
        <f t="shared" si="14"/>
        <v>16.958024691358023</v>
      </c>
      <c r="U110">
        <f t="shared" si="15"/>
        <v>6.8441739753086415</v>
      </c>
      <c r="X110" s="9"/>
      <c r="Y110" s="22">
        <v>1.31653</v>
      </c>
      <c r="Z110" s="22">
        <v>15.569699999999999</v>
      </c>
      <c r="AA110" s="22">
        <v>-1.32263E-2</v>
      </c>
      <c r="AB110" s="22">
        <v>100</v>
      </c>
      <c r="AC110" s="22">
        <v>1.31592</v>
      </c>
      <c r="AD110">
        <f t="shared" si="16"/>
        <v>16.328765432098766</v>
      </c>
      <c r="AE110">
        <f t="shared" si="17"/>
        <v>21.497309554320989</v>
      </c>
      <c r="AF110" s="9"/>
      <c r="AG110" s="22">
        <v>0.40359499999999998</v>
      </c>
      <c r="AH110" s="22">
        <v>19.429200000000002</v>
      </c>
      <c r="AI110" s="22">
        <v>-1.37512E-2</v>
      </c>
      <c r="AJ110" s="22">
        <v>100</v>
      </c>
      <c r="AK110" s="22">
        <v>0.40283200000000002</v>
      </c>
      <c r="AL110">
        <f t="shared" si="18"/>
        <v>16.976790123456787</v>
      </c>
      <c r="AM110">
        <f t="shared" si="19"/>
        <v>6.8517476098765417</v>
      </c>
      <c r="AP110" s="9"/>
      <c r="AQ110" s="22">
        <v>1.31653</v>
      </c>
      <c r="AR110" s="22">
        <v>24.992899999999999</v>
      </c>
      <c r="AS110" s="22">
        <v>-1.33057E-2</v>
      </c>
      <c r="AT110" s="22">
        <v>100</v>
      </c>
      <c r="AU110" s="22">
        <v>1.3156099999999999</v>
      </c>
      <c r="AV110">
        <f t="shared" si="20"/>
        <v>16.42679012345679</v>
      </c>
      <c r="AW110">
        <f t="shared" si="21"/>
        <v>21.626362001234568</v>
      </c>
      <c r="AX110" s="9"/>
      <c r="AY110" s="22">
        <v>0.40359499999999998</v>
      </c>
      <c r="AZ110" s="22">
        <v>28.852399999999999</v>
      </c>
      <c r="BA110" s="22">
        <v>-1.3797E-2</v>
      </c>
      <c r="BB110" s="22">
        <v>100</v>
      </c>
      <c r="BC110" s="22">
        <v>0.40295399999999998</v>
      </c>
      <c r="BD110">
        <f t="shared" si="22"/>
        <v>17.033333333333331</v>
      </c>
      <c r="BE110">
        <f t="shared" si="23"/>
        <v>6.8745681666666654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1.31149</v>
      </c>
      <c r="H111" s="22">
        <v>6.2435</v>
      </c>
      <c r="I111" s="22">
        <v>-1.3147000000000001E-2</v>
      </c>
      <c r="J111" s="22">
        <v>101</v>
      </c>
      <c r="K111" s="22">
        <v>1.31073</v>
      </c>
      <c r="L111">
        <f t="shared" si="12"/>
        <v>16.230864197530863</v>
      </c>
      <c r="M111">
        <f t="shared" si="13"/>
        <v>21.286616086419752</v>
      </c>
      <c r="N111" s="9"/>
      <c r="O111" s="22">
        <v>0.40862999999999999</v>
      </c>
      <c r="P111" s="22">
        <v>10.103</v>
      </c>
      <c r="Q111" s="22">
        <v>-1.3732899999999999E-2</v>
      </c>
      <c r="R111" s="22">
        <v>101</v>
      </c>
      <c r="S111" s="22">
        <v>0.40786699999999998</v>
      </c>
      <c r="T111">
        <f t="shared" si="14"/>
        <v>16.954197530864196</v>
      </c>
      <c r="U111">
        <f t="shared" si="15"/>
        <v>6.9279937370370366</v>
      </c>
      <c r="X111" s="9"/>
      <c r="Y111" s="22">
        <v>1.31149</v>
      </c>
      <c r="Z111" s="22">
        <v>15.579700000000001</v>
      </c>
      <c r="AA111" s="22">
        <v>-1.3235500000000001E-2</v>
      </c>
      <c r="AB111" s="22">
        <v>101</v>
      </c>
      <c r="AC111" s="22">
        <v>1.31073</v>
      </c>
      <c r="AD111">
        <f t="shared" si="16"/>
        <v>16.340123456790124</v>
      </c>
      <c r="AE111">
        <f t="shared" si="17"/>
        <v>21.42990851234568</v>
      </c>
      <c r="AF111" s="9"/>
      <c r="AG111" s="22">
        <v>0.40862999999999999</v>
      </c>
      <c r="AH111" s="22">
        <v>19.4392</v>
      </c>
      <c r="AI111" s="22">
        <v>-1.37573E-2</v>
      </c>
      <c r="AJ111" s="22">
        <v>101</v>
      </c>
      <c r="AK111" s="22">
        <v>0.40792800000000001</v>
      </c>
      <c r="AL111">
        <f t="shared" si="18"/>
        <v>16.984320987654321</v>
      </c>
      <c r="AM111">
        <f t="shared" si="19"/>
        <v>6.9403030851851852</v>
      </c>
      <c r="AP111" s="9"/>
      <c r="AQ111" s="22">
        <v>1.31149</v>
      </c>
      <c r="AR111" s="22">
        <v>25.003</v>
      </c>
      <c r="AS111" s="22">
        <v>-1.33209E-2</v>
      </c>
      <c r="AT111" s="22">
        <v>101</v>
      </c>
      <c r="AU111" s="22">
        <v>1.3104199999999999</v>
      </c>
      <c r="AV111">
        <f t="shared" si="20"/>
        <v>16.445555555555554</v>
      </c>
      <c r="AW111">
        <f t="shared" si="21"/>
        <v>21.568181655555556</v>
      </c>
      <c r="AX111" s="9"/>
      <c r="AY111" s="22">
        <v>0.40862999999999999</v>
      </c>
      <c r="AZ111" s="22">
        <v>28.862500000000001</v>
      </c>
      <c r="BA111" s="22">
        <v>-1.3797E-2</v>
      </c>
      <c r="BB111" s="22">
        <v>101</v>
      </c>
      <c r="BC111" s="22">
        <v>0.40789799999999998</v>
      </c>
      <c r="BD111">
        <f t="shared" si="22"/>
        <v>17.033333333333331</v>
      </c>
      <c r="BE111">
        <f t="shared" si="23"/>
        <v>6.9603309999999992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1.30646</v>
      </c>
      <c r="H112" s="22">
        <v>6.2535699999999999</v>
      </c>
      <c r="I112" s="22">
        <v>-1.3147000000000001E-2</v>
      </c>
      <c r="J112" s="22">
        <v>102</v>
      </c>
      <c r="K112" s="22">
        <v>1.3055399999999999</v>
      </c>
      <c r="L112">
        <f t="shared" si="12"/>
        <v>16.230864197530863</v>
      </c>
      <c r="M112">
        <f t="shared" si="13"/>
        <v>21.204974839506171</v>
      </c>
      <c r="N112" s="9"/>
      <c r="O112" s="22">
        <v>0.41366599999999998</v>
      </c>
      <c r="P112" s="22">
        <v>10.113</v>
      </c>
      <c r="Q112" s="22">
        <v>-1.3720700000000001E-2</v>
      </c>
      <c r="R112" s="22">
        <v>102</v>
      </c>
      <c r="S112" s="22">
        <v>0.41299400000000003</v>
      </c>
      <c r="T112">
        <f t="shared" si="14"/>
        <v>16.939135802469135</v>
      </c>
      <c r="U112">
        <f t="shared" si="15"/>
        <v>7.0071445508641972</v>
      </c>
      <c r="X112" s="9"/>
      <c r="Y112" s="22">
        <v>1.30646</v>
      </c>
      <c r="Z112" s="22">
        <v>15.5898</v>
      </c>
      <c r="AA112" s="22">
        <v>-1.32385E-2</v>
      </c>
      <c r="AB112" s="22">
        <v>102</v>
      </c>
      <c r="AC112" s="22">
        <v>1.3061499999999999</v>
      </c>
      <c r="AD112">
        <f t="shared" si="16"/>
        <v>16.343827160493824</v>
      </c>
      <c r="AE112">
        <f t="shared" si="17"/>
        <v>21.352556432098758</v>
      </c>
      <c r="AF112" s="9"/>
      <c r="AG112" s="22">
        <v>0.41366599999999998</v>
      </c>
      <c r="AH112" s="22">
        <v>19.449300000000001</v>
      </c>
      <c r="AI112" s="22">
        <v>-1.37634E-2</v>
      </c>
      <c r="AJ112" s="22">
        <v>102</v>
      </c>
      <c r="AK112" s="22">
        <v>0.41293299999999999</v>
      </c>
      <c r="AL112">
        <f t="shared" si="18"/>
        <v>16.991851851851852</v>
      </c>
      <c r="AM112">
        <f t="shared" si="19"/>
        <v>7.0289513881481476</v>
      </c>
      <c r="AP112" s="9"/>
      <c r="AQ112" s="22">
        <v>1.30646</v>
      </c>
      <c r="AR112" s="22">
        <v>25.013100000000001</v>
      </c>
      <c r="AS112" s="22">
        <v>-1.3327E-2</v>
      </c>
      <c r="AT112" s="22">
        <v>102</v>
      </c>
      <c r="AU112" s="22">
        <v>1.30585</v>
      </c>
      <c r="AV112">
        <f t="shared" si="20"/>
        <v>16.453086419753085</v>
      </c>
      <c r="AW112">
        <f t="shared" si="21"/>
        <v>21.495299283950615</v>
      </c>
      <c r="AX112" s="9"/>
      <c r="AY112" s="22">
        <v>0.41366599999999998</v>
      </c>
      <c r="AZ112" s="22">
        <v>28.872499999999999</v>
      </c>
      <c r="BA112" s="22">
        <v>-1.38031E-2</v>
      </c>
      <c r="BB112" s="22">
        <v>102</v>
      </c>
      <c r="BC112" s="22">
        <v>0.41290300000000002</v>
      </c>
      <c r="BD112">
        <f t="shared" si="22"/>
        <v>17.040864197530862</v>
      </c>
      <c r="BE112">
        <f t="shared" si="23"/>
        <v>7.0492261291358007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1.30142</v>
      </c>
      <c r="H113" s="22">
        <v>6.2636399999999997</v>
      </c>
      <c r="I113" s="22">
        <v>-1.3159199999999999E-2</v>
      </c>
      <c r="J113" s="22">
        <v>103</v>
      </c>
      <c r="K113" s="22">
        <v>1.3003499999999999</v>
      </c>
      <c r="L113">
        <f t="shared" si="12"/>
        <v>16.245925925925924</v>
      </c>
      <c r="M113">
        <f t="shared" si="13"/>
        <v>21.142772918518517</v>
      </c>
      <c r="N113" s="9"/>
      <c r="O113" s="22">
        <v>0.41870099999999999</v>
      </c>
      <c r="P113" s="22">
        <v>10.123100000000001</v>
      </c>
      <c r="Q113" s="22">
        <v>-1.3720700000000001E-2</v>
      </c>
      <c r="R113" s="22">
        <v>103</v>
      </c>
      <c r="S113" s="22">
        <v>0.41799900000000001</v>
      </c>
      <c r="T113">
        <f t="shared" si="14"/>
        <v>16.939135802469135</v>
      </c>
      <c r="U113">
        <f t="shared" si="15"/>
        <v>7.0924330996296288</v>
      </c>
      <c r="X113" s="9"/>
      <c r="Y113" s="22">
        <v>1.30142</v>
      </c>
      <c r="Z113" s="22">
        <v>15.5999</v>
      </c>
      <c r="AA113" s="22">
        <v>-1.3241599999999999E-2</v>
      </c>
      <c r="AB113" s="22">
        <v>103</v>
      </c>
      <c r="AC113" s="22">
        <v>1.3003499999999999</v>
      </c>
      <c r="AD113">
        <f t="shared" si="16"/>
        <v>16.347654320987651</v>
      </c>
      <c r="AE113">
        <f t="shared" si="17"/>
        <v>21.275164286419749</v>
      </c>
      <c r="AF113" s="9"/>
      <c r="AG113" s="22">
        <v>0.41870099999999999</v>
      </c>
      <c r="AH113" s="22">
        <v>19.459399999999999</v>
      </c>
      <c r="AI113" s="22">
        <v>-1.3766499999999999E-2</v>
      </c>
      <c r="AJ113" s="22">
        <v>103</v>
      </c>
      <c r="AK113" s="22">
        <v>0.417908</v>
      </c>
      <c r="AL113">
        <f t="shared" si="18"/>
        <v>16.995679012345676</v>
      </c>
      <c r="AM113">
        <f t="shared" si="19"/>
        <v>7.1161077981481462</v>
      </c>
      <c r="AP113" s="9"/>
      <c r="AQ113" s="22">
        <v>1.30142</v>
      </c>
      <c r="AR113" s="22">
        <v>25.023099999999999</v>
      </c>
      <c r="AS113" s="22">
        <v>-1.3339200000000001E-2</v>
      </c>
      <c r="AT113" s="22">
        <v>103</v>
      </c>
      <c r="AU113" s="22">
        <v>1.3012699999999999</v>
      </c>
      <c r="AV113">
        <f t="shared" si="20"/>
        <v>16.468148148148149</v>
      </c>
      <c r="AW113">
        <f t="shared" si="21"/>
        <v>21.431977362962964</v>
      </c>
      <c r="AX113" s="9"/>
      <c r="AY113" s="22">
        <v>0.41870099999999999</v>
      </c>
      <c r="AZ113" s="22">
        <v>28.8826</v>
      </c>
      <c r="BA113" s="22">
        <v>-1.3806199999999999E-2</v>
      </c>
      <c r="BB113" s="22">
        <v>103</v>
      </c>
      <c r="BC113" s="22">
        <v>0.41796899999999998</v>
      </c>
      <c r="BD113">
        <f t="shared" si="22"/>
        <v>17.044691358024689</v>
      </c>
      <c r="BE113">
        <f t="shared" si="23"/>
        <v>7.136629316296295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1.2963899999999999</v>
      </c>
      <c r="H114" s="22">
        <v>6.2737100000000003</v>
      </c>
      <c r="I114" s="22">
        <v>-1.3159199999999999E-2</v>
      </c>
      <c r="J114" s="22">
        <v>104</v>
      </c>
      <c r="K114" s="22">
        <v>1.2954699999999999</v>
      </c>
      <c r="L114">
        <f t="shared" si="12"/>
        <v>16.245925925925924</v>
      </c>
      <c r="M114">
        <f t="shared" si="13"/>
        <v>21.061055911111108</v>
      </c>
      <c r="N114" s="9"/>
      <c r="O114" s="22">
        <v>0.42373699999999997</v>
      </c>
      <c r="P114" s="22">
        <v>10.1332</v>
      </c>
      <c r="Q114" s="22">
        <v>-1.3720700000000001E-2</v>
      </c>
      <c r="R114" s="22">
        <v>104</v>
      </c>
      <c r="S114" s="22">
        <v>0.42303499999999999</v>
      </c>
      <c r="T114">
        <f t="shared" si="14"/>
        <v>16.939135802469135</v>
      </c>
      <c r="U114">
        <f t="shared" si="15"/>
        <v>7.1777385875308637</v>
      </c>
      <c r="X114" s="9"/>
      <c r="Y114" s="22">
        <v>1.2963899999999999</v>
      </c>
      <c r="Z114" s="22">
        <v>15.61</v>
      </c>
      <c r="AA114" s="22">
        <v>-1.3256799999999999E-2</v>
      </c>
      <c r="AB114" s="22">
        <v>104</v>
      </c>
      <c r="AC114" s="22">
        <v>1.2957799999999999</v>
      </c>
      <c r="AD114">
        <f t="shared" si="16"/>
        <v>16.366419753086415</v>
      </c>
      <c r="AE114">
        <f t="shared" si="17"/>
        <v>21.217262903703695</v>
      </c>
      <c r="AF114" s="9"/>
      <c r="AG114" s="22">
        <v>0.42373699999999997</v>
      </c>
      <c r="AH114" s="22">
        <v>19.4694</v>
      </c>
      <c r="AI114" s="22">
        <v>-1.3772599999999999E-2</v>
      </c>
      <c r="AJ114" s="22">
        <v>104</v>
      </c>
      <c r="AK114" s="22">
        <v>0.42300399999999999</v>
      </c>
      <c r="AL114">
        <f t="shared" si="18"/>
        <v>17.00320987654321</v>
      </c>
      <c r="AM114">
        <f t="shared" si="19"/>
        <v>7.2048891434567892</v>
      </c>
      <c r="AP114" s="9"/>
      <c r="AQ114" s="22">
        <v>1.2963899999999999</v>
      </c>
      <c r="AR114" s="22">
        <v>25.033200000000001</v>
      </c>
      <c r="AS114" s="22">
        <v>-1.33545E-2</v>
      </c>
      <c r="AT114" s="22">
        <v>104</v>
      </c>
      <c r="AU114" s="22">
        <v>1.2957799999999999</v>
      </c>
      <c r="AV114">
        <f t="shared" si="20"/>
        <v>16.487037037037037</v>
      </c>
      <c r="AW114">
        <f t="shared" si="21"/>
        <v>21.373629944444446</v>
      </c>
      <c r="AX114" s="9"/>
      <c r="AY114" s="22">
        <v>0.42373699999999997</v>
      </c>
      <c r="AZ114" s="22">
        <v>28.892700000000001</v>
      </c>
      <c r="BA114" s="22">
        <v>-1.3806199999999999E-2</v>
      </c>
      <c r="BB114" s="22">
        <v>104</v>
      </c>
      <c r="BC114" s="22">
        <v>0.42306500000000002</v>
      </c>
      <c r="BD114">
        <f t="shared" si="22"/>
        <v>17.044691358024689</v>
      </c>
      <c r="BE114">
        <f t="shared" si="23"/>
        <v>7.2224663819753072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1.29135</v>
      </c>
      <c r="H115" s="22">
        <v>6.2837800000000001</v>
      </c>
      <c r="I115" s="22">
        <v>-1.31226E-2</v>
      </c>
      <c r="J115" s="22">
        <v>105</v>
      </c>
      <c r="K115" s="22">
        <v>1.2905899999999999</v>
      </c>
      <c r="L115">
        <f t="shared" si="12"/>
        <v>16.200740740740741</v>
      </c>
      <c r="M115">
        <f t="shared" si="13"/>
        <v>20.920826555555557</v>
      </c>
      <c r="N115" s="9"/>
      <c r="O115" s="22">
        <v>0.42877199999999999</v>
      </c>
      <c r="P115" s="22">
        <v>10.1433</v>
      </c>
      <c r="Q115" s="22">
        <v>-1.3717699999999999E-2</v>
      </c>
      <c r="R115" s="22">
        <v>105</v>
      </c>
      <c r="S115" s="22">
        <v>0.42803999999999998</v>
      </c>
      <c r="T115">
        <f t="shared" si="14"/>
        <v>16.935432098765432</v>
      </c>
      <c r="U115">
        <f t="shared" si="15"/>
        <v>7.2614390918518517</v>
      </c>
      <c r="X115" s="9"/>
      <c r="Y115" s="22">
        <v>1.29135</v>
      </c>
      <c r="Z115" s="22">
        <v>15.62</v>
      </c>
      <c r="AA115" s="22">
        <v>-1.3266E-2</v>
      </c>
      <c r="AB115" s="22">
        <v>105</v>
      </c>
      <c r="AC115" s="22">
        <v>1.2899799999999999</v>
      </c>
      <c r="AD115">
        <f t="shared" si="16"/>
        <v>16.377777777777776</v>
      </c>
      <c r="AE115">
        <f t="shared" si="17"/>
        <v>21.14944333333333</v>
      </c>
      <c r="AF115" s="9"/>
      <c r="AG115" s="22">
        <v>0.42877199999999999</v>
      </c>
      <c r="AH115" s="22">
        <v>19.479500000000002</v>
      </c>
      <c r="AI115" s="22">
        <v>-1.37695E-2</v>
      </c>
      <c r="AJ115" s="22">
        <v>105</v>
      </c>
      <c r="AK115" s="22">
        <v>0.42803999999999998</v>
      </c>
      <c r="AL115">
        <f t="shared" si="18"/>
        <v>16.999382716049382</v>
      </c>
      <c r="AM115">
        <f t="shared" si="19"/>
        <v>7.2888593259259258</v>
      </c>
      <c r="AP115" s="9"/>
      <c r="AQ115" s="22">
        <v>1.29135</v>
      </c>
      <c r="AR115" s="22">
        <v>25.043299999999999</v>
      </c>
      <c r="AS115" s="22">
        <v>-1.33667E-2</v>
      </c>
      <c r="AT115" s="22">
        <v>105</v>
      </c>
      <c r="AU115" s="22">
        <v>1.2902800000000001</v>
      </c>
      <c r="AV115">
        <f t="shared" si="20"/>
        <v>16.502098765432098</v>
      </c>
      <c r="AW115">
        <f t="shared" si="21"/>
        <v>21.30998524074074</v>
      </c>
      <c r="AX115" s="9"/>
      <c r="AY115" s="22">
        <v>0.42877199999999999</v>
      </c>
      <c r="AZ115" s="22">
        <v>28.902699999999999</v>
      </c>
      <c r="BA115" s="22">
        <v>-1.38E-2</v>
      </c>
      <c r="BB115" s="22">
        <v>105</v>
      </c>
      <c r="BC115" s="22">
        <v>0.42813099999999998</v>
      </c>
      <c r="BD115">
        <f t="shared" si="22"/>
        <v>17.037037037037035</v>
      </c>
      <c r="BE115">
        <f t="shared" si="23"/>
        <v>7.3050044444444433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1.2863199999999999</v>
      </c>
      <c r="H116" s="22">
        <v>6.2938499999999999</v>
      </c>
      <c r="I116" s="22">
        <v>-1.3125599999999999E-2</v>
      </c>
      <c r="J116" s="22">
        <v>106</v>
      </c>
      <c r="K116" s="22">
        <v>1.2850999999999999</v>
      </c>
      <c r="L116">
        <f t="shared" si="12"/>
        <v>16.204444444444441</v>
      </c>
      <c r="M116">
        <f t="shared" si="13"/>
        <v>20.844100977777771</v>
      </c>
      <c r="N116" s="9"/>
      <c r="O116" s="22">
        <v>0.433807</v>
      </c>
      <c r="P116" s="22">
        <v>10.1533</v>
      </c>
      <c r="Q116" s="22">
        <v>-1.36963E-2</v>
      </c>
      <c r="R116" s="22">
        <v>106</v>
      </c>
      <c r="S116" s="22">
        <v>0.43316700000000002</v>
      </c>
      <c r="T116">
        <f t="shared" si="14"/>
        <v>16.90901234567901</v>
      </c>
      <c r="U116">
        <f t="shared" si="15"/>
        <v>7.3352479186419739</v>
      </c>
      <c r="X116" s="9"/>
      <c r="Y116" s="22">
        <v>1.2863199999999999</v>
      </c>
      <c r="Z116" s="22">
        <v>15.630100000000001</v>
      </c>
      <c r="AA116" s="22">
        <v>-1.32751E-2</v>
      </c>
      <c r="AB116" s="22">
        <v>106</v>
      </c>
      <c r="AC116" s="22">
        <v>1.2854000000000001</v>
      </c>
      <c r="AD116">
        <f t="shared" si="16"/>
        <v>16.38901234567901</v>
      </c>
      <c r="AE116">
        <f t="shared" si="17"/>
        <v>21.081514360493824</v>
      </c>
      <c r="AF116" s="9"/>
      <c r="AG116" s="22">
        <v>0.433807</v>
      </c>
      <c r="AH116" s="22">
        <v>19.489599999999999</v>
      </c>
      <c r="AI116" s="22">
        <v>-1.37573E-2</v>
      </c>
      <c r="AJ116" s="22">
        <v>106</v>
      </c>
      <c r="AK116" s="22">
        <v>0.43313600000000002</v>
      </c>
      <c r="AL116">
        <f t="shared" si="18"/>
        <v>16.984320987654321</v>
      </c>
      <c r="AM116">
        <f t="shared" si="19"/>
        <v>7.3679173346913585</v>
      </c>
      <c r="AP116" s="9"/>
      <c r="AQ116" s="22">
        <v>1.2863199999999999</v>
      </c>
      <c r="AR116" s="22">
        <v>25.0533</v>
      </c>
      <c r="AS116" s="22">
        <v>-1.3382E-2</v>
      </c>
      <c r="AT116" s="22">
        <v>106</v>
      </c>
      <c r="AU116" s="22">
        <v>1.2854000000000001</v>
      </c>
      <c r="AV116">
        <f t="shared" si="20"/>
        <v>16.520987654320987</v>
      </c>
      <c r="AW116">
        <f t="shared" si="21"/>
        <v>21.251276839506168</v>
      </c>
      <c r="AX116" s="9"/>
      <c r="AY116" s="22">
        <v>0.433807</v>
      </c>
      <c r="AZ116" s="22">
        <v>28.912800000000001</v>
      </c>
      <c r="BA116" s="22">
        <v>-1.37939E-2</v>
      </c>
      <c r="BB116" s="22">
        <v>106</v>
      </c>
      <c r="BC116" s="22">
        <v>0.43307499999999999</v>
      </c>
      <c r="BD116">
        <f t="shared" si="22"/>
        <v>17.029506172839504</v>
      </c>
      <c r="BE116">
        <f t="shared" si="23"/>
        <v>7.3875189843209865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1.28128</v>
      </c>
      <c r="H117" s="22">
        <v>6.3039199999999997</v>
      </c>
      <c r="I117" s="22">
        <v>-1.31317E-2</v>
      </c>
      <c r="J117" s="22">
        <v>107</v>
      </c>
      <c r="K117" s="22">
        <v>1.2805200000000001</v>
      </c>
      <c r="L117">
        <f t="shared" si="12"/>
        <v>16.211975308641971</v>
      </c>
      <c r="M117">
        <f t="shared" si="13"/>
        <v>20.772079723456784</v>
      </c>
      <c r="N117" s="9"/>
      <c r="O117" s="22">
        <v>0.43884299999999998</v>
      </c>
      <c r="P117" s="22">
        <v>10.163399999999999</v>
      </c>
      <c r="Q117" s="22">
        <v>-1.3684099999999999E-2</v>
      </c>
      <c r="R117" s="22">
        <v>107</v>
      </c>
      <c r="S117" s="22">
        <v>0.43811</v>
      </c>
      <c r="T117">
        <f t="shared" si="14"/>
        <v>16.893950617283949</v>
      </c>
      <c r="U117">
        <f t="shared" si="15"/>
        <v>7.4137919707407391</v>
      </c>
      <c r="X117" s="9"/>
      <c r="Y117" s="22">
        <v>1.28128</v>
      </c>
      <c r="Z117" s="22">
        <v>15.6402</v>
      </c>
      <c r="AA117" s="22">
        <v>-1.32751E-2</v>
      </c>
      <c r="AB117" s="22">
        <v>107</v>
      </c>
      <c r="AC117" s="22">
        <v>1.2802100000000001</v>
      </c>
      <c r="AD117">
        <f t="shared" si="16"/>
        <v>16.38901234567901</v>
      </c>
      <c r="AE117">
        <f t="shared" si="17"/>
        <v>20.9989137382716</v>
      </c>
      <c r="AF117" s="9"/>
      <c r="AG117" s="22">
        <v>0.43884299999999998</v>
      </c>
      <c r="AH117" s="22">
        <v>19.499700000000001</v>
      </c>
      <c r="AI117" s="22">
        <v>-1.37482E-2</v>
      </c>
      <c r="AJ117" s="22">
        <v>107</v>
      </c>
      <c r="AK117" s="22">
        <v>0.43808000000000002</v>
      </c>
      <c r="AL117">
        <f t="shared" si="18"/>
        <v>16.973086419753084</v>
      </c>
      <c r="AM117">
        <f t="shared" si="19"/>
        <v>7.4485201637037024</v>
      </c>
      <c r="AP117" s="9"/>
      <c r="AQ117" s="22">
        <v>1.28128</v>
      </c>
      <c r="AR117" s="22">
        <v>25.063400000000001</v>
      </c>
      <c r="AS117" s="22">
        <v>-1.33881E-2</v>
      </c>
      <c r="AT117" s="22">
        <v>107</v>
      </c>
      <c r="AU117" s="22">
        <v>1.2802100000000001</v>
      </c>
      <c r="AV117">
        <f t="shared" si="20"/>
        <v>16.528518518518517</v>
      </c>
      <c r="AW117">
        <f t="shared" si="21"/>
        <v>21.177660207407406</v>
      </c>
      <c r="AX117" s="9"/>
      <c r="AY117" s="22">
        <v>0.43884299999999998</v>
      </c>
      <c r="AZ117" s="22">
        <v>28.922899999999998</v>
      </c>
      <c r="BA117" s="22">
        <v>-1.37939E-2</v>
      </c>
      <c r="BB117" s="22">
        <v>107</v>
      </c>
      <c r="BC117" s="22">
        <v>0.438141</v>
      </c>
      <c r="BD117">
        <f t="shared" si="22"/>
        <v>17.029506172839504</v>
      </c>
      <c r="BE117">
        <f t="shared" si="23"/>
        <v>7.4732795774074061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1.2762500000000001</v>
      </c>
      <c r="H118" s="22">
        <v>6.3139900000000004</v>
      </c>
      <c r="I118" s="22">
        <v>-1.31409E-2</v>
      </c>
      <c r="J118" s="22">
        <v>108</v>
      </c>
      <c r="K118" s="22">
        <v>1.27502</v>
      </c>
      <c r="L118">
        <f t="shared" si="12"/>
        <v>16.223333333333333</v>
      </c>
      <c r="M118">
        <f t="shared" si="13"/>
        <v>20.705029166666666</v>
      </c>
      <c r="N118" s="9"/>
      <c r="O118" s="22">
        <v>0.44387799999999999</v>
      </c>
      <c r="P118" s="22">
        <v>10.173500000000001</v>
      </c>
      <c r="Q118" s="22">
        <v>-1.3677999999999999E-2</v>
      </c>
      <c r="R118" s="22">
        <v>108</v>
      </c>
      <c r="S118" s="22">
        <v>0.44317600000000001</v>
      </c>
      <c r="T118">
        <f t="shared" si="14"/>
        <v>16.886419753086418</v>
      </c>
      <c r="U118">
        <f t="shared" si="15"/>
        <v>7.4955102271604934</v>
      </c>
      <c r="X118" s="9"/>
      <c r="Y118" s="22">
        <v>1.2762500000000001</v>
      </c>
      <c r="Z118" s="22">
        <v>15.6502</v>
      </c>
      <c r="AA118" s="22">
        <v>-1.32751E-2</v>
      </c>
      <c r="AB118" s="22">
        <v>108</v>
      </c>
      <c r="AC118" s="22">
        <v>1.27502</v>
      </c>
      <c r="AD118">
        <f t="shared" si="16"/>
        <v>16.38901234567901</v>
      </c>
      <c r="AE118">
        <f t="shared" si="17"/>
        <v>20.916477006172837</v>
      </c>
      <c r="AF118" s="9"/>
      <c r="AG118" s="22">
        <v>0.44387799999999999</v>
      </c>
      <c r="AH118" s="22">
        <v>19.509699999999999</v>
      </c>
      <c r="AI118" s="22">
        <v>-1.37299E-2</v>
      </c>
      <c r="AJ118" s="22">
        <v>108</v>
      </c>
      <c r="AK118" s="22">
        <v>0.44317600000000001</v>
      </c>
      <c r="AL118">
        <f t="shared" si="18"/>
        <v>16.950493827160493</v>
      </c>
      <c r="AM118">
        <f t="shared" si="19"/>
        <v>7.5239512990123449</v>
      </c>
      <c r="AP118" s="9"/>
      <c r="AQ118" s="22">
        <v>1.2762500000000001</v>
      </c>
      <c r="AR118" s="22">
        <v>25.073499999999999</v>
      </c>
      <c r="AS118" s="22">
        <v>-1.34003E-2</v>
      </c>
      <c r="AT118" s="22">
        <v>108</v>
      </c>
      <c r="AU118" s="22">
        <v>1.2753300000000001</v>
      </c>
      <c r="AV118">
        <f t="shared" si="20"/>
        <v>16.543580246913578</v>
      </c>
      <c r="AW118">
        <f t="shared" si="21"/>
        <v>21.113744290123456</v>
      </c>
      <c r="AX118" s="9"/>
      <c r="AY118" s="22">
        <v>0.44387799999999999</v>
      </c>
      <c r="AZ118" s="22">
        <v>28.933</v>
      </c>
      <c r="BA118" s="22">
        <v>-1.38E-2</v>
      </c>
      <c r="BB118" s="22">
        <v>108</v>
      </c>
      <c r="BC118" s="22">
        <v>0.44320700000000002</v>
      </c>
      <c r="BD118">
        <f t="shared" si="22"/>
        <v>17.037037037037035</v>
      </c>
      <c r="BE118">
        <f t="shared" si="23"/>
        <v>7.562365925925925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1.27121</v>
      </c>
      <c r="H119" s="22">
        <v>6.3240600000000002</v>
      </c>
      <c r="I119" s="22">
        <v>-1.3159199999999999E-2</v>
      </c>
      <c r="J119" s="22">
        <v>109</v>
      </c>
      <c r="K119" s="22">
        <v>1.2704500000000001</v>
      </c>
      <c r="L119">
        <f t="shared" si="12"/>
        <v>16.245925925925924</v>
      </c>
      <c r="M119">
        <f t="shared" si="13"/>
        <v>20.651983496296292</v>
      </c>
      <c r="N119" s="9"/>
      <c r="O119" s="22">
        <v>0.44891399999999998</v>
      </c>
      <c r="P119" s="22">
        <v>10.1835</v>
      </c>
      <c r="Q119" s="22">
        <v>-1.3693200000000001E-2</v>
      </c>
      <c r="R119" s="22">
        <v>109</v>
      </c>
      <c r="S119" s="22">
        <v>0.448181</v>
      </c>
      <c r="T119">
        <f t="shared" si="14"/>
        <v>16.905185185185186</v>
      </c>
      <c r="U119">
        <f t="shared" si="15"/>
        <v>7.5889743022222218</v>
      </c>
      <c r="X119" s="9"/>
      <c r="Y119" s="22">
        <v>1.27121</v>
      </c>
      <c r="Z119" s="22">
        <v>15.660299999999999</v>
      </c>
      <c r="AA119" s="22">
        <v>-1.3290400000000001E-2</v>
      </c>
      <c r="AB119" s="22">
        <v>109</v>
      </c>
      <c r="AC119" s="22">
        <v>1.2698400000000001</v>
      </c>
      <c r="AD119">
        <f t="shared" si="16"/>
        <v>16.407901234567902</v>
      </c>
      <c r="AE119">
        <f t="shared" si="17"/>
        <v>20.857888128395061</v>
      </c>
      <c r="AF119" s="9"/>
      <c r="AG119" s="22">
        <v>0.44891399999999998</v>
      </c>
      <c r="AH119" s="22">
        <v>19.5198</v>
      </c>
      <c r="AI119" s="22">
        <v>-1.37238E-2</v>
      </c>
      <c r="AJ119" s="22">
        <v>109</v>
      </c>
      <c r="AK119" s="22">
        <v>0.448181</v>
      </c>
      <c r="AL119">
        <f t="shared" si="18"/>
        <v>16.942962962962962</v>
      </c>
      <c r="AM119">
        <f t="shared" si="19"/>
        <v>7.6059332755555547</v>
      </c>
      <c r="AP119" s="9"/>
      <c r="AQ119" s="22">
        <v>1.27121</v>
      </c>
      <c r="AR119" s="22">
        <v>25.083500000000001</v>
      </c>
      <c r="AS119" s="22">
        <v>-1.3412500000000001E-2</v>
      </c>
      <c r="AT119" s="22">
        <v>109</v>
      </c>
      <c r="AU119" s="22">
        <v>1.2698400000000001</v>
      </c>
      <c r="AV119">
        <f t="shared" si="20"/>
        <v>16.558641975308642</v>
      </c>
      <c r="AW119">
        <f t="shared" si="21"/>
        <v>21.049511265432098</v>
      </c>
      <c r="AX119" s="9"/>
      <c r="AY119" s="22">
        <v>0.44891399999999998</v>
      </c>
      <c r="AZ119" s="22">
        <v>28.943000000000001</v>
      </c>
      <c r="BA119" s="22">
        <v>-1.38031E-2</v>
      </c>
      <c r="BB119" s="22">
        <v>109</v>
      </c>
      <c r="BC119" s="22">
        <v>0.448181</v>
      </c>
      <c r="BD119">
        <f t="shared" si="22"/>
        <v>17.040864197530862</v>
      </c>
      <c r="BE119">
        <f t="shared" si="23"/>
        <v>7.6498825103703689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1.26617</v>
      </c>
      <c r="H120" s="22">
        <v>6.33413</v>
      </c>
      <c r="I120" s="22">
        <v>-1.31714E-2</v>
      </c>
      <c r="J120" s="22">
        <v>110</v>
      </c>
      <c r="K120" s="22">
        <v>1.26495</v>
      </c>
      <c r="L120">
        <f t="shared" si="12"/>
        <v>16.260987654320989</v>
      </c>
      <c r="M120">
        <f t="shared" si="13"/>
        <v>20.589174738271605</v>
      </c>
      <c r="N120" s="9"/>
      <c r="O120" s="22">
        <v>0.45394899999999999</v>
      </c>
      <c r="P120" s="22">
        <v>10.1936</v>
      </c>
      <c r="Q120" s="22">
        <v>-1.37024E-2</v>
      </c>
      <c r="R120" s="22">
        <v>110</v>
      </c>
      <c r="S120" s="22">
        <v>0.45324700000000001</v>
      </c>
      <c r="T120">
        <f t="shared" si="14"/>
        <v>16.916543209876544</v>
      </c>
      <c r="U120">
        <f t="shared" si="15"/>
        <v>7.6792478735802465</v>
      </c>
      <c r="X120" s="9"/>
      <c r="Y120" s="22">
        <v>1.26617</v>
      </c>
      <c r="Z120" s="22">
        <v>15.670400000000001</v>
      </c>
      <c r="AA120" s="22">
        <v>-1.3302599999999999E-2</v>
      </c>
      <c r="AB120" s="22">
        <v>110</v>
      </c>
      <c r="AC120" s="22">
        <v>1.2652600000000001</v>
      </c>
      <c r="AD120">
        <f t="shared" si="16"/>
        <v>16.422962962962963</v>
      </c>
      <c r="AE120">
        <f t="shared" si="17"/>
        <v>20.794263014814813</v>
      </c>
      <c r="AF120" s="9"/>
      <c r="AG120" s="22">
        <v>0.45394899999999999</v>
      </c>
      <c r="AH120" s="22">
        <v>19.529900000000001</v>
      </c>
      <c r="AI120" s="22">
        <v>-1.3732899999999999E-2</v>
      </c>
      <c r="AJ120" s="22">
        <v>110</v>
      </c>
      <c r="AK120" s="22">
        <v>0.45318599999999998</v>
      </c>
      <c r="AL120">
        <f t="shared" si="18"/>
        <v>16.954197530864196</v>
      </c>
      <c r="AM120">
        <f t="shared" si="19"/>
        <v>7.6963410149382705</v>
      </c>
      <c r="AP120" s="9"/>
      <c r="AQ120" s="22">
        <v>1.26617</v>
      </c>
      <c r="AR120" s="22">
        <v>25.093599999999999</v>
      </c>
      <c r="AS120" s="22">
        <v>-1.3418599999999999E-2</v>
      </c>
      <c r="AT120" s="22">
        <v>110</v>
      </c>
      <c r="AU120" s="22">
        <v>1.2646500000000001</v>
      </c>
      <c r="AV120">
        <f t="shared" si="20"/>
        <v>16.566172839506169</v>
      </c>
      <c r="AW120">
        <f t="shared" si="21"/>
        <v>20.975591064197527</v>
      </c>
      <c r="AX120" s="9"/>
      <c r="AY120" s="22">
        <v>0.45394899999999999</v>
      </c>
      <c r="AZ120" s="22">
        <v>28.953099999999999</v>
      </c>
      <c r="BA120" s="22">
        <v>-1.38E-2</v>
      </c>
      <c r="BB120" s="22">
        <v>110</v>
      </c>
      <c r="BC120" s="22">
        <v>0.45318599999999998</v>
      </c>
      <c r="BD120">
        <f t="shared" si="22"/>
        <v>17.037037037037035</v>
      </c>
      <c r="BE120">
        <f t="shared" si="23"/>
        <v>7.7339459259259247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1.2611399999999999</v>
      </c>
      <c r="H121" s="22">
        <v>6.3442100000000003</v>
      </c>
      <c r="I121" s="22">
        <v>-1.31714E-2</v>
      </c>
      <c r="J121" s="22">
        <v>111</v>
      </c>
      <c r="K121" s="22">
        <v>1.2603800000000001</v>
      </c>
      <c r="L121">
        <f t="shared" si="12"/>
        <v>16.260987654320989</v>
      </c>
      <c r="M121">
        <f t="shared" si="13"/>
        <v>20.507381970370371</v>
      </c>
      <c r="N121" s="9"/>
      <c r="O121" s="22">
        <v>0.458984</v>
      </c>
      <c r="P121" s="22">
        <v>10.2037</v>
      </c>
      <c r="Q121" s="22">
        <v>-1.3699299999999999E-2</v>
      </c>
      <c r="R121" s="22">
        <v>111</v>
      </c>
      <c r="S121" s="22">
        <v>0.45825199999999999</v>
      </c>
      <c r="T121">
        <f t="shared" si="14"/>
        <v>16.912716049382716</v>
      </c>
      <c r="U121">
        <f t="shared" si="15"/>
        <v>7.7626660632098767</v>
      </c>
      <c r="X121" s="9"/>
      <c r="Y121" s="22">
        <v>1.2611399999999999</v>
      </c>
      <c r="Z121" s="22">
        <v>15.6805</v>
      </c>
      <c r="AA121" s="22">
        <v>-1.33118E-2</v>
      </c>
      <c r="AB121" s="22">
        <v>111</v>
      </c>
      <c r="AC121" s="22">
        <v>1.26007</v>
      </c>
      <c r="AD121">
        <f t="shared" si="16"/>
        <v>16.434320987654321</v>
      </c>
      <c r="AE121">
        <f t="shared" si="17"/>
        <v>20.72597957037037</v>
      </c>
      <c r="AF121" s="9"/>
      <c r="AG121" s="22">
        <v>0.458984</v>
      </c>
      <c r="AH121" s="22">
        <v>19.539899999999999</v>
      </c>
      <c r="AI121" s="22">
        <v>-1.3736E-2</v>
      </c>
      <c r="AJ121" s="22">
        <v>111</v>
      </c>
      <c r="AK121" s="22">
        <v>0.45822099999999999</v>
      </c>
      <c r="AL121">
        <f t="shared" si="18"/>
        <v>16.958024691358023</v>
      </c>
      <c r="AM121">
        <f t="shared" si="19"/>
        <v>7.7834620049382712</v>
      </c>
      <c r="AP121" s="9"/>
      <c r="AQ121" s="22">
        <v>1.2611399999999999</v>
      </c>
      <c r="AR121" s="22">
        <v>25.1037</v>
      </c>
      <c r="AS121" s="22">
        <v>-1.3424699999999999E-2</v>
      </c>
      <c r="AT121" s="22">
        <v>111</v>
      </c>
      <c r="AU121" s="22">
        <v>1.2603800000000001</v>
      </c>
      <c r="AV121">
        <f t="shared" si="20"/>
        <v>16.5737037037037</v>
      </c>
      <c r="AW121">
        <f t="shared" si="21"/>
        <v>20.901760688888881</v>
      </c>
      <c r="AX121" s="9"/>
      <c r="AY121" s="22">
        <v>0.458984</v>
      </c>
      <c r="AZ121" s="22">
        <v>28.963200000000001</v>
      </c>
      <c r="BA121" s="22">
        <v>-1.37939E-2</v>
      </c>
      <c r="BB121" s="22">
        <v>111</v>
      </c>
      <c r="BC121" s="22">
        <v>0.45825199999999999</v>
      </c>
      <c r="BD121">
        <f t="shared" si="22"/>
        <v>17.029506172839504</v>
      </c>
      <c r="BE121">
        <f t="shared" si="23"/>
        <v>7.8162708612345666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1.2561</v>
      </c>
      <c r="H122" s="22">
        <v>6.3542800000000002</v>
      </c>
      <c r="I122" s="22">
        <v>-1.31897E-2</v>
      </c>
      <c r="J122" s="22">
        <v>112</v>
      </c>
      <c r="K122" s="22">
        <v>1.25488</v>
      </c>
      <c r="L122">
        <f t="shared" si="12"/>
        <v>16.28358024691358</v>
      </c>
      <c r="M122">
        <f t="shared" si="13"/>
        <v>20.453805148148149</v>
      </c>
      <c r="N122" s="9"/>
      <c r="O122" s="22">
        <v>0.46401999999999999</v>
      </c>
      <c r="P122" s="22">
        <v>10.213699999999999</v>
      </c>
      <c r="Q122" s="22">
        <v>-1.37054E-2</v>
      </c>
      <c r="R122" s="22">
        <v>112</v>
      </c>
      <c r="S122" s="22">
        <v>0.46325699999999997</v>
      </c>
      <c r="T122">
        <f t="shared" si="14"/>
        <v>16.920246913580247</v>
      </c>
      <c r="U122">
        <f t="shared" si="15"/>
        <v>7.851332972839506</v>
      </c>
      <c r="X122" s="9"/>
      <c r="Y122" s="22">
        <v>1.2561</v>
      </c>
      <c r="Z122" s="22">
        <v>15.6905</v>
      </c>
      <c r="AA122" s="22">
        <v>-1.33087E-2</v>
      </c>
      <c r="AB122" s="22">
        <v>112</v>
      </c>
      <c r="AC122" s="22">
        <v>1.25488</v>
      </c>
      <c r="AD122">
        <f t="shared" si="16"/>
        <v>16.430493827160493</v>
      </c>
      <c r="AE122">
        <f t="shared" si="17"/>
        <v>20.638343296296295</v>
      </c>
      <c r="AF122" s="9"/>
      <c r="AG122" s="22">
        <v>0.46401999999999999</v>
      </c>
      <c r="AH122" s="22">
        <v>19.55</v>
      </c>
      <c r="AI122" s="22">
        <v>-1.37299E-2</v>
      </c>
      <c r="AJ122" s="22">
        <v>112</v>
      </c>
      <c r="AK122" s="22">
        <v>0.463196</v>
      </c>
      <c r="AL122">
        <f t="shared" si="18"/>
        <v>16.950493827160493</v>
      </c>
      <c r="AM122">
        <f t="shared" si="19"/>
        <v>7.8653681456790121</v>
      </c>
      <c r="AP122" s="9"/>
      <c r="AQ122" s="22">
        <v>1.2561</v>
      </c>
      <c r="AR122" s="22">
        <v>25.113800000000001</v>
      </c>
      <c r="AS122" s="22">
        <v>-1.3424699999999999E-2</v>
      </c>
      <c r="AT122" s="22">
        <v>112</v>
      </c>
      <c r="AU122" s="22">
        <v>1.25458</v>
      </c>
      <c r="AV122">
        <f t="shared" si="20"/>
        <v>16.5737037037037</v>
      </c>
      <c r="AW122">
        <f t="shared" si="21"/>
        <v>20.818229222222218</v>
      </c>
      <c r="AX122" s="9"/>
      <c r="AY122" s="22">
        <v>0.46401999999999999</v>
      </c>
      <c r="AZ122" s="22">
        <v>28.973199999999999</v>
      </c>
      <c r="BA122" s="22">
        <v>-1.37939E-2</v>
      </c>
      <c r="BB122" s="22">
        <v>112</v>
      </c>
      <c r="BC122" s="22">
        <v>0.46325699999999997</v>
      </c>
      <c r="BD122">
        <f t="shared" si="22"/>
        <v>17.029506172839504</v>
      </c>
      <c r="BE122">
        <f t="shared" si="23"/>
        <v>7.9020314543209862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1.2510699999999999</v>
      </c>
      <c r="H123" s="22">
        <v>6.36435</v>
      </c>
      <c r="I123" s="22">
        <v>-1.3195800000000001E-2</v>
      </c>
      <c r="J123" s="22">
        <v>113</v>
      </c>
      <c r="K123" s="22">
        <v>1.25</v>
      </c>
      <c r="L123">
        <f t="shared" si="12"/>
        <v>16.29111111111111</v>
      </c>
      <c r="M123">
        <f t="shared" si="13"/>
        <v>20.381320377777776</v>
      </c>
      <c r="N123" s="9"/>
      <c r="O123" s="22">
        <v>0.469055</v>
      </c>
      <c r="P123" s="22">
        <v>10.223800000000001</v>
      </c>
      <c r="Q123" s="22">
        <v>-1.3699299999999999E-2</v>
      </c>
      <c r="R123" s="22">
        <v>113</v>
      </c>
      <c r="S123" s="22">
        <v>0.46835300000000002</v>
      </c>
      <c r="T123">
        <f t="shared" si="14"/>
        <v>16.912716049382716</v>
      </c>
      <c r="U123">
        <f t="shared" si="15"/>
        <v>7.9329940265432102</v>
      </c>
      <c r="X123" s="9"/>
      <c r="Y123" s="22">
        <v>1.2510699999999999</v>
      </c>
      <c r="Z123" s="22">
        <v>15.7006</v>
      </c>
      <c r="AA123" s="22">
        <v>-1.3317900000000001E-2</v>
      </c>
      <c r="AB123" s="22">
        <v>113</v>
      </c>
      <c r="AC123" s="22">
        <v>1.25031</v>
      </c>
      <c r="AD123">
        <f t="shared" si="16"/>
        <v>16.441851851851851</v>
      </c>
      <c r="AE123">
        <f t="shared" si="17"/>
        <v>20.569907596296293</v>
      </c>
      <c r="AF123" s="9"/>
      <c r="AG123" s="22">
        <v>0.469055</v>
      </c>
      <c r="AH123" s="22">
        <v>19.560099999999998</v>
      </c>
      <c r="AI123" s="22">
        <v>-1.37238E-2</v>
      </c>
      <c r="AJ123" s="22">
        <v>113</v>
      </c>
      <c r="AK123" s="22">
        <v>0.46838400000000002</v>
      </c>
      <c r="AL123">
        <f t="shared" si="18"/>
        <v>16.942962962962962</v>
      </c>
      <c r="AM123">
        <f t="shared" si="19"/>
        <v>7.9471814925925921</v>
      </c>
      <c r="AP123" s="9"/>
      <c r="AQ123" s="22">
        <v>1.2510699999999999</v>
      </c>
      <c r="AR123" s="22">
        <v>25.123799999999999</v>
      </c>
      <c r="AS123" s="22">
        <v>-1.34308E-2</v>
      </c>
      <c r="AT123" s="22">
        <v>113</v>
      </c>
      <c r="AU123" s="22">
        <v>1.24969</v>
      </c>
      <c r="AV123">
        <f t="shared" si="20"/>
        <v>16.581234567901234</v>
      </c>
      <c r="AW123">
        <f t="shared" si="21"/>
        <v>20.744285130864196</v>
      </c>
      <c r="AX123" s="9"/>
      <c r="AY123" s="22">
        <v>0.469055</v>
      </c>
      <c r="AZ123" s="22">
        <v>28.9833</v>
      </c>
      <c r="BA123" s="22">
        <v>-1.37909E-2</v>
      </c>
      <c r="BB123" s="22">
        <v>113</v>
      </c>
      <c r="BC123" s="22">
        <v>0.46832299999999999</v>
      </c>
      <c r="BD123">
        <f t="shared" si="22"/>
        <v>17.025802469135801</v>
      </c>
      <c r="BE123">
        <f t="shared" si="23"/>
        <v>7.9860377771604929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1.24603</v>
      </c>
      <c r="H124" s="22">
        <v>6.3744199999999998</v>
      </c>
      <c r="I124" s="22">
        <v>-1.31866E-2</v>
      </c>
      <c r="J124" s="22">
        <v>114</v>
      </c>
      <c r="K124" s="22">
        <v>1.24481</v>
      </c>
      <c r="L124">
        <f t="shared" si="12"/>
        <v>16.279753086419749</v>
      </c>
      <c r="M124">
        <f t="shared" si="13"/>
        <v>20.2850607382716</v>
      </c>
      <c r="N124" s="9"/>
      <c r="O124" s="22">
        <v>0.47409099999999998</v>
      </c>
      <c r="P124" s="22">
        <v>10.2339</v>
      </c>
      <c r="Q124" s="22">
        <v>-1.36963E-2</v>
      </c>
      <c r="R124" s="22">
        <v>114</v>
      </c>
      <c r="S124" s="22">
        <v>0.47332800000000003</v>
      </c>
      <c r="T124">
        <f t="shared" si="14"/>
        <v>16.90901234567901</v>
      </c>
      <c r="U124">
        <f t="shared" si="15"/>
        <v>8.0164105719753067</v>
      </c>
      <c r="X124" s="9"/>
      <c r="Y124" s="22">
        <v>1.24603</v>
      </c>
      <c r="Z124" s="22">
        <v>15.710699999999999</v>
      </c>
      <c r="AA124" s="22">
        <v>-1.3330099999999999E-2</v>
      </c>
      <c r="AB124" s="22">
        <v>114</v>
      </c>
      <c r="AC124" s="22">
        <v>1.24451</v>
      </c>
      <c r="AD124">
        <f t="shared" si="16"/>
        <v>16.456913580246912</v>
      </c>
      <c r="AE124">
        <f t="shared" si="17"/>
        <v>20.505808028395059</v>
      </c>
      <c r="AF124" s="9"/>
      <c r="AG124" s="22">
        <v>0.47409099999999998</v>
      </c>
      <c r="AH124" s="22">
        <v>19.5701</v>
      </c>
      <c r="AI124" s="22">
        <v>-1.37238E-2</v>
      </c>
      <c r="AJ124" s="22">
        <v>114</v>
      </c>
      <c r="AK124" s="22">
        <v>0.47323599999999999</v>
      </c>
      <c r="AL124">
        <f t="shared" si="18"/>
        <v>16.942962962962962</v>
      </c>
      <c r="AM124">
        <f t="shared" si="19"/>
        <v>8.0325062540740735</v>
      </c>
      <c r="AP124" s="9"/>
      <c r="AQ124" s="22">
        <v>1.24603</v>
      </c>
      <c r="AR124" s="22">
        <v>25.133900000000001</v>
      </c>
      <c r="AS124" s="22">
        <v>-1.3439899999999999E-2</v>
      </c>
      <c r="AT124" s="22">
        <v>114</v>
      </c>
      <c r="AU124" s="22">
        <v>1.24512</v>
      </c>
      <c r="AV124">
        <f t="shared" si="20"/>
        <v>16.592469135802467</v>
      </c>
      <c r="AW124">
        <f t="shared" si="21"/>
        <v>20.674714317283946</v>
      </c>
      <c r="AX124" s="9"/>
      <c r="AY124" s="22">
        <v>0.47409099999999998</v>
      </c>
      <c r="AZ124" s="22">
        <v>28.993400000000001</v>
      </c>
      <c r="BA124" s="22">
        <v>-1.38E-2</v>
      </c>
      <c r="BB124" s="22">
        <v>114</v>
      </c>
      <c r="BC124" s="22">
        <v>0.473389</v>
      </c>
      <c r="BD124">
        <f t="shared" si="22"/>
        <v>17.037037037037035</v>
      </c>
      <c r="BE124">
        <f t="shared" si="23"/>
        <v>8.0771059259259239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1.2410000000000001</v>
      </c>
      <c r="H125" s="22">
        <v>6.3844900000000004</v>
      </c>
      <c r="I125" s="22">
        <v>-1.31805E-2</v>
      </c>
      <c r="J125" s="22">
        <v>115</v>
      </c>
      <c r="K125" s="22">
        <v>1.23993</v>
      </c>
      <c r="L125">
        <f t="shared" si="12"/>
        <v>16.272222222222219</v>
      </c>
      <c r="M125">
        <f t="shared" si="13"/>
        <v>20.193827777777773</v>
      </c>
      <c r="N125" s="9"/>
      <c r="O125" s="22">
        <v>0.479126</v>
      </c>
      <c r="P125" s="22">
        <v>10.244</v>
      </c>
      <c r="Q125" s="22">
        <v>-1.37024E-2</v>
      </c>
      <c r="R125" s="22">
        <v>115</v>
      </c>
      <c r="S125" s="22">
        <v>0.47836299999999998</v>
      </c>
      <c r="T125">
        <f t="shared" si="14"/>
        <v>16.916543209876544</v>
      </c>
      <c r="U125">
        <f t="shared" si="15"/>
        <v>8.1051556819753081</v>
      </c>
      <c r="X125" s="9"/>
      <c r="Y125" s="22">
        <v>1.2410000000000001</v>
      </c>
      <c r="Z125" s="22">
        <v>15.720700000000001</v>
      </c>
      <c r="AA125" s="22">
        <v>-1.3333100000000001E-2</v>
      </c>
      <c r="AB125" s="22">
        <v>115</v>
      </c>
      <c r="AC125" s="22">
        <v>1.2396199999999999</v>
      </c>
      <c r="AD125">
        <f t="shared" si="16"/>
        <v>16.460617283950615</v>
      </c>
      <c r="AE125">
        <f t="shared" si="17"/>
        <v>20.427626049382717</v>
      </c>
      <c r="AF125" s="9"/>
      <c r="AG125" s="22">
        <v>0.479126</v>
      </c>
      <c r="AH125" s="22">
        <v>19.580200000000001</v>
      </c>
      <c r="AI125" s="22">
        <v>-1.3720700000000001E-2</v>
      </c>
      <c r="AJ125" s="22">
        <v>115</v>
      </c>
      <c r="AK125" s="22">
        <v>0.47833300000000001</v>
      </c>
      <c r="AL125">
        <f t="shared" si="18"/>
        <v>16.939135802469135</v>
      </c>
      <c r="AM125">
        <f t="shared" si="19"/>
        <v>8.1159803804938271</v>
      </c>
      <c r="AP125" s="9"/>
      <c r="AQ125" s="22">
        <v>1.2410000000000001</v>
      </c>
      <c r="AR125" s="22">
        <v>25.143999999999998</v>
      </c>
      <c r="AS125" s="22">
        <v>-1.3439899999999999E-2</v>
      </c>
      <c r="AT125" s="22">
        <v>115</v>
      </c>
      <c r="AU125" s="22">
        <v>1.23993</v>
      </c>
      <c r="AV125">
        <f t="shared" si="20"/>
        <v>16.592469135802467</v>
      </c>
      <c r="AW125">
        <f t="shared" si="21"/>
        <v>20.591254197530862</v>
      </c>
      <c r="AX125" s="9"/>
      <c r="AY125" s="22">
        <v>0.479126</v>
      </c>
      <c r="AZ125" s="22">
        <v>29.003399999999999</v>
      </c>
      <c r="BA125" s="22">
        <v>-1.38123E-2</v>
      </c>
      <c r="BB125" s="22">
        <v>115</v>
      </c>
      <c r="BC125" s="22">
        <v>0.47836299999999998</v>
      </c>
      <c r="BD125">
        <f t="shared" si="22"/>
        <v>17.052222222222223</v>
      </c>
      <c r="BE125">
        <f t="shared" si="23"/>
        <v>8.1701630244444452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1.2359599999999999</v>
      </c>
      <c r="H126" s="22">
        <v>6.3945600000000002</v>
      </c>
      <c r="I126" s="22">
        <v>-1.31805E-2</v>
      </c>
      <c r="J126" s="22">
        <v>116</v>
      </c>
      <c r="K126" s="22">
        <v>1.2347399999999999</v>
      </c>
      <c r="L126">
        <f t="shared" si="12"/>
        <v>16.272222222222219</v>
      </c>
      <c r="M126">
        <f t="shared" si="13"/>
        <v>20.111815777777771</v>
      </c>
      <c r="N126" s="9"/>
      <c r="O126" s="22">
        <v>0.48416100000000001</v>
      </c>
      <c r="P126" s="22">
        <v>10.254</v>
      </c>
      <c r="Q126" s="22">
        <v>-1.37054E-2</v>
      </c>
      <c r="R126" s="22">
        <v>116</v>
      </c>
      <c r="S126" s="22">
        <v>0.48336800000000002</v>
      </c>
      <c r="T126">
        <f t="shared" si="14"/>
        <v>16.920246913580247</v>
      </c>
      <c r="U126">
        <f t="shared" si="15"/>
        <v>8.1921236659259264</v>
      </c>
      <c r="X126" s="9"/>
      <c r="Y126" s="22">
        <v>1.2359599999999999</v>
      </c>
      <c r="Z126" s="22">
        <v>15.7308</v>
      </c>
      <c r="AA126" s="22">
        <v>-1.33423E-2</v>
      </c>
      <c r="AB126" s="22">
        <v>116</v>
      </c>
      <c r="AC126" s="22">
        <v>1.2353499999999999</v>
      </c>
      <c r="AD126">
        <f t="shared" si="16"/>
        <v>16.471975308641973</v>
      </c>
      <c r="AE126">
        <f t="shared" si="17"/>
        <v>20.358702602469133</v>
      </c>
      <c r="AF126" s="9"/>
      <c r="AG126" s="22">
        <v>0.48416100000000001</v>
      </c>
      <c r="AH126" s="22">
        <v>19.590299999999999</v>
      </c>
      <c r="AI126" s="22">
        <v>-1.3726800000000001E-2</v>
      </c>
      <c r="AJ126" s="22">
        <v>116</v>
      </c>
      <c r="AK126" s="22">
        <v>0.48336800000000002</v>
      </c>
      <c r="AL126">
        <f t="shared" si="18"/>
        <v>16.946666666666665</v>
      </c>
      <c r="AM126">
        <f t="shared" si="19"/>
        <v>8.2049150799999993</v>
      </c>
      <c r="AP126" s="9"/>
      <c r="AQ126" s="22">
        <v>1.2359599999999999</v>
      </c>
      <c r="AR126" s="22">
        <v>25.154</v>
      </c>
      <c r="AS126" s="22">
        <v>-1.3443E-2</v>
      </c>
      <c r="AT126" s="22">
        <v>116</v>
      </c>
      <c r="AU126" s="22">
        <v>1.2353499999999999</v>
      </c>
      <c r="AV126">
        <f t="shared" si="20"/>
        <v>16.596296296296295</v>
      </c>
      <c r="AW126">
        <f t="shared" si="21"/>
        <v>20.512358370370368</v>
      </c>
      <c r="AX126" s="9"/>
      <c r="AY126" s="22">
        <v>0.48416100000000001</v>
      </c>
      <c r="AZ126" s="22">
        <v>29.013500000000001</v>
      </c>
      <c r="BA126" s="22">
        <v>-1.38245E-2</v>
      </c>
      <c r="BB126" s="22">
        <v>116</v>
      </c>
      <c r="BC126" s="22">
        <v>0.483429</v>
      </c>
      <c r="BD126">
        <f t="shared" si="22"/>
        <v>17.067283950617281</v>
      </c>
      <c r="BE126">
        <f t="shared" si="23"/>
        <v>8.2633132648148138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1.2309300000000001</v>
      </c>
      <c r="H127" s="22">
        <v>6.40463</v>
      </c>
      <c r="I127" s="22">
        <v>-1.31775E-2</v>
      </c>
      <c r="J127" s="22">
        <v>117</v>
      </c>
      <c r="K127" s="22">
        <v>1.22986</v>
      </c>
      <c r="L127">
        <f t="shared" si="12"/>
        <v>16.268518518518519</v>
      </c>
      <c r="M127">
        <f t="shared" si="13"/>
        <v>20.025407500000004</v>
      </c>
      <c r="N127" s="9"/>
      <c r="O127" s="22">
        <v>0.48919699999999999</v>
      </c>
      <c r="P127" s="22">
        <v>10.264099999999999</v>
      </c>
      <c r="Q127" s="22">
        <v>-1.37054E-2</v>
      </c>
      <c r="R127" s="22">
        <v>117</v>
      </c>
      <c r="S127" s="22">
        <v>0.48849500000000001</v>
      </c>
      <c r="T127">
        <f t="shared" si="14"/>
        <v>16.920246913580247</v>
      </c>
      <c r="U127">
        <f t="shared" si="15"/>
        <v>8.2773340293827165</v>
      </c>
      <c r="X127" s="9"/>
      <c r="Y127" s="22">
        <v>1.2309300000000001</v>
      </c>
      <c r="Z127" s="22">
        <v>15.7409</v>
      </c>
      <c r="AA127" s="22">
        <v>-1.33484E-2</v>
      </c>
      <c r="AB127" s="22">
        <v>117</v>
      </c>
      <c r="AC127" s="22">
        <v>1.22986</v>
      </c>
      <c r="AD127">
        <f t="shared" si="16"/>
        <v>16.479506172839503</v>
      </c>
      <c r="AE127">
        <f t="shared" si="17"/>
        <v>20.285118533333332</v>
      </c>
      <c r="AF127" s="9"/>
      <c r="AG127" s="22">
        <v>0.48919699999999999</v>
      </c>
      <c r="AH127" s="22">
        <v>19.6004</v>
      </c>
      <c r="AI127" s="22">
        <v>-1.3726800000000001E-2</v>
      </c>
      <c r="AJ127" s="22">
        <v>117</v>
      </c>
      <c r="AK127" s="22">
        <v>0.48846400000000001</v>
      </c>
      <c r="AL127">
        <f t="shared" si="18"/>
        <v>16.946666666666665</v>
      </c>
      <c r="AM127">
        <f t="shared" si="19"/>
        <v>8.290258493333333</v>
      </c>
      <c r="AP127" s="9"/>
      <c r="AQ127" s="22">
        <v>1.2309300000000001</v>
      </c>
      <c r="AR127" s="22">
        <v>25.164100000000001</v>
      </c>
      <c r="AS127" s="22">
        <v>-1.34491E-2</v>
      </c>
      <c r="AT127" s="22">
        <v>117</v>
      </c>
      <c r="AU127" s="22">
        <v>1.2301599999999999</v>
      </c>
      <c r="AV127">
        <f t="shared" si="20"/>
        <v>16.603827160493829</v>
      </c>
      <c r="AW127">
        <f t="shared" si="21"/>
        <v>20.43814896666667</v>
      </c>
      <c r="AX127" s="9"/>
      <c r="AY127" s="22">
        <v>0.48919699999999999</v>
      </c>
      <c r="AZ127" s="22">
        <v>29.023599999999998</v>
      </c>
      <c r="BA127" s="22">
        <v>-1.38245E-2</v>
      </c>
      <c r="BB127" s="22">
        <v>117</v>
      </c>
      <c r="BC127" s="22">
        <v>0.48843399999999998</v>
      </c>
      <c r="BD127">
        <f t="shared" si="22"/>
        <v>17.067283950617281</v>
      </c>
      <c r="BE127">
        <f t="shared" si="23"/>
        <v>8.3492641067901214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1.2258899999999999</v>
      </c>
      <c r="H128" s="22">
        <v>6.4146999999999998</v>
      </c>
      <c r="I128" s="22">
        <v>-1.31897E-2</v>
      </c>
      <c r="J128" s="22">
        <v>118</v>
      </c>
      <c r="K128" s="22">
        <v>1.2246699999999999</v>
      </c>
      <c r="L128">
        <f t="shared" si="12"/>
        <v>16.28358024691358</v>
      </c>
      <c r="M128">
        <f t="shared" si="13"/>
        <v>19.961878188888889</v>
      </c>
      <c r="N128" s="9"/>
      <c r="O128" s="22">
        <v>0.494232</v>
      </c>
      <c r="P128" s="22">
        <v>10.2742</v>
      </c>
      <c r="Q128" s="22">
        <v>-1.37146E-2</v>
      </c>
      <c r="R128" s="22">
        <v>118</v>
      </c>
      <c r="S128" s="22">
        <v>0.49349999999999999</v>
      </c>
      <c r="T128">
        <f t="shared" si="14"/>
        <v>16.931604938271605</v>
      </c>
      <c r="U128">
        <f t="shared" si="15"/>
        <v>8.3681409718518509</v>
      </c>
      <c r="X128" s="9"/>
      <c r="Y128" s="22">
        <v>1.2258899999999999</v>
      </c>
      <c r="Z128" s="22">
        <v>15.750999999999999</v>
      </c>
      <c r="AA128" s="22">
        <v>-1.33545E-2</v>
      </c>
      <c r="AB128" s="22">
        <v>118</v>
      </c>
      <c r="AC128" s="22">
        <v>1.22498</v>
      </c>
      <c r="AD128">
        <f t="shared" si="16"/>
        <v>16.487037037037037</v>
      </c>
      <c r="AE128">
        <f t="shared" si="17"/>
        <v>20.211293833333333</v>
      </c>
      <c r="AF128" s="9"/>
      <c r="AG128" s="22">
        <v>0.494232</v>
      </c>
      <c r="AH128" s="22">
        <v>19.610399999999998</v>
      </c>
      <c r="AI128" s="22">
        <v>-1.37299E-2</v>
      </c>
      <c r="AJ128" s="22">
        <v>118</v>
      </c>
      <c r="AK128" s="22">
        <v>0.49349999999999999</v>
      </c>
      <c r="AL128">
        <f t="shared" si="18"/>
        <v>16.950493827160493</v>
      </c>
      <c r="AM128">
        <f t="shared" si="19"/>
        <v>8.3774764651851843</v>
      </c>
      <c r="AP128" s="9"/>
      <c r="AQ128" s="22">
        <v>1.2258899999999999</v>
      </c>
      <c r="AR128" s="22">
        <v>25.174199999999999</v>
      </c>
      <c r="AS128" s="22">
        <v>-1.3458299999999999E-2</v>
      </c>
      <c r="AT128" s="22">
        <v>118</v>
      </c>
      <c r="AU128" s="22">
        <v>1.2252799999999999</v>
      </c>
      <c r="AV128">
        <f t="shared" si="20"/>
        <v>16.615185185185183</v>
      </c>
      <c r="AW128">
        <f t="shared" si="21"/>
        <v>20.368389366666662</v>
      </c>
      <c r="AX128" s="9"/>
      <c r="AY128" s="22">
        <v>0.494232</v>
      </c>
      <c r="AZ128" s="22">
        <v>29.0337</v>
      </c>
      <c r="BA128" s="22">
        <v>-1.3821399999999999E-2</v>
      </c>
      <c r="BB128" s="22">
        <v>118</v>
      </c>
      <c r="BC128" s="22">
        <v>0.49349999999999999</v>
      </c>
      <c r="BD128">
        <f t="shared" si="22"/>
        <v>17.063456790123453</v>
      </c>
      <c r="BE128">
        <f t="shared" si="23"/>
        <v>8.4333063762962954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1.2208600000000001</v>
      </c>
      <c r="H129" s="22">
        <v>6.4247699999999996</v>
      </c>
      <c r="I129" s="22">
        <v>-1.3207999999999999E-2</v>
      </c>
      <c r="J129" s="22">
        <v>119</v>
      </c>
      <c r="K129" s="22">
        <v>1.2197899999999999</v>
      </c>
      <c r="L129">
        <f t="shared" si="12"/>
        <v>16.306172839506171</v>
      </c>
      <c r="M129">
        <f t="shared" si="13"/>
        <v>19.907554172839504</v>
      </c>
      <c r="N129" s="9"/>
      <c r="O129" s="22">
        <v>0.49926799999999999</v>
      </c>
      <c r="P129" s="22">
        <v>10.2842</v>
      </c>
      <c r="Q129" s="22">
        <v>-1.3717699999999999E-2</v>
      </c>
      <c r="R129" s="22">
        <v>119</v>
      </c>
      <c r="S129" s="22">
        <v>0.49847399999999997</v>
      </c>
      <c r="T129">
        <f t="shared" si="14"/>
        <v>16.935432098765432</v>
      </c>
      <c r="U129">
        <f t="shared" si="15"/>
        <v>8.4553193130864202</v>
      </c>
      <c r="X129" s="9"/>
      <c r="Y129" s="22">
        <v>1.2208600000000001</v>
      </c>
      <c r="Z129" s="22">
        <v>15.760999999999999</v>
      </c>
      <c r="AA129" s="22">
        <v>-1.33545E-2</v>
      </c>
      <c r="AB129" s="22">
        <v>119</v>
      </c>
      <c r="AC129" s="22">
        <v>1.2200899999999999</v>
      </c>
      <c r="AD129">
        <f t="shared" si="16"/>
        <v>16.487037037037037</v>
      </c>
      <c r="AE129">
        <f t="shared" si="17"/>
        <v>20.128364037037038</v>
      </c>
      <c r="AF129" s="9"/>
      <c r="AG129" s="22">
        <v>0.49926799999999999</v>
      </c>
      <c r="AH129" s="22">
        <v>19.6205</v>
      </c>
      <c r="AI129" s="22">
        <v>-1.3726800000000001E-2</v>
      </c>
      <c r="AJ129" s="22">
        <v>119</v>
      </c>
      <c r="AK129" s="22">
        <v>0.49856600000000001</v>
      </c>
      <c r="AL129">
        <f t="shared" si="18"/>
        <v>16.946666666666665</v>
      </c>
      <c r="AM129">
        <f t="shared" si="19"/>
        <v>8.4609283733333331</v>
      </c>
      <c r="AP129" s="9"/>
      <c r="AQ129" s="22">
        <v>1.2208600000000001</v>
      </c>
      <c r="AR129" s="22">
        <v>25.1843</v>
      </c>
      <c r="AS129" s="22">
        <v>-1.34705E-2</v>
      </c>
      <c r="AT129" s="22">
        <v>119</v>
      </c>
      <c r="AU129" s="22">
        <v>1.2200899999999999</v>
      </c>
      <c r="AV129">
        <f t="shared" si="20"/>
        <v>16.630246913580244</v>
      </c>
      <c r="AW129">
        <f t="shared" si="21"/>
        <v>20.303203246913579</v>
      </c>
      <c r="AX129" s="9"/>
      <c r="AY129" s="22">
        <v>0.49926799999999999</v>
      </c>
      <c r="AZ129" s="22">
        <v>29.043700000000001</v>
      </c>
      <c r="BA129" s="22">
        <v>-1.3806199999999999E-2</v>
      </c>
      <c r="BB129" s="22">
        <v>119</v>
      </c>
      <c r="BC129" s="22">
        <v>0.49847399999999997</v>
      </c>
      <c r="BD129">
        <f t="shared" si="22"/>
        <v>17.044691358024689</v>
      </c>
      <c r="BE129">
        <f t="shared" si="23"/>
        <v>8.5098689649382706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1.2158199999999999</v>
      </c>
      <c r="H130" s="22">
        <v>6.4348400000000003</v>
      </c>
      <c r="I130" s="22">
        <v>-1.32233E-2</v>
      </c>
      <c r="J130" s="22">
        <v>120</v>
      </c>
      <c r="K130" s="22">
        <v>1.2152099999999999</v>
      </c>
      <c r="L130">
        <f t="shared" si="12"/>
        <v>16.32506172839506</v>
      </c>
      <c r="M130">
        <f t="shared" si="13"/>
        <v>19.84833655061728</v>
      </c>
      <c r="N130" s="9"/>
      <c r="O130" s="22">
        <v>0.50430299999999995</v>
      </c>
      <c r="P130" s="22">
        <v>10.2943</v>
      </c>
      <c r="Q130" s="22">
        <v>-1.3717699999999999E-2</v>
      </c>
      <c r="R130" s="22">
        <v>120</v>
      </c>
      <c r="S130" s="22">
        <v>0.50344800000000001</v>
      </c>
      <c r="T130">
        <f t="shared" si="14"/>
        <v>16.935432098765432</v>
      </c>
      <c r="U130">
        <f t="shared" si="15"/>
        <v>8.5405892137037025</v>
      </c>
      <c r="X130" s="9"/>
      <c r="Y130" s="22">
        <v>1.2158199999999999</v>
      </c>
      <c r="Z130" s="22">
        <v>15.771100000000001</v>
      </c>
      <c r="AA130" s="22">
        <v>-1.3351399999999999E-2</v>
      </c>
      <c r="AB130" s="22">
        <v>120</v>
      </c>
      <c r="AC130" s="22">
        <v>1.2149000000000001</v>
      </c>
      <c r="AD130">
        <f t="shared" si="16"/>
        <v>16.483209876543206</v>
      </c>
      <c r="AE130">
        <f t="shared" si="17"/>
        <v>20.04061623209876</v>
      </c>
      <c r="AF130" s="9"/>
      <c r="AG130" s="22">
        <v>0.50430299999999995</v>
      </c>
      <c r="AH130" s="22">
        <v>19.630600000000001</v>
      </c>
      <c r="AI130" s="22">
        <v>-1.37299E-2</v>
      </c>
      <c r="AJ130" s="22">
        <v>120</v>
      </c>
      <c r="AK130" s="22">
        <v>0.50353999999999999</v>
      </c>
      <c r="AL130">
        <f t="shared" si="18"/>
        <v>16.950493827160493</v>
      </c>
      <c r="AM130">
        <f t="shared" si="19"/>
        <v>8.5481848885185165</v>
      </c>
      <c r="AP130" s="9"/>
      <c r="AQ130" s="22">
        <v>1.2158199999999999</v>
      </c>
      <c r="AR130" s="22">
        <v>25.194299999999998</v>
      </c>
      <c r="AS130" s="22">
        <v>-1.34796E-2</v>
      </c>
      <c r="AT130" s="22">
        <v>120</v>
      </c>
      <c r="AU130" s="22">
        <v>1.2149000000000001</v>
      </c>
      <c r="AV130">
        <f t="shared" si="20"/>
        <v>16.641481481481478</v>
      </c>
      <c r="AW130">
        <f t="shared" si="21"/>
        <v>20.233046014814807</v>
      </c>
      <c r="AX130" s="9"/>
      <c r="AY130" s="22">
        <v>0.50430299999999995</v>
      </c>
      <c r="AZ130" s="22">
        <v>29.053799999999999</v>
      </c>
      <c r="BA130" s="22">
        <v>-1.37939E-2</v>
      </c>
      <c r="BB130" s="22">
        <v>120</v>
      </c>
      <c r="BC130" s="22">
        <v>0.50353999999999999</v>
      </c>
      <c r="BD130">
        <f t="shared" si="22"/>
        <v>17.029506172839504</v>
      </c>
      <c r="BE130">
        <f t="shared" si="23"/>
        <v>8.5880310514814795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1.21078</v>
      </c>
      <c r="H131" s="22">
        <v>6.4449199999999998</v>
      </c>
      <c r="I131" s="22">
        <v>-1.3229400000000001E-2</v>
      </c>
      <c r="J131" s="22">
        <v>121</v>
      </c>
      <c r="K131" s="22">
        <v>1.2097199999999999</v>
      </c>
      <c r="L131">
        <f t="shared" si="12"/>
        <v>16.332592592592594</v>
      </c>
      <c r="M131">
        <f t="shared" si="13"/>
        <v>19.77517645925926</v>
      </c>
      <c r="N131" s="9"/>
      <c r="O131" s="22">
        <v>0.50933799999999996</v>
      </c>
      <c r="P131" s="22">
        <v>10.304399999999999</v>
      </c>
      <c r="Q131" s="22">
        <v>-1.37146E-2</v>
      </c>
      <c r="R131" s="22">
        <v>121</v>
      </c>
      <c r="S131" s="22">
        <v>0.50854500000000002</v>
      </c>
      <c r="T131">
        <f t="shared" si="14"/>
        <v>16.931604938271605</v>
      </c>
      <c r="U131">
        <f t="shared" si="15"/>
        <v>8.6239097960493822</v>
      </c>
      <c r="X131" s="9"/>
      <c r="Y131" s="22">
        <v>1.21078</v>
      </c>
      <c r="Z131" s="22">
        <v>15.7812</v>
      </c>
      <c r="AA131" s="22">
        <v>-1.33606E-2</v>
      </c>
      <c r="AB131" s="22">
        <v>121</v>
      </c>
      <c r="AC131" s="22">
        <v>1.2100200000000001</v>
      </c>
      <c r="AD131">
        <f t="shared" si="16"/>
        <v>16.494567901234568</v>
      </c>
      <c r="AE131">
        <f t="shared" si="17"/>
        <v>19.97129292345679</v>
      </c>
      <c r="AF131" s="9"/>
      <c r="AG131" s="22">
        <v>0.50933799999999996</v>
      </c>
      <c r="AH131" s="22">
        <v>19.640599999999999</v>
      </c>
      <c r="AI131" s="22">
        <v>-1.3732899999999999E-2</v>
      </c>
      <c r="AJ131" s="22">
        <v>121</v>
      </c>
      <c r="AK131" s="22">
        <v>0.508575</v>
      </c>
      <c r="AL131">
        <f t="shared" si="18"/>
        <v>16.954197530864196</v>
      </c>
      <c r="AM131">
        <f t="shared" si="19"/>
        <v>8.635417061975307</v>
      </c>
      <c r="AP131" s="9"/>
      <c r="AQ131" s="22">
        <v>1.21078</v>
      </c>
      <c r="AR131" s="22">
        <v>25.2044</v>
      </c>
      <c r="AS131" s="22">
        <v>-1.34827E-2</v>
      </c>
      <c r="AT131" s="22">
        <v>121</v>
      </c>
      <c r="AU131" s="22">
        <v>1.2097199999999999</v>
      </c>
      <c r="AV131">
        <f t="shared" si="20"/>
        <v>16.645308641975308</v>
      </c>
      <c r="AW131">
        <f t="shared" si="21"/>
        <v>20.153806797530862</v>
      </c>
      <c r="AX131" s="9"/>
      <c r="AY131" s="22">
        <v>0.50933799999999996</v>
      </c>
      <c r="AZ131" s="22">
        <v>29.0639</v>
      </c>
      <c r="BA131" s="22">
        <v>-1.3787799999999999E-2</v>
      </c>
      <c r="BB131" s="22">
        <v>121</v>
      </c>
      <c r="BC131" s="22">
        <v>0.50851400000000002</v>
      </c>
      <c r="BD131">
        <f t="shared" si="22"/>
        <v>17.021975308641974</v>
      </c>
      <c r="BE131">
        <f t="shared" si="23"/>
        <v>8.6699388597530849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1.2057500000000001</v>
      </c>
      <c r="H132" s="22">
        <v>6.4549899999999996</v>
      </c>
      <c r="I132" s="22">
        <v>-1.32202E-2</v>
      </c>
      <c r="J132" s="22">
        <v>122</v>
      </c>
      <c r="K132" s="22">
        <v>1.2045300000000001</v>
      </c>
      <c r="L132">
        <f t="shared" si="12"/>
        <v>16.321234567901232</v>
      </c>
      <c r="M132">
        <f t="shared" si="13"/>
        <v>19.679328580246914</v>
      </c>
      <c r="N132" s="9"/>
      <c r="O132" s="22">
        <v>0.514374</v>
      </c>
      <c r="P132" s="22">
        <v>10.314500000000001</v>
      </c>
      <c r="Q132" s="22">
        <v>-1.3720700000000001E-2</v>
      </c>
      <c r="R132" s="22">
        <v>122</v>
      </c>
      <c r="S132" s="22">
        <v>0.51354999999999995</v>
      </c>
      <c r="T132">
        <f t="shared" si="14"/>
        <v>16.939135802469135</v>
      </c>
      <c r="U132">
        <f t="shared" si="15"/>
        <v>8.7130510392592591</v>
      </c>
      <c r="X132" s="9"/>
      <c r="Y132" s="22">
        <v>1.2057500000000001</v>
      </c>
      <c r="Z132" s="22">
        <v>15.7912</v>
      </c>
      <c r="AA132" s="22">
        <v>-1.33606E-2</v>
      </c>
      <c r="AB132" s="22">
        <v>122</v>
      </c>
      <c r="AC132" s="22">
        <v>1.2048300000000001</v>
      </c>
      <c r="AD132">
        <f t="shared" si="16"/>
        <v>16.494567901234568</v>
      </c>
      <c r="AE132">
        <f t="shared" si="17"/>
        <v>19.888325246913581</v>
      </c>
      <c r="AF132" s="9"/>
      <c r="AG132" s="22">
        <v>0.514374</v>
      </c>
      <c r="AH132" s="22">
        <v>19.650700000000001</v>
      </c>
      <c r="AI132" s="22">
        <v>-1.3736E-2</v>
      </c>
      <c r="AJ132" s="22">
        <v>122</v>
      </c>
      <c r="AK132" s="22">
        <v>0.51361100000000004</v>
      </c>
      <c r="AL132">
        <f t="shared" si="18"/>
        <v>16.958024691358023</v>
      </c>
      <c r="AM132">
        <f t="shared" si="19"/>
        <v>8.7227669925925913</v>
      </c>
      <c r="AP132" s="9"/>
      <c r="AQ132" s="22">
        <v>1.2057500000000001</v>
      </c>
      <c r="AR132" s="22">
        <v>25.214500000000001</v>
      </c>
      <c r="AS132" s="22">
        <v>-1.34857E-2</v>
      </c>
      <c r="AT132" s="22">
        <v>122</v>
      </c>
      <c r="AU132" s="22">
        <v>1.2045300000000001</v>
      </c>
      <c r="AV132">
        <f t="shared" si="20"/>
        <v>16.649012345679012</v>
      </c>
      <c r="AW132">
        <f t="shared" si="21"/>
        <v>20.07454663580247</v>
      </c>
      <c r="AX132" s="9"/>
      <c r="AY132" s="22">
        <v>0.514374</v>
      </c>
      <c r="AZ132" s="22">
        <v>29.073899999999998</v>
      </c>
      <c r="BA132" s="22">
        <v>-1.37787E-2</v>
      </c>
      <c r="BB132" s="22">
        <v>122</v>
      </c>
      <c r="BC132" s="22">
        <v>0.51354999999999995</v>
      </c>
      <c r="BD132">
        <f t="shared" si="22"/>
        <v>17.01074074074074</v>
      </c>
      <c r="BE132">
        <f t="shared" si="23"/>
        <v>8.7498827577777778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1.2007099999999999</v>
      </c>
      <c r="H133" s="22">
        <v>6.4650600000000003</v>
      </c>
      <c r="I133" s="22">
        <v>-1.32202E-2</v>
      </c>
      <c r="J133" s="22">
        <v>123</v>
      </c>
      <c r="K133" s="22">
        <v>1.1996500000000001</v>
      </c>
      <c r="L133">
        <f t="shared" si="12"/>
        <v>16.321234567901232</v>
      </c>
      <c r="M133">
        <f t="shared" si="13"/>
        <v>19.597069558024689</v>
      </c>
      <c r="N133" s="9"/>
      <c r="O133" s="22">
        <v>0.51940900000000001</v>
      </c>
      <c r="P133" s="22">
        <v>10.3245</v>
      </c>
      <c r="Q133" s="22">
        <v>-1.3717699999999999E-2</v>
      </c>
      <c r="R133" s="22">
        <v>123</v>
      </c>
      <c r="S133" s="22">
        <v>0.51861599999999997</v>
      </c>
      <c r="T133">
        <f t="shared" si="14"/>
        <v>16.935432098765432</v>
      </c>
      <c r="U133">
        <f t="shared" si="15"/>
        <v>8.7964158509876551</v>
      </c>
      <c r="X133" s="9"/>
      <c r="Y133" s="22">
        <v>1.2007099999999999</v>
      </c>
      <c r="Z133" s="22">
        <v>15.801299999999999</v>
      </c>
      <c r="AA133" s="22">
        <v>-1.33606E-2</v>
      </c>
      <c r="AB133" s="22">
        <v>123</v>
      </c>
      <c r="AC133" s="22">
        <v>1.1993400000000001</v>
      </c>
      <c r="AD133">
        <f t="shared" si="16"/>
        <v>16.494567901234568</v>
      </c>
      <c r="AE133">
        <f t="shared" si="17"/>
        <v>19.805192624691358</v>
      </c>
      <c r="AF133" s="9"/>
      <c r="AG133" s="22">
        <v>0.51940900000000001</v>
      </c>
      <c r="AH133" s="22">
        <v>19.660799999999998</v>
      </c>
      <c r="AI133" s="22">
        <v>-1.3736E-2</v>
      </c>
      <c r="AJ133" s="22">
        <v>123</v>
      </c>
      <c r="AK133" s="22">
        <v>0.51858499999999996</v>
      </c>
      <c r="AL133">
        <f t="shared" si="18"/>
        <v>16.958024691358023</v>
      </c>
      <c r="AM133">
        <f t="shared" si="19"/>
        <v>8.80815064691358</v>
      </c>
      <c r="AP133" s="9"/>
      <c r="AQ133" s="22">
        <v>1.2007099999999999</v>
      </c>
      <c r="AR133" s="22">
        <v>25.224499999999999</v>
      </c>
      <c r="AS133" s="22">
        <v>-1.34888E-2</v>
      </c>
      <c r="AT133" s="22">
        <v>123</v>
      </c>
      <c r="AU133" s="22">
        <v>1.1993400000000001</v>
      </c>
      <c r="AV133">
        <f t="shared" si="20"/>
        <v>16.652839506172839</v>
      </c>
      <c r="AW133">
        <f t="shared" si="21"/>
        <v>19.995230923456788</v>
      </c>
      <c r="AX133" s="9"/>
      <c r="AY133" s="22">
        <v>0.51940900000000001</v>
      </c>
      <c r="AZ133" s="22">
        <v>29.084</v>
      </c>
      <c r="BA133" s="22">
        <v>-1.3775600000000001E-2</v>
      </c>
      <c r="BB133" s="22">
        <v>123</v>
      </c>
      <c r="BC133" s="22">
        <v>0.51861599999999997</v>
      </c>
      <c r="BD133">
        <f t="shared" si="22"/>
        <v>17.006913580246916</v>
      </c>
      <c r="BE133">
        <f t="shared" si="23"/>
        <v>8.8335439758024705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1.1956800000000001</v>
      </c>
      <c r="H134" s="22">
        <v>6.4751300000000001</v>
      </c>
      <c r="I134" s="22">
        <v>-1.32263E-2</v>
      </c>
      <c r="J134" s="22">
        <v>124</v>
      </c>
      <c r="K134" s="22">
        <v>1.1944600000000001</v>
      </c>
      <c r="L134">
        <f t="shared" si="12"/>
        <v>16.328765432098766</v>
      </c>
      <c r="M134">
        <f t="shared" si="13"/>
        <v>19.523978251851855</v>
      </c>
      <c r="N134" s="9"/>
      <c r="O134" s="22">
        <v>0.52444500000000005</v>
      </c>
      <c r="P134" s="22">
        <v>10.3346</v>
      </c>
      <c r="Q134" s="22">
        <v>-1.3717699999999999E-2</v>
      </c>
      <c r="R134" s="22">
        <v>124</v>
      </c>
      <c r="S134" s="22">
        <v>0.52365099999999998</v>
      </c>
      <c r="T134">
        <f t="shared" si="14"/>
        <v>16.935432098765432</v>
      </c>
      <c r="U134">
        <f t="shared" si="15"/>
        <v>8.8817026870370377</v>
      </c>
      <c r="X134" s="9"/>
      <c r="Y134" s="22">
        <v>1.1956800000000001</v>
      </c>
      <c r="Z134" s="22">
        <v>15.811400000000001</v>
      </c>
      <c r="AA134" s="22">
        <v>-1.33606E-2</v>
      </c>
      <c r="AB134" s="22">
        <v>124</v>
      </c>
      <c r="AC134" s="22">
        <v>1.19476</v>
      </c>
      <c r="AD134">
        <f t="shared" si="16"/>
        <v>16.494567901234568</v>
      </c>
      <c r="AE134">
        <f t="shared" si="17"/>
        <v>19.722224948148149</v>
      </c>
      <c r="AF134" s="9"/>
      <c r="AG134" s="22">
        <v>0.52444500000000005</v>
      </c>
      <c r="AH134" s="22">
        <v>19.6709</v>
      </c>
      <c r="AI134" s="22">
        <v>-1.3736E-2</v>
      </c>
      <c r="AJ134" s="22">
        <v>124</v>
      </c>
      <c r="AK134" s="22">
        <v>0.52368199999999998</v>
      </c>
      <c r="AL134">
        <f t="shared" si="18"/>
        <v>16.958024691358023</v>
      </c>
      <c r="AM134">
        <f t="shared" si="19"/>
        <v>8.8935512592592598</v>
      </c>
      <c r="AP134" s="9"/>
      <c r="AQ134" s="22">
        <v>1.1956800000000001</v>
      </c>
      <c r="AR134" s="22">
        <v>25.2346</v>
      </c>
      <c r="AS134" s="22">
        <v>-1.34918E-2</v>
      </c>
      <c r="AT134" s="22">
        <v>124</v>
      </c>
      <c r="AU134" s="22">
        <v>1.19476</v>
      </c>
      <c r="AV134">
        <f t="shared" si="20"/>
        <v>16.656543209876542</v>
      </c>
      <c r="AW134">
        <f t="shared" si="21"/>
        <v>19.915895585185186</v>
      </c>
      <c r="AX134" s="9"/>
      <c r="AY134" s="22">
        <v>0.52444500000000005</v>
      </c>
      <c r="AZ134" s="22">
        <v>29.094100000000001</v>
      </c>
      <c r="BA134" s="22">
        <v>-1.37695E-2</v>
      </c>
      <c r="BB134" s="22">
        <v>124</v>
      </c>
      <c r="BC134" s="22">
        <v>0.523621</v>
      </c>
      <c r="BD134">
        <f t="shared" si="22"/>
        <v>16.999382716049382</v>
      </c>
      <c r="BE134">
        <f t="shared" si="23"/>
        <v>8.9152412685185194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1.1906399999999999</v>
      </c>
      <c r="H135" s="22">
        <v>6.4851999999999999</v>
      </c>
      <c r="I135" s="22">
        <v>-1.3235500000000001E-2</v>
      </c>
      <c r="J135" s="22">
        <v>125</v>
      </c>
      <c r="K135" s="22">
        <v>1.1895800000000001</v>
      </c>
      <c r="L135">
        <f t="shared" si="12"/>
        <v>16.340123456790124</v>
      </c>
      <c r="M135">
        <f t="shared" si="13"/>
        <v>19.455204592592594</v>
      </c>
      <c r="N135" s="9"/>
      <c r="O135" s="22">
        <v>0.52947999999999995</v>
      </c>
      <c r="P135" s="22">
        <v>10.3447</v>
      </c>
      <c r="Q135" s="22">
        <v>-1.37146E-2</v>
      </c>
      <c r="R135" s="22">
        <v>125</v>
      </c>
      <c r="S135" s="22">
        <v>0.52862500000000001</v>
      </c>
      <c r="T135">
        <f t="shared" si="14"/>
        <v>16.931604938271605</v>
      </c>
      <c r="U135">
        <f t="shared" si="15"/>
        <v>8.9649461827160479</v>
      </c>
      <c r="X135" s="9"/>
      <c r="Y135" s="22">
        <v>1.1906399999999999</v>
      </c>
      <c r="Z135" s="22">
        <v>15.8215</v>
      </c>
      <c r="AA135" s="22">
        <v>-1.33759E-2</v>
      </c>
      <c r="AB135" s="22">
        <v>125</v>
      </c>
      <c r="AC135" s="22">
        <v>1.18988</v>
      </c>
      <c r="AD135">
        <f t="shared" si="16"/>
        <v>16.513456790123456</v>
      </c>
      <c r="AE135">
        <f t="shared" si="17"/>
        <v>19.66158219259259</v>
      </c>
      <c r="AF135" s="9"/>
      <c r="AG135" s="22">
        <v>0.52947999999999995</v>
      </c>
      <c r="AH135" s="22">
        <v>19.680900000000001</v>
      </c>
      <c r="AI135" s="22">
        <v>-1.37451E-2</v>
      </c>
      <c r="AJ135" s="22">
        <v>125</v>
      </c>
      <c r="AK135" s="22">
        <v>0.52871699999999999</v>
      </c>
      <c r="AL135">
        <f t="shared" si="18"/>
        <v>16.969259259259257</v>
      </c>
      <c r="AM135">
        <f t="shared" si="19"/>
        <v>8.9848833925925913</v>
      </c>
      <c r="AP135" s="9"/>
      <c r="AQ135" s="22">
        <v>1.1906399999999999</v>
      </c>
      <c r="AR135" s="22">
        <v>25.244700000000002</v>
      </c>
      <c r="AS135" s="22">
        <v>-1.3494900000000001E-2</v>
      </c>
      <c r="AT135" s="22">
        <v>125</v>
      </c>
      <c r="AU135" s="22">
        <v>1.18896</v>
      </c>
      <c r="AV135">
        <f t="shared" si="20"/>
        <v>16.660370370370369</v>
      </c>
      <c r="AW135">
        <f t="shared" si="21"/>
        <v>19.836503377777774</v>
      </c>
      <c r="AX135" s="9"/>
      <c r="AY135" s="22">
        <v>0.52947999999999995</v>
      </c>
      <c r="AZ135" s="22">
        <v>29.104199999999999</v>
      </c>
      <c r="BA135" s="22">
        <v>-1.3766499999999999E-2</v>
      </c>
      <c r="BB135" s="22">
        <v>125</v>
      </c>
      <c r="BC135" s="22">
        <v>0.52868700000000002</v>
      </c>
      <c r="BD135">
        <f t="shared" si="22"/>
        <v>16.995679012345676</v>
      </c>
      <c r="BE135">
        <f t="shared" si="23"/>
        <v>8.9988721234567883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1.1856100000000001</v>
      </c>
      <c r="H136" s="22">
        <v>6.4952699999999997</v>
      </c>
      <c r="I136" s="22">
        <v>-1.32446E-2</v>
      </c>
      <c r="J136" s="22">
        <v>126</v>
      </c>
      <c r="K136" s="22">
        <v>1.18469</v>
      </c>
      <c r="L136">
        <f t="shared" si="12"/>
        <v>16.351358024691358</v>
      </c>
      <c r="M136">
        <f t="shared" si="13"/>
        <v>19.38633358765432</v>
      </c>
      <c r="N136" s="9"/>
      <c r="O136" s="22">
        <v>0.53451499999999996</v>
      </c>
      <c r="P136" s="22">
        <v>10.354699999999999</v>
      </c>
      <c r="Q136" s="22">
        <v>-1.37115E-2</v>
      </c>
      <c r="R136" s="22">
        <v>126</v>
      </c>
      <c r="S136" s="22">
        <v>0.53369100000000003</v>
      </c>
      <c r="T136">
        <f t="shared" si="14"/>
        <v>16.927777777777777</v>
      </c>
      <c r="U136">
        <f t="shared" si="15"/>
        <v>9.0481511388888887</v>
      </c>
      <c r="X136" s="9"/>
      <c r="Y136" s="22">
        <v>1.1856100000000001</v>
      </c>
      <c r="Z136" s="22">
        <v>15.8315</v>
      </c>
      <c r="AA136" s="22">
        <v>-1.33881E-2</v>
      </c>
      <c r="AB136" s="22">
        <v>126</v>
      </c>
      <c r="AC136" s="22">
        <v>1.1850000000000001</v>
      </c>
      <c r="AD136">
        <f t="shared" si="16"/>
        <v>16.528518518518517</v>
      </c>
      <c r="AE136">
        <f t="shared" si="17"/>
        <v>19.596376840740739</v>
      </c>
      <c r="AF136" s="9"/>
      <c r="AG136" s="22">
        <v>0.53451499999999996</v>
      </c>
      <c r="AH136" s="22">
        <v>19.690999999999999</v>
      </c>
      <c r="AI136" s="22">
        <v>-1.3760400000000001E-2</v>
      </c>
      <c r="AJ136" s="22">
        <v>126</v>
      </c>
      <c r="AK136" s="22">
        <v>0.533752</v>
      </c>
      <c r="AL136">
        <f t="shared" si="18"/>
        <v>16.988148148148149</v>
      </c>
      <c r="AM136">
        <f t="shared" si="19"/>
        <v>9.0804200074074064</v>
      </c>
      <c r="AP136" s="9"/>
      <c r="AQ136" s="22">
        <v>1.1856100000000001</v>
      </c>
      <c r="AR136" s="22">
        <v>25.254799999999999</v>
      </c>
      <c r="AS136" s="22">
        <v>-1.3504E-2</v>
      </c>
      <c r="AT136" s="22">
        <v>126</v>
      </c>
      <c r="AU136" s="22">
        <v>1.18469</v>
      </c>
      <c r="AV136">
        <f t="shared" si="20"/>
        <v>16.671604938271606</v>
      </c>
      <c r="AW136">
        <f t="shared" si="21"/>
        <v>19.766021530864201</v>
      </c>
      <c r="AX136" s="9"/>
      <c r="AY136" s="22">
        <v>0.53451499999999996</v>
      </c>
      <c r="AZ136" s="22">
        <v>29.1142</v>
      </c>
      <c r="BA136" s="22">
        <v>-1.37695E-2</v>
      </c>
      <c r="BB136" s="22">
        <v>126</v>
      </c>
      <c r="BC136" s="22">
        <v>0.533752</v>
      </c>
      <c r="BD136">
        <f t="shared" si="22"/>
        <v>16.999382716049382</v>
      </c>
      <c r="BE136">
        <f t="shared" si="23"/>
        <v>9.086425052469135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1.1805699999999999</v>
      </c>
      <c r="H137" s="22">
        <v>6.5053400000000003</v>
      </c>
      <c r="I137" s="22">
        <v>-1.3247699999999999E-2</v>
      </c>
      <c r="J137" s="22">
        <v>127</v>
      </c>
      <c r="K137" s="22">
        <v>1.1792</v>
      </c>
      <c r="L137">
        <f t="shared" si="12"/>
        <v>16.355185185185185</v>
      </c>
      <c r="M137">
        <f t="shared" si="13"/>
        <v>19.308440974074074</v>
      </c>
      <c r="N137" s="9"/>
      <c r="O137" s="22">
        <v>0.539551</v>
      </c>
      <c r="P137" s="22">
        <v>10.364800000000001</v>
      </c>
      <c r="Q137" s="22">
        <v>-1.3699299999999999E-2</v>
      </c>
      <c r="R137" s="22">
        <v>127</v>
      </c>
      <c r="S137" s="22">
        <v>0.538879</v>
      </c>
      <c r="T137">
        <f t="shared" si="14"/>
        <v>16.912716049382716</v>
      </c>
      <c r="U137">
        <f t="shared" si="15"/>
        <v>9.1252728571604944</v>
      </c>
      <c r="X137" s="9"/>
      <c r="Y137" s="22">
        <v>1.1805699999999999</v>
      </c>
      <c r="Z137" s="22">
        <v>15.8416</v>
      </c>
      <c r="AA137" s="22">
        <v>-1.33972E-2</v>
      </c>
      <c r="AB137" s="22">
        <v>127</v>
      </c>
      <c r="AC137" s="22">
        <v>1.1795</v>
      </c>
      <c r="AD137">
        <f t="shared" si="16"/>
        <v>16.539753086419751</v>
      </c>
      <c r="AE137">
        <f t="shared" si="17"/>
        <v>19.526336301234565</v>
      </c>
      <c r="AF137" s="9"/>
      <c r="AG137" s="22">
        <v>0.539551</v>
      </c>
      <c r="AH137" s="22">
        <v>19.7011</v>
      </c>
      <c r="AI137" s="22">
        <v>-1.3760400000000001E-2</v>
      </c>
      <c r="AJ137" s="22">
        <v>127</v>
      </c>
      <c r="AK137" s="22">
        <v>0.53872699999999996</v>
      </c>
      <c r="AL137">
        <f t="shared" si="18"/>
        <v>16.988148148148149</v>
      </c>
      <c r="AM137">
        <f t="shared" si="19"/>
        <v>9.1659723214814814</v>
      </c>
      <c r="AP137" s="9"/>
      <c r="AQ137" s="22">
        <v>1.1805699999999999</v>
      </c>
      <c r="AR137" s="22">
        <v>25.264800000000001</v>
      </c>
      <c r="AS137" s="22">
        <v>-1.35132E-2</v>
      </c>
      <c r="AT137" s="22">
        <v>127</v>
      </c>
      <c r="AU137" s="22">
        <v>1.1795</v>
      </c>
      <c r="AV137">
        <f t="shared" si="20"/>
        <v>16.682962962962961</v>
      </c>
      <c r="AW137">
        <f t="shared" si="21"/>
        <v>19.695405585185181</v>
      </c>
      <c r="AX137" s="9"/>
      <c r="AY137" s="22">
        <v>0.539551</v>
      </c>
      <c r="AZ137" s="22">
        <v>29.124300000000002</v>
      </c>
      <c r="BA137" s="22">
        <v>-1.37634E-2</v>
      </c>
      <c r="BB137" s="22">
        <v>127</v>
      </c>
      <c r="BC137" s="22">
        <v>0.53872699999999996</v>
      </c>
      <c r="BD137">
        <f t="shared" si="22"/>
        <v>16.991851851851852</v>
      </c>
      <c r="BE137">
        <f t="shared" si="23"/>
        <v>9.1679706585185183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1.17554</v>
      </c>
      <c r="H138" s="22">
        <v>6.5154100000000001</v>
      </c>
      <c r="I138" s="22">
        <v>-1.3247699999999999E-2</v>
      </c>
      <c r="J138" s="22">
        <v>128</v>
      </c>
      <c r="K138" s="22">
        <v>1.17401</v>
      </c>
      <c r="L138">
        <f t="shared" si="12"/>
        <v>16.355185185185185</v>
      </c>
      <c r="M138">
        <f t="shared" si="13"/>
        <v>19.226174392592593</v>
      </c>
      <c r="N138" s="9"/>
      <c r="O138" s="22">
        <v>0.54458600000000001</v>
      </c>
      <c r="P138" s="22">
        <v>10.3749</v>
      </c>
      <c r="Q138" s="22">
        <v>-1.3687100000000001E-2</v>
      </c>
      <c r="R138" s="22">
        <v>128</v>
      </c>
      <c r="S138" s="22">
        <v>0.54382299999999995</v>
      </c>
      <c r="T138">
        <f t="shared" si="14"/>
        <v>16.897654320987655</v>
      </c>
      <c r="U138">
        <f t="shared" si="15"/>
        <v>9.2022259760493839</v>
      </c>
      <c r="X138" s="9"/>
      <c r="Y138" s="22">
        <v>1.17554</v>
      </c>
      <c r="Z138" s="22">
        <v>15.851699999999999</v>
      </c>
      <c r="AA138" s="22">
        <v>-1.34003E-2</v>
      </c>
      <c r="AB138" s="22">
        <v>128</v>
      </c>
      <c r="AC138" s="22">
        <v>1.17432</v>
      </c>
      <c r="AD138">
        <f t="shared" si="16"/>
        <v>16.543580246913578</v>
      </c>
      <c r="AE138">
        <f t="shared" si="17"/>
        <v>19.447640323456788</v>
      </c>
      <c r="AF138" s="9"/>
      <c r="AG138" s="22">
        <v>0.54458600000000001</v>
      </c>
      <c r="AH138" s="22">
        <v>19.711099999999998</v>
      </c>
      <c r="AI138" s="22">
        <v>-1.37695E-2</v>
      </c>
      <c r="AJ138" s="22">
        <v>128</v>
      </c>
      <c r="AK138" s="22">
        <v>0.54376199999999997</v>
      </c>
      <c r="AL138">
        <f t="shared" si="18"/>
        <v>16.999382716049382</v>
      </c>
      <c r="AM138">
        <f t="shared" si="19"/>
        <v>9.2576258358024699</v>
      </c>
      <c r="AP138" s="9"/>
      <c r="AQ138" s="22">
        <v>1.17554</v>
      </c>
      <c r="AR138" s="22">
        <v>25.274899999999999</v>
      </c>
      <c r="AS138" s="22">
        <v>-1.35132E-2</v>
      </c>
      <c r="AT138" s="22">
        <v>128</v>
      </c>
      <c r="AU138" s="22">
        <v>1.17462</v>
      </c>
      <c r="AV138">
        <f t="shared" si="20"/>
        <v>16.682962962962961</v>
      </c>
      <c r="AW138">
        <f t="shared" si="21"/>
        <v>19.61149028148148</v>
      </c>
      <c r="AX138" s="9"/>
      <c r="AY138" s="22">
        <v>0.54458600000000001</v>
      </c>
      <c r="AZ138" s="22">
        <v>29.134399999999999</v>
      </c>
      <c r="BA138" s="22">
        <v>-1.37634E-2</v>
      </c>
      <c r="BB138" s="22">
        <v>128</v>
      </c>
      <c r="BC138" s="22">
        <v>0.54373199999999999</v>
      </c>
      <c r="BD138">
        <f t="shared" si="22"/>
        <v>16.991851851851852</v>
      </c>
      <c r="BE138">
        <f t="shared" si="23"/>
        <v>9.2535246325925922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1.1705000000000001</v>
      </c>
      <c r="H139" s="22">
        <v>6.5254799999999999</v>
      </c>
      <c r="I139" s="22">
        <v>-1.3250700000000001E-2</v>
      </c>
      <c r="J139" s="22">
        <v>129</v>
      </c>
      <c r="K139" s="22">
        <v>1.16913</v>
      </c>
      <c r="L139">
        <f t="shared" si="12"/>
        <v>16.358888888888888</v>
      </c>
      <c r="M139">
        <f t="shared" si="13"/>
        <v>19.148079444444445</v>
      </c>
      <c r="N139" s="9"/>
      <c r="O139" s="22">
        <v>0.54962200000000005</v>
      </c>
      <c r="P139" s="22">
        <v>10.385</v>
      </c>
      <c r="Q139" s="22">
        <v>-1.3681E-2</v>
      </c>
      <c r="R139" s="22">
        <v>129</v>
      </c>
      <c r="S139" s="22">
        <v>0.54879800000000001</v>
      </c>
      <c r="T139">
        <f t="shared" si="14"/>
        <v>16.890123456790121</v>
      </c>
      <c r="U139">
        <f t="shared" si="15"/>
        <v>9.283183434567901</v>
      </c>
      <c r="X139" s="9"/>
      <c r="Y139" s="22">
        <v>1.1705000000000001</v>
      </c>
      <c r="Z139" s="22">
        <v>15.861700000000001</v>
      </c>
      <c r="AA139" s="22">
        <v>-1.34033E-2</v>
      </c>
      <c r="AB139" s="22">
        <v>129</v>
      </c>
      <c r="AC139" s="22">
        <v>1.16943</v>
      </c>
      <c r="AD139">
        <f t="shared" si="16"/>
        <v>16.547283950617281</v>
      </c>
      <c r="AE139">
        <f t="shared" si="17"/>
        <v>19.36859586419753</v>
      </c>
      <c r="AF139" s="9"/>
      <c r="AG139" s="22">
        <v>0.54962200000000005</v>
      </c>
      <c r="AH139" s="22">
        <v>19.7212</v>
      </c>
      <c r="AI139" s="22">
        <v>-1.37695E-2</v>
      </c>
      <c r="AJ139" s="22">
        <v>129</v>
      </c>
      <c r="AK139" s="22">
        <v>0.54888899999999996</v>
      </c>
      <c r="AL139">
        <f t="shared" si="18"/>
        <v>16.999382716049382</v>
      </c>
      <c r="AM139">
        <f t="shared" si="19"/>
        <v>9.3432347271604943</v>
      </c>
      <c r="AP139" s="9"/>
      <c r="AQ139" s="22">
        <v>1.1705000000000001</v>
      </c>
      <c r="AR139" s="22">
        <v>25.285</v>
      </c>
      <c r="AS139" s="22">
        <v>-1.3516200000000001E-2</v>
      </c>
      <c r="AT139" s="22">
        <v>129</v>
      </c>
      <c r="AU139" s="22">
        <v>1.16913</v>
      </c>
      <c r="AV139">
        <f t="shared" si="20"/>
        <v>16.686666666666664</v>
      </c>
      <c r="AW139">
        <f t="shared" si="21"/>
        <v>19.531743333333331</v>
      </c>
      <c r="AX139" s="9"/>
      <c r="AY139" s="22">
        <v>0.54962200000000005</v>
      </c>
      <c r="AZ139" s="22">
        <v>29.144400000000001</v>
      </c>
      <c r="BA139" s="22">
        <v>-1.37695E-2</v>
      </c>
      <c r="BB139" s="22">
        <v>129</v>
      </c>
      <c r="BC139" s="22">
        <v>0.54888899999999996</v>
      </c>
      <c r="BD139">
        <f t="shared" si="22"/>
        <v>16.999382716049382</v>
      </c>
      <c r="BE139">
        <f t="shared" si="23"/>
        <v>9.3432347271604943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1.16547</v>
      </c>
      <c r="H140" s="22">
        <v>6.5355499999999997</v>
      </c>
      <c r="I140" s="22">
        <v>-1.3262899999999999E-2</v>
      </c>
      <c r="J140" s="22">
        <v>130</v>
      </c>
      <c r="K140" s="22">
        <v>1.16486</v>
      </c>
      <c r="L140">
        <f t="shared" ref="L140:L203" si="24">-I140/$F$2*1000</f>
        <v>16.373950617283949</v>
      </c>
      <c r="M140">
        <f t="shared" ref="M140:M203" si="25">L140*G140</f>
        <v>19.083348225925924</v>
      </c>
      <c r="N140" s="9"/>
      <c r="O140" s="22">
        <v>0.55465699999999996</v>
      </c>
      <c r="P140" s="22">
        <v>10.395</v>
      </c>
      <c r="Q140" s="22">
        <v>-1.3677999999999999E-2</v>
      </c>
      <c r="R140" s="22">
        <v>130</v>
      </c>
      <c r="S140" s="22">
        <v>0.55380200000000002</v>
      </c>
      <c r="T140">
        <f t="shared" ref="T140:T203" si="26">-Q140/$F$2*1000</f>
        <v>16.886419753086418</v>
      </c>
      <c r="U140">
        <f t="shared" ref="U140:U203" si="27">T140*O140</f>
        <v>9.3661709209876527</v>
      </c>
      <c r="X140" s="9"/>
      <c r="Y140" s="22">
        <v>1.16547</v>
      </c>
      <c r="Z140" s="22">
        <v>15.8718</v>
      </c>
      <c r="AA140" s="22">
        <v>-1.3418599999999999E-2</v>
      </c>
      <c r="AB140" s="22">
        <v>130</v>
      </c>
      <c r="AC140" s="22">
        <v>1.16394</v>
      </c>
      <c r="AD140">
        <f t="shared" ref="AD140:AD203" si="28">-AA140/$F$2*1000</f>
        <v>16.566172839506169</v>
      </c>
      <c r="AE140">
        <f t="shared" ref="AE140:AE203" si="29">AD140*Y140</f>
        <v>19.307377459259257</v>
      </c>
      <c r="AF140" s="9"/>
      <c r="AG140" s="22">
        <v>0.55465699999999996</v>
      </c>
      <c r="AH140" s="22">
        <v>19.731300000000001</v>
      </c>
      <c r="AI140" s="22">
        <v>-1.3775600000000001E-2</v>
      </c>
      <c r="AJ140" s="22">
        <v>130</v>
      </c>
      <c r="AK140" s="22">
        <v>0.55380200000000002</v>
      </c>
      <c r="AL140">
        <f t="shared" ref="AL140:AL203" si="30">-AI140/$F$2*1000</f>
        <v>17.006913580246916</v>
      </c>
      <c r="AM140">
        <f t="shared" ref="AM140:AM203" si="31">AL140*AG140</f>
        <v>9.4330036656790135</v>
      </c>
      <c r="AP140" s="9"/>
      <c r="AQ140" s="22">
        <v>1.16547</v>
      </c>
      <c r="AR140" s="22">
        <v>25.295000000000002</v>
      </c>
      <c r="AS140" s="22">
        <v>-1.35132E-2</v>
      </c>
      <c r="AT140" s="22">
        <v>130</v>
      </c>
      <c r="AU140" s="22">
        <v>1.16425</v>
      </c>
      <c r="AV140">
        <f t="shared" ref="AV140:AV203" si="32">-AS140/$F$2*1000</f>
        <v>16.682962962962961</v>
      </c>
      <c r="AW140">
        <f t="shared" ref="AW140:AW203" si="33">AV140*AQ140</f>
        <v>19.443492844444442</v>
      </c>
      <c r="AX140" s="9"/>
      <c r="AY140" s="22">
        <v>0.55465699999999996</v>
      </c>
      <c r="AZ140" s="22">
        <v>29.154499999999999</v>
      </c>
      <c r="BA140" s="22">
        <v>-1.37695E-2</v>
      </c>
      <c r="BB140" s="22">
        <v>130</v>
      </c>
      <c r="BC140" s="22">
        <v>0.553925</v>
      </c>
      <c r="BD140">
        <f t="shared" ref="BD140:BD203" si="34">-BA140/$F$2*1000</f>
        <v>16.999382716049382</v>
      </c>
      <c r="BE140">
        <f t="shared" ref="BE140:BE203" si="35">BD140*AY140</f>
        <v>9.4288266191358012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1.1604300000000001</v>
      </c>
      <c r="H141" s="22">
        <v>6.5456300000000001</v>
      </c>
      <c r="I141" s="22">
        <v>-1.3266E-2</v>
      </c>
      <c r="J141" s="22">
        <v>131</v>
      </c>
      <c r="K141" s="22">
        <v>1.1593599999999999</v>
      </c>
      <c r="L141">
        <f t="shared" si="24"/>
        <v>16.377777777777776</v>
      </c>
      <c r="M141">
        <f t="shared" si="25"/>
        <v>19.005264666666665</v>
      </c>
      <c r="N141" s="9"/>
      <c r="O141" s="22">
        <v>0.55969199999999997</v>
      </c>
      <c r="P141" s="22">
        <v>10.405099999999999</v>
      </c>
      <c r="Q141" s="22">
        <v>-1.3677999999999999E-2</v>
      </c>
      <c r="R141" s="22">
        <v>131</v>
      </c>
      <c r="S141" s="22">
        <v>0.55886800000000003</v>
      </c>
      <c r="T141">
        <f t="shared" si="26"/>
        <v>16.886419753086418</v>
      </c>
      <c r="U141">
        <f t="shared" si="27"/>
        <v>9.4511940444444438</v>
      </c>
      <c r="X141" s="9"/>
      <c r="Y141" s="22">
        <v>1.1604300000000001</v>
      </c>
      <c r="Z141" s="22">
        <v>15.8819</v>
      </c>
      <c r="AA141" s="22">
        <v>-1.34308E-2</v>
      </c>
      <c r="AB141" s="22">
        <v>131</v>
      </c>
      <c r="AC141" s="22">
        <v>1.1593599999999999</v>
      </c>
      <c r="AD141">
        <f t="shared" si="28"/>
        <v>16.581234567901234</v>
      </c>
      <c r="AE141">
        <f t="shared" si="29"/>
        <v>19.241362029629631</v>
      </c>
      <c r="AF141" s="9"/>
      <c r="AG141" s="22">
        <v>0.55969199999999997</v>
      </c>
      <c r="AH141" s="22">
        <v>19.741399999999999</v>
      </c>
      <c r="AI141" s="22">
        <v>-1.37695E-2</v>
      </c>
      <c r="AJ141" s="22">
        <v>131</v>
      </c>
      <c r="AK141" s="22">
        <v>0.55896000000000001</v>
      </c>
      <c r="AL141">
        <f t="shared" si="30"/>
        <v>16.999382716049382</v>
      </c>
      <c r="AM141">
        <f t="shared" si="31"/>
        <v>9.5144185111111099</v>
      </c>
      <c r="AP141" s="9"/>
      <c r="AQ141" s="22">
        <v>1.1604300000000001</v>
      </c>
      <c r="AR141" s="22">
        <v>25.305099999999999</v>
      </c>
      <c r="AS141" s="22">
        <v>-1.3516200000000001E-2</v>
      </c>
      <c r="AT141" s="22">
        <v>131</v>
      </c>
      <c r="AU141" s="22">
        <v>1.15967</v>
      </c>
      <c r="AV141">
        <f t="shared" si="32"/>
        <v>16.686666666666664</v>
      </c>
      <c r="AW141">
        <f t="shared" si="33"/>
        <v>19.363708599999999</v>
      </c>
      <c r="AX141" s="9"/>
      <c r="AY141" s="22">
        <v>0.55969199999999997</v>
      </c>
      <c r="AZ141" s="22">
        <v>29.1646</v>
      </c>
      <c r="BA141" s="22">
        <v>-1.37695E-2</v>
      </c>
      <c r="BB141" s="22">
        <v>131</v>
      </c>
      <c r="BC141" s="22">
        <v>0.55889900000000003</v>
      </c>
      <c r="BD141">
        <f t="shared" si="34"/>
        <v>16.999382716049382</v>
      </c>
      <c r="BE141">
        <f t="shared" si="35"/>
        <v>9.5144185111111099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1.1554</v>
      </c>
      <c r="H142" s="22">
        <v>6.5556999999999999</v>
      </c>
      <c r="I142" s="22">
        <v>-1.3269E-2</v>
      </c>
      <c r="J142" s="22">
        <v>132</v>
      </c>
      <c r="K142" s="22">
        <v>1.1541699999999999</v>
      </c>
      <c r="L142">
        <f t="shared" si="24"/>
        <v>16.38148148148148</v>
      </c>
      <c r="M142">
        <f t="shared" si="25"/>
        <v>18.927163703703702</v>
      </c>
      <c r="N142" s="9"/>
      <c r="O142" s="22">
        <v>0.56472800000000001</v>
      </c>
      <c r="P142" s="22">
        <v>10.4152</v>
      </c>
      <c r="Q142" s="22">
        <v>-1.36749E-2</v>
      </c>
      <c r="R142" s="22">
        <v>132</v>
      </c>
      <c r="S142" s="22">
        <v>0.56390399999999996</v>
      </c>
      <c r="T142">
        <f t="shared" si="26"/>
        <v>16.882592592592591</v>
      </c>
      <c r="U142">
        <f t="shared" si="27"/>
        <v>9.5340727496296296</v>
      </c>
      <c r="X142" s="9"/>
      <c r="Y142" s="22">
        <v>1.1554</v>
      </c>
      <c r="Z142" s="22">
        <v>15.891999999999999</v>
      </c>
      <c r="AA142" s="22">
        <v>-1.3427700000000001E-2</v>
      </c>
      <c r="AB142" s="22">
        <v>132</v>
      </c>
      <c r="AC142" s="22">
        <v>1.1541699999999999</v>
      </c>
      <c r="AD142">
        <f t="shared" si="28"/>
        <v>16.57740740740741</v>
      </c>
      <c r="AE142">
        <f t="shared" si="29"/>
        <v>19.153536518518521</v>
      </c>
      <c r="AF142" s="9"/>
      <c r="AG142" s="22">
        <v>0.56472800000000001</v>
      </c>
      <c r="AH142" s="22">
        <v>19.7514</v>
      </c>
      <c r="AI142" s="22">
        <v>-1.37512E-2</v>
      </c>
      <c r="AJ142" s="22">
        <v>132</v>
      </c>
      <c r="AK142" s="22">
        <v>0.56396500000000005</v>
      </c>
      <c r="AL142">
        <f t="shared" si="30"/>
        <v>16.976790123456787</v>
      </c>
      <c r="AM142">
        <f t="shared" si="31"/>
        <v>9.5872687328395045</v>
      </c>
      <c r="AP142" s="9"/>
      <c r="AQ142" s="22">
        <v>1.1554</v>
      </c>
      <c r="AR142" s="22">
        <v>25.315200000000001</v>
      </c>
      <c r="AS142" s="22">
        <v>-1.35132E-2</v>
      </c>
      <c r="AT142" s="22">
        <v>132</v>
      </c>
      <c r="AU142" s="22">
        <v>1.15448</v>
      </c>
      <c r="AV142">
        <f t="shared" si="32"/>
        <v>16.682962962962961</v>
      </c>
      <c r="AW142">
        <f t="shared" si="33"/>
        <v>19.275495407407405</v>
      </c>
      <c r="AX142" s="9"/>
      <c r="AY142" s="22">
        <v>0.56472800000000001</v>
      </c>
      <c r="AZ142" s="22">
        <v>29.174700000000001</v>
      </c>
      <c r="BA142" s="22">
        <v>-1.3766499999999999E-2</v>
      </c>
      <c r="BB142" s="22">
        <v>132</v>
      </c>
      <c r="BC142" s="22">
        <v>0.56393400000000005</v>
      </c>
      <c r="BD142">
        <f t="shared" si="34"/>
        <v>16.995679012345676</v>
      </c>
      <c r="BE142">
        <f t="shared" si="35"/>
        <v>9.5979358172839486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1.15036</v>
      </c>
      <c r="H143" s="22">
        <v>6.5657699999999997</v>
      </c>
      <c r="I143" s="22">
        <v>-1.32751E-2</v>
      </c>
      <c r="J143" s="22">
        <v>133</v>
      </c>
      <c r="K143" s="22">
        <v>1.14899</v>
      </c>
      <c r="L143">
        <f t="shared" si="24"/>
        <v>16.38901234567901</v>
      </c>
      <c r="M143">
        <f t="shared" si="25"/>
        <v>18.853264241975307</v>
      </c>
      <c r="N143" s="9"/>
      <c r="O143" s="22">
        <v>0.56976300000000002</v>
      </c>
      <c r="P143" s="22">
        <v>10.4252</v>
      </c>
      <c r="Q143" s="22">
        <v>-1.36749E-2</v>
      </c>
      <c r="R143" s="22">
        <v>133</v>
      </c>
      <c r="S143" s="22">
        <v>0.56896999999999998</v>
      </c>
      <c r="T143">
        <f t="shared" si="26"/>
        <v>16.882592592592591</v>
      </c>
      <c r="U143">
        <f t="shared" si="27"/>
        <v>9.6190766033333333</v>
      </c>
      <c r="X143" s="9"/>
      <c r="Y143" s="22">
        <v>1.15036</v>
      </c>
      <c r="Z143" s="22">
        <v>15.901999999999999</v>
      </c>
      <c r="AA143" s="22">
        <v>-1.34308E-2</v>
      </c>
      <c r="AB143" s="22">
        <v>133</v>
      </c>
      <c r="AC143" s="22">
        <v>1.1492899999999999</v>
      </c>
      <c r="AD143">
        <f t="shared" si="28"/>
        <v>16.581234567901234</v>
      </c>
      <c r="AE143">
        <f t="shared" si="29"/>
        <v>19.074388997530864</v>
      </c>
      <c r="AF143" s="9"/>
      <c r="AG143" s="22">
        <v>0.56976300000000002</v>
      </c>
      <c r="AH143" s="22">
        <v>19.761500000000002</v>
      </c>
      <c r="AI143" s="22">
        <v>-1.37421E-2</v>
      </c>
      <c r="AJ143" s="22">
        <v>133</v>
      </c>
      <c r="AK143" s="22">
        <v>0.56896999999999998</v>
      </c>
      <c r="AL143">
        <f t="shared" si="30"/>
        <v>16.965555555555554</v>
      </c>
      <c r="AM143">
        <f t="shared" si="31"/>
        <v>9.6663458299999991</v>
      </c>
      <c r="AP143" s="9"/>
      <c r="AQ143" s="22">
        <v>1.15036</v>
      </c>
      <c r="AR143" s="22">
        <v>25.325299999999999</v>
      </c>
      <c r="AS143" s="22">
        <v>-1.35132E-2</v>
      </c>
      <c r="AT143" s="22">
        <v>133</v>
      </c>
      <c r="AU143" s="22">
        <v>1.14899</v>
      </c>
      <c r="AV143">
        <f t="shared" si="32"/>
        <v>16.682962962962961</v>
      </c>
      <c r="AW143">
        <f t="shared" si="33"/>
        <v>19.191413274074073</v>
      </c>
      <c r="AX143" s="9"/>
      <c r="AY143" s="22">
        <v>0.56976300000000002</v>
      </c>
      <c r="AZ143" s="22">
        <v>29.184699999999999</v>
      </c>
      <c r="BA143" s="22">
        <v>-1.3766499999999999E-2</v>
      </c>
      <c r="BB143" s="22">
        <v>133</v>
      </c>
      <c r="BC143" s="22">
        <v>0.56893899999999997</v>
      </c>
      <c r="BD143">
        <f t="shared" si="34"/>
        <v>16.995679012345676</v>
      </c>
      <c r="BE143">
        <f t="shared" si="35"/>
        <v>9.6835090611111099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1.1453199999999999</v>
      </c>
      <c r="H144" s="22">
        <v>6.5758400000000004</v>
      </c>
      <c r="I144" s="22">
        <v>-1.32874E-2</v>
      </c>
      <c r="J144" s="22">
        <v>134</v>
      </c>
      <c r="K144" s="22">
        <v>1.1444099999999999</v>
      </c>
      <c r="L144">
        <f t="shared" si="24"/>
        <v>16.404197530864195</v>
      </c>
      <c r="M144">
        <f t="shared" si="25"/>
        <v>18.788055516049379</v>
      </c>
      <c r="N144" s="9"/>
      <c r="O144" s="22">
        <v>0.57479899999999995</v>
      </c>
      <c r="P144" s="22">
        <v>10.4353</v>
      </c>
      <c r="Q144" s="22">
        <v>-1.3681E-2</v>
      </c>
      <c r="R144" s="22">
        <v>134</v>
      </c>
      <c r="S144" s="22">
        <v>0.57403599999999999</v>
      </c>
      <c r="T144">
        <f t="shared" si="26"/>
        <v>16.890123456790121</v>
      </c>
      <c r="U144">
        <f t="shared" si="27"/>
        <v>9.7084260728395044</v>
      </c>
      <c r="X144" s="9"/>
      <c r="Y144" s="22">
        <v>1.1453199999999999</v>
      </c>
      <c r="Z144" s="22">
        <v>15.912100000000001</v>
      </c>
      <c r="AA144" s="22">
        <v>-1.3427700000000001E-2</v>
      </c>
      <c r="AB144" s="22">
        <v>134</v>
      </c>
      <c r="AC144" s="22">
        <v>1.1440999999999999</v>
      </c>
      <c r="AD144">
        <f t="shared" si="28"/>
        <v>16.57740740740741</v>
      </c>
      <c r="AE144">
        <f t="shared" si="29"/>
        <v>18.986436251851853</v>
      </c>
      <c r="AF144" s="9"/>
      <c r="AG144" s="22">
        <v>0.57479899999999995</v>
      </c>
      <c r="AH144" s="22">
        <v>19.771599999999999</v>
      </c>
      <c r="AI144" s="22">
        <v>-1.3732899999999999E-2</v>
      </c>
      <c r="AJ144" s="22">
        <v>134</v>
      </c>
      <c r="AK144" s="22">
        <v>0.57409699999999997</v>
      </c>
      <c r="AL144">
        <f t="shared" si="30"/>
        <v>16.954197530864196</v>
      </c>
      <c r="AM144">
        <f t="shared" si="31"/>
        <v>9.7452557865432077</v>
      </c>
      <c r="AP144" s="9"/>
      <c r="AQ144" s="22">
        <v>1.1453199999999999</v>
      </c>
      <c r="AR144" s="22">
        <v>25.3353</v>
      </c>
      <c r="AS144" s="22">
        <v>-1.3510100000000001E-2</v>
      </c>
      <c r="AT144" s="22">
        <v>134</v>
      </c>
      <c r="AU144" s="22">
        <v>1.1440999999999999</v>
      </c>
      <c r="AV144">
        <f t="shared" si="32"/>
        <v>16.679135802469133</v>
      </c>
      <c r="AW144">
        <f t="shared" si="33"/>
        <v>19.102947817283948</v>
      </c>
      <c r="AX144" s="9"/>
      <c r="AY144" s="22">
        <v>0.57479899999999995</v>
      </c>
      <c r="AZ144" s="22">
        <v>29.194800000000001</v>
      </c>
      <c r="BA144" s="22">
        <v>-1.3754300000000001E-2</v>
      </c>
      <c r="BB144" s="22">
        <v>134</v>
      </c>
      <c r="BC144" s="22">
        <v>0.57400499999999999</v>
      </c>
      <c r="BD144">
        <f t="shared" si="34"/>
        <v>16.980617283950615</v>
      </c>
      <c r="BE144">
        <f t="shared" si="35"/>
        <v>9.760441834197529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1.14029</v>
      </c>
      <c r="H145" s="22">
        <v>6.5859100000000002</v>
      </c>
      <c r="I145" s="22">
        <v>-1.3296499999999999E-2</v>
      </c>
      <c r="J145" s="22">
        <v>135</v>
      </c>
      <c r="K145" s="22">
        <v>1.1395299999999999</v>
      </c>
      <c r="L145">
        <f t="shared" si="24"/>
        <v>16.415432098765429</v>
      </c>
      <c r="M145">
        <f t="shared" si="25"/>
        <v>18.71835306790123</v>
      </c>
      <c r="N145" s="9"/>
      <c r="O145" s="22">
        <v>0.57983399999999996</v>
      </c>
      <c r="P145" s="22">
        <v>10.445399999999999</v>
      </c>
      <c r="Q145" s="22">
        <v>-1.3681E-2</v>
      </c>
      <c r="R145" s="22">
        <v>135</v>
      </c>
      <c r="S145" s="22">
        <v>0.57897900000000002</v>
      </c>
      <c r="T145">
        <f t="shared" si="26"/>
        <v>16.890123456790121</v>
      </c>
      <c r="U145">
        <f t="shared" si="27"/>
        <v>9.793467844444443</v>
      </c>
      <c r="X145" s="9"/>
      <c r="Y145" s="22">
        <v>1.14029</v>
      </c>
      <c r="Z145" s="22">
        <v>15.9222</v>
      </c>
      <c r="AA145" s="22">
        <v>-1.34369E-2</v>
      </c>
      <c r="AB145" s="22">
        <v>135</v>
      </c>
      <c r="AC145" s="22">
        <v>1.1395299999999999</v>
      </c>
      <c r="AD145">
        <f t="shared" si="28"/>
        <v>16.588765432098764</v>
      </c>
      <c r="AE145">
        <f t="shared" si="29"/>
        <v>18.9160033345679</v>
      </c>
      <c r="AF145" s="9"/>
      <c r="AG145" s="22">
        <v>0.57983399999999996</v>
      </c>
      <c r="AH145" s="22">
        <v>19.781600000000001</v>
      </c>
      <c r="AI145" s="22">
        <v>-1.37482E-2</v>
      </c>
      <c r="AJ145" s="22">
        <v>135</v>
      </c>
      <c r="AK145" s="22">
        <v>0.57901000000000002</v>
      </c>
      <c r="AL145">
        <f t="shared" si="30"/>
        <v>16.973086419753084</v>
      </c>
      <c r="AM145">
        <f t="shared" si="31"/>
        <v>9.8415725911111096</v>
      </c>
      <c r="AP145" s="9"/>
      <c r="AQ145" s="22">
        <v>1.14029</v>
      </c>
      <c r="AR145" s="22">
        <v>25.345400000000001</v>
      </c>
      <c r="AS145" s="22">
        <v>-1.35193E-2</v>
      </c>
      <c r="AT145" s="22">
        <v>135</v>
      </c>
      <c r="AU145" s="22">
        <v>1.1395299999999999</v>
      </c>
      <c r="AV145">
        <f t="shared" si="32"/>
        <v>16.690493827160495</v>
      </c>
      <c r="AW145">
        <f t="shared" si="33"/>
        <v>19.032003206172842</v>
      </c>
      <c r="AX145" s="9"/>
      <c r="AY145" s="22">
        <v>0.57983399999999996</v>
      </c>
      <c r="AZ145" s="22">
        <v>29.204899999999999</v>
      </c>
      <c r="BA145" s="22">
        <v>-1.3754300000000001E-2</v>
      </c>
      <c r="BB145" s="22">
        <v>135</v>
      </c>
      <c r="BC145" s="22">
        <v>0.579071</v>
      </c>
      <c r="BD145">
        <f t="shared" si="34"/>
        <v>16.980617283950615</v>
      </c>
      <c r="BE145">
        <f t="shared" si="35"/>
        <v>9.8459392422222205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1.1352500000000001</v>
      </c>
      <c r="H146" s="22">
        <v>6.59598</v>
      </c>
      <c r="I146" s="22">
        <v>-1.33087E-2</v>
      </c>
      <c r="J146" s="22">
        <v>136</v>
      </c>
      <c r="K146" s="22">
        <v>1.1343399999999999</v>
      </c>
      <c r="L146">
        <f t="shared" si="24"/>
        <v>16.430493827160493</v>
      </c>
      <c r="M146">
        <f t="shared" si="25"/>
        <v>18.65271811728395</v>
      </c>
      <c r="N146" s="9"/>
      <c r="O146" s="22">
        <v>0.58486899999999997</v>
      </c>
      <c r="P146" s="22">
        <v>10.455500000000001</v>
      </c>
      <c r="Q146" s="22">
        <v>-1.3681E-2</v>
      </c>
      <c r="R146" s="22">
        <v>136</v>
      </c>
      <c r="S146" s="22">
        <v>0.58407600000000004</v>
      </c>
      <c r="T146">
        <f t="shared" si="26"/>
        <v>16.890123456790121</v>
      </c>
      <c r="U146">
        <f t="shared" si="27"/>
        <v>9.8785096160493815</v>
      </c>
      <c r="X146" s="9"/>
      <c r="Y146" s="22">
        <v>1.1352500000000001</v>
      </c>
      <c r="Z146" s="22">
        <v>15.9322</v>
      </c>
      <c r="AA146" s="22">
        <v>-1.3446E-2</v>
      </c>
      <c r="AB146" s="22">
        <v>136</v>
      </c>
      <c r="AC146" s="22">
        <v>1.1346400000000001</v>
      </c>
      <c r="AD146">
        <f t="shared" si="28"/>
        <v>16.599999999999998</v>
      </c>
      <c r="AE146">
        <f t="shared" si="29"/>
        <v>18.84515</v>
      </c>
      <c r="AF146" s="9"/>
      <c r="AG146" s="22">
        <v>0.58486899999999997</v>
      </c>
      <c r="AH146" s="22">
        <v>19.791699999999999</v>
      </c>
      <c r="AI146" s="22">
        <v>-1.37573E-2</v>
      </c>
      <c r="AJ146" s="22">
        <v>136</v>
      </c>
      <c r="AK146" s="22">
        <v>0.58410600000000001</v>
      </c>
      <c r="AL146">
        <f t="shared" si="30"/>
        <v>16.984320987654321</v>
      </c>
      <c r="AM146">
        <f t="shared" si="31"/>
        <v>9.9336028317283951</v>
      </c>
      <c r="AP146" s="9"/>
      <c r="AQ146" s="22">
        <v>1.1352500000000001</v>
      </c>
      <c r="AR146" s="22">
        <v>25.355499999999999</v>
      </c>
      <c r="AS146" s="22">
        <v>-1.3522299999999999E-2</v>
      </c>
      <c r="AT146" s="22">
        <v>136</v>
      </c>
      <c r="AU146" s="22">
        <v>1.1343399999999999</v>
      </c>
      <c r="AV146">
        <f t="shared" si="32"/>
        <v>16.694197530864194</v>
      </c>
      <c r="AW146">
        <f t="shared" si="33"/>
        <v>18.952087746913577</v>
      </c>
      <c r="AX146" s="9"/>
      <c r="AY146" s="22">
        <v>0.58486899999999997</v>
      </c>
      <c r="AZ146" s="22">
        <v>29.2149</v>
      </c>
      <c r="BA146" s="22">
        <v>-1.37573E-2</v>
      </c>
      <c r="BB146" s="22">
        <v>136</v>
      </c>
      <c r="BC146" s="22">
        <v>0.58401499999999995</v>
      </c>
      <c r="BD146">
        <f t="shared" si="34"/>
        <v>16.984320987654321</v>
      </c>
      <c r="BE146">
        <f t="shared" si="35"/>
        <v>9.9336028317283951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1.13022</v>
      </c>
      <c r="H147" s="22">
        <v>6.6060499999999998</v>
      </c>
      <c r="I147" s="22">
        <v>-1.3317900000000001E-2</v>
      </c>
      <c r="J147" s="22">
        <v>137</v>
      </c>
      <c r="K147" s="22">
        <v>1.1297600000000001</v>
      </c>
      <c r="L147">
        <f t="shared" si="24"/>
        <v>16.441851851851851</v>
      </c>
      <c r="M147">
        <f t="shared" si="25"/>
        <v>18.582909799999999</v>
      </c>
      <c r="N147" s="9"/>
      <c r="O147" s="22">
        <v>0.58990500000000001</v>
      </c>
      <c r="P147" s="22">
        <v>10.4655</v>
      </c>
      <c r="Q147" s="22">
        <v>-1.3681E-2</v>
      </c>
      <c r="R147" s="22">
        <v>137</v>
      </c>
      <c r="S147" s="22">
        <v>0.58917200000000003</v>
      </c>
      <c r="T147">
        <f t="shared" si="26"/>
        <v>16.890123456790121</v>
      </c>
      <c r="U147">
        <f t="shared" si="27"/>
        <v>9.9635682777777763</v>
      </c>
      <c r="X147" s="9"/>
      <c r="Y147" s="22">
        <v>1.13022</v>
      </c>
      <c r="Z147" s="22">
        <v>15.942299999999999</v>
      </c>
      <c r="AA147" s="22">
        <v>-1.3443E-2</v>
      </c>
      <c r="AB147" s="22">
        <v>137</v>
      </c>
      <c r="AC147" s="22">
        <v>1.1291500000000001</v>
      </c>
      <c r="AD147">
        <f t="shared" si="28"/>
        <v>16.596296296296295</v>
      </c>
      <c r="AE147">
        <f t="shared" si="29"/>
        <v>18.757465999999997</v>
      </c>
      <c r="AF147" s="9"/>
      <c r="AG147" s="22">
        <v>0.58990500000000001</v>
      </c>
      <c r="AH147" s="22">
        <v>19.8018</v>
      </c>
      <c r="AI147" s="22">
        <v>-1.37573E-2</v>
      </c>
      <c r="AJ147" s="22">
        <v>137</v>
      </c>
      <c r="AK147" s="22">
        <v>0.58917200000000003</v>
      </c>
      <c r="AL147">
        <f t="shared" si="30"/>
        <v>16.984320987654321</v>
      </c>
      <c r="AM147">
        <f t="shared" si="31"/>
        <v>10.019135872222222</v>
      </c>
      <c r="AP147" s="9"/>
      <c r="AQ147" s="22">
        <v>1.13022</v>
      </c>
      <c r="AR147" s="22">
        <v>25.365500000000001</v>
      </c>
      <c r="AS147" s="22">
        <v>-1.35406E-2</v>
      </c>
      <c r="AT147" s="22">
        <v>137</v>
      </c>
      <c r="AU147" s="22">
        <v>1.1294599999999999</v>
      </c>
      <c r="AV147">
        <f t="shared" si="32"/>
        <v>16.716790123456789</v>
      </c>
      <c r="AW147">
        <f t="shared" si="33"/>
        <v>18.893650533333332</v>
      </c>
      <c r="AX147" s="9"/>
      <c r="AY147" s="22">
        <v>0.58990500000000001</v>
      </c>
      <c r="AZ147" s="22">
        <v>29.225000000000001</v>
      </c>
      <c r="BA147" s="22">
        <v>-1.37634E-2</v>
      </c>
      <c r="BB147" s="22">
        <v>137</v>
      </c>
      <c r="BC147" s="22">
        <v>0.58911100000000005</v>
      </c>
      <c r="BD147">
        <f t="shared" si="34"/>
        <v>16.991851851851852</v>
      </c>
      <c r="BE147">
        <f t="shared" si="35"/>
        <v>10.023578366666667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1.1251800000000001</v>
      </c>
      <c r="H148" s="22">
        <v>6.6161199999999996</v>
      </c>
      <c r="I148" s="22">
        <v>-1.3333100000000001E-2</v>
      </c>
      <c r="J148" s="22">
        <v>138</v>
      </c>
      <c r="K148" s="22">
        <v>1.1239600000000001</v>
      </c>
      <c r="L148">
        <f t="shared" si="24"/>
        <v>16.460617283950615</v>
      </c>
      <c r="M148">
        <f t="shared" si="25"/>
        <v>18.521157355555555</v>
      </c>
      <c r="N148" s="9"/>
      <c r="O148" s="22">
        <v>0.59494000000000002</v>
      </c>
      <c r="P148" s="22">
        <v>10.4756</v>
      </c>
      <c r="Q148" s="22">
        <v>-1.3677999999999999E-2</v>
      </c>
      <c r="R148" s="22">
        <v>138</v>
      </c>
      <c r="S148" s="22">
        <v>0.59417699999999996</v>
      </c>
      <c r="T148">
        <f t="shared" si="26"/>
        <v>16.886419753086418</v>
      </c>
      <c r="U148">
        <f t="shared" si="27"/>
        <v>10.046406567901235</v>
      </c>
      <c r="X148" s="9"/>
      <c r="Y148" s="22">
        <v>1.1251800000000001</v>
      </c>
      <c r="Z148" s="22">
        <v>15.952400000000001</v>
      </c>
      <c r="AA148" s="22">
        <v>-1.34491E-2</v>
      </c>
      <c r="AB148" s="22">
        <v>138</v>
      </c>
      <c r="AC148" s="22">
        <v>1.1236600000000001</v>
      </c>
      <c r="AD148">
        <f t="shared" si="28"/>
        <v>16.603827160493829</v>
      </c>
      <c r="AE148">
        <f t="shared" si="29"/>
        <v>18.682294244444446</v>
      </c>
      <c r="AF148" s="9"/>
      <c r="AG148" s="22">
        <v>0.59494000000000002</v>
      </c>
      <c r="AH148" s="22">
        <v>19.811900000000001</v>
      </c>
      <c r="AI148" s="22">
        <v>-1.3754300000000001E-2</v>
      </c>
      <c r="AJ148" s="22">
        <v>138</v>
      </c>
      <c r="AK148" s="22">
        <v>0.59411599999999998</v>
      </c>
      <c r="AL148">
        <f t="shared" si="30"/>
        <v>16.980617283950615</v>
      </c>
      <c r="AM148">
        <f t="shared" si="31"/>
        <v>10.102448446913579</v>
      </c>
      <c r="AP148" s="9"/>
      <c r="AQ148" s="22">
        <v>1.1251800000000001</v>
      </c>
      <c r="AR148" s="22">
        <v>25.375599999999999</v>
      </c>
      <c r="AS148" s="22">
        <v>-1.35529E-2</v>
      </c>
      <c r="AT148" s="22">
        <v>138</v>
      </c>
      <c r="AU148" s="22">
        <v>1.1242700000000001</v>
      </c>
      <c r="AV148">
        <f t="shared" si="32"/>
        <v>16.731975308641974</v>
      </c>
      <c r="AW148">
        <f t="shared" si="33"/>
        <v>18.826483977777777</v>
      </c>
      <c r="AX148" s="9"/>
      <c r="AY148" s="22">
        <v>0.59494000000000002</v>
      </c>
      <c r="AZ148" s="22">
        <v>29.235099999999999</v>
      </c>
      <c r="BA148" s="22">
        <v>-1.3772599999999999E-2</v>
      </c>
      <c r="BB148" s="22">
        <v>138</v>
      </c>
      <c r="BC148" s="22">
        <v>0.59414699999999998</v>
      </c>
      <c r="BD148">
        <f t="shared" si="34"/>
        <v>17.00320987654321</v>
      </c>
      <c r="BE148">
        <f t="shared" si="35"/>
        <v>10.115889683950618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1.12015</v>
      </c>
      <c r="H149" s="22">
        <v>6.6261900000000002</v>
      </c>
      <c r="I149" s="22">
        <v>-1.3339200000000001E-2</v>
      </c>
      <c r="J149" s="22">
        <v>139</v>
      </c>
      <c r="K149" s="22">
        <v>1.11938</v>
      </c>
      <c r="L149">
        <f t="shared" si="24"/>
        <v>16.468148148148149</v>
      </c>
      <c r="M149">
        <f t="shared" si="25"/>
        <v>18.446796148148149</v>
      </c>
      <c r="N149" s="9"/>
      <c r="O149" s="22">
        <v>0.59997599999999995</v>
      </c>
      <c r="P149" s="22">
        <v>10.4857</v>
      </c>
      <c r="Q149" s="22">
        <v>-1.36749E-2</v>
      </c>
      <c r="R149" s="22">
        <v>139</v>
      </c>
      <c r="S149" s="22">
        <v>0.599213</v>
      </c>
      <c r="T149">
        <f t="shared" si="26"/>
        <v>16.882592592592591</v>
      </c>
      <c r="U149">
        <f t="shared" si="27"/>
        <v>10.129150373333331</v>
      </c>
      <c r="X149" s="9"/>
      <c r="Y149" s="22">
        <v>1.12015</v>
      </c>
      <c r="Z149" s="22">
        <v>15.962400000000001</v>
      </c>
      <c r="AA149" s="22">
        <v>-1.3461300000000001E-2</v>
      </c>
      <c r="AB149" s="22">
        <v>139</v>
      </c>
      <c r="AC149" s="22">
        <v>1.1190800000000001</v>
      </c>
      <c r="AD149">
        <f t="shared" si="28"/>
        <v>16.618888888888886</v>
      </c>
      <c r="AE149">
        <f t="shared" si="29"/>
        <v>18.615648388888886</v>
      </c>
      <c r="AF149" s="9"/>
      <c r="AG149" s="22">
        <v>0.59997599999999995</v>
      </c>
      <c r="AH149" s="22">
        <v>19.821899999999999</v>
      </c>
      <c r="AI149" s="22">
        <v>-1.3754300000000001E-2</v>
      </c>
      <c r="AJ149" s="22">
        <v>139</v>
      </c>
      <c r="AK149" s="22">
        <v>0.599213</v>
      </c>
      <c r="AL149">
        <f t="shared" si="30"/>
        <v>16.980617283950615</v>
      </c>
      <c r="AM149">
        <f t="shared" si="31"/>
        <v>10.187962835555552</v>
      </c>
      <c r="AP149" s="9"/>
      <c r="AQ149" s="22">
        <v>1.12015</v>
      </c>
      <c r="AR149" s="22">
        <v>25.3857</v>
      </c>
      <c r="AS149" s="22">
        <v>-1.3561999999999999E-2</v>
      </c>
      <c r="AT149" s="22">
        <v>139</v>
      </c>
      <c r="AU149" s="22">
        <v>1.1190800000000001</v>
      </c>
      <c r="AV149">
        <f t="shared" si="32"/>
        <v>16.743209876543208</v>
      </c>
      <c r="AW149">
        <f t="shared" si="33"/>
        <v>18.754906543209874</v>
      </c>
      <c r="AX149" s="9"/>
      <c r="AY149" s="22">
        <v>0.59997599999999995</v>
      </c>
      <c r="AZ149" s="22">
        <v>29.245200000000001</v>
      </c>
      <c r="BA149" s="22">
        <v>-1.37695E-2</v>
      </c>
      <c r="BB149" s="22">
        <v>139</v>
      </c>
      <c r="BC149" s="22">
        <v>0.59924299999999997</v>
      </c>
      <c r="BD149">
        <f t="shared" si="34"/>
        <v>16.999382716049382</v>
      </c>
      <c r="BE149">
        <f t="shared" si="35"/>
        <v>10.199221644444444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1.11511</v>
      </c>
      <c r="H150" s="22">
        <v>6.63626</v>
      </c>
      <c r="I150" s="22">
        <v>-1.33484E-2</v>
      </c>
      <c r="J150" s="22">
        <v>140</v>
      </c>
      <c r="K150" s="22">
        <v>1.1145</v>
      </c>
      <c r="L150">
        <f t="shared" si="24"/>
        <v>16.479506172839503</v>
      </c>
      <c r="M150">
        <f t="shared" si="25"/>
        <v>18.376462128395058</v>
      </c>
      <c r="N150" s="9"/>
      <c r="O150" s="22">
        <v>0.60501099999999997</v>
      </c>
      <c r="P150" s="22">
        <v>10.495699999999999</v>
      </c>
      <c r="Q150" s="22">
        <v>-1.36749E-2</v>
      </c>
      <c r="R150" s="22">
        <v>140</v>
      </c>
      <c r="S150" s="22">
        <v>0.60418700000000003</v>
      </c>
      <c r="T150">
        <f t="shared" si="26"/>
        <v>16.882592592592591</v>
      </c>
      <c r="U150">
        <f t="shared" si="27"/>
        <v>10.214154227037035</v>
      </c>
      <c r="X150" s="9"/>
      <c r="Y150" s="22">
        <v>1.11511</v>
      </c>
      <c r="Z150" s="22">
        <v>15.9725</v>
      </c>
      <c r="AA150" s="22">
        <v>-1.34644E-2</v>
      </c>
      <c r="AB150" s="22">
        <v>140</v>
      </c>
      <c r="AC150" s="22">
        <v>1.11389</v>
      </c>
      <c r="AD150">
        <f t="shared" si="28"/>
        <v>16.622716049382717</v>
      </c>
      <c r="AE150">
        <f t="shared" si="29"/>
        <v>18.536156893827162</v>
      </c>
      <c r="AF150" s="9"/>
      <c r="AG150" s="22">
        <v>0.60501099999999997</v>
      </c>
      <c r="AH150" s="22">
        <v>19.832000000000001</v>
      </c>
      <c r="AI150" s="22">
        <v>-1.37634E-2</v>
      </c>
      <c r="AJ150" s="22">
        <v>140</v>
      </c>
      <c r="AK150" s="22">
        <v>0.60421800000000003</v>
      </c>
      <c r="AL150">
        <f t="shared" si="30"/>
        <v>16.991851851851852</v>
      </c>
      <c r="AM150">
        <f t="shared" si="31"/>
        <v>10.28025728074074</v>
      </c>
      <c r="AP150" s="9"/>
      <c r="AQ150" s="22">
        <v>1.11511</v>
      </c>
      <c r="AR150" s="22">
        <v>25.395800000000001</v>
      </c>
      <c r="AS150" s="22">
        <v>-1.35651E-2</v>
      </c>
      <c r="AT150" s="22">
        <v>140</v>
      </c>
      <c r="AU150" s="22">
        <v>1.1135900000000001</v>
      </c>
      <c r="AV150">
        <f t="shared" si="32"/>
        <v>16.747037037037035</v>
      </c>
      <c r="AW150">
        <f t="shared" si="33"/>
        <v>18.67478847037037</v>
      </c>
      <c r="AX150" s="9"/>
      <c r="AY150" s="22">
        <v>0.60501099999999997</v>
      </c>
      <c r="AZ150" s="22">
        <v>29.255199999999999</v>
      </c>
      <c r="BA150" s="22">
        <v>-1.37695E-2</v>
      </c>
      <c r="BB150" s="22">
        <v>140</v>
      </c>
      <c r="BC150" s="22">
        <v>0.60415600000000003</v>
      </c>
      <c r="BD150">
        <f t="shared" si="34"/>
        <v>16.999382716049382</v>
      </c>
      <c r="BE150">
        <f t="shared" si="35"/>
        <v>10.284813536419753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1.11008</v>
      </c>
      <c r="H151" s="22">
        <v>6.6463400000000004</v>
      </c>
      <c r="I151" s="22">
        <v>-1.3351399999999999E-2</v>
      </c>
      <c r="J151" s="22">
        <v>141</v>
      </c>
      <c r="K151" s="22">
        <v>1.1090100000000001</v>
      </c>
      <c r="L151">
        <f t="shared" si="24"/>
        <v>16.483209876543206</v>
      </c>
      <c r="M151">
        <f t="shared" si="25"/>
        <v>18.297681619753082</v>
      </c>
      <c r="N151" s="9"/>
      <c r="O151" s="22">
        <v>0.61004599999999998</v>
      </c>
      <c r="P151" s="22">
        <v>10.505800000000001</v>
      </c>
      <c r="Q151" s="22">
        <v>-1.3681E-2</v>
      </c>
      <c r="R151" s="22">
        <v>141</v>
      </c>
      <c r="S151" s="22">
        <v>0.60928300000000002</v>
      </c>
      <c r="T151">
        <f t="shared" si="26"/>
        <v>16.890123456790121</v>
      </c>
      <c r="U151">
        <f t="shared" si="27"/>
        <v>10.303752254320987</v>
      </c>
      <c r="X151" s="9"/>
      <c r="Y151" s="22">
        <v>1.11008</v>
      </c>
      <c r="Z151" s="22">
        <v>15.9826</v>
      </c>
      <c r="AA151" s="22">
        <v>-1.3461300000000001E-2</v>
      </c>
      <c r="AB151" s="22">
        <v>141</v>
      </c>
      <c r="AC151" s="22">
        <v>1.1087</v>
      </c>
      <c r="AD151">
        <f t="shared" si="28"/>
        <v>16.618888888888886</v>
      </c>
      <c r="AE151">
        <f t="shared" si="29"/>
        <v>18.448296177777774</v>
      </c>
      <c r="AF151" s="9"/>
      <c r="AG151" s="22">
        <v>0.61004599999999998</v>
      </c>
      <c r="AH151" s="22">
        <v>19.842099999999999</v>
      </c>
      <c r="AI151" s="22">
        <v>-1.37573E-2</v>
      </c>
      <c r="AJ151" s="22">
        <v>141</v>
      </c>
      <c r="AK151" s="22">
        <v>0.60928300000000002</v>
      </c>
      <c r="AL151">
        <f t="shared" si="30"/>
        <v>16.984320987654321</v>
      </c>
      <c r="AM151">
        <f t="shared" si="31"/>
        <v>10.361217081234567</v>
      </c>
      <c r="AP151" s="9"/>
      <c r="AQ151" s="22">
        <v>1.11008</v>
      </c>
      <c r="AR151" s="22">
        <v>25.405799999999999</v>
      </c>
      <c r="AS151" s="22">
        <v>-1.35681E-2</v>
      </c>
      <c r="AT151" s="22">
        <v>141</v>
      </c>
      <c r="AU151" s="22">
        <v>1.1096200000000001</v>
      </c>
      <c r="AV151">
        <f t="shared" si="32"/>
        <v>16.750740740740738</v>
      </c>
      <c r="AW151">
        <f t="shared" si="33"/>
        <v>18.594662281481479</v>
      </c>
      <c r="AX151" s="9"/>
      <c r="AY151" s="22">
        <v>0.61004599999999998</v>
      </c>
      <c r="AZ151" s="22">
        <v>29.2653</v>
      </c>
      <c r="BA151" s="22">
        <v>-1.37695E-2</v>
      </c>
      <c r="BB151" s="22">
        <v>141</v>
      </c>
      <c r="BC151" s="22">
        <v>0.60922200000000004</v>
      </c>
      <c r="BD151">
        <f t="shared" si="34"/>
        <v>16.999382716049382</v>
      </c>
      <c r="BE151">
        <f t="shared" si="35"/>
        <v>10.370405428395062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1.10504</v>
      </c>
      <c r="H152" s="22">
        <v>6.6564100000000002</v>
      </c>
      <c r="I152" s="22">
        <v>-1.3351399999999999E-2</v>
      </c>
      <c r="J152" s="22">
        <v>142</v>
      </c>
      <c r="K152" s="22">
        <v>1.10382</v>
      </c>
      <c r="L152">
        <f t="shared" si="24"/>
        <v>16.483209876543206</v>
      </c>
      <c r="M152">
        <f t="shared" si="25"/>
        <v>18.214606241975304</v>
      </c>
      <c r="N152" s="9"/>
      <c r="O152" s="22">
        <v>0.61508200000000002</v>
      </c>
      <c r="P152" s="22">
        <v>10.5159</v>
      </c>
      <c r="Q152" s="22">
        <v>-1.3671900000000001E-2</v>
      </c>
      <c r="R152" s="22">
        <v>142</v>
      </c>
      <c r="S152" s="22">
        <v>0.61425799999999997</v>
      </c>
      <c r="T152">
        <f t="shared" si="26"/>
        <v>16.878888888888888</v>
      </c>
      <c r="U152">
        <f t="shared" si="27"/>
        <v>10.381900735555556</v>
      </c>
      <c r="X152" s="9"/>
      <c r="Y152" s="22">
        <v>1.10504</v>
      </c>
      <c r="Z152" s="22">
        <v>15.992699999999999</v>
      </c>
      <c r="AA152" s="22">
        <v>-1.3467399999999999E-2</v>
      </c>
      <c r="AB152" s="22">
        <v>142</v>
      </c>
      <c r="AC152" s="22">
        <v>1.1035200000000001</v>
      </c>
      <c r="AD152">
        <f t="shared" si="28"/>
        <v>16.626419753086417</v>
      </c>
      <c r="AE152">
        <f t="shared" si="29"/>
        <v>18.372858883950613</v>
      </c>
      <c r="AF152" s="9"/>
      <c r="AG152" s="22">
        <v>0.61508200000000002</v>
      </c>
      <c r="AH152" s="22">
        <v>19.8521</v>
      </c>
      <c r="AI152" s="22">
        <v>-1.37451E-2</v>
      </c>
      <c r="AJ152" s="22">
        <v>142</v>
      </c>
      <c r="AK152" s="22">
        <v>0.61422699999999997</v>
      </c>
      <c r="AL152">
        <f t="shared" si="30"/>
        <v>16.969259259259257</v>
      </c>
      <c r="AM152">
        <f t="shared" si="31"/>
        <v>10.437485923703703</v>
      </c>
      <c r="AP152" s="9"/>
      <c r="AQ152" s="22">
        <v>1.10504</v>
      </c>
      <c r="AR152" s="22">
        <v>25.415900000000001</v>
      </c>
      <c r="AS152" s="22">
        <v>-1.35742E-2</v>
      </c>
      <c r="AT152" s="22">
        <v>142</v>
      </c>
      <c r="AU152" s="22">
        <v>1.10443</v>
      </c>
      <c r="AV152">
        <f t="shared" si="32"/>
        <v>16.758271604938273</v>
      </c>
      <c r="AW152">
        <f t="shared" si="33"/>
        <v>18.518560454320991</v>
      </c>
      <c r="AX152" s="9"/>
      <c r="AY152" s="22">
        <v>0.61508200000000002</v>
      </c>
      <c r="AZ152" s="22">
        <v>29.275400000000001</v>
      </c>
      <c r="BA152" s="22">
        <v>-1.3775600000000001E-2</v>
      </c>
      <c r="BB152" s="22">
        <v>142</v>
      </c>
      <c r="BC152" s="22">
        <v>0.61431899999999995</v>
      </c>
      <c r="BD152">
        <f t="shared" si="34"/>
        <v>17.006913580246916</v>
      </c>
      <c r="BE152">
        <f t="shared" si="35"/>
        <v>10.460646418765434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1.1000099999999999</v>
      </c>
      <c r="H153" s="22">
        <v>6.66648</v>
      </c>
      <c r="I153" s="22">
        <v>-1.33575E-2</v>
      </c>
      <c r="J153" s="22">
        <v>143</v>
      </c>
      <c r="K153" s="22">
        <v>1.09863</v>
      </c>
      <c r="L153">
        <f t="shared" si="24"/>
        <v>16.49074074074074</v>
      </c>
      <c r="M153">
        <f t="shared" si="25"/>
        <v>18.139979722222222</v>
      </c>
      <c r="N153" s="9"/>
      <c r="O153" s="22">
        <v>0.62011700000000003</v>
      </c>
      <c r="P153" s="22">
        <v>10.526</v>
      </c>
      <c r="Q153" s="22">
        <v>-1.36597E-2</v>
      </c>
      <c r="R153" s="22">
        <v>143</v>
      </c>
      <c r="S153" s="22">
        <v>0.61935399999999996</v>
      </c>
      <c r="T153">
        <f t="shared" si="26"/>
        <v>16.863827160493827</v>
      </c>
      <c r="U153">
        <f t="shared" si="27"/>
        <v>10.457545907283951</v>
      </c>
      <c r="X153" s="9"/>
      <c r="Y153" s="22">
        <v>1.1000099999999999</v>
      </c>
      <c r="Z153" s="22">
        <v>16.002700000000001</v>
      </c>
      <c r="AA153" s="22">
        <v>-1.34705E-2</v>
      </c>
      <c r="AB153" s="22">
        <v>143</v>
      </c>
      <c r="AC153" s="22">
        <v>1.09863</v>
      </c>
      <c r="AD153">
        <f t="shared" si="28"/>
        <v>16.630246913580244</v>
      </c>
      <c r="AE153">
        <f t="shared" si="29"/>
        <v>18.293437907407402</v>
      </c>
      <c r="AF153" s="9"/>
      <c r="AG153" s="22">
        <v>0.62011700000000003</v>
      </c>
      <c r="AH153" s="22">
        <v>19.862200000000001</v>
      </c>
      <c r="AI153" s="22">
        <v>-1.3738999999999999E-2</v>
      </c>
      <c r="AJ153" s="22">
        <v>143</v>
      </c>
      <c r="AK153" s="22">
        <v>0.61929299999999998</v>
      </c>
      <c r="AL153">
        <f t="shared" si="30"/>
        <v>16.961728395061726</v>
      </c>
      <c r="AM153">
        <f t="shared" si="31"/>
        <v>10.518256127160493</v>
      </c>
      <c r="AP153" s="9"/>
      <c r="AQ153" s="22">
        <v>1.1000099999999999</v>
      </c>
      <c r="AR153" s="22">
        <v>25.425999999999998</v>
      </c>
      <c r="AS153" s="22">
        <v>-1.35742E-2</v>
      </c>
      <c r="AT153" s="22">
        <v>143</v>
      </c>
      <c r="AU153" s="22">
        <v>1.09955</v>
      </c>
      <c r="AV153">
        <f t="shared" si="32"/>
        <v>16.758271604938273</v>
      </c>
      <c r="AW153">
        <f t="shared" si="33"/>
        <v>18.434266348148149</v>
      </c>
      <c r="AX153" s="9"/>
      <c r="AY153" s="22">
        <v>0.62011700000000003</v>
      </c>
      <c r="AZ153" s="22">
        <v>29.285399999999999</v>
      </c>
      <c r="BA153" s="22">
        <v>-1.3766499999999999E-2</v>
      </c>
      <c r="BB153" s="22">
        <v>143</v>
      </c>
      <c r="BC153" s="22">
        <v>0.61932399999999999</v>
      </c>
      <c r="BD153">
        <f t="shared" si="34"/>
        <v>16.995679012345676</v>
      </c>
      <c r="BE153">
        <f t="shared" si="35"/>
        <v>10.539309482098764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1.09497</v>
      </c>
      <c r="H154" s="22">
        <v>6.6765499999999998</v>
      </c>
      <c r="I154" s="22">
        <v>-1.33575E-2</v>
      </c>
      <c r="J154" s="22">
        <v>144</v>
      </c>
      <c r="K154" s="22">
        <v>1.09406</v>
      </c>
      <c r="L154">
        <f t="shared" si="24"/>
        <v>16.49074074074074</v>
      </c>
      <c r="M154">
        <f t="shared" si="25"/>
        <v>18.056866388888889</v>
      </c>
      <c r="N154" s="9"/>
      <c r="O154" s="22">
        <v>0.62515299999999996</v>
      </c>
      <c r="P154" s="22">
        <v>10.536</v>
      </c>
      <c r="Q154" s="22">
        <v>-1.3650499999999999E-2</v>
      </c>
      <c r="R154" s="22">
        <v>144</v>
      </c>
      <c r="S154" s="22">
        <v>0.62432900000000002</v>
      </c>
      <c r="T154">
        <f t="shared" si="26"/>
        <v>16.852469135802469</v>
      </c>
      <c r="U154">
        <f t="shared" si="27"/>
        <v>10.53537163765432</v>
      </c>
      <c r="X154" s="9"/>
      <c r="Y154" s="22">
        <v>1.09497</v>
      </c>
      <c r="Z154" s="22">
        <v>16.012799999999999</v>
      </c>
      <c r="AA154" s="22">
        <v>-1.34644E-2</v>
      </c>
      <c r="AB154" s="22">
        <v>144</v>
      </c>
      <c r="AC154" s="22">
        <v>1.09406</v>
      </c>
      <c r="AD154">
        <f t="shared" si="28"/>
        <v>16.622716049382717</v>
      </c>
      <c r="AE154">
        <f t="shared" si="29"/>
        <v>18.201375392592595</v>
      </c>
      <c r="AF154" s="9"/>
      <c r="AG154" s="22">
        <v>0.62515299999999996</v>
      </c>
      <c r="AH154" s="22">
        <v>19.872299999999999</v>
      </c>
      <c r="AI154" s="22">
        <v>-1.37299E-2</v>
      </c>
      <c r="AJ154" s="22">
        <v>144</v>
      </c>
      <c r="AK154" s="22">
        <v>0.62445099999999998</v>
      </c>
      <c r="AL154">
        <f t="shared" si="30"/>
        <v>16.950493827160493</v>
      </c>
      <c r="AM154">
        <f t="shared" si="31"/>
        <v>10.596652067530863</v>
      </c>
      <c r="AP154" s="9"/>
      <c r="AQ154" s="22">
        <v>1.09497</v>
      </c>
      <c r="AR154" s="22">
        <v>25.436</v>
      </c>
      <c r="AS154" s="22">
        <v>-1.35742E-2</v>
      </c>
      <c r="AT154" s="22">
        <v>144</v>
      </c>
      <c r="AU154" s="22">
        <v>1.09436</v>
      </c>
      <c r="AV154">
        <f t="shared" si="32"/>
        <v>16.758271604938273</v>
      </c>
      <c r="AW154">
        <f t="shared" si="33"/>
        <v>18.349804659259259</v>
      </c>
      <c r="AX154" s="9"/>
      <c r="AY154" s="22">
        <v>0.62515299999999996</v>
      </c>
      <c r="AZ154" s="22">
        <v>29.295500000000001</v>
      </c>
      <c r="BA154" s="22">
        <v>-1.37482E-2</v>
      </c>
      <c r="BB154" s="22">
        <v>144</v>
      </c>
      <c r="BC154" s="22">
        <v>0.62439</v>
      </c>
      <c r="BD154">
        <f t="shared" si="34"/>
        <v>16.973086419753084</v>
      </c>
      <c r="BE154">
        <f t="shared" si="35"/>
        <v>10.610775894567899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1.0899399999999999</v>
      </c>
      <c r="H155" s="22">
        <v>6.6866199999999996</v>
      </c>
      <c r="I155" s="22">
        <v>-1.33667E-2</v>
      </c>
      <c r="J155" s="22">
        <v>145</v>
      </c>
      <c r="K155" s="22">
        <v>1.08856</v>
      </c>
      <c r="L155">
        <f t="shared" si="24"/>
        <v>16.502098765432098</v>
      </c>
      <c r="M155">
        <f t="shared" si="25"/>
        <v>17.98629752839506</v>
      </c>
      <c r="N155" s="9"/>
      <c r="O155" s="22">
        <v>0.63018799999999997</v>
      </c>
      <c r="P155" s="22">
        <v>10.546099999999999</v>
      </c>
      <c r="Q155" s="22">
        <v>-1.3650499999999999E-2</v>
      </c>
      <c r="R155" s="22">
        <v>145</v>
      </c>
      <c r="S155" s="22">
        <v>0.62939500000000004</v>
      </c>
      <c r="T155">
        <f t="shared" si="26"/>
        <v>16.852469135802469</v>
      </c>
      <c r="U155">
        <f t="shared" si="27"/>
        <v>10.620223819753086</v>
      </c>
      <c r="X155" s="9"/>
      <c r="Y155" s="22">
        <v>1.0899399999999999</v>
      </c>
      <c r="Z155" s="22">
        <v>16.0229</v>
      </c>
      <c r="AA155" s="22">
        <v>-1.3458299999999999E-2</v>
      </c>
      <c r="AB155" s="22">
        <v>145</v>
      </c>
      <c r="AC155" s="22">
        <v>1.08856</v>
      </c>
      <c r="AD155">
        <f t="shared" si="28"/>
        <v>16.615185185185183</v>
      </c>
      <c r="AE155">
        <f t="shared" si="29"/>
        <v>18.109554940740736</v>
      </c>
      <c r="AF155" s="9"/>
      <c r="AG155" s="22">
        <v>0.63018799999999997</v>
      </c>
      <c r="AH155" s="22">
        <v>19.882300000000001</v>
      </c>
      <c r="AI155" s="22">
        <v>-1.37238E-2</v>
      </c>
      <c r="AJ155" s="22">
        <v>145</v>
      </c>
      <c r="AK155" s="22">
        <v>0.62939500000000004</v>
      </c>
      <c r="AL155">
        <f t="shared" si="30"/>
        <v>16.942962962962962</v>
      </c>
      <c r="AM155">
        <f t="shared" si="31"/>
        <v>10.677251943703704</v>
      </c>
      <c r="AP155" s="9"/>
      <c r="AQ155" s="22">
        <v>1.0899399999999999</v>
      </c>
      <c r="AR155" s="22">
        <v>25.446100000000001</v>
      </c>
      <c r="AS155" s="22">
        <v>-1.35742E-2</v>
      </c>
      <c r="AT155" s="22">
        <v>145</v>
      </c>
      <c r="AU155" s="22">
        <v>1.08856</v>
      </c>
      <c r="AV155">
        <f t="shared" si="32"/>
        <v>16.758271604938273</v>
      </c>
      <c r="AW155">
        <f t="shared" si="33"/>
        <v>18.265510553086418</v>
      </c>
      <c r="AX155" s="9"/>
      <c r="AY155" s="22">
        <v>0.63018799999999997</v>
      </c>
      <c r="AZ155" s="22">
        <v>29.305599999999998</v>
      </c>
      <c r="BA155" s="22">
        <v>-1.37421E-2</v>
      </c>
      <c r="BB155" s="22">
        <v>145</v>
      </c>
      <c r="BC155" s="22">
        <v>0.62948599999999999</v>
      </c>
      <c r="BD155">
        <f t="shared" si="34"/>
        <v>16.965555555555554</v>
      </c>
      <c r="BE155">
        <f t="shared" si="35"/>
        <v>10.691489524444442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1.0849</v>
      </c>
      <c r="H156" s="22">
        <v>6.6966900000000003</v>
      </c>
      <c r="I156" s="22">
        <v>-1.3378900000000001E-2</v>
      </c>
      <c r="J156" s="22">
        <v>146</v>
      </c>
      <c r="K156" s="22">
        <v>1.08368</v>
      </c>
      <c r="L156">
        <f t="shared" si="24"/>
        <v>16.517160493827159</v>
      </c>
      <c r="M156">
        <f t="shared" si="25"/>
        <v>17.919467419753083</v>
      </c>
      <c r="N156" s="9"/>
      <c r="O156" s="22">
        <v>0.63522299999999998</v>
      </c>
      <c r="P156" s="22">
        <v>10.5562</v>
      </c>
      <c r="Q156" s="22">
        <v>-1.36536E-2</v>
      </c>
      <c r="R156" s="22">
        <v>146</v>
      </c>
      <c r="S156" s="22">
        <v>0.634521</v>
      </c>
      <c r="T156">
        <f t="shared" si="26"/>
        <v>16.856296296296296</v>
      </c>
      <c r="U156">
        <f t="shared" si="27"/>
        <v>10.707507102222221</v>
      </c>
      <c r="X156" s="9"/>
      <c r="Y156" s="22">
        <v>1.0849</v>
      </c>
      <c r="Z156" s="22">
        <v>16.032900000000001</v>
      </c>
      <c r="AA156" s="22">
        <v>-1.3458299999999999E-2</v>
      </c>
      <c r="AB156" s="22">
        <v>146</v>
      </c>
      <c r="AC156" s="22">
        <v>1.0839799999999999</v>
      </c>
      <c r="AD156">
        <f t="shared" si="28"/>
        <v>16.615185185185183</v>
      </c>
      <c r="AE156">
        <f t="shared" si="29"/>
        <v>18.025814407407406</v>
      </c>
      <c r="AF156" s="9"/>
      <c r="AG156" s="22">
        <v>0.63522299999999998</v>
      </c>
      <c r="AH156" s="22">
        <v>19.892399999999999</v>
      </c>
      <c r="AI156" s="22">
        <v>-1.3717699999999999E-2</v>
      </c>
      <c r="AJ156" s="22">
        <v>146</v>
      </c>
      <c r="AK156" s="22">
        <v>0.63446000000000002</v>
      </c>
      <c r="AL156">
        <f t="shared" si="30"/>
        <v>16.935432098765432</v>
      </c>
      <c r="AM156">
        <f t="shared" si="31"/>
        <v>10.757775984074074</v>
      </c>
      <c r="AP156" s="9"/>
      <c r="AQ156" s="22">
        <v>1.0849</v>
      </c>
      <c r="AR156" s="22">
        <v>25.456199999999999</v>
      </c>
      <c r="AS156" s="22">
        <v>-1.35651E-2</v>
      </c>
      <c r="AT156" s="22">
        <v>146</v>
      </c>
      <c r="AU156" s="22">
        <v>1.08368</v>
      </c>
      <c r="AV156">
        <f t="shared" si="32"/>
        <v>16.747037037037035</v>
      </c>
      <c r="AW156">
        <f t="shared" si="33"/>
        <v>18.168860481481481</v>
      </c>
      <c r="AX156" s="9"/>
      <c r="AY156" s="22">
        <v>0.63522299999999998</v>
      </c>
      <c r="AZ156" s="22">
        <v>29.3156</v>
      </c>
      <c r="BA156" s="22">
        <v>-1.3726800000000001E-2</v>
      </c>
      <c r="BB156" s="22">
        <v>146</v>
      </c>
      <c r="BC156" s="22">
        <v>0.63446000000000002</v>
      </c>
      <c r="BD156">
        <f t="shared" si="34"/>
        <v>16.946666666666665</v>
      </c>
      <c r="BE156">
        <f t="shared" si="35"/>
        <v>10.764912439999998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1.07986</v>
      </c>
      <c r="H157" s="22">
        <v>6.7067600000000001</v>
      </c>
      <c r="I157" s="22">
        <v>-1.3378900000000001E-2</v>
      </c>
      <c r="J157" s="22">
        <v>147</v>
      </c>
      <c r="K157" s="22">
        <v>1.0784899999999999</v>
      </c>
      <c r="L157">
        <f t="shared" si="24"/>
        <v>16.517160493827159</v>
      </c>
      <c r="M157">
        <f t="shared" si="25"/>
        <v>17.836220930864197</v>
      </c>
      <c r="N157" s="9"/>
      <c r="O157" s="22">
        <v>0.64025900000000002</v>
      </c>
      <c r="P157" s="22">
        <v>10.5662</v>
      </c>
      <c r="Q157" s="22">
        <v>-1.3644399999999999E-2</v>
      </c>
      <c r="R157" s="22">
        <v>147</v>
      </c>
      <c r="S157" s="22">
        <v>0.63949599999999995</v>
      </c>
      <c r="T157">
        <f t="shared" si="26"/>
        <v>16.844938271604939</v>
      </c>
      <c r="U157">
        <f t="shared" si="27"/>
        <v>10.785123332839508</v>
      </c>
      <c r="X157" s="9"/>
      <c r="Y157" s="22">
        <v>1.07986</v>
      </c>
      <c r="Z157" s="22">
        <v>16.042999999999999</v>
      </c>
      <c r="AA157" s="22">
        <v>-1.34644E-2</v>
      </c>
      <c r="AB157" s="22">
        <v>147</v>
      </c>
      <c r="AC157" s="22">
        <v>1.0784899999999999</v>
      </c>
      <c r="AD157">
        <f t="shared" si="28"/>
        <v>16.622716049382717</v>
      </c>
      <c r="AE157">
        <f t="shared" si="29"/>
        <v>17.950206153086423</v>
      </c>
      <c r="AF157" s="9"/>
      <c r="AG157" s="22">
        <v>0.64025900000000002</v>
      </c>
      <c r="AH157" s="22">
        <v>19.9025</v>
      </c>
      <c r="AI157" s="22">
        <v>-1.37115E-2</v>
      </c>
      <c r="AJ157" s="22">
        <v>147</v>
      </c>
      <c r="AK157" s="22">
        <v>0.63946499999999995</v>
      </c>
      <c r="AL157">
        <f t="shared" si="30"/>
        <v>16.927777777777777</v>
      </c>
      <c r="AM157">
        <f t="shared" si="31"/>
        <v>10.838162072222222</v>
      </c>
      <c r="AP157" s="9"/>
      <c r="AQ157" s="22">
        <v>1.07986</v>
      </c>
      <c r="AR157" s="22">
        <v>25.466200000000001</v>
      </c>
      <c r="AS157" s="22">
        <v>-1.35651E-2</v>
      </c>
      <c r="AT157" s="22">
        <v>147</v>
      </c>
      <c r="AU157" s="22">
        <v>1.0790999999999999</v>
      </c>
      <c r="AV157">
        <f t="shared" si="32"/>
        <v>16.747037037037035</v>
      </c>
      <c r="AW157">
        <f t="shared" si="33"/>
        <v>18.084455414814812</v>
      </c>
      <c r="AX157" s="9"/>
      <c r="AY157" s="22">
        <v>0.64025900000000002</v>
      </c>
      <c r="AZ157" s="22">
        <v>29.325700000000001</v>
      </c>
      <c r="BA157" s="22">
        <v>-1.3726800000000001E-2</v>
      </c>
      <c r="BB157" s="22">
        <v>147</v>
      </c>
      <c r="BC157" s="22">
        <v>0.63940399999999997</v>
      </c>
      <c r="BD157">
        <f t="shared" si="34"/>
        <v>16.946666666666665</v>
      </c>
      <c r="BE157">
        <f t="shared" si="35"/>
        <v>10.850255853333334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1.07483</v>
      </c>
      <c r="H158" s="22">
        <v>6.7168299999999999</v>
      </c>
      <c r="I158" s="22">
        <v>-1.3384999999999999E-2</v>
      </c>
      <c r="J158" s="22">
        <v>148</v>
      </c>
      <c r="K158" s="22">
        <v>1.0739099999999999</v>
      </c>
      <c r="L158">
        <f t="shared" si="24"/>
        <v>16.52469135802469</v>
      </c>
      <c r="M158">
        <f t="shared" si="25"/>
        <v>17.761234012345675</v>
      </c>
      <c r="N158" s="9"/>
      <c r="O158" s="22">
        <v>0.64529400000000003</v>
      </c>
      <c r="P158" s="22">
        <v>10.5763</v>
      </c>
      <c r="Q158" s="22">
        <v>-1.36414E-2</v>
      </c>
      <c r="R158" s="22">
        <v>148</v>
      </c>
      <c r="S158" s="22">
        <v>0.64444000000000001</v>
      </c>
      <c r="T158">
        <f t="shared" si="26"/>
        <v>16.841234567901232</v>
      </c>
      <c r="U158">
        <f t="shared" si="27"/>
        <v>10.867547619259257</v>
      </c>
      <c r="X158" s="9"/>
      <c r="Y158" s="22">
        <v>1.07483</v>
      </c>
      <c r="Z158" s="22">
        <v>16.053100000000001</v>
      </c>
      <c r="AA158" s="22">
        <v>-1.3473499999999999E-2</v>
      </c>
      <c r="AB158" s="22">
        <v>148</v>
      </c>
      <c r="AC158" s="22">
        <v>1.0739099999999999</v>
      </c>
      <c r="AD158">
        <f t="shared" si="28"/>
        <v>16.633950617283947</v>
      </c>
      <c r="AE158">
        <f t="shared" si="29"/>
        <v>17.878669141975305</v>
      </c>
      <c r="AF158" s="9"/>
      <c r="AG158" s="22">
        <v>0.64529400000000003</v>
      </c>
      <c r="AH158" s="22">
        <v>19.912600000000001</v>
      </c>
      <c r="AI158" s="22">
        <v>-1.37054E-2</v>
      </c>
      <c r="AJ158" s="22">
        <v>148</v>
      </c>
      <c r="AK158" s="22">
        <v>0.64456199999999997</v>
      </c>
      <c r="AL158">
        <f t="shared" si="30"/>
        <v>16.920246913580247</v>
      </c>
      <c r="AM158">
        <f t="shared" si="31"/>
        <v>10.918533811851852</v>
      </c>
      <c r="AP158" s="9"/>
      <c r="AQ158" s="22">
        <v>1.07483</v>
      </c>
      <c r="AR158" s="22">
        <v>25.476299999999998</v>
      </c>
      <c r="AS158" s="22">
        <v>-1.3559E-2</v>
      </c>
      <c r="AT158" s="22">
        <v>148</v>
      </c>
      <c r="AU158" s="22">
        <v>1.0739099999999999</v>
      </c>
      <c r="AV158">
        <f t="shared" si="32"/>
        <v>16.739506172839505</v>
      </c>
      <c r="AW158">
        <f t="shared" si="33"/>
        <v>17.992123419753085</v>
      </c>
      <c r="AX158" s="9"/>
      <c r="AY158" s="22">
        <v>0.64529400000000003</v>
      </c>
      <c r="AZ158" s="22">
        <v>29.335799999999999</v>
      </c>
      <c r="BA158" s="22">
        <v>-1.3726800000000001E-2</v>
      </c>
      <c r="BB158" s="22">
        <v>148</v>
      </c>
      <c r="BC158" s="22">
        <v>0.64453099999999997</v>
      </c>
      <c r="BD158">
        <f t="shared" si="34"/>
        <v>16.946666666666665</v>
      </c>
      <c r="BE158">
        <f t="shared" si="35"/>
        <v>10.93558232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1.06979</v>
      </c>
      <c r="H159" s="22">
        <v>6.7268999999999997</v>
      </c>
      <c r="I159" s="22">
        <v>-1.33911E-2</v>
      </c>
      <c r="J159" s="22">
        <v>149</v>
      </c>
      <c r="K159" s="22">
        <v>1.0684199999999999</v>
      </c>
      <c r="L159">
        <f t="shared" si="24"/>
        <v>16.53222222222222</v>
      </c>
      <c r="M159">
        <f t="shared" si="25"/>
        <v>17.686006011111107</v>
      </c>
      <c r="N159" s="9"/>
      <c r="O159" s="22">
        <v>0.65032999999999996</v>
      </c>
      <c r="P159" s="22">
        <v>10.586399999999999</v>
      </c>
      <c r="Q159" s="22">
        <v>-1.3644399999999999E-2</v>
      </c>
      <c r="R159" s="22">
        <v>149</v>
      </c>
      <c r="S159" s="22">
        <v>0.64950600000000003</v>
      </c>
      <c r="T159">
        <f t="shared" si="26"/>
        <v>16.844938271604939</v>
      </c>
      <c r="U159">
        <f t="shared" si="27"/>
        <v>10.954768706172839</v>
      </c>
      <c r="X159" s="9"/>
      <c r="Y159" s="22">
        <v>1.06979</v>
      </c>
      <c r="Z159" s="22">
        <v>16.063199999999998</v>
      </c>
      <c r="AA159" s="22">
        <v>-1.3494900000000001E-2</v>
      </c>
      <c r="AB159" s="22">
        <v>149</v>
      </c>
      <c r="AC159" s="22">
        <v>1.0690299999999999</v>
      </c>
      <c r="AD159">
        <f t="shared" si="28"/>
        <v>16.660370370370369</v>
      </c>
      <c r="AE159">
        <f t="shared" si="29"/>
        <v>17.823097618518517</v>
      </c>
      <c r="AF159" s="9"/>
      <c r="AG159" s="22">
        <v>0.65032999999999996</v>
      </c>
      <c r="AH159" s="22">
        <v>19.922599999999999</v>
      </c>
      <c r="AI159" s="22">
        <v>-1.37085E-2</v>
      </c>
      <c r="AJ159" s="22">
        <v>149</v>
      </c>
      <c r="AK159" s="22">
        <v>0.649536</v>
      </c>
      <c r="AL159">
        <f t="shared" si="30"/>
        <v>16.924074074074074</v>
      </c>
      <c r="AM159">
        <f t="shared" si="31"/>
        <v>11.006233092592591</v>
      </c>
      <c r="AP159" s="9"/>
      <c r="AQ159" s="22">
        <v>1.06979</v>
      </c>
      <c r="AR159" s="22">
        <v>25.4864</v>
      </c>
      <c r="AS159" s="22">
        <v>-1.3559E-2</v>
      </c>
      <c r="AT159" s="22">
        <v>149</v>
      </c>
      <c r="AU159" s="22">
        <v>1.06873</v>
      </c>
      <c r="AV159">
        <f t="shared" si="32"/>
        <v>16.739506172839505</v>
      </c>
      <c r="AW159">
        <f t="shared" si="33"/>
        <v>17.907756308641975</v>
      </c>
      <c r="AX159" s="9"/>
      <c r="AY159" s="22">
        <v>0.65032999999999996</v>
      </c>
      <c r="AZ159" s="22">
        <v>29.3459</v>
      </c>
      <c r="BA159" s="22">
        <v>-1.3738999999999999E-2</v>
      </c>
      <c r="BB159" s="22">
        <v>149</v>
      </c>
      <c r="BC159" s="22">
        <v>0.64950600000000003</v>
      </c>
      <c r="BD159">
        <f t="shared" si="34"/>
        <v>16.961728395061726</v>
      </c>
      <c r="BE159">
        <f t="shared" si="35"/>
        <v>11.030720827160492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1.0647599999999999</v>
      </c>
      <c r="H160" s="22">
        <v>6.7369700000000003</v>
      </c>
      <c r="I160" s="22">
        <v>-1.33911E-2</v>
      </c>
      <c r="J160" s="22">
        <v>150</v>
      </c>
      <c r="K160" s="22">
        <v>1.0638399999999999</v>
      </c>
      <c r="L160">
        <f t="shared" si="24"/>
        <v>16.53222222222222</v>
      </c>
      <c r="M160">
        <f t="shared" si="25"/>
        <v>17.60284893333333</v>
      </c>
      <c r="N160" s="9"/>
      <c r="O160" s="22">
        <v>0.65536499999999998</v>
      </c>
      <c r="P160" s="22">
        <v>10.596399999999999</v>
      </c>
      <c r="Q160" s="22">
        <v>-1.36414E-2</v>
      </c>
      <c r="R160" s="22">
        <v>150</v>
      </c>
      <c r="S160" s="22">
        <v>0.65454100000000004</v>
      </c>
      <c r="T160">
        <f t="shared" si="26"/>
        <v>16.841234567901232</v>
      </c>
      <c r="U160">
        <f t="shared" si="27"/>
        <v>11.03715569259259</v>
      </c>
      <c r="X160" s="9"/>
      <c r="Y160" s="22">
        <v>1.0647599999999999</v>
      </c>
      <c r="Z160" s="22">
        <v>16.0732</v>
      </c>
      <c r="AA160" s="22">
        <v>-1.34979E-2</v>
      </c>
      <c r="AB160" s="22">
        <v>150</v>
      </c>
      <c r="AC160" s="22">
        <v>1.0638399999999999</v>
      </c>
      <c r="AD160">
        <f t="shared" si="28"/>
        <v>16.664074074074072</v>
      </c>
      <c r="AE160">
        <f t="shared" si="29"/>
        <v>17.74323951111111</v>
      </c>
      <c r="AF160" s="9"/>
      <c r="AG160" s="22">
        <v>0.65536499999999998</v>
      </c>
      <c r="AH160" s="22">
        <v>19.932700000000001</v>
      </c>
      <c r="AI160" s="22">
        <v>-1.37085E-2</v>
      </c>
      <c r="AJ160" s="22">
        <v>150</v>
      </c>
      <c r="AK160" s="22">
        <v>0.65460200000000002</v>
      </c>
      <c r="AL160">
        <f t="shared" si="30"/>
        <v>16.924074074074074</v>
      </c>
      <c r="AM160">
        <f t="shared" si="31"/>
        <v>11.091445805555555</v>
      </c>
      <c r="AP160" s="9"/>
      <c r="AQ160" s="22">
        <v>1.0647599999999999</v>
      </c>
      <c r="AR160" s="22">
        <v>25.496500000000001</v>
      </c>
      <c r="AS160" s="22">
        <v>-1.3559E-2</v>
      </c>
      <c r="AT160" s="22">
        <v>150</v>
      </c>
      <c r="AU160" s="22">
        <v>1.0635399999999999</v>
      </c>
      <c r="AV160">
        <f t="shared" si="32"/>
        <v>16.739506172839505</v>
      </c>
      <c r="AW160">
        <f t="shared" si="33"/>
        <v>17.823556592592592</v>
      </c>
      <c r="AX160" s="9"/>
      <c r="AY160" s="22">
        <v>0.65536499999999998</v>
      </c>
      <c r="AZ160" s="22">
        <v>29.355899999999998</v>
      </c>
      <c r="BA160" s="22">
        <v>-1.37421E-2</v>
      </c>
      <c r="BB160" s="22">
        <v>150</v>
      </c>
      <c r="BC160" s="22">
        <v>0.65454100000000004</v>
      </c>
      <c r="BD160">
        <f t="shared" si="34"/>
        <v>16.965555555555554</v>
      </c>
      <c r="BE160">
        <f t="shared" si="35"/>
        <v>11.118631316666665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1.05972</v>
      </c>
      <c r="H161" s="22">
        <v>6.7470499999999998</v>
      </c>
      <c r="I161" s="22">
        <v>-1.33972E-2</v>
      </c>
      <c r="J161" s="22">
        <v>151</v>
      </c>
      <c r="K161" s="22">
        <v>1.0586500000000001</v>
      </c>
      <c r="L161">
        <f t="shared" si="24"/>
        <v>16.539753086419751</v>
      </c>
      <c r="M161">
        <f t="shared" si="25"/>
        <v>17.527507140740738</v>
      </c>
      <c r="N161" s="9"/>
      <c r="O161" s="22">
        <v>0.66039999999999999</v>
      </c>
      <c r="P161" s="22">
        <v>10.6065</v>
      </c>
      <c r="Q161" s="22">
        <v>-1.36566E-2</v>
      </c>
      <c r="R161" s="22">
        <v>151</v>
      </c>
      <c r="S161" s="22">
        <v>0.65954599999999997</v>
      </c>
      <c r="T161">
        <f t="shared" si="26"/>
        <v>16.86</v>
      </c>
      <c r="U161">
        <f t="shared" si="27"/>
        <v>11.134343999999999</v>
      </c>
      <c r="X161" s="9"/>
      <c r="Y161" s="22">
        <v>1.05972</v>
      </c>
      <c r="Z161" s="22">
        <v>16.083300000000001</v>
      </c>
      <c r="AA161" s="22">
        <v>-1.3507099999999999E-2</v>
      </c>
      <c r="AB161" s="22">
        <v>151</v>
      </c>
      <c r="AC161" s="22">
        <v>1.0586500000000001</v>
      </c>
      <c r="AD161">
        <f t="shared" si="28"/>
        <v>16.67543209876543</v>
      </c>
      <c r="AE161">
        <f t="shared" si="29"/>
        <v>17.671288903703701</v>
      </c>
      <c r="AF161" s="9"/>
      <c r="AG161" s="22">
        <v>0.66039999999999999</v>
      </c>
      <c r="AH161" s="22">
        <v>19.942799999999998</v>
      </c>
      <c r="AI161" s="22">
        <v>-1.37115E-2</v>
      </c>
      <c r="AJ161" s="22">
        <v>151</v>
      </c>
      <c r="AK161" s="22">
        <v>0.65960700000000005</v>
      </c>
      <c r="AL161">
        <f t="shared" si="30"/>
        <v>16.927777777777777</v>
      </c>
      <c r="AM161">
        <f t="shared" si="31"/>
        <v>11.179104444444445</v>
      </c>
      <c r="AP161" s="9"/>
      <c r="AQ161" s="22">
        <v>1.05972</v>
      </c>
      <c r="AR161" s="22">
        <v>25.506499999999999</v>
      </c>
      <c r="AS161" s="22">
        <v>-1.35681E-2</v>
      </c>
      <c r="AT161" s="22">
        <v>151</v>
      </c>
      <c r="AU161" s="22">
        <v>1.0586500000000001</v>
      </c>
      <c r="AV161">
        <f t="shared" si="32"/>
        <v>16.750740740740738</v>
      </c>
      <c r="AW161">
        <f t="shared" si="33"/>
        <v>17.751094977777775</v>
      </c>
      <c r="AX161" s="9"/>
      <c r="AY161" s="22">
        <v>0.66039999999999999</v>
      </c>
      <c r="AZ161" s="22">
        <v>29.366</v>
      </c>
      <c r="BA161" s="22">
        <v>-1.37421E-2</v>
      </c>
      <c r="BB161" s="22">
        <v>151</v>
      </c>
      <c r="BC161" s="22">
        <v>0.65963700000000003</v>
      </c>
      <c r="BD161">
        <f t="shared" si="34"/>
        <v>16.965555555555554</v>
      </c>
      <c r="BE161">
        <f t="shared" si="35"/>
        <v>11.204052888888887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1.0546899999999999</v>
      </c>
      <c r="H162" s="22">
        <v>6.7571199999999996</v>
      </c>
      <c r="I162" s="22">
        <v>-1.3412500000000001E-2</v>
      </c>
      <c r="J162" s="22">
        <v>152</v>
      </c>
      <c r="K162" s="22">
        <v>1.0531600000000001</v>
      </c>
      <c r="L162">
        <f t="shared" si="24"/>
        <v>16.558641975308642</v>
      </c>
      <c r="M162">
        <f t="shared" si="25"/>
        <v>17.464234104938271</v>
      </c>
      <c r="N162" s="9"/>
      <c r="O162" s="22">
        <v>0.66543600000000003</v>
      </c>
      <c r="P162" s="22">
        <v>10.6166</v>
      </c>
      <c r="Q162" s="22">
        <v>-1.36597E-2</v>
      </c>
      <c r="R162" s="22">
        <v>152</v>
      </c>
      <c r="S162" s="22">
        <v>0.66464199999999996</v>
      </c>
      <c r="T162">
        <f t="shared" si="26"/>
        <v>16.863827160493827</v>
      </c>
      <c r="U162">
        <f t="shared" si="27"/>
        <v>11.221797690370371</v>
      </c>
      <c r="X162" s="9"/>
      <c r="Y162" s="22">
        <v>1.0546899999999999</v>
      </c>
      <c r="Z162" s="22">
        <v>16.093399999999999</v>
      </c>
      <c r="AA162" s="22">
        <v>-1.3522299999999999E-2</v>
      </c>
      <c r="AB162" s="22">
        <v>152</v>
      </c>
      <c r="AC162" s="22">
        <v>1.0537700000000001</v>
      </c>
      <c r="AD162">
        <f t="shared" si="28"/>
        <v>16.694197530864194</v>
      </c>
      <c r="AE162">
        <f t="shared" si="29"/>
        <v>17.607203193827157</v>
      </c>
      <c r="AF162" s="9"/>
      <c r="AG162" s="22">
        <v>0.66543600000000003</v>
      </c>
      <c r="AH162" s="22">
        <v>19.9528</v>
      </c>
      <c r="AI162" s="22">
        <v>-1.37085E-2</v>
      </c>
      <c r="AJ162" s="22">
        <v>152</v>
      </c>
      <c r="AK162" s="22">
        <v>0.66470300000000004</v>
      </c>
      <c r="AL162">
        <f t="shared" si="30"/>
        <v>16.924074074074074</v>
      </c>
      <c r="AM162">
        <f t="shared" si="31"/>
        <v>11.261888155555557</v>
      </c>
      <c r="AP162" s="9"/>
      <c r="AQ162" s="22">
        <v>1.0546899999999999</v>
      </c>
      <c r="AR162" s="22">
        <v>25.5166</v>
      </c>
      <c r="AS162" s="22">
        <v>-1.35803E-2</v>
      </c>
      <c r="AT162" s="22">
        <v>152</v>
      </c>
      <c r="AU162" s="22">
        <v>1.0537700000000001</v>
      </c>
      <c r="AV162">
        <f t="shared" si="32"/>
        <v>16.765802469135803</v>
      </c>
      <c r="AW162">
        <f t="shared" si="33"/>
        <v>17.682724206172839</v>
      </c>
      <c r="AX162" s="9"/>
      <c r="AY162" s="22">
        <v>0.66543600000000003</v>
      </c>
      <c r="AZ162" s="22">
        <v>29.376100000000001</v>
      </c>
      <c r="BA162" s="22">
        <v>-1.37421E-2</v>
      </c>
      <c r="BB162" s="22">
        <v>152</v>
      </c>
      <c r="BC162" s="22">
        <v>0.66464199999999996</v>
      </c>
      <c r="BD162">
        <f t="shared" si="34"/>
        <v>16.965555555555554</v>
      </c>
      <c r="BE162">
        <f t="shared" si="35"/>
        <v>11.289491426666666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1.04965</v>
      </c>
      <c r="H163" s="22">
        <v>6.7671900000000003</v>
      </c>
      <c r="I163" s="22">
        <v>-1.3412500000000001E-2</v>
      </c>
      <c r="J163" s="22">
        <v>153</v>
      </c>
      <c r="K163" s="22">
        <v>1.0482800000000001</v>
      </c>
      <c r="L163">
        <f t="shared" si="24"/>
        <v>16.558641975308642</v>
      </c>
      <c r="M163">
        <f t="shared" si="25"/>
        <v>17.380778549382715</v>
      </c>
      <c r="N163" s="9"/>
      <c r="O163" s="22">
        <v>0.67047100000000004</v>
      </c>
      <c r="P163" s="22">
        <v>10.6267</v>
      </c>
      <c r="Q163" s="22">
        <v>-1.36597E-2</v>
      </c>
      <c r="R163" s="22">
        <v>153</v>
      </c>
      <c r="S163" s="22">
        <v>0.66970799999999997</v>
      </c>
      <c r="T163">
        <f t="shared" si="26"/>
        <v>16.863827160493827</v>
      </c>
      <c r="U163">
        <f t="shared" si="27"/>
        <v>11.306707060123458</v>
      </c>
      <c r="X163" s="9"/>
      <c r="Y163" s="22">
        <v>1.04965</v>
      </c>
      <c r="Z163" s="22">
        <v>16.103400000000001</v>
      </c>
      <c r="AA163" s="22">
        <v>-1.35254E-2</v>
      </c>
      <c r="AB163" s="22">
        <v>153</v>
      </c>
      <c r="AC163" s="22">
        <v>1.0482800000000001</v>
      </c>
      <c r="AD163">
        <f t="shared" si="28"/>
        <v>16.698024691358025</v>
      </c>
      <c r="AE163">
        <f t="shared" si="29"/>
        <v>17.527081617283951</v>
      </c>
      <c r="AF163" s="9"/>
      <c r="AG163" s="22">
        <v>0.67047100000000004</v>
      </c>
      <c r="AH163" s="22">
        <v>19.962900000000001</v>
      </c>
      <c r="AI163" s="22">
        <v>-1.37024E-2</v>
      </c>
      <c r="AJ163" s="22">
        <v>153</v>
      </c>
      <c r="AK163" s="22">
        <v>0.669678</v>
      </c>
      <c r="AL163">
        <f t="shared" si="30"/>
        <v>16.916543209876544</v>
      </c>
      <c r="AM163">
        <f t="shared" si="31"/>
        <v>11.342051642469137</v>
      </c>
      <c r="AP163" s="9"/>
      <c r="AQ163" s="22">
        <v>1.04965</v>
      </c>
      <c r="AR163" s="22">
        <v>25.526700000000002</v>
      </c>
      <c r="AS163" s="22">
        <v>-1.3583400000000001E-2</v>
      </c>
      <c r="AT163" s="22">
        <v>153</v>
      </c>
      <c r="AU163" s="22">
        <v>1.0479700000000001</v>
      </c>
      <c r="AV163">
        <f t="shared" si="32"/>
        <v>16.76962962962963</v>
      </c>
      <c r="AW163">
        <f t="shared" si="33"/>
        <v>17.602241740740741</v>
      </c>
      <c r="AX163" s="9"/>
      <c r="AY163" s="22">
        <v>0.67047100000000004</v>
      </c>
      <c r="AZ163" s="22">
        <v>29.386099999999999</v>
      </c>
      <c r="BA163" s="22">
        <v>-1.3736E-2</v>
      </c>
      <c r="BB163" s="22">
        <v>153</v>
      </c>
      <c r="BC163" s="22">
        <v>0.66961700000000002</v>
      </c>
      <c r="BD163">
        <f t="shared" si="34"/>
        <v>16.958024691358023</v>
      </c>
      <c r="BE163">
        <f t="shared" si="35"/>
        <v>11.369863772839507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1.0446200000000001</v>
      </c>
      <c r="H164" s="22">
        <v>6.7772600000000001</v>
      </c>
      <c r="I164" s="22">
        <v>-1.34155E-2</v>
      </c>
      <c r="J164" s="22">
        <v>154</v>
      </c>
      <c r="K164" s="22">
        <v>1.0430900000000001</v>
      </c>
      <c r="L164">
        <f t="shared" si="24"/>
        <v>16.562345679012346</v>
      </c>
      <c r="M164">
        <f t="shared" si="25"/>
        <v>17.301357543209878</v>
      </c>
      <c r="N164" s="9"/>
      <c r="O164" s="22">
        <v>0.67550699999999997</v>
      </c>
      <c r="P164" s="22">
        <v>10.636699999999999</v>
      </c>
      <c r="Q164" s="22">
        <v>-1.36475E-2</v>
      </c>
      <c r="R164" s="22">
        <v>154</v>
      </c>
      <c r="S164" s="22">
        <v>0.67474400000000001</v>
      </c>
      <c r="T164">
        <f t="shared" si="26"/>
        <v>16.848765432098766</v>
      </c>
      <c r="U164">
        <f t="shared" si="27"/>
        <v>11.381458990740741</v>
      </c>
      <c r="X164" s="9"/>
      <c r="Y164" s="22">
        <v>1.0446200000000001</v>
      </c>
      <c r="Z164" s="22">
        <v>16.113499999999998</v>
      </c>
      <c r="AA164" s="22">
        <v>-1.35254E-2</v>
      </c>
      <c r="AB164" s="22">
        <v>154</v>
      </c>
      <c r="AC164" s="22">
        <v>1.0434000000000001</v>
      </c>
      <c r="AD164">
        <f t="shared" si="28"/>
        <v>16.698024691358025</v>
      </c>
      <c r="AE164">
        <f t="shared" si="29"/>
        <v>17.443090553086421</v>
      </c>
      <c r="AF164" s="9"/>
      <c r="AG164" s="22">
        <v>0.67550699999999997</v>
      </c>
      <c r="AH164" s="22">
        <v>19.972999999999999</v>
      </c>
      <c r="AI164" s="22">
        <v>-1.37085E-2</v>
      </c>
      <c r="AJ164" s="22">
        <v>154</v>
      </c>
      <c r="AK164" s="22">
        <v>0.67468300000000003</v>
      </c>
      <c r="AL164">
        <f t="shared" si="30"/>
        <v>16.924074074074074</v>
      </c>
      <c r="AM164">
        <f t="shared" si="31"/>
        <v>11.432330505555555</v>
      </c>
      <c r="AP164" s="9"/>
      <c r="AQ164" s="22">
        <v>1.0446200000000001</v>
      </c>
      <c r="AR164" s="22">
        <v>25.5367</v>
      </c>
      <c r="AS164" s="22">
        <v>-1.3583400000000001E-2</v>
      </c>
      <c r="AT164" s="22">
        <v>154</v>
      </c>
      <c r="AU164" s="22">
        <v>1.0434000000000001</v>
      </c>
      <c r="AV164">
        <f t="shared" si="32"/>
        <v>16.76962962962963</v>
      </c>
      <c r="AW164">
        <f t="shared" si="33"/>
        <v>17.517890503703708</v>
      </c>
      <c r="AX164" s="9"/>
      <c r="AY164" s="22">
        <v>0.67550699999999997</v>
      </c>
      <c r="AZ164" s="22">
        <v>29.3962</v>
      </c>
      <c r="BA164" s="22">
        <v>-1.37299E-2</v>
      </c>
      <c r="BB164" s="22">
        <v>154</v>
      </c>
      <c r="BC164" s="22">
        <v>0.67468300000000003</v>
      </c>
      <c r="BD164">
        <f t="shared" si="34"/>
        <v>16.950493827160493</v>
      </c>
      <c r="BE164">
        <f t="shared" si="35"/>
        <v>11.450177233703702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1.0395799999999999</v>
      </c>
      <c r="H165" s="22">
        <v>6.7873299999999999</v>
      </c>
      <c r="I165" s="22">
        <v>-1.34094E-2</v>
      </c>
      <c r="J165" s="22">
        <v>155</v>
      </c>
      <c r="K165" s="22">
        <v>1.03851</v>
      </c>
      <c r="L165">
        <f t="shared" si="24"/>
        <v>16.554814814814815</v>
      </c>
      <c r="M165">
        <f t="shared" si="25"/>
        <v>17.210054385185185</v>
      </c>
      <c r="N165" s="9"/>
      <c r="O165" s="22">
        <v>0.68054199999999998</v>
      </c>
      <c r="P165" s="22">
        <v>10.646800000000001</v>
      </c>
      <c r="Q165" s="22">
        <v>-1.36536E-2</v>
      </c>
      <c r="R165" s="22">
        <v>155</v>
      </c>
      <c r="S165" s="22">
        <v>0.67971800000000004</v>
      </c>
      <c r="T165">
        <f t="shared" si="26"/>
        <v>16.856296296296296</v>
      </c>
      <c r="U165">
        <f t="shared" si="27"/>
        <v>11.471417594074074</v>
      </c>
      <c r="X165" s="9"/>
      <c r="Y165" s="22">
        <v>1.0395799999999999</v>
      </c>
      <c r="Z165" s="22">
        <v>16.1236</v>
      </c>
      <c r="AA165" s="22">
        <v>-1.3522299999999999E-2</v>
      </c>
      <c r="AB165" s="22">
        <v>155</v>
      </c>
      <c r="AC165" s="22">
        <v>1.03851</v>
      </c>
      <c r="AD165">
        <f t="shared" si="28"/>
        <v>16.694197530864194</v>
      </c>
      <c r="AE165">
        <f t="shared" si="29"/>
        <v>17.354953869135798</v>
      </c>
      <c r="AF165" s="9"/>
      <c r="AG165" s="22">
        <v>0.68054199999999998</v>
      </c>
      <c r="AH165" s="22">
        <v>19.9831</v>
      </c>
      <c r="AI165" s="22">
        <v>-1.37146E-2</v>
      </c>
      <c r="AJ165" s="22">
        <v>155</v>
      </c>
      <c r="AK165" s="22">
        <v>0.67981000000000003</v>
      </c>
      <c r="AL165">
        <f t="shared" si="30"/>
        <v>16.931604938271605</v>
      </c>
      <c r="AM165">
        <f t="shared" si="31"/>
        <v>11.522668287901235</v>
      </c>
      <c r="AP165" s="9"/>
      <c r="AQ165" s="22">
        <v>1.0395799999999999</v>
      </c>
      <c r="AR165" s="22">
        <v>25.546800000000001</v>
      </c>
      <c r="AS165" s="22">
        <v>-1.35925E-2</v>
      </c>
      <c r="AT165" s="22">
        <v>155</v>
      </c>
      <c r="AU165" s="22">
        <v>1.0382100000000001</v>
      </c>
      <c r="AV165">
        <f t="shared" si="32"/>
        <v>16.780864197530864</v>
      </c>
      <c r="AW165">
        <f t="shared" si="33"/>
        <v>17.445050802469133</v>
      </c>
      <c r="AX165" s="9"/>
      <c r="AY165" s="22">
        <v>0.68054199999999998</v>
      </c>
      <c r="AZ165" s="22">
        <v>29.406300000000002</v>
      </c>
      <c r="BA165" s="22">
        <v>-1.3726800000000001E-2</v>
      </c>
      <c r="BB165" s="22">
        <v>155</v>
      </c>
      <c r="BC165" s="22">
        <v>0.67974900000000005</v>
      </c>
      <c r="BD165">
        <f t="shared" si="34"/>
        <v>16.946666666666665</v>
      </c>
      <c r="BE165">
        <f t="shared" si="35"/>
        <v>11.532918426666665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1.0345500000000001</v>
      </c>
      <c r="H166" s="22">
        <v>6.7973999999999997</v>
      </c>
      <c r="I166" s="22">
        <v>-1.34003E-2</v>
      </c>
      <c r="J166" s="22">
        <v>156</v>
      </c>
      <c r="K166" s="22">
        <v>1.03271</v>
      </c>
      <c r="L166">
        <f t="shared" si="24"/>
        <v>16.543580246913578</v>
      </c>
      <c r="M166">
        <f t="shared" si="25"/>
        <v>17.115160944444444</v>
      </c>
      <c r="N166" s="9"/>
      <c r="O166" s="22">
        <v>0.68557699999999999</v>
      </c>
      <c r="P166" s="22">
        <v>10.6569</v>
      </c>
      <c r="Q166" s="22">
        <v>-1.36475E-2</v>
      </c>
      <c r="R166" s="22">
        <v>156</v>
      </c>
      <c r="S166" s="22">
        <v>0.68481400000000003</v>
      </c>
      <c r="T166">
        <f t="shared" si="26"/>
        <v>16.848765432098766</v>
      </c>
      <c r="U166">
        <f t="shared" si="27"/>
        <v>11.551126058641975</v>
      </c>
      <c r="X166" s="9"/>
      <c r="Y166" s="22">
        <v>1.0345500000000001</v>
      </c>
      <c r="Z166" s="22">
        <v>16.133700000000001</v>
      </c>
      <c r="AA166" s="22">
        <v>-1.35315E-2</v>
      </c>
      <c r="AB166" s="22">
        <v>156</v>
      </c>
      <c r="AC166" s="22">
        <v>1.03363</v>
      </c>
      <c r="AD166">
        <f t="shared" si="28"/>
        <v>16.705555555555552</v>
      </c>
      <c r="AE166">
        <f t="shared" si="29"/>
        <v>17.282732499999998</v>
      </c>
      <c r="AF166" s="9"/>
      <c r="AG166" s="22">
        <v>0.68557699999999999</v>
      </c>
      <c r="AH166" s="22">
        <v>19.993099999999998</v>
      </c>
      <c r="AI166" s="22">
        <v>-1.37238E-2</v>
      </c>
      <c r="AJ166" s="22">
        <v>156</v>
      </c>
      <c r="AK166" s="22">
        <v>0.68472299999999997</v>
      </c>
      <c r="AL166">
        <f t="shared" si="30"/>
        <v>16.942962962962962</v>
      </c>
      <c r="AM166">
        <f t="shared" si="31"/>
        <v>11.615705719259259</v>
      </c>
      <c r="AP166" s="9"/>
      <c r="AQ166" s="22">
        <v>1.0345500000000001</v>
      </c>
      <c r="AR166" s="22">
        <v>25.556899999999999</v>
      </c>
      <c r="AS166" s="22">
        <v>-1.3595599999999999E-2</v>
      </c>
      <c r="AT166" s="22">
        <v>156</v>
      </c>
      <c r="AU166" s="22">
        <v>1.03363</v>
      </c>
      <c r="AV166">
        <f t="shared" si="32"/>
        <v>16.784691358024691</v>
      </c>
      <c r="AW166">
        <f t="shared" si="33"/>
        <v>17.364602444444447</v>
      </c>
      <c r="AX166" s="9"/>
      <c r="AY166" s="22">
        <v>0.68557699999999999</v>
      </c>
      <c r="AZ166" s="22">
        <v>29.416399999999999</v>
      </c>
      <c r="BA166" s="22">
        <v>-1.37238E-2</v>
      </c>
      <c r="BB166" s="22">
        <v>156</v>
      </c>
      <c r="BC166" s="22">
        <v>0.68481400000000003</v>
      </c>
      <c r="BD166">
        <f t="shared" si="34"/>
        <v>16.942962962962962</v>
      </c>
      <c r="BE166">
        <f t="shared" si="35"/>
        <v>11.615705719259259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1.0295099999999999</v>
      </c>
      <c r="H167" s="22">
        <v>6.8074700000000004</v>
      </c>
      <c r="I167" s="22">
        <v>-1.3406400000000001E-2</v>
      </c>
      <c r="J167" s="22">
        <v>157</v>
      </c>
      <c r="K167" s="22">
        <v>1.02844</v>
      </c>
      <c r="L167">
        <f t="shared" si="24"/>
        <v>16.551111111111108</v>
      </c>
      <c r="M167">
        <f t="shared" si="25"/>
        <v>17.039534399999997</v>
      </c>
      <c r="N167" s="9"/>
      <c r="O167" s="22">
        <v>0.69061300000000003</v>
      </c>
      <c r="P167" s="22">
        <v>10.6669</v>
      </c>
      <c r="Q167" s="22">
        <v>-1.3638300000000001E-2</v>
      </c>
      <c r="R167" s="22">
        <v>157</v>
      </c>
      <c r="S167" s="22">
        <v>0.68981899999999996</v>
      </c>
      <c r="T167">
        <f t="shared" si="26"/>
        <v>16.837407407407408</v>
      </c>
      <c r="U167">
        <f t="shared" si="27"/>
        <v>11.628132441851854</v>
      </c>
      <c r="X167" s="9"/>
      <c r="Y167" s="22">
        <v>1.0295099999999999</v>
      </c>
      <c r="Z167" s="22">
        <v>16.143699999999999</v>
      </c>
      <c r="AA167" s="22">
        <v>-1.35254E-2</v>
      </c>
      <c r="AB167" s="22">
        <v>157</v>
      </c>
      <c r="AC167" s="22">
        <v>1.02783</v>
      </c>
      <c r="AD167">
        <f t="shared" si="28"/>
        <v>16.698024691358025</v>
      </c>
      <c r="AE167">
        <f t="shared" si="29"/>
        <v>17.190783400000001</v>
      </c>
      <c r="AF167" s="9"/>
      <c r="AG167" s="22">
        <v>0.69061300000000003</v>
      </c>
      <c r="AH167" s="22">
        <v>20.0032</v>
      </c>
      <c r="AI167" s="22">
        <v>-1.3732899999999999E-2</v>
      </c>
      <c r="AJ167" s="22">
        <v>157</v>
      </c>
      <c r="AK167" s="22">
        <v>0.68984999999999996</v>
      </c>
      <c r="AL167">
        <f t="shared" si="30"/>
        <v>16.954197530864196</v>
      </c>
      <c r="AM167">
        <f t="shared" si="31"/>
        <v>11.708789219382716</v>
      </c>
      <c r="AP167" s="9"/>
      <c r="AQ167" s="22">
        <v>1.0295099999999999</v>
      </c>
      <c r="AR167" s="22">
        <v>25.567</v>
      </c>
      <c r="AS167" s="22">
        <v>-1.3595599999999999E-2</v>
      </c>
      <c r="AT167" s="22">
        <v>157</v>
      </c>
      <c r="AU167" s="22">
        <v>1.02783</v>
      </c>
      <c r="AV167">
        <f t="shared" si="32"/>
        <v>16.784691358024691</v>
      </c>
      <c r="AW167">
        <f t="shared" si="33"/>
        <v>17.280007599999998</v>
      </c>
      <c r="AX167" s="9"/>
      <c r="AY167" s="22">
        <v>0.69061300000000003</v>
      </c>
      <c r="AZ167" s="22">
        <v>29.426400000000001</v>
      </c>
      <c r="BA167" s="22">
        <v>-1.3717699999999999E-2</v>
      </c>
      <c r="BB167" s="22">
        <v>157</v>
      </c>
      <c r="BC167" s="22">
        <v>0.68981899999999996</v>
      </c>
      <c r="BD167">
        <f t="shared" si="34"/>
        <v>16.935432098765432</v>
      </c>
      <c r="BE167">
        <f t="shared" si="35"/>
        <v>11.695829568024692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1.0244800000000001</v>
      </c>
      <c r="H168" s="22">
        <v>6.8175400000000002</v>
      </c>
      <c r="I168" s="22">
        <v>-1.34033E-2</v>
      </c>
      <c r="J168" s="22">
        <v>158</v>
      </c>
      <c r="K168" s="22">
        <v>1.02325</v>
      </c>
      <c r="L168">
        <f t="shared" si="24"/>
        <v>16.547283950617281</v>
      </c>
      <c r="M168">
        <f t="shared" si="25"/>
        <v>16.952361461728394</v>
      </c>
      <c r="N168" s="9"/>
      <c r="O168" s="22">
        <v>0.69564800000000004</v>
      </c>
      <c r="P168" s="22">
        <v>10.677</v>
      </c>
      <c r="Q168" s="22">
        <v>-1.36261E-2</v>
      </c>
      <c r="R168" s="22">
        <v>158</v>
      </c>
      <c r="S168" s="22">
        <v>0.694824</v>
      </c>
      <c r="T168">
        <f t="shared" si="26"/>
        <v>16.822345679012344</v>
      </c>
      <c r="U168">
        <f t="shared" si="27"/>
        <v>11.702431126913579</v>
      </c>
      <c r="X168" s="9"/>
      <c r="Y168" s="22">
        <v>1.0244800000000001</v>
      </c>
      <c r="Z168" s="22">
        <v>16.1538</v>
      </c>
      <c r="AA168" s="22">
        <v>-1.3516200000000001E-2</v>
      </c>
      <c r="AB168" s="22">
        <v>158</v>
      </c>
      <c r="AC168" s="22">
        <v>1.02325</v>
      </c>
      <c r="AD168">
        <f t="shared" si="28"/>
        <v>16.686666666666664</v>
      </c>
      <c r="AE168">
        <f t="shared" si="29"/>
        <v>17.095156266666663</v>
      </c>
      <c r="AF168" s="9"/>
      <c r="AG168" s="22">
        <v>0.69564800000000004</v>
      </c>
      <c r="AH168" s="22">
        <v>20.013300000000001</v>
      </c>
      <c r="AI168" s="22">
        <v>-1.3738999999999999E-2</v>
      </c>
      <c r="AJ168" s="22">
        <v>158</v>
      </c>
      <c r="AK168" s="22">
        <v>0.694824</v>
      </c>
      <c r="AL168">
        <f t="shared" si="30"/>
        <v>16.961728395061726</v>
      </c>
      <c r="AM168">
        <f t="shared" si="31"/>
        <v>11.799392434567901</v>
      </c>
      <c r="AP168" s="9"/>
      <c r="AQ168" s="22">
        <v>1.0244800000000001</v>
      </c>
      <c r="AR168" s="22">
        <v>25.577000000000002</v>
      </c>
      <c r="AS168" s="22">
        <v>-1.36017E-2</v>
      </c>
      <c r="AT168" s="22">
        <v>158</v>
      </c>
      <c r="AU168" s="22">
        <v>1.02325</v>
      </c>
      <c r="AV168">
        <f t="shared" si="32"/>
        <v>16.792222222222222</v>
      </c>
      <c r="AW168">
        <f t="shared" si="33"/>
        <v>17.203295822222223</v>
      </c>
      <c r="AX168" s="9"/>
      <c r="AY168" s="22">
        <v>0.69564800000000004</v>
      </c>
      <c r="AZ168" s="22">
        <v>29.436499999999999</v>
      </c>
      <c r="BA168" s="22">
        <v>-1.37085E-2</v>
      </c>
      <c r="BB168" s="22">
        <v>158</v>
      </c>
      <c r="BC168" s="22">
        <v>0.694824</v>
      </c>
      <c r="BD168">
        <f t="shared" si="34"/>
        <v>16.924074074074074</v>
      </c>
      <c r="BE168">
        <f t="shared" si="35"/>
        <v>11.773198281481482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1.0194399999999999</v>
      </c>
      <c r="H169" s="22">
        <v>6.82761</v>
      </c>
      <c r="I169" s="22">
        <v>-1.3406400000000001E-2</v>
      </c>
      <c r="J169" s="22">
        <v>159</v>
      </c>
      <c r="K169" s="22">
        <v>1.01807</v>
      </c>
      <c r="L169">
        <f t="shared" si="24"/>
        <v>16.551111111111108</v>
      </c>
      <c r="M169">
        <f t="shared" si="25"/>
        <v>16.872864711111106</v>
      </c>
      <c r="N169" s="9"/>
      <c r="O169" s="22">
        <v>0.70068399999999997</v>
      </c>
      <c r="P169" s="22">
        <v>10.687099999999999</v>
      </c>
      <c r="Q169" s="22">
        <v>-1.36261E-2</v>
      </c>
      <c r="R169" s="22">
        <v>159</v>
      </c>
      <c r="S169" s="22">
        <v>0.69989000000000001</v>
      </c>
      <c r="T169">
        <f t="shared" si="26"/>
        <v>16.822345679012344</v>
      </c>
      <c r="U169">
        <f t="shared" si="27"/>
        <v>11.787148459753084</v>
      </c>
      <c r="X169" s="9"/>
      <c r="Y169" s="22">
        <v>1.0194399999999999</v>
      </c>
      <c r="Z169" s="22">
        <v>16.163900000000002</v>
      </c>
      <c r="AA169" s="22">
        <v>-1.35193E-2</v>
      </c>
      <c r="AB169" s="22">
        <v>159</v>
      </c>
      <c r="AC169" s="22">
        <v>1.01837</v>
      </c>
      <c r="AD169">
        <f t="shared" si="28"/>
        <v>16.690493827160495</v>
      </c>
      <c r="AE169">
        <f t="shared" si="29"/>
        <v>17.014957027160492</v>
      </c>
      <c r="AF169" s="9"/>
      <c r="AG169" s="22">
        <v>0.70068399999999997</v>
      </c>
      <c r="AH169" s="22">
        <v>20.023299999999999</v>
      </c>
      <c r="AI169" s="22">
        <v>-1.37421E-2</v>
      </c>
      <c r="AJ169" s="22">
        <v>159</v>
      </c>
      <c r="AK169" s="22">
        <v>0.69989000000000001</v>
      </c>
      <c r="AL169">
        <f t="shared" si="30"/>
        <v>16.965555555555554</v>
      </c>
      <c r="AM169">
        <f t="shared" si="31"/>
        <v>11.887493328888887</v>
      </c>
      <c r="AP169" s="9"/>
      <c r="AQ169" s="22">
        <v>1.0194399999999999</v>
      </c>
      <c r="AR169" s="22">
        <v>25.5871</v>
      </c>
      <c r="AS169" s="22">
        <v>-1.3604700000000001E-2</v>
      </c>
      <c r="AT169" s="22">
        <v>159</v>
      </c>
      <c r="AU169" s="22">
        <v>1.01837</v>
      </c>
      <c r="AV169">
        <f t="shared" si="32"/>
        <v>16.795925925925925</v>
      </c>
      <c r="AW169">
        <f t="shared" si="33"/>
        <v>17.122438725925925</v>
      </c>
      <c r="AX169" s="9"/>
      <c r="AY169" s="22">
        <v>0.70068399999999997</v>
      </c>
      <c r="AZ169" s="22">
        <v>29.4466</v>
      </c>
      <c r="BA169" s="22">
        <v>-1.37054E-2</v>
      </c>
      <c r="BB169" s="22">
        <v>159</v>
      </c>
      <c r="BC169" s="22">
        <v>0.69982900000000003</v>
      </c>
      <c r="BD169">
        <f t="shared" si="34"/>
        <v>16.920246913580247</v>
      </c>
      <c r="BE169">
        <f t="shared" si="35"/>
        <v>11.855746288395061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1.0144</v>
      </c>
      <c r="H170" s="22">
        <v>6.8376799999999998</v>
      </c>
      <c r="I170" s="22">
        <v>-1.3406400000000001E-2</v>
      </c>
      <c r="J170" s="22">
        <v>160</v>
      </c>
      <c r="K170" s="22">
        <v>1.01318</v>
      </c>
      <c r="L170">
        <f t="shared" si="24"/>
        <v>16.551111111111108</v>
      </c>
      <c r="M170">
        <f t="shared" si="25"/>
        <v>16.789447111111109</v>
      </c>
      <c r="N170" s="9"/>
      <c r="O170" s="22">
        <v>0.70571899999999999</v>
      </c>
      <c r="P170" s="22">
        <v>10.6972</v>
      </c>
      <c r="Q170" s="22">
        <v>-1.3629199999999999E-2</v>
      </c>
      <c r="R170" s="22">
        <v>160</v>
      </c>
      <c r="S170" s="22">
        <v>0.70492600000000005</v>
      </c>
      <c r="T170">
        <f t="shared" si="26"/>
        <v>16.826172839506171</v>
      </c>
      <c r="U170">
        <f t="shared" si="27"/>
        <v>11.874549870123456</v>
      </c>
      <c r="X170" s="9"/>
      <c r="Y170" s="22">
        <v>1.0144</v>
      </c>
      <c r="Z170" s="22">
        <v>16.1739</v>
      </c>
      <c r="AA170" s="22">
        <v>-1.3528399999999999E-2</v>
      </c>
      <c r="AB170" s="22">
        <v>160</v>
      </c>
      <c r="AC170" s="22">
        <v>1.01318</v>
      </c>
      <c r="AD170">
        <f t="shared" si="28"/>
        <v>16.701728395061725</v>
      </c>
      <c r="AE170">
        <f t="shared" si="29"/>
        <v>16.942233283950614</v>
      </c>
      <c r="AF170" s="9"/>
      <c r="AG170" s="22">
        <v>0.70571899999999999</v>
      </c>
      <c r="AH170" s="22">
        <v>20.0334</v>
      </c>
      <c r="AI170" s="22">
        <v>-1.37421E-2</v>
      </c>
      <c r="AJ170" s="22">
        <v>160</v>
      </c>
      <c r="AK170" s="22">
        <v>0.70498700000000003</v>
      </c>
      <c r="AL170">
        <f t="shared" si="30"/>
        <v>16.965555555555554</v>
      </c>
      <c r="AM170">
        <f t="shared" si="31"/>
        <v>11.97291490111111</v>
      </c>
      <c r="AP170" s="9"/>
      <c r="AQ170" s="22">
        <v>1.0144</v>
      </c>
      <c r="AR170" s="22">
        <v>25.597200000000001</v>
      </c>
      <c r="AS170" s="22">
        <v>-1.3610799999999999E-2</v>
      </c>
      <c r="AT170" s="22">
        <v>160</v>
      </c>
      <c r="AU170" s="22">
        <v>1.01349</v>
      </c>
      <c r="AV170">
        <f t="shared" si="32"/>
        <v>16.803456790123455</v>
      </c>
      <c r="AW170">
        <f t="shared" si="33"/>
        <v>17.045426567901231</v>
      </c>
      <c r="AX170" s="9"/>
      <c r="AY170" s="22">
        <v>0.70571899999999999</v>
      </c>
      <c r="AZ170" s="22">
        <v>29.456600000000002</v>
      </c>
      <c r="BA170" s="22">
        <v>-1.37024E-2</v>
      </c>
      <c r="BB170" s="22">
        <v>160</v>
      </c>
      <c r="BC170" s="22">
        <v>0.70489500000000005</v>
      </c>
      <c r="BD170">
        <f t="shared" si="34"/>
        <v>16.916543209876544</v>
      </c>
      <c r="BE170">
        <f t="shared" si="35"/>
        <v>11.938325957530864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1.0093700000000001</v>
      </c>
      <c r="H171" s="22">
        <v>6.8477600000000001</v>
      </c>
      <c r="I171" s="22">
        <v>-1.3412500000000001E-2</v>
      </c>
      <c r="J171" s="22">
        <v>161</v>
      </c>
      <c r="K171" s="22">
        <v>1.0083</v>
      </c>
      <c r="L171">
        <f t="shared" si="24"/>
        <v>16.558641975308642</v>
      </c>
      <c r="M171">
        <f t="shared" si="25"/>
        <v>16.713796450617288</v>
      </c>
      <c r="N171" s="9"/>
      <c r="O171" s="22">
        <v>0.710754</v>
      </c>
      <c r="P171" s="22">
        <v>10.7072</v>
      </c>
      <c r="Q171" s="22">
        <v>-1.3629199999999999E-2</v>
      </c>
      <c r="R171" s="22">
        <v>161</v>
      </c>
      <c r="S171" s="22">
        <v>0.70992999999999995</v>
      </c>
      <c r="T171">
        <f t="shared" si="26"/>
        <v>16.826172839506171</v>
      </c>
      <c r="U171">
        <f t="shared" si="27"/>
        <v>11.959269650370368</v>
      </c>
      <c r="X171" s="9"/>
      <c r="Y171" s="22">
        <v>1.0093700000000001</v>
      </c>
      <c r="Z171" s="22">
        <v>16.184000000000001</v>
      </c>
      <c r="AA171" s="22">
        <v>-1.3543700000000001E-2</v>
      </c>
      <c r="AB171" s="22">
        <v>161</v>
      </c>
      <c r="AC171" s="22">
        <v>1.008</v>
      </c>
      <c r="AD171">
        <f t="shared" si="28"/>
        <v>16.720617283950617</v>
      </c>
      <c r="AE171">
        <f t="shared" si="29"/>
        <v>16.877289467901235</v>
      </c>
      <c r="AF171" s="9"/>
      <c r="AG171" s="22">
        <v>0.710754</v>
      </c>
      <c r="AH171" s="22">
        <v>20.043500000000002</v>
      </c>
      <c r="AI171" s="22">
        <v>-1.3732899999999999E-2</v>
      </c>
      <c r="AJ171" s="22">
        <v>161</v>
      </c>
      <c r="AK171" s="22">
        <v>0.70996099999999995</v>
      </c>
      <c r="AL171">
        <f t="shared" si="30"/>
        <v>16.954197530864196</v>
      </c>
      <c r="AM171">
        <f t="shared" si="31"/>
        <v>12.050263711851851</v>
      </c>
      <c r="AP171" s="9"/>
      <c r="AQ171" s="22">
        <v>1.0093700000000001</v>
      </c>
      <c r="AR171" s="22">
        <v>25.607199999999999</v>
      </c>
      <c r="AS171" s="22">
        <v>-1.36261E-2</v>
      </c>
      <c r="AT171" s="22">
        <v>161</v>
      </c>
      <c r="AU171" s="22">
        <v>1.0083</v>
      </c>
      <c r="AV171">
        <f t="shared" si="32"/>
        <v>16.822345679012344</v>
      </c>
      <c r="AW171">
        <f t="shared" si="33"/>
        <v>16.979971058024692</v>
      </c>
      <c r="AX171" s="9"/>
      <c r="AY171" s="22">
        <v>0.710754</v>
      </c>
      <c r="AZ171" s="22">
        <v>29.466699999999999</v>
      </c>
      <c r="BA171" s="22">
        <v>-1.37115E-2</v>
      </c>
      <c r="BB171" s="22">
        <v>161</v>
      </c>
      <c r="BC171" s="22">
        <v>0.70996099999999995</v>
      </c>
      <c r="BD171">
        <f t="shared" si="34"/>
        <v>16.927777777777777</v>
      </c>
      <c r="BE171">
        <f t="shared" si="35"/>
        <v>12.031485766666666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1.0043299999999999</v>
      </c>
      <c r="H172" s="22">
        <v>6.8578299999999999</v>
      </c>
      <c r="I172" s="22">
        <v>-1.34308E-2</v>
      </c>
      <c r="J172" s="22">
        <v>162</v>
      </c>
      <c r="K172" s="22">
        <v>1.00342</v>
      </c>
      <c r="L172">
        <f t="shared" si="24"/>
        <v>16.581234567901234</v>
      </c>
      <c r="M172">
        <f t="shared" si="25"/>
        <v>16.653031313580247</v>
      </c>
      <c r="N172" s="9"/>
      <c r="O172" s="22">
        <v>0.71579000000000004</v>
      </c>
      <c r="P172" s="22">
        <v>10.7173</v>
      </c>
      <c r="Q172" s="22">
        <v>-1.3638300000000001E-2</v>
      </c>
      <c r="R172" s="22">
        <v>162</v>
      </c>
      <c r="S172" s="22">
        <v>0.71505700000000005</v>
      </c>
      <c r="T172">
        <f t="shared" si="26"/>
        <v>16.837407407407408</v>
      </c>
      <c r="U172">
        <f t="shared" si="27"/>
        <v>12.052047848148149</v>
      </c>
      <c r="X172" s="9"/>
      <c r="Y172" s="22">
        <v>1.0043299999999999</v>
      </c>
      <c r="Z172" s="22">
        <v>16.194099999999999</v>
      </c>
      <c r="AA172" s="22">
        <v>-1.35406E-2</v>
      </c>
      <c r="AB172" s="22">
        <v>162</v>
      </c>
      <c r="AC172" s="22">
        <v>1.0031099999999999</v>
      </c>
      <c r="AD172">
        <f t="shared" si="28"/>
        <v>16.716790123456789</v>
      </c>
      <c r="AE172">
        <f t="shared" si="29"/>
        <v>16.789173824691357</v>
      </c>
      <c r="AF172" s="9"/>
      <c r="AG172" s="22">
        <v>0.71579000000000004</v>
      </c>
      <c r="AH172" s="22">
        <v>20.053599999999999</v>
      </c>
      <c r="AI172" s="22">
        <v>-1.37238E-2</v>
      </c>
      <c r="AJ172" s="22">
        <v>162</v>
      </c>
      <c r="AK172" s="22">
        <v>0.71496599999999999</v>
      </c>
      <c r="AL172">
        <f t="shared" si="30"/>
        <v>16.942962962962962</v>
      </c>
      <c r="AM172">
        <f t="shared" si="31"/>
        <v>12.127603459259259</v>
      </c>
      <c r="AP172" s="9"/>
      <c r="AQ172" s="22">
        <v>1.0043299999999999</v>
      </c>
      <c r="AR172" s="22">
        <v>25.6173</v>
      </c>
      <c r="AS172" s="22">
        <v>-1.3629199999999999E-2</v>
      </c>
      <c r="AT172" s="22">
        <v>162</v>
      </c>
      <c r="AU172" s="22">
        <v>1.0031099999999999</v>
      </c>
      <c r="AV172">
        <f t="shared" si="32"/>
        <v>16.826172839506171</v>
      </c>
      <c r="AW172">
        <f t="shared" si="33"/>
        <v>16.89903016790123</v>
      </c>
      <c r="AX172" s="9"/>
      <c r="AY172" s="22">
        <v>0.71579000000000004</v>
      </c>
      <c r="AZ172" s="22">
        <v>29.476800000000001</v>
      </c>
      <c r="BA172" s="22">
        <v>-1.37085E-2</v>
      </c>
      <c r="BB172" s="22">
        <v>162</v>
      </c>
      <c r="BC172" s="22">
        <v>0.71499599999999996</v>
      </c>
      <c r="BD172">
        <f t="shared" si="34"/>
        <v>16.924074074074074</v>
      </c>
      <c r="BE172">
        <f t="shared" si="35"/>
        <v>12.114082981481483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0.99929800000000002</v>
      </c>
      <c r="H173" s="22">
        <v>6.8678999999999997</v>
      </c>
      <c r="I173" s="22">
        <v>-1.3443E-2</v>
      </c>
      <c r="J173" s="22">
        <v>163</v>
      </c>
      <c r="K173" s="22">
        <v>0.99822999999999995</v>
      </c>
      <c r="L173">
        <f t="shared" si="24"/>
        <v>16.596296296296295</v>
      </c>
      <c r="M173">
        <f t="shared" si="25"/>
        <v>16.584645696296295</v>
      </c>
      <c r="N173" s="9"/>
      <c r="O173" s="22">
        <v>0.72082500000000005</v>
      </c>
      <c r="P173" s="22">
        <v>10.727399999999999</v>
      </c>
      <c r="Q173" s="22">
        <v>-1.3644399999999999E-2</v>
      </c>
      <c r="R173" s="22">
        <v>163</v>
      </c>
      <c r="S173" s="22">
        <v>0.71997100000000003</v>
      </c>
      <c r="T173">
        <f t="shared" si="26"/>
        <v>16.844938271604939</v>
      </c>
      <c r="U173">
        <f t="shared" si="27"/>
        <v>12.142252629629631</v>
      </c>
      <c r="X173" s="9"/>
      <c r="Y173" s="22">
        <v>0.99929800000000002</v>
      </c>
      <c r="Z173" s="22">
        <v>16.2042</v>
      </c>
      <c r="AA173" s="22">
        <v>-1.35406E-2</v>
      </c>
      <c r="AB173" s="22">
        <v>163</v>
      </c>
      <c r="AC173" s="22">
        <v>0.99792499999999995</v>
      </c>
      <c r="AD173">
        <f t="shared" si="28"/>
        <v>16.716790123456789</v>
      </c>
      <c r="AE173">
        <f t="shared" si="29"/>
        <v>16.705054936790123</v>
      </c>
      <c r="AF173" s="9"/>
      <c r="AG173" s="22">
        <v>0.72082500000000005</v>
      </c>
      <c r="AH173" s="22">
        <v>20.063600000000001</v>
      </c>
      <c r="AI173" s="22">
        <v>-1.37115E-2</v>
      </c>
      <c r="AJ173" s="22">
        <v>163</v>
      </c>
      <c r="AK173" s="22">
        <v>0.720001</v>
      </c>
      <c r="AL173">
        <f t="shared" si="30"/>
        <v>16.927777777777777</v>
      </c>
      <c r="AM173">
        <f t="shared" si="31"/>
        <v>12.201965416666667</v>
      </c>
      <c r="AP173" s="9"/>
      <c r="AQ173" s="22">
        <v>0.99929800000000002</v>
      </c>
      <c r="AR173" s="22">
        <v>25.627400000000002</v>
      </c>
      <c r="AS173" s="22">
        <v>-1.3632200000000001E-2</v>
      </c>
      <c r="AT173" s="22">
        <v>163</v>
      </c>
      <c r="AU173" s="22">
        <v>0.99853499999999995</v>
      </c>
      <c r="AV173">
        <f t="shared" si="32"/>
        <v>16.829876543209878</v>
      </c>
      <c r="AW173">
        <f t="shared" si="33"/>
        <v>16.818061969876545</v>
      </c>
      <c r="AX173" s="9"/>
      <c r="AY173" s="22">
        <v>0.72082500000000005</v>
      </c>
      <c r="AZ173" s="22">
        <v>29.486899999999999</v>
      </c>
      <c r="BA173" s="22">
        <v>-1.37054E-2</v>
      </c>
      <c r="BB173" s="22">
        <v>163</v>
      </c>
      <c r="BC173" s="22">
        <v>0.71997100000000003</v>
      </c>
      <c r="BD173">
        <f t="shared" si="34"/>
        <v>16.920246913580247</v>
      </c>
      <c r="BE173">
        <f t="shared" si="35"/>
        <v>12.196536981481483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0.99426300000000001</v>
      </c>
      <c r="H174" s="22">
        <v>6.8779700000000004</v>
      </c>
      <c r="I174" s="22">
        <v>-1.34521E-2</v>
      </c>
      <c r="J174" s="22">
        <v>164</v>
      </c>
      <c r="K174" s="22">
        <v>0.99273699999999998</v>
      </c>
      <c r="L174">
        <f t="shared" si="24"/>
        <v>16.607530864197528</v>
      </c>
      <c r="M174">
        <f t="shared" si="25"/>
        <v>16.512253459629626</v>
      </c>
      <c r="N174" s="9"/>
      <c r="O174" s="22">
        <v>0.72586099999999998</v>
      </c>
      <c r="P174" s="22">
        <v>10.737399999999999</v>
      </c>
      <c r="Q174" s="22">
        <v>-1.36414E-2</v>
      </c>
      <c r="R174" s="22">
        <v>164</v>
      </c>
      <c r="S174" s="22">
        <v>0.72512799999999999</v>
      </c>
      <c r="T174">
        <f t="shared" si="26"/>
        <v>16.841234567901232</v>
      </c>
      <c r="U174">
        <f t="shared" si="27"/>
        <v>12.224395364691356</v>
      </c>
      <c r="X174" s="9"/>
      <c r="Y174" s="22">
        <v>0.99426300000000001</v>
      </c>
      <c r="Z174" s="22">
        <v>16.214200000000002</v>
      </c>
      <c r="AA174" s="22">
        <v>-1.35345E-2</v>
      </c>
      <c r="AB174" s="22">
        <v>164</v>
      </c>
      <c r="AC174" s="22">
        <v>0.99334699999999998</v>
      </c>
      <c r="AD174">
        <f t="shared" si="28"/>
        <v>16.709259259259255</v>
      </c>
      <c r="AE174">
        <f t="shared" si="29"/>
        <v>16.613398238888884</v>
      </c>
      <c r="AF174" s="9"/>
      <c r="AG174" s="22">
        <v>0.72586099999999998</v>
      </c>
      <c r="AH174" s="22">
        <v>20.073699999999999</v>
      </c>
      <c r="AI174" s="22">
        <v>-1.37085E-2</v>
      </c>
      <c r="AJ174" s="22">
        <v>164</v>
      </c>
      <c r="AK174" s="22">
        <v>0.72503700000000004</v>
      </c>
      <c r="AL174">
        <f t="shared" si="30"/>
        <v>16.924074074074074</v>
      </c>
      <c r="AM174">
        <f t="shared" si="31"/>
        <v>12.284525331481481</v>
      </c>
      <c r="AP174" s="9"/>
      <c r="AQ174" s="22">
        <v>0.99426300000000001</v>
      </c>
      <c r="AR174" s="22">
        <v>25.637499999999999</v>
      </c>
      <c r="AS174" s="22">
        <v>-1.36353E-2</v>
      </c>
      <c r="AT174" s="22">
        <v>164</v>
      </c>
      <c r="AU174" s="22">
        <v>0.99273699999999998</v>
      </c>
      <c r="AV174">
        <f t="shared" si="32"/>
        <v>16.833703703703701</v>
      </c>
      <c r="AW174">
        <f t="shared" si="33"/>
        <v>16.737128745555552</v>
      </c>
      <c r="AX174" s="9"/>
      <c r="AY174" s="22">
        <v>0.72586099999999998</v>
      </c>
      <c r="AZ174" s="22">
        <v>29.4969</v>
      </c>
      <c r="BA174" s="22">
        <v>-1.3699299999999999E-2</v>
      </c>
      <c r="BB174" s="22">
        <v>164</v>
      </c>
      <c r="BC174" s="22">
        <v>0.72503700000000004</v>
      </c>
      <c r="BD174">
        <f t="shared" si="34"/>
        <v>16.912716049382716</v>
      </c>
      <c r="BE174">
        <f t="shared" si="35"/>
        <v>12.276280984320987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0.98922699999999997</v>
      </c>
      <c r="H175" s="22">
        <v>6.8880400000000002</v>
      </c>
      <c r="I175" s="22">
        <v>-1.34491E-2</v>
      </c>
      <c r="J175" s="22">
        <v>165</v>
      </c>
      <c r="K175" s="22">
        <v>0.98785400000000001</v>
      </c>
      <c r="L175">
        <f t="shared" si="24"/>
        <v>16.603827160493829</v>
      </c>
      <c r="M175">
        <f t="shared" si="25"/>
        <v>16.424954130493827</v>
      </c>
      <c r="N175" s="9"/>
      <c r="O175" s="22">
        <v>0.73089599999999999</v>
      </c>
      <c r="P175" s="22">
        <v>10.7475</v>
      </c>
      <c r="Q175" s="22">
        <v>-1.3650499999999999E-2</v>
      </c>
      <c r="R175" s="22">
        <v>165</v>
      </c>
      <c r="S175" s="22">
        <v>0.73004199999999997</v>
      </c>
      <c r="T175">
        <f t="shared" si="26"/>
        <v>16.852469135802469</v>
      </c>
      <c r="U175">
        <f t="shared" si="27"/>
        <v>12.317402281481481</v>
      </c>
      <c r="X175" s="9"/>
      <c r="Y175" s="22">
        <v>0.98922699999999997</v>
      </c>
      <c r="Z175" s="22">
        <v>16.224299999999999</v>
      </c>
      <c r="AA175" s="22">
        <v>-1.35376E-2</v>
      </c>
      <c r="AB175" s="22">
        <v>165</v>
      </c>
      <c r="AC175" s="22">
        <v>0.98846400000000001</v>
      </c>
      <c r="AD175">
        <f t="shared" si="28"/>
        <v>16.713086419753086</v>
      </c>
      <c r="AE175">
        <f t="shared" si="29"/>
        <v>16.533036339753085</v>
      </c>
      <c r="AF175" s="9"/>
      <c r="AG175" s="22">
        <v>0.73089599999999999</v>
      </c>
      <c r="AH175" s="22">
        <v>20.0838</v>
      </c>
      <c r="AI175" s="22">
        <v>-1.37085E-2</v>
      </c>
      <c r="AJ175" s="22">
        <v>165</v>
      </c>
      <c r="AK175" s="22">
        <v>0.73007200000000005</v>
      </c>
      <c r="AL175">
        <f t="shared" si="30"/>
        <v>16.924074074074074</v>
      </c>
      <c r="AM175">
        <f t="shared" si="31"/>
        <v>12.369738044444444</v>
      </c>
      <c r="AP175" s="9"/>
      <c r="AQ175" s="22">
        <v>0.98922699999999997</v>
      </c>
      <c r="AR175" s="22">
        <v>25.647500000000001</v>
      </c>
      <c r="AS175" s="22">
        <v>-1.3644399999999999E-2</v>
      </c>
      <c r="AT175" s="22">
        <v>165</v>
      </c>
      <c r="AU175" s="22">
        <v>0.98815900000000001</v>
      </c>
      <c r="AV175">
        <f t="shared" si="32"/>
        <v>16.844938271604939</v>
      </c>
      <c r="AW175">
        <f t="shared" si="33"/>
        <v>16.663467751604937</v>
      </c>
      <c r="AX175" s="9"/>
      <c r="AY175" s="22">
        <v>0.73089599999999999</v>
      </c>
      <c r="AZ175" s="22">
        <v>29.507000000000001</v>
      </c>
      <c r="BA175" s="22">
        <v>-1.3693200000000001E-2</v>
      </c>
      <c r="BB175" s="22">
        <v>165</v>
      </c>
      <c r="BC175" s="22">
        <v>0.73010299999999995</v>
      </c>
      <c r="BD175">
        <f t="shared" si="34"/>
        <v>16.905185185185186</v>
      </c>
      <c r="BE175">
        <f t="shared" si="35"/>
        <v>12.355932231111112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0.98419199999999996</v>
      </c>
      <c r="H176" s="22">
        <v>6.89811</v>
      </c>
      <c r="I176" s="22">
        <v>-1.3446E-2</v>
      </c>
      <c r="J176" s="22">
        <v>166</v>
      </c>
      <c r="K176" s="22">
        <v>0.98358199999999996</v>
      </c>
      <c r="L176">
        <f t="shared" si="24"/>
        <v>16.599999999999998</v>
      </c>
      <c r="M176">
        <f t="shared" si="25"/>
        <v>16.337587199999998</v>
      </c>
      <c r="N176" s="9"/>
      <c r="O176" s="22">
        <v>0.735931</v>
      </c>
      <c r="P176" s="22">
        <v>10.7576</v>
      </c>
      <c r="Q176" s="22">
        <v>-1.3644399999999999E-2</v>
      </c>
      <c r="R176" s="22">
        <v>166</v>
      </c>
      <c r="S176" s="22">
        <v>0.735016</v>
      </c>
      <c r="T176">
        <f t="shared" si="26"/>
        <v>16.844938271604939</v>
      </c>
      <c r="U176">
        <f t="shared" si="27"/>
        <v>12.396712267160494</v>
      </c>
      <c r="X176" s="9"/>
      <c r="Y176" s="22">
        <v>0.98419199999999996</v>
      </c>
      <c r="Z176" s="22">
        <v>16.234400000000001</v>
      </c>
      <c r="AA176" s="22">
        <v>-1.35406E-2</v>
      </c>
      <c r="AB176" s="22">
        <v>166</v>
      </c>
      <c r="AC176" s="22">
        <v>0.98327600000000004</v>
      </c>
      <c r="AD176">
        <f t="shared" si="28"/>
        <v>16.716790123456789</v>
      </c>
      <c r="AE176">
        <f t="shared" si="29"/>
        <v>16.452531105185184</v>
      </c>
      <c r="AF176" s="9"/>
      <c r="AG176" s="22">
        <v>0.735931</v>
      </c>
      <c r="AH176" s="22">
        <v>20.093800000000002</v>
      </c>
      <c r="AI176" s="22">
        <v>-1.37085E-2</v>
      </c>
      <c r="AJ176" s="22">
        <v>166</v>
      </c>
      <c r="AK176" s="22">
        <v>0.73510699999999995</v>
      </c>
      <c r="AL176">
        <f t="shared" si="30"/>
        <v>16.924074074074074</v>
      </c>
      <c r="AM176">
        <f t="shared" si="31"/>
        <v>12.454950757407408</v>
      </c>
      <c r="AP176" s="9"/>
      <c r="AQ176" s="22">
        <v>0.98419199999999996</v>
      </c>
      <c r="AR176" s="22">
        <v>25.657599999999999</v>
      </c>
      <c r="AS176" s="22">
        <v>-1.3650499999999999E-2</v>
      </c>
      <c r="AT176" s="22">
        <v>166</v>
      </c>
      <c r="AU176" s="22">
        <v>0.98297100000000004</v>
      </c>
      <c r="AV176">
        <f t="shared" si="32"/>
        <v>16.852469135802469</v>
      </c>
      <c r="AW176">
        <f t="shared" si="33"/>
        <v>16.586065303703702</v>
      </c>
      <c r="AX176" s="9"/>
      <c r="AY176" s="22">
        <v>0.735931</v>
      </c>
      <c r="AZ176" s="22">
        <v>29.517099999999999</v>
      </c>
      <c r="BA176" s="22">
        <v>-1.3687100000000001E-2</v>
      </c>
      <c r="BB176" s="22">
        <v>166</v>
      </c>
      <c r="BC176" s="22">
        <v>0.73513799999999996</v>
      </c>
      <c r="BD176">
        <f t="shared" si="34"/>
        <v>16.897654320987655</v>
      </c>
      <c r="BE176">
        <f t="shared" si="35"/>
        <v>12.435507642098766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0.97915600000000003</v>
      </c>
      <c r="H177" s="22">
        <v>6.9081799999999998</v>
      </c>
      <c r="I177" s="22">
        <v>-1.3443E-2</v>
      </c>
      <c r="J177" s="22">
        <v>167</v>
      </c>
      <c r="K177" s="22">
        <v>0.97778299999999996</v>
      </c>
      <c r="L177">
        <f t="shared" si="24"/>
        <v>16.596296296296295</v>
      </c>
      <c r="M177">
        <f t="shared" si="25"/>
        <v>16.250363096296294</v>
      </c>
      <c r="N177" s="9"/>
      <c r="O177" s="22">
        <v>0.74096700000000004</v>
      </c>
      <c r="P177" s="22">
        <v>10.7677</v>
      </c>
      <c r="Q177" s="22">
        <v>-1.36414E-2</v>
      </c>
      <c r="R177" s="22">
        <v>167</v>
      </c>
      <c r="S177" s="22">
        <v>0.740143</v>
      </c>
      <c r="T177">
        <f t="shared" si="26"/>
        <v>16.841234567901232</v>
      </c>
      <c r="U177">
        <f t="shared" si="27"/>
        <v>12.478799054074074</v>
      </c>
      <c r="X177" s="9"/>
      <c r="Y177" s="22">
        <v>0.97915600000000003</v>
      </c>
      <c r="Z177" s="22">
        <v>16.244399999999999</v>
      </c>
      <c r="AA177" s="22">
        <v>-1.35529E-2</v>
      </c>
      <c r="AB177" s="22">
        <v>167</v>
      </c>
      <c r="AC177" s="22">
        <v>0.97839399999999999</v>
      </c>
      <c r="AD177">
        <f t="shared" si="28"/>
        <v>16.731975308641974</v>
      </c>
      <c r="AE177">
        <f t="shared" si="29"/>
        <v>16.383214015308642</v>
      </c>
      <c r="AF177" s="9"/>
      <c r="AG177" s="22">
        <v>0.74096700000000004</v>
      </c>
      <c r="AH177" s="22">
        <v>20.103899999999999</v>
      </c>
      <c r="AI177" s="22">
        <v>-1.37085E-2</v>
      </c>
      <c r="AJ177" s="22">
        <v>167</v>
      </c>
      <c r="AK177" s="22">
        <v>0.740143</v>
      </c>
      <c r="AL177">
        <f t="shared" si="30"/>
        <v>16.924074074074074</v>
      </c>
      <c r="AM177">
        <f t="shared" si="31"/>
        <v>12.540180394444445</v>
      </c>
      <c r="AP177" s="9"/>
      <c r="AQ177" s="22">
        <v>0.97915600000000003</v>
      </c>
      <c r="AR177" s="22">
        <v>25.6677</v>
      </c>
      <c r="AS177" s="22">
        <v>-1.3650499999999999E-2</v>
      </c>
      <c r="AT177" s="22">
        <v>167</v>
      </c>
      <c r="AU177" s="22">
        <v>0.97869899999999999</v>
      </c>
      <c r="AV177">
        <f t="shared" si="32"/>
        <v>16.852469135802469</v>
      </c>
      <c r="AW177">
        <f t="shared" si="33"/>
        <v>16.501196269135804</v>
      </c>
      <c r="AX177" s="9"/>
      <c r="AY177" s="22">
        <v>0.74096700000000004</v>
      </c>
      <c r="AZ177" s="22">
        <v>29.527100000000001</v>
      </c>
      <c r="BA177" s="22">
        <v>-1.3693200000000001E-2</v>
      </c>
      <c r="BB177" s="22">
        <v>167</v>
      </c>
      <c r="BC177" s="22">
        <v>0.74017299999999997</v>
      </c>
      <c r="BD177">
        <f t="shared" si="34"/>
        <v>16.905185185185186</v>
      </c>
      <c r="BE177">
        <f t="shared" si="35"/>
        <v>12.526184351111112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0.97412100000000001</v>
      </c>
      <c r="H178" s="22">
        <v>6.9182499999999996</v>
      </c>
      <c r="I178" s="22">
        <v>-1.3446E-2</v>
      </c>
      <c r="J178" s="22">
        <v>168</v>
      </c>
      <c r="K178" s="22">
        <v>0.97320600000000002</v>
      </c>
      <c r="L178">
        <f t="shared" si="24"/>
        <v>16.599999999999998</v>
      </c>
      <c r="M178">
        <f t="shared" si="25"/>
        <v>16.170408599999998</v>
      </c>
      <c r="N178" s="9"/>
      <c r="O178" s="22">
        <v>0.74600200000000005</v>
      </c>
      <c r="P178" s="22">
        <v>10.777699999999999</v>
      </c>
      <c r="Q178" s="22">
        <v>-1.3638300000000001E-2</v>
      </c>
      <c r="R178" s="22">
        <v>168</v>
      </c>
      <c r="S178" s="22">
        <v>0.74520900000000001</v>
      </c>
      <c r="T178">
        <f t="shared" si="26"/>
        <v>16.837407407407408</v>
      </c>
      <c r="U178">
        <f t="shared" si="27"/>
        <v>12.560739600740742</v>
      </c>
      <c r="X178" s="9"/>
      <c r="Y178" s="22">
        <v>0.97412100000000001</v>
      </c>
      <c r="Z178" s="22">
        <v>16.2545</v>
      </c>
      <c r="AA178" s="22">
        <v>-1.3559E-2</v>
      </c>
      <c r="AB178" s="22">
        <v>168</v>
      </c>
      <c r="AC178" s="22">
        <v>0.97320600000000002</v>
      </c>
      <c r="AD178">
        <f t="shared" si="28"/>
        <v>16.739506172839505</v>
      </c>
      <c r="AE178">
        <f t="shared" si="29"/>
        <v>16.306304492592592</v>
      </c>
      <c r="AF178" s="9"/>
      <c r="AG178" s="22">
        <v>0.74600200000000005</v>
      </c>
      <c r="AH178" s="22">
        <v>20.114000000000001</v>
      </c>
      <c r="AI178" s="22">
        <v>-1.37085E-2</v>
      </c>
      <c r="AJ178" s="22">
        <v>168</v>
      </c>
      <c r="AK178" s="22">
        <v>0.74520900000000001</v>
      </c>
      <c r="AL178">
        <f t="shared" si="30"/>
        <v>16.924074074074074</v>
      </c>
      <c r="AM178">
        <f t="shared" si="31"/>
        <v>12.625393107407408</v>
      </c>
      <c r="AP178" s="9"/>
      <c r="AQ178" s="22">
        <v>0.97412100000000001</v>
      </c>
      <c r="AR178" s="22">
        <v>25.677700000000002</v>
      </c>
      <c r="AS178" s="22">
        <v>-1.36566E-2</v>
      </c>
      <c r="AT178" s="22">
        <v>168</v>
      </c>
      <c r="AU178" s="22">
        <v>0.97320600000000002</v>
      </c>
      <c r="AV178">
        <f t="shared" si="32"/>
        <v>16.86</v>
      </c>
      <c r="AW178">
        <f t="shared" si="33"/>
        <v>16.423680059999999</v>
      </c>
      <c r="AX178" s="9"/>
      <c r="AY178" s="22">
        <v>0.74600200000000005</v>
      </c>
      <c r="AZ178" s="22">
        <v>29.537199999999999</v>
      </c>
      <c r="BA178" s="22">
        <v>-1.3693200000000001E-2</v>
      </c>
      <c r="BB178" s="22">
        <v>168</v>
      </c>
      <c r="BC178" s="22">
        <v>0.74526999999999999</v>
      </c>
      <c r="BD178">
        <f t="shared" si="34"/>
        <v>16.905185185185186</v>
      </c>
      <c r="BE178">
        <f t="shared" si="35"/>
        <v>12.611301958518521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0.969086</v>
      </c>
      <c r="H179" s="22">
        <v>6.9283200000000003</v>
      </c>
      <c r="I179" s="22">
        <v>-1.34491E-2</v>
      </c>
      <c r="J179" s="22">
        <v>169</v>
      </c>
      <c r="K179" s="22">
        <v>0.96801800000000005</v>
      </c>
      <c r="L179">
        <f t="shared" si="24"/>
        <v>16.603827160493829</v>
      </c>
      <c r="M179">
        <f t="shared" si="25"/>
        <v>16.090536447654323</v>
      </c>
      <c r="N179" s="9"/>
      <c r="O179" s="22">
        <v>0.75103799999999998</v>
      </c>
      <c r="P179" s="22">
        <v>10.787800000000001</v>
      </c>
      <c r="Q179" s="22">
        <v>-1.3632200000000001E-2</v>
      </c>
      <c r="R179" s="22">
        <v>169</v>
      </c>
      <c r="S179" s="22">
        <v>0.75018300000000004</v>
      </c>
      <c r="T179">
        <f t="shared" si="26"/>
        <v>16.829876543209878</v>
      </c>
      <c r="U179">
        <f t="shared" si="27"/>
        <v>12.639876819259261</v>
      </c>
      <c r="X179" s="9"/>
      <c r="Y179" s="22">
        <v>0.969086</v>
      </c>
      <c r="Z179" s="22">
        <v>16.264600000000002</v>
      </c>
      <c r="AA179" s="22">
        <v>-1.3549800000000001E-2</v>
      </c>
      <c r="AB179" s="22">
        <v>169</v>
      </c>
      <c r="AC179" s="22">
        <v>0.96801800000000005</v>
      </c>
      <c r="AD179">
        <f t="shared" si="28"/>
        <v>16.728148148148147</v>
      </c>
      <c r="AE179">
        <f t="shared" si="29"/>
        <v>16.211014176296295</v>
      </c>
      <c r="AF179" s="9"/>
      <c r="AG179" s="22">
        <v>0.75103799999999998</v>
      </c>
      <c r="AH179" s="22">
        <v>20.124099999999999</v>
      </c>
      <c r="AI179" s="22">
        <v>-1.37115E-2</v>
      </c>
      <c r="AJ179" s="22">
        <v>169</v>
      </c>
      <c r="AK179" s="22">
        <v>0.75021400000000005</v>
      </c>
      <c r="AL179">
        <f t="shared" si="30"/>
        <v>16.927777777777777</v>
      </c>
      <c r="AM179">
        <f t="shared" si="31"/>
        <v>12.713404366666666</v>
      </c>
      <c r="AP179" s="9"/>
      <c r="AQ179" s="22">
        <v>0.969086</v>
      </c>
      <c r="AR179" s="22">
        <v>25.687799999999999</v>
      </c>
      <c r="AS179" s="22">
        <v>-1.36566E-2</v>
      </c>
      <c r="AT179" s="22">
        <v>169</v>
      </c>
      <c r="AU179" s="22">
        <v>0.96801800000000005</v>
      </c>
      <c r="AV179">
        <f t="shared" si="32"/>
        <v>16.86</v>
      </c>
      <c r="AW179">
        <f t="shared" si="33"/>
        <v>16.33878996</v>
      </c>
      <c r="AX179" s="9"/>
      <c r="AY179" s="22">
        <v>0.75103799999999998</v>
      </c>
      <c r="AZ179" s="22">
        <v>29.5473</v>
      </c>
      <c r="BA179" s="22">
        <v>-1.37024E-2</v>
      </c>
      <c r="BB179" s="22">
        <v>169</v>
      </c>
      <c r="BC179" s="22">
        <v>0.75015299999999996</v>
      </c>
      <c r="BD179">
        <f t="shared" si="34"/>
        <v>16.916543209876544</v>
      </c>
      <c r="BE179">
        <f t="shared" si="35"/>
        <v>12.704966779259259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0.96404999999999996</v>
      </c>
      <c r="H180" s="22">
        <v>6.9383900000000001</v>
      </c>
      <c r="I180" s="22">
        <v>-1.34552E-2</v>
      </c>
      <c r="J180" s="22">
        <v>170</v>
      </c>
      <c r="K180" s="22">
        <v>0.96313499999999996</v>
      </c>
      <c r="L180">
        <f t="shared" si="24"/>
        <v>16.611358024691356</v>
      </c>
      <c r="M180">
        <f t="shared" si="25"/>
        <v>16.0141797037037</v>
      </c>
      <c r="N180" s="9"/>
      <c r="O180" s="22">
        <v>0.756073</v>
      </c>
      <c r="P180" s="22">
        <v>10.7979</v>
      </c>
      <c r="Q180" s="22">
        <v>-1.3632200000000001E-2</v>
      </c>
      <c r="R180" s="22">
        <v>170</v>
      </c>
      <c r="S180" s="22">
        <v>0.75500500000000004</v>
      </c>
      <c r="T180">
        <f t="shared" si="26"/>
        <v>16.829876543209878</v>
      </c>
      <c r="U180">
        <f t="shared" si="27"/>
        <v>12.724615247654322</v>
      </c>
      <c r="X180" s="9"/>
      <c r="Y180" s="22">
        <v>0.96404999999999996</v>
      </c>
      <c r="Z180" s="22">
        <v>16.2746</v>
      </c>
      <c r="AA180" s="22">
        <v>-1.3549800000000001E-2</v>
      </c>
      <c r="AB180" s="22">
        <v>170</v>
      </c>
      <c r="AC180" s="22">
        <v>0.96282999999999996</v>
      </c>
      <c r="AD180">
        <f t="shared" si="28"/>
        <v>16.728148148148147</v>
      </c>
      <c r="AE180">
        <f t="shared" si="29"/>
        <v>16.126771222222221</v>
      </c>
      <c r="AF180" s="9"/>
      <c r="AG180" s="22">
        <v>0.756073</v>
      </c>
      <c r="AH180" s="22">
        <v>20.1341</v>
      </c>
      <c r="AI180" s="22">
        <v>-1.37115E-2</v>
      </c>
      <c r="AJ180" s="22">
        <v>170</v>
      </c>
      <c r="AK180" s="22">
        <v>0.75531000000000004</v>
      </c>
      <c r="AL180">
        <f t="shared" si="30"/>
        <v>16.927777777777777</v>
      </c>
      <c r="AM180">
        <f t="shared" si="31"/>
        <v>12.798635727777777</v>
      </c>
      <c r="AP180" s="9"/>
      <c r="AQ180" s="22">
        <v>0.96404999999999996</v>
      </c>
      <c r="AR180" s="22">
        <v>25.697900000000001</v>
      </c>
      <c r="AS180" s="22">
        <v>-1.36627E-2</v>
      </c>
      <c r="AT180" s="22">
        <v>170</v>
      </c>
      <c r="AU180" s="22">
        <v>0.96313499999999996</v>
      </c>
      <c r="AV180">
        <f t="shared" si="32"/>
        <v>16.86753086419753</v>
      </c>
      <c r="AW180">
        <f t="shared" si="33"/>
        <v>16.261143129629627</v>
      </c>
      <c r="AX180" s="9"/>
      <c r="AY180" s="22">
        <v>0.756073</v>
      </c>
      <c r="AZ180" s="22">
        <v>29.557400000000001</v>
      </c>
      <c r="BA180" s="22">
        <v>-1.37024E-2</v>
      </c>
      <c r="BB180" s="22">
        <v>170</v>
      </c>
      <c r="BC180" s="22">
        <v>0.75500500000000004</v>
      </c>
      <c r="BD180">
        <f t="shared" si="34"/>
        <v>16.916543209876544</v>
      </c>
      <c r="BE180">
        <f t="shared" si="35"/>
        <v>12.790141574320987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0.95901499999999995</v>
      </c>
      <c r="H181" s="22">
        <v>6.9484700000000004</v>
      </c>
      <c r="I181" s="22">
        <v>-1.34705E-2</v>
      </c>
      <c r="J181" s="22">
        <v>171</v>
      </c>
      <c r="K181" s="22">
        <v>0.95825199999999999</v>
      </c>
      <c r="L181">
        <f t="shared" si="24"/>
        <v>16.630246913580244</v>
      </c>
      <c r="M181">
        <f t="shared" si="25"/>
        <v>15.948656243827157</v>
      </c>
      <c r="N181" s="9"/>
      <c r="O181" s="22">
        <v>0.76110800000000001</v>
      </c>
      <c r="P181" s="22">
        <v>10.8079</v>
      </c>
      <c r="Q181" s="22">
        <v>-1.3629199999999999E-2</v>
      </c>
      <c r="R181" s="22">
        <v>171</v>
      </c>
      <c r="S181" s="22">
        <v>0.76049800000000001</v>
      </c>
      <c r="T181">
        <f t="shared" si="26"/>
        <v>16.826172839506171</v>
      </c>
      <c r="U181">
        <f t="shared" si="27"/>
        <v>12.806534757530862</v>
      </c>
      <c r="X181" s="9"/>
      <c r="Y181" s="22">
        <v>0.95901499999999995</v>
      </c>
      <c r="Z181" s="22">
        <v>16.284700000000001</v>
      </c>
      <c r="AA181" s="22">
        <v>-1.3555899999999999E-2</v>
      </c>
      <c r="AB181" s="22">
        <v>171</v>
      </c>
      <c r="AC181" s="22">
        <v>0.95733599999999996</v>
      </c>
      <c r="AD181">
        <f t="shared" si="28"/>
        <v>16.735679012345678</v>
      </c>
      <c r="AE181">
        <f t="shared" si="29"/>
        <v>16.04976720802469</v>
      </c>
      <c r="AF181" s="9"/>
      <c r="AG181" s="22">
        <v>0.76110800000000001</v>
      </c>
      <c r="AH181" s="22">
        <v>20.144200000000001</v>
      </c>
      <c r="AI181" s="22">
        <v>-1.3717699999999999E-2</v>
      </c>
      <c r="AJ181" s="22">
        <v>171</v>
      </c>
      <c r="AK181" s="22">
        <v>0.76049800000000001</v>
      </c>
      <c r="AL181">
        <f t="shared" si="30"/>
        <v>16.935432098765432</v>
      </c>
      <c r="AM181">
        <f t="shared" si="31"/>
        <v>12.88969285382716</v>
      </c>
      <c r="AP181" s="9"/>
      <c r="AQ181" s="22">
        <v>0.95901499999999995</v>
      </c>
      <c r="AR181" s="22">
        <v>25.707999999999998</v>
      </c>
      <c r="AS181" s="22">
        <v>-1.3665800000000001E-2</v>
      </c>
      <c r="AT181" s="22">
        <v>171</v>
      </c>
      <c r="AU181" s="22">
        <v>0.95794699999999999</v>
      </c>
      <c r="AV181">
        <f t="shared" si="32"/>
        <v>16.871358024691357</v>
      </c>
      <c r="AW181">
        <f t="shared" si="33"/>
        <v>16.17988541604938</v>
      </c>
      <c r="AX181" s="9"/>
      <c r="AY181" s="22">
        <v>0.76110800000000001</v>
      </c>
      <c r="AZ181" s="22">
        <v>29.567399999999999</v>
      </c>
      <c r="BA181" s="22">
        <v>-1.36963E-2</v>
      </c>
      <c r="BB181" s="22">
        <v>171</v>
      </c>
      <c r="BC181" s="22">
        <v>0.75988800000000001</v>
      </c>
      <c r="BD181">
        <f t="shared" si="34"/>
        <v>16.90901234567901</v>
      </c>
      <c r="BE181">
        <f t="shared" si="35"/>
        <v>12.86958456839506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0.95397900000000002</v>
      </c>
      <c r="H182" s="22">
        <v>6.9585400000000002</v>
      </c>
      <c r="I182" s="22">
        <v>-1.34705E-2</v>
      </c>
      <c r="J182" s="22">
        <v>172</v>
      </c>
      <c r="K182" s="22">
        <v>0.95336900000000002</v>
      </c>
      <c r="L182">
        <f t="shared" si="24"/>
        <v>16.630246913580244</v>
      </c>
      <c r="M182">
        <f t="shared" si="25"/>
        <v>15.864906320370368</v>
      </c>
      <c r="N182" s="9"/>
      <c r="O182" s="22">
        <v>0.76614400000000005</v>
      </c>
      <c r="P182" s="22">
        <v>10.818</v>
      </c>
      <c r="Q182" s="22">
        <v>-1.3629199999999999E-2</v>
      </c>
      <c r="R182" s="22">
        <v>172</v>
      </c>
      <c r="S182" s="22">
        <v>0.76507599999999998</v>
      </c>
      <c r="T182">
        <f t="shared" si="26"/>
        <v>16.826172839506171</v>
      </c>
      <c r="U182">
        <f t="shared" si="27"/>
        <v>12.891271363950617</v>
      </c>
      <c r="X182" s="9"/>
      <c r="Y182" s="22">
        <v>0.95397900000000002</v>
      </c>
      <c r="Z182" s="22">
        <v>16.294799999999999</v>
      </c>
      <c r="AA182" s="22">
        <v>-1.3559E-2</v>
      </c>
      <c r="AB182" s="22">
        <v>172</v>
      </c>
      <c r="AC182" s="22">
        <v>0.95245400000000002</v>
      </c>
      <c r="AD182">
        <f t="shared" si="28"/>
        <v>16.739506172839505</v>
      </c>
      <c r="AE182">
        <f t="shared" si="29"/>
        <v>15.969137359259259</v>
      </c>
      <c r="AF182" s="9"/>
      <c r="AG182" s="22">
        <v>0.76614400000000005</v>
      </c>
      <c r="AH182" s="22">
        <v>20.154299999999999</v>
      </c>
      <c r="AI182" s="22">
        <v>-1.37146E-2</v>
      </c>
      <c r="AJ182" s="22">
        <v>172</v>
      </c>
      <c r="AK182" s="22">
        <v>0.76538099999999998</v>
      </c>
      <c r="AL182">
        <f t="shared" si="30"/>
        <v>16.931604938271605</v>
      </c>
      <c r="AM182">
        <f t="shared" si="31"/>
        <v>12.97204753382716</v>
      </c>
      <c r="AP182" s="9"/>
      <c r="AQ182" s="22">
        <v>0.95397900000000002</v>
      </c>
      <c r="AR182" s="22">
        <v>25.718</v>
      </c>
      <c r="AS182" s="22">
        <v>-1.3665800000000001E-2</v>
      </c>
      <c r="AT182" s="22">
        <v>172</v>
      </c>
      <c r="AU182" s="22">
        <v>0.95275900000000002</v>
      </c>
      <c r="AV182">
        <f t="shared" si="32"/>
        <v>16.871358024691357</v>
      </c>
      <c r="AW182">
        <f t="shared" si="33"/>
        <v>16.094921257037036</v>
      </c>
      <c r="AX182" s="9"/>
      <c r="AY182" s="22">
        <v>0.76614400000000005</v>
      </c>
      <c r="AZ182" s="22">
        <v>29.577500000000001</v>
      </c>
      <c r="BA182" s="22">
        <v>-1.37024E-2</v>
      </c>
      <c r="BB182" s="22">
        <v>172</v>
      </c>
      <c r="BC182" s="22">
        <v>0.76538099999999998</v>
      </c>
      <c r="BD182">
        <f t="shared" si="34"/>
        <v>16.916543209876544</v>
      </c>
      <c r="BE182">
        <f t="shared" si="35"/>
        <v>12.960508080987655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0.94894400000000001</v>
      </c>
      <c r="H183" s="22">
        <v>6.96861</v>
      </c>
      <c r="I183" s="22">
        <v>-1.34644E-2</v>
      </c>
      <c r="J183" s="22">
        <v>173</v>
      </c>
      <c r="K183" s="22">
        <v>0.94787600000000005</v>
      </c>
      <c r="L183">
        <f t="shared" si="24"/>
        <v>16.622716049382717</v>
      </c>
      <c r="M183">
        <f t="shared" si="25"/>
        <v>15.774026658765433</v>
      </c>
      <c r="N183" s="9"/>
      <c r="O183" s="22">
        <v>0.77117899999999995</v>
      </c>
      <c r="P183" s="22">
        <v>10.828099999999999</v>
      </c>
      <c r="Q183" s="22">
        <v>-1.36261E-2</v>
      </c>
      <c r="R183" s="22">
        <v>173</v>
      </c>
      <c r="S183" s="22">
        <v>0.77026399999999995</v>
      </c>
      <c r="T183">
        <f t="shared" si="26"/>
        <v>16.822345679012344</v>
      </c>
      <c r="U183">
        <f t="shared" si="27"/>
        <v>12.973039718395059</v>
      </c>
      <c r="X183" s="9"/>
      <c r="Y183" s="22">
        <v>0.94894400000000001</v>
      </c>
      <c r="Z183" s="22">
        <v>16.3049</v>
      </c>
      <c r="AA183" s="22">
        <v>-1.3559E-2</v>
      </c>
      <c r="AB183" s="22">
        <v>173</v>
      </c>
      <c r="AC183" s="22">
        <v>0.94818100000000005</v>
      </c>
      <c r="AD183">
        <f t="shared" si="28"/>
        <v>16.739506172839505</v>
      </c>
      <c r="AE183">
        <f t="shared" si="29"/>
        <v>15.884853945679012</v>
      </c>
      <c r="AF183" s="9"/>
      <c r="AG183" s="22">
        <v>0.77117899999999995</v>
      </c>
      <c r="AH183" s="22">
        <v>20.164300000000001</v>
      </c>
      <c r="AI183" s="22">
        <v>-1.37085E-2</v>
      </c>
      <c r="AJ183" s="22">
        <v>173</v>
      </c>
      <c r="AK183" s="22">
        <v>0.77026399999999995</v>
      </c>
      <c r="AL183">
        <f t="shared" si="30"/>
        <v>16.924074074074074</v>
      </c>
      <c r="AM183">
        <f t="shared" si="31"/>
        <v>13.05149052037037</v>
      </c>
      <c r="AP183" s="9"/>
      <c r="AQ183" s="22">
        <v>0.94894400000000001</v>
      </c>
      <c r="AR183" s="22">
        <v>25.728100000000001</v>
      </c>
      <c r="AS183" s="22">
        <v>-1.36627E-2</v>
      </c>
      <c r="AT183" s="22">
        <v>173</v>
      </c>
      <c r="AU183" s="22">
        <v>0.94757100000000005</v>
      </c>
      <c r="AV183">
        <f t="shared" si="32"/>
        <v>16.86753086419753</v>
      </c>
      <c r="AW183">
        <f t="shared" si="33"/>
        <v>16.006342208395061</v>
      </c>
      <c r="AX183" s="9"/>
      <c r="AY183" s="22">
        <v>0.77117899999999995</v>
      </c>
      <c r="AZ183" s="22">
        <v>29.587599999999998</v>
      </c>
      <c r="BA183" s="22">
        <v>-1.37024E-2</v>
      </c>
      <c r="BB183" s="22">
        <v>173</v>
      </c>
      <c r="BC183" s="22">
        <v>0.76995800000000003</v>
      </c>
      <c r="BD183">
        <f t="shared" si="34"/>
        <v>16.916543209876544</v>
      </c>
      <c r="BE183">
        <f t="shared" si="35"/>
        <v>13.045682876049382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0.943909</v>
      </c>
      <c r="H184" s="22">
        <v>6.9786799999999998</v>
      </c>
      <c r="I184" s="22">
        <v>-1.3473499999999999E-2</v>
      </c>
      <c r="J184" s="22">
        <v>174</v>
      </c>
      <c r="K184" s="22">
        <v>0.94268799999999997</v>
      </c>
      <c r="L184">
        <f t="shared" si="24"/>
        <v>16.633950617283947</v>
      </c>
      <c r="M184">
        <f t="shared" si="25"/>
        <v>15.700935693209873</v>
      </c>
      <c r="N184" s="9"/>
      <c r="O184" s="22">
        <v>0.77621499999999999</v>
      </c>
      <c r="P184" s="22">
        <v>10.838200000000001</v>
      </c>
      <c r="Q184" s="22">
        <v>-1.3632200000000001E-2</v>
      </c>
      <c r="R184" s="22">
        <v>174</v>
      </c>
      <c r="S184" s="22">
        <v>0.774841</v>
      </c>
      <c r="T184">
        <f t="shared" si="26"/>
        <v>16.829876543209878</v>
      </c>
      <c r="U184">
        <f t="shared" si="27"/>
        <v>13.063602620987655</v>
      </c>
      <c r="X184" s="9"/>
      <c r="Y184" s="22">
        <v>0.943909</v>
      </c>
      <c r="Z184" s="22">
        <v>16.314900000000002</v>
      </c>
      <c r="AA184" s="22">
        <v>-1.35681E-2</v>
      </c>
      <c r="AB184" s="22">
        <v>174</v>
      </c>
      <c r="AC184" s="22">
        <v>0.94268799999999997</v>
      </c>
      <c r="AD184">
        <f t="shared" si="28"/>
        <v>16.750740740740738</v>
      </c>
      <c r="AE184">
        <f t="shared" si="29"/>
        <v>15.811174941851849</v>
      </c>
      <c r="AF184" s="9"/>
      <c r="AG184" s="22">
        <v>0.77621499999999999</v>
      </c>
      <c r="AH184" s="22">
        <v>20.174399999999999</v>
      </c>
      <c r="AI184" s="22">
        <v>-1.36963E-2</v>
      </c>
      <c r="AJ184" s="22">
        <v>174</v>
      </c>
      <c r="AK184" s="22">
        <v>0.775146</v>
      </c>
      <c r="AL184">
        <f t="shared" si="30"/>
        <v>16.90901234567901</v>
      </c>
      <c r="AM184">
        <f t="shared" si="31"/>
        <v>13.125029017901232</v>
      </c>
      <c r="AP184" s="9"/>
      <c r="AQ184" s="22">
        <v>0.943909</v>
      </c>
      <c r="AR184" s="22">
        <v>25.738199999999999</v>
      </c>
      <c r="AS184" s="22">
        <v>-1.36627E-2</v>
      </c>
      <c r="AT184" s="22">
        <v>174</v>
      </c>
      <c r="AU184" s="22">
        <v>0.94329799999999997</v>
      </c>
      <c r="AV184">
        <f t="shared" si="32"/>
        <v>16.86753086419753</v>
      </c>
      <c r="AW184">
        <f t="shared" si="33"/>
        <v>15.921414190493826</v>
      </c>
      <c r="AX184" s="9"/>
      <c r="AY184" s="22">
        <v>0.77621499999999999</v>
      </c>
      <c r="AZ184" s="22">
        <v>29.5976</v>
      </c>
      <c r="BA184" s="22">
        <v>-1.37054E-2</v>
      </c>
      <c r="BB184" s="22">
        <v>174</v>
      </c>
      <c r="BC184" s="22">
        <v>0.774536</v>
      </c>
      <c r="BD184">
        <f t="shared" si="34"/>
        <v>16.920246913580247</v>
      </c>
      <c r="BE184">
        <f t="shared" si="35"/>
        <v>13.133749458024692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0.93887299999999996</v>
      </c>
      <c r="H185" s="22">
        <v>6.9887499999999996</v>
      </c>
      <c r="I185" s="22">
        <v>-1.34827E-2</v>
      </c>
      <c r="J185" s="22">
        <v>175</v>
      </c>
      <c r="K185" s="22">
        <v>0.937805</v>
      </c>
      <c r="L185">
        <f t="shared" si="24"/>
        <v>16.645308641975308</v>
      </c>
      <c r="M185">
        <f t="shared" si="25"/>
        <v>15.627830860617284</v>
      </c>
      <c r="N185" s="9"/>
      <c r="O185" s="22">
        <v>0.78125</v>
      </c>
      <c r="P185" s="22">
        <v>10.8482</v>
      </c>
      <c r="Q185" s="22">
        <v>-1.3623E-2</v>
      </c>
      <c r="R185" s="22">
        <v>175</v>
      </c>
      <c r="S185" s="22">
        <v>0.78033399999999997</v>
      </c>
      <c r="T185">
        <f t="shared" si="26"/>
        <v>16.818518518518516</v>
      </c>
      <c r="U185">
        <f t="shared" si="27"/>
        <v>13.139467592592592</v>
      </c>
      <c r="X185" s="9"/>
      <c r="Y185" s="22">
        <v>0.93887299999999996</v>
      </c>
      <c r="Z185" s="22">
        <v>16.324999999999999</v>
      </c>
      <c r="AA185" s="22">
        <v>-1.3583400000000001E-2</v>
      </c>
      <c r="AB185" s="22">
        <v>175</v>
      </c>
      <c r="AC185" s="22">
        <v>0.93811</v>
      </c>
      <c r="AD185">
        <f t="shared" si="28"/>
        <v>16.76962962962963</v>
      </c>
      <c r="AE185">
        <f t="shared" si="29"/>
        <v>15.744552479259259</v>
      </c>
      <c r="AF185" s="9"/>
      <c r="AG185" s="22">
        <v>0.78125</v>
      </c>
      <c r="AH185" s="22">
        <v>20.1845</v>
      </c>
      <c r="AI185" s="22">
        <v>-1.3687100000000001E-2</v>
      </c>
      <c r="AJ185" s="22">
        <v>175</v>
      </c>
      <c r="AK185" s="22">
        <v>0.78064</v>
      </c>
      <c r="AL185">
        <f t="shared" si="30"/>
        <v>16.897654320987655</v>
      </c>
      <c r="AM185">
        <f t="shared" si="31"/>
        <v>13.201292438271606</v>
      </c>
      <c r="AP185" s="9"/>
      <c r="AQ185" s="22">
        <v>0.93887299999999996</v>
      </c>
      <c r="AR185" s="22">
        <v>25.748200000000001</v>
      </c>
      <c r="AS185" s="22">
        <v>-1.3665800000000001E-2</v>
      </c>
      <c r="AT185" s="22">
        <v>175</v>
      </c>
      <c r="AU185" s="22">
        <v>0.9375</v>
      </c>
      <c r="AV185">
        <f t="shared" si="32"/>
        <v>16.871358024691357</v>
      </c>
      <c r="AW185">
        <f t="shared" si="33"/>
        <v>15.840062522716048</v>
      </c>
      <c r="AX185" s="9"/>
      <c r="AY185" s="22">
        <v>0.78125</v>
      </c>
      <c r="AZ185" s="22">
        <v>29.607700000000001</v>
      </c>
      <c r="BA185" s="22">
        <v>-1.3693200000000001E-2</v>
      </c>
      <c r="BB185" s="22">
        <v>175</v>
      </c>
      <c r="BC185" s="22">
        <v>0.78002899999999997</v>
      </c>
      <c r="BD185">
        <f t="shared" si="34"/>
        <v>16.905185185185186</v>
      </c>
      <c r="BE185">
        <f t="shared" si="35"/>
        <v>13.207175925925926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0.93383799999999995</v>
      </c>
      <c r="H186" s="22">
        <v>6.9988200000000003</v>
      </c>
      <c r="I186" s="22">
        <v>-1.34888E-2</v>
      </c>
      <c r="J186" s="22">
        <v>176</v>
      </c>
      <c r="K186" s="22">
        <v>0.93261700000000003</v>
      </c>
      <c r="L186">
        <f t="shared" si="24"/>
        <v>16.652839506172839</v>
      </c>
      <c r="M186">
        <f t="shared" si="25"/>
        <v>15.551054338765431</v>
      </c>
      <c r="N186" s="9"/>
      <c r="O186" s="22">
        <v>0.78628500000000001</v>
      </c>
      <c r="P186" s="22">
        <v>10.8583</v>
      </c>
      <c r="Q186" s="22">
        <v>-1.3623E-2</v>
      </c>
      <c r="R186" s="22">
        <v>176</v>
      </c>
      <c r="S186" s="22">
        <v>0.78521700000000005</v>
      </c>
      <c r="T186">
        <f t="shared" si="26"/>
        <v>16.818518518518516</v>
      </c>
      <c r="U186">
        <f t="shared" si="27"/>
        <v>13.224148833333333</v>
      </c>
      <c r="X186" s="9"/>
      <c r="Y186" s="22">
        <v>0.93383799999999995</v>
      </c>
      <c r="Z186" s="22">
        <v>16.335100000000001</v>
      </c>
      <c r="AA186" s="22">
        <v>-1.3589499999999999E-2</v>
      </c>
      <c r="AB186" s="22">
        <v>176</v>
      </c>
      <c r="AC186" s="22">
        <v>0.93261700000000003</v>
      </c>
      <c r="AD186">
        <f t="shared" si="28"/>
        <v>16.777160493827161</v>
      </c>
      <c r="AE186">
        <f t="shared" si="29"/>
        <v>15.667150001234567</v>
      </c>
      <c r="AF186" s="9"/>
      <c r="AG186" s="22">
        <v>0.78628500000000001</v>
      </c>
      <c r="AH186" s="22">
        <v>20.194500000000001</v>
      </c>
      <c r="AI186" s="22">
        <v>-1.3681E-2</v>
      </c>
      <c r="AJ186" s="22">
        <v>176</v>
      </c>
      <c r="AK186" s="22">
        <v>0.78521700000000005</v>
      </c>
      <c r="AL186">
        <f t="shared" si="30"/>
        <v>16.890123456790121</v>
      </c>
      <c r="AM186">
        <f t="shared" si="31"/>
        <v>13.28045072222222</v>
      </c>
      <c r="AP186" s="9"/>
      <c r="AQ186" s="22">
        <v>0.93383799999999995</v>
      </c>
      <c r="AR186" s="22">
        <v>25.758299999999998</v>
      </c>
      <c r="AS186" s="22">
        <v>-1.36688E-2</v>
      </c>
      <c r="AT186" s="22">
        <v>176</v>
      </c>
      <c r="AU186" s="22">
        <v>0.93261700000000003</v>
      </c>
      <c r="AV186">
        <f t="shared" si="32"/>
        <v>16.87506172839506</v>
      </c>
      <c r="AW186">
        <f t="shared" si="33"/>
        <v>15.758573894320985</v>
      </c>
      <c r="AX186" s="9"/>
      <c r="AY186" s="22">
        <v>0.78628500000000001</v>
      </c>
      <c r="AZ186" s="22">
        <v>29.617799999999999</v>
      </c>
      <c r="BA186" s="22">
        <v>-1.36902E-2</v>
      </c>
      <c r="BB186" s="22">
        <v>176</v>
      </c>
      <c r="BC186" s="22">
        <v>0.78613299999999997</v>
      </c>
      <c r="BD186">
        <f t="shared" si="34"/>
        <v>16.901481481481479</v>
      </c>
      <c r="BE186">
        <f t="shared" si="35"/>
        <v>13.289381366666666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0.92880200000000002</v>
      </c>
      <c r="H187" s="22">
        <v>7.0088900000000001</v>
      </c>
      <c r="I187" s="22">
        <v>-1.34918E-2</v>
      </c>
      <c r="J187" s="22">
        <v>177</v>
      </c>
      <c r="K187" s="22">
        <v>0.92803999999999998</v>
      </c>
      <c r="L187">
        <f t="shared" si="24"/>
        <v>16.656543209876542</v>
      </c>
      <c r="M187">
        <f t="shared" si="25"/>
        <v>15.470630646419751</v>
      </c>
      <c r="N187" s="9"/>
      <c r="O187" s="22">
        <v>0.79132100000000005</v>
      </c>
      <c r="P187" s="22">
        <v>10.868399999999999</v>
      </c>
      <c r="Q187" s="22">
        <v>-1.362E-2</v>
      </c>
      <c r="R187" s="22">
        <v>177</v>
      </c>
      <c r="S187" s="22">
        <v>0.79040500000000002</v>
      </c>
      <c r="T187">
        <f t="shared" si="26"/>
        <v>16.814814814814813</v>
      </c>
      <c r="U187">
        <f t="shared" si="27"/>
        <v>13.305916074074073</v>
      </c>
      <c r="X187" s="9"/>
      <c r="Y187" s="22">
        <v>0.92880200000000002</v>
      </c>
      <c r="Z187" s="22">
        <v>16.345099999999999</v>
      </c>
      <c r="AA187" s="22">
        <v>-1.3589499999999999E-2</v>
      </c>
      <c r="AB187" s="22">
        <v>177</v>
      </c>
      <c r="AC187" s="22">
        <v>0.92803999999999998</v>
      </c>
      <c r="AD187">
        <f t="shared" si="28"/>
        <v>16.777160493827161</v>
      </c>
      <c r="AE187">
        <f t="shared" si="29"/>
        <v>15.582660220987655</v>
      </c>
      <c r="AF187" s="9"/>
      <c r="AG187" s="22">
        <v>0.79132100000000005</v>
      </c>
      <c r="AH187" s="22">
        <v>20.204599999999999</v>
      </c>
      <c r="AI187" s="22">
        <v>-1.36749E-2</v>
      </c>
      <c r="AJ187" s="22">
        <v>177</v>
      </c>
      <c r="AK187" s="22">
        <v>0.79040500000000002</v>
      </c>
      <c r="AL187">
        <f t="shared" si="30"/>
        <v>16.882592592592591</v>
      </c>
      <c r="AM187">
        <f t="shared" si="31"/>
        <v>13.359550052962962</v>
      </c>
      <c r="AP187" s="9"/>
      <c r="AQ187" s="22">
        <v>0.92880200000000002</v>
      </c>
      <c r="AR187" s="22">
        <v>25.7684</v>
      </c>
      <c r="AS187" s="22">
        <v>-1.3665800000000001E-2</v>
      </c>
      <c r="AT187" s="22">
        <v>177</v>
      </c>
      <c r="AU187" s="22">
        <v>0.92803999999999998</v>
      </c>
      <c r="AV187">
        <f t="shared" si="32"/>
        <v>16.871358024691357</v>
      </c>
      <c r="AW187">
        <f t="shared" si="33"/>
        <v>15.670151076049383</v>
      </c>
      <c r="AX187" s="9"/>
      <c r="AY187" s="22">
        <v>0.79132100000000005</v>
      </c>
      <c r="AZ187" s="22">
        <v>29.6279</v>
      </c>
      <c r="BA187" s="22">
        <v>-1.36902E-2</v>
      </c>
      <c r="BB187" s="22">
        <v>177</v>
      </c>
      <c r="BC187" s="22">
        <v>0.79010000000000002</v>
      </c>
      <c r="BD187">
        <f t="shared" si="34"/>
        <v>16.901481481481479</v>
      </c>
      <c r="BE187">
        <f t="shared" si="35"/>
        <v>13.374497227407407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0.923767</v>
      </c>
      <c r="H188" s="22">
        <v>7.0189599999999999</v>
      </c>
      <c r="I188" s="22">
        <v>-1.34979E-2</v>
      </c>
      <c r="J188" s="22">
        <v>178</v>
      </c>
      <c r="K188" s="22">
        <v>0.92346200000000001</v>
      </c>
      <c r="L188">
        <f t="shared" si="24"/>
        <v>16.664074074074072</v>
      </c>
      <c r="M188">
        <f t="shared" si="25"/>
        <v>15.393721715185183</v>
      </c>
      <c r="N188" s="9"/>
      <c r="O188" s="22">
        <v>0.79635599999999995</v>
      </c>
      <c r="P188" s="22">
        <v>10.878399999999999</v>
      </c>
      <c r="Q188" s="22">
        <v>-1.3610799999999999E-2</v>
      </c>
      <c r="R188" s="22">
        <v>178</v>
      </c>
      <c r="S188" s="22">
        <v>0.79528799999999999</v>
      </c>
      <c r="T188">
        <f t="shared" si="26"/>
        <v>16.803456790123455</v>
      </c>
      <c r="U188">
        <f t="shared" si="27"/>
        <v>13.381533635555554</v>
      </c>
      <c r="X188" s="9"/>
      <c r="Y188" s="22">
        <v>0.923767</v>
      </c>
      <c r="Z188" s="22">
        <v>16.3552</v>
      </c>
      <c r="AA188" s="22">
        <v>-1.3598600000000001E-2</v>
      </c>
      <c r="AB188" s="22">
        <v>178</v>
      </c>
      <c r="AC188" s="22">
        <v>0.92285200000000001</v>
      </c>
      <c r="AD188">
        <f t="shared" si="28"/>
        <v>16.788395061728394</v>
      </c>
      <c r="AE188">
        <f t="shared" si="29"/>
        <v>15.508565340987653</v>
      </c>
      <c r="AF188" s="9"/>
      <c r="AG188" s="22">
        <v>0.79635599999999995</v>
      </c>
      <c r="AH188" s="22">
        <v>20.214700000000001</v>
      </c>
      <c r="AI188" s="22">
        <v>-1.36749E-2</v>
      </c>
      <c r="AJ188" s="22">
        <v>178</v>
      </c>
      <c r="AK188" s="22">
        <v>0.79559299999999999</v>
      </c>
      <c r="AL188">
        <f t="shared" si="30"/>
        <v>16.882592592592591</v>
      </c>
      <c r="AM188">
        <f t="shared" si="31"/>
        <v>13.444553906666664</v>
      </c>
      <c r="AP188" s="9"/>
      <c r="AQ188" s="22">
        <v>0.923767</v>
      </c>
      <c r="AR188" s="22">
        <v>25.778400000000001</v>
      </c>
      <c r="AS188" s="22">
        <v>-1.36688E-2</v>
      </c>
      <c r="AT188" s="22">
        <v>178</v>
      </c>
      <c r="AU188" s="22">
        <v>0.92285200000000001</v>
      </c>
      <c r="AV188">
        <f t="shared" si="32"/>
        <v>16.87506172839506</v>
      </c>
      <c r="AW188">
        <f t="shared" si="33"/>
        <v>15.588625147654319</v>
      </c>
      <c r="AX188" s="9"/>
      <c r="AY188" s="22">
        <v>0.79635599999999995</v>
      </c>
      <c r="AZ188" s="22">
        <v>29.637899999999998</v>
      </c>
      <c r="BA188" s="22">
        <v>-1.37024E-2</v>
      </c>
      <c r="BB188" s="22">
        <v>178</v>
      </c>
      <c r="BC188" s="22">
        <v>0.79528799999999999</v>
      </c>
      <c r="BD188">
        <f t="shared" si="34"/>
        <v>16.916543209876544</v>
      </c>
      <c r="BE188">
        <f t="shared" si="35"/>
        <v>13.471590684444443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0.91873199999999999</v>
      </c>
      <c r="H189" s="22">
        <v>7.0290299999999997</v>
      </c>
      <c r="I189" s="22">
        <v>-1.3510100000000001E-2</v>
      </c>
      <c r="J189" s="22">
        <v>179</v>
      </c>
      <c r="K189" s="22">
        <v>0.91766400000000004</v>
      </c>
      <c r="L189">
        <f t="shared" si="24"/>
        <v>16.679135802469133</v>
      </c>
      <c r="M189">
        <f t="shared" si="25"/>
        <v>15.323655794074071</v>
      </c>
      <c r="N189" s="9"/>
      <c r="O189" s="22">
        <v>0.80139199999999999</v>
      </c>
      <c r="P189" s="22">
        <v>10.888500000000001</v>
      </c>
      <c r="Q189" s="22">
        <v>-1.36078E-2</v>
      </c>
      <c r="R189" s="22">
        <v>179</v>
      </c>
      <c r="S189" s="22">
        <v>0.80017099999999997</v>
      </c>
      <c r="T189">
        <f t="shared" si="26"/>
        <v>16.799753086419752</v>
      </c>
      <c r="U189">
        <f t="shared" si="27"/>
        <v>13.463187725432098</v>
      </c>
      <c r="X189" s="9"/>
      <c r="Y189" s="22">
        <v>0.91873199999999999</v>
      </c>
      <c r="Z189" s="22">
        <v>16.365300000000001</v>
      </c>
      <c r="AA189" s="22">
        <v>-1.3598600000000001E-2</v>
      </c>
      <c r="AB189" s="22">
        <v>179</v>
      </c>
      <c r="AC189" s="22">
        <v>0.91735800000000001</v>
      </c>
      <c r="AD189">
        <f t="shared" si="28"/>
        <v>16.788395061728394</v>
      </c>
      <c r="AE189">
        <f t="shared" si="29"/>
        <v>15.424035771851852</v>
      </c>
      <c r="AF189" s="9"/>
      <c r="AG189" s="22">
        <v>0.80139199999999999</v>
      </c>
      <c r="AH189" s="22">
        <v>20.224799999999998</v>
      </c>
      <c r="AI189" s="22">
        <v>-1.36749E-2</v>
      </c>
      <c r="AJ189" s="22">
        <v>179</v>
      </c>
      <c r="AK189" s="22">
        <v>0.80078099999999997</v>
      </c>
      <c r="AL189">
        <f t="shared" si="30"/>
        <v>16.882592592592591</v>
      </c>
      <c r="AM189">
        <f t="shared" si="31"/>
        <v>13.529574642962961</v>
      </c>
      <c r="AP189" s="9"/>
      <c r="AQ189" s="22">
        <v>0.91873199999999999</v>
      </c>
      <c r="AR189" s="22">
        <v>25.788499999999999</v>
      </c>
      <c r="AS189" s="22">
        <v>-1.3665800000000001E-2</v>
      </c>
      <c r="AT189" s="22">
        <v>179</v>
      </c>
      <c r="AU189" s="22">
        <v>0.91766400000000004</v>
      </c>
      <c r="AV189">
        <f t="shared" si="32"/>
        <v>16.871358024691357</v>
      </c>
      <c r="AW189">
        <f t="shared" si="33"/>
        <v>15.50025650074074</v>
      </c>
      <c r="AX189" s="9"/>
      <c r="AY189" s="22">
        <v>0.80139199999999999</v>
      </c>
      <c r="AZ189" s="22">
        <v>29.648</v>
      </c>
      <c r="BA189" s="22">
        <v>-1.37024E-2</v>
      </c>
      <c r="BB189" s="22">
        <v>179</v>
      </c>
      <c r="BC189" s="22">
        <v>0.80017099999999997</v>
      </c>
      <c r="BD189">
        <f t="shared" si="34"/>
        <v>16.916543209876544</v>
      </c>
      <c r="BE189">
        <f t="shared" si="35"/>
        <v>13.556782396049384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0.91369599999999995</v>
      </c>
      <c r="H190" s="22">
        <v>7.0391000000000004</v>
      </c>
      <c r="I190" s="22">
        <v>-1.3516200000000001E-2</v>
      </c>
      <c r="J190" s="22">
        <v>180</v>
      </c>
      <c r="K190" s="22">
        <v>0.91278099999999995</v>
      </c>
      <c r="L190">
        <f t="shared" si="24"/>
        <v>16.686666666666664</v>
      </c>
      <c r="M190">
        <f t="shared" si="25"/>
        <v>15.246540586666663</v>
      </c>
      <c r="N190" s="9"/>
      <c r="O190" s="22">
        <v>0.806427</v>
      </c>
      <c r="P190" s="22">
        <v>10.8986</v>
      </c>
      <c r="Q190" s="22">
        <v>-1.36017E-2</v>
      </c>
      <c r="R190" s="22">
        <v>180</v>
      </c>
      <c r="S190" s="22">
        <v>0.80535900000000005</v>
      </c>
      <c r="T190">
        <f t="shared" si="26"/>
        <v>16.792222222222222</v>
      </c>
      <c r="U190">
        <f t="shared" si="27"/>
        <v>13.54170139</v>
      </c>
      <c r="X190" s="9"/>
      <c r="Y190" s="22">
        <v>0.91369599999999995</v>
      </c>
      <c r="Z190" s="22">
        <v>16.375399999999999</v>
      </c>
      <c r="AA190" s="22">
        <v>-1.3610799999999999E-2</v>
      </c>
      <c r="AB190" s="22">
        <v>180</v>
      </c>
      <c r="AC190" s="22">
        <v>0.91308599999999995</v>
      </c>
      <c r="AD190">
        <f t="shared" si="28"/>
        <v>16.803456790123455</v>
      </c>
      <c r="AE190">
        <f t="shared" si="29"/>
        <v>15.35325125530864</v>
      </c>
      <c r="AF190" s="9"/>
      <c r="AG190" s="22">
        <v>0.806427</v>
      </c>
      <c r="AH190" s="22">
        <v>20.2348</v>
      </c>
      <c r="AI190" s="22">
        <v>-1.3671900000000001E-2</v>
      </c>
      <c r="AJ190" s="22">
        <v>180</v>
      </c>
      <c r="AK190" s="22">
        <v>0.80535900000000005</v>
      </c>
      <c r="AL190">
        <f t="shared" si="30"/>
        <v>16.878888888888888</v>
      </c>
      <c r="AM190">
        <f t="shared" si="31"/>
        <v>13.611591729999999</v>
      </c>
      <c r="AP190" s="9"/>
      <c r="AQ190" s="22">
        <v>0.91369599999999995</v>
      </c>
      <c r="AR190" s="22">
        <v>25.7986</v>
      </c>
      <c r="AS190" s="22">
        <v>-1.36749E-2</v>
      </c>
      <c r="AT190" s="22">
        <v>180</v>
      </c>
      <c r="AU190" s="22">
        <v>0.91247599999999995</v>
      </c>
      <c r="AV190">
        <f t="shared" si="32"/>
        <v>16.882592592592591</v>
      </c>
      <c r="AW190">
        <f t="shared" si="33"/>
        <v>15.425557321481479</v>
      </c>
      <c r="AX190" s="9"/>
      <c r="AY190" s="22">
        <v>0.806427</v>
      </c>
      <c r="AZ190" s="22">
        <v>29.658100000000001</v>
      </c>
      <c r="BA190" s="22">
        <v>-1.3693200000000001E-2</v>
      </c>
      <c r="BB190" s="22">
        <v>180</v>
      </c>
      <c r="BC190" s="22">
        <v>0.80535900000000005</v>
      </c>
      <c r="BD190">
        <f t="shared" si="34"/>
        <v>16.905185185185186</v>
      </c>
      <c r="BE190">
        <f t="shared" si="35"/>
        <v>13.632797773333333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0.90866100000000005</v>
      </c>
      <c r="H191" s="22">
        <v>7.0491799999999998</v>
      </c>
      <c r="I191" s="22">
        <v>-1.35193E-2</v>
      </c>
      <c r="J191" s="22">
        <v>181</v>
      </c>
      <c r="K191" s="22">
        <v>0.90789799999999998</v>
      </c>
      <c r="L191">
        <f t="shared" si="24"/>
        <v>16.690493827160495</v>
      </c>
      <c r="M191">
        <f t="shared" si="25"/>
        <v>15.166000811481483</v>
      </c>
      <c r="N191" s="9"/>
      <c r="O191" s="22">
        <v>0.81146200000000002</v>
      </c>
      <c r="P191" s="22">
        <v>10.9086</v>
      </c>
      <c r="Q191" s="22">
        <v>-1.35925E-2</v>
      </c>
      <c r="R191" s="22">
        <v>181</v>
      </c>
      <c r="S191" s="22">
        <v>0.81024200000000002</v>
      </c>
      <c r="T191">
        <f t="shared" si="26"/>
        <v>16.780864197530864</v>
      </c>
      <c r="U191">
        <f t="shared" si="27"/>
        <v>13.617033623456789</v>
      </c>
      <c r="X191" s="9"/>
      <c r="Y191" s="22">
        <v>0.90866100000000005</v>
      </c>
      <c r="Z191" s="22">
        <v>16.385400000000001</v>
      </c>
      <c r="AA191" s="22">
        <v>-1.3616899999999999E-2</v>
      </c>
      <c r="AB191" s="22">
        <v>181</v>
      </c>
      <c r="AC191" s="22">
        <v>0.90759299999999998</v>
      </c>
      <c r="AD191">
        <f t="shared" si="28"/>
        <v>16.810987654320986</v>
      </c>
      <c r="AE191">
        <f t="shared" si="29"/>
        <v>15.275488852962962</v>
      </c>
      <c r="AF191" s="9"/>
      <c r="AG191" s="22">
        <v>0.81146200000000002</v>
      </c>
      <c r="AH191" s="22">
        <v>20.244900000000001</v>
      </c>
      <c r="AI191" s="22">
        <v>-1.36688E-2</v>
      </c>
      <c r="AJ191" s="22">
        <v>181</v>
      </c>
      <c r="AK191" s="22">
        <v>0.81024200000000002</v>
      </c>
      <c r="AL191">
        <f t="shared" si="30"/>
        <v>16.87506172839506</v>
      </c>
      <c r="AM191">
        <f t="shared" si="31"/>
        <v>13.693471340246912</v>
      </c>
      <c r="AP191" s="9"/>
      <c r="AQ191" s="22">
        <v>0.90866100000000005</v>
      </c>
      <c r="AR191" s="22">
        <v>25.808700000000002</v>
      </c>
      <c r="AS191" s="22">
        <v>-1.36963E-2</v>
      </c>
      <c r="AT191" s="22">
        <v>181</v>
      </c>
      <c r="AU191" s="22">
        <v>0.90789799999999998</v>
      </c>
      <c r="AV191">
        <f t="shared" si="32"/>
        <v>16.90901234567901</v>
      </c>
      <c r="AW191">
        <f t="shared" si="33"/>
        <v>15.364560067037035</v>
      </c>
      <c r="AX191" s="9"/>
      <c r="AY191" s="22">
        <v>0.81146200000000002</v>
      </c>
      <c r="AZ191" s="22">
        <v>29.668099999999999</v>
      </c>
      <c r="BA191" s="22">
        <v>-1.3687100000000001E-2</v>
      </c>
      <c r="BB191" s="22">
        <v>181</v>
      </c>
      <c r="BC191" s="22">
        <v>0.80963099999999999</v>
      </c>
      <c r="BD191">
        <f t="shared" si="34"/>
        <v>16.897654320987655</v>
      </c>
      <c r="BE191">
        <f t="shared" si="35"/>
        <v>13.711804370617285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0.90362500000000001</v>
      </c>
      <c r="H192" s="22">
        <v>7.0592499999999996</v>
      </c>
      <c r="I192" s="22">
        <v>-1.3528399999999999E-2</v>
      </c>
      <c r="J192" s="22">
        <v>182</v>
      </c>
      <c r="K192" s="22">
        <v>0.90240500000000001</v>
      </c>
      <c r="L192">
        <f t="shared" si="24"/>
        <v>16.701728395061725</v>
      </c>
      <c r="M192">
        <f t="shared" si="25"/>
        <v>15.092099320987652</v>
      </c>
      <c r="N192" s="9"/>
      <c r="O192" s="22">
        <v>0.81649799999999995</v>
      </c>
      <c r="P192" s="22">
        <v>10.918699999999999</v>
      </c>
      <c r="Q192" s="22">
        <v>-1.35864E-2</v>
      </c>
      <c r="R192" s="22">
        <v>182</v>
      </c>
      <c r="S192" s="22">
        <v>0.81573499999999999</v>
      </c>
      <c r="T192">
        <f t="shared" si="26"/>
        <v>16.77333333333333</v>
      </c>
      <c r="U192">
        <f t="shared" si="27"/>
        <v>13.695393119999997</v>
      </c>
      <c r="X192" s="9"/>
      <c r="Y192" s="22">
        <v>0.90362500000000001</v>
      </c>
      <c r="Z192" s="22">
        <v>16.395499999999998</v>
      </c>
      <c r="AA192" s="22">
        <v>-1.3616899999999999E-2</v>
      </c>
      <c r="AB192" s="22">
        <v>182</v>
      </c>
      <c r="AC192" s="22">
        <v>0.90240500000000001</v>
      </c>
      <c r="AD192">
        <f t="shared" si="28"/>
        <v>16.810987654320986</v>
      </c>
      <c r="AE192">
        <f t="shared" si="29"/>
        <v>15.190828719135801</v>
      </c>
      <c r="AF192" s="9"/>
      <c r="AG192" s="22">
        <v>0.81649799999999995</v>
      </c>
      <c r="AH192" s="22">
        <v>20.254999999999999</v>
      </c>
      <c r="AI192" s="22">
        <v>-1.3665800000000001E-2</v>
      </c>
      <c r="AJ192" s="22">
        <v>182</v>
      </c>
      <c r="AK192" s="22">
        <v>0.81573499999999999</v>
      </c>
      <c r="AL192">
        <f t="shared" si="30"/>
        <v>16.871358024691357</v>
      </c>
      <c r="AM192">
        <f t="shared" si="31"/>
        <v>13.775430084444443</v>
      </c>
      <c r="AP192" s="9"/>
      <c r="AQ192" s="22">
        <v>0.90362500000000001</v>
      </c>
      <c r="AR192" s="22">
        <v>25.8187</v>
      </c>
      <c r="AS192" s="22">
        <v>-1.37054E-2</v>
      </c>
      <c r="AT192" s="22">
        <v>182</v>
      </c>
      <c r="AU192" s="22">
        <v>0.90240500000000001</v>
      </c>
      <c r="AV192">
        <f t="shared" si="32"/>
        <v>16.920246913580247</v>
      </c>
      <c r="AW192">
        <f t="shared" si="33"/>
        <v>15.289558117283951</v>
      </c>
      <c r="AX192" s="9"/>
      <c r="AY192" s="22">
        <v>0.81649799999999995</v>
      </c>
      <c r="AZ192" s="22">
        <v>29.6782</v>
      </c>
      <c r="BA192" s="22">
        <v>-1.3687100000000001E-2</v>
      </c>
      <c r="BB192" s="22">
        <v>182</v>
      </c>
      <c r="BC192" s="22">
        <v>0.81634499999999999</v>
      </c>
      <c r="BD192">
        <f t="shared" si="34"/>
        <v>16.897654320987655</v>
      </c>
      <c r="BE192">
        <f t="shared" si="35"/>
        <v>13.796900957777778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0.89859</v>
      </c>
      <c r="H193" s="22">
        <v>7.0693200000000003</v>
      </c>
      <c r="I193" s="22">
        <v>-1.35345E-2</v>
      </c>
      <c r="J193" s="22">
        <v>183</v>
      </c>
      <c r="K193" s="22">
        <v>0.89752200000000004</v>
      </c>
      <c r="L193">
        <f t="shared" si="24"/>
        <v>16.709259259259255</v>
      </c>
      <c r="M193">
        <f t="shared" si="25"/>
        <v>15.014773277777774</v>
      </c>
      <c r="N193" s="9"/>
      <c r="O193" s="22">
        <v>0.82153299999999996</v>
      </c>
      <c r="P193" s="22">
        <v>10.928800000000001</v>
      </c>
      <c r="Q193" s="22">
        <v>-1.35773E-2</v>
      </c>
      <c r="R193" s="22">
        <v>183</v>
      </c>
      <c r="S193" s="22">
        <v>0.82031299999999996</v>
      </c>
      <c r="T193">
        <f t="shared" si="26"/>
        <v>16.7620987654321</v>
      </c>
      <c r="U193">
        <f t="shared" si="27"/>
        <v>13.770617285061729</v>
      </c>
      <c r="X193" s="9"/>
      <c r="Y193" s="22">
        <v>0.89859</v>
      </c>
      <c r="Z193" s="22">
        <v>16.4056</v>
      </c>
      <c r="AA193" s="22">
        <v>-1.3610799999999999E-2</v>
      </c>
      <c r="AB193" s="22">
        <v>183</v>
      </c>
      <c r="AC193" s="22">
        <v>0.89752200000000004</v>
      </c>
      <c r="AD193">
        <f t="shared" si="28"/>
        <v>16.803456790123455</v>
      </c>
      <c r="AE193">
        <f t="shared" si="29"/>
        <v>15.099418237037035</v>
      </c>
      <c r="AF193" s="9"/>
      <c r="AG193" s="22">
        <v>0.82153299999999996</v>
      </c>
      <c r="AH193" s="22">
        <v>20.265000000000001</v>
      </c>
      <c r="AI193" s="22">
        <v>-1.3665800000000001E-2</v>
      </c>
      <c r="AJ193" s="22">
        <v>183</v>
      </c>
      <c r="AK193" s="22">
        <v>0.82061799999999996</v>
      </c>
      <c r="AL193">
        <f t="shared" si="30"/>
        <v>16.871358024691357</v>
      </c>
      <c r="AM193">
        <f t="shared" si="31"/>
        <v>13.860377372098764</v>
      </c>
      <c r="AP193" s="9"/>
      <c r="AQ193" s="22">
        <v>0.89859</v>
      </c>
      <c r="AR193" s="22">
        <v>25.828800000000001</v>
      </c>
      <c r="AS193" s="22">
        <v>-1.3717699999999999E-2</v>
      </c>
      <c r="AT193" s="22">
        <v>183</v>
      </c>
      <c r="AU193" s="22">
        <v>0.89782700000000004</v>
      </c>
      <c r="AV193">
        <f t="shared" si="32"/>
        <v>16.935432098765432</v>
      </c>
      <c r="AW193">
        <f t="shared" si="33"/>
        <v>15.218009929629629</v>
      </c>
      <c r="AX193" s="9"/>
      <c r="AY193" s="22">
        <v>0.82153299999999996</v>
      </c>
      <c r="AZ193" s="22">
        <v>29.688300000000002</v>
      </c>
      <c r="BA193" s="22">
        <v>-1.3681E-2</v>
      </c>
      <c r="BB193" s="22">
        <v>183</v>
      </c>
      <c r="BC193" s="22">
        <v>0.82000700000000004</v>
      </c>
      <c r="BD193">
        <f t="shared" si="34"/>
        <v>16.890123456790121</v>
      </c>
      <c r="BE193">
        <f t="shared" si="35"/>
        <v>13.875793793827158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0.89355499999999999</v>
      </c>
      <c r="H194" s="22">
        <v>7.0793900000000001</v>
      </c>
      <c r="I194" s="22">
        <v>-1.35345E-2</v>
      </c>
      <c r="J194" s="22">
        <v>184</v>
      </c>
      <c r="K194" s="22">
        <v>0.89294399999999996</v>
      </c>
      <c r="L194">
        <f t="shared" si="24"/>
        <v>16.709259259259255</v>
      </c>
      <c r="M194">
        <f t="shared" si="25"/>
        <v>14.930642157407403</v>
      </c>
      <c r="N194" s="9"/>
      <c r="O194" s="22">
        <v>0.826569</v>
      </c>
      <c r="P194" s="22">
        <v>10.9389</v>
      </c>
      <c r="Q194" s="22">
        <v>-1.3583400000000001E-2</v>
      </c>
      <c r="R194" s="22">
        <v>184</v>
      </c>
      <c r="S194" s="22">
        <v>0.82580600000000004</v>
      </c>
      <c r="T194">
        <f t="shared" si="26"/>
        <v>16.76962962962963</v>
      </c>
      <c r="U194">
        <f t="shared" si="27"/>
        <v>13.861255993333334</v>
      </c>
      <c r="X194" s="9"/>
      <c r="Y194" s="22">
        <v>0.89355499999999999</v>
      </c>
      <c r="Z194" s="22">
        <v>16.415600000000001</v>
      </c>
      <c r="AA194" s="22">
        <v>-1.3604700000000001E-2</v>
      </c>
      <c r="AB194" s="22">
        <v>184</v>
      </c>
      <c r="AC194" s="22">
        <v>0.89294399999999996</v>
      </c>
      <c r="AD194">
        <f t="shared" si="28"/>
        <v>16.795925925925925</v>
      </c>
      <c r="AE194">
        <f t="shared" si="29"/>
        <v>15.008083590740739</v>
      </c>
      <c r="AF194" s="9"/>
      <c r="AG194" s="22">
        <v>0.826569</v>
      </c>
      <c r="AH194" s="22">
        <v>20.275099999999998</v>
      </c>
      <c r="AI194" s="22">
        <v>-1.36627E-2</v>
      </c>
      <c r="AJ194" s="22">
        <v>184</v>
      </c>
      <c r="AK194" s="22">
        <v>0.82580600000000004</v>
      </c>
      <c r="AL194">
        <f t="shared" si="30"/>
        <v>16.86753086419753</v>
      </c>
      <c r="AM194">
        <f t="shared" si="31"/>
        <v>13.942178118888888</v>
      </c>
      <c r="AP194" s="9"/>
      <c r="AQ194" s="22">
        <v>0.89355499999999999</v>
      </c>
      <c r="AR194" s="22">
        <v>25.838899999999999</v>
      </c>
      <c r="AS194" s="22">
        <v>-1.3738999999999999E-2</v>
      </c>
      <c r="AT194" s="22">
        <v>184</v>
      </c>
      <c r="AU194" s="22">
        <v>0.89263899999999996</v>
      </c>
      <c r="AV194">
        <f t="shared" si="32"/>
        <v>16.961728395061726</v>
      </c>
      <c r="AW194">
        <f t="shared" si="33"/>
        <v>15.15623721604938</v>
      </c>
      <c r="AX194" s="9"/>
      <c r="AY194" s="22">
        <v>0.826569</v>
      </c>
      <c r="AZ194" s="22">
        <v>29.6983</v>
      </c>
      <c r="BA194" s="22">
        <v>-1.3681E-2</v>
      </c>
      <c r="BB194" s="22">
        <v>184</v>
      </c>
      <c r="BC194" s="22">
        <v>0.82550000000000001</v>
      </c>
      <c r="BD194">
        <f t="shared" si="34"/>
        <v>16.890123456790121</v>
      </c>
      <c r="BE194">
        <f t="shared" si="35"/>
        <v>13.960852455555553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0.88851899999999995</v>
      </c>
      <c r="H195" s="22">
        <v>7.0894599999999999</v>
      </c>
      <c r="I195" s="22">
        <v>-1.35193E-2</v>
      </c>
      <c r="J195" s="22">
        <v>185</v>
      </c>
      <c r="K195" s="22">
        <v>0.88714599999999999</v>
      </c>
      <c r="L195">
        <f t="shared" si="24"/>
        <v>16.690493827160495</v>
      </c>
      <c r="M195">
        <f t="shared" si="25"/>
        <v>14.829820884814815</v>
      </c>
      <c r="N195" s="9"/>
      <c r="O195" s="22">
        <v>0.83160400000000001</v>
      </c>
      <c r="P195" s="22">
        <v>10.9489</v>
      </c>
      <c r="Q195" s="22">
        <v>-1.35803E-2</v>
      </c>
      <c r="R195" s="22">
        <v>185</v>
      </c>
      <c r="S195" s="22">
        <v>0.83068799999999998</v>
      </c>
      <c r="T195">
        <f t="shared" si="26"/>
        <v>16.765802469135803</v>
      </c>
      <c r="U195">
        <f t="shared" si="27"/>
        <v>13.942508396543211</v>
      </c>
      <c r="X195" s="9"/>
      <c r="Y195" s="22">
        <v>0.88851899999999995</v>
      </c>
      <c r="Z195" s="22">
        <v>16.425699999999999</v>
      </c>
      <c r="AA195" s="22">
        <v>-1.3604700000000001E-2</v>
      </c>
      <c r="AB195" s="22">
        <v>185</v>
      </c>
      <c r="AC195" s="22">
        <v>0.88714599999999999</v>
      </c>
      <c r="AD195">
        <f t="shared" si="28"/>
        <v>16.795925925925925</v>
      </c>
      <c r="AE195">
        <f t="shared" si="29"/>
        <v>14.923499307777776</v>
      </c>
      <c r="AF195" s="9"/>
      <c r="AG195" s="22">
        <v>0.83160400000000001</v>
      </c>
      <c r="AH195" s="22">
        <v>20.2852</v>
      </c>
      <c r="AI195" s="22">
        <v>-1.36597E-2</v>
      </c>
      <c r="AJ195" s="22">
        <v>185</v>
      </c>
      <c r="AK195" s="22">
        <v>0.83068799999999998</v>
      </c>
      <c r="AL195">
        <f t="shared" si="30"/>
        <v>16.863827160493827</v>
      </c>
      <c r="AM195">
        <f t="shared" si="31"/>
        <v>14.024026121975309</v>
      </c>
      <c r="AP195" s="9"/>
      <c r="AQ195" s="22">
        <v>0.88851899999999995</v>
      </c>
      <c r="AR195" s="22">
        <v>25.8489</v>
      </c>
      <c r="AS195" s="22">
        <v>-1.3754300000000001E-2</v>
      </c>
      <c r="AT195" s="22">
        <v>185</v>
      </c>
      <c r="AU195" s="22">
        <v>0.88775599999999999</v>
      </c>
      <c r="AV195">
        <f t="shared" si="32"/>
        <v>16.980617283950615</v>
      </c>
      <c r="AW195">
        <f t="shared" si="33"/>
        <v>15.087601088518515</v>
      </c>
      <c r="AX195" s="9"/>
      <c r="AY195" s="22">
        <v>0.83160400000000001</v>
      </c>
      <c r="AZ195" s="22">
        <v>29.708400000000001</v>
      </c>
      <c r="BA195" s="22">
        <v>-1.3687100000000001E-2</v>
      </c>
      <c r="BB195" s="22">
        <v>185</v>
      </c>
      <c r="BC195" s="22">
        <v>0.83099400000000001</v>
      </c>
      <c r="BD195">
        <f t="shared" si="34"/>
        <v>16.897654320987655</v>
      </c>
      <c r="BE195">
        <f t="shared" si="35"/>
        <v>14.052156923950617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0.88348400000000005</v>
      </c>
      <c r="H196" s="22">
        <v>7.0995299999999997</v>
      </c>
      <c r="I196" s="22">
        <v>-1.3516200000000001E-2</v>
      </c>
      <c r="J196" s="22">
        <v>186</v>
      </c>
      <c r="K196" s="22">
        <v>0.88226300000000002</v>
      </c>
      <c r="L196">
        <f t="shared" si="24"/>
        <v>16.686666666666664</v>
      </c>
      <c r="M196">
        <f t="shared" si="25"/>
        <v>14.742403013333332</v>
      </c>
      <c r="N196" s="9"/>
      <c r="O196" s="22">
        <v>0.83663900000000002</v>
      </c>
      <c r="P196" s="22">
        <v>10.959</v>
      </c>
      <c r="Q196" s="22">
        <v>-1.35742E-2</v>
      </c>
      <c r="R196" s="22">
        <v>186</v>
      </c>
      <c r="S196" s="22">
        <v>0.83526599999999995</v>
      </c>
      <c r="T196">
        <f t="shared" si="26"/>
        <v>16.758271604938273</v>
      </c>
      <c r="U196">
        <f t="shared" si="27"/>
        <v>14.020623597283953</v>
      </c>
      <c r="X196" s="9"/>
      <c r="Y196" s="22">
        <v>0.88348400000000005</v>
      </c>
      <c r="Z196" s="22">
        <v>16.4358</v>
      </c>
      <c r="AA196" s="22">
        <v>-1.3604700000000001E-2</v>
      </c>
      <c r="AB196" s="22">
        <v>186</v>
      </c>
      <c r="AC196" s="22">
        <v>0.88256800000000002</v>
      </c>
      <c r="AD196">
        <f t="shared" si="28"/>
        <v>16.795925925925925</v>
      </c>
      <c r="AE196">
        <f t="shared" si="29"/>
        <v>14.83893182074074</v>
      </c>
      <c r="AF196" s="9"/>
      <c r="AG196" s="22">
        <v>0.83663900000000002</v>
      </c>
      <c r="AH196" s="22">
        <v>20.295300000000001</v>
      </c>
      <c r="AI196" s="22">
        <v>-1.3665800000000001E-2</v>
      </c>
      <c r="AJ196" s="22">
        <v>186</v>
      </c>
      <c r="AK196" s="22">
        <v>0.83496099999999995</v>
      </c>
      <c r="AL196">
        <f t="shared" si="30"/>
        <v>16.871358024691357</v>
      </c>
      <c r="AM196">
        <f t="shared" si="31"/>
        <v>14.115236106419752</v>
      </c>
      <c r="AP196" s="9"/>
      <c r="AQ196" s="22">
        <v>0.88348400000000005</v>
      </c>
      <c r="AR196" s="22">
        <v>25.859000000000002</v>
      </c>
      <c r="AS196" s="22">
        <v>-1.37512E-2</v>
      </c>
      <c r="AT196" s="22">
        <v>186</v>
      </c>
      <c r="AU196" s="22">
        <v>0.88256800000000002</v>
      </c>
      <c r="AV196">
        <f t="shared" si="32"/>
        <v>16.976790123456787</v>
      </c>
      <c r="AW196">
        <f t="shared" si="33"/>
        <v>14.998722445432097</v>
      </c>
      <c r="AX196" s="9"/>
      <c r="AY196" s="22">
        <v>0.83663900000000002</v>
      </c>
      <c r="AZ196" s="22">
        <v>29.718499999999999</v>
      </c>
      <c r="BA196" s="22">
        <v>-1.3687100000000001E-2</v>
      </c>
      <c r="BB196" s="22">
        <v>186</v>
      </c>
      <c r="BC196" s="22">
        <v>0.83587599999999995</v>
      </c>
      <c r="BD196">
        <f t="shared" si="34"/>
        <v>16.897654320987655</v>
      </c>
      <c r="BE196">
        <f t="shared" si="35"/>
        <v>14.137236613456791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0.87844800000000001</v>
      </c>
      <c r="H197" s="22">
        <v>7.1096000000000004</v>
      </c>
      <c r="I197" s="22">
        <v>-1.3507099999999999E-2</v>
      </c>
      <c r="J197" s="22">
        <v>187</v>
      </c>
      <c r="K197" s="22">
        <v>0.87707500000000005</v>
      </c>
      <c r="L197">
        <f t="shared" si="24"/>
        <v>16.67543209876543</v>
      </c>
      <c r="M197">
        <f t="shared" si="25"/>
        <v>14.648499976296295</v>
      </c>
      <c r="N197" s="9"/>
      <c r="O197" s="22">
        <v>0.84167499999999995</v>
      </c>
      <c r="P197" s="22">
        <v>10.969099999999999</v>
      </c>
      <c r="Q197" s="22">
        <v>-1.35681E-2</v>
      </c>
      <c r="R197" s="22">
        <v>187</v>
      </c>
      <c r="S197" s="22">
        <v>0.84075900000000003</v>
      </c>
      <c r="T197">
        <f t="shared" si="26"/>
        <v>16.750740740740738</v>
      </c>
      <c r="U197">
        <f t="shared" si="27"/>
        <v>14.09867971296296</v>
      </c>
      <c r="X197" s="9"/>
      <c r="Y197" s="22">
        <v>0.87844800000000001</v>
      </c>
      <c r="Z197" s="22">
        <v>16.445900000000002</v>
      </c>
      <c r="AA197" s="22">
        <v>-1.3616899999999999E-2</v>
      </c>
      <c r="AB197" s="22">
        <v>187</v>
      </c>
      <c r="AC197" s="22">
        <v>0.87707500000000005</v>
      </c>
      <c r="AD197">
        <f t="shared" si="28"/>
        <v>16.810987654320986</v>
      </c>
      <c r="AE197">
        <f t="shared" si="29"/>
        <v>14.767578482962961</v>
      </c>
      <c r="AF197" s="9"/>
      <c r="AG197" s="22">
        <v>0.84167499999999995</v>
      </c>
      <c r="AH197" s="22">
        <v>20.305299999999999</v>
      </c>
      <c r="AI197" s="22">
        <v>-1.36597E-2</v>
      </c>
      <c r="AJ197" s="22">
        <v>187</v>
      </c>
      <c r="AK197" s="22">
        <v>0.84075900000000003</v>
      </c>
      <c r="AL197">
        <f t="shared" si="30"/>
        <v>16.863827160493827</v>
      </c>
      <c r="AM197">
        <f t="shared" si="31"/>
        <v>14.193861725308642</v>
      </c>
      <c r="AP197" s="9"/>
      <c r="AQ197" s="22">
        <v>0.87844800000000001</v>
      </c>
      <c r="AR197" s="22">
        <v>25.8691</v>
      </c>
      <c r="AS197" s="22">
        <v>-1.37482E-2</v>
      </c>
      <c r="AT197" s="22">
        <v>187</v>
      </c>
      <c r="AU197" s="22">
        <v>0.87677000000000005</v>
      </c>
      <c r="AV197">
        <f t="shared" si="32"/>
        <v>16.973086419753084</v>
      </c>
      <c r="AW197">
        <f t="shared" si="33"/>
        <v>14.909973819259257</v>
      </c>
      <c r="AX197" s="9"/>
      <c r="AY197" s="22">
        <v>0.84167499999999995</v>
      </c>
      <c r="AZ197" s="22">
        <v>29.7286</v>
      </c>
      <c r="BA197" s="22">
        <v>-1.36902E-2</v>
      </c>
      <c r="BB197" s="22">
        <v>187</v>
      </c>
      <c r="BC197" s="22">
        <v>0.84075900000000003</v>
      </c>
      <c r="BD197">
        <f t="shared" si="34"/>
        <v>16.901481481481479</v>
      </c>
      <c r="BE197">
        <f t="shared" si="35"/>
        <v>14.225554425925923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0.87341299999999999</v>
      </c>
      <c r="H198" s="22">
        <v>7.1196700000000002</v>
      </c>
      <c r="I198" s="22">
        <v>-1.3510100000000001E-2</v>
      </c>
      <c r="J198" s="22">
        <v>188</v>
      </c>
      <c r="K198" s="22">
        <v>0.872498</v>
      </c>
      <c r="L198">
        <f t="shared" si="24"/>
        <v>16.679135802469133</v>
      </c>
      <c r="M198">
        <f t="shared" si="25"/>
        <v>14.567774038641973</v>
      </c>
      <c r="N198" s="9"/>
      <c r="O198" s="22">
        <v>0.84670999999999996</v>
      </c>
      <c r="P198" s="22">
        <v>10.979100000000001</v>
      </c>
      <c r="Q198" s="22">
        <v>-1.3559E-2</v>
      </c>
      <c r="R198" s="22">
        <v>188</v>
      </c>
      <c r="S198" s="22">
        <v>0.845947</v>
      </c>
      <c r="T198">
        <f t="shared" si="26"/>
        <v>16.739506172839505</v>
      </c>
      <c r="U198">
        <f t="shared" si="27"/>
        <v>14.173507271604937</v>
      </c>
      <c r="X198" s="9"/>
      <c r="Y198" s="22">
        <v>0.87341299999999999</v>
      </c>
      <c r="Z198" s="22">
        <v>16.4559</v>
      </c>
      <c r="AA198" s="22">
        <v>-1.3623E-2</v>
      </c>
      <c r="AB198" s="22">
        <v>188</v>
      </c>
      <c r="AC198" s="22">
        <v>0.87188699999999997</v>
      </c>
      <c r="AD198">
        <f t="shared" si="28"/>
        <v>16.818518518518516</v>
      </c>
      <c r="AE198">
        <f t="shared" si="29"/>
        <v>14.689512714814812</v>
      </c>
      <c r="AF198" s="9"/>
      <c r="AG198" s="22">
        <v>0.84670999999999996</v>
      </c>
      <c r="AH198" s="22">
        <v>20.3154</v>
      </c>
      <c r="AI198" s="22">
        <v>-1.3671900000000001E-2</v>
      </c>
      <c r="AJ198" s="22">
        <v>188</v>
      </c>
      <c r="AK198" s="22">
        <v>0.845642</v>
      </c>
      <c r="AL198">
        <f t="shared" si="30"/>
        <v>16.878888888888888</v>
      </c>
      <c r="AM198">
        <f t="shared" si="31"/>
        <v>14.291524011111109</v>
      </c>
      <c r="AP198" s="9"/>
      <c r="AQ198" s="22">
        <v>0.87341299999999999</v>
      </c>
      <c r="AR198" s="22">
        <v>25.879200000000001</v>
      </c>
      <c r="AS198" s="22">
        <v>-1.3736E-2</v>
      </c>
      <c r="AT198" s="22">
        <v>188</v>
      </c>
      <c r="AU198" s="22">
        <v>0.872498</v>
      </c>
      <c r="AV198">
        <f t="shared" si="32"/>
        <v>16.958024691358023</v>
      </c>
      <c r="AW198">
        <f t="shared" si="33"/>
        <v>14.811359219753085</v>
      </c>
      <c r="AX198" s="9"/>
      <c r="AY198" s="22">
        <v>0.84670999999999996</v>
      </c>
      <c r="AZ198" s="22">
        <v>29.738600000000002</v>
      </c>
      <c r="BA198" s="22">
        <v>-1.3693200000000001E-2</v>
      </c>
      <c r="BB198" s="22">
        <v>188</v>
      </c>
      <c r="BC198" s="22">
        <v>0.845947</v>
      </c>
      <c r="BD198">
        <f t="shared" si="34"/>
        <v>16.905185185185186</v>
      </c>
      <c r="BE198">
        <f t="shared" si="35"/>
        <v>14.313789348148148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0.86837799999999998</v>
      </c>
      <c r="H199" s="22">
        <v>7.12974</v>
      </c>
      <c r="I199" s="22">
        <v>-1.3501000000000001E-2</v>
      </c>
      <c r="J199" s="22">
        <v>189</v>
      </c>
      <c r="K199" s="22">
        <v>0.867004</v>
      </c>
      <c r="L199">
        <f t="shared" si="24"/>
        <v>16.667901234567903</v>
      </c>
      <c r="M199">
        <f t="shared" si="25"/>
        <v>14.474038738271606</v>
      </c>
      <c r="N199" s="9"/>
      <c r="O199" s="22">
        <v>0.851746</v>
      </c>
      <c r="P199" s="22">
        <v>10.9892</v>
      </c>
      <c r="Q199" s="22">
        <v>-1.35651E-2</v>
      </c>
      <c r="R199" s="22">
        <v>189</v>
      </c>
      <c r="S199" s="22">
        <v>0.85082999999999998</v>
      </c>
      <c r="T199">
        <f t="shared" si="26"/>
        <v>16.747037037037035</v>
      </c>
      <c r="U199">
        <f t="shared" si="27"/>
        <v>14.264221808148147</v>
      </c>
      <c r="X199" s="9"/>
      <c r="Y199" s="22">
        <v>0.86837799999999998</v>
      </c>
      <c r="Z199" s="22">
        <v>16.466000000000001</v>
      </c>
      <c r="AA199" s="22">
        <v>-1.3616899999999999E-2</v>
      </c>
      <c r="AB199" s="22">
        <v>189</v>
      </c>
      <c r="AC199" s="22">
        <v>0.86761500000000003</v>
      </c>
      <c r="AD199">
        <f t="shared" si="28"/>
        <v>16.810987654320986</v>
      </c>
      <c r="AE199">
        <f t="shared" si="29"/>
        <v>14.598291837283949</v>
      </c>
      <c r="AF199" s="9"/>
      <c r="AG199" s="22">
        <v>0.851746</v>
      </c>
      <c r="AH199" s="22">
        <v>20.325500000000002</v>
      </c>
      <c r="AI199" s="22">
        <v>-1.3665800000000001E-2</v>
      </c>
      <c r="AJ199" s="22">
        <v>189</v>
      </c>
      <c r="AK199" s="22">
        <v>0.85082999999999998</v>
      </c>
      <c r="AL199">
        <f t="shared" si="30"/>
        <v>16.871358024691357</v>
      </c>
      <c r="AM199">
        <f t="shared" si="31"/>
        <v>14.370111712098765</v>
      </c>
      <c r="AP199" s="9"/>
      <c r="AQ199" s="22">
        <v>0.86837799999999998</v>
      </c>
      <c r="AR199" s="22">
        <v>25.889199999999999</v>
      </c>
      <c r="AS199" s="22">
        <v>-1.3726800000000001E-2</v>
      </c>
      <c r="AT199" s="22">
        <v>189</v>
      </c>
      <c r="AU199" s="22">
        <v>0.86731000000000003</v>
      </c>
      <c r="AV199">
        <f t="shared" si="32"/>
        <v>16.946666666666665</v>
      </c>
      <c r="AW199">
        <f t="shared" si="33"/>
        <v>14.716112506666665</v>
      </c>
      <c r="AX199" s="9"/>
      <c r="AY199" s="22">
        <v>0.851746</v>
      </c>
      <c r="AZ199" s="22">
        <v>29.748699999999999</v>
      </c>
      <c r="BA199" s="22">
        <v>-1.3687100000000001E-2</v>
      </c>
      <c r="BB199" s="22">
        <v>189</v>
      </c>
      <c r="BC199" s="22">
        <v>0.85113499999999997</v>
      </c>
      <c r="BD199">
        <f t="shared" si="34"/>
        <v>16.897654320987655</v>
      </c>
      <c r="BE199">
        <f t="shared" si="35"/>
        <v>14.392509477283951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0.86334200000000005</v>
      </c>
      <c r="H200" s="22">
        <v>7.1398099999999998</v>
      </c>
      <c r="I200" s="22">
        <v>-1.3504E-2</v>
      </c>
      <c r="J200" s="22">
        <v>190</v>
      </c>
      <c r="K200" s="22">
        <v>0.86273200000000005</v>
      </c>
      <c r="L200">
        <f t="shared" si="24"/>
        <v>16.671604938271606</v>
      </c>
      <c r="M200">
        <f t="shared" si="25"/>
        <v>14.393296750617287</v>
      </c>
      <c r="N200" s="9"/>
      <c r="O200" s="22">
        <v>0.85678100000000001</v>
      </c>
      <c r="P200" s="22">
        <v>10.9993</v>
      </c>
      <c r="Q200" s="22">
        <v>-1.3583400000000001E-2</v>
      </c>
      <c r="R200" s="22">
        <v>190</v>
      </c>
      <c r="S200" s="22">
        <v>0.85632299999999995</v>
      </c>
      <c r="T200">
        <f t="shared" si="26"/>
        <v>16.76962962962963</v>
      </c>
      <c r="U200">
        <f t="shared" si="27"/>
        <v>14.367900043703704</v>
      </c>
      <c r="X200" s="9"/>
      <c r="Y200" s="22">
        <v>0.86334200000000005</v>
      </c>
      <c r="Z200" s="22">
        <v>16.476099999999999</v>
      </c>
      <c r="AA200" s="22">
        <v>-1.36261E-2</v>
      </c>
      <c r="AB200" s="22">
        <v>190</v>
      </c>
      <c r="AC200" s="22">
        <v>0.86212200000000005</v>
      </c>
      <c r="AD200">
        <f t="shared" si="28"/>
        <v>16.822345679012344</v>
      </c>
      <c r="AE200">
        <f t="shared" si="29"/>
        <v>14.523437563209876</v>
      </c>
      <c r="AF200" s="9"/>
      <c r="AG200" s="22">
        <v>0.85678100000000001</v>
      </c>
      <c r="AH200" s="22">
        <v>20.3355</v>
      </c>
      <c r="AI200" s="22">
        <v>-1.36597E-2</v>
      </c>
      <c r="AJ200" s="22">
        <v>190</v>
      </c>
      <c r="AK200" s="22">
        <v>0.85571299999999995</v>
      </c>
      <c r="AL200">
        <f t="shared" si="30"/>
        <v>16.863827160493827</v>
      </c>
      <c r="AM200">
        <f t="shared" si="31"/>
        <v>14.448606698395063</v>
      </c>
      <c r="AP200" s="9"/>
      <c r="AQ200" s="22">
        <v>0.86334200000000005</v>
      </c>
      <c r="AR200" s="22">
        <v>25.8993</v>
      </c>
      <c r="AS200" s="22">
        <v>-1.37238E-2</v>
      </c>
      <c r="AT200" s="22">
        <v>190</v>
      </c>
      <c r="AU200" s="22">
        <v>0.86242700000000005</v>
      </c>
      <c r="AV200">
        <f t="shared" si="32"/>
        <v>16.942962962962962</v>
      </c>
      <c r="AW200">
        <f t="shared" si="33"/>
        <v>14.627571530370371</v>
      </c>
      <c r="AX200" s="9"/>
      <c r="AY200" s="22">
        <v>0.85678100000000001</v>
      </c>
      <c r="AZ200" s="22">
        <v>29.758800000000001</v>
      </c>
      <c r="BA200" s="22">
        <v>-1.36749E-2</v>
      </c>
      <c r="BB200" s="22">
        <v>190</v>
      </c>
      <c r="BC200" s="22">
        <v>0.85571299999999995</v>
      </c>
      <c r="BD200">
        <f t="shared" si="34"/>
        <v>16.882592592592591</v>
      </c>
      <c r="BE200">
        <f t="shared" si="35"/>
        <v>14.464684564074073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0.85830700000000004</v>
      </c>
      <c r="H201" s="22">
        <v>7.1498900000000001</v>
      </c>
      <c r="I201" s="22">
        <v>-1.3507099999999999E-2</v>
      </c>
      <c r="J201" s="22">
        <v>191</v>
      </c>
      <c r="K201" s="22">
        <v>0.85693399999999997</v>
      </c>
      <c r="L201">
        <f t="shared" si="24"/>
        <v>16.67543209876543</v>
      </c>
      <c r="M201">
        <f t="shared" si="25"/>
        <v>14.312640098395061</v>
      </c>
      <c r="N201" s="9"/>
      <c r="O201" s="22">
        <v>0.86181600000000003</v>
      </c>
      <c r="P201" s="22">
        <v>11.009399999999999</v>
      </c>
      <c r="Q201" s="22">
        <v>-1.35925E-2</v>
      </c>
      <c r="R201" s="22">
        <v>191</v>
      </c>
      <c r="S201" s="22">
        <v>0.86090100000000003</v>
      </c>
      <c r="T201">
        <f t="shared" si="26"/>
        <v>16.780864197530864</v>
      </c>
      <c r="U201">
        <f t="shared" si="27"/>
        <v>14.462017259259259</v>
      </c>
      <c r="X201" s="9"/>
      <c r="Y201" s="22">
        <v>0.85830700000000004</v>
      </c>
      <c r="Z201" s="22">
        <v>16.4861</v>
      </c>
      <c r="AA201" s="22">
        <v>-1.3629199999999999E-2</v>
      </c>
      <c r="AB201" s="22">
        <v>191</v>
      </c>
      <c r="AC201" s="22">
        <v>0.85723899999999997</v>
      </c>
      <c r="AD201">
        <f t="shared" si="28"/>
        <v>16.826172839506171</v>
      </c>
      <c r="AE201">
        <f t="shared" si="29"/>
        <v>14.442021931358024</v>
      </c>
      <c r="AF201" s="9"/>
      <c r="AG201" s="22">
        <v>0.86181600000000003</v>
      </c>
      <c r="AH201" s="22">
        <v>20.345600000000001</v>
      </c>
      <c r="AI201" s="22">
        <v>-1.3650499999999999E-2</v>
      </c>
      <c r="AJ201" s="22">
        <v>191</v>
      </c>
      <c r="AK201" s="22">
        <v>0.86059600000000003</v>
      </c>
      <c r="AL201">
        <f t="shared" si="30"/>
        <v>16.852469135802469</v>
      </c>
      <c r="AM201">
        <f t="shared" si="31"/>
        <v>14.52372754074074</v>
      </c>
      <c r="AP201" s="9"/>
      <c r="AQ201" s="22">
        <v>0.85830700000000004</v>
      </c>
      <c r="AR201" s="22">
        <v>25.909400000000002</v>
      </c>
      <c r="AS201" s="22">
        <v>-1.37146E-2</v>
      </c>
      <c r="AT201" s="22">
        <v>191</v>
      </c>
      <c r="AU201" s="22">
        <v>0.85754399999999997</v>
      </c>
      <c r="AV201">
        <f t="shared" si="32"/>
        <v>16.931604938271605</v>
      </c>
      <c r="AW201">
        <f t="shared" si="33"/>
        <v>14.532515039753086</v>
      </c>
      <c r="AX201" s="9"/>
      <c r="AY201" s="22">
        <v>0.86181600000000003</v>
      </c>
      <c r="AZ201" s="22">
        <v>29.768799999999999</v>
      </c>
      <c r="BA201" s="22">
        <v>-1.36688E-2</v>
      </c>
      <c r="BB201" s="22">
        <v>191</v>
      </c>
      <c r="BC201" s="22">
        <v>0.86029100000000003</v>
      </c>
      <c r="BD201">
        <f t="shared" si="34"/>
        <v>16.87506172839506</v>
      </c>
      <c r="BE201">
        <f t="shared" si="35"/>
        <v>14.543198198518517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0.853271</v>
      </c>
      <c r="H202" s="22">
        <v>7.1599599999999999</v>
      </c>
      <c r="I202" s="22">
        <v>-1.3507099999999999E-2</v>
      </c>
      <c r="J202" s="22">
        <v>192</v>
      </c>
      <c r="K202" s="22">
        <v>0.852051</v>
      </c>
      <c r="L202">
        <f t="shared" si="24"/>
        <v>16.67543209876543</v>
      </c>
      <c r="M202">
        <f t="shared" si="25"/>
        <v>14.228662622345677</v>
      </c>
      <c r="N202" s="9"/>
      <c r="O202" s="22">
        <v>0.86685199999999996</v>
      </c>
      <c r="P202" s="22">
        <v>11.019399999999999</v>
      </c>
      <c r="Q202" s="22">
        <v>-1.3595599999999999E-2</v>
      </c>
      <c r="R202" s="22">
        <v>192</v>
      </c>
      <c r="S202" s="22">
        <v>0.865784</v>
      </c>
      <c r="T202">
        <f t="shared" si="26"/>
        <v>16.784691358024691</v>
      </c>
      <c r="U202">
        <f t="shared" si="27"/>
        <v>14.549843273086418</v>
      </c>
      <c r="X202" s="9"/>
      <c r="Y202" s="22">
        <v>0.853271</v>
      </c>
      <c r="Z202" s="22">
        <v>16.496200000000002</v>
      </c>
      <c r="AA202" s="22">
        <v>-1.36261E-2</v>
      </c>
      <c r="AB202" s="22">
        <v>192</v>
      </c>
      <c r="AC202" s="22">
        <v>0.852356</v>
      </c>
      <c r="AD202">
        <f t="shared" si="28"/>
        <v>16.822345679012344</v>
      </c>
      <c r="AE202">
        <f t="shared" si="29"/>
        <v>14.354019719876542</v>
      </c>
      <c r="AF202" s="9"/>
      <c r="AG202" s="22">
        <v>0.86685199999999996</v>
      </c>
      <c r="AH202" s="22">
        <v>20.355699999999999</v>
      </c>
      <c r="AI202" s="22">
        <v>-1.36475E-2</v>
      </c>
      <c r="AJ202" s="22">
        <v>192</v>
      </c>
      <c r="AK202" s="22">
        <v>0.866394</v>
      </c>
      <c r="AL202">
        <f t="shared" si="30"/>
        <v>16.848765432098766</v>
      </c>
      <c r="AM202">
        <f t="shared" si="31"/>
        <v>14.605386012345679</v>
      </c>
      <c r="AP202" s="9"/>
      <c r="AQ202" s="22">
        <v>0.853271</v>
      </c>
      <c r="AR202" s="22">
        <v>25.9194</v>
      </c>
      <c r="AS202" s="22">
        <v>-1.3717699999999999E-2</v>
      </c>
      <c r="AT202" s="22">
        <v>192</v>
      </c>
      <c r="AU202" s="22">
        <v>0.852051</v>
      </c>
      <c r="AV202">
        <f t="shared" si="32"/>
        <v>16.935432098765432</v>
      </c>
      <c r="AW202">
        <f t="shared" si="33"/>
        <v>14.45051308234568</v>
      </c>
      <c r="AX202" s="9"/>
      <c r="AY202" s="22">
        <v>0.86685199999999996</v>
      </c>
      <c r="AZ202" s="22">
        <v>29.7789</v>
      </c>
      <c r="BA202" s="22">
        <v>-1.3671900000000001E-2</v>
      </c>
      <c r="BB202" s="22">
        <v>192</v>
      </c>
      <c r="BC202" s="22">
        <v>0.866089</v>
      </c>
      <c r="BD202">
        <f t="shared" si="34"/>
        <v>16.878888888888888</v>
      </c>
      <c r="BE202">
        <f t="shared" si="35"/>
        <v>14.631498591111109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0.84823599999999999</v>
      </c>
      <c r="H203" s="22">
        <v>7.1700299999999997</v>
      </c>
      <c r="I203" s="22">
        <v>-1.35193E-2</v>
      </c>
      <c r="J203" s="22">
        <v>193</v>
      </c>
      <c r="K203" s="22">
        <v>0.84716800000000003</v>
      </c>
      <c r="L203">
        <f t="shared" si="24"/>
        <v>16.690493827160495</v>
      </c>
      <c r="M203">
        <f t="shared" si="25"/>
        <v>14.15747772197531</v>
      </c>
      <c r="N203" s="9"/>
      <c r="O203" s="22">
        <v>0.87188699999999997</v>
      </c>
      <c r="P203" s="22">
        <v>11.029500000000001</v>
      </c>
      <c r="Q203" s="22">
        <v>-1.35925E-2</v>
      </c>
      <c r="R203" s="22">
        <v>193</v>
      </c>
      <c r="S203" s="22">
        <v>0.87036100000000005</v>
      </c>
      <c r="T203">
        <f t="shared" si="26"/>
        <v>16.780864197530864</v>
      </c>
      <c r="U203">
        <f t="shared" si="27"/>
        <v>14.631017342592592</v>
      </c>
      <c r="X203" s="9"/>
      <c r="Y203" s="22">
        <v>0.84823599999999999</v>
      </c>
      <c r="Z203" s="22">
        <v>16.5063</v>
      </c>
      <c r="AA203" s="22">
        <v>-1.3623E-2</v>
      </c>
      <c r="AB203" s="22">
        <v>193</v>
      </c>
      <c r="AC203" s="22">
        <v>0.84716800000000003</v>
      </c>
      <c r="AD203">
        <f t="shared" si="28"/>
        <v>16.818518518518516</v>
      </c>
      <c r="AE203">
        <f t="shared" si="29"/>
        <v>14.266072874074071</v>
      </c>
      <c r="AF203" s="9"/>
      <c r="AG203" s="22">
        <v>0.87188699999999997</v>
      </c>
      <c r="AH203" s="22">
        <v>20.3658</v>
      </c>
      <c r="AI203" s="22">
        <v>-1.36536E-2</v>
      </c>
      <c r="AJ203" s="22">
        <v>193</v>
      </c>
      <c r="AK203" s="22">
        <v>0.87127699999999997</v>
      </c>
      <c r="AL203">
        <f t="shared" si="30"/>
        <v>16.856296296296296</v>
      </c>
      <c r="AM203">
        <f t="shared" si="31"/>
        <v>14.696785608888888</v>
      </c>
      <c r="AP203" s="9"/>
      <c r="AQ203" s="22">
        <v>0.84823599999999999</v>
      </c>
      <c r="AR203" s="22">
        <v>25.929500000000001</v>
      </c>
      <c r="AS203" s="22">
        <v>-1.37054E-2</v>
      </c>
      <c r="AT203" s="22">
        <v>193</v>
      </c>
      <c r="AU203" s="22">
        <v>0.84655800000000003</v>
      </c>
      <c r="AV203">
        <f t="shared" si="32"/>
        <v>16.920246913580247</v>
      </c>
      <c r="AW203">
        <f t="shared" si="33"/>
        <v>14.352362560987654</v>
      </c>
      <c r="AX203" s="9"/>
      <c r="AY203" s="22">
        <v>0.87188699999999997</v>
      </c>
      <c r="AZ203" s="22">
        <v>29.789000000000001</v>
      </c>
      <c r="BA203" s="22">
        <v>-1.3677999999999999E-2</v>
      </c>
      <c r="BB203" s="22">
        <v>193</v>
      </c>
      <c r="BC203" s="22">
        <v>0.87097199999999997</v>
      </c>
      <c r="BD203">
        <f t="shared" si="34"/>
        <v>16.886419753086418</v>
      </c>
      <c r="BE203">
        <f t="shared" si="35"/>
        <v>14.723049859259257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0.84320099999999998</v>
      </c>
      <c r="H204" s="22">
        <v>7.1801000000000004</v>
      </c>
      <c r="I204" s="22">
        <v>-1.35254E-2</v>
      </c>
      <c r="J204" s="22">
        <v>194</v>
      </c>
      <c r="K204" s="22">
        <v>0.84258999999999995</v>
      </c>
      <c r="L204">
        <f t="shared" ref="L204:L267" si="36">-I204/$F$2*1000</f>
        <v>16.698024691358025</v>
      </c>
      <c r="M204">
        <f t="shared" ref="M204:M267" si="37">L204*G204</f>
        <v>14.079791117777777</v>
      </c>
      <c r="N204" s="9"/>
      <c r="O204" s="22">
        <v>0.87692300000000001</v>
      </c>
      <c r="P204" s="22">
        <v>11.0396</v>
      </c>
      <c r="Q204" s="22">
        <v>-1.3589499999999999E-2</v>
      </c>
      <c r="R204" s="22">
        <v>194</v>
      </c>
      <c r="S204" s="22">
        <v>0.87646500000000005</v>
      </c>
      <c r="T204">
        <f t="shared" ref="T204:T267" si="38">-Q204/$F$2*1000</f>
        <v>16.777160493827161</v>
      </c>
      <c r="U204">
        <f t="shared" ref="U204:U267" si="39">T204*O204</f>
        <v>14.712277911728396</v>
      </c>
      <c r="X204" s="9"/>
      <c r="Y204" s="22">
        <v>0.84320099999999998</v>
      </c>
      <c r="Z204" s="22">
        <v>16.516400000000001</v>
      </c>
      <c r="AA204" s="22">
        <v>-1.362E-2</v>
      </c>
      <c r="AB204" s="22">
        <v>194</v>
      </c>
      <c r="AC204" s="22">
        <v>0.84228499999999995</v>
      </c>
      <c r="AD204">
        <f t="shared" ref="AD204:AD267" si="40">-AA204/$F$2*1000</f>
        <v>16.814814814814813</v>
      </c>
      <c r="AE204">
        <f t="shared" ref="AE204:AE267" si="41">AD204*Y204</f>
        <v>14.178268666666664</v>
      </c>
      <c r="AF204" s="9"/>
      <c r="AG204" s="22">
        <v>0.87692300000000001</v>
      </c>
      <c r="AH204" s="22">
        <v>20.375800000000002</v>
      </c>
      <c r="AI204" s="22">
        <v>-1.3665800000000001E-2</v>
      </c>
      <c r="AJ204" s="22">
        <v>194</v>
      </c>
      <c r="AK204" s="22">
        <v>0.87585400000000002</v>
      </c>
      <c r="AL204">
        <f t="shared" ref="AL204:AL267" si="42">-AI204/$F$2*1000</f>
        <v>16.871358024691357</v>
      </c>
      <c r="AM204">
        <f t="shared" ref="AM204:AM267" si="43">AL204*AG204</f>
        <v>14.794881893086419</v>
      </c>
      <c r="AP204" s="9"/>
      <c r="AQ204" s="22">
        <v>0.84320099999999998</v>
      </c>
      <c r="AR204" s="22">
        <v>25.939599999999999</v>
      </c>
      <c r="AS204" s="22">
        <v>-1.36963E-2</v>
      </c>
      <c r="AT204" s="22">
        <v>194</v>
      </c>
      <c r="AU204" s="22">
        <v>0.84167499999999995</v>
      </c>
      <c r="AV204">
        <f t="shared" ref="AV204:AV267" si="44">-AS204/$F$2*1000</f>
        <v>16.90901234567901</v>
      </c>
      <c r="AW204">
        <f t="shared" ref="AW204:AW267" si="45">AV204*AQ204</f>
        <v>14.257696118888886</v>
      </c>
      <c r="AX204" s="9"/>
      <c r="AY204" s="22">
        <v>0.87692300000000001</v>
      </c>
      <c r="AZ204" s="22">
        <v>29.799099999999999</v>
      </c>
      <c r="BA204" s="22">
        <v>-1.3671900000000001E-2</v>
      </c>
      <c r="BB204" s="22">
        <v>194</v>
      </c>
      <c r="BC204" s="22">
        <v>0.87646500000000005</v>
      </c>
      <c r="BD204">
        <f t="shared" ref="BD204:BD267" si="46">-BA204/$F$2*1000</f>
        <v>16.878888888888888</v>
      </c>
      <c r="BE204">
        <f t="shared" ref="BE204:BE267" si="47">BD204*AY204</f>
        <v>14.801485881111111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0.83816500000000005</v>
      </c>
      <c r="H205" s="22">
        <v>7.1901700000000002</v>
      </c>
      <c r="I205" s="22">
        <v>-1.35345E-2</v>
      </c>
      <c r="J205" s="22">
        <v>195</v>
      </c>
      <c r="K205" s="22">
        <v>0.83740199999999998</v>
      </c>
      <c r="L205">
        <f t="shared" si="36"/>
        <v>16.709259259259255</v>
      </c>
      <c r="M205">
        <f t="shared" si="37"/>
        <v>14.005116287037035</v>
      </c>
      <c r="N205" s="9"/>
      <c r="O205" s="22">
        <v>0.88195800000000002</v>
      </c>
      <c r="P205" s="22">
        <v>11.0496</v>
      </c>
      <c r="Q205" s="22">
        <v>-1.3583400000000001E-2</v>
      </c>
      <c r="R205" s="22">
        <v>195</v>
      </c>
      <c r="S205" s="22">
        <v>0.88073699999999999</v>
      </c>
      <c r="T205">
        <f t="shared" si="38"/>
        <v>16.76962962962963</v>
      </c>
      <c r="U205">
        <f t="shared" si="39"/>
        <v>14.790109008888891</v>
      </c>
      <c r="X205" s="9"/>
      <c r="Y205" s="22">
        <v>0.83816500000000005</v>
      </c>
      <c r="Z205" s="22">
        <v>16.526399999999999</v>
      </c>
      <c r="AA205" s="22">
        <v>-1.36139E-2</v>
      </c>
      <c r="AB205" s="22">
        <v>195</v>
      </c>
      <c r="AC205" s="22">
        <v>0.83801300000000001</v>
      </c>
      <c r="AD205">
        <f t="shared" si="40"/>
        <v>16.807283950617283</v>
      </c>
      <c r="AE205">
        <f t="shared" si="41"/>
        <v>14.087277152469136</v>
      </c>
      <c r="AF205" s="9"/>
      <c r="AG205" s="22">
        <v>0.88195800000000002</v>
      </c>
      <c r="AH205" s="22">
        <v>20.385899999999999</v>
      </c>
      <c r="AI205" s="22">
        <v>-1.36749E-2</v>
      </c>
      <c r="AJ205" s="22">
        <v>195</v>
      </c>
      <c r="AK205" s="22">
        <v>0.88104199999999999</v>
      </c>
      <c r="AL205">
        <f t="shared" si="42"/>
        <v>16.882592592592591</v>
      </c>
      <c r="AM205">
        <f t="shared" si="43"/>
        <v>14.889737597777776</v>
      </c>
      <c r="AP205" s="9"/>
      <c r="AQ205" s="22">
        <v>0.83816500000000005</v>
      </c>
      <c r="AR205" s="22">
        <v>25.9497</v>
      </c>
      <c r="AS205" s="22">
        <v>-1.3699299999999999E-2</v>
      </c>
      <c r="AT205" s="22">
        <v>195</v>
      </c>
      <c r="AU205" s="22">
        <v>0.83709699999999998</v>
      </c>
      <c r="AV205">
        <f t="shared" si="44"/>
        <v>16.912716049382716</v>
      </c>
      <c r="AW205">
        <f t="shared" si="45"/>
        <v>14.175646647530865</v>
      </c>
      <c r="AX205" s="9"/>
      <c r="AY205" s="22">
        <v>0.88195800000000002</v>
      </c>
      <c r="AZ205" s="22">
        <v>29.809100000000001</v>
      </c>
      <c r="BA205" s="22">
        <v>-1.36627E-2</v>
      </c>
      <c r="BB205" s="22">
        <v>195</v>
      </c>
      <c r="BC205" s="22">
        <v>0.88043199999999999</v>
      </c>
      <c r="BD205">
        <f t="shared" si="46"/>
        <v>16.86753086419753</v>
      </c>
      <c r="BE205">
        <f t="shared" si="47"/>
        <v>14.876453785925925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0.83313000000000004</v>
      </c>
      <c r="H206" s="22">
        <v>7.20024</v>
      </c>
      <c r="I206" s="22">
        <v>-1.3546799999999999E-2</v>
      </c>
      <c r="J206" s="22">
        <v>196</v>
      </c>
      <c r="K206" s="22">
        <v>0.83252000000000004</v>
      </c>
      <c r="L206">
        <f t="shared" si="36"/>
        <v>16.72444444444444</v>
      </c>
      <c r="M206">
        <f t="shared" si="37"/>
        <v>13.933636399999997</v>
      </c>
      <c r="N206" s="9"/>
      <c r="O206" s="22">
        <v>0.88699300000000003</v>
      </c>
      <c r="P206" s="22">
        <v>11.059699999999999</v>
      </c>
      <c r="Q206" s="22">
        <v>-1.35925E-2</v>
      </c>
      <c r="R206" s="22">
        <v>196</v>
      </c>
      <c r="S206" s="22">
        <v>0.88592499999999996</v>
      </c>
      <c r="T206">
        <f t="shared" si="38"/>
        <v>16.780864197530864</v>
      </c>
      <c r="U206">
        <f t="shared" si="39"/>
        <v>14.884509077160494</v>
      </c>
      <c r="X206" s="9"/>
      <c r="Y206" s="22">
        <v>0.83313000000000004</v>
      </c>
      <c r="Z206" s="22">
        <v>16.5365</v>
      </c>
      <c r="AA206" s="22">
        <v>-1.362E-2</v>
      </c>
      <c r="AB206" s="22">
        <v>196</v>
      </c>
      <c r="AC206" s="22">
        <v>0.83252000000000004</v>
      </c>
      <c r="AD206">
        <f t="shared" si="40"/>
        <v>16.814814814814813</v>
      </c>
      <c r="AE206">
        <f t="shared" si="41"/>
        <v>14.008926666666666</v>
      </c>
      <c r="AF206" s="9"/>
      <c r="AG206" s="22">
        <v>0.88699300000000003</v>
      </c>
      <c r="AH206" s="22">
        <v>20.396000000000001</v>
      </c>
      <c r="AI206" s="22">
        <v>-1.3681E-2</v>
      </c>
      <c r="AJ206" s="22">
        <v>196</v>
      </c>
      <c r="AK206" s="22">
        <v>0.88592499999999996</v>
      </c>
      <c r="AL206">
        <f t="shared" si="42"/>
        <v>16.890123456790121</v>
      </c>
      <c r="AM206">
        <f t="shared" si="43"/>
        <v>14.981421275308641</v>
      </c>
      <c r="AP206" s="9"/>
      <c r="AQ206" s="22">
        <v>0.83313000000000004</v>
      </c>
      <c r="AR206" s="22">
        <v>25.959700000000002</v>
      </c>
      <c r="AS206" s="22">
        <v>-1.36902E-2</v>
      </c>
      <c r="AT206" s="22">
        <v>196</v>
      </c>
      <c r="AU206" s="22">
        <v>0.83252000000000004</v>
      </c>
      <c r="AV206">
        <f t="shared" si="44"/>
        <v>16.901481481481479</v>
      </c>
      <c r="AW206">
        <f t="shared" si="45"/>
        <v>14.081131266666665</v>
      </c>
      <c r="AX206" s="9"/>
      <c r="AY206" s="22">
        <v>0.88699300000000003</v>
      </c>
      <c r="AZ206" s="22">
        <v>29.819199999999999</v>
      </c>
      <c r="BA206" s="22">
        <v>-1.36597E-2</v>
      </c>
      <c r="BB206" s="22">
        <v>196</v>
      </c>
      <c r="BC206" s="22">
        <v>0.88531499999999996</v>
      </c>
      <c r="BD206">
        <f t="shared" si="46"/>
        <v>16.863827160493827</v>
      </c>
      <c r="BE206">
        <f t="shared" si="47"/>
        <v>14.958096644567901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0.828094</v>
      </c>
      <c r="H207" s="22">
        <v>7.2103099999999998</v>
      </c>
      <c r="I207" s="22">
        <v>-1.3555899999999999E-2</v>
      </c>
      <c r="J207" s="22">
        <v>197</v>
      </c>
      <c r="K207" s="22">
        <v>0.82733199999999996</v>
      </c>
      <c r="L207">
        <f t="shared" si="36"/>
        <v>16.735679012345678</v>
      </c>
      <c r="M207">
        <f t="shared" si="37"/>
        <v>13.858715376049382</v>
      </c>
      <c r="N207" s="9"/>
      <c r="O207" s="22">
        <v>0.89202899999999996</v>
      </c>
      <c r="P207" s="22">
        <v>11.069800000000001</v>
      </c>
      <c r="Q207" s="22">
        <v>-1.3598600000000001E-2</v>
      </c>
      <c r="R207" s="22">
        <v>197</v>
      </c>
      <c r="S207" s="22">
        <v>0.89080800000000004</v>
      </c>
      <c r="T207">
        <f t="shared" si="38"/>
        <v>16.788395061728394</v>
      </c>
      <c r="U207">
        <f t="shared" si="39"/>
        <v>14.975735258518517</v>
      </c>
      <c r="X207" s="9"/>
      <c r="Y207" s="22">
        <v>0.828094</v>
      </c>
      <c r="Z207" s="22">
        <v>16.546600000000002</v>
      </c>
      <c r="AA207" s="22">
        <v>-1.3629199999999999E-2</v>
      </c>
      <c r="AB207" s="22">
        <v>197</v>
      </c>
      <c r="AC207" s="22">
        <v>0.82672100000000004</v>
      </c>
      <c r="AD207">
        <f t="shared" si="40"/>
        <v>16.826172839506171</v>
      </c>
      <c r="AE207">
        <f t="shared" si="41"/>
        <v>13.933652771358023</v>
      </c>
      <c r="AF207" s="9"/>
      <c r="AG207" s="22">
        <v>0.89202899999999996</v>
      </c>
      <c r="AH207" s="22">
        <v>20.405999999999999</v>
      </c>
      <c r="AI207" s="22">
        <v>-1.3677999999999999E-2</v>
      </c>
      <c r="AJ207" s="22">
        <v>197</v>
      </c>
      <c r="AK207" s="22">
        <v>0.89111300000000004</v>
      </c>
      <c r="AL207">
        <f t="shared" si="42"/>
        <v>16.886419753086418</v>
      </c>
      <c r="AM207">
        <f t="shared" si="43"/>
        <v>15.063176125925924</v>
      </c>
      <c r="AP207" s="9"/>
      <c r="AQ207" s="22">
        <v>0.828094</v>
      </c>
      <c r="AR207" s="22">
        <v>25.969799999999999</v>
      </c>
      <c r="AS207" s="22">
        <v>-1.3693200000000001E-2</v>
      </c>
      <c r="AT207" s="22">
        <v>197</v>
      </c>
      <c r="AU207" s="22">
        <v>0.82763699999999996</v>
      </c>
      <c r="AV207">
        <f t="shared" si="44"/>
        <v>16.905185185185186</v>
      </c>
      <c r="AW207">
        <f t="shared" si="45"/>
        <v>13.999082420740741</v>
      </c>
      <c r="AX207" s="9"/>
      <c r="AY207" s="22">
        <v>0.89202899999999996</v>
      </c>
      <c r="AZ207" s="22">
        <v>29.8293</v>
      </c>
      <c r="BA207" s="22">
        <v>-1.36627E-2</v>
      </c>
      <c r="BB207" s="22">
        <v>197</v>
      </c>
      <c r="BC207" s="22">
        <v>0.89111300000000004</v>
      </c>
      <c r="BD207">
        <f t="shared" si="46"/>
        <v>16.86753086419753</v>
      </c>
      <c r="BE207">
        <f t="shared" si="47"/>
        <v>15.046326689259258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0.82305899999999999</v>
      </c>
      <c r="H208" s="22">
        <v>7.2203799999999996</v>
      </c>
      <c r="I208" s="22">
        <v>-1.35529E-2</v>
      </c>
      <c r="J208" s="22">
        <v>198</v>
      </c>
      <c r="K208" s="22">
        <v>0.82183799999999996</v>
      </c>
      <c r="L208">
        <f t="shared" si="36"/>
        <v>16.731975308641974</v>
      </c>
      <c r="M208">
        <f t="shared" si="37"/>
        <v>13.771402865555554</v>
      </c>
      <c r="N208" s="9"/>
      <c r="O208" s="22">
        <v>0.89706399999999997</v>
      </c>
      <c r="P208" s="22">
        <v>11.0799</v>
      </c>
      <c r="Q208" s="22">
        <v>-1.36017E-2</v>
      </c>
      <c r="R208" s="22">
        <v>198</v>
      </c>
      <c r="S208" s="22">
        <v>0.89569100000000001</v>
      </c>
      <c r="T208">
        <f t="shared" si="38"/>
        <v>16.792222222222222</v>
      </c>
      <c r="U208">
        <f t="shared" si="39"/>
        <v>15.063698035555555</v>
      </c>
      <c r="X208" s="9"/>
      <c r="Y208" s="22">
        <v>0.82305899999999999</v>
      </c>
      <c r="Z208" s="22">
        <v>16.5566</v>
      </c>
      <c r="AA208" s="22">
        <v>-1.3629199999999999E-2</v>
      </c>
      <c r="AB208" s="22">
        <v>198</v>
      </c>
      <c r="AC208" s="22">
        <v>0.82214399999999999</v>
      </c>
      <c r="AD208">
        <f t="shared" si="40"/>
        <v>16.826172839506171</v>
      </c>
      <c r="AE208">
        <f t="shared" si="41"/>
        <v>13.848932991111109</v>
      </c>
      <c r="AF208" s="9"/>
      <c r="AG208" s="22">
        <v>0.89706399999999997</v>
      </c>
      <c r="AH208" s="22">
        <v>20.4161</v>
      </c>
      <c r="AI208" s="22">
        <v>-1.3681E-2</v>
      </c>
      <c r="AJ208" s="22">
        <v>198</v>
      </c>
      <c r="AK208" s="22">
        <v>0.89538600000000002</v>
      </c>
      <c r="AL208">
        <f t="shared" si="42"/>
        <v>16.890123456790121</v>
      </c>
      <c r="AM208">
        <f t="shared" si="43"/>
        <v>15.151521708641972</v>
      </c>
      <c r="AP208" s="9"/>
      <c r="AQ208" s="22">
        <v>0.82305899999999999</v>
      </c>
      <c r="AR208" s="22">
        <v>25.979900000000001</v>
      </c>
      <c r="AS208" s="22">
        <v>-1.3687100000000001E-2</v>
      </c>
      <c r="AT208" s="22">
        <v>198</v>
      </c>
      <c r="AU208" s="22">
        <v>0.82214399999999999</v>
      </c>
      <c r="AV208">
        <f t="shared" si="44"/>
        <v>16.897654320987655</v>
      </c>
      <c r="AW208">
        <f t="shared" si="45"/>
        <v>13.907766467777778</v>
      </c>
      <c r="AX208" s="9"/>
      <c r="AY208" s="22">
        <v>0.89706399999999997</v>
      </c>
      <c r="AZ208" s="22">
        <v>29.839300000000001</v>
      </c>
      <c r="BA208" s="22">
        <v>-1.36688E-2</v>
      </c>
      <c r="BB208" s="22">
        <v>198</v>
      </c>
      <c r="BC208" s="22">
        <v>0.89599600000000001</v>
      </c>
      <c r="BD208">
        <f t="shared" si="46"/>
        <v>16.87506172839506</v>
      </c>
      <c r="BE208">
        <f t="shared" si="47"/>
        <v>15.138010374320986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0.81802399999999997</v>
      </c>
      <c r="H209" s="22">
        <v>7.2304500000000003</v>
      </c>
      <c r="I209" s="22">
        <v>-1.35529E-2</v>
      </c>
      <c r="J209" s="22">
        <v>199</v>
      </c>
      <c r="K209" s="22">
        <v>0.81695600000000002</v>
      </c>
      <c r="L209">
        <f t="shared" si="36"/>
        <v>16.731975308641974</v>
      </c>
      <c r="M209">
        <f t="shared" si="37"/>
        <v>13.687157369876543</v>
      </c>
      <c r="N209" s="9"/>
      <c r="O209" s="22">
        <v>0.90210000000000001</v>
      </c>
      <c r="P209" s="22">
        <v>11.0899</v>
      </c>
      <c r="Q209" s="22">
        <v>-1.3595599999999999E-2</v>
      </c>
      <c r="R209" s="22">
        <v>199</v>
      </c>
      <c r="S209" s="22">
        <v>0.90148899999999998</v>
      </c>
      <c r="T209">
        <f t="shared" si="38"/>
        <v>16.784691358024691</v>
      </c>
      <c r="U209">
        <f t="shared" si="39"/>
        <v>15.141470074074075</v>
      </c>
      <c r="X209" s="9"/>
      <c r="Y209" s="22">
        <v>0.81802399999999997</v>
      </c>
      <c r="Z209" s="22">
        <v>16.566700000000001</v>
      </c>
      <c r="AA209" s="22">
        <v>-1.3632200000000001E-2</v>
      </c>
      <c r="AB209" s="22">
        <v>199</v>
      </c>
      <c r="AC209" s="22">
        <v>0.81664999999999999</v>
      </c>
      <c r="AD209">
        <f t="shared" si="40"/>
        <v>16.829876543209878</v>
      </c>
      <c r="AE209">
        <f t="shared" si="41"/>
        <v>13.767242929382716</v>
      </c>
      <c r="AF209" s="9"/>
      <c r="AG209" s="22">
        <v>0.90210000000000001</v>
      </c>
      <c r="AH209" s="22">
        <v>20.426200000000001</v>
      </c>
      <c r="AI209" s="22">
        <v>-1.36749E-2</v>
      </c>
      <c r="AJ209" s="22">
        <v>199</v>
      </c>
      <c r="AK209" s="22">
        <v>0.90118399999999999</v>
      </c>
      <c r="AL209">
        <f t="shared" si="42"/>
        <v>16.882592592592591</v>
      </c>
      <c r="AM209">
        <f t="shared" si="43"/>
        <v>15.229786777777777</v>
      </c>
      <c r="AP209" s="9"/>
      <c r="AQ209" s="22">
        <v>0.81802399999999997</v>
      </c>
      <c r="AR209" s="22">
        <v>25.989899999999999</v>
      </c>
      <c r="AS209" s="22">
        <v>-1.36749E-2</v>
      </c>
      <c r="AT209" s="22">
        <v>199</v>
      </c>
      <c r="AU209" s="22">
        <v>0.81726100000000002</v>
      </c>
      <c r="AV209">
        <f t="shared" si="44"/>
        <v>16.882592592592591</v>
      </c>
      <c r="AW209">
        <f t="shared" si="45"/>
        <v>13.81036592296296</v>
      </c>
      <c r="AX209" s="9"/>
      <c r="AY209" s="22">
        <v>0.90210000000000001</v>
      </c>
      <c r="AZ209" s="22">
        <v>29.849399999999999</v>
      </c>
      <c r="BA209" s="22">
        <v>-1.36749E-2</v>
      </c>
      <c r="BB209" s="22">
        <v>199</v>
      </c>
      <c r="BC209" s="22">
        <v>0.90087899999999999</v>
      </c>
      <c r="BD209">
        <f t="shared" si="46"/>
        <v>16.882592592592591</v>
      </c>
      <c r="BE209">
        <f t="shared" si="47"/>
        <v>15.229786777777777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0.81298800000000004</v>
      </c>
      <c r="H210" s="22">
        <v>7.2405200000000001</v>
      </c>
      <c r="I210" s="22">
        <v>-1.3546799999999999E-2</v>
      </c>
      <c r="J210" s="22">
        <v>200</v>
      </c>
      <c r="K210" s="22">
        <v>0.81207300000000004</v>
      </c>
      <c r="L210">
        <f t="shared" si="36"/>
        <v>16.72444444444444</v>
      </c>
      <c r="M210">
        <f t="shared" si="37"/>
        <v>13.596772639999998</v>
      </c>
      <c r="N210" s="9"/>
      <c r="O210" s="22">
        <v>0.90713500000000002</v>
      </c>
      <c r="P210" s="22">
        <v>11.1</v>
      </c>
      <c r="Q210" s="22">
        <v>-1.3589499999999999E-2</v>
      </c>
      <c r="R210" s="22">
        <v>200</v>
      </c>
      <c r="S210" s="22">
        <v>0.90606699999999996</v>
      </c>
      <c r="T210">
        <f t="shared" si="38"/>
        <v>16.777160493827161</v>
      </c>
      <c r="U210">
        <f t="shared" si="39"/>
        <v>15.219149484567902</v>
      </c>
      <c r="X210" s="9"/>
      <c r="Y210" s="22">
        <v>0.81298800000000004</v>
      </c>
      <c r="Z210" s="22">
        <v>16.576799999999999</v>
      </c>
      <c r="AA210" s="22">
        <v>-1.3632200000000001E-2</v>
      </c>
      <c r="AB210" s="22">
        <v>200</v>
      </c>
      <c r="AC210" s="22">
        <v>0.81237800000000004</v>
      </c>
      <c r="AD210">
        <f t="shared" si="40"/>
        <v>16.829876543209878</v>
      </c>
      <c r="AE210">
        <f t="shared" si="41"/>
        <v>13.682487671111113</v>
      </c>
      <c r="AF210" s="9"/>
      <c r="AG210" s="22">
        <v>0.90713500000000002</v>
      </c>
      <c r="AH210" s="22">
        <v>20.436299999999999</v>
      </c>
      <c r="AI210" s="22">
        <v>-1.36627E-2</v>
      </c>
      <c r="AJ210" s="22">
        <v>200</v>
      </c>
      <c r="AK210" s="22">
        <v>0.90637199999999996</v>
      </c>
      <c r="AL210">
        <f t="shared" si="42"/>
        <v>16.86753086419753</v>
      </c>
      <c r="AM210">
        <f t="shared" si="43"/>
        <v>15.301127610493827</v>
      </c>
      <c r="AP210" s="9"/>
      <c r="AQ210" s="22">
        <v>0.81298800000000004</v>
      </c>
      <c r="AR210" s="22">
        <v>26</v>
      </c>
      <c r="AS210" s="22">
        <v>-1.36688E-2</v>
      </c>
      <c r="AT210" s="22">
        <v>200</v>
      </c>
      <c r="AU210" s="22">
        <v>0.81207300000000004</v>
      </c>
      <c r="AV210">
        <f t="shared" si="44"/>
        <v>16.87506172839506</v>
      </c>
      <c r="AW210">
        <f t="shared" si="45"/>
        <v>13.719222684444444</v>
      </c>
      <c r="AX210" s="9"/>
      <c r="AY210" s="22">
        <v>0.90713500000000002</v>
      </c>
      <c r="AZ210" s="22">
        <v>29.859500000000001</v>
      </c>
      <c r="BA210" s="22">
        <v>-1.3677999999999999E-2</v>
      </c>
      <c r="BB210" s="22">
        <v>200</v>
      </c>
      <c r="BC210" s="22">
        <v>0.90698199999999995</v>
      </c>
      <c r="BD210">
        <f t="shared" si="46"/>
        <v>16.886419753086418</v>
      </c>
      <c r="BE210">
        <f t="shared" si="47"/>
        <v>15.318262382716048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0.80795300000000003</v>
      </c>
      <c r="H211" s="22">
        <v>7.2506000000000004</v>
      </c>
      <c r="I211" s="22">
        <v>-1.35376E-2</v>
      </c>
      <c r="J211" s="22">
        <v>201</v>
      </c>
      <c r="K211" s="22">
        <v>0.80657999999999996</v>
      </c>
      <c r="L211">
        <f t="shared" si="36"/>
        <v>16.713086419753086</v>
      </c>
      <c r="M211">
        <f t="shared" si="37"/>
        <v>13.503388312098766</v>
      </c>
      <c r="N211" s="9"/>
      <c r="O211" s="22">
        <v>0.91217000000000004</v>
      </c>
      <c r="P211" s="22">
        <v>11.110099999999999</v>
      </c>
      <c r="Q211" s="22">
        <v>-1.3583400000000001E-2</v>
      </c>
      <c r="R211" s="22">
        <v>201</v>
      </c>
      <c r="S211" s="22">
        <v>0.91156000000000004</v>
      </c>
      <c r="T211">
        <f t="shared" si="38"/>
        <v>16.76962962962963</v>
      </c>
      <c r="U211">
        <f t="shared" si="39"/>
        <v>15.296753059259261</v>
      </c>
      <c r="X211" s="9"/>
      <c r="Y211" s="22">
        <v>0.80795300000000003</v>
      </c>
      <c r="Z211" s="22">
        <v>16.5868</v>
      </c>
      <c r="AA211" s="22">
        <v>-1.3629199999999999E-2</v>
      </c>
      <c r="AB211" s="22">
        <v>201</v>
      </c>
      <c r="AC211" s="22">
        <v>0.80718999999999996</v>
      </c>
      <c r="AD211">
        <f t="shared" si="40"/>
        <v>16.826172839506171</v>
      </c>
      <c r="AE211">
        <f t="shared" si="41"/>
        <v>13.59475682419753</v>
      </c>
      <c r="AF211" s="9"/>
      <c r="AG211" s="22">
        <v>0.91217000000000004</v>
      </c>
      <c r="AH211" s="22">
        <v>20.446300000000001</v>
      </c>
      <c r="AI211" s="22">
        <v>-1.36536E-2</v>
      </c>
      <c r="AJ211" s="22">
        <v>201</v>
      </c>
      <c r="AK211" s="22">
        <v>0.91064500000000004</v>
      </c>
      <c r="AL211">
        <f t="shared" si="42"/>
        <v>16.856296296296296</v>
      </c>
      <c r="AM211">
        <f t="shared" si="43"/>
        <v>15.375807792592592</v>
      </c>
      <c r="AP211" s="9"/>
      <c r="AQ211" s="22">
        <v>0.80795300000000003</v>
      </c>
      <c r="AR211" s="22">
        <v>26.010100000000001</v>
      </c>
      <c r="AS211" s="22">
        <v>-1.3665800000000001E-2</v>
      </c>
      <c r="AT211" s="22">
        <v>201</v>
      </c>
      <c r="AU211" s="22">
        <v>0.80718999999999996</v>
      </c>
      <c r="AV211">
        <f t="shared" si="44"/>
        <v>16.871358024691357</v>
      </c>
      <c r="AW211">
        <f t="shared" si="45"/>
        <v>13.631264330123457</v>
      </c>
      <c r="AX211" s="9"/>
      <c r="AY211" s="22">
        <v>0.91217000000000004</v>
      </c>
      <c r="AZ211" s="22">
        <v>29.869599999999998</v>
      </c>
      <c r="BA211" s="22">
        <v>-1.36627E-2</v>
      </c>
      <c r="BB211" s="22">
        <v>201</v>
      </c>
      <c r="BC211" s="22">
        <v>0.91156000000000004</v>
      </c>
      <c r="BD211">
        <f t="shared" si="46"/>
        <v>16.86753086419753</v>
      </c>
      <c r="BE211">
        <f t="shared" si="47"/>
        <v>15.386055628395061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0.80291699999999999</v>
      </c>
      <c r="H212" s="22">
        <v>7.2606700000000002</v>
      </c>
      <c r="I212" s="22">
        <v>-1.3543700000000001E-2</v>
      </c>
      <c r="J212" s="22">
        <v>202</v>
      </c>
      <c r="K212" s="22">
        <v>0.80261199999999999</v>
      </c>
      <c r="L212">
        <f t="shared" si="36"/>
        <v>16.720617283950617</v>
      </c>
      <c r="M212">
        <f t="shared" si="37"/>
        <v>13.425267867777777</v>
      </c>
      <c r="N212" s="9"/>
      <c r="O212" s="22">
        <v>0.91720599999999997</v>
      </c>
      <c r="P212" s="22">
        <v>11.120100000000001</v>
      </c>
      <c r="Q212" s="22">
        <v>-1.35742E-2</v>
      </c>
      <c r="R212" s="22">
        <v>202</v>
      </c>
      <c r="S212" s="22">
        <v>0.91613800000000001</v>
      </c>
      <c r="T212">
        <f t="shared" si="38"/>
        <v>16.758271604938273</v>
      </c>
      <c r="U212">
        <f t="shared" si="39"/>
        <v>15.370787265679013</v>
      </c>
      <c r="X212" s="9"/>
      <c r="Y212" s="22">
        <v>0.80291699999999999</v>
      </c>
      <c r="Z212" s="22">
        <v>16.596900000000002</v>
      </c>
      <c r="AA212" s="22">
        <v>-1.3632200000000001E-2</v>
      </c>
      <c r="AB212" s="22">
        <v>202</v>
      </c>
      <c r="AC212" s="22">
        <v>0.80230699999999999</v>
      </c>
      <c r="AD212">
        <f t="shared" si="40"/>
        <v>16.829876543209878</v>
      </c>
      <c r="AE212">
        <f t="shared" si="41"/>
        <v>13.512993984444446</v>
      </c>
      <c r="AF212" s="9"/>
      <c r="AG212" s="22">
        <v>0.91720599999999997</v>
      </c>
      <c r="AH212" s="22">
        <v>20.456399999999999</v>
      </c>
      <c r="AI212" s="22">
        <v>-1.36536E-2</v>
      </c>
      <c r="AJ212" s="22">
        <v>202</v>
      </c>
      <c r="AK212" s="22">
        <v>0.91613800000000001</v>
      </c>
      <c r="AL212">
        <f t="shared" si="42"/>
        <v>16.856296296296296</v>
      </c>
      <c r="AM212">
        <f t="shared" si="43"/>
        <v>15.460696100740741</v>
      </c>
      <c r="AP212" s="9"/>
      <c r="AQ212" s="22">
        <v>0.80291699999999999</v>
      </c>
      <c r="AR212" s="22">
        <v>26.020199999999999</v>
      </c>
      <c r="AS212" s="22">
        <v>-1.36688E-2</v>
      </c>
      <c r="AT212" s="22">
        <v>202</v>
      </c>
      <c r="AU212" s="22">
        <v>0.80169699999999999</v>
      </c>
      <c r="AV212">
        <f t="shared" si="44"/>
        <v>16.87506172839506</v>
      </c>
      <c r="AW212">
        <f t="shared" si="45"/>
        <v>13.549273937777777</v>
      </c>
      <c r="AX212" s="9"/>
      <c r="AY212" s="22">
        <v>0.91720599999999997</v>
      </c>
      <c r="AZ212" s="22">
        <v>29.8796</v>
      </c>
      <c r="BA212" s="22">
        <v>-1.36627E-2</v>
      </c>
      <c r="BB212" s="22">
        <v>202</v>
      </c>
      <c r="BC212" s="22">
        <v>0.91613800000000001</v>
      </c>
      <c r="BD212">
        <f t="shared" si="46"/>
        <v>16.86753086419753</v>
      </c>
      <c r="BE212">
        <f t="shared" si="47"/>
        <v>15.471000513827159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0.79788199999999998</v>
      </c>
      <c r="H213" s="22">
        <v>7.27074</v>
      </c>
      <c r="I213" s="22">
        <v>-1.3561999999999999E-2</v>
      </c>
      <c r="J213" s="22">
        <v>203</v>
      </c>
      <c r="K213" s="22">
        <v>0.79711900000000002</v>
      </c>
      <c r="L213">
        <f t="shared" si="36"/>
        <v>16.743209876543208</v>
      </c>
      <c r="M213">
        <f t="shared" si="37"/>
        <v>13.359105782716048</v>
      </c>
      <c r="N213" s="9"/>
      <c r="O213" s="22">
        <v>0.92224099999999998</v>
      </c>
      <c r="P213" s="22">
        <v>11.1302</v>
      </c>
      <c r="Q213" s="22">
        <v>-1.35773E-2</v>
      </c>
      <c r="R213" s="22">
        <v>203</v>
      </c>
      <c r="S213" s="22">
        <v>0.92132599999999998</v>
      </c>
      <c r="T213">
        <f t="shared" si="38"/>
        <v>16.7620987654321</v>
      </c>
      <c r="U213">
        <f t="shared" si="39"/>
        <v>15.458694727530865</v>
      </c>
      <c r="X213" s="9"/>
      <c r="Y213" s="22">
        <v>0.79788199999999998</v>
      </c>
      <c r="Z213" s="22">
        <v>16.606999999999999</v>
      </c>
      <c r="AA213" s="22">
        <v>-1.36353E-2</v>
      </c>
      <c r="AB213" s="22">
        <v>203</v>
      </c>
      <c r="AC213" s="22">
        <v>0.79711900000000002</v>
      </c>
      <c r="AD213">
        <f t="shared" si="40"/>
        <v>16.833703703703701</v>
      </c>
      <c r="AE213">
        <f t="shared" si="41"/>
        <v>13.431309178518516</v>
      </c>
      <c r="AF213" s="9"/>
      <c r="AG213" s="22">
        <v>0.92224099999999998</v>
      </c>
      <c r="AH213" s="22">
        <v>20.4665</v>
      </c>
      <c r="AI213" s="22">
        <v>-1.36536E-2</v>
      </c>
      <c r="AJ213" s="22">
        <v>203</v>
      </c>
      <c r="AK213" s="22">
        <v>0.92163099999999998</v>
      </c>
      <c r="AL213">
        <f t="shared" si="42"/>
        <v>16.856296296296296</v>
      </c>
      <c r="AM213">
        <f t="shared" si="43"/>
        <v>15.545567552592592</v>
      </c>
      <c r="AP213" s="9"/>
      <c r="AQ213" s="22">
        <v>0.79788199999999998</v>
      </c>
      <c r="AR213" s="22">
        <v>26.030200000000001</v>
      </c>
      <c r="AS213" s="22">
        <v>-1.36749E-2</v>
      </c>
      <c r="AT213" s="22">
        <v>203</v>
      </c>
      <c r="AU213" s="22">
        <v>0.79681400000000002</v>
      </c>
      <c r="AV213">
        <f t="shared" si="44"/>
        <v>16.882592592592591</v>
      </c>
      <c r="AW213">
        <f t="shared" si="45"/>
        <v>13.470316742962961</v>
      </c>
      <c r="AX213" s="9"/>
      <c r="AY213" s="22">
        <v>0.92224099999999998</v>
      </c>
      <c r="AZ213" s="22">
        <v>29.889700000000001</v>
      </c>
      <c r="BA213" s="22">
        <v>-1.36566E-2</v>
      </c>
      <c r="BB213" s="22">
        <v>203</v>
      </c>
      <c r="BC213" s="22">
        <v>0.92132599999999998</v>
      </c>
      <c r="BD213">
        <f t="shared" si="46"/>
        <v>16.86</v>
      </c>
      <c r="BE213">
        <f t="shared" si="47"/>
        <v>15.54898326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0.79284699999999997</v>
      </c>
      <c r="H214" s="22">
        <v>7.2808099999999998</v>
      </c>
      <c r="I214" s="22">
        <v>-1.35681E-2</v>
      </c>
      <c r="J214" s="22">
        <v>204</v>
      </c>
      <c r="K214" s="22">
        <v>0.79193100000000005</v>
      </c>
      <c r="L214">
        <f t="shared" si="36"/>
        <v>16.750740740740738</v>
      </c>
      <c r="M214">
        <f t="shared" si="37"/>
        <v>13.280774544074072</v>
      </c>
      <c r="N214" s="9"/>
      <c r="O214" s="22">
        <v>0.92727700000000002</v>
      </c>
      <c r="P214" s="22">
        <v>11.1403</v>
      </c>
      <c r="Q214" s="22">
        <v>-1.35681E-2</v>
      </c>
      <c r="R214" s="22">
        <v>204</v>
      </c>
      <c r="S214" s="22">
        <v>0.92651399999999995</v>
      </c>
      <c r="T214">
        <f t="shared" si="38"/>
        <v>16.750740740740738</v>
      </c>
      <c r="U214">
        <f t="shared" si="39"/>
        <v>15.532576621851851</v>
      </c>
      <c r="X214" s="9"/>
      <c r="Y214" s="22">
        <v>0.79284699999999997</v>
      </c>
      <c r="Z214" s="22">
        <v>16.617100000000001</v>
      </c>
      <c r="AA214" s="22">
        <v>-1.3650499999999999E-2</v>
      </c>
      <c r="AB214" s="22">
        <v>204</v>
      </c>
      <c r="AC214" s="22">
        <v>0.79162600000000005</v>
      </c>
      <c r="AD214">
        <f t="shared" si="40"/>
        <v>16.852469135802469</v>
      </c>
      <c r="AE214">
        <f t="shared" si="41"/>
        <v>13.361429596913579</v>
      </c>
      <c r="AF214" s="9"/>
      <c r="AG214" s="22">
        <v>0.92727700000000002</v>
      </c>
      <c r="AH214" s="22">
        <v>20.476500000000001</v>
      </c>
      <c r="AI214" s="22">
        <v>-1.36475E-2</v>
      </c>
      <c r="AJ214" s="22">
        <v>204</v>
      </c>
      <c r="AK214" s="22">
        <v>0.92651399999999995</v>
      </c>
      <c r="AL214">
        <f t="shared" si="42"/>
        <v>16.848765432098766</v>
      </c>
      <c r="AM214">
        <f t="shared" si="43"/>
        <v>15.623472663580248</v>
      </c>
      <c r="AP214" s="9"/>
      <c r="AQ214" s="22">
        <v>0.79284699999999997</v>
      </c>
      <c r="AR214" s="22">
        <v>26.040299999999998</v>
      </c>
      <c r="AS214" s="22">
        <v>-1.3681E-2</v>
      </c>
      <c r="AT214" s="22">
        <v>204</v>
      </c>
      <c r="AU214" s="22">
        <v>0.79132100000000005</v>
      </c>
      <c r="AV214">
        <f t="shared" si="44"/>
        <v>16.890123456790121</v>
      </c>
      <c r="AW214">
        <f t="shared" si="45"/>
        <v>13.391283712345677</v>
      </c>
      <c r="AX214" s="9"/>
      <c r="AY214" s="22">
        <v>0.92727700000000002</v>
      </c>
      <c r="AZ214" s="22">
        <v>29.899799999999999</v>
      </c>
      <c r="BA214" s="22">
        <v>-1.36475E-2</v>
      </c>
      <c r="BB214" s="22">
        <v>204</v>
      </c>
      <c r="BC214" s="22">
        <v>0.92681899999999995</v>
      </c>
      <c r="BD214">
        <f t="shared" si="46"/>
        <v>16.848765432098766</v>
      </c>
      <c r="BE214">
        <f t="shared" si="47"/>
        <v>15.623472663580248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0.78781100000000004</v>
      </c>
      <c r="H215" s="22">
        <v>7.2908799999999996</v>
      </c>
      <c r="I215" s="22">
        <v>-1.35773E-2</v>
      </c>
      <c r="J215" s="22">
        <v>205</v>
      </c>
      <c r="K215" s="22">
        <v>0.78674299999999997</v>
      </c>
      <c r="L215">
        <f t="shared" si="36"/>
        <v>16.7620987654321</v>
      </c>
      <c r="M215">
        <f t="shared" si="37"/>
        <v>13.205365790493829</v>
      </c>
      <c r="N215" s="9"/>
      <c r="O215" s="22">
        <v>0.93231200000000003</v>
      </c>
      <c r="P215" s="22">
        <v>11.150399999999999</v>
      </c>
      <c r="Q215" s="22">
        <v>-1.3561999999999999E-2</v>
      </c>
      <c r="R215" s="22">
        <v>205</v>
      </c>
      <c r="S215" s="22">
        <v>0.931396</v>
      </c>
      <c r="T215">
        <f t="shared" si="38"/>
        <v>16.743209876543208</v>
      </c>
      <c r="U215">
        <f t="shared" si="39"/>
        <v>15.609895486419752</v>
      </c>
      <c r="X215" s="9"/>
      <c r="Y215" s="22">
        <v>0.78781100000000004</v>
      </c>
      <c r="Z215" s="22">
        <v>16.627099999999999</v>
      </c>
      <c r="AA215" s="22">
        <v>-1.3665800000000001E-2</v>
      </c>
      <c r="AB215" s="22">
        <v>205</v>
      </c>
      <c r="AC215" s="22">
        <v>0.787354</v>
      </c>
      <c r="AD215">
        <f t="shared" si="40"/>
        <v>16.871358024691357</v>
      </c>
      <c r="AE215">
        <f t="shared" si="41"/>
        <v>13.291441436790123</v>
      </c>
      <c r="AF215" s="9"/>
      <c r="AG215" s="22">
        <v>0.93231200000000003</v>
      </c>
      <c r="AH215" s="22">
        <v>20.486599999999999</v>
      </c>
      <c r="AI215" s="22">
        <v>-1.36414E-2</v>
      </c>
      <c r="AJ215" s="22">
        <v>205</v>
      </c>
      <c r="AK215" s="22">
        <v>0.931091</v>
      </c>
      <c r="AL215">
        <f t="shared" si="42"/>
        <v>16.841234567901232</v>
      </c>
      <c r="AM215">
        <f t="shared" si="43"/>
        <v>15.701285082469134</v>
      </c>
      <c r="AP215" s="9"/>
      <c r="AQ215" s="22">
        <v>0.78781100000000004</v>
      </c>
      <c r="AR215" s="22">
        <v>26.0504</v>
      </c>
      <c r="AS215" s="22">
        <v>-1.3684099999999999E-2</v>
      </c>
      <c r="AT215" s="22">
        <v>205</v>
      </c>
      <c r="AU215" s="22">
        <v>0.78674299999999997</v>
      </c>
      <c r="AV215">
        <f t="shared" si="44"/>
        <v>16.893950617283949</v>
      </c>
      <c r="AW215">
        <f t="shared" si="45"/>
        <v>13.309240129753086</v>
      </c>
      <c r="AX215" s="9"/>
      <c r="AY215" s="22">
        <v>0.93231200000000003</v>
      </c>
      <c r="AZ215" s="22">
        <v>29.909800000000001</v>
      </c>
      <c r="BA215" s="22">
        <v>-1.3638300000000001E-2</v>
      </c>
      <c r="BB215" s="22">
        <v>205</v>
      </c>
      <c r="BC215" s="22">
        <v>0.93170200000000003</v>
      </c>
      <c r="BD215">
        <f t="shared" si="46"/>
        <v>16.837407407407408</v>
      </c>
      <c r="BE215">
        <f t="shared" si="47"/>
        <v>15.697716974814815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0.78277600000000003</v>
      </c>
      <c r="H216" s="22">
        <v>7.3009500000000003</v>
      </c>
      <c r="I216" s="22">
        <v>-1.35803E-2</v>
      </c>
      <c r="J216" s="22">
        <v>206</v>
      </c>
      <c r="K216" s="22">
        <v>0.78186</v>
      </c>
      <c r="L216">
        <f t="shared" si="36"/>
        <v>16.765802469135803</v>
      </c>
      <c r="M216">
        <f t="shared" si="37"/>
        <v>13.123867793580247</v>
      </c>
      <c r="N216" s="9"/>
      <c r="O216" s="22">
        <v>0.93734700000000004</v>
      </c>
      <c r="P216" s="22">
        <v>11.160399999999999</v>
      </c>
      <c r="Q216" s="22">
        <v>-1.3559E-2</v>
      </c>
      <c r="R216" s="22">
        <v>206</v>
      </c>
      <c r="S216" s="22">
        <v>0.93658399999999997</v>
      </c>
      <c r="T216">
        <f t="shared" si="38"/>
        <v>16.739506172839505</v>
      </c>
      <c r="U216">
        <f t="shared" si="39"/>
        <v>15.690725892592592</v>
      </c>
      <c r="X216" s="9"/>
      <c r="Y216" s="22">
        <v>0.78277600000000003</v>
      </c>
      <c r="Z216" s="22">
        <v>16.6372</v>
      </c>
      <c r="AA216" s="22">
        <v>-1.36749E-2</v>
      </c>
      <c r="AB216" s="22">
        <v>206</v>
      </c>
      <c r="AC216" s="22">
        <v>0.78186</v>
      </c>
      <c r="AD216">
        <f t="shared" si="40"/>
        <v>16.882592592592591</v>
      </c>
      <c r="AE216">
        <f t="shared" si="41"/>
        <v>13.215288299259258</v>
      </c>
      <c r="AF216" s="9"/>
      <c r="AG216" s="22">
        <v>0.93734700000000004</v>
      </c>
      <c r="AH216" s="22">
        <v>20.496700000000001</v>
      </c>
      <c r="AI216" s="22">
        <v>-1.362E-2</v>
      </c>
      <c r="AJ216" s="22">
        <v>206</v>
      </c>
      <c r="AK216" s="22">
        <v>0.93627899999999997</v>
      </c>
      <c r="AL216">
        <f t="shared" si="42"/>
        <v>16.814814814814813</v>
      </c>
      <c r="AM216">
        <f t="shared" si="43"/>
        <v>15.761316222222222</v>
      </c>
      <c r="AP216" s="9"/>
      <c r="AQ216" s="22">
        <v>0.78277600000000003</v>
      </c>
      <c r="AR216" s="22">
        <v>26.060400000000001</v>
      </c>
      <c r="AS216" s="22">
        <v>-1.3687100000000001E-2</v>
      </c>
      <c r="AT216" s="22">
        <v>206</v>
      </c>
      <c r="AU216" s="22">
        <v>0.78186</v>
      </c>
      <c r="AV216">
        <f t="shared" si="44"/>
        <v>16.897654320987655</v>
      </c>
      <c r="AW216">
        <f t="shared" si="45"/>
        <v>13.227078258765433</v>
      </c>
      <c r="AX216" s="9"/>
      <c r="AY216" s="22">
        <v>0.93734700000000004</v>
      </c>
      <c r="AZ216" s="22">
        <v>29.919899999999998</v>
      </c>
      <c r="BA216" s="22">
        <v>-1.36261E-2</v>
      </c>
      <c r="BB216" s="22">
        <v>206</v>
      </c>
      <c r="BC216" s="22">
        <v>0.93627899999999997</v>
      </c>
      <c r="BD216">
        <f t="shared" si="46"/>
        <v>16.822345679012344</v>
      </c>
      <c r="BE216">
        <f t="shared" si="47"/>
        <v>15.768375255185184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0.77773999999999999</v>
      </c>
      <c r="H217" s="22">
        <v>7.3110200000000001</v>
      </c>
      <c r="I217" s="22">
        <v>-1.35712E-2</v>
      </c>
      <c r="J217" s="22">
        <v>207</v>
      </c>
      <c r="K217" s="22">
        <v>0.77728299999999995</v>
      </c>
      <c r="L217">
        <f t="shared" si="36"/>
        <v>16.754567901234566</v>
      </c>
      <c r="M217">
        <f t="shared" si="37"/>
        <v>13.030697639506171</v>
      </c>
      <c r="N217" s="9"/>
      <c r="O217" s="22">
        <v>0.94238299999999997</v>
      </c>
      <c r="P217" s="22">
        <v>11.170500000000001</v>
      </c>
      <c r="Q217" s="22">
        <v>-1.3561999999999999E-2</v>
      </c>
      <c r="R217" s="22">
        <v>207</v>
      </c>
      <c r="S217" s="22">
        <v>0.94085700000000005</v>
      </c>
      <c r="T217">
        <f t="shared" si="38"/>
        <v>16.743209876543208</v>
      </c>
      <c r="U217">
        <f t="shared" si="39"/>
        <v>15.778516353086417</v>
      </c>
      <c r="X217" s="9"/>
      <c r="Y217" s="22">
        <v>0.77773999999999999</v>
      </c>
      <c r="Z217" s="22">
        <v>16.647300000000001</v>
      </c>
      <c r="AA217" s="22">
        <v>-1.3681E-2</v>
      </c>
      <c r="AB217" s="22">
        <v>207</v>
      </c>
      <c r="AC217" s="22">
        <v>0.77667200000000003</v>
      </c>
      <c r="AD217">
        <f t="shared" si="40"/>
        <v>16.890123456790121</v>
      </c>
      <c r="AE217">
        <f t="shared" si="41"/>
        <v>13.136124617283949</v>
      </c>
      <c r="AF217" s="9"/>
      <c r="AG217" s="22">
        <v>0.94238299999999997</v>
      </c>
      <c r="AH217" s="22">
        <v>20.506799999999998</v>
      </c>
      <c r="AI217" s="22">
        <v>-1.36078E-2</v>
      </c>
      <c r="AJ217" s="22">
        <v>207</v>
      </c>
      <c r="AK217" s="22">
        <v>0.94146700000000005</v>
      </c>
      <c r="AL217">
        <f t="shared" si="42"/>
        <v>16.799753086419752</v>
      </c>
      <c r="AM217">
        <f t="shared" si="43"/>
        <v>15.831801712839505</v>
      </c>
      <c r="AP217" s="9"/>
      <c r="AQ217" s="22">
        <v>0.77773999999999999</v>
      </c>
      <c r="AR217" s="22">
        <v>26.070499999999999</v>
      </c>
      <c r="AS217" s="22">
        <v>-1.36963E-2</v>
      </c>
      <c r="AT217" s="22">
        <v>207</v>
      </c>
      <c r="AU217" s="22">
        <v>0.77667200000000003</v>
      </c>
      <c r="AV217">
        <f t="shared" si="44"/>
        <v>16.90901234567901</v>
      </c>
      <c r="AW217">
        <f t="shared" si="45"/>
        <v>13.150815261728393</v>
      </c>
      <c r="AX217" s="9"/>
      <c r="AY217" s="22">
        <v>0.94238299999999997</v>
      </c>
      <c r="AZ217" s="22">
        <v>29.93</v>
      </c>
      <c r="BA217" s="22">
        <v>-1.362E-2</v>
      </c>
      <c r="BB217" s="22">
        <v>207</v>
      </c>
      <c r="BC217" s="22">
        <v>0.94177200000000005</v>
      </c>
      <c r="BD217">
        <f t="shared" si="46"/>
        <v>16.814814814814813</v>
      </c>
      <c r="BE217">
        <f t="shared" si="47"/>
        <v>15.845995629629627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0.77270499999999998</v>
      </c>
      <c r="H218" s="22">
        <v>7.3210899999999999</v>
      </c>
      <c r="I218" s="22">
        <v>-1.3561999999999999E-2</v>
      </c>
      <c r="J218" s="22">
        <v>208</v>
      </c>
      <c r="K218" s="22">
        <v>0.77117899999999995</v>
      </c>
      <c r="L218">
        <f t="shared" si="36"/>
        <v>16.743209876543208</v>
      </c>
      <c r="M218">
        <f t="shared" si="37"/>
        <v>12.93756198765432</v>
      </c>
      <c r="N218" s="9"/>
      <c r="O218" s="22">
        <v>0.94741799999999998</v>
      </c>
      <c r="P218" s="22">
        <v>11.1806</v>
      </c>
      <c r="Q218" s="22">
        <v>-1.3559E-2</v>
      </c>
      <c r="R218" s="22">
        <v>208</v>
      </c>
      <c r="S218" s="22">
        <v>0.94635000000000002</v>
      </c>
      <c r="T218">
        <f t="shared" si="38"/>
        <v>16.739506172839505</v>
      </c>
      <c r="U218">
        <f t="shared" si="39"/>
        <v>15.859309459259258</v>
      </c>
      <c r="X218" s="9"/>
      <c r="Y218" s="22">
        <v>0.77270499999999998</v>
      </c>
      <c r="Z218" s="22">
        <v>16.657299999999999</v>
      </c>
      <c r="AA218" s="22">
        <v>-1.3677999999999999E-2</v>
      </c>
      <c r="AB218" s="22">
        <v>208</v>
      </c>
      <c r="AC218" s="22">
        <v>0.77209499999999998</v>
      </c>
      <c r="AD218">
        <f t="shared" si="40"/>
        <v>16.886419753086418</v>
      </c>
      <c r="AE218">
        <f t="shared" si="41"/>
        <v>13.04822097530864</v>
      </c>
      <c r="AF218" s="9"/>
      <c r="AG218" s="22">
        <v>0.94741799999999998</v>
      </c>
      <c r="AH218" s="22">
        <v>20.5168</v>
      </c>
      <c r="AI218" s="22">
        <v>-1.3610799999999999E-2</v>
      </c>
      <c r="AJ218" s="22">
        <v>208</v>
      </c>
      <c r="AK218" s="22">
        <v>0.94635000000000002</v>
      </c>
      <c r="AL218">
        <f t="shared" si="42"/>
        <v>16.803456790123455</v>
      </c>
      <c r="AM218">
        <f t="shared" si="43"/>
        <v>15.919897425185184</v>
      </c>
      <c r="AP218" s="9"/>
      <c r="AQ218" s="22">
        <v>0.77270499999999998</v>
      </c>
      <c r="AR218" s="22">
        <v>26.0806</v>
      </c>
      <c r="AS218" s="22">
        <v>-1.36963E-2</v>
      </c>
      <c r="AT218" s="22">
        <v>208</v>
      </c>
      <c r="AU218" s="22">
        <v>0.77148399999999995</v>
      </c>
      <c r="AV218">
        <f t="shared" si="44"/>
        <v>16.90901234567901</v>
      </c>
      <c r="AW218">
        <f t="shared" si="45"/>
        <v>13.065678384567899</v>
      </c>
      <c r="AX218" s="9"/>
      <c r="AY218" s="22">
        <v>0.94741799999999998</v>
      </c>
      <c r="AZ218" s="22">
        <v>29.940100000000001</v>
      </c>
      <c r="BA218" s="22">
        <v>-1.362E-2</v>
      </c>
      <c r="BB218" s="22">
        <v>208</v>
      </c>
      <c r="BC218" s="22">
        <v>0.94635000000000002</v>
      </c>
      <c r="BD218">
        <f t="shared" si="46"/>
        <v>16.814814814814813</v>
      </c>
      <c r="BE218">
        <f t="shared" si="47"/>
        <v>15.93065822222222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0.76766999999999996</v>
      </c>
      <c r="H219" s="22">
        <v>7.3311599999999997</v>
      </c>
      <c r="I219" s="22">
        <v>-1.35651E-2</v>
      </c>
      <c r="J219" s="22">
        <v>209</v>
      </c>
      <c r="K219" s="22">
        <v>0.76660200000000001</v>
      </c>
      <c r="L219">
        <f t="shared" si="36"/>
        <v>16.747037037037035</v>
      </c>
      <c r="M219">
        <f t="shared" si="37"/>
        <v>12.85619792222222</v>
      </c>
      <c r="N219" s="9"/>
      <c r="O219" s="22">
        <v>0.95245400000000002</v>
      </c>
      <c r="P219" s="22">
        <v>11.1906</v>
      </c>
      <c r="Q219" s="22">
        <v>-1.3559E-2</v>
      </c>
      <c r="R219" s="22">
        <v>209</v>
      </c>
      <c r="S219" s="22">
        <v>0.951233</v>
      </c>
      <c r="T219">
        <f t="shared" si="38"/>
        <v>16.739506172839505</v>
      </c>
      <c r="U219">
        <f t="shared" si="39"/>
        <v>15.943609612345679</v>
      </c>
      <c r="X219" s="9"/>
      <c r="Y219" s="22">
        <v>0.76766999999999996</v>
      </c>
      <c r="Z219" s="22">
        <v>16.667400000000001</v>
      </c>
      <c r="AA219" s="22">
        <v>-1.3681E-2</v>
      </c>
      <c r="AB219" s="22">
        <v>209</v>
      </c>
      <c r="AC219" s="22">
        <v>0.76721200000000001</v>
      </c>
      <c r="AD219">
        <f t="shared" si="40"/>
        <v>16.890123456790121</v>
      </c>
      <c r="AE219">
        <f t="shared" si="41"/>
        <v>12.966041074074072</v>
      </c>
      <c r="AF219" s="9"/>
      <c r="AG219" s="22">
        <v>0.95245400000000002</v>
      </c>
      <c r="AH219" s="22">
        <v>20.526900000000001</v>
      </c>
      <c r="AI219" s="22">
        <v>-1.3604700000000001E-2</v>
      </c>
      <c r="AJ219" s="22">
        <v>209</v>
      </c>
      <c r="AK219" s="22">
        <v>0.95153799999999999</v>
      </c>
      <c r="AL219">
        <f t="shared" si="42"/>
        <v>16.795925925925925</v>
      </c>
      <c r="AM219">
        <f t="shared" si="43"/>
        <v>15.997346831851852</v>
      </c>
      <c r="AP219" s="9"/>
      <c r="AQ219" s="22">
        <v>0.76766999999999996</v>
      </c>
      <c r="AR219" s="22">
        <v>26.090599999999998</v>
      </c>
      <c r="AS219" s="22">
        <v>-1.3699299999999999E-2</v>
      </c>
      <c r="AT219" s="22">
        <v>209</v>
      </c>
      <c r="AU219" s="22">
        <v>0.76660200000000001</v>
      </c>
      <c r="AV219">
        <f t="shared" si="44"/>
        <v>16.912716049382716</v>
      </c>
      <c r="AW219">
        <f t="shared" si="45"/>
        <v>12.983384729629629</v>
      </c>
      <c r="AX219" s="9"/>
      <c r="AY219" s="22">
        <v>0.95245400000000002</v>
      </c>
      <c r="AZ219" s="22">
        <v>29.950099999999999</v>
      </c>
      <c r="BA219" s="22">
        <v>-1.36261E-2</v>
      </c>
      <c r="BB219" s="22">
        <v>209</v>
      </c>
      <c r="BC219" s="22">
        <v>0.951233</v>
      </c>
      <c r="BD219">
        <f t="shared" si="46"/>
        <v>16.822345679012344</v>
      </c>
      <c r="BE219">
        <f t="shared" si="47"/>
        <v>16.022510431358022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0.76263400000000003</v>
      </c>
      <c r="H220" s="22">
        <v>7.3412300000000004</v>
      </c>
      <c r="I220" s="22">
        <v>-1.35742E-2</v>
      </c>
      <c r="J220" s="22">
        <v>210</v>
      </c>
      <c r="K220" s="22">
        <v>0.76202400000000003</v>
      </c>
      <c r="L220">
        <f t="shared" si="36"/>
        <v>16.758271604938273</v>
      </c>
      <c r="M220">
        <f t="shared" si="37"/>
        <v>12.780427707160495</v>
      </c>
      <c r="N220" s="9"/>
      <c r="O220" s="22">
        <v>0.95748900000000003</v>
      </c>
      <c r="P220" s="22">
        <v>11.200699999999999</v>
      </c>
      <c r="Q220" s="22">
        <v>-1.3559E-2</v>
      </c>
      <c r="R220" s="22">
        <v>210</v>
      </c>
      <c r="S220" s="22">
        <v>0.95672599999999997</v>
      </c>
      <c r="T220">
        <f t="shared" si="38"/>
        <v>16.739506172839505</v>
      </c>
      <c r="U220">
        <f t="shared" si="39"/>
        <v>16.027893025925927</v>
      </c>
      <c r="X220" s="9"/>
      <c r="Y220" s="22">
        <v>0.76263400000000003</v>
      </c>
      <c r="Z220" s="22">
        <v>16.677499999999998</v>
      </c>
      <c r="AA220" s="22">
        <v>-1.3681E-2</v>
      </c>
      <c r="AB220" s="22">
        <v>210</v>
      </c>
      <c r="AC220" s="22">
        <v>0.76171900000000003</v>
      </c>
      <c r="AD220">
        <f t="shared" si="40"/>
        <v>16.890123456790121</v>
      </c>
      <c r="AE220">
        <f t="shared" si="41"/>
        <v>12.880982412345677</v>
      </c>
      <c r="AF220" s="9"/>
      <c r="AG220" s="22">
        <v>0.95748900000000003</v>
      </c>
      <c r="AH220" s="22">
        <v>20.536999999999999</v>
      </c>
      <c r="AI220" s="22">
        <v>-1.3595599999999999E-2</v>
      </c>
      <c r="AJ220" s="22">
        <v>210</v>
      </c>
      <c r="AK220" s="22">
        <v>0.95611599999999997</v>
      </c>
      <c r="AL220">
        <f t="shared" si="42"/>
        <v>16.784691358024691</v>
      </c>
      <c r="AM220">
        <f t="shared" si="43"/>
        <v>16.071157343703703</v>
      </c>
      <c r="AP220" s="9"/>
      <c r="AQ220" s="22">
        <v>0.76263400000000003</v>
      </c>
      <c r="AR220" s="22">
        <v>26.1007</v>
      </c>
      <c r="AS220" s="22">
        <v>-1.36963E-2</v>
      </c>
      <c r="AT220" s="22">
        <v>210</v>
      </c>
      <c r="AU220" s="22">
        <v>0.76141400000000004</v>
      </c>
      <c r="AV220">
        <f t="shared" si="44"/>
        <v>16.90901234567901</v>
      </c>
      <c r="AW220">
        <f t="shared" si="45"/>
        <v>12.895387721234567</v>
      </c>
      <c r="AX220" s="9"/>
      <c r="AY220" s="22">
        <v>0.95748900000000003</v>
      </c>
      <c r="AZ220" s="22">
        <v>29.9602</v>
      </c>
      <c r="BA220" s="22">
        <v>-1.3629199999999999E-2</v>
      </c>
      <c r="BB220" s="22">
        <v>210</v>
      </c>
      <c r="BC220" s="22">
        <v>0.95611599999999997</v>
      </c>
      <c r="BD220">
        <f t="shared" si="46"/>
        <v>16.826172839506171</v>
      </c>
      <c r="BE220">
        <f t="shared" si="47"/>
        <v>16.110875405925924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0.75759900000000002</v>
      </c>
      <c r="H221" s="22">
        <v>7.3513099999999998</v>
      </c>
      <c r="I221" s="22">
        <v>-1.35864E-2</v>
      </c>
      <c r="J221" s="22">
        <v>211</v>
      </c>
      <c r="K221" s="22">
        <v>0.75592000000000004</v>
      </c>
      <c r="L221">
        <f t="shared" si="36"/>
        <v>16.77333333333333</v>
      </c>
      <c r="M221">
        <f t="shared" si="37"/>
        <v>12.707460559999998</v>
      </c>
      <c r="N221" s="9"/>
      <c r="O221" s="22">
        <v>0.96252400000000005</v>
      </c>
      <c r="P221" s="22">
        <v>11.210800000000001</v>
      </c>
      <c r="Q221" s="22">
        <v>-1.35651E-2</v>
      </c>
      <c r="R221" s="22">
        <v>211</v>
      </c>
      <c r="S221" s="22">
        <v>0.96130400000000005</v>
      </c>
      <c r="T221">
        <f t="shared" si="38"/>
        <v>16.747037037037035</v>
      </c>
      <c r="U221">
        <f t="shared" si="39"/>
        <v>16.119425077037036</v>
      </c>
      <c r="X221" s="9"/>
      <c r="Y221" s="22">
        <v>0.75759900000000002</v>
      </c>
      <c r="Z221" s="22">
        <v>16.6876</v>
      </c>
      <c r="AA221" s="22">
        <v>-1.3684099999999999E-2</v>
      </c>
      <c r="AB221" s="22">
        <v>211</v>
      </c>
      <c r="AC221" s="22">
        <v>0.75622599999999995</v>
      </c>
      <c r="AD221">
        <f t="shared" si="40"/>
        <v>16.893950617283949</v>
      </c>
      <c r="AE221">
        <f t="shared" si="41"/>
        <v>12.798840093703703</v>
      </c>
      <c r="AF221" s="9"/>
      <c r="AG221" s="22">
        <v>0.96252400000000005</v>
      </c>
      <c r="AH221" s="22">
        <v>20.547000000000001</v>
      </c>
      <c r="AI221" s="22">
        <v>-1.3583400000000001E-2</v>
      </c>
      <c r="AJ221" s="22">
        <v>211</v>
      </c>
      <c r="AK221" s="22">
        <v>0.96130400000000005</v>
      </c>
      <c r="AL221">
        <f t="shared" si="42"/>
        <v>16.76962962962963</v>
      </c>
      <c r="AM221">
        <f t="shared" si="43"/>
        <v>16.141170989629632</v>
      </c>
      <c r="AP221" s="9"/>
      <c r="AQ221" s="22">
        <v>0.75759900000000002</v>
      </c>
      <c r="AR221" s="22">
        <v>26.110800000000001</v>
      </c>
      <c r="AS221" s="22">
        <v>-1.36963E-2</v>
      </c>
      <c r="AT221" s="22">
        <v>211</v>
      </c>
      <c r="AU221" s="22">
        <v>0.75653099999999995</v>
      </c>
      <c r="AV221">
        <f t="shared" si="44"/>
        <v>16.90901234567901</v>
      </c>
      <c r="AW221">
        <f t="shared" si="45"/>
        <v>12.810250844074073</v>
      </c>
      <c r="AX221" s="9"/>
      <c r="AY221" s="22">
        <v>0.96252400000000005</v>
      </c>
      <c r="AZ221" s="22">
        <v>29.970300000000002</v>
      </c>
      <c r="BA221" s="22">
        <v>-1.3629199999999999E-2</v>
      </c>
      <c r="BB221" s="22">
        <v>211</v>
      </c>
      <c r="BC221" s="22">
        <v>0.96130400000000005</v>
      </c>
      <c r="BD221">
        <f t="shared" si="46"/>
        <v>16.826172839506171</v>
      </c>
      <c r="BE221">
        <f t="shared" si="47"/>
        <v>16.195595186172838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0.75256299999999998</v>
      </c>
      <c r="H222" s="22">
        <v>7.3613799999999996</v>
      </c>
      <c r="I222" s="22">
        <v>-1.36017E-2</v>
      </c>
      <c r="J222" s="22">
        <v>212</v>
      </c>
      <c r="K222" s="22">
        <v>0.75134299999999998</v>
      </c>
      <c r="L222">
        <f t="shared" si="36"/>
        <v>16.792222222222222</v>
      </c>
      <c r="M222">
        <f t="shared" si="37"/>
        <v>12.637205132222222</v>
      </c>
      <c r="N222" s="9"/>
      <c r="O222" s="22">
        <v>0.96755999999999998</v>
      </c>
      <c r="P222" s="22">
        <v>11.220800000000001</v>
      </c>
      <c r="Q222" s="22">
        <v>-1.3561999999999999E-2</v>
      </c>
      <c r="R222" s="22">
        <v>212</v>
      </c>
      <c r="S222" s="22">
        <v>0.96649200000000002</v>
      </c>
      <c r="T222">
        <f t="shared" si="38"/>
        <v>16.743209876543208</v>
      </c>
      <c r="U222">
        <f t="shared" si="39"/>
        <v>16.200060148148147</v>
      </c>
      <c r="X222" s="9"/>
      <c r="Y222" s="22">
        <v>0.75256299999999998</v>
      </c>
      <c r="Z222" s="22">
        <v>16.697600000000001</v>
      </c>
      <c r="AA222" s="22">
        <v>-1.36963E-2</v>
      </c>
      <c r="AB222" s="22">
        <v>212</v>
      </c>
      <c r="AC222" s="22">
        <v>0.75225799999999998</v>
      </c>
      <c r="AD222">
        <f t="shared" si="40"/>
        <v>16.90901234567901</v>
      </c>
      <c r="AE222">
        <f t="shared" si="41"/>
        <v>12.725097057901232</v>
      </c>
      <c r="AF222" s="9"/>
      <c r="AG222" s="22">
        <v>0.96755999999999998</v>
      </c>
      <c r="AH222" s="22">
        <v>20.557099999999998</v>
      </c>
      <c r="AI222" s="22">
        <v>-1.35742E-2</v>
      </c>
      <c r="AJ222" s="22">
        <v>212</v>
      </c>
      <c r="AK222" s="22">
        <v>0.96618700000000002</v>
      </c>
      <c r="AL222">
        <f t="shared" si="42"/>
        <v>16.758271604938273</v>
      </c>
      <c r="AM222">
        <f t="shared" si="43"/>
        <v>16.214633274074075</v>
      </c>
      <c r="AP222" s="9"/>
      <c r="AQ222" s="22">
        <v>0.75256299999999998</v>
      </c>
      <c r="AR222" s="22">
        <v>26.120899999999999</v>
      </c>
      <c r="AS222" s="22">
        <v>-1.37085E-2</v>
      </c>
      <c r="AT222" s="22">
        <v>212</v>
      </c>
      <c r="AU222" s="22">
        <v>0.75134299999999998</v>
      </c>
      <c r="AV222">
        <f t="shared" si="44"/>
        <v>16.924074074074074</v>
      </c>
      <c r="AW222">
        <f t="shared" si="45"/>
        <v>12.736431957407406</v>
      </c>
      <c r="AX222" s="9"/>
      <c r="AY222" s="22">
        <v>0.96755999999999998</v>
      </c>
      <c r="AZ222" s="22">
        <v>29.9803</v>
      </c>
      <c r="BA222" s="22">
        <v>-1.3616899999999999E-2</v>
      </c>
      <c r="BB222" s="22">
        <v>212</v>
      </c>
      <c r="BC222" s="22">
        <v>0.96649200000000002</v>
      </c>
      <c r="BD222">
        <f t="shared" si="46"/>
        <v>16.810987654320986</v>
      </c>
      <c r="BE222">
        <f t="shared" si="47"/>
        <v>16.265639214814811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0.74752799999999997</v>
      </c>
      <c r="H223" s="22">
        <v>7.3714500000000003</v>
      </c>
      <c r="I223" s="22">
        <v>-1.3604700000000001E-2</v>
      </c>
      <c r="J223" s="22">
        <v>213</v>
      </c>
      <c r="K223" s="22">
        <v>0.74676500000000001</v>
      </c>
      <c r="L223">
        <f t="shared" si="36"/>
        <v>16.795925925925925</v>
      </c>
      <c r="M223">
        <f t="shared" si="37"/>
        <v>12.555424915555554</v>
      </c>
      <c r="N223" s="9"/>
      <c r="O223" s="22">
        <v>0.97259499999999999</v>
      </c>
      <c r="P223" s="22">
        <v>11.2309</v>
      </c>
      <c r="Q223" s="22">
        <v>-1.3559E-2</v>
      </c>
      <c r="R223" s="22">
        <v>213</v>
      </c>
      <c r="S223" s="22">
        <v>0.97167999999999999</v>
      </c>
      <c r="T223">
        <f t="shared" si="38"/>
        <v>16.739506172839505</v>
      </c>
      <c r="U223">
        <f t="shared" si="39"/>
        <v>16.280760006172837</v>
      </c>
      <c r="X223" s="9"/>
      <c r="Y223" s="22">
        <v>0.74752799999999997</v>
      </c>
      <c r="Z223" s="22">
        <v>16.707699999999999</v>
      </c>
      <c r="AA223" s="22">
        <v>-1.3699299999999999E-2</v>
      </c>
      <c r="AB223" s="22">
        <v>213</v>
      </c>
      <c r="AC223" s="22">
        <v>0.74682599999999999</v>
      </c>
      <c r="AD223">
        <f t="shared" si="40"/>
        <v>16.912716049382716</v>
      </c>
      <c r="AE223">
        <f t="shared" si="41"/>
        <v>12.642728802962962</v>
      </c>
      <c r="AF223" s="9"/>
      <c r="AG223" s="22">
        <v>0.97259499999999999</v>
      </c>
      <c r="AH223" s="22">
        <v>20.5672</v>
      </c>
      <c r="AI223" s="22">
        <v>-1.35742E-2</v>
      </c>
      <c r="AJ223" s="22">
        <v>213</v>
      </c>
      <c r="AK223" s="22">
        <v>0.97106899999999996</v>
      </c>
      <c r="AL223">
        <f t="shared" si="42"/>
        <v>16.758271604938273</v>
      </c>
      <c r="AM223">
        <f t="shared" si="43"/>
        <v>16.299011171604938</v>
      </c>
      <c r="AP223" s="9"/>
      <c r="AQ223" s="22">
        <v>0.74752799999999997</v>
      </c>
      <c r="AR223" s="22">
        <v>26.1309</v>
      </c>
      <c r="AS223" s="22">
        <v>-1.3720700000000001E-2</v>
      </c>
      <c r="AT223" s="22">
        <v>213</v>
      </c>
      <c r="AU223" s="22">
        <v>0.74667399999999995</v>
      </c>
      <c r="AV223">
        <f t="shared" si="44"/>
        <v>16.939135802469135</v>
      </c>
      <c r="AW223">
        <f t="shared" si="45"/>
        <v>12.662478308148147</v>
      </c>
      <c r="AX223" s="9"/>
      <c r="AY223" s="22">
        <v>0.97259499999999999</v>
      </c>
      <c r="AZ223" s="22">
        <v>29.990400000000001</v>
      </c>
      <c r="BA223" s="22">
        <v>-1.36017E-2</v>
      </c>
      <c r="BB223" s="22">
        <v>213</v>
      </c>
      <c r="BC223" s="22">
        <v>0.97106899999999996</v>
      </c>
      <c r="BD223">
        <f t="shared" si="46"/>
        <v>16.792222222222222</v>
      </c>
      <c r="BE223">
        <f t="shared" si="47"/>
        <v>16.332031372222222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0.74249299999999996</v>
      </c>
      <c r="H224" s="22">
        <v>7.3815200000000001</v>
      </c>
      <c r="I224" s="22">
        <v>-1.36078E-2</v>
      </c>
      <c r="J224" s="22">
        <v>214</v>
      </c>
      <c r="K224" s="22">
        <v>0.741699</v>
      </c>
      <c r="L224">
        <f t="shared" si="36"/>
        <v>16.799753086419752</v>
      </c>
      <c r="M224">
        <f t="shared" si="37"/>
        <v>12.47369906839506</v>
      </c>
      <c r="N224" s="9"/>
      <c r="O224" s="22">
        <v>0.97763100000000003</v>
      </c>
      <c r="P224" s="22">
        <v>11.241</v>
      </c>
      <c r="Q224" s="22">
        <v>-1.3555899999999999E-2</v>
      </c>
      <c r="R224" s="22">
        <v>214</v>
      </c>
      <c r="S224" s="22">
        <v>0.97625700000000004</v>
      </c>
      <c r="T224">
        <f t="shared" si="38"/>
        <v>16.735679012345678</v>
      </c>
      <c r="U224">
        <f t="shared" si="39"/>
        <v>16.361318608518516</v>
      </c>
      <c r="X224" s="9"/>
      <c r="Y224" s="22">
        <v>0.74249299999999996</v>
      </c>
      <c r="Z224" s="22">
        <v>16.7178</v>
      </c>
      <c r="AA224" s="22">
        <v>-1.37024E-2</v>
      </c>
      <c r="AB224" s="22">
        <v>214</v>
      </c>
      <c r="AC224" s="22">
        <v>0.74166900000000002</v>
      </c>
      <c r="AD224">
        <f t="shared" si="40"/>
        <v>16.916543209876544</v>
      </c>
      <c r="AE224">
        <f t="shared" si="41"/>
        <v>12.560414917530863</v>
      </c>
      <c r="AF224" s="9"/>
      <c r="AG224" s="22">
        <v>0.97763100000000003</v>
      </c>
      <c r="AH224" s="22">
        <v>20.577200000000001</v>
      </c>
      <c r="AI224" s="22">
        <v>-1.35773E-2</v>
      </c>
      <c r="AJ224" s="22">
        <v>214</v>
      </c>
      <c r="AK224" s="22">
        <v>0.97656299999999996</v>
      </c>
      <c r="AL224">
        <f t="shared" si="42"/>
        <v>16.7620987654321</v>
      </c>
      <c r="AM224">
        <f t="shared" si="43"/>
        <v>16.38714737814815</v>
      </c>
      <c r="AP224" s="9"/>
      <c r="AQ224" s="22">
        <v>0.74249299999999996</v>
      </c>
      <c r="AR224" s="22">
        <v>26.140999999999998</v>
      </c>
      <c r="AS224" s="22">
        <v>-1.3726800000000001E-2</v>
      </c>
      <c r="AT224" s="22">
        <v>214</v>
      </c>
      <c r="AU224" s="22">
        <v>0.741699</v>
      </c>
      <c r="AV224">
        <f t="shared" si="44"/>
        <v>16.946666666666665</v>
      </c>
      <c r="AW224">
        <f t="shared" si="45"/>
        <v>12.582781373333331</v>
      </c>
      <c r="AX224" s="9"/>
      <c r="AY224" s="22">
        <v>0.97763100000000003</v>
      </c>
      <c r="AZ224" s="22">
        <v>30.000499999999999</v>
      </c>
      <c r="BA224" s="22">
        <v>-1.3595599999999999E-2</v>
      </c>
      <c r="BB224" s="22">
        <v>214</v>
      </c>
      <c r="BC224" s="22">
        <v>0.97656299999999996</v>
      </c>
      <c r="BD224">
        <f t="shared" si="46"/>
        <v>16.784691358024691</v>
      </c>
      <c r="BE224">
        <f t="shared" si="47"/>
        <v>16.409234597037038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0.73745700000000003</v>
      </c>
      <c r="H225" s="22">
        <v>7.3915899999999999</v>
      </c>
      <c r="I225" s="22">
        <v>-1.362E-2</v>
      </c>
      <c r="J225" s="22">
        <v>215</v>
      </c>
      <c r="K225" s="22">
        <v>0.73660300000000001</v>
      </c>
      <c r="L225">
        <f t="shared" si="36"/>
        <v>16.814814814814813</v>
      </c>
      <c r="M225">
        <f t="shared" si="37"/>
        <v>12.400202888888888</v>
      </c>
      <c r="N225" s="9"/>
      <c r="O225" s="22">
        <v>0.98266600000000004</v>
      </c>
      <c r="P225" s="22">
        <v>11.251099999999999</v>
      </c>
      <c r="Q225" s="22">
        <v>-1.3546799999999999E-2</v>
      </c>
      <c r="R225" s="22">
        <v>215</v>
      </c>
      <c r="S225" s="22">
        <v>0.98114000000000001</v>
      </c>
      <c r="T225">
        <f t="shared" si="38"/>
        <v>16.72444444444444</v>
      </c>
      <c r="U225">
        <f t="shared" si="39"/>
        <v>16.43454292444444</v>
      </c>
      <c r="X225" s="9"/>
      <c r="Y225" s="22">
        <v>0.73745700000000003</v>
      </c>
      <c r="Z225" s="22">
        <v>16.727799999999998</v>
      </c>
      <c r="AA225" s="22">
        <v>-1.37146E-2</v>
      </c>
      <c r="AB225" s="22">
        <v>215</v>
      </c>
      <c r="AC225" s="22">
        <v>0.73663299999999998</v>
      </c>
      <c r="AD225">
        <f t="shared" si="40"/>
        <v>16.931604938271605</v>
      </c>
      <c r="AE225">
        <f t="shared" si="41"/>
        <v>12.486330582962964</v>
      </c>
      <c r="AF225" s="9"/>
      <c r="AG225" s="22">
        <v>0.98266600000000004</v>
      </c>
      <c r="AH225" s="22">
        <v>20.587299999999999</v>
      </c>
      <c r="AI225" s="22">
        <v>-1.35742E-2</v>
      </c>
      <c r="AJ225" s="22">
        <v>215</v>
      </c>
      <c r="AK225" s="22">
        <v>0.98205600000000004</v>
      </c>
      <c r="AL225">
        <f t="shared" si="42"/>
        <v>16.758271604938273</v>
      </c>
      <c r="AM225">
        <f t="shared" si="43"/>
        <v>16.467783724938272</v>
      </c>
      <c r="AP225" s="9"/>
      <c r="AQ225" s="22">
        <v>0.73745700000000003</v>
      </c>
      <c r="AR225" s="22">
        <v>26.1511</v>
      </c>
      <c r="AS225" s="22">
        <v>-1.3732899999999999E-2</v>
      </c>
      <c r="AT225" s="22">
        <v>215</v>
      </c>
      <c r="AU225" s="22">
        <v>0.73666399999999999</v>
      </c>
      <c r="AV225">
        <f t="shared" si="44"/>
        <v>16.954197530864196</v>
      </c>
      <c r="AW225">
        <f t="shared" si="45"/>
        <v>12.502991648518519</v>
      </c>
      <c r="AX225" s="9"/>
      <c r="AY225" s="22">
        <v>0.98266600000000004</v>
      </c>
      <c r="AZ225" s="22">
        <v>30.0105</v>
      </c>
      <c r="BA225" s="22">
        <v>-1.3583400000000001E-2</v>
      </c>
      <c r="BB225" s="22">
        <v>215</v>
      </c>
      <c r="BC225" s="22">
        <v>0.98175000000000001</v>
      </c>
      <c r="BD225">
        <f t="shared" si="46"/>
        <v>16.76962962962963</v>
      </c>
      <c r="BE225">
        <f t="shared" si="47"/>
        <v>16.478944869629633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0.73242200000000002</v>
      </c>
      <c r="H226" s="22">
        <v>7.4016599999999997</v>
      </c>
      <c r="I226" s="22">
        <v>-1.36261E-2</v>
      </c>
      <c r="J226" s="22">
        <v>216</v>
      </c>
      <c r="K226" s="22">
        <v>0.73159799999999997</v>
      </c>
      <c r="L226">
        <f t="shared" si="36"/>
        <v>16.822345679012344</v>
      </c>
      <c r="M226">
        <f t="shared" si="37"/>
        <v>12.321056066913579</v>
      </c>
      <c r="N226" s="9"/>
      <c r="O226" s="22">
        <v>0.98770100000000005</v>
      </c>
      <c r="P226" s="22">
        <v>11.261100000000001</v>
      </c>
      <c r="Q226" s="22">
        <v>-1.3543700000000001E-2</v>
      </c>
      <c r="R226" s="22">
        <v>216</v>
      </c>
      <c r="S226" s="22">
        <v>0.98663299999999998</v>
      </c>
      <c r="T226">
        <f t="shared" si="38"/>
        <v>16.720617283950617</v>
      </c>
      <c r="U226">
        <f t="shared" si="39"/>
        <v>16.514970411975309</v>
      </c>
      <c r="X226" s="9"/>
      <c r="Y226" s="22">
        <v>0.73242200000000002</v>
      </c>
      <c r="Z226" s="22">
        <v>16.7379</v>
      </c>
      <c r="AA226" s="22">
        <v>-1.3726800000000001E-2</v>
      </c>
      <c r="AB226" s="22">
        <v>216</v>
      </c>
      <c r="AC226" s="22">
        <v>0.73162799999999995</v>
      </c>
      <c r="AD226">
        <f t="shared" si="40"/>
        <v>16.946666666666665</v>
      </c>
      <c r="AE226">
        <f t="shared" si="41"/>
        <v>12.412111493333333</v>
      </c>
      <c r="AF226" s="9"/>
      <c r="AG226" s="22">
        <v>0.98770100000000005</v>
      </c>
      <c r="AH226" s="22">
        <v>20.5974</v>
      </c>
      <c r="AI226" s="22">
        <v>-1.35803E-2</v>
      </c>
      <c r="AJ226" s="22">
        <v>216</v>
      </c>
      <c r="AK226" s="22">
        <v>0.98663299999999998</v>
      </c>
      <c r="AL226">
        <f t="shared" si="42"/>
        <v>16.765802469135803</v>
      </c>
      <c r="AM226">
        <f t="shared" si="43"/>
        <v>16.559599864567904</v>
      </c>
      <c r="AP226" s="9"/>
      <c r="AQ226" s="22">
        <v>0.73242200000000002</v>
      </c>
      <c r="AR226" s="22">
        <v>26.161100000000001</v>
      </c>
      <c r="AS226" s="22">
        <v>-1.3736E-2</v>
      </c>
      <c r="AT226" s="22">
        <v>216</v>
      </c>
      <c r="AU226" s="22">
        <v>0.73159799999999997</v>
      </c>
      <c r="AV226">
        <f t="shared" si="44"/>
        <v>16.958024691358023</v>
      </c>
      <c r="AW226">
        <f t="shared" si="45"/>
        <v>12.420430360493826</v>
      </c>
      <c r="AX226" s="9"/>
      <c r="AY226" s="22">
        <v>0.98770100000000005</v>
      </c>
      <c r="AZ226" s="22">
        <v>30.020600000000002</v>
      </c>
      <c r="BA226" s="22">
        <v>-1.35742E-2</v>
      </c>
      <c r="BB226" s="22">
        <v>216</v>
      </c>
      <c r="BC226" s="22">
        <v>0.98632799999999998</v>
      </c>
      <c r="BD226">
        <f t="shared" si="46"/>
        <v>16.758271604938273</v>
      </c>
      <c r="BE226">
        <f t="shared" si="47"/>
        <v>16.552161622469139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0.72738599999999998</v>
      </c>
      <c r="H227" s="22">
        <v>7.4117300000000004</v>
      </c>
      <c r="I227" s="22">
        <v>-1.3632200000000001E-2</v>
      </c>
      <c r="J227" s="22">
        <v>217</v>
      </c>
      <c r="K227" s="22">
        <v>0.72656299999999996</v>
      </c>
      <c r="L227">
        <f t="shared" si="36"/>
        <v>16.829876543209878</v>
      </c>
      <c r="M227">
        <f t="shared" si="37"/>
        <v>12.241816579259259</v>
      </c>
      <c r="N227" s="9"/>
      <c r="O227" s="22">
        <v>0.99273699999999998</v>
      </c>
      <c r="P227" s="22">
        <v>11.2712</v>
      </c>
      <c r="Q227" s="22">
        <v>-1.35376E-2</v>
      </c>
      <c r="R227" s="22">
        <v>217</v>
      </c>
      <c r="S227" s="22">
        <v>0.99121099999999995</v>
      </c>
      <c r="T227">
        <f t="shared" si="38"/>
        <v>16.713086419753086</v>
      </c>
      <c r="U227">
        <f t="shared" si="39"/>
        <v>16.591699273086419</v>
      </c>
      <c r="X227" s="9"/>
      <c r="Y227" s="22">
        <v>0.72738599999999998</v>
      </c>
      <c r="Z227" s="22">
        <v>16.748000000000001</v>
      </c>
      <c r="AA227" s="22">
        <v>-1.3736E-2</v>
      </c>
      <c r="AB227" s="22">
        <v>217</v>
      </c>
      <c r="AC227" s="22">
        <v>0.72662400000000005</v>
      </c>
      <c r="AD227">
        <f t="shared" si="40"/>
        <v>16.958024691358023</v>
      </c>
      <c r="AE227">
        <f t="shared" si="41"/>
        <v>12.335029748148147</v>
      </c>
      <c r="AF227" s="9"/>
      <c r="AG227" s="22">
        <v>0.99273699999999998</v>
      </c>
      <c r="AH227" s="22">
        <v>20.607500000000002</v>
      </c>
      <c r="AI227" s="22">
        <v>-1.35773E-2</v>
      </c>
      <c r="AJ227" s="22">
        <v>217</v>
      </c>
      <c r="AK227" s="22">
        <v>0.99182099999999995</v>
      </c>
      <c r="AL227">
        <f t="shared" si="42"/>
        <v>16.7620987654321</v>
      </c>
      <c r="AM227">
        <f t="shared" si="43"/>
        <v>16.640355642098765</v>
      </c>
      <c r="AP227" s="9"/>
      <c r="AQ227" s="22">
        <v>0.72738599999999998</v>
      </c>
      <c r="AR227" s="22">
        <v>26.171199999999999</v>
      </c>
      <c r="AS227" s="22">
        <v>-1.37238E-2</v>
      </c>
      <c r="AT227" s="22">
        <v>217</v>
      </c>
      <c r="AU227" s="22">
        <v>0.72653199999999996</v>
      </c>
      <c r="AV227">
        <f t="shared" si="44"/>
        <v>16.942962962962962</v>
      </c>
      <c r="AW227">
        <f t="shared" si="45"/>
        <v>12.324074057777777</v>
      </c>
      <c r="AX227" s="9"/>
      <c r="AY227" s="22">
        <v>0.99273699999999998</v>
      </c>
      <c r="AZ227" s="22">
        <v>30.0307</v>
      </c>
      <c r="BA227" s="22">
        <v>-1.3583400000000001E-2</v>
      </c>
      <c r="BB227" s="22">
        <v>217</v>
      </c>
      <c r="BC227" s="22">
        <v>0.99182099999999995</v>
      </c>
      <c r="BD227">
        <f t="shared" si="46"/>
        <v>16.76962962962963</v>
      </c>
      <c r="BE227">
        <f t="shared" si="47"/>
        <v>16.647831809629629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0.72235099999999997</v>
      </c>
      <c r="H228" s="22">
        <v>7.4218000000000002</v>
      </c>
      <c r="I228" s="22">
        <v>-1.36353E-2</v>
      </c>
      <c r="J228" s="22">
        <v>218</v>
      </c>
      <c r="K228" s="22">
        <v>0.72155800000000003</v>
      </c>
      <c r="L228">
        <f t="shared" si="36"/>
        <v>16.833703703703701</v>
      </c>
      <c r="M228">
        <f t="shared" si="37"/>
        <v>12.159842704074071</v>
      </c>
      <c r="N228" s="9"/>
      <c r="O228" s="22">
        <v>0.99777199999999999</v>
      </c>
      <c r="P228" s="22">
        <v>11.2813</v>
      </c>
      <c r="Q228" s="22">
        <v>-1.3528399999999999E-2</v>
      </c>
      <c r="R228" s="22">
        <v>218</v>
      </c>
      <c r="S228" s="22">
        <v>0.99670400000000003</v>
      </c>
      <c r="T228">
        <f t="shared" si="38"/>
        <v>16.701728395061725</v>
      </c>
      <c r="U228">
        <f t="shared" si="39"/>
        <v>16.664516944197526</v>
      </c>
      <c r="X228" s="9"/>
      <c r="Y228" s="22">
        <v>0.72235099999999997</v>
      </c>
      <c r="Z228" s="22">
        <v>16.758099999999999</v>
      </c>
      <c r="AA228" s="22">
        <v>-1.3736E-2</v>
      </c>
      <c r="AB228" s="22">
        <v>218</v>
      </c>
      <c r="AC228" s="22">
        <v>0.72155800000000003</v>
      </c>
      <c r="AD228">
        <f t="shared" si="40"/>
        <v>16.958024691358023</v>
      </c>
      <c r="AE228">
        <f t="shared" si="41"/>
        <v>12.24964609382716</v>
      </c>
      <c r="AF228" s="9"/>
      <c r="AG228" s="22">
        <v>0.99777199999999999</v>
      </c>
      <c r="AH228" s="22">
        <v>20.6175</v>
      </c>
      <c r="AI228" s="22">
        <v>-1.35681E-2</v>
      </c>
      <c r="AJ228" s="22">
        <v>218</v>
      </c>
      <c r="AK228" s="22">
        <v>0.99639900000000003</v>
      </c>
      <c r="AL228">
        <f t="shared" si="42"/>
        <v>16.750740740740738</v>
      </c>
      <c r="AM228">
        <f t="shared" si="43"/>
        <v>16.713420090370366</v>
      </c>
      <c r="AP228" s="9"/>
      <c r="AQ228" s="22">
        <v>0.72235099999999997</v>
      </c>
      <c r="AR228" s="22">
        <v>26.1813</v>
      </c>
      <c r="AS228" s="22">
        <v>-1.37146E-2</v>
      </c>
      <c r="AT228" s="22">
        <v>218</v>
      </c>
      <c r="AU228" s="22">
        <v>0.72149700000000005</v>
      </c>
      <c r="AV228">
        <f t="shared" si="44"/>
        <v>16.931604938271605</v>
      </c>
      <c r="AW228">
        <f t="shared" si="45"/>
        <v>12.230561758765431</v>
      </c>
      <c r="AX228" s="9"/>
      <c r="AY228" s="22">
        <v>0.99777199999999999</v>
      </c>
      <c r="AZ228" s="22">
        <v>30.040800000000001</v>
      </c>
      <c r="BA228" s="22">
        <v>-1.3595599999999999E-2</v>
      </c>
      <c r="BB228" s="22">
        <v>218</v>
      </c>
      <c r="BC228" s="22">
        <v>0.99639900000000003</v>
      </c>
      <c r="BD228">
        <f t="shared" si="46"/>
        <v>16.784691358024691</v>
      </c>
      <c r="BE228">
        <f t="shared" si="47"/>
        <v>16.747295065679012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0.71731599999999995</v>
      </c>
      <c r="H229" s="22">
        <v>7.43187</v>
      </c>
      <c r="I229" s="22">
        <v>-1.36353E-2</v>
      </c>
      <c r="J229" s="22">
        <v>219</v>
      </c>
      <c r="K229" s="22">
        <v>0.716553</v>
      </c>
      <c r="L229">
        <f t="shared" si="36"/>
        <v>16.833703703703701</v>
      </c>
      <c r="M229">
        <f t="shared" si="37"/>
        <v>12.075085005925924</v>
      </c>
      <c r="N229" s="9"/>
      <c r="O229" s="22">
        <v>1.00281</v>
      </c>
      <c r="P229" s="22">
        <v>11.2913</v>
      </c>
      <c r="Q229" s="22">
        <v>-1.35254E-2</v>
      </c>
      <c r="R229" s="22">
        <v>219</v>
      </c>
      <c r="S229" s="22">
        <v>1.0018899999999999</v>
      </c>
      <c r="T229">
        <f t="shared" si="38"/>
        <v>16.698024691358025</v>
      </c>
      <c r="U229">
        <f t="shared" si="39"/>
        <v>16.744946140740741</v>
      </c>
      <c r="X229" s="9"/>
      <c r="Y229" s="22">
        <v>0.71731599999999995</v>
      </c>
      <c r="Z229" s="22">
        <v>16.7681</v>
      </c>
      <c r="AA229" s="22">
        <v>-1.3732899999999999E-2</v>
      </c>
      <c r="AB229" s="22">
        <v>219</v>
      </c>
      <c r="AC229" s="22">
        <v>0.71658299999999997</v>
      </c>
      <c r="AD229">
        <f t="shared" si="40"/>
        <v>16.954197530864196</v>
      </c>
      <c r="AE229">
        <f t="shared" si="41"/>
        <v>12.161517156049381</v>
      </c>
      <c r="AF229" s="9"/>
      <c r="AG229" s="22">
        <v>1.00281</v>
      </c>
      <c r="AH229" s="22">
        <v>20.627600000000001</v>
      </c>
      <c r="AI229" s="22">
        <v>-1.35651E-2</v>
      </c>
      <c r="AJ229" s="22">
        <v>219</v>
      </c>
      <c r="AK229" s="22">
        <v>1.0018899999999999</v>
      </c>
      <c r="AL229">
        <f t="shared" si="42"/>
        <v>16.747037037037035</v>
      </c>
      <c r="AM229">
        <f t="shared" si="43"/>
        <v>16.794096211111111</v>
      </c>
      <c r="AP229" s="9"/>
      <c r="AQ229" s="22">
        <v>0.71731599999999995</v>
      </c>
      <c r="AR229" s="22">
        <v>26.191400000000002</v>
      </c>
      <c r="AS229" s="22">
        <v>-1.37146E-2</v>
      </c>
      <c r="AT229" s="22">
        <v>219</v>
      </c>
      <c r="AU229" s="22">
        <v>0.716553</v>
      </c>
      <c r="AV229">
        <f t="shared" si="44"/>
        <v>16.931604938271605</v>
      </c>
      <c r="AW229">
        <f t="shared" si="45"/>
        <v>12.145311127901234</v>
      </c>
      <c r="AX229" s="9"/>
      <c r="AY229" s="22">
        <v>1.00281</v>
      </c>
      <c r="AZ229" s="22">
        <v>30.050799999999999</v>
      </c>
      <c r="BA229" s="22">
        <v>-1.36017E-2</v>
      </c>
      <c r="BB229" s="22">
        <v>219</v>
      </c>
      <c r="BC229" s="22">
        <v>1.0018899999999999</v>
      </c>
      <c r="BD229">
        <f t="shared" si="46"/>
        <v>16.792222222222222</v>
      </c>
      <c r="BE229">
        <f t="shared" si="47"/>
        <v>16.839408366666667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0.71228000000000002</v>
      </c>
      <c r="H230" s="22">
        <v>7.4419399999999998</v>
      </c>
      <c r="I230" s="22">
        <v>-1.36475E-2</v>
      </c>
      <c r="J230" s="22">
        <v>220</v>
      </c>
      <c r="K230" s="22">
        <v>0.71148699999999998</v>
      </c>
      <c r="L230">
        <f t="shared" si="36"/>
        <v>16.848765432098766</v>
      </c>
      <c r="M230">
        <f t="shared" si="37"/>
        <v>12.00103864197531</v>
      </c>
      <c r="N230" s="9"/>
      <c r="O230" s="22">
        <v>1.0078400000000001</v>
      </c>
      <c r="P230" s="22">
        <v>11.301399999999999</v>
      </c>
      <c r="Q230" s="22">
        <v>-1.3522299999999999E-2</v>
      </c>
      <c r="R230" s="22">
        <v>220</v>
      </c>
      <c r="S230" s="22">
        <v>1.0067699999999999</v>
      </c>
      <c r="T230">
        <f t="shared" si="38"/>
        <v>16.694197530864194</v>
      </c>
      <c r="U230">
        <f t="shared" si="39"/>
        <v>16.825080039506172</v>
      </c>
      <c r="X230" s="9"/>
      <c r="Y230" s="22">
        <v>0.71228000000000002</v>
      </c>
      <c r="Z230" s="22">
        <v>16.778199999999998</v>
      </c>
      <c r="AA230" s="22">
        <v>-1.3720700000000001E-2</v>
      </c>
      <c r="AB230" s="22">
        <v>220</v>
      </c>
      <c r="AC230" s="22">
        <v>0.71145599999999998</v>
      </c>
      <c r="AD230">
        <f t="shared" si="40"/>
        <v>16.939135802469135</v>
      </c>
      <c r="AE230">
        <f t="shared" si="41"/>
        <v>12.065407649382715</v>
      </c>
      <c r="AF230" s="9"/>
      <c r="AG230" s="22">
        <v>1.0078400000000001</v>
      </c>
      <c r="AH230" s="22">
        <v>20.637699999999999</v>
      </c>
      <c r="AI230" s="22">
        <v>-1.35681E-2</v>
      </c>
      <c r="AJ230" s="22">
        <v>220</v>
      </c>
      <c r="AK230" s="22">
        <v>1.0067699999999999</v>
      </c>
      <c r="AL230">
        <f t="shared" si="42"/>
        <v>16.750740740740738</v>
      </c>
      <c r="AM230">
        <f t="shared" si="43"/>
        <v>16.882066548148146</v>
      </c>
      <c r="AP230" s="9"/>
      <c r="AQ230" s="22">
        <v>0.71228000000000002</v>
      </c>
      <c r="AR230" s="22">
        <v>26.2014</v>
      </c>
      <c r="AS230" s="22">
        <v>-1.37085E-2</v>
      </c>
      <c r="AT230" s="22">
        <v>220</v>
      </c>
      <c r="AU230" s="22">
        <v>0.711426</v>
      </c>
      <c r="AV230">
        <f t="shared" si="44"/>
        <v>16.924074074074074</v>
      </c>
      <c r="AW230">
        <f t="shared" si="45"/>
        <v>12.054679481481482</v>
      </c>
      <c r="AX230" s="9"/>
      <c r="AY230" s="22">
        <v>1.0078400000000001</v>
      </c>
      <c r="AZ230" s="22">
        <v>30.0609</v>
      </c>
      <c r="BA230" s="22">
        <v>-1.3595599999999999E-2</v>
      </c>
      <c r="BB230" s="22">
        <v>220</v>
      </c>
      <c r="BC230" s="22">
        <v>1.00647</v>
      </c>
      <c r="BD230">
        <f t="shared" si="46"/>
        <v>16.784691358024691</v>
      </c>
      <c r="BE230">
        <f t="shared" si="47"/>
        <v>16.916283338271604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0.70724500000000001</v>
      </c>
      <c r="H231" s="22">
        <v>7.4520200000000001</v>
      </c>
      <c r="I231" s="22">
        <v>-1.36536E-2</v>
      </c>
      <c r="J231" s="22">
        <v>221</v>
      </c>
      <c r="K231" s="22">
        <v>0.70651200000000003</v>
      </c>
      <c r="L231">
        <f t="shared" si="36"/>
        <v>16.856296296296296</v>
      </c>
      <c r="M231">
        <f t="shared" si="37"/>
        <v>11.921531274074074</v>
      </c>
      <c r="N231" s="9"/>
      <c r="O231" s="22">
        <v>1.01288</v>
      </c>
      <c r="P231" s="22">
        <v>11.311500000000001</v>
      </c>
      <c r="Q231" s="22">
        <v>-1.35254E-2</v>
      </c>
      <c r="R231" s="22">
        <v>221</v>
      </c>
      <c r="S231" s="22">
        <v>1.01135</v>
      </c>
      <c r="T231">
        <f t="shared" si="38"/>
        <v>16.698024691358025</v>
      </c>
      <c r="U231">
        <f t="shared" si="39"/>
        <v>16.913095249382717</v>
      </c>
      <c r="X231" s="9"/>
      <c r="Y231" s="22">
        <v>0.70724500000000001</v>
      </c>
      <c r="Z231" s="22">
        <v>16.7883</v>
      </c>
      <c r="AA231" s="22">
        <v>-1.37238E-2</v>
      </c>
      <c r="AB231" s="22">
        <v>221</v>
      </c>
      <c r="AC231" s="22">
        <v>0.70638999999999996</v>
      </c>
      <c r="AD231">
        <f t="shared" si="40"/>
        <v>16.942962962962962</v>
      </c>
      <c r="AE231">
        <f t="shared" si="41"/>
        <v>11.982825840740741</v>
      </c>
      <c r="AF231" s="9"/>
      <c r="AG231" s="22">
        <v>1.01288</v>
      </c>
      <c r="AH231" s="22">
        <v>20.6477</v>
      </c>
      <c r="AI231" s="22">
        <v>-1.35651E-2</v>
      </c>
      <c r="AJ231" s="22">
        <v>221</v>
      </c>
      <c r="AK231" s="22">
        <v>1.01196</v>
      </c>
      <c r="AL231">
        <f t="shared" si="42"/>
        <v>16.747037037037035</v>
      </c>
      <c r="AM231">
        <f t="shared" si="43"/>
        <v>16.962738874074073</v>
      </c>
      <c r="AP231" s="9"/>
      <c r="AQ231" s="22">
        <v>0.70724500000000001</v>
      </c>
      <c r="AR231" s="22">
        <v>26.211500000000001</v>
      </c>
      <c r="AS231" s="22">
        <v>-1.37085E-2</v>
      </c>
      <c r="AT231" s="22">
        <v>221</v>
      </c>
      <c r="AU231" s="22">
        <v>0.70648200000000005</v>
      </c>
      <c r="AV231">
        <f t="shared" si="44"/>
        <v>16.924074074074074</v>
      </c>
      <c r="AW231">
        <f t="shared" si="45"/>
        <v>11.969466768518519</v>
      </c>
      <c r="AX231" s="9"/>
      <c r="AY231" s="22">
        <v>1.01288</v>
      </c>
      <c r="AZ231" s="22">
        <v>30.071000000000002</v>
      </c>
      <c r="BA231" s="22">
        <v>-1.3589499999999999E-2</v>
      </c>
      <c r="BB231" s="22">
        <v>221</v>
      </c>
      <c r="BC231" s="22">
        <v>1.01105</v>
      </c>
      <c r="BD231">
        <f t="shared" si="46"/>
        <v>16.777160493827161</v>
      </c>
      <c r="BE231">
        <f t="shared" si="47"/>
        <v>16.993250320987656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0.70220899999999997</v>
      </c>
      <c r="H232" s="22">
        <v>7.4620899999999999</v>
      </c>
      <c r="I232" s="22">
        <v>-1.36597E-2</v>
      </c>
      <c r="J232" s="22">
        <v>222</v>
      </c>
      <c r="K232" s="22">
        <v>0.70135499999999995</v>
      </c>
      <c r="L232">
        <f t="shared" si="36"/>
        <v>16.863827160493827</v>
      </c>
      <c r="M232">
        <f t="shared" si="37"/>
        <v>11.84193120654321</v>
      </c>
      <c r="N232" s="9"/>
      <c r="O232" s="22">
        <v>1.0179100000000001</v>
      </c>
      <c r="P232" s="22">
        <v>11.3216</v>
      </c>
      <c r="Q232" s="22">
        <v>-1.3510100000000001E-2</v>
      </c>
      <c r="R232" s="22">
        <v>222</v>
      </c>
      <c r="S232" s="22">
        <v>1.01685</v>
      </c>
      <c r="T232">
        <f t="shared" si="38"/>
        <v>16.679135802469133</v>
      </c>
      <c r="U232">
        <f t="shared" si="39"/>
        <v>16.977859124691356</v>
      </c>
      <c r="X232" s="9"/>
      <c r="Y232" s="22">
        <v>0.70220899999999997</v>
      </c>
      <c r="Z232" s="22">
        <v>16.798300000000001</v>
      </c>
      <c r="AA232" s="22">
        <v>-1.37238E-2</v>
      </c>
      <c r="AB232" s="22">
        <v>222</v>
      </c>
      <c r="AC232" s="22">
        <v>0.70132399999999995</v>
      </c>
      <c r="AD232">
        <f t="shared" si="40"/>
        <v>16.942962962962962</v>
      </c>
      <c r="AE232">
        <f t="shared" si="41"/>
        <v>11.897501079259259</v>
      </c>
      <c r="AF232" s="9"/>
      <c r="AG232" s="22">
        <v>1.0179100000000001</v>
      </c>
      <c r="AH232" s="22">
        <v>20.657800000000002</v>
      </c>
      <c r="AI232" s="22">
        <v>-1.3555899999999999E-2</v>
      </c>
      <c r="AJ232" s="22">
        <v>222</v>
      </c>
      <c r="AK232" s="22">
        <v>1.01715</v>
      </c>
      <c r="AL232">
        <f t="shared" si="42"/>
        <v>16.735679012345678</v>
      </c>
      <c r="AM232">
        <f t="shared" si="43"/>
        <v>17.035415023456789</v>
      </c>
      <c r="AP232" s="9"/>
      <c r="AQ232" s="22">
        <v>0.70220899999999997</v>
      </c>
      <c r="AR232" s="22">
        <v>26.221599999999999</v>
      </c>
      <c r="AS232" s="22">
        <v>-1.37085E-2</v>
      </c>
      <c r="AT232" s="22">
        <v>222</v>
      </c>
      <c r="AU232" s="22">
        <v>0.70135499999999995</v>
      </c>
      <c r="AV232">
        <f t="shared" si="44"/>
        <v>16.924074074074074</v>
      </c>
      <c r="AW232">
        <f t="shared" si="45"/>
        <v>11.884237131481481</v>
      </c>
      <c r="AX232" s="9"/>
      <c r="AY232" s="22">
        <v>1.0179100000000001</v>
      </c>
      <c r="AZ232" s="22">
        <v>30.081</v>
      </c>
      <c r="BA232" s="22">
        <v>-1.35925E-2</v>
      </c>
      <c r="BB232" s="22">
        <v>222</v>
      </c>
      <c r="BC232" s="22">
        <v>1.01685</v>
      </c>
      <c r="BD232">
        <f t="shared" si="46"/>
        <v>16.780864197530864</v>
      </c>
      <c r="BE232">
        <f t="shared" si="47"/>
        <v>17.081409475308643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0.69717399999999996</v>
      </c>
      <c r="H233" s="22">
        <v>7.4721599999999997</v>
      </c>
      <c r="I233" s="22">
        <v>-1.36566E-2</v>
      </c>
      <c r="J233" s="22">
        <v>223</v>
      </c>
      <c r="K233" s="22">
        <v>0.69635000000000002</v>
      </c>
      <c r="L233">
        <f t="shared" si="36"/>
        <v>16.86</v>
      </c>
      <c r="M233">
        <f t="shared" si="37"/>
        <v>11.75435364</v>
      </c>
      <c r="N233" s="9"/>
      <c r="O233" s="22">
        <v>1.02295</v>
      </c>
      <c r="P233" s="22">
        <v>11.3316</v>
      </c>
      <c r="Q233" s="22">
        <v>-1.34979E-2</v>
      </c>
      <c r="R233" s="22">
        <v>223</v>
      </c>
      <c r="S233" s="22">
        <v>1.02142</v>
      </c>
      <c r="T233">
        <f t="shared" si="38"/>
        <v>16.664074074074072</v>
      </c>
      <c r="U233">
        <f t="shared" si="39"/>
        <v>17.046514574074074</v>
      </c>
      <c r="X233" s="9"/>
      <c r="Y233" s="22">
        <v>0.69717399999999996</v>
      </c>
      <c r="Z233" s="22">
        <v>16.808399999999999</v>
      </c>
      <c r="AA233" s="22">
        <v>-1.3720700000000001E-2</v>
      </c>
      <c r="AB233" s="22">
        <v>223</v>
      </c>
      <c r="AC233" s="22">
        <v>0.696411</v>
      </c>
      <c r="AD233">
        <f t="shared" si="40"/>
        <v>16.939135802469135</v>
      </c>
      <c r="AE233">
        <f t="shared" si="41"/>
        <v>11.809525063950616</v>
      </c>
      <c r="AF233" s="9"/>
      <c r="AG233" s="22">
        <v>1.02295</v>
      </c>
      <c r="AH233" s="22">
        <v>20.667899999999999</v>
      </c>
      <c r="AI233" s="22">
        <v>-1.3543700000000001E-2</v>
      </c>
      <c r="AJ233" s="22">
        <v>223</v>
      </c>
      <c r="AK233" s="22">
        <v>1.02142</v>
      </c>
      <c r="AL233">
        <f t="shared" si="42"/>
        <v>16.720617283950617</v>
      </c>
      <c r="AM233">
        <f t="shared" si="43"/>
        <v>17.104355450617284</v>
      </c>
      <c r="AP233" s="9"/>
      <c r="AQ233" s="22">
        <v>0.69717399999999996</v>
      </c>
      <c r="AR233" s="22">
        <v>26.2316</v>
      </c>
      <c r="AS233" s="22">
        <v>-1.37115E-2</v>
      </c>
      <c r="AT233" s="22">
        <v>223</v>
      </c>
      <c r="AU233" s="22">
        <v>0.69635000000000002</v>
      </c>
      <c r="AV233">
        <f t="shared" si="44"/>
        <v>16.927777777777777</v>
      </c>
      <c r="AW233">
        <f t="shared" si="45"/>
        <v>11.801606544444443</v>
      </c>
      <c r="AX233" s="9"/>
      <c r="AY233" s="22">
        <v>1.02295</v>
      </c>
      <c r="AZ233" s="22">
        <v>30.091100000000001</v>
      </c>
      <c r="BA233" s="22">
        <v>-1.35925E-2</v>
      </c>
      <c r="BB233" s="22">
        <v>223</v>
      </c>
      <c r="BC233" s="22">
        <v>1.02142</v>
      </c>
      <c r="BD233">
        <f t="shared" si="46"/>
        <v>16.780864197530864</v>
      </c>
      <c r="BE233">
        <f t="shared" si="47"/>
        <v>17.165985030864199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0.69213899999999995</v>
      </c>
      <c r="H234" s="22">
        <v>7.4822300000000004</v>
      </c>
      <c r="I234" s="22">
        <v>-1.36566E-2</v>
      </c>
      <c r="J234" s="22">
        <v>224</v>
      </c>
      <c r="K234" s="22">
        <v>0.69131500000000001</v>
      </c>
      <c r="L234">
        <f t="shared" si="36"/>
        <v>16.86</v>
      </c>
      <c r="M234">
        <f t="shared" si="37"/>
        <v>11.669463539999999</v>
      </c>
      <c r="N234" s="9"/>
      <c r="O234" s="22">
        <v>1.0279799999999999</v>
      </c>
      <c r="P234" s="22">
        <v>11.341699999999999</v>
      </c>
      <c r="Q234" s="22">
        <v>-1.34918E-2</v>
      </c>
      <c r="R234" s="22">
        <v>224</v>
      </c>
      <c r="S234" s="22">
        <v>1.02661</v>
      </c>
      <c r="T234">
        <f t="shared" si="38"/>
        <v>16.656543209876542</v>
      </c>
      <c r="U234">
        <f t="shared" si="39"/>
        <v>17.122593288888886</v>
      </c>
      <c r="X234" s="9"/>
      <c r="Y234" s="22">
        <v>0.69213899999999995</v>
      </c>
      <c r="Z234" s="22">
        <v>16.8185</v>
      </c>
      <c r="AA234" s="22">
        <v>-1.3717699999999999E-2</v>
      </c>
      <c r="AB234" s="22">
        <v>224</v>
      </c>
      <c r="AC234" s="22">
        <v>0.69137599999999999</v>
      </c>
      <c r="AD234">
        <f t="shared" si="40"/>
        <v>16.935432098765432</v>
      </c>
      <c r="AE234">
        <f t="shared" si="41"/>
        <v>11.721673037407406</v>
      </c>
      <c r="AF234" s="9"/>
      <c r="AG234" s="22">
        <v>1.0279799999999999</v>
      </c>
      <c r="AH234" s="22">
        <v>20.678000000000001</v>
      </c>
      <c r="AI234" s="22">
        <v>-1.35345E-2</v>
      </c>
      <c r="AJ234" s="22">
        <v>224</v>
      </c>
      <c r="AK234" s="22">
        <v>1.0269200000000001</v>
      </c>
      <c r="AL234">
        <f t="shared" si="42"/>
        <v>16.709259259259255</v>
      </c>
      <c r="AM234">
        <f t="shared" si="43"/>
        <v>17.176784333333327</v>
      </c>
      <c r="AP234" s="9"/>
      <c r="AQ234" s="22">
        <v>0.69213899999999995</v>
      </c>
      <c r="AR234" s="22">
        <v>26.241700000000002</v>
      </c>
      <c r="AS234" s="22">
        <v>-1.3720700000000001E-2</v>
      </c>
      <c r="AT234" s="22">
        <v>224</v>
      </c>
      <c r="AU234" s="22">
        <v>0.69128400000000001</v>
      </c>
      <c r="AV234">
        <f t="shared" si="44"/>
        <v>16.939135802469135</v>
      </c>
      <c r="AW234">
        <f t="shared" si="45"/>
        <v>11.724236515185185</v>
      </c>
      <c r="AX234" s="9"/>
      <c r="AY234" s="22">
        <v>1.0279799999999999</v>
      </c>
      <c r="AZ234" s="22">
        <v>30.101199999999999</v>
      </c>
      <c r="BA234" s="22">
        <v>-1.3598600000000001E-2</v>
      </c>
      <c r="BB234" s="22">
        <v>224</v>
      </c>
      <c r="BC234" s="22">
        <v>1.02661</v>
      </c>
      <c r="BD234">
        <f t="shared" si="46"/>
        <v>16.788395061728394</v>
      </c>
      <c r="BE234">
        <f t="shared" si="47"/>
        <v>17.258134355555551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0.68710300000000002</v>
      </c>
      <c r="H235" s="22">
        <v>7.4923000000000002</v>
      </c>
      <c r="I235" s="22">
        <v>-1.36627E-2</v>
      </c>
      <c r="J235" s="22">
        <v>225</v>
      </c>
      <c r="K235" s="22">
        <v>0.68630999999999998</v>
      </c>
      <c r="L235">
        <f t="shared" si="36"/>
        <v>16.86753086419753</v>
      </c>
      <c r="M235">
        <f t="shared" si="37"/>
        <v>11.589731059382716</v>
      </c>
      <c r="N235" s="9"/>
      <c r="O235" s="22">
        <v>1.03302</v>
      </c>
      <c r="P235" s="22">
        <v>11.351800000000001</v>
      </c>
      <c r="Q235" s="22">
        <v>-1.34918E-2</v>
      </c>
      <c r="R235" s="22">
        <v>225</v>
      </c>
      <c r="S235" s="22">
        <v>1.0318000000000001</v>
      </c>
      <c r="T235">
        <f t="shared" si="38"/>
        <v>16.656543209876542</v>
      </c>
      <c r="U235">
        <f t="shared" si="39"/>
        <v>17.206542266666666</v>
      </c>
      <c r="X235" s="9"/>
      <c r="Y235" s="22">
        <v>0.68710300000000002</v>
      </c>
      <c r="Z235" s="22">
        <v>16.828600000000002</v>
      </c>
      <c r="AA235" s="22">
        <v>-1.3726800000000001E-2</v>
      </c>
      <c r="AB235" s="22">
        <v>225</v>
      </c>
      <c r="AC235" s="22">
        <v>0.68630999999999998</v>
      </c>
      <c r="AD235">
        <f t="shared" si="40"/>
        <v>16.946666666666665</v>
      </c>
      <c r="AE235">
        <f t="shared" si="41"/>
        <v>11.644105506666666</v>
      </c>
      <c r="AF235" s="9"/>
      <c r="AG235" s="22">
        <v>1.03302</v>
      </c>
      <c r="AH235" s="22">
        <v>20.687999999999999</v>
      </c>
      <c r="AI235" s="22">
        <v>-1.3510100000000001E-2</v>
      </c>
      <c r="AJ235" s="22">
        <v>225</v>
      </c>
      <c r="AK235" s="22">
        <v>1.0318000000000001</v>
      </c>
      <c r="AL235">
        <f t="shared" si="42"/>
        <v>16.679135802469133</v>
      </c>
      <c r="AM235">
        <f t="shared" si="43"/>
        <v>17.229880866666665</v>
      </c>
      <c r="AP235" s="9"/>
      <c r="AQ235" s="22">
        <v>0.68710300000000002</v>
      </c>
      <c r="AR235" s="22">
        <v>26.251799999999999</v>
      </c>
      <c r="AS235" s="22">
        <v>-1.3732899999999999E-2</v>
      </c>
      <c r="AT235" s="22">
        <v>225</v>
      </c>
      <c r="AU235" s="22">
        <v>0.68633999999999995</v>
      </c>
      <c r="AV235">
        <f t="shared" si="44"/>
        <v>16.954197530864196</v>
      </c>
      <c r="AW235">
        <f t="shared" si="45"/>
        <v>11.649279986049383</v>
      </c>
      <c r="AX235" s="9"/>
      <c r="AY235" s="22">
        <v>1.03302</v>
      </c>
      <c r="AZ235" s="22">
        <v>30.1113</v>
      </c>
      <c r="BA235" s="22">
        <v>-1.36017E-2</v>
      </c>
      <c r="BB235" s="22">
        <v>225</v>
      </c>
      <c r="BC235" s="22">
        <v>1.0321</v>
      </c>
      <c r="BD235">
        <f t="shared" si="46"/>
        <v>16.792222222222222</v>
      </c>
      <c r="BE235">
        <f t="shared" si="47"/>
        <v>17.346701400000001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0.68206800000000001</v>
      </c>
      <c r="H236" s="22">
        <v>7.50237</v>
      </c>
      <c r="I236" s="22">
        <v>-1.3665800000000001E-2</v>
      </c>
      <c r="J236" s="22">
        <v>226</v>
      </c>
      <c r="K236" s="22">
        <v>0.68127400000000005</v>
      </c>
      <c r="L236">
        <f t="shared" si="36"/>
        <v>16.871358024691357</v>
      </c>
      <c r="M236">
        <f t="shared" si="37"/>
        <v>11.507413425185185</v>
      </c>
      <c r="N236" s="9"/>
      <c r="O236" s="22">
        <v>1.03806</v>
      </c>
      <c r="P236" s="22">
        <v>11.361800000000001</v>
      </c>
      <c r="Q236" s="22">
        <v>-1.34857E-2</v>
      </c>
      <c r="R236" s="22">
        <v>226</v>
      </c>
      <c r="S236" s="22">
        <v>1.03668</v>
      </c>
      <c r="T236">
        <f t="shared" si="38"/>
        <v>16.649012345679012</v>
      </c>
      <c r="U236">
        <f t="shared" si="39"/>
        <v>17.282673755555553</v>
      </c>
      <c r="X236" s="9"/>
      <c r="Y236" s="22">
        <v>0.68206800000000001</v>
      </c>
      <c r="Z236" s="22">
        <v>16.8386</v>
      </c>
      <c r="AA236" s="22">
        <v>-1.3732899999999999E-2</v>
      </c>
      <c r="AB236" s="22">
        <v>226</v>
      </c>
      <c r="AC236" s="22">
        <v>0.68130500000000005</v>
      </c>
      <c r="AD236">
        <f t="shared" si="40"/>
        <v>16.954197530864196</v>
      </c>
      <c r="AE236">
        <f t="shared" si="41"/>
        <v>11.563915601481481</v>
      </c>
      <c r="AF236" s="9"/>
      <c r="AG236" s="22">
        <v>1.03806</v>
      </c>
      <c r="AH236" s="22">
        <v>20.6981</v>
      </c>
      <c r="AI236" s="22">
        <v>-1.3501000000000001E-2</v>
      </c>
      <c r="AJ236" s="22">
        <v>226</v>
      </c>
      <c r="AK236" s="22">
        <v>1.03668</v>
      </c>
      <c r="AL236">
        <f t="shared" si="42"/>
        <v>16.667901234567903</v>
      </c>
      <c r="AM236">
        <f t="shared" si="43"/>
        <v>17.302281555555556</v>
      </c>
      <c r="AP236" s="9"/>
      <c r="AQ236" s="22">
        <v>0.68206800000000001</v>
      </c>
      <c r="AR236" s="22">
        <v>26.261900000000001</v>
      </c>
      <c r="AS236" s="22">
        <v>-1.3738999999999999E-2</v>
      </c>
      <c r="AT236" s="22">
        <v>226</v>
      </c>
      <c r="AU236" s="22">
        <v>0.68130500000000005</v>
      </c>
      <c r="AV236">
        <f t="shared" si="44"/>
        <v>16.961728395061726</v>
      </c>
      <c r="AW236">
        <f t="shared" si="45"/>
        <v>11.569052162962961</v>
      </c>
      <c r="AX236" s="9"/>
      <c r="AY236" s="22">
        <v>1.03806</v>
      </c>
      <c r="AZ236" s="22">
        <v>30.121300000000002</v>
      </c>
      <c r="BA236" s="22">
        <v>-1.36139E-2</v>
      </c>
      <c r="BB236" s="22">
        <v>226</v>
      </c>
      <c r="BC236" s="22">
        <v>1.0369900000000001</v>
      </c>
      <c r="BD236">
        <f t="shared" si="46"/>
        <v>16.807283950617283</v>
      </c>
      <c r="BE236">
        <f t="shared" si="47"/>
        <v>17.446969177777778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0.67703199999999997</v>
      </c>
      <c r="H237" s="22">
        <v>7.5124399999999998</v>
      </c>
      <c r="I237" s="22">
        <v>-1.3671900000000001E-2</v>
      </c>
      <c r="J237" s="22">
        <v>227</v>
      </c>
      <c r="K237" s="22">
        <v>0.67627000000000004</v>
      </c>
      <c r="L237">
        <f t="shared" si="36"/>
        <v>16.878888888888888</v>
      </c>
      <c r="M237">
        <f t="shared" si="37"/>
        <v>11.427547902222221</v>
      </c>
      <c r="N237" s="9"/>
      <c r="O237" s="22">
        <v>1.0430900000000001</v>
      </c>
      <c r="P237" s="22">
        <v>11.3719</v>
      </c>
      <c r="Q237" s="22">
        <v>-1.34827E-2</v>
      </c>
      <c r="R237" s="22">
        <v>227</v>
      </c>
      <c r="S237" s="22">
        <v>1.04156</v>
      </c>
      <c r="T237">
        <f t="shared" si="38"/>
        <v>16.645308641975308</v>
      </c>
      <c r="U237">
        <f t="shared" si="39"/>
        <v>17.362554991358024</v>
      </c>
      <c r="X237" s="9"/>
      <c r="Y237" s="22">
        <v>0.67703199999999997</v>
      </c>
      <c r="Z237" s="22">
        <v>16.848700000000001</v>
      </c>
      <c r="AA237" s="22">
        <v>-1.3736E-2</v>
      </c>
      <c r="AB237" s="22">
        <v>227</v>
      </c>
      <c r="AC237" s="22">
        <v>0.67633100000000002</v>
      </c>
      <c r="AD237">
        <f t="shared" si="40"/>
        <v>16.958024691358023</v>
      </c>
      <c r="AE237">
        <f t="shared" si="41"/>
        <v>11.481125372839506</v>
      </c>
      <c r="AF237" s="9"/>
      <c r="AG237" s="22">
        <v>1.0430900000000001</v>
      </c>
      <c r="AH237" s="22">
        <v>20.708200000000001</v>
      </c>
      <c r="AI237" s="22">
        <v>-1.3501000000000001E-2</v>
      </c>
      <c r="AJ237" s="22">
        <v>227</v>
      </c>
      <c r="AK237" s="22">
        <v>1.0421800000000001</v>
      </c>
      <c r="AL237">
        <f t="shared" si="42"/>
        <v>16.667901234567903</v>
      </c>
      <c r="AM237">
        <f t="shared" si="43"/>
        <v>17.386121098765436</v>
      </c>
      <c r="AP237" s="9"/>
      <c r="AQ237" s="22">
        <v>0.67703199999999997</v>
      </c>
      <c r="AR237" s="22">
        <v>26.271899999999999</v>
      </c>
      <c r="AS237" s="22">
        <v>-1.37451E-2</v>
      </c>
      <c r="AT237" s="22">
        <v>227</v>
      </c>
      <c r="AU237" s="22">
        <v>0.67623900000000003</v>
      </c>
      <c r="AV237">
        <f t="shared" si="44"/>
        <v>16.969259259259257</v>
      </c>
      <c r="AW237">
        <f t="shared" si="45"/>
        <v>11.488731534814812</v>
      </c>
      <c r="AX237" s="9"/>
      <c r="AY237" s="22">
        <v>1.0430900000000001</v>
      </c>
      <c r="AZ237" s="22">
        <v>30.131399999999999</v>
      </c>
      <c r="BA237" s="22">
        <v>-1.36261E-2</v>
      </c>
      <c r="BB237" s="22">
        <v>227</v>
      </c>
      <c r="BC237" s="22">
        <v>1.0421800000000001</v>
      </c>
      <c r="BD237">
        <f t="shared" si="46"/>
        <v>16.822345679012344</v>
      </c>
      <c r="BE237">
        <f t="shared" si="47"/>
        <v>17.547220554320987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0.67199699999999996</v>
      </c>
      <c r="H238" s="22">
        <v>7.5225099999999996</v>
      </c>
      <c r="I238" s="22">
        <v>-1.36749E-2</v>
      </c>
      <c r="J238" s="22">
        <v>228</v>
      </c>
      <c r="K238" s="22">
        <v>0.67120400000000002</v>
      </c>
      <c r="L238">
        <f t="shared" si="36"/>
        <v>16.882592592592591</v>
      </c>
      <c r="M238">
        <f t="shared" si="37"/>
        <v>11.345051574444442</v>
      </c>
      <c r="N238" s="9"/>
      <c r="O238" s="22">
        <v>1.04813</v>
      </c>
      <c r="P238" s="22">
        <v>11.382</v>
      </c>
      <c r="Q238" s="22">
        <v>-1.34796E-2</v>
      </c>
      <c r="R238" s="22">
        <v>228</v>
      </c>
      <c r="S238" s="22">
        <v>1.0470600000000001</v>
      </c>
      <c r="T238">
        <f t="shared" si="38"/>
        <v>16.641481481481478</v>
      </c>
      <c r="U238">
        <f t="shared" si="39"/>
        <v>17.442435985185181</v>
      </c>
      <c r="X238" s="9"/>
      <c r="Y238" s="22">
        <v>0.67199699999999996</v>
      </c>
      <c r="Z238" s="22">
        <v>16.858799999999999</v>
      </c>
      <c r="AA238" s="22">
        <v>-1.37512E-2</v>
      </c>
      <c r="AB238" s="22">
        <v>228</v>
      </c>
      <c r="AC238" s="22">
        <v>0.67117300000000002</v>
      </c>
      <c r="AD238">
        <f t="shared" si="40"/>
        <v>16.976790123456787</v>
      </c>
      <c r="AE238">
        <f t="shared" si="41"/>
        <v>11.408352032592591</v>
      </c>
      <c r="AF238" s="9"/>
      <c r="AG238" s="22">
        <v>1.04813</v>
      </c>
      <c r="AH238" s="22">
        <v>20.7182</v>
      </c>
      <c r="AI238" s="22">
        <v>-1.3494900000000001E-2</v>
      </c>
      <c r="AJ238" s="22">
        <v>228</v>
      </c>
      <c r="AK238" s="22">
        <v>1.0467500000000001</v>
      </c>
      <c r="AL238">
        <f t="shared" si="42"/>
        <v>16.660370370370369</v>
      </c>
      <c r="AM238">
        <f t="shared" si="43"/>
        <v>17.462233996296295</v>
      </c>
      <c r="AP238" s="9"/>
      <c r="AQ238" s="22">
        <v>0.67199699999999996</v>
      </c>
      <c r="AR238" s="22">
        <v>26.282</v>
      </c>
      <c r="AS238" s="22">
        <v>-1.37451E-2</v>
      </c>
      <c r="AT238" s="22">
        <v>228</v>
      </c>
      <c r="AU238" s="22">
        <v>0.67117300000000002</v>
      </c>
      <c r="AV238">
        <f t="shared" si="44"/>
        <v>16.969259259259257</v>
      </c>
      <c r="AW238">
        <f t="shared" si="45"/>
        <v>11.403291314444441</v>
      </c>
      <c r="AX238" s="9"/>
      <c r="AY238" s="22">
        <v>1.04813</v>
      </c>
      <c r="AZ238" s="22">
        <v>30.141500000000001</v>
      </c>
      <c r="BA238" s="22">
        <v>-1.362E-2</v>
      </c>
      <c r="BB238" s="22">
        <v>228</v>
      </c>
      <c r="BC238" s="22">
        <v>1.0464500000000001</v>
      </c>
      <c r="BD238">
        <f t="shared" si="46"/>
        <v>16.814814814814813</v>
      </c>
      <c r="BE238">
        <f t="shared" si="47"/>
        <v>17.62411185185185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0.66696200000000005</v>
      </c>
      <c r="H239" s="22">
        <v>7.5325800000000003</v>
      </c>
      <c r="I239" s="22">
        <v>-1.3677999999999999E-2</v>
      </c>
      <c r="J239" s="22">
        <v>229</v>
      </c>
      <c r="K239" s="22">
        <v>0.66625999999999996</v>
      </c>
      <c r="L239">
        <f t="shared" si="36"/>
        <v>16.886419753086418</v>
      </c>
      <c r="M239">
        <f t="shared" si="37"/>
        <v>11.262600291358025</v>
      </c>
      <c r="N239" s="9"/>
      <c r="O239" s="22">
        <v>1.0531600000000001</v>
      </c>
      <c r="P239" s="22">
        <v>11.392099999999999</v>
      </c>
      <c r="Q239" s="22">
        <v>-1.34888E-2</v>
      </c>
      <c r="R239" s="22">
        <v>229</v>
      </c>
      <c r="S239" s="22">
        <v>1.0516399999999999</v>
      </c>
      <c r="T239">
        <f t="shared" si="38"/>
        <v>16.652839506172839</v>
      </c>
      <c r="U239">
        <f t="shared" si="39"/>
        <v>17.53810445432099</v>
      </c>
      <c r="X239" s="9"/>
      <c r="Y239" s="22">
        <v>0.66696200000000005</v>
      </c>
      <c r="Z239" s="22">
        <v>16.8688</v>
      </c>
      <c r="AA239" s="22">
        <v>-1.3760400000000001E-2</v>
      </c>
      <c r="AB239" s="22">
        <v>229</v>
      </c>
      <c r="AC239" s="22">
        <v>0.66622899999999996</v>
      </c>
      <c r="AD239">
        <f t="shared" si="40"/>
        <v>16.988148148148149</v>
      </c>
      <c r="AE239">
        <f t="shared" si="41"/>
        <v>11.330449265185186</v>
      </c>
      <c r="AF239" s="9"/>
      <c r="AG239" s="22">
        <v>1.0531600000000001</v>
      </c>
      <c r="AH239" s="22">
        <v>20.728300000000001</v>
      </c>
      <c r="AI239" s="22">
        <v>-1.34827E-2</v>
      </c>
      <c r="AJ239" s="22">
        <v>229</v>
      </c>
      <c r="AK239" s="22">
        <v>1.0519400000000001</v>
      </c>
      <c r="AL239">
        <f t="shared" si="42"/>
        <v>16.645308641975308</v>
      </c>
      <c r="AM239">
        <f t="shared" si="43"/>
        <v>17.530173249382717</v>
      </c>
      <c r="AP239" s="9"/>
      <c r="AQ239" s="22">
        <v>0.66696200000000005</v>
      </c>
      <c r="AR239" s="22">
        <v>26.292100000000001</v>
      </c>
      <c r="AS239" s="22">
        <v>-1.37451E-2</v>
      </c>
      <c r="AT239" s="22">
        <v>229</v>
      </c>
      <c r="AU239" s="22">
        <v>0.66613800000000001</v>
      </c>
      <c r="AV239">
        <f t="shared" si="44"/>
        <v>16.969259259259257</v>
      </c>
      <c r="AW239">
        <f t="shared" si="45"/>
        <v>11.317851094074074</v>
      </c>
      <c r="AX239" s="9"/>
      <c r="AY239" s="22">
        <v>1.0531600000000001</v>
      </c>
      <c r="AZ239" s="22">
        <v>30.151499999999999</v>
      </c>
      <c r="BA239" s="22">
        <v>-1.36078E-2</v>
      </c>
      <c r="BB239" s="22">
        <v>229</v>
      </c>
      <c r="BC239" s="22">
        <v>1.0519400000000001</v>
      </c>
      <c r="BD239">
        <f t="shared" si="46"/>
        <v>16.799753086419752</v>
      </c>
      <c r="BE239">
        <f t="shared" si="47"/>
        <v>17.692827960493826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0.66192600000000001</v>
      </c>
      <c r="H240" s="22">
        <v>7.5426500000000001</v>
      </c>
      <c r="I240" s="22">
        <v>-1.3684099999999999E-2</v>
      </c>
      <c r="J240" s="22">
        <v>230</v>
      </c>
      <c r="K240" s="22">
        <v>0.66110199999999997</v>
      </c>
      <c r="L240">
        <f t="shared" si="36"/>
        <v>16.893950617283949</v>
      </c>
      <c r="M240">
        <f t="shared" si="37"/>
        <v>11.182545156296296</v>
      </c>
      <c r="N240" s="9"/>
      <c r="O240" s="22">
        <v>1.0582</v>
      </c>
      <c r="P240" s="22">
        <v>11.402100000000001</v>
      </c>
      <c r="Q240" s="22">
        <v>-1.34766E-2</v>
      </c>
      <c r="R240" s="22">
        <v>230</v>
      </c>
      <c r="S240" s="22">
        <v>1.0574300000000001</v>
      </c>
      <c r="T240">
        <f t="shared" si="38"/>
        <v>16.637777777777774</v>
      </c>
      <c r="U240">
        <f t="shared" si="39"/>
        <v>17.606096444444443</v>
      </c>
      <c r="X240" s="9"/>
      <c r="Y240" s="22">
        <v>0.66192600000000001</v>
      </c>
      <c r="Z240" s="22">
        <v>16.878900000000002</v>
      </c>
      <c r="AA240" s="22">
        <v>-1.3760400000000001E-2</v>
      </c>
      <c r="AB240" s="22">
        <v>230</v>
      </c>
      <c r="AC240" s="22">
        <v>0.66116299999999995</v>
      </c>
      <c r="AD240">
        <f t="shared" si="40"/>
        <v>16.988148148148149</v>
      </c>
      <c r="AE240">
        <f t="shared" si="41"/>
        <v>11.244896951111112</v>
      </c>
      <c r="AF240" s="9"/>
      <c r="AG240" s="22">
        <v>1.0582</v>
      </c>
      <c r="AH240" s="22">
        <v>20.738399999999999</v>
      </c>
      <c r="AI240" s="22">
        <v>-1.34766E-2</v>
      </c>
      <c r="AJ240" s="22">
        <v>230</v>
      </c>
      <c r="AK240" s="22">
        <v>1.0568200000000001</v>
      </c>
      <c r="AL240">
        <f t="shared" si="42"/>
        <v>16.637777777777774</v>
      </c>
      <c r="AM240">
        <f t="shared" si="43"/>
        <v>17.606096444444443</v>
      </c>
      <c r="AP240" s="9"/>
      <c r="AQ240" s="22">
        <v>0.66192600000000001</v>
      </c>
      <c r="AR240" s="22">
        <v>26.302099999999999</v>
      </c>
      <c r="AS240" s="22">
        <v>-1.3738999999999999E-2</v>
      </c>
      <c r="AT240" s="22">
        <v>230</v>
      </c>
      <c r="AU240" s="22">
        <v>0.66113299999999997</v>
      </c>
      <c r="AV240">
        <f t="shared" si="44"/>
        <v>16.961728395061726</v>
      </c>
      <c r="AW240">
        <f t="shared" si="45"/>
        <v>11.227409029629628</v>
      </c>
      <c r="AX240" s="9"/>
      <c r="AY240" s="22">
        <v>1.0582</v>
      </c>
      <c r="AZ240" s="22">
        <v>30.1616</v>
      </c>
      <c r="BA240" s="22">
        <v>-1.35864E-2</v>
      </c>
      <c r="BB240" s="22">
        <v>230</v>
      </c>
      <c r="BC240" s="22">
        <v>1.0574300000000001</v>
      </c>
      <c r="BD240">
        <f t="shared" si="46"/>
        <v>16.77333333333333</v>
      </c>
      <c r="BE240">
        <f t="shared" si="47"/>
        <v>17.74954133333333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0.656891</v>
      </c>
      <c r="H241" s="22">
        <v>7.5527300000000004</v>
      </c>
      <c r="I241" s="22">
        <v>-1.3687100000000001E-2</v>
      </c>
      <c r="J241" s="22">
        <v>231</v>
      </c>
      <c r="K241" s="22">
        <v>0.65609700000000004</v>
      </c>
      <c r="L241">
        <f t="shared" si="36"/>
        <v>16.897654320987655</v>
      </c>
      <c r="M241">
        <f t="shared" si="37"/>
        <v>11.099917044567903</v>
      </c>
      <c r="N241" s="9"/>
      <c r="O241" s="22">
        <v>1.0632299999999999</v>
      </c>
      <c r="P241" s="22">
        <v>11.4122</v>
      </c>
      <c r="Q241" s="22">
        <v>-1.34644E-2</v>
      </c>
      <c r="R241" s="22">
        <v>231</v>
      </c>
      <c r="S241" s="22">
        <v>1.0620099999999999</v>
      </c>
      <c r="T241">
        <f t="shared" si="38"/>
        <v>16.622716049382717</v>
      </c>
      <c r="U241">
        <f t="shared" si="39"/>
        <v>17.673770385185186</v>
      </c>
      <c r="X241" s="9"/>
      <c r="Y241" s="22">
        <v>0.656891</v>
      </c>
      <c r="Z241" s="22">
        <v>16.888999999999999</v>
      </c>
      <c r="AA241" s="22">
        <v>-1.37482E-2</v>
      </c>
      <c r="AB241" s="22">
        <v>231</v>
      </c>
      <c r="AC241" s="22">
        <v>0.65609700000000004</v>
      </c>
      <c r="AD241">
        <f t="shared" si="40"/>
        <v>16.973086419753084</v>
      </c>
      <c r="AE241">
        <f t="shared" si="41"/>
        <v>11.149467711358023</v>
      </c>
      <c r="AF241" s="9"/>
      <c r="AG241" s="22">
        <v>1.0632299999999999</v>
      </c>
      <c r="AH241" s="22">
        <v>20.7485</v>
      </c>
      <c r="AI241" s="22">
        <v>-1.3467399999999999E-2</v>
      </c>
      <c r="AJ241" s="22">
        <v>231</v>
      </c>
      <c r="AK241" s="22">
        <v>1.0623199999999999</v>
      </c>
      <c r="AL241">
        <f t="shared" si="42"/>
        <v>16.626419753086417</v>
      </c>
      <c r="AM241">
        <f t="shared" si="43"/>
        <v>17.677708274074067</v>
      </c>
      <c r="AP241" s="9"/>
      <c r="AQ241" s="22">
        <v>0.656891</v>
      </c>
      <c r="AR241" s="22">
        <v>26.312200000000001</v>
      </c>
      <c r="AS241" s="22">
        <v>-1.37299E-2</v>
      </c>
      <c r="AT241" s="22">
        <v>231</v>
      </c>
      <c r="AU241" s="22">
        <v>0.65612800000000004</v>
      </c>
      <c r="AV241">
        <f t="shared" si="44"/>
        <v>16.950493827160493</v>
      </c>
      <c r="AW241">
        <f t="shared" si="45"/>
        <v>11.134626840617283</v>
      </c>
      <c r="AX241" s="9"/>
      <c r="AY241" s="22">
        <v>1.0632299999999999</v>
      </c>
      <c r="AZ241" s="22">
        <v>30.171700000000001</v>
      </c>
      <c r="BA241" s="22">
        <v>-1.35712E-2</v>
      </c>
      <c r="BB241" s="22">
        <v>231</v>
      </c>
      <c r="BC241" s="22">
        <v>1.0623199999999999</v>
      </c>
      <c r="BD241">
        <f t="shared" si="46"/>
        <v>16.754567901234566</v>
      </c>
      <c r="BE241">
        <f t="shared" si="47"/>
        <v>17.813959229629624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0.65185499999999996</v>
      </c>
      <c r="H242" s="22">
        <v>7.5628000000000002</v>
      </c>
      <c r="I242" s="22">
        <v>-1.36963E-2</v>
      </c>
      <c r="J242" s="22">
        <v>232</v>
      </c>
      <c r="K242" s="22">
        <v>0.65109300000000003</v>
      </c>
      <c r="L242">
        <f t="shared" si="36"/>
        <v>16.90901234567901</v>
      </c>
      <c r="M242">
        <f t="shared" si="37"/>
        <v>11.022224242592591</v>
      </c>
      <c r="N242" s="9"/>
      <c r="O242" s="22">
        <v>1.0682700000000001</v>
      </c>
      <c r="P242" s="22">
        <v>11.4223</v>
      </c>
      <c r="Q242" s="22">
        <v>-1.3461300000000001E-2</v>
      </c>
      <c r="R242" s="22">
        <v>232</v>
      </c>
      <c r="S242" s="22">
        <v>1.0668899999999999</v>
      </c>
      <c r="T242">
        <f t="shared" si="38"/>
        <v>16.618888888888886</v>
      </c>
      <c r="U242">
        <f t="shared" si="39"/>
        <v>17.753460433333331</v>
      </c>
      <c r="X242" s="9"/>
      <c r="Y242" s="22">
        <v>0.65185499999999996</v>
      </c>
      <c r="Z242" s="22">
        <v>16.899100000000001</v>
      </c>
      <c r="AA242" s="22">
        <v>-1.37299E-2</v>
      </c>
      <c r="AB242" s="22">
        <v>232</v>
      </c>
      <c r="AC242" s="22">
        <v>0.65112300000000001</v>
      </c>
      <c r="AD242">
        <f t="shared" si="40"/>
        <v>16.950493827160493</v>
      </c>
      <c r="AE242">
        <f t="shared" si="41"/>
        <v>11.049264153703703</v>
      </c>
      <c r="AF242" s="9"/>
      <c r="AG242" s="22">
        <v>1.0682700000000001</v>
      </c>
      <c r="AH242" s="22">
        <v>20.758500000000002</v>
      </c>
      <c r="AI242" s="22">
        <v>-1.3467399999999999E-2</v>
      </c>
      <c r="AJ242" s="22">
        <v>232</v>
      </c>
      <c r="AK242" s="22">
        <v>1.0671999999999999</v>
      </c>
      <c r="AL242">
        <f t="shared" si="42"/>
        <v>16.626419753086417</v>
      </c>
      <c r="AM242">
        <f t="shared" si="43"/>
        <v>17.761505429629626</v>
      </c>
      <c r="AP242" s="9"/>
      <c r="AQ242" s="22">
        <v>0.65185499999999996</v>
      </c>
      <c r="AR242" s="22">
        <v>26.322299999999998</v>
      </c>
      <c r="AS242" s="22">
        <v>-1.3732899999999999E-2</v>
      </c>
      <c r="AT242" s="22">
        <v>232</v>
      </c>
      <c r="AU242" s="22">
        <v>0.65106200000000003</v>
      </c>
      <c r="AV242">
        <f t="shared" si="44"/>
        <v>16.954197530864196</v>
      </c>
      <c r="AW242">
        <f t="shared" si="45"/>
        <v>11.051678431481481</v>
      </c>
      <c r="AX242" s="9"/>
      <c r="AY242" s="22">
        <v>1.0682700000000001</v>
      </c>
      <c r="AZ242" s="22">
        <v>30.181799999999999</v>
      </c>
      <c r="BA242" s="22">
        <v>-1.3561999999999999E-2</v>
      </c>
      <c r="BB242" s="22">
        <v>232</v>
      </c>
      <c r="BC242" s="22">
        <v>1.0668899999999999</v>
      </c>
      <c r="BD242">
        <f t="shared" si="46"/>
        <v>16.743209876543208</v>
      </c>
      <c r="BE242">
        <f t="shared" si="47"/>
        <v>17.886268814814812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0.64681999999999995</v>
      </c>
      <c r="H243" s="22">
        <v>7.57287</v>
      </c>
      <c r="I243" s="22">
        <v>-1.36963E-2</v>
      </c>
      <c r="J243" s="22">
        <v>233</v>
      </c>
      <c r="K243" s="22">
        <v>0.64605699999999999</v>
      </c>
      <c r="L243">
        <f t="shared" si="36"/>
        <v>16.90901234567901</v>
      </c>
      <c r="M243">
        <f t="shared" si="37"/>
        <v>10.937087365432095</v>
      </c>
      <c r="N243" s="9"/>
      <c r="O243" s="22">
        <v>1.0732999999999999</v>
      </c>
      <c r="P243" s="22">
        <v>11.4323</v>
      </c>
      <c r="Q243" s="22">
        <v>-1.34552E-2</v>
      </c>
      <c r="R243" s="22">
        <v>233</v>
      </c>
      <c r="S243" s="22">
        <v>1.0726899999999999</v>
      </c>
      <c r="T243">
        <f t="shared" si="38"/>
        <v>16.611358024691356</v>
      </c>
      <c r="U243">
        <f t="shared" si="39"/>
        <v>17.82897056790123</v>
      </c>
      <c r="X243" s="9"/>
      <c r="Y243" s="22">
        <v>0.64681999999999995</v>
      </c>
      <c r="Z243" s="22">
        <v>16.909099999999999</v>
      </c>
      <c r="AA243" s="22">
        <v>-1.3720700000000001E-2</v>
      </c>
      <c r="AB243" s="22">
        <v>233</v>
      </c>
      <c r="AC243" s="22">
        <v>0.64599600000000001</v>
      </c>
      <c r="AD243">
        <f t="shared" si="40"/>
        <v>16.939135802469135</v>
      </c>
      <c r="AE243">
        <f t="shared" si="41"/>
        <v>10.956571819753085</v>
      </c>
      <c r="AF243" s="9"/>
      <c r="AG243" s="22">
        <v>1.0732999999999999</v>
      </c>
      <c r="AH243" s="22">
        <v>20.768599999999999</v>
      </c>
      <c r="AI243" s="22">
        <v>-1.34644E-2</v>
      </c>
      <c r="AJ243" s="22">
        <v>233</v>
      </c>
      <c r="AK243" s="22">
        <v>1.0720799999999999</v>
      </c>
      <c r="AL243">
        <f t="shared" si="42"/>
        <v>16.622716049382717</v>
      </c>
      <c r="AM243">
        <f t="shared" si="43"/>
        <v>17.841161135802469</v>
      </c>
      <c r="AP243" s="9"/>
      <c r="AQ243" s="22">
        <v>0.64681999999999995</v>
      </c>
      <c r="AR243" s="22">
        <v>26.3324</v>
      </c>
      <c r="AS243" s="22">
        <v>-1.3738999999999999E-2</v>
      </c>
      <c r="AT243" s="22">
        <v>233</v>
      </c>
      <c r="AU243" s="22">
        <v>0.64602700000000002</v>
      </c>
      <c r="AV243">
        <f t="shared" si="44"/>
        <v>16.961728395061726</v>
      </c>
      <c r="AW243">
        <f t="shared" si="45"/>
        <v>10.971185160493825</v>
      </c>
      <c r="AX243" s="9"/>
      <c r="AY243" s="22">
        <v>1.0732999999999999</v>
      </c>
      <c r="AZ243" s="22">
        <v>30.191800000000001</v>
      </c>
      <c r="BA243" s="22">
        <v>-1.3555899999999999E-2</v>
      </c>
      <c r="BB243" s="22">
        <v>233</v>
      </c>
      <c r="BC243" s="22">
        <v>1.0720799999999999</v>
      </c>
      <c r="BD243">
        <f t="shared" si="46"/>
        <v>16.735679012345678</v>
      </c>
      <c r="BE243">
        <f t="shared" si="47"/>
        <v>17.962404283950615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0.64178500000000005</v>
      </c>
      <c r="H244" s="22">
        <v>7.5829399999999998</v>
      </c>
      <c r="I244" s="22">
        <v>-1.3693200000000001E-2</v>
      </c>
      <c r="J244" s="22">
        <v>234</v>
      </c>
      <c r="K244" s="22">
        <v>0.640961</v>
      </c>
      <c r="L244">
        <f t="shared" si="36"/>
        <v>16.905185185185186</v>
      </c>
      <c r="M244">
        <f t="shared" si="37"/>
        <v>10.849494274074075</v>
      </c>
      <c r="N244" s="9"/>
      <c r="O244" s="22">
        <v>1.0783400000000001</v>
      </c>
      <c r="P244" s="22">
        <v>11.442399999999999</v>
      </c>
      <c r="Q244" s="22">
        <v>-1.34491E-2</v>
      </c>
      <c r="R244" s="22">
        <v>234</v>
      </c>
      <c r="S244" s="22">
        <v>1.0772699999999999</v>
      </c>
      <c r="T244">
        <f t="shared" si="38"/>
        <v>16.603827160493829</v>
      </c>
      <c r="U244">
        <f t="shared" si="39"/>
        <v>17.904570980246916</v>
      </c>
      <c r="X244" s="9"/>
      <c r="Y244" s="22">
        <v>0.64178500000000005</v>
      </c>
      <c r="Z244" s="22">
        <v>16.9192</v>
      </c>
      <c r="AA244" s="22">
        <v>-1.37146E-2</v>
      </c>
      <c r="AB244" s="22">
        <v>234</v>
      </c>
      <c r="AC244" s="22">
        <v>0.640961</v>
      </c>
      <c r="AD244">
        <f t="shared" si="40"/>
        <v>16.931604938271605</v>
      </c>
      <c r="AE244">
        <f t="shared" si="41"/>
        <v>10.866450075308643</v>
      </c>
      <c r="AF244" s="9"/>
      <c r="AG244" s="22">
        <v>1.0783400000000001</v>
      </c>
      <c r="AH244" s="22">
        <v>20.778700000000001</v>
      </c>
      <c r="AI244" s="22">
        <v>-1.34705E-2</v>
      </c>
      <c r="AJ244" s="22">
        <v>234</v>
      </c>
      <c r="AK244" s="22">
        <v>1.0772699999999999</v>
      </c>
      <c r="AL244">
        <f t="shared" si="42"/>
        <v>16.630246913580244</v>
      </c>
      <c r="AM244">
        <f t="shared" si="43"/>
        <v>17.933060456790123</v>
      </c>
      <c r="AP244" s="9"/>
      <c r="AQ244" s="22">
        <v>0.64178500000000005</v>
      </c>
      <c r="AR244" s="22">
        <v>26.342400000000001</v>
      </c>
      <c r="AS244" s="22">
        <v>-1.3738999999999999E-2</v>
      </c>
      <c r="AT244" s="22">
        <v>234</v>
      </c>
      <c r="AU244" s="22">
        <v>0.64099099999999998</v>
      </c>
      <c r="AV244">
        <f t="shared" si="44"/>
        <v>16.961728395061726</v>
      </c>
      <c r="AW244">
        <f t="shared" si="45"/>
        <v>10.88578285802469</v>
      </c>
      <c r="AX244" s="9"/>
      <c r="AY244" s="22">
        <v>1.0783400000000001</v>
      </c>
      <c r="AZ244" s="22">
        <v>30.201899999999998</v>
      </c>
      <c r="BA244" s="22">
        <v>-1.35529E-2</v>
      </c>
      <c r="BB244" s="22">
        <v>234</v>
      </c>
      <c r="BC244" s="22">
        <v>1.07758</v>
      </c>
      <c r="BD244">
        <f t="shared" si="46"/>
        <v>16.731975308641974</v>
      </c>
      <c r="BE244">
        <f t="shared" si="47"/>
        <v>18.042758254320987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0.63674900000000001</v>
      </c>
      <c r="H245" s="22">
        <v>7.5930099999999996</v>
      </c>
      <c r="I245" s="22">
        <v>-1.3684099999999999E-2</v>
      </c>
      <c r="J245" s="22">
        <v>235</v>
      </c>
      <c r="K245" s="22">
        <v>0.63595599999999997</v>
      </c>
      <c r="L245">
        <f t="shared" si="36"/>
        <v>16.893950617283949</v>
      </c>
      <c r="M245">
        <f t="shared" si="37"/>
        <v>10.757206161604937</v>
      </c>
      <c r="N245" s="9"/>
      <c r="O245" s="22">
        <v>1.0833699999999999</v>
      </c>
      <c r="P245" s="22">
        <v>11.452500000000001</v>
      </c>
      <c r="Q245" s="22">
        <v>-1.34491E-2</v>
      </c>
      <c r="R245" s="22">
        <v>235</v>
      </c>
      <c r="S245" s="22">
        <v>1.08246</v>
      </c>
      <c r="T245">
        <f t="shared" si="38"/>
        <v>16.603827160493829</v>
      </c>
      <c r="U245">
        <f t="shared" si="39"/>
        <v>17.9880882308642</v>
      </c>
      <c r="X245" s="9"/>
      <c r="Y245" s="22">
        <v>0.63674900000000001</v>
      </c>
      <c r="Z245" s="22">
        <v>16.929300000000001</v>
      </c>
      <c r="AA245" s="22">
        <v>-1.37238E-2</v>
      </c>
      <c r="AB245" s="22">
        <v>235</v>
      </c>
      <c r="AC245" s="22">
        <v>0.63592499999999996</v>
      </c>
      <c r="AD245">
        <f t="shared" si="40"/>
        <v>16.942962962962962</v>
      </c>
      <c r="AE245">
        <f t="shared" si="41"/>
        <v>10.788414723703703</v>
      </c>
      <c r="AF245" s="9"/>
      <c r="AG245" s="22">
        <v>1.0833699999999999</v>
      </c>
      <c r="AH245" s="22">
        <v>20.788699999999999</v>
      </c>
      <c r="AI245" s="22">
        <v>-1.34766E-2</v>
      </c>
      <c r="AJ245" s="22">
        <v>235</v>
      </c>
      <c r="AK245" s="22">
        <v>1.0821499999999999</v>
      </c>
      <c r="AL245">
        <f t="shared" si="42"/>
        <v>16.637777777777774</v>
      </c>
      <c r="AM245">
        <f t="shared" si="43"/>
        <v>18.024869311111107</v>
      </c>
      <c r="AP245" s="9"/>
      <c r="AQ245" s="22">
        <v>0.63674900000000001</v>
      </c>
      <c r="AR245" s="22">
        <v>26.352499999999999</v>
      </c>
      <c r="AS245" s="22">
        <v>-1.3738999999999999E-2</v>
      </c>
      <c r="AT245" s="22">
        <v>235</v>
      </c>
      <c r="AU245" s="22">
        <v>0.63589499999999999</v>
      </c>
      <c r="AV245">
        <f t="shared" si="44"/>
        <v>16.961728395061726</v>
      </c>
      <c r="AW245">
        <f t="shared" si="45"/>
        <v>10.800363593827159</v>
      </c>
      <c r="AX245" s="9"/>
      <c r="AY245" s="22">
        <v>1.0833699999999999</v>
      </c>
      <c r="AZ245" s="22">
        <v>30.212</v>
      </c>
      <c r="BA245" s="22">
        <v>-1.3543700000000001E-2</v>
      </c>
      <c r="BB245" s="22">
        <v>235</v>
      </c>
      <c r="BC245" s="22">
        <v>1.0821499999999999</v>
      </c>
      <c r="BD245">
        <f t="shared" si="46"/>
        <v>16.720617283950617</v>
      </c>
      <c r="BE245">
        <f t="shared" si="47"/>
        <v>18.114615146913579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0.631714</v>
      </c>
      <c r="H246" s="22">
        <v>7.6030800000000003</v>
      </c>
      <c r="I246" s="22">
        <v>-1.3677999999999999E-2</v>
      </c>
      <c r="J246" s="22">
        <v>236</v>
      </c>
      <c r="K246" s="22">
        <v>0.63095100000000004</v>
      </c>
      <c r="L246">
        <f t="shared" si="36"/>
        <v>16.886419753086418</v>
      </c>
      <c r="M246">
        <f t="shared" si="37"/>
        <v>10.667387767901234</v>
      </c>
      <c r="N246" s="9"/>
      <c r="O246" s="22">
        <v>1.0884100000000001</v>
      </c>
      <c r="P246" s="22">
        <v>11.4626</v>
      </c>
      <c r="Q246" s="22">
        <v>-1.3446E-2</v>
      </c>
      <c r="R246" s="22">
        <v>236</v>
      </c>
      <c r="S246" s="22">
        <v>1.08704</v>
      </c>
      <c r="T246">
        <f t="shared" si="38"/>
        <v>16.599999999999998</v>
      </c>
      <c r="U246">
        <f t="shared" si="39"/>
        <v>18.067605999999998</v>
      </c>
      <c r="X246" s="9"/>
      <c r="Y246" s="22">
        <v>0.631714</v>
      </c>
      <c r="Z246" s="22">
        <v>16.939299999999999</v>
      </c>
      <c r="AA246" s="22">
        <v>-1.3736E-2</v>
      </c>
      <c r="AB246" s="22">
        <v>236</v>
      </c>
      <c r="AC246" s="22">
        <v>0.63092000000000004</v>
      </c>
      <c r="AD246">
        <f t="shared" si="40"/>
        <v>16.958024691358023</v>
      </c>
      <c r="AE246">
        <f t="shared" si="41"/>
        <v>10.712621609876543</v>
      </c>
      <c r="AF246" s="9"/>
      <c r="AG246" s="22">
        <v>1.0884100000000001</v>
      </c>
      <c r="AH246" s="22">
        <v>20.7988</v>
      </c>
      <c r="AI246" s="22">
        <v>-1.34827E-2</v>
      </c>
      <c r="AJ246" s="22">
        <v>236</v>
      </c>
      <c r="AK246" s="22">
        <v>1.08704</v>
      </c>
      <c r="AL246">
        <f t="shared" si="42"/>
        <v>16.645308641975308</v>
      </c>
      <c r="AM246">
        <f t="shared" si="43"/>
        <v>18.116920379012345</v>
      </c>
      <c r="AP246" s="9"/>
      <c r="AQ246" s="22">
        <v>0.631714</v>
      </c>
      <c r="AR246" s="22">
        <v>26.3626</v>
      </c>
      <c r="AS246" s="22">
        <v>-1.3738999999999999E-2</v>
      </c>
      <c r="AT246" s="22">
        <v>236</v>
      </c>
      <c r="AU246" s="22">
        <v>0.63092000000000004</v>
      </c>
      <c r="AV246">
        <f t="shared" si="44"/>
        <v>16.961728395061726</v>
      </c>
      <c r="AW246">
        <f t="shared" si="45"/>
        <v>10.714961291358023</v>
      </c>
      <c r="AX246" s="9"/>
      <c r="AY246" s="22">
        <v>1.0884100000000001</v>
      </c>
      <c r="AZ246" s="22">
        <v>30.222000000000001</v>
      </c>
      <c r="BA246" s="22">
        <v>-1.3549800000000001E-2</v>
      </c>
      <c r="BB246" s="22">
        <v>236</v>
      </c>
      <c r="BC246" s="22">
        <v>1.08704</v>
      </c>
      <c r="BD246">
        <f t="shared" si="46"/>
        <v>16.728148148148147</v>
      </c>
      <c r="BE246">
        <f t="shared" si="47"/>
        <v>18.207083725925926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0.62667799999999996</v>
      </c>
      <c r="H247" s="22">
        <v>7.6131500000000001</v>
      </c>
      <c r="I247" s="22">
        <v>-1.3677999999999999E-2</v>
      </c>
      <c r="J247" s="22">
        <v>237</v>
      </c>
      <c r="K247" s="22">
        <v>0.62588500000000002</v>
      </c>
      <c r="L247">
        <f t="shared" si="36"/>
        <v>16.886419753086418</v>
      </c>
      <c r="M247">
        <f t="shared" si="37"/>
        <v>10.582347758024691</v>
      </c>
      <c r="N247" s="9"/>
      <c r="O247" s="22">
        <v>1.09344</v>
      </c>
      <c r="P247" s="22">
        <v>11.4726</v>
      </c>
      <c r="Q247" s="22">
        <v>-1.34369E-2</v>
      </c>
      <c r="R247" s="22">
        <v>237</v>
      </c>
      <c r="S247" s="22">
        <v>1.09222</v>
      </c>
      <c r="T247">
        <f t="shared" si="38"/>
        <v>16.588765432098764</v>
      </c>
      <c r="U247">
        <f t="shared" si="39"/>
        <v>18.138819674074071</v>
      </c>
      <c r="X247" s="9"/>
      <c r="Y247" s="22">
        <v>0.62667799999999996</v>
      </c>
      <c r="Z247" s="22">
        <v>16.949400000000001</v>
      </c>
      <c r="AA247" s="22">
        <v>-1.3732899999999999E-2</v>
      </c>
      <c r="AB247" s="22">
        <v>237</v>
      </c>
      <c r="AC247" s="22">
        <v>0.62588500000000002</v>
      </c>
      <c r="AD247">
        <f t="shared" si="40"/>
        <v>16.954197530864196</v>
      </c>
      <c r="AE247">
        <f t="shared" si="41"/>
        <v>10.624822600246912</v>
      </c>
      <c r="AF247" s="9"/>
      <c r="AG247" s="22">
        <v>1.09344</v>
      </c>
      <c r="AH247" s="22">
        <v>20.808900000000001</v>
      </c>
      <c r="AI247" s="22">
        <v>-1.3473499999999999E-2</v>
      </c>
      <c r="AJ247" s="22">
        <v>237</v>
      </c>
      <c r="AK247" s="22">
        <v>1.09222</v>
      </c>
      <c r="AL247">
        <f t="shared" si="42"/>
        <v>16.633950617283947</v>
      </c>
      <c r="AM247">
        <f t="shared" si="43"/>
        <v>18.188226962962958</v>
      </c>
      <c r="AP247" s="9"/>
      <c r="AQ247" s="22">
        <v>0.62667799999999996</v>
      </c>
      <c r="AR247" s="22">
        <v>26.372599999999998</v>
      </c>
      <c r="AS247" s="22">
        <v>-1.37421E-2</v>
      </c>
      <c r="AT247" s="22">
        <v>237</v>
      </c>
      <c r="AU247" s="22">
        <v>0.625946</v>
      </c>
      <c r="AV247">
        <f t="shared" si="44"/>
        <v>16.965555555555554</v>
      </c>
      <c r="AW247">
        <f t="shared" si="45"/>
        <v>10.631940424444442</v>
      </c>
      <c r="AX247" s="9"/>
      <c r="AY247" s="22">
        <v>1.09344</v>
      </c>
      <c r="AZ247" s="22">
        <v>30.232099999999999</v>
      </c>
      <c r="BA247" s="22">
        <v>-1.3546799999999999E-2</v>
      </c>
      <c r="BB247" s="22">
        <v>237</v>
      </c>
      <c r="BC247" s="22">
        <v>1.09253</v>
      </c>
      <c r="BD247">
        <f t="shared" si="46"/>
        <v>16.72444444444444</v>
      </c>
      <c r="BE247">
        <f t="shared" si="47"/>
        <v>18.28717653333333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0.62164299999999995</v>
      </c>
      <c r="H248" s="22">
        <v>7.6232199999999999</v>
      </c>
      <c r="I248" s="22">
        <v>-1.3671900000000001E-2</v>
      </c>
      <c r="J248" s="22">
        <v>238</v>
      </c>
      <c r="K248" s="22">
        <v>0.62087999999999999</v>
      </c>
      <c r="L248">
        <f t="shared" si="36"/>
        <v>16.878888888888888</v>
      </c>
      <c r="M248">
        <f t="shared" si="37"/>
        <v>10.492643125555555</v>
      </c>
      <c r="N248" s="9"/>
      <c r="O248" s="22">
        <v>1.0984799999999999</v>
      </c>
      <c r="P248" s="22">
        <v>11.482699999999999</v>
      </c>
      <c r="Q248" s="22">
        <v>-1.3427700000000001E-2</v>
      </c>
      <c r="R248" s="22">
        <v>238</v>
      </c>
      <c r="S248" s="22">
        <v>1.09741</v>
      </c>
      <c r="T248">
        <f t="shared" si="38"/>
        <v>16.57740740740741</v>
      </c>
      <c r="U248">
        <f t="shared" si="39"/>
        <v>18.209950488888889</v>
      </c>
      <c r="X248" s="9"/>
      <c r="Y248" s="22">
        <v>0.62164299999999995</v>
      </c>
      <c r="Z248" s="22">
        <v>16.959499999999998</v>
      </c>
      <c r="AA248" s="22">
        <v>-1.3736E-2</v>
      </c>
      <c r="AB248" s="22">
        <v>238</v>
      </c>
      <c r="AC248" s="22">
        <v>0.62085000000000001</v>
      </c>
      <c r="AD248">
        <f t="shared" si="40"/>
        <v>16.958024691358023</v>
      </c>
      <c r="AE248">
        <f t="shared" si="41"/>
        <v>10.541837343209874</v>
      </c>
      <c r="AF248" s="9"/>
      <c r="AG248" s="22">
        <v>1.0984799999999999</v>
      </c>
      <c r="AH248" s="22">
        <v>20.818999999999999</v>
      </c>
      <c r="AI248" s="22">
        <v>-1.34644E-2</v>
      </c>
      <c r="AJ248" s="22">
        <v>238</v>
      </c>
      <c r="AK248" s="22">
        <v>1.09741</v>
      </c>
      <c r="AL248">
        <f t="shared" si="42"/>
        <v>16.622716049382717</v>
      </c>
      <c r="AM248">
        <f t="shared" si="43"/>
        <v>18.259721125925925</v>
      </c>
      <c r="AP248" s="9"/>
      <c r="AQ248" s="22">
        <v>0.62164299999999995</v>
      </c>
      <c r="AR248" s="22">
        <v>26.3827</v>
      </c>
      <c r="AS248" s="22">
        <v>-1.37451E-2</v>
      </c>
      <c r="AT248" s="22">
        <v>238</v>
      </c>
      <c r="AU248" s="22">
        <v>0.62085000000000001</v>
      </c>
      <c r="AV248">
        <f t="shared" si="44"/>
        <v>16.969259259259257</v>
      </c>
      <c r="AW248">
        <f t="shared" si="45"/>
        <v>10.548821233703702</v>
      </c>
      <c r="AX248" s="9"/>
      <c r="AY248" s="22">
        <v>1.0984799999999999</v>
      </c>
      <c r="AZ248" s="22">
        <v>30.2422</v>
      </c>
      <c r="BA248" s="22">
        <v>-1.3543700000000001E-2</v>
      </c>
      <c r="BB248" s="22">
        <v>238</v>
      </c>
      <c r="BC248" s="22">
        <v>1.09741</v>
      </c>
      <c r="BD248">
        <f t="shared" si="46"/>
        <v>16.720617283950617</v>
      </c>
      <c r="BE248">
        <f t="shared" si="47"/>
        <v>18.367263674074071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0.61660800000000004</v>
      </c>
      <c r="H249" s="22">
        <v>7.6332899999999997</v>
      </c>
      <c r="I249" s="22">
        <v>-1.3671900000000001E-2</v>
      </c>
      <c r="J249" s="22">
        <v>239</v>
      </c>
      <c r="K249" s="22">
        <v>0.615784</v>
      </c>
      <c r="L249">
        <f t="shared" si="36"/>
        <v>16.878888888888888</v>
      </c>
      <c r="M249">
        <f t="shared" si="37"/>
        <v>10.40765792</v>
      </c>
      <c r="N249" s="9"/>
      <c r="O249" s="22">
        <v>1.1035200000000001</v>
      </c>
      <c r="P249" s="22">
        <v>11.492800000000001</v>
      </c>
      <c r="Q249" s="22">
        <v>-1.3421600000000001E-2</v>
      </c>
      <c r="R249" s="22">
        <v>239</v>
      </c>
      <c r="S249" s="22">
        <v>1.1026</v>
      </c>
      <c r="T249">
        <f t="shared" si="38"/>
        <v>16.569876543209876</v>
      </c>
      <c r="U249">
        <f t="shared" si="39"/>
        <v>18.285190162962962</v>
      </c>
      <c r="X249" s="9"/>
      <c r="Y249" s="22">
        <v>0.61660800000000004</v>
      </c>
      <c r="Z249" s="22">
        <v>16.9695</v>
      </c>
      <c r="AA249" s="22">
        <v>-1.3732899999999999E-2</v>
      </c>
      <c r="AB249" s="22">
        <v>239</v>
      </c>
      <c r="AC249" s="22">
        <v>0.61575299999999999</v>
      </c>
      <c r="AD249">
        <f t="shared" si="40"/>
        <v>16.954197530864196</v>
      </c>
      <c r="AE249">
        <f t="shared" si="41"/>
        <v>10.454093831111111</v>
      </c>
      <c r="AF249" s="9"/>
      <c r="AG249" s="22">
        <v>1.1035200000000001</v>
      </c>
      <c r="AH249" s="22">
        <v>20.829000000000001</v>
      </c>
      <c r="AI249" s="22">
        <v>-1.3461300000000001E-2</v>
      </c>
      <c r="AJ249" s="22">
        <v>239</v>
      </c>
      <c r="AK249" s="22">
        <v>1.10229</v>
      </c>
      <c r="AL249">
        <f t="shared" si="42"/>
        <v>16.618888888888886</v>
      </c>
      <c r="AM249">
        <f t="shared" si="43"/>
        <v>18.339276266666666</v>
      </c>
      <c r="AP249" s="9"/>
      <c r="AQ249" s="22">
        <v>0.61660800000000004</v>
      </c>
      <c r="AR249" s="22">
        <v>26.392800000000001</v>
      </c>
      <c r="AS249" s="22">
        <v>-1.3736E-2</v>
      </c>
      <c r="AT249" s="22">
        <v>239</v>
      </c>
      <c r="AU249" s="22">
        <v>0.61575299999999999</v>
      </c>
      <c r="AV249">
        <f t="shared" si="44"/>
        <v>16.958024691358023</v>
      </c>
      <c r="AW249">
        <f t="shared" si="45"/>
        <v>10.456453688888889</v>
      </c>
      <c r="AX249" s="9"/>
      <c r="AY249" s="22">
        <v>1.1035200000000001</v>
      </c>
      <c r="AZ249" s="22">
        <v>30.252300000000002</v>
      </c>
      <c r="BA249" s="22">
        <v>-1.3543700000000001E-2</v>
      </c>
      <c r="BB249" s="22">
        <v>239</v>
      </c>
      <c r="BC249" s="22">
        <v>1.1029100000000001</v>
      </c>
      <c r="BD249">
        <f t="shared" si="46"/>
        <v>16.720617283950617</v>
      </c>
      <c r="BE249">
        <f t="shared" si="47"/>
        <v>18.451535585185184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0.611572</v>
      </c>
      <c r="H250" s="22">
        <v>7.6433600000000004</v>
      </c>
      <c r="I250" s="22">
        <v>-1.36749E-2</v>
      </c>
      <c r="J250" s="22">
        <v>240</v>
      </c>
      <c r="K250" s="22">
        <v>0.61074799999999996</v>
      </c>
      <c r="L250">
        <f t="shared" si="36"/>
        <v>16.882592592592591</v>
      </c>
      <c r="M250">
        <f t="shared" si="37"/>
        <v>10.324920917037035</v>
      </c>
      <c r="N250" s="9"/>
      <c r="O250" s="22">
        <v>1.1085499999999999</v>
      </c>
      <c r="P250" s="22">
        <v>11.502800000000001</v>
      </c>
      <c r="Q250" s="22">
        <v>-1.3412500000000001E-2</v>
      </c>
      <c r="R250" s="22">
        <v>240</v>
      </c>
      <c r="S250" s="22">
        <v>1.10748</v>
      </c>
      <c r="T250">
        <f t="shared" si="38"/>
        <v>16.558641975308642</v>
      </c>
      <c r="U250">
        <f t="shared" si="39"/>
        <v>18.356082561728396</v>
      </c>
      <c r="X250" s="9"/>
      <c r="Y250" s="22">
        <v>0.611572</v>
      </c>
      <c r="Z250" s="22">
        <v>16.979600000000001</v>
      </c>
      <c r="AA250" s="22">
        <v>-1.3738999999999999E-2</v>
      </c>
      <c r="AB250" s="22">
        <v>240</v>
      </c>
      <c r="AC250" s="22">
        <v>0.61077899999999996</v>
      </c>
      <c r="AD250">
        <f t="shared" si="40"/>
        <v>16.961728395061726</v>
      </c>
      <c r="AE250">
        <f t="shared" si="41"/>
        <v>10.37331815802469</v>
      </c>
      <c r="AF250" s="9"/>
      <c r="AG250" s="22">
        <v>1.1085499999999999</v>
      </c>
      <c r="AH250" s="22">
        <v>20.839099999999998</v>
      </c>
      <c r="AI250" s="22">
        <v>-1.34552E-2</v>
      </c>
      <c r="AJ250" s="22">
        <v>240</v>
      </c>
      <c r="AK250" s="22">
        <v>1.1077900000000001</v>
      </c>
      <c r="AL250">
        <f t="shared" si="42"/>
        <v>16.611358024691356</v>
      </c>
      <c r="AM250">
        <f t="shared" si="43"/>
        <v>18.4145209382716</v>
      </c>
      <c r="AP250" s="9"/>
      <c r="AQ250" s="22">
        <v>0.611572</v>
      </c>
      <c r="AR250" s="22">
        <v>26.402899999999999</v>
      </c>
      <c r="AS250" s="22">
        <v>-1.3738999999999999E-2</v>
      </c>
      <c r="AT250" s="22">
        <v>240</v>
      </c>
      <c r="AU250" s="22">
        <v>0.61071799999999998</v>
      </c>
      <c r="AV250">
        <f t="shared" si="44"/>
        <v>16.961728395061726</v>
      </c>
      <c r="AW250">
        <f t="shared" si="45"/>
        <v>10.37331815802469</v>
      </c>
      <c r="AX250" s="9"/>
      <c r="AY250" s="22">
        <v>1.1085499999999999</v>
      </c>
      <c r="AZ250" s="22">
        <v>30.2623</v>
      </c>
      <c r="BA250" s="22">
        <v>-1.35315E-2</v>
      </c>
      <c r="BB250" s="22">
        <v>240</v>
      </c>
      <c r="BC250" s="22">
        <v>1.1071800000000001</v>
      </c>
      <c r="BD250">
        <f t="shared" si="46"/>
        <v>16.705555555555552</v>
      </c>
      <c r="BE250">
        <f t="shared" si="47"/>
        <v>18.518943611111105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0.60653699999999999</v>
      </c>
      <c r="H251" s="22">
        <v>7.6534399999999998</v>
      </c>
      <c r="I251" s="22">
        <v>-1.3681E-2</v>
      </c>
      <c r="J251" s="22">
        <v>241</v>
      </c>
      <c r="K251" s="22">
        <v>0.60571299999999995</v>
      </c>
      <c r="L251">
        <f t="shared" si="36"/>
        <v>16.890123456790121</v>
      </c>
      <c r="M251">
        <f t="shared" si="37"/>
        <v>10.244484811111109</v>
      </c>
      <c r="N251" s="9"/>
      <c r="O251" s="22">
        <v>1.1135900000000001</v>
      </c>
      <c r="P251" s="22">
        <v>11.5129</v>
      </c>
      <c r="Q251" s="22">
        <v>-1.3418599999999999E-2</v>
      </c>
      <c r="R251" s="22">
        <v>241</v>
      </c>
      <c r="S251" s="22">
        <v>1.1123700000000001</v>
      </c>
      <c r="T251">
        <f t="shared" si="38"/>
        <v>16.566172839506169</v>
      </c>
      <c r="U251">
        <f t="shared" si="39"/>
        <v>18.447924412345678</v>
      </c>
      <c r="X251" s="9"/>
      <c r="Y251" s="22">
        <v>0.60653699999999999</v>
      </c>
      <c r="Z251" s="22">
        <v>16.989699999999999</v>
      </c>
      <c r="AA251" s="22">
        <v>-1.37421E-2</v>
      </c>
      <c r="AB251" s="22">
        <v>241</v>
      </c>
      <c r="AC251" s="22">
        <v>0.60571299999999995</v>
      </c>
      <c r="AD251">
        <f t="shared" si="40"/>
        <v>16.965555555555554</v>
      </c>
      <c r="AE251">
        <f t="shared" si="41"/>
        <v>10.290237169999999</v>
      </c>
      <c r="AF251" s="9"/>
      <c r="AG251" s="22">
        <v>1.1135900000000001</v>
      </c>
      <c r="AH251" s="22">
        <v>20.8492</v>
      </c>
      <c r="AI251" s="22">
        <v>-1.3461300000000001E-2</v>
      </c>
      <c r="AJ251" s="22">
        <v>241</v>
      </c>
      <c r="AK251" s="22">
        <v>1.1123700000000001</v>
      </c>
      <c r="AL251">
        <f t="shared" si="42"/>
        <v>16.618888888888886</v>
      </c>
      <c r="AM251">
        <f t="shared" si="43"/>
        <v>18.506628477777777</v>
      </c>
      <c r="AP251" s="9"/>
      <c r="AQ251" s="22">
        <v>0.60653699999999999</v>
      </c>
      <c r="AR251" s="22">
        <v>26.4129</v>
      </c>
      <c r="AS251" s="22">
        <v>-1.37482E-2</v>
      </c>
      <c r="AT251" s="22">
        <v>241</v>
      </c>
      <c r="AU251" s="22">
        <v>0.60574300000000003</v>
      </c>
      <c r="AV251">
        <f t="shared" si="44"/>
        <v>16.973086419753084</v>
      </c>
      <c r="AW251">
        <f t="shared" si="45"/>
        <v>10.294804917777777</v>
      </c>
      <c r="AX251" s="9"/>
      <c r="AY251" s="22">
        <v>1.1135900000000001</v>
      </c>
      <c r="AZ251" s="22">
        <v>30.272400000000001</v>
      </c>
      <c r="BA251" s="22">
        <v>-1.35254E-2</v>
      </c>
      <c r="BB251" s="22">
        <v>241</v>
      </c>
      <c r="BC251" s="22">
        <v>1.1123700000000001</v>
      </c>
      <c r="BD251">
        <f t="shared" si="46"/>
        <v>16.698024691358025</v>
      </c>
      <c r="BE251">
        <f t="shared" si="47"/>
        <v>18.594753316049385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0.60150099999999995</v>
      </c>
      <c r="H252" s="22">
        <v>7.6635099999999996</v>
      </c>
      <c r="I252" s="22">
        <v>-1.36902E-2</v>
      </c>
      <c r="J252" s="22">
        <v>242</v>
      </c>
      <c r="K252" s="22">
        <v>0.60067700000000002</v>
      </c>
      <c r="L252">
        <f t="shared" si="36"/>
        <v>16.901481481481479</v>
      </c>
      <c r="M252">
        <f t="shared" si="37"/>
        <v>10.166258012592591</v>
      </c>
      <c r="N252" s="9"/>
      <c r="O252" s="22">
        <v>1.1186199999999999</v>
      </c>
      <c r="P252" s="22">
        <v>11.523</v>
      </c>
      <c r="Q252" s="22">
        <v>-1.3421600000000001E-2</v>
      </c>
      <c r="R252" s="22">
        <v>242</v>
      </c>
      <c r="S252" s="22">
        <v>1.1172500000000001</v>
      </c>
      <c r="T252">
        <f t="shared" si="38"/>
        <v>16.569876543209876</v>
      </c>
      <c r="U252">
        <f t="shared" si="39"/>
        <v>18.53539529876543</v>
      </c>
      <c r="X252" s="9"/>
      <c r="Y252" s="22">
        <v>0.60150099999999995</v>
      </c>
      <c r="Z252" s="22">
        <v>16.9998</v>
      </c>
      <c r="AA252" s="22">
        <v>-1.37451E-2</v>
      </c>
      <c r="AB252" s="22">
        <v>242</v>
      </c>
      <c r="AC252" s="22">
        <v>0.60070800000000002</v>
      </c>
      <c r="AD252">
        <f t="shared" si="40"/>
        <v>16.969259259259257</v>
      </c>
      <c r="AE252">
        <f t="shared" si="41"/>
        <v>10.207026413703701</v>
      </c>
      <c r="AF252" s="9"/>
      <c r="AG252" s="22">
        <v>1.1186199999999999</v>
      </c>
      <c r="AH252" s="22">
        <v>20.859200000000001</v>
      </c>
      <c r="AI252" s="22">
        <v>-1.34491E-2</v>
      </c>
      <c r="AJ252" s="22">
        <v>242</v>
      </c>
      <c r="AK252" s="22">
        <v>1.11816</v>
      </c>
      <c r="AL252">
        <f t="shared" si="42"/>
        <v>16.603827160493829</v>
      </c>
      <c r="AM252">
        <f t="shared" si="43"/>
        <v>18.573373138271606</v>
      </c>
      <c r="AP252" s="9"/>
      <c r="AQ252" s="22">
        <v>0.60150099999999995</v>
      </c>
      <c r="AR252" s="22">
        <v>26.422999999999998</v>
      </c>
      <c r="AS252" s="22">
        <v>-1.37512E-2</v>
      </c>
      <c r="AT252" s="22">
        <v>242</v>
      </c>
      <c r="AU252" s="22">
        <v>0.60070800000000002</v>
      </c>
      <c r="AV252">
        <f t="shared" si="44"/>
        <v>16.976790123456787</v>
      </c>
      <c r="AW252">
        <f t="shared" si="45"/>
        <v>10.211556236049381</v>
      </c>
      <c r="AX252" s="9"/>
      <c r="AY252" s="22">
        <v>1.1186199999999999</v>
      </c>
      <c r="AZ252" s="22">
        <v>30.282499999999999</v>
      </c>
      <c r="BA252" s="22">
        <v>-1.3522299999999999E-2</v>
      </c>
      <c r="BB252" s="22">
        <v>242</v>
      </c>
      <c r="BC252" s="22">
        <v>1.1178600000000001</v>
      </c>
      <c r="BD252">
        <f t="shared" si="46"/>
        <v>16.694197530864194</v>
      </c>
      <c r="BE252">
        <f t="shared" si="47"/>
        <v>18.674463241975303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0.59646600000000005</v>
      </c>
      <c r="H253" s="22">
        <v>7.6735800000000003</v>
      </c>
      <c r="I253" s="22">
        <v>-1.36963E-2</v>
      </c>
      <c r="J253" s="22">
        <v>243</v>
      </c>
      <c r="K253" s="22">
        <v>0.59561200000000003</v>
      </c>
      <c r="L253">
        <f t="shared" si="36"/>
        <v>16.90901234567901</v>
      </c>
      <c r="M253">
        <f t="shared" si="37"/>
        <v>10.085650957777776</v>
      </c>
      <c r="N253" s="9"/>
      <c r="O253" s="22">
        <v>1.1236600000000001</v>
      </c>
      <c r="P253" s="22">
        <v>11.533099999999999</v>
      </c>
      <c r="Q253" s="22">
        <v>-1.34094E-2</v>
      </c>
      <c r="R253" s="22">
        <v>243</v>
      </c>
      <c r="S253" s="22">
        <v>1.1221300000000001</v>
      </c>
      <c r="T253">
        <f t="shared" si="38"/>
        <v>16.554814814814815</v>
      </c>
      <c r="U253">
        <f t="shared" si="39"/>
        <v>18.601983214814815</v>
      </c>
      <c r="X253" s="9"/>
      <c r="Y253" s="22">
        <v>0.59646600000000005</v>
      </c>
      <c r="Z253" s="22">
        <v>17.009799999999998</v>
      </c>
      <c r="AA253" s="22">
        <v>-1.37482E-2</v>
      </c>
      <c r="AB253" s="22">
        <v>243</v>
      </c>
      <c r="AC253" s="22">
        <v>0.59573399999999999</v>
      </c>
      <c r="AD253">
        <f t="shared" si="40"/>
        <v>16.973086419753084</v>
      </c>
      <c r="AE253">
        <f t="shared" si="41"/>
        <v>10.123868964444444</v>
      </c>
      <c r="AF253" s="9"/>
      <c r="AG253" s="22">
        <v>1.1236600000000001</v>
      </c>
      <c r="AH253" s="22">
        <v>20.869299999999999</v>
      </c>
      <c r="AI253" s="22">
        <v>-1.3439899999999999E-2</v>
      </c>
      <c r="AJ253" s="22">
        <v>243</v>
      </c>
      <c r="AK253" s="22">
        <v>1.1227400000000001</v>
      </c>
      <c r="AL253">
        <f t="shared" si="42"/>
        <v>16.592469135802467</v>
      </c>
      <c r="AM253">
        <f t="shared" si="43"/>
        <v>18.644293869135801</v>
      </c>
      <c r="AP253" s="9"/>
      <c r="AQ253" s="22">
        <v>0.59646600000000005</v>
      </c>
      <c r="AR253" s="22">
        <v>26.4331</v>
      </c>
      <c r="AS253" s="22">
        <v>-1.37573E-2</v>
      </c>
      <c r="AT253" s="22">
        <v>243</v>
      </c>
      <c r="AU253" s="22">
        <v>0.59570299999999998</v>
      </c>
      <c r="AV253">
        <f t="shared" si="44"/>
        <v>16.984320987654321</v>
      </c>
      <c r="AW253">
        <f t="shared" si="45"/>
        <v>10.130570002222223</v>
      </c>
      <c r="AX253" s="9"/>
      <c r="AY253" s="22">
        <v>1.1236600000000001</v>
      </c>
      <c r="AZ253" s="22">
        <v>30.2925</v>
      </c>
      <c r="BA253" s="22">
        <v>-1.3522299999999999E-2</v>
      </c>
      <c r="BB253" s="22">
        <v>243</v>
      </c>
      <c r="BC253" s="22">
        <v>1.1224400000000001</v>
      </c>
      <c r="BD253">
        <f t="shared" si="46"/>
        <v>16.694197530864194</v>
      </c>
      <c r="BE253">
        <f t="shared" si="47"/>
        <v>18.758601997530864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0.59143100000000004</v>
      </c>
      <c r="H254" s="22">
        <v>7.6836500000000001</v>
      </c>
      <c r="I254" s="22">
        <v>-1.3693200000000001E-2</v>
      </c>
      <c r="J254" s="22">
        <v>244</v>
      </c>
      <c r="K254" s="22">
        <v>0.59063699999999997</v>
      </c>
      <c r="L254">
        <f t="shared" si="36"/>
        <v>16.905185185185186</v>
      </c>
      <c r="M254">
        <f t="shared" si="37"/>
        <v>9.9982505792592598</v>
      </c>
      <c r="N254" s="9"/>
      <c r="O254" s="22">
        <v>1.12869</v>
      </c>
      <c r="P254" s="22">
        <v>11.543100000000001</v>
      </c>
      <c r="Q254" s="22">
        <v>-1.34003E-2</v>
      </c>
      <c r="R254" s="22">
        <v>244</v>
      </c>
      <c r="S254" s="22">
        <v>1.1279300000000001</v>
      </c>
      <c r="T254">
        <f t="shared" si="38"/>
        <v>16.543580246913578</v>
      </c>
      <c r="U254">
        <f t="shared" si="39"/>
        <v>18.672573588888884</v>
      </c>
      <c r="X254" s="9"/>
      <c r="Y254" s="22">
        <v>0.59143100000000004</v>
      </c>
      <c r="Z254" s="22">
        <v>17.0199</v>
      </c>
      <c r="AA254" s="22">
        <v>-1.37482E-2</v>
      </c>
      <c r="AB254" s="22">
        <v>244</v>
      </c>
      <c r="AC254" s="22">
        <v>0.59060699999999999</v>
      </c>
      <c r="AD254">
        <f t="shared" si="40"/>
        <v>16.973086419753084</v>
      </c>
      <c r="AE254">
        <f t="shared" si="41"/>
        <v>10.038409474320988</v>
      </c>
      <c r="AF254" s="9"/>
      <c r="AG254" s="22">
        <v>1.12869</v>
      </c>
      <c r="AH254" s="22">
        <v>20.8794</v>
      </c>
      <c r="AI254" s="22">
        <v>-1.34369E-2</v>
      </c>
      <c r="AJ254" s="22">
        <v>244</v>
      </c>
      <c r="AK254" s="22">
        <v>1.1276200000000001</v>
      </c>
      <c r="AL254">
        <f t="shared" si="42"/>
        <v>16.588765432098764</v>
      </c>
      <c r="AM254">
        <f t="shared" si="43"/>
        <v>18.723573655555555</v>
      </c>
      <c r="AP254" s="9"/>
      <c r="AQ254" s="22">
        <v>0.59143100000000004</v>
      </c>
      <c r="AR254" s="22">
        <v>26.443100000000001</v>
      </c>
      <c r="AS254" s="22">
        <v>-1.3760400000000001E-2</v>
      </c>
      <c r="AT254" s="22">
        <v>244</v>
      </c>
      <c r="AU254" s="22">
        <v>0.59069799999999995</v>
      </c>
      <c r="AV254">
        <f t="shared" si="44"/>
        <v>16.988148148148149</v>
      </c>
      <c r="AW254">
        <f t="shared" si="45"/>
        <v>10.047317447407409</v>
      </c>
      <c r="AX254" s="9"/>
      <c r="AY254" s="22">
        <v>1.12869</v>
      </c>
      <c r="AZ254" s="22">
        <v>30.302600000000002</v>
      </c>
      <c r="BA254" s="22">
        <v>-1.3528399999999999E-2</v>
      </c>
      <c r="BB254" s="22">
        <v>244</v>
      </c>
      <c r="BC254" s="22">
        <v>1.1279300000000001</v>
      </c>
      <c r="BD254">
        <f t="shared" si="46"/>
        <v>16.701728395061725</v>
      </c>
      <c r="BE254">
        <f t="shared" si="47"/>
        <v>18.851073822222219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0.586395</v>
      </c>
      <c r="H255" s="22">
        <v>7.6937199999999999</v>
      </c>
      <c r="I255" s="22">
        <v>-1.3693200000000001E-2</v>
      </c>
      <c r="J255" s="22">
        <v>245</v>
      </c>
      <c r="K255" s="22">
        <v>0.58563200000000004</v>
      </c>
      <c r="L255">
        <f t="shared" si="36"/>
        <v>16.905185185185186</v>
      </c>
      <c r="M255">
        <f t="shared" si="37"/>
        <v>9.9131160666666673</v>
      </c>
      <c r="N255" s="9"/>
      <c r="O255" s="22">
        <v>1.1337299999999999</v>
      </c>
      <c r="P255" s="22">
        <v>11.5532</v>
      </c>
      <c r="Q255" s="22">
        <v>-1.34003E-2</v>
      </c>
      <c r="R255" s="22">
        <v>245</v>
      </c>
      <c r="S255" s="22">
        <v>1.1325099999999999</v>
      </c>
      <c r="T255">
        <f t="shared" si="38"/>
        <v>16.543580246913578</v>
      </c>
      <c r="U255">
        <f t="shared" si="39"/>
        <v>18.755953233333329</v>
      </c>
      <c r="X255" s="9"/>
      <c r="Y255" s="22">
        <v>0.586395</v>
      </c>
      <c r="Z255" s="22">
        <v>17.03</v>
      </c>
      <c r="AA255" s="22">
        <v>-1.37512E-2</v>
      </c>
      <c r="AB255" s="22">
        <v>245</v>
      </c>
      <c r="AC255" s="22">
        <v>0.58569300000000002</v>
      </c>
      <c r="AD255">
        <f t="shared" si="40"/>
        <v>16.976790123456787</v>
      </c>
      <c r="AE255">
        <f t="shared" si="41"/>
        <v>9.9551048444444437</v>
      </c>
      <c r="AF255" s="9"/>
      <c r="AG255" s="22">
        <v>1.1337299999999999</v>
      </c>
      <c r="AH255" s="22">
        <v>20.889399999999998</v>
      </c>
      <c r="AI255" s="22">
        <v>-1.34369E-2</v>
      </c>
      <c r="AJ255" s="22">
        <v>245</v>
      </c>
      <c r="AK255" s="22">
        <v>1.1325099999999999</v>
      </c>
      <c r="AL255">
        <f t="shared" si="42"/>
        <v>16.588765432098764</v>
      </c>
      <c r="AM255">
        <f t="shared" si="43"/>
        <v>18.807181033333329</v>
      </c>
      <c r="AP255" s="9"/>
      <c r="AQ255" s="22">
        <v>0.586395</v>
      </c>
      <c r="AR255" s="22">
        <v>26.453199999999999</v>
      </c>
      <c r="AS255" s="22">
        <v>-1.3766499999999999E-2</v>
      </c>
      <c r="AT255" s="22">
        <v>245</v>
      </c>
      <c r="AU255" s="22">
        <v>0.58563200000000004</v>
      </c>
      <c r="AV255">
        <f t="shared" si="44"/>
        <v>16.995679012345676</v>
      </c>
      <c r="AW255">
        <f t="shared" si="45"/>
        <v>9.9661811944444416</v>
      </c>
      <c r="AX255" s="9"/>
      <c r="AY255" s="22">
        <v>1.1337299999999999</v>
      </c>
      <c r="AZ255" s="22">
        <v>30.3127</v>
      </c>
      <c r="BA255" s="22">
        <v>-1.35315E-2</v>
      </c>
      <c r="BB255" s="22">
        <v>245</v>
      </c>
      <c r="BC255" s="22">
        <v>1.1325099999999999</v>
      </c>
      <c r="BD255">
        <f t="shared" si="46"/>
        <v>16.705555555555552</v>
      </c>
      <c r="BE255">
        <f t="shared" si="47"/>
        <v>18.939589499999993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0.58135999999999999</v>
      </c>
      <c r="H256" s="22">
        <v>7.7037899999999997</v>
      </c>
      <c r="I256" s="22">
        <v>-1.36963E-2</v>
      </c>
      <c r="J256" s="22">
        <v>246</v>
      </c>
      <c r="K256" s="22">
        <v>0.58059700000000003</v>
      </c>
      <c r="L256">
        <f t="shared" si="36"/>
        <v>16.90901234567901</v>
      </c>
      <c r="M256">
        <f t="shared" si="37"/>
        <v>9.830223417283948</v>
      </c>
      <c r="N256" s="9"/>
      <c r="O256" s="22">
        <v>1.13876</v>
      </c>
      <c r="P256" s="22">
        <v>11.5633</v>
      </c>
      <c r="Q256" s="22">
        <v>-1.34003E-2</v>
      </c>
      <c r="R256" s="22">
        <v>246</v>
      </c>
      <c r="S256" s="22">
        <v>1.1376999999999999</v>
      </c>
      <c r="T256">
        <f t="shared" si="38"/>
        <v>16.543580246913578</v>
      </c>
      <c r="U256">
        <f t="shared" si="39"/>
        <v>18.839167441975306</v>
      </c>
      <c r="X256" s="9"/>
      <c r="Y256" s="22">
        <v>0.58135999999999999</v>
      </c>
      <c r="Z256" s="22">
        <v>17.04</v>
      </c>
      <c r="AA256" s="22">
        <v>-1.37512E-2</v>
      </c>
      <c r="AB256" s="22">
        <v>246</v>
      </c>
      <c r="AC256" s="22">
        <v>0.58053600000000005</v>
      </c>
      <c r="AD256">
        <f t="shared" si="40"/>
        <v>16.976790123456787</v>
      </c>
      <c r="AE256">
        <f t="shared" si="41"/>
        <v>9.8696267061728378</v>
      </c>
      <c r="AF256" s="9"/>
      <c r="AG256" s="22">
        <v>1.13876</v>
      </c>
      <c r="AH256" s="22">
        <v>20.8995</v>
      </c>
      <c r="AI256" s="22">
        <v>-1.3424699999999999E-2</v>
      </c>
      <c r="AJ256" s="22">
        <v>246</v>
      </c>
      <c r="AK256" s="22">
        <v>1.1379999999999999</v>
      </c>
      <c r="AL256">
        <f t="shared" si="42"/>
        <v>16.5737037037037</v>
      </c>
      <c r="AM256">
        <f t="shared" si="43"/>
        <v>18.873470829629625</v>
      </c>
      <c r="AP256" s="9"/>
      <c r="AQ256" s="22">
        <v>0.58135999999999999</v>
      </c>
      <c r="AR256" s="22">
        <v>26.4633</v>
      </c>
      <c r="AS256" s="22">
        <v>-1.37787E-2</v>
      </c>
      <c r="AT256" s="22">
        <v>246</v>
      </c>
      <c r="AU256" s="22">
        <v>0.58056600000000003</v>
      </c>
      <c r="AV256">
        <f t="shared" si="44"/>
        <v>17.01074074074074</v>
      </c>
      <c r="AW256">
        <f t="shared" si="45"/>
        <v>9.8893642370370358</v>
      </c>
      <c r="AX256" s="9"/>
      <c r="AY256" s="22">
        <v>1.13876</v>
      </c>
      <c r="AZ256" s="22">
        <v>30.322700000000001</v>
      </c>
      <c r="BA256" s="22">
        <v>-1.35315E-2</v>
      </c>
      <c r="BB256" s="22">
        <v>246</v>
      </c>
      <c r="BC256" s="22">
        <v>1.1386099999999999</v>
      </c>
      <c r="BD256">
        <f t="shared" si="46"/>
        <v>16.705555555555552</v>
      </c>
      <c r="BE256">
        <f t="shared" si="47"/>
        <v>19.023618444444441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0.57632399999999995</v>
      </c>
      <c r="H257" s="22">
        <v>7.7138600000000004</v>
      </c>
      <c r="I257" s="22">
        <v>-1.3693200000000001E-2</v>
      </c>
      <c r="J257" s="22">
        <v>247</v>
      </c>
      <c r="K257" s="22">
        <v>0.57553100000000001</v>
      </c>
      <c r="L257">
        <f t="shared" si="36"/>
        <v>16.905185185185186</v>
      </c>
      <c r="M257">
        <f t="shared" si="37"/>
        <v>9.7428639466666667</v>
      </c>
      <c r="N257" s="9"/>
      <c r="O257" s="22">
        <v>1.1437999999999999</v>
      </c>
      <c r="P257" s="22">
        <v>11.5733</v>
      </c>
      <c r="Q257" s="22">
        <v>-1.33942E-2</v>
      </c>
      <c r="R257" s="22">
        <v>247</v>
      </c>
      <c r="S257" s="22">
        <v>1.1428799999999999</v>
      </c>
      <c r="T257">
        <f t="shared" si="38"/>
        <v>16.536049382716048</v>
      </c>
      <c r="U257">
        <f t="shared" si="39"/>
        <v>18.913933283950612</v>
      </c>
      <c r="X257" s="9"/>
      <c r="Y257" s="22">
        <v>0.57632399999999995</v>
      </c>
      <c r="Z257" s="22">
        <v>17.0501</v>
      </c>
      <c r="AA257" s="22">
        <v>-1.37512E-2</v>
      </c>
      <c r="AB257" s="22">
        <v>247</v>
      </c>
      <c r="AC257" s="22">
        <v>0.57556200000000002</v>
      </c>
      <c r="AD257">
        <f t="shared" si="40"/>
        <v>16.976790123456787</v>
      </c>
      <c r="AE257">
        <f t="shared" si="41"/>
        <v>9.7841315911111089</v>
      </c>
      <c r="AF257" s="9"/>
      <c r="AG257" s="22">
        <v>1.1437999999999999</v>
      </c>
      <c r="AH257" s="22">
        <v>20.909600000000001</v>
      </c>
      <c r="AI257" s="22">
        <v>-1.3418599999999999E-2</v>
      </c>
      <c r="AJ257" s="22">
        <v>247</v>
      </c>
      <c r="AK257" s="22">
        <v>1.1428799999999999</v>
      </c>
      <c r="AL257">
        <f t="shared" si="42"/>
        <v>16.566172839506169</v>
      </c>
      <c r="AM257">
        <f t="shared" si="43"/>
        <v>18.948388493827157</v>
      </c>
      <c r="AP257" s="9"/>
      <c r="AQ257" s="22">
        <v>0.57632399999999995</v>
      </c>
      <c r="AR257" s="22">
        <v>26.473299999999998</v>
      </c>
      <c r="AS257" s="22">
        <v>-1.3787799999999999E-2</v>
      </c>
      <c r="AT257" s="22">
        <v>247</v>
      </c>
      <c r="AU257" s="22">
        <v>0.57550000000000001</v>
      </c>
      <c r="AV257">
        <f t="shared" si="44"/>
        <v>17.021975308641974</v>
      </c>
      <c r="AW257">
        <f t="shared" si="45"/>
        <v>9.8101728977777753</v>
      </c>
      <c r="AX257" s="9"/>
      <c r="AY257" s="22">
        <v>1.1437999999999999</v>
      </c>
      <c r="AZ257" s="22">
        <v>30.332799999999999</v>
      </c>
      <c r="BA257" s="22">
        <v>-1.35193E-2</v>
      </c>
      <c r="BB257" s="22">
        <v>247</v>
      </c>
      <c r="BC257" s="22">
        <v>1.1425799999999999</v>
      </c>
      <c r="BD257">
        <f t="shared" si="46"/>
        <v>16.690493827160495</v>
      </c>
      <c r="BE257">
        <f t="shared" si="47"/>
        <v>19.090586839506173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0.57128900000000005</v>
      </c>
      <c r="H258" s="22">
        <v>7.7239300000000002</v>
      </c>
      <c r="I258" s="22">
        <v>-1.3699299999999999E-2</v>
      </c>
      <c r="J258" s="22">
        <v>248</v>
      </c>
      <c r="K258" s="22">
        <v>0.570496</v>
      </c>
      <c r="L258">
        <f t="shared" si="36"/>
        <v>16.912716049382716</v>
      </c>
      <c r="M258">
        <f t="shared" si="37"/>
        <v>9.6620486391358025</v>
      </c>
      <c r="N258" s="9"/>
      <c r="O258" s="22">
        <v>1.14883</v>
      </c>
      <c r="P258" s="22">
        <v>11.583399999999999</v>
      </c>
      <c r="Q258" s="22">
        <v>-1.33881E-2</v>
      </c>
      <c r="R258" s="22">
        <v>248</v>
      </c>
      <c r="S258" s="22">
        <v>1.14838</v>
      </c>
      <c r="T258">
        <f t="shared" si="38"/>
        <v>16.528518518518517</v>
      </c>
      <c r="U258">
        <f t="shared" si="39"/>
        <v>18.988457929629629</v>
      </c>
      <c r="X258" s="9"/>
      <c r="Y258" s="22">
        <v>0.57128900000000005</v>
      </c>
      <c r="Z258" s="22">
        <v>17.060199999999998</v>
      </c>
      <c r="AA258" s="22">
        <v>-1.3754300000000001E-2</v>
      </c>
      <c r="AB258" s="22">
        <v>248</v>
      </c>
      <c r="AC258" s="22">
        <v>0.57040400000000002</v>
      </c>
      <c r="AD258">
        <f t="shared" si="40"/>
        <v>16.980617283950615</v>
      </c>
      <c r="AE258">
        <f t="shared" si="41"/>
        <v>9.7008398675308634</v>
      </c>
      <c r="AF258" s="9"/>
      <c r="AG258" s="22">
        <v>1.14883</v>
      </c>
      <c r="AH258" s="22">
        <v>20.919699999999999</v>
      </c>
      <c r="AI258" s="22">
        <v>-1.34155E-2</v>
      </c>
      <c r="AJ258" s="22">
        <v>248</v>
      </c>
      <c r="AK258" s="22">
        <v>1.14777</v>
      </c>
      <c r="AL258">
        <f t="shared" si="42"/>
        <v>16.562345679012346</v>
      </c>
      <c r="AM258">
        <f t="shared" si="43"/>
        <v>19.027319586419754</v>
      </c>
      <c r="AP258" s="9"/>
      <c r="AQ258" s="22">
        <v>0.57128900000000005</v>
      </c>
      <c r="AR258" s="22">
        <v>26.4834</v>
      </c>
      <c r="AS258" s="22">
        <v>-1.37909E-2</v>
      </c>
      <c r="AT258" s="22">
        <v>248</v>
      </c>
      <c r="AU258" s="22">
        <v>0.570465</v>
      </c>
      <c r="AV258">
        <f t="shared" si="44"/>
        <v>17.025802469135801</v>
      </c>
      <c r="AW258">
        <f t="shared" si="45"/>
        <v>9.7266536667901242</v>
      </c>
      <c r="AX258" s="9"/>
      <c r="AY258" s="22">
        <v>1.14883</v>
      </c>
      <c r="AZ258" s="22">
        <v>30.3429</v>
      </c>
      <c r="BA258" s="22">
        <v>-1.35193E-2</v>
      </c>
      <c r="BB258" s="22">
        <v>248</v>
      </c>
      <c r="BC258" s="22">
        <v>1.14777</v>
      </c>
      <c r="BD258">
        <f t="shared" si="46"/>
        <v>16.690493827160495</v>
      </c>
      <c r="BE258">
        <f t="shared" si="47"/>
        <v>19.174540023456792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0.56625400000000004</v>
      </c>
      <c r="H259" s="22">
        <v>7.734</v>
      </c>
      <c r="I259" s="22">
        <v>-1.3699299999999999E-2</v>
      </c>
      <c r="J259" s="22">
        <v>249</v>
      </c>
      <c r="K259" s="22">
        <v>0.56542999999999999</v>
      </c>
      <c r="L259">
        <f t="shared" si="36"/>
        <v>16.912716049382716</v>
      </c>
      <c r="M259">
        <f t="shared" si="37"/>
        <v>9.5768931138271611</v>
      </c>
      <c r="N259" s="9"/>
      <c r="O259" s="22">
        <v>1.15387</v>
      </c>
      <c r="P259" s="22">
        <v>11.593500000000001</v>
      </c>
      <c r="Q259" s="22">
        <v>-1.3378900000000001E-2</v>
      </c>
      <c r="R259" s="22">
        <v>249</v>
      </c>
      <c r="S259" s="22">
        <v>1.1535599999999999</v>
      </c>
      <c r="T259">
        <f t="shared" si="38"/>
        <v>16.517160493827159</v>
      </c>
      <c r="U259">
        <f t="shared" si="39"/>
        <v>19.058655979012343</v>
      </c>
      <c r="X259" s="9"/>
      <c r="Y259" s="22">
        <v>0.56625400000000004</v>
      </c>
      <c r="Z259" s="22">
        <v>17.0703</v>
      </c>
      <c r="AA259" s="22">
        <v>-1.37512E-2</v>
      </c>
      <c r="AB259" s="22">
        <v>249</v>
      </c>
      <c r="AC259" s="22">
        <v>0.56549099999999997</v>
      </c>
      <c r="AD259">
        <f t="shared" si="40"/>
        <v>16.976790123456787</v>
      </c>
      <c r="AE259">
        <f t="shared" si="41"/>
        <v>9.6131753145679006</v>
      </c>
      <c r="AF259" s="9"/>
      <c r="AG259" s="22">
        <v>1.15387</v>
      </c>
      <c r="AH259" s="22">
        <v>20.9297</v>
      </c>
      <c r="AI259" s="22">
        <v>-1.33972E-2</v>
      </c>
      <c r="AJ259" s="22">
        <v>249</v>
      </c>
      <c r="AK259" s="22">
        <v>1.1529499999999999</v>
      </c>
      <c r="AL259">
        <f t="shared" si="42"/>
        <v>16.539753086419751</v>
      </c>
      <c r="AM259">
        <f t="shared" si="43"/>
        <v>19.084724893827158</v>
      </c>
      <c r="AP259" s="9"/>
      <c r="AQ259" s="22">
        <v>0.56625400000000004</v>
      </c>
      <c r="AR259" s="22">
        <v>26.493500000000001</v>
      </c>
      <c r="AS259" s="22">
        <v>-1.38031E-2</v>
      </c>
      <c r="AT259" s="22">
        <v>249</v>
      </c>
      <c r="AU259" s="22">
        <v>0.56545999999999996</v>
      </c>
      <c r="AV259">
        <f t="shared" si="44"/>
        <v>17.040864197530862</v>
      </c>
      <c r="AW259">
        <f t="shared" si="45"/>
        <v>9.6494575153086419</v>
      </c>
      <c r="AX259" s="9"/>
      <c r="AY259" s="22">
        <v>1.15387</v>
      </c>
      <c r="AZ259" s="22">
        <v>30.353000000000002</v>
      </c>
      <c r="BA259" s="22">
        <v>-1.35193E-2</v>
      </c>
      <c r="BB259" s="22">
        <v>249</v>
      </c>
      <c r="BC259" s="22">
        <v>1.1523399999999999</v>
      </c>
      <c r="BD259">
        <f t="shared" si="46"/>
        <v>16.690493827160495</v>
      </c>
      <c r="BE259">
        <f t="shared" si="47"/>
        <v>19.25866011234568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0.56121799999999999</v>
      </c>
      <c r="H260" s="22">
        <v>7.7440699999999998</v>
      </c>
      <c r="I260" s="22">
        <v>-1.36902E-2</v>
      </c>
      <c r="J260" s="22">
        <v>250</v>
      </c>
      <c r="K260" s="22">
        <v>0.56045500000000004</v>
      </c>
      <c r="L260">
        <f t="shared" si="36"/>
        <v>16.901481481481479</v>
      </c>
      <c r="M260">
        <f t="shared" si="37"/>
        <v>9.485415634074073</v>
      </c>
      <c r="N260" s="9"/>
      <c r="O260" s="22">
        <v>1.1589100000000001</v>
      </c>
      <c r="P260" s="22">
        <v>11.6035</v>
      </c>
      <c r="Q260" s="22">
        <v>-1.3378900000000001E-2</v>
      </c>
      <c r="R260" s="22">
        <v>250</v>
      </c>
      <c r="S260" s="22">
        <v>1.1575299999999999</v>
      </c>
      <c r="T260">
        <f t="shared" si="38"/>
        <v>16.517160493827159</v>
      </c>
      <c r="U260">
        <f t="shared" si="39"/>
        <v>19.141902467901236</v>
      </c>
      <c r="X260" s="9"/>
      <c r="Y260" s="22">
        <v>0.56121799999999999</v>
      </c>
      <c r="Z260" s="22">
        <v>17.080300000000001</v>
      </c>
      <c r="AA260" s="22">
        <v>-1.3754300000000001E-2</v>
      </c>
      <c r="AB260" s="22">
        <v>250</v>
      </c>
      <c r="AC260" s="22">
        <v>0.56045500000000004</v>
      </c>
      <c r="AD260">
        <f t="shared" si="40"/>
        <v>16.980617283950615</v>
      </c>
      <c r="AE260">
        <f t="shared" si="41"/>
        <v>9.5298280708641965</v>
      </c>
      <c r="AF260" s="9"/>
      <c r="AG260" s="22">
        <v>1.1589100000000001</v>
      </c>
      <c r="AH260" s="22">
        <v>20.939800000000002</v>
      </c>
      <c r="AI260" s="22">
        <v>-1.33942E-2</v>
      </c>
      <c r="AJ260" s="22">
        <v>250</v>
      </c>
      <c r="AK260" s="22">
        <v>1.15784</v>
      </c>
      <c r="AL260">
        <f t="shared" si="42"/>
        <v>16.536049382716048</v>
      </c>
      <c r="AM260">
        <f t="shared" si="43"/>
        <v>19.163792990123458</v>
      </c>
      <c r="AP260" s="9"/>
      <c r="AQ260" s="22">
        <v>0.56121799999999999</v>
      </c>
      <c r="AR260" s="22">
        <v>26.503599999999999</v>
      </c>
      <c r="AS260" s="22">
        <v>-1.3809200000000001E-2</v>
      </c>
      <c r="AT260" s="22">
        <v>250</v>
      </c>
      <c r="AU260" s="22">
        <v>0.56045500000000004</v>
      </c>
      <c r="AV260">
        <f t="shared" si="44"/>
        <v>17.048395061728392</v>
      </c>
      <c r="AW260">
        <f t="shared" si="45"/>
        <v>9.567866179753084</v>
      </c>
      <c r="AX260" s="9"/>
      <c r="AY260" s="22">
        <v>1.1589100000000001</v>
      </c>
      <c r="AZ260" s="22">
        <v>30.363</v>
      </c>
      <c r="BA260" s="22">
        <v>-1.35132E-2</v>
      </c>
      <c r="BB260" s="22">
        <v>250</v>
      </c>
      <c r="BC260" s="22">
        <v>1.1575299999999999</v>
      </c>
      <c r="BD260">
        <f t="shared" si="46"/>
        <v>16.682962962962961</v>
      </c>
      <c r="BE260">
        <f t="shared" si="47"/>
        <v>19.334052607407408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0.55618299999999998</v>
      </c>
      <c r="H261" s="22">
        <v>7.7541500000000001</v>
      </c>
      <c r="I261" s="22">
        <v>-1.3677999999999999E-2</v>
      </c>
      <c r="J261" s="22">
        <v>251</v>
      </c>
      <c r="K261" s="22">
        <v>0.55535900000000005</v>
      </c>
      <c r="L261">
        <f t="shared" si="36"/>
        <v>16.886419753086418</v>
      </c>
      <c r="M261">
        <f t="shared" si="37"/>
        <v>9.3919395975308628</v>
      </c>
      <c r="N261" s="9"/>
      <c r="O261" s="22">
        <v>1.16394</v>
      </c>
      <c r="P261" s="22">
        <v>11.6136</v>
      </c>
      <c r="Q261" s="22">
        <v>-1.3369799999999999E-2</v>
      </c>
      <c r="R261" s="22">
        <v>251</v>
      </c>
      <c r="S261" s="22">
        <v>1.1630199999999999</v>
      </c>
      <c r="T261">
        <f t="shared" si="38"/>
        <v>16.505925925925922</v>
      </c>
      <c r="U261">
        <f t="shared" si="39"/>
        <v>19.211907422222218</v>
      </c>
      <c r="X261" s="9"/>
      <c r="Y261" s="22">
        <v>0.55618299999999998</v>
      </c>
      <c r="Z261" s="22">
        <v>17.090399999999999</v>
      </c>
      <c r="AA261" s="22">
        <v>-1.37512E-2</v>
      </c>
      <c r="AB261" s="22">
        <v>251</v>
      </c>
      <c r="AC261" s="22">
        <v>0.55538900000000002</v>
      </c>
      <c r="AD261">
        <f t="shared" si="40"/>
        <v>16.976790123456787</v>
      </c>
      <c r="AE261">
        <f t="shared" si="41"/>
        <v>9.4422020612345658</v>
      </c>
      <c r="AF261" s="9"/>
      <c r="AG261" s="22">
        <v>1.16394</v>
      </c>
      <c r="AH261" s="22">
        <v>20.9499</v>
      </c>
      <c r="AI261" s="22">
        <v>-1.3384999999999999E-2</v>
      </c>
      <c r="AJ261" s="22">
        <v>251</v>
      </c>
      <c r="AK261" s="22">
        <v>1.16272</v>
      </c>
      <c r="AL261">
        <f t="shared" si="42"/>
        <v>16.52469135802469</v>
      </c>
      <c r="AM261">
        <f t="shared" si="43"/>
        <v>19.233749259259255</v>
      </c>
      <c r="AP261" s="9"/>
      <c r="AQ261" s="22">
        <v>0.55618299999999998</v>
      </c>
      <c r="AR261" s="22">
        <v>26.5136</v>
      </c>
      <c r="AS261" s="22">
        <v>-1.38123E-2</v>
      </c>
      <c r="AT261" s="22">
        <v>251</v>
      </c>
      <c r="AU261" s="22">
        <v>0.55532800000000004</v>
      </c>
      <c r="AV261">
        <f t="shared" si="44"/>
        <v>17.052222222222223</v>
      </c>
      <c r="AW261">
        <f t="shared" si="45"/>
        <v>9.4841561122222231</v>
      </c>
      <c r="AX261" s="9"/>
      <c r="AY261" s="22">
        <v>1.16394</v>
      </c>
      <c r="AZ261" s="22">
        <v>30.373100000000001</v>
      </c>
      <c r="BA261" s="22">
        <v>-1.3501000000000001E-2</v>
      </c>
      <c r="BB261" s="22">
        <v>251</v>
      </c>
      <c r="BC261" s="22">
        <v>1.1630199999999999</v>
      </c>
      <c r="BD261">
        <f t="shared" si="46"/>
        <v>16.667901234567903</v>
      </c>
      <c r="BE261">
        <f t="shared" si="47"/>
        <v>19.400436962962964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0.55114700000000005</v>
      </c>
      <c r="H262" s="22">
        <v>7.7642199999999999</v>
      </c>
      <c r="I262" s="22">
        <v>-1.36749E-2</v>
      </c>
      <c r="J262" s="22">
        <v>252</v>
      </c>
      <c r="K262" s="22">
        <v>0.55035400000000001</v>
      </c>
      <c r="L262">
        <f t="shared" si="36"/>
        <v>16.882592592592591</v>
      </c>
      <c r="M262">
        <f t="shared" si="37"/>
        <v>9.3047902596296304</v>
      </c>
      <c r="N262" s="9"/>
      <c r="O262" s="22">
        <v>1.1689799999999999</v>
      </c>
      <c r="P262" s="22">
        <v>11.623699999999999</v>
      </c>
      <c r="Q262" s="22">
        <v>-1.33667E-2</v>
      </c>
      <c r="R262" s="22">
        <v>252</v>
      </c>
      <c r="S262" s="22">
        <v>1.16821</v>
      </c>
      <c r="T262">
        <f t="shared" si="38"/>
        <v>16.502098765432098</v>
      </c>
      <c r="U262">
        <f t="shared" si="39"/>
        <v>19.290623414814814</v>
      </c>
      <c r="X262" s="9"/>
      <c r="Y262" s="22">
        <v>0.55114700000000005</v>
      </c>
      <c r="Z262" s="22">
        <v>17.1005</v>
      </c>
      <c r="AA262" s="22">
        <v>-1.37451E-2</v>
      </c>
      <c r="AB262" s="22">
        <v>252</v>
      </c>
      <c r="AC262" s="22">
        <v>0.55041499999999999</v>
      </c>
      <c r="AD262">
        <f t="shared" si="40"/>
        <v>16.969259259259257</v>
      </c>
      <c r="AE262">
        <f t="shared" si="41"/>
        <v>9.352556332962962</v>
      </c>
      <c r="AF262" s="9"/>
      <c r="AG262" s="22">
        <v>1.1689799999999999</v>
      </c>
      <c r="AH262" s="22">
        <v>20.959900000000001</v>
      </c>
      <c r="AI262" s="22">
        <v>-1.3378900000000001E-2</v>
      </c>
      <c r="AJ262" s="22">
        <v>252</v>
      </c>
      <c r="AK262" s="22">
        <v>1.16821</v>
      </c>
      <c r="AL262">
        <f t="shared" si="42"/>
        <v>16.517160493827159</v>
      </c>
      <c r="AM262">
        <f t="shared" si="43"/>
        <v>19.30823027407407</v>
      </c>
      <c r="AP262" s="9"/>
      <c r="AQ262" s="22">
        <v>0.55114700000000005</v>
      </c>
      <c r="AR262" s="22">
        <v>26.523700000000002</v>
      </c>
      <c r="AS262" s="22">
        <v>-1.38184E-2</v>
      </c>
      <c r="AT262" s="22">
        <v>252</v>
      </c>
      <c r="AU262" s="22">
        <v>0.55035400000000001</v>
      </c>
      <c r="AV262">
        <f t="shared" si="44"/>
        <v>17.05975308641975</v>
      </c>
      <c r="AW262">
        <f t="shared" si="45"/>
        <v>9.4024317343209862</v>
      </c>
      <c r="AX262" s="9"/>
      <c r="AY262" s="22">
        <v>1.1689799999999999</v>
      </c>
      <c r="AZ262" s="22">
        <v>30.383199999999999</v>
      </c>
      <c r="BA262" s="22">
        <v>-1.34888E-2</v>
      </c>
      <c r="BB262" s="22">
        <v>252</v>
      </c>
      <c r="BC262" s="22">
        <v>1.16791</v>
      </c>
      <c r="BD262">
        <f t="shared" si="46"/>
        <v>16.652839506172839</v>
      </c>
      <c r="BE262">
        <f t="shared" si="47"/>
        <v>19.466836325925925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0.54611200000000004</v>
      </c>
      <c r="H263" s="22">
        <v>7.7742899999999997</v>
      </c>
      <c r="I263" s="22">
        <v>-1.36688E-2</v>
      </c>
      <c r="J263" s="22">
        <v>253</v>
      </c>
      <c r="K263" s="22">
        <v>0.54534899999999997</v>
      </c>
      <c r="L263">
        <f t="shared" si="36"/>
        <v>16.87506172839506</v>
      </c>
      <c r="M263">
        <f t="shared" si="37"/>
        <v>9.215673710617283</v>
      </c>
      <c r="N263" s="9"/>
      <c r="O263" s="22">
        <v>1.17401</v>
      </c>
      <c r="P263" s="22">
        <v>11.633800000000001</v>
      </c>
      <c r="Q263" s="22">
        <v>-1.33545E-2</v>
      </c>
      <c r="R263" s="22">
        <v>253</v>
      </c>
      <c r="S263" s="22">
        <v>1.1731</v>
      </c>
      <c r="T263">
        <f t="shared" si="38"/>
        <v>16.487037037037037</v>
      </c>
      <c r="U263">
        <f t="shared" si="39"/>
        <v>19.355946351851852</v>
      </c>
      <c r="X263" s="9"/>
      <c r="Y263" s="22">
        <v>0.54611200000000004</v>
      </c>
      <c r="Z263" s="22">
        <v>17.110499999999998</v>
      </c>
      <c r="AA263" s="22">
        <v>-1.37421E-2</v>
      </c>
      <c r="AB263" s="22">
        <v>253</v>
      </c>
      <c r="AC263" s="22">
        <v>0.545319</v>
      </c>
      <c r="AD263">
        <f t="shared" si="40"/>
        <v>16.965555555555554</v>
      </c>
      <c r="AE263">
        <f t="shared" si="41"/>
        <v>9.2650934755555561</v>
      </c>
      <c r="AF263" s="9"/>
      <c r="AG263" s="22">
        <v>1.17401</v>
      </c>
      <c r="AH263" s="22">
        <v>20.97</v>
      </c>
      <c r="AI263" s="22">
        <v>-1.33759E-2</v>
      </c>
      <c r="AJ263" s="22">
        <v>253</v>
      </c>
      <c r="AK263" s="22">
        <v>1.1734</v>
      </c>
      <c r="AL263">
        <f t="shared" si="42"/>
        <v>16.513456790123456</v>
      </c>
      <c r="AM263">
        <f t="shared" si="43"/>
        <v>19.386963406172839</v>
      </c>
      <c r="AP263" s="9"/>
      <c r="AQ263" s="22">
        <v>0.54611200000000004</v>
      </c>
      <c r="AR263" s="22">
        <v>26.533799999999999</v>
      </c>
      <c r="AS263" s="22">
        <v>-1.38275E-2</v>
      </c>
      <c r="AT263" s="22">
        <v>253</v>
      </c>
      <c r="AU263" s="22">
        <v>0.54528799999999999</v>
      </c>
      <c r="AV263">
        <f t="shared" si="44"/>
        <v>17.070987654320987</v>
      </c>
      <c r="AW263">
        <f t="shared" si="45"/>
        <v>9.3226712098765443</v>
      </c>
      <c r="AX263" s="9"/>
      <c r="AY263" s="22">
        <v>1.17401</v>
      </c>
      <c r="AZ263" s="22">
        <v>30.3932</v>
      </c>
      <c r="BA263" s="22">
        <v>-1.34766E-2</v>
      </c>
      <c r="BB263" s="22">
        <v>253</v>
      </c>
      <c r="BC263" s="22">
        <v>1.17279</v>
      </c>
      <c r="BD263">
        <f t="shared" si="46"/>
        <v>16.637777777777774</v>
      </c>
      <c r="BE263">
        <f t="shared" si="47"/>
        <v>19.532917488888884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0.54107700000000003</v>
      </c>
      <c r="H264" s="22">
        <v>7.7843600000000004</v>
      </c>
      <c r="I264" s="22">
        <v>-1.36597E-2</v>
      </c>
      <c r="J264" s="22">
        <v>254</v>
      </c>
      <c r="K264" s="22">
        <v>0.54028299999999996</v>
      </c>
      <c r="L264">
        <f t="shared" si="36"/>
        <v>16.863827160493827</v>
      </c>
      <c r="M264">
        <f t="shared" si="37"/>
        <v>9.124629008518518</v>
      </c>
      <c r="N264" s="9"/>
      <c r="O264" s="22">
        <v>1.1790499999999999</v>
      </c>
      <c r="P264" s="22">
        <v>11.643800000000001</v>
      </c>
      <c r="Q264" s="22">
        <v>-1.33484E-2</v>
      </c>
      <c r="R264" s="22">
        <v>254</v>
      </c>
      <c r="S264" s="22">
        <v>1.17798</v>
      </c>
      <c r="T264">
        <f t="shared" si="38"/>
        <v>16.479506172839503</v>
      </c>
      <c r="U264">
        <f t="shared" si="39"/>
        <v>19.430161753086416</v>
      </c>
      <c r="X264" s="9"/>
      <c r="Y264" s="22">
        <v>0.54107700000000003</v>
      </c>
      <c r="Z264" s="22">
        <v>17.1206</v>
      </c>
      <c r="AA264" s="22">
        <v>-1.37482E-2</v>
      </c>
      <c r="AB264" s="22">
        <v>254</v>
      </c>
      <c r="AC264" s="22">
        <v>0.54028299999999996</v>
      </c>
      <c r="AD264">
        <f t="shared" si="40"/>
        <v>16.973086419753084</v>
      </c>
      <c r="AE264">
        <f t="shared" si="41"/>
        <v>9.1837466807407395</v>
      </c>
      <c r="AF264" s="9"/>
      <c r="AG264" s="22">
        <v>1.1790499999999999</v>
      </c>
      <c r="AH264" s="22">
        <v>20.9801</v>
      </c>
      <c r="AI264" s="22">
        <v>-1.33606E-2</v>
      </c>
      <c r="AJ264" s="22">
        <v>254</v>
      </c>
      <c r="AK264" s="22">
        <v>1.17767</v>
      </c>
      <c r="AL264">
        <f t="shared" si="42"/>
        <v>16.494567901234568</v>
      </c>
      <c r="AM264">
        <f t="shared" si="43"/>
        <v>19.447920283950616</v>
      </c>
      <c r="AP264" s="9"/>
      <c r="AQ264" s="22">
        <v>0.54107700000000003</v>
      </c>
      <c r="AR264" s="22">
        <v>26.543800000000001</v>
      </c>
      <c r="AS264" s="22">
        <v>-1.38367E-2</v>
      </c>
      <c r="AT264" s="22">
        <v>254</v>
      </c>
      <c r="AU264" s="22">
        <v>0.54025299999999998</v>
      </c>
      <c r="AV264">
        <f t="shared" si="44"/>
        <v>17.082345679012345</v>
      </c>
      <c r="AW264">
        <f t="shared" si="45"/>
        <v>9.2428643529629628</v>
      </c>
      <c r="AX264" s="9"/>
      <c r="AY264" s="22">
        <v>1.1790499999999999</v>
      </c>
      <c r="AZ264" s="22">
        <v>30.403300000000002</v>
      </c>
      <c r="BA264" s="22">
        <v>-1.3458299999999999E-2</v>
      </c>
      <c r="BB264" s="22">
        <v>254</v>
      </c>
      <c r="BC264" s="22">
        <v>1.17767</v>
      </c>
      <c r="BD264">
        <f t="shared" si="46"/>
        <v>16.615185185185183</v>
      </c>
      <c r="BE264">
        <f t="shared" si="47"/>
        <v>19.590134092592589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0.53604099999999999</v>
      </c>
      <c r="H265" s="22">
        <v>7.7944300000000002</v>
      </c>
      <c r="I265" s="22">
        <v>-1.36566E-2</v>
      </c>
      <c r="J265" s="22">
        <v>255</v>
      </c>
      <c r="K265" s="22">
        <v>0.53527800000000003</v>
      </c>
      <c r="L265">
        <f t="shared" si="36"/>
        <v>16.86</v>
      </c>
      <c r="M265">
        <f t="shared" si="37"/>
        <v>9.0376512599999987</v>
      </c>
      <c r="N265" s="9"/>
      <c r="O265" s="22">
        <v>1.18408</v>
      </c>
      <c r="P265" s="22">
        <v>11.6539</v>
      </c>
      <c r="Q265" s="22">
        <v>-1.3336199999999999E-2</v>
      </c>
      <c r="R265" s="22">
        <v>255</v>
      </c>
      <c r="S265" s="22">
        <v>1.18286</v>
      </c>
      <c r="T265">
        <f t="shared" si="38"/>
        <v>16.464444444444442</v>
      </c>
      <c r="U265">
        <f t="shared" si="39"/>
        <v>19.495219377777776</v>
      </c>
      <c r="X265" s="9"/>
      <c r="Y265" s="22">
        <v>0.53604099999999999</v>
      </c>
      <c r="Z265" s="22">
        <v>17.130700000000001</v>
      </c>
      <c r="AA265" s="22">
        <v>-1.37482E-2</v>
      </c>
      <c r="AB265" s="22">
        <v>255</v>
      </c>
      <c r="AC265" s="22">
        <v>0.53521700000000005</v>
      </c>
      <c r="AD265">
        <f t="shared" si="40"/>
        <v>16.973086419753084</v>
      </c>
      <c r="AE265">
        <f t="shared" si="41"/>
        <v>9.0982702175308621</v>
      </c>
      <c r="AF265" s="9"/>
      <c r="AG265" s="22">
        <v>1.18408</v>
      </c>
      <c r="AH265" s="22">
        <v>20.990200000000002</v>
      </c>
      <c r="AI265" s="22">
        <v>-1.33545E-2</v>
      </c>
      <c r="AJ265" s="22">
        <v>255</v>
      </c>
      <c r="AK265" s="22">
        <v>1.18286</v>
      </c>
      <c r="AL265">
        <f t="shared" si="42"/>
        <v>16.487037037037037</v>
      </c>
      <c r="AM265">
        <f t="shared" si="43"/>
        <v>19.521970814814814</v>
      </c>
      <c r="AP265" s="9"/>
      <c r="AQ265" s="22">
        <v>0.53604099999999999</v>
      </c>
      <c r="AR265" s="22">
        <v>26.553899999999999</v>
      </c>
      <c r="AS265" s="22">
        <v>-1.3842800000000001E-2</v>
      </c>
      <c r="AT265" s="22">
        <v>255</v>
      </c>
      <c r="AU265" s="22">
        <v>0.53521700000000005</v>
      </c>
      <c r="AV265">
        <f t="shared" si="44"/>
        <v>17.089876543209876</v>
      </c>
      <c r="AW265">
        <f t="shared" si="45"/>
        <v>9.1608745120987649</v>
      </c>
      <c r="AX265" s="9"/>
      <c r="AY265" s="22">
        <v>1.18408</v>
      </c>
      <c r="AZ265" s="22">
        <v>30.413399999999999</v>
      </c>
      <c r="BA265" s="22">
        <v>-1.34491E-2</v>
      </c>
      <c r="BB265" s="22">
        <v>255</v>
      </c>
      <c r="BC265" s="22">
        <v>1.18286</v>
      </c>
      <c r="BD265">
        <f t="shared" si="46"/>
        <v>16.603827160493829</v>
      </c>
      <c r="BE265">
        <f t="shared" si="47"/>
        <v>19.660259664197532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0.53100599999999998</v>
      </c>
      <c r="H266" s="22">
        <v>7.8045</v>
      </c>
      <c r="I266" s="22">
        <v>-1.36566E-2</v>
      </c>
      <c r="J266" s="22">
        <v>256</v>
      </c>
      <c r="K266" s="22">
        <v>0.53021200000000002</v>
      </c>
      <c r="L266">
        <f t="shared" si="36"/>
        <v>16.86</v>
      </c>
      <c r="M266">
        <f t="shared" si="37"/>
        <v>8.9527611599999997</v>
      </c>
      <c r="N266" s="9"/>
      <c r="O266" s="22">
        <v>1.18912</v>
      </c>
      <c r="P266" s="22">
        <v>11.664</v>
      </c>
      <c r="Q266" s="22">
        <v>-1.3327E-2</v>
      </c>
      <c r="R266" s="22">
        <v>256</v>
      </c>
      <c r="S266" s="22">
        <v>1.18774</v>
      </c>
      <c r="T266">
        <f t="shared" si="38"/>
        <v>16.453086419753085</v>
      </c>
      <c r="U266">
        <f t="shared" si="39"/>
        <v>19.564694123456785</v>
      </c>
      <c r="X266" s="9"/>
      <c r="Y266" s="22">
        <v>0.53100599999999998</v>
      </c>
      <c r="Z266" s="22">
        <v>17.140799999999999</v>
      </c>
      <c r="AA266" s="22">
        <v>-1.37421E-2</v>
      </c>
      <c r="AB266" s="22">
        <v>256</v>
      </c>
      <c r="AC266" s="22">
        <v>0.53021200000000002</v>
      </c>
      <c r="AD266">
        <f t="shared" si="40"/>
        <v>16.965555555555554</v>
      </c>
      <c r="AE266">
        <f t="shared" si="41"/>
        <v>9.0088117933333312</v>
      </c>
      <c r="AF266" s="9"/>
      <c r="AG266" s="22">
        <v>1.18912</v>
      </c>
      <c r="AH266" s="22">
        <v>21.0002</v>
      </c>
      <c r="AI266" s="22">
        <v>-1.33423E-2</v>
      </c>
      <c r="AJ266" s="22">
        <v>256</v>
      </c>
      <c r="AK266" s="22">
        <v>1.1880500000000001</v>
      </c>
      <c r="AL266">
        <f t="shared" si="42"/>
        <v>16.471975308641973</v>
      </c>
      <c r="AM266">
        <f t="shared" si="43"/>
        <v>19.587155279012343</v>
      </c>
      <c r="AP266" s="9"/>
      <c r="AQ266" s="22">
        <v>0.53100599999999998</v>
      </c>
      <c r="AR266" s="22">
        <v>26.564</v>
      </c>
      <c r="AS266" s="22">
        <v>-1.38397E-2</v>
      </c>
      <c r="AT266" s="22">
        <v>256</v>
      </c>
      <c r="AU266" s="22">
        <v>0.53018200000000004</v>
      </c>
      <c r="AV266">
        <f t="shared" si="44"/>
        <v>17.086049382716048</v>
      </c>
      <c r="AW266">
        <f t="shared" si="45"/>
        <v>9.0727947385185175</v>
      </c>
      <c r="AX266" s="9"/>
      <c r="AY266" s="22">
        <v>1.18912</v>
      </c>
      <c r="AZ266" s="22">
        <v>30.423500000000001</v>
      </c>
      <c r="BA266" s="22">
        <v>-1.34521E-2</v>
      </c>
      <c r="BB266" s="22">
        <v>256</v>
      </c>
      <c r="BC266" s="22">
        <v>1.18774</v>
      </c>
      <c r="BD266">
        <f t="shared" si="46"/>
        <v>16.607530864197528</v>
      </c>
      <c r="BE266">
        <f t="shared" si="47"/>
        <v>19.748347101234565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0.52597000000000005</v>
      </c>
      <c r="H267" s="22">
        <v>7.8145699999999998</v>
      </c>
      <c r="I267" s="22">
        <v>-1.36566E-2</v>
      </c>
      <c r="J267" s="22">
        <v>257</v>
      </c>
      <c r="K267" s="22">
        <v>0.52508500000000002</v>
      </c>
      <c r="L267">
        <f t="shared" si="36"/>
        <v>16.86</v>
      </c>
      <c r="M267">
        <f t="shared" si="37"/>
        <v>8.8678542</v>
      </c>
      <c r="N267" s="9"/>
      <c r="O267" s="22">
        <v>1.19415</v>
      </c>
      <c r="P267" s="22">
        <v>11.673999999999999</v>
      </c>
      <c r="Q267" s="22">
        <v>-1.3317900000000001E-2</v>
      </c>
      <c r="R267" s="22">
        <v>257</v>
      </c>
      <c r="S267" s="22">
        <v>1.1926300000000001</v>
      </c>
      <c r="T267">
        <f t="shared" si="38"/>
        <v>16.441851851851851</v>
      </c>
      <c r="U267">
        <f t="shared" si="39"/>
        <v>19.634037388888888</v>
      </c>
      <c r="X267" s="9"/>
      <c r="Y267" s="22">
        <v>0.52597000000000005</v>
      </c>
      <c r="Z267" s="22">
        <v>17.1508</v>
      </c>
      <c r="AA267" s="22">
        <v>-1.37421E-2</v>
      </c>
      <c r="AB267" s="22">
        <v>257</v>
      </c>
      <c r="AC267" s="22">
        <v>0.52526899999999999</v>
      </c>
      <c r="AD267">
        <f t="shared" si="40"/>
        <v>16.965555555555554</v>
      </c>
      <c r="AE267">
        <f t="shared" si="41"/>
        <v>8.9233732555555552</v>
      </c>
      <c r="AF267" s="9"/>
      <c r="AG267" s="22">
        <v>1.19415</v>
      </c>
      <c r="AH267" s="22">
        <v>21.010300000000001</v>
      </c>
      <c r="AI267" s="22">
        <v>-1.3336199999999999E-2</v>
      </c>
      <c r="AJ267" s="22">
        <v>257</v>
      </c>
      <c r="AK267" s="22">
        <v>1.19354</v>
      </c>
      <c r="AL267">
        <f t="shared" si="42"/>
        <v>16.464444444444442</v>
      </c>
      <c r="AM267">
        <f t="shared" si="43"/>
        <v>19.661016333333333</v>
      </c>
      <c r="AP267" s="9"/>
      <c r="AQ267" s="22">
        <v>0.52597000000000005</v>
      </c>
      <c r="AR267" s="22">
        <v>26.574100000000001</v>
      </c>
      <c r="AS267" s="22">
        <v>-1.38397E-2</v>
      </c>
      <c r="AT267" s="22">
        <v>257</v>
      </c>
      <c r="AU267" s="22">
        <v>0.525177</v>
      </c>
      <c r="AV267">
        <f t="shared" si="44"/>
        <v>17.086049382716048</v>
      </c>
      <c r="AW267">
        <f t="shared" si="45"/>
        <v>8.9867493938271608</v>
      </c>
      <c r="AX267" s="9"/>
      <c r="AY267" s="22">
        <v>1.19415</v>
      </c>
      <c r="AZ267" s="22">
        <v>30.433499999999999</v>
      </c>
      <c r="BA267" s="22">
        <v>-1.34552E-2</v>
      </c>
      <c r="BB267" s="22">
        <v>257</v>
      </c>
      <c r="BC267" s="22">
        <v>1.19293</v>
      </c>
      <c r="BD267">
        <f t="shared" si="46"/>
        <v>16.611358024691356</v>
      </c>
      <c r="BE267">
        <f t="shared" si="47"/>
        <v>19.836453185185182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0.52093500000000004</v>
      </c>
      <c r="H268" s="22">
        <v>7.8246399999999996</v>
      </c>
      <c r="I268" s="22">
        <v>-1.3665800000000001E-2</v>
      </c>
      <c r="J268" s="22">
        <v>258</v>
      </c>
      <c r="K268" s="22">
        <v>0.52020299999999997</v>
      </c>
      <c r="L268">
        <f t="shared" ref="L268:L331" si="48">-I268/$F$2*1000</f>
        <v>16.871358024691357</v>
      </c>
      <c r="M268">
        <f t="shared" ref="M268:M331" si="49">L268*G268</f>
        <v>8.7888808925925925</v>
      </c>
      <c r="N268" s="9"/>
      <c r="O268" s="22">
        <v>1.19919</v>
      </c>
      <c r="P268" s="22">
        <v>11.684100000000001</v>
      </c>
      <c r="Q268" s="22">
        <v>-1.33118E-2</v>
      </c>
      <c r="R268" s="22">
        <v>258</v>
      </c>
      <c r="S268" s="22">
        <v>1.1975100000000001</v>
      </c>
      <c r="T268">
        <f t="shared" ref="T268:T331" si="50">-Q268/$F$2*1000</f>
        <v>16.434320987654321</v>
      </c>
      <c r="U268">
        <f t="shared" ref="U268:U331" si="51">T268*O268</f>
        <v>19.707873385185184</v>
      </c>
      <c r="X268" s="9"/>
      <c r="Y268" s="22">
        <v>0.52093500000000004</v>
      </c>
      <c r="Z268" s="22">
        <v>17.160900000000002</v>
      </c>
      <c r="AA268" s="22">
        <v>-1.37421E-2</v>
      </c>
      <c r="AB268" s="22">
        <v>258</v>
      </c>
      <c r="AC268" s="22">
        <v>0.52014199999999999</v>
      </c>
      <c r="AD268">
        <f t="shared" ref="AD268:AD331" si="52">-AA268/$F$2*1000</f>
        <v>16.965555555555554</v>
      </c>
      <c r="AE268">
        <f t="shared" ref="AE268:AE331" si="53">AD268*Y268</f>
        <v>8.8379516833333334</v>
      </c>
      <c r="AF268" s="9"/>
      <c r="AG268" s="22">
        <v>1.19919</v>
      </c>
      <c r="AH268" s="22">
        <v>21.020399999999999</v>
      </c>
      <c r="AI268" s="22">
        <v>-1.3336199999999999E-2</v>
      </c>
      <c r="AJ268" s="22">
        <v>258</v>
      </c>
      <c r="AK268" s="22">
        <v>1.1984300000000001</v>
      </c>
      <c r="AL268">
        <f t="shared" ref="AL268:AL331" si="54">-AI268/$F$2*1000</f>
        <v>16.464444444444442</v>
      </c>
      <c r="AM268">
        <f t="shared" ref="AM268:AM331" si="55">AL268*AG268</f>
        <v>19.74399713333333</v>
      </c>
      <c r="AP268" s="9"/>
      <c r="AQ268" s="22">
        <v>0.52093500000000004</v>
      </c>
      <c r="AR268" s="22">
        <v>26.584099999999999</v>
      </c>
      <c r="AS268" s="22">
        <v>-1.38245E-2</v>
      </c>
      <c r="AT268" s="22">
        <v>258</v>
      </c>
      <c r="AU268" s="22">
        <v>0.52017199999999997</v>
      </c>
      <c r="AV268">
        <f t="shared" ref="AV268:AV331" si="56">-AS268/$F$2*1000</f>
        <v>17.067283950617281</v>
      </c>
      <c r="AW268">
        <f t="shared" ref="AW268:AW331" si="57">AV268*AQ268</f>
        <v>8.8909455648148139</v>
      </c>
      <c r="AX268" s="9"/>
      <c r="AY268" s="22">
        <v>1.19919</v>
      </c>
      <c r="AZ268" s="22">
        <v>30.4436</v>
      </c>
      <c r="BA268" s="22">
        <v>-1.3443E-2</v>
      </c>
      <c r="BB268" s="22">
        <v>258</v>
      </c>
      <c r="BC268" s="22">
        <v>1.1984300000000001</v>
      </c>
      <c r="BD268">
        <f t="shared" ref="BD268:BD331" si="58">-BA268/$F$2*1000</f>
        <v>16.596296296296295</v>
      </c>
      <c r="BE268">
        <f t="shared" ref="BE268:BE331" si="59">BD268*AY268</f>
        <v>19.902112555555554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0.51590000000000003</v>
      </c>
      <c r="H269" s="22">
        <v>7.8347100000000003</v>
      </c>
      <c r="I269" s="22">
        <v>-1.3665800000000001E-2</v>
      </c>
      <c r="J269" s="22">
        <v>259</v>
      </c>
      <c r="K269" s="22">
        <v>0.51516700000000004</v>
      </c>
      <c r="L269">
        <f t="shared" si="48"/>
        <v>16.871358024691357</v>
      </c>
      <c r="M269">
        <f t="shared" si="49"/>
        <v>8.7039336049382712</v>
      </c>
      <c r="N269" s="9"/>
      <c r="O269" s="22">
        <v>1.2042200000000001</v>
      </c>
      <c r="P269" s="22">
        <v>11.6942</v>
      </c>
      <c r="Q269" s="22">
        <v>-1.33057E-2</v>
      </c>
      <c r="R269" s="22">
        <v>259</v>
      </c>
      <c r="S269" s="22">
        <v>1.2030000000000001</v>
      </c>
      <c r="T269">
        <f t="shared" si="50"/>
        <v>16.42679012345679</v>
      </c>
      <c r="U269">
        <f t="shared" si="51"/>
        <v>19.781469202469136</v>
      </c>
      <c r="X269" s="9"/>
      <c r="Y269" s="22">
        <v>0.51590000000000003</v>
      </c>
      <c r="Z269" s="22">
        <v>17.170999999999999</v>
      </c>
      <c r="AA269" s="22">
        <v>-1.3736E-2</v>
      </c>
      <c r="AB269" s="22">
        <v>259</v>
      </c>
      <c r="AC269" s="22">
        <v>0.51504499999999998</v>
      </c>
      <c r="AD269">
        <f t="shared" si="52"/>
        <v>16.958024691358023</v>
      </c>
      <c r="AE269">
        <f t="shared" si="53"/>
        <v>8.7486449382716049</v>
      </c>
      <c r="AF269" s="9"/>
      <c r="AG269" s="22">
        <v>1.2042200000000001</v>
      </c>
      <c r="AH269" s="22">
        <v>21.0304</v>
      </c>
      <c r="AI269" s="22">
        <v>-1.3317900000000001E-2</v>
      </c>
      <c r="AJ269" s="22">
        <v>259</v>
      </c>
      <c r="AK269" s="22">
        <v>1.2033100000000001</v>
      </c>
      <c r="AL269">
        <f t="shared" si="54"/>
        <v>16.441851851851851</v>
      </c>
      <c r="AM269">
        <f t="shared" si="55"/>
        <v>19.799606837037036</v>
      </c>
      <c r="AP269" s="9"/>
      <c r="AQ269" s="22">
        <v>0.51590000000000003</v>
      </c>
      <c r="AR269" s="22">
        <v>26.594200000000001</v>
      </c>
      <c r="AS269" s="22">
        <v>-1.3815300000000001E-2</v>
      </c>
      <c r="AT269" s="22">
        <v>259</v>
      </c>
      <c r="AU269" s="22">
        <v>0.51510599999999995</v>
      </c>
      <c r="AV269">
        <f t="shared" si="56"/>
        <v>17.055925925925926</v>
      </c>
      <c r="AW269">
        <f t="shared" si="57"/>
        <v>8.7991521851851857</v>
      </c>
      <c r="AX269" s="9"/>
      <c r="AY269" s="22">
        <v>1.2042200000000001</v>
      </c>
      <c r="AZ269" s="22">
        <v>30.453700000000001</v>
      </c>
      <c r="BA269" s="22">
        <v>-1.3433799999999999E-2</v>
      </c>
      <c r="BB269" s="22">
        <v>259</v>
      </c>
      <c r="BC269" s="22">
        <v>1.2030000000000001</v>
      </c>
      <c r="BD269">
        <f t="shared" si="58"/>
        <v>16.584938271604937</v>
      </c>
      <c r="BE269">
        <f t="shared" si="59"/>
        <v>19.971914365432099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0.51086399999999998</v>
      </c>
      <c r="H270" s="22">
        <v>7.8447800000000001</v>
      </c>
      <c r="I270" s="22">
        <v>-1.36749E-2</v>
      </c>
      <c r="J270" s="22">
        <v>260</v>
      </c>
      <c r="K270" s="22">
        <v>0.51007100000000005</v>
      </c>
      <c r="L270">
        <f t="shared" si="48"/>
        <v>16.882592592592591</v>
      </c>
      <c r="M270">
        <f t="shared" si="49"/>
        <v>8.6247087822222213</v>
      </c>
      <c r="N270" s="9"/>
      <c r="O270" s="22">
        <v>1.20926</v>
      </c>
      <c r="P270" s="22">
        <v>11.7043</v>
      </c>
      <c r="Q270" s="22">
        <v>-1.32935E-2</v>
      </c>
      <c r="R270" s="22">
        <v>260</v>
      </c>
      <c r="S270" s="22">
        <v>1.2081900000000001</v>
      </c>
      <c r="T270">
        <f t="shared" si="50"/>
        <v>16.411728395061726</v>
      </c>
      <c r="U270">
        <f t="shared" si="51"/>
        <v>19.846046679012343</v>
      </c>
      <c r="X270" s="9"/>
      <c r="Y270" s="22">
        <v>0.51086399999999998</v>
      </c>
      <c r="Z270" s="22">
        <v>17.181000000000001</v>
      </c>
      <c r="AA270" s="22">
        <v>-1.37299E-2</v>
      </c>
      <c r="AB270" s="22">
        <v>260</v>
      </c>
      <c r="AC270" s="22">
        <v>0.51010100000000003</v>
      </c>
      <c r="AD270">
        <f t="shared" si="52"/>
        <v>16.950493827160493</v>
      </c>
      <c r="AE270">
        <f t="shared" si="53"/>
        <v>8.6593970785185181</v>
      </c>
      <c r="AF270" s="9"/>
      <c r="AG270" s="22">
        <v>1.20926</v>
      </c>
      <c r="AH270" s="22">
        <v>21.040500000000002</v>
      </c>
      <c r="AI270" s="22">
        <v>-1.33118E-2</v>
      </c>
      <c r="AJ270" s="22">
        <v>260</v>
      </c>
      <c r="AK270" s="22">
        <v>1.2081900000000001</v>
      </c>
      <c r="AL270">
        <f t="shared" si="54"/>
        <v>16.434320987654321</v>
      </c>
      <c r="AM270">
        <f t="shared" si="55"/>
        <v>19.873366997530862</v>
      </c>
      <c r="AP270" s="9"/>
      <c r="AQ270" s="22">
        <v>0.51086399999999998</v>
      </c>
      <c r="AR270" s="22">
        <v>26.604299999999999</v>
      </c>
      <c r="AS270" s="22">
        <v>-1.38123E-2</v>
      </c>
      <c r="AT270" s="22">
        <v>260</v>
      </c>
      <c r="AU270" s="22">
        <v>0.51007100000000005</v>
      </c>
      <c r="AV270">
        <f t="shared" si="56"/>
        <v>17.052222222222223</v>
      </c>
      <c r="AW270">
        <f t="shared" si="57"/>
        <v>8.7113664533333335</v>
      </c>
      <c r="AX270" s="9"/>
      <c r="AY270" s="22">
        <v>1.20926</v>
      </c>
      <c r="AZ270" s="22">
        <v>30.463699999999999</v>
      </c>
      <c r="BA270" s="22">
        <v>-1.3433799999999999E-2</v>
      </c>
      <c r="BB270" s="22">
        <v>260</v>
      </c>
      <c r="BC270" s="22">
        <v>1.2084999999999999</v>
      </c>
      <c r="BD270">
        <f t="shared" si="58"/>
        <v>16.584938271604937</v>
      </c>
      <c r="BE270">
        <f t="shared" si="59"/>
        <v>20.055502454320987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0.50582899999999997</v>
      </c>
      <c r="H271" s="22">
        <v>7.8548600000000004</v>
      </c>
      <c r="I271" s="22">
        <v>-1.3684099999999999E-2</v>
      </c>
      <c r="J271" s="22">
        <v>261</v>
      </c>
      <c r="K271" s="22">
        <v>0.50509599999999999</v>
      </c>
      <c r="L271">
        <f t="shared" si="48"/>
        <v>16.893950617283949</v>
      </c>
      <c r="M271">
        <f t="shared" si="49"/>
        <v>8.545450146790122</v>
      </c>
      <c r="N271" s="9"/>
      <c r="O271" s="22">
        <v>1.2142900000000001</v>
      </c>
      <c r="P271" s="22">
        <v>11.7143</v>
      </c>
      <c r="Q271" s="22">
        <v>-1.3281299999999999E-2</v>
      </c>
      <c r="R271" s="22">
        <v>261</v>
      </c>
      <c r="S271" s="22">
        <v>1.2133799999999999</v>
      </c>
      <c r="T271">
        <f t="shared" si="50"/>
        <v>16.396666666666665</v>
      </c>
      <c r="U271">
        <f t="shared" si="51"/>
        <v>19.910308366666666</v>
      </c>
      <c r="X271" s="9"/>
      <c r="Y271" s="22">
        <v>0.50582899999999997</v>
      </c>
      <c r="Z271" s="22">
        <v>17.191099999999999</v>
      </c>
      <c r="AA271" s="22">
        <v>-1.37238E-2</v>
      </c>
      <c r="AB271" s="22">
        <v>261</v>
      </c>
      <c r="AC271" s="22">
        <v>0.50509599999999999</v>
      </c>
      <c r="AD271">
        <f t="shared" si="52"/>
        <v>16.942962962962962</v>
      </c>
      <c r="AE271">
        <f t="shared" si="53"/>
        <v>8.5702420125925922</v>
      </c>
      <c r="AF271" s="9"/>
      <c r="AG271" s="22">
        <v>1.2142900000000001</v>
      </c>
      <c r="AH271" s="22">
        <v>21.050599999999999</v>
      </c>
      <c r="AI271" s="22">
        <v>-1.32935E-2</v>
      </c>
      <c r="AJ271" s="22">
        <v>261</v>
      </c>
      <c r="AK271" s="22">
        <v>1.2130700000000001</v>
      </c>
      <c r="AL271">
        <f t="shared" si="54"/>
        <v>16.411728395061726</v>
      </c>
      <c r="AM271">
        <f t="shared" si="55"/>
        <v>19.928597672839505</v>
      </c>
      <c r="AP271" s="9"/>
      <c r="AQ271" s="22">
        <v>0.50582899999999997</v>
      </c>
      <c r="AR271" s="22">
        <v>26.6143</v>
      </c>
      <c r="AS271" s="22">
        <v>-1.38031E-2</v>
      </c>
      <c r="AT271" s="22">
        <v>261</v>
      </c>
      <c r="AU271" s="22">
        <v>0.50494399999999995</v>
      </c>
      <c r="AV271">
        <f t="shared" si="56"/>
        <v>17.040864197530862</v>
      </c>
      <c r="AW271">
        <f t="shared" si="57"/>
        <v>8.6197632961728381</v>
      </c>
      <c r="AX271" s="9"/>
      <c r="AY271" s="22">
        <v>1.2142900000000001</v>
      </c>
      <c r="AZ271" s="22">
        <v>30.473800000000001</v>
      </c>
      <c r="BA271" s="22">
        <v>-1.3421600000000001E-2</v>
      </c>
      <c r="BB271" s="22">
        <v>261</v>
      </c>
      <c r="BC271" s="22">
        <v>1.2133799999999999</v>
      </c>
      <c r="BD271">
        <f t="shared" si="58"/>
        <v>16.569876543209876</v>
      </c>
      <c r="BE271">
        <f t="shared" si="59"/>
        <v>20.120635387654321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0.50079300000000004</v>
      </c>
      <c r="H272" s="22">
        <v>7.8649300000000002</v>
      </c>
      <c r="I272" s="22">
        <v>-1.3687100000000001E-2</v>
      </c>
      <c r="J272" s="22">
        <v>262</v>
      </c>
      <c r="K272" s="22">
        <v>0.5</v>
      </c>
      <c r="L272">
        <f t="shared" si="48"/>
        <v>16.897654320987655</v>
      </c>
      <c r="M272">
        <f t="shared" si="49"/>
        <v>8.4622270003703708</v>
      </c>
      <c r="N272" s="9"/>
      <c r="O272" s="22">
        <v>1.21933</v>
      </c>
      <c r="P272" s="22">
        <v>11.724399999999999</v>
      </c>
      <c r="Q272" s="22">
        <v>-1.32782E-2</v>
      </c>
      <c r="R272" s="22">
        <v>262</v>
      </c>
      <c r="S272" s="22">
        <v>1.2182599999999999</v>
      </c>
      <c r="T272">
        <f t="shared" si="50"/>
        <v>16.392839506172837</v>
      </c>
      <c r="U272">
        <f t="shared" si="51"/>
        <v>19.988280995061725</v>
      </c>
      <c r="X272" s="9"/>
      <c r="Y272" s="22">
        <v>0.50079300000000004</v>
      </c>
      <c r="Z272" s="22">
        <v>17.2012</v>
      </c>
      <c r="AA272" s="22">
        <v>-1.37238E-2</v>
      </c>
      <c r="AB272" s="22">
        <v>262</v>
      </c>
      <c r="AC272" s="22">
        <v>0.5</v>
      </c>
      <c r="AD272">
        <f t="shared" si="52"/>
        <v>16.942962962962962</v>
      </c>
      <c r="AE272">
        <f t="shared" si="53"/>
        <v>8.4849172511111117</v>
      </c>
      <c r="AF272" s="9"/>
      <c r="AG272" s="22">
        <v>1.21933</v>
      </c>
      <c r="AH272" s="22">
        <v>21.060700000000001</v>
      </c>
      <c r="AI272" s="22">
        <v>-1.32782E-2</v>
      </c>
      <c r="AJ272" s="22">
        <v>262</v>
      </c>
      <c r="AK272" s="22">
        <v>1.2185699999999999</v>
      </c>
      <c r="AL272">
        <f t="shared" si="54"/>
        <v>16.392839506172837</v>
      </c>
      <c r="AM272">
        <f t="shared" si="55"/>
        <v>19.988280995061725</v>
      </c>
      <c r="AP272" s="9"/>
      <c r="AQ272" s="22">
        <v>0.50079300000000004</v>
      </c>
      <c r="AR272" s="22">
        <v>26.624400000000001</v>
      </c>
      <c r="AS272" s="22">
        <v>-1.3806199999999999E-2</v>
      </c>
      <c r="AT272" s="22">
        <v>262</v>
      </c>
      <c r="AU272" s="22">
        <v>0.50009199999999998</v>
      </c>
      <c r="AV272">
        <f t="shared" si="56"/>
        <v>17.044691358024689</v>
      </c>
      <c r="AW272">
        <f t="shared" si="57"/>
        <v>8.5358621192592583</v>
      </c>
      <c r="AX272" s="9"/>
      <c r="AY272" s="22">
        <v>1.21933</v>
      </c>
      <c r="AZ272" s="22">
        <v>30.483899999999998</v>
      </c>
      <c r="BA272" s="22">
        <v>-1.3406400000000001E-2</v>
      </c>
      <c r="BB272" s="22">
        <v>262</v>
      </c>
      <c r="BC272" s="22">
        <v>1.2182599999999999</v>
      </c>
      <c r="BD272">
        <f t="shared" si="58"/>
        <v>16.551111111111108</v>
      </c>
      <c r="BE272">
        <f t="shared" si="59"/>
        <v>20.181266311111109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0.49575799999999998</v>
      </c>
      <c r="H273" s="22">
        <v>7.875</v>
      </c>
      <c r="I273" s="22">
        <v>-1.36963E-2</v>
      </c>
      <c r="J273" s="22">
        <v>263</v>
      </c>
      <c r="K273" s="22">
        <v>0.49502600000000002</v>
      </c>
      <c r="L273">
        <f t="shared" si="48"/>
        <v>16.90901234567901</v>
      </c>
      <c r="M273">
        <f t="shared" si="49"/>
        <v>8.3827781424691334</v>
      </c>
      <c r="N273" s="9"/>
      <c r="O273" s="22">
        <v>1.22437</v>
      </c>
      <c r="P273" s="22">
        <v>11.734500000000001</v>
      </c>
      <c r="Q273" s="22">
        <v>-1.3281299999999999E-2</v>
      </c>
      <c r="R273" s="22">
        <v>263</v>
      </c>
      <c r="S273" s="22">
        <v>1.2231399999999999</v>
      </c>
      <c r="T273">
        <f t="shared" si="50"/>
        <v>16.396666666666665</v>
      </c>
      <c r="U273">
        <f t="shared" si="51"/>
        <v>20.075586766666664</v>
      </c>
      <c r="X273" s="9"/>
      <c r="Y273" s="22">
        <v>0.49575799999999998</v>
      </c>
      <c r="Z273" s="22">
        <v>17.211300000000001</v>
      </c>
      <c r="AA273" s="22">
        <v>-1.3720700000000001E-2</v>
      </c>
      <c r="AB273" s="22">
        <v>263</v>
      </c>
      <c r="AC273" s="22">
        <v>0.495056</v>
      </c>
      <c r="AD273">
        <f t="shared" si="52"/>
        <v>16.939135802469135</v>
      </c>
      <c r="AE273">
        <f t="shared" si="53"/>
        <v>8.3977120871604924</v>
      </c>
      <c r="AF273" s="9"/>
      <c r="AG273" s="22">
        <v>1.22437</v>
      </c>
      <c r="AH273" s="22">
        <v>21.070699999999999</v>
      </c>
      <c r="AI273" s="22">
        <v>-1.32599E-2</v>
      </c>
      <c r="AJ273" s="22">
        <v>263</v>
      </c>
      <c r="AK273" s="22">
        <v>1.2228399999999999</v>
      </c>
      <c r="AL273">
        <f t="shared" si="54"/>
        <v>16.370246913580246</v>
      </c>
      <c r="AM273">
        <f t="shared" si="55"/>
        <v>20.043239213580247</v>
      </c>
      <c r="AP273" s="9"/>
      <c r="AQ273" s="22">
        <v>0.49575799999999998</v>
      </c>
      <c r="AR273" s="22">
        <v>26.634499999999999</v>
      </c>
      <c r="AS273" s="22">
        <v>-1.38E-2</v>
      </c>
      <c r="AT273" s="22">
        <v>263</v>
      </c>
      <c r="AU273" s="22">
        <v>0.49499500000000002</v>
      </c>
      <c r="AV273">
        <f t="shared" si="56"/>
        <v>17.037037037037035</v>
      </c>
      <c r="AW273">
        <f t="shared" si="57"/>
        <v>8.4462474074074052</v>
      </c>
      <c r="AX273" s="9"/>
      <c r="AY273" s="22">
        <v>1.22437</v>
      </c>
      <c r="AZ273" s="22">
        <v>30.494</v>
      </c>
      <c r="BA273" s="22">
        <v>-1.34003E-2</v>
      </c>
      <c r="BB273" s="22">
        <v>263</v>
      </c>
      <c r="BC273" s="22">
        <v>1.2237499999999999</v>
      </c>
      <c r="BD273">
        <f t="shared" si="58"/>
        <v>16.543580246913578</v>
      </c>
      <c r="BE273">
        <f t="shared" si="59"/>
        <v>20.255463346913576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0.49072300000000002</v>
      </c>
      <c r="H274" s="22">
        <v>7.8850699999999998</v>
      </c>
      <c r="I274" s="22">
        <v>-1.3693200000000001E-2</v>
      </c>
      <c r="J274" s="22">
        <v>264</v>
      </c>
      <c r="K274" s="22">
        <v>0.489929</v>
      </c>
      <c r="L274">
        <f t="shared" si="48"/>
        <v>16.905185185185186</v>
      </c>
      <c r="M274">
        <f t="shared" si="49"/>
        <v>8.2957631896296302</v>
      </c>
      <c r="N274" s="9"/>
      <c r="O274" s="22">
        <v>1.2294</v>
      </c>
      <c r="P274" s="22">
        <v>11.7445</v>
      </c>
      <c r="Q274" s="22">
        <v>-1.32721E-2</v>
      </c>
      <c r="R274" s="22">
        <v>264</v>
      </c>
      <c r="S274" s="22">
        <v>1.22864</v>
      </c>
      <c r="T274">
        <f t="shared" si="50"/>
        <v>16.385308641975307</v>
      </c>
      <c r="U274">
        <f t="shared" si="51"/>
        <v>20.144098444444442</v>
      </c>
      <c r="X274" s="9"/>
      <c r="Y274" s="22">
        <v>0.49072300000000002</v>
      </c>
      <c r="Z274" s="22">
        <v>17.221299999999999</v>
      </c>
      <c r="AA274" s="22">
        <v>-1.37299E-2</v>
      </c>
      <c r="AB274" s="22">
        <v>264</v>
      </c>
      <c r="AC274" s="22">
        <v>0.489929</v>
      </c>
      <c r="AD274">
        <f t="shared" si="52"/>
        <v>16.950493827160493</v>
      </c>
      <c r="AE274">
        <f t="shared" si="53"/>
        <v>8.3179971823456782</v>
      </c>
      <c r="AF274" s="9"/>
      <c r="AG274" s="22">
        <v>1.2294</v>
      </c>
      <c r="AH274" s="22">
        <v>21.0808</v>
      </c>
      <c r="AI274" s="22">
        <v>-1.3250700000000001E-2</v>
      </c>
      <c r="AJ274" s="22">
        <v>264</v>
      </c>
      <c r="AK274" s="22">
        <v>1.22803</v>
      </c>
      <c r="AL274">
        <f t="shared" si="54"/>
        <v>16.358888888888888</v>
      </c>
      <c r="AM274">
        <f t="shared" si="55"/>
        <v>20.111618</v>
      </c>
      <c r="AP274" s="9"/>
      <c r="AQ274" s="22">
        <v>0.49072300000000002</v>
      </c>
      <c r="AR274" s="22">
        <v>26.644600000000001</v>
      </c>
      <c r="AS274" s="22">
        <v>-1.3806199999999999E-2</v>
      </c>
      <c r="AT274" s="22">
        <v>264</v>
      </c>
      <c r="AU274" s="22">
        <v>0.48989899999999997</v>
      </c>
      <c r="AV274">
        <f t="shared" si="56"/>
        <v>17.044691358024689</v>
      </c>
      <c r="AW274">
        <f t="shared" si="57"/>
        <v>8.3642220772839497</v>
      </c>
      <c r="AX274" s="9"/>
      <c r="AY274" s="22">
        <v>1.2294</v>
      </c>
      <c r="AZ274" s="22">
        <v>30.504000000000001</v>
      </c>
      <c r="BA274" s="22">
        <v>-1.3384999999999999E-2</v>
      </c>
      <c r="BB274" s="22">
        <v>264</v>
      </c>
      <c r="BC274" s="22">
        <v>1.22803</v>
      </c>
      <c r="BD274">
        <f t="shared" si="58"/>
        <v>16.52469135802469</v>
      </c>
      <c r="BE274">
        <f t="shared" si="59"/>
        <v>20.315455555555555</v>
      </c>
    </row>
    <row r="275" spans="6:101">
      <c r="F275" s="9"/>
      <c r="G275" s="22">
        <v>0.48568699999999998</v>
      </c>
      <c r="H275" s="22">
        <v>7.8951399999999996</v>
      </c>
      <c r="I275" s="22">
        <v>-1.3687100000000001E-2</v>
      </c>
      <c r="J275" s="22">
        <v>265</v>
      </c>
      <c r="K275" s="22">
        <v>0.48495500000000002</v>
      </c>
      <c r="L275">
        <f t="shared" si="48"/>
        <v>16.897654320987655</v>
      </c>
      <c r="M275">
        <f t="shared" si="49"/>
        <v>8.2069710341975313</v>
      </c>
      <c r="N275" s="9"/>
      <c r="O275" s="22">
        <v>1.23444</v>
      </c>
      <c r="P275" s="22">
        <v>11.7546</v>
      </c>
      <c r="Q275" s="22">
        <v>-1.32538E-2</v>
      </c>
      <c r="R275" s="22">
        <v>265</v>
      </c>
      <c r="S275" s="22">
        <v>1.23291</v>
      </c>
      <c r="T275">
        <f t="shared" si="50"/>
        <v>16.362716049382716</v>
      </c>
      <c r="U275">
        <f t="shared" si="51"/>
        <v>20.198791199999999</v>
      </c>
      <c r="X275" s="9"/>
      <c r="Y275" s="22">
        <v>0.48568699999999998</v>
      </c>
      <c r="Z275" s="22">
        <v>17.231400000000001</v>
      </c>
      <c r="AA275" s="22">
        <v>-1.3736E-2</v>
      </c>
      <c r="AB275" s="22">
        <v>265</v>
      </c>
      <c r="AC275" s="22">
        <v>0.484985</v>
      </c>
      <c r="AD275">
        <f t="shared" si="52"/>
        <v>16.958024691358023</v>
      </c>
      <c r="AE275">
        <f t="shared" si="53"/>
        <v>8.2362921382716046</v>
      </c>
      <c r="AF275" s="9"/>
      <c r="AG275" s="22">
        <v>1.23444</v>
      </c>
      <c r="AH275" s="22">
        <v>21.090900000000001</v>
      </c>
      <c r="AI275" s="22">
        <v>-1.3250700000000001E-2</v>
      </c>
      <c r="AJ275" s="22">
        <v>265</v>
      </c>
      <c r="AK275" s="22">
        <v>1.23383</v>
      </c>
      <c r="AL275">
        <f t="shared" si="54"/>
        <v>16.358888888888888</v>
      </c>
      <c r="AM275">
        <f t="shared" si="55"/>
        <v>20.194066799999998</v>
      </c>
      <c r="AP275" s="9"/>
      <c r="AQ275" s="22">
        <v>0.48568699999999998</v>
      </c>
      <c r="AR275" s="22">
        <v>26.654599999999999</v>
      </c>
      <c r="AS275" s="22">
        <v>-1.3809200000000001E-2</v>
      </c>
      <c r="AT275" s="22">
        <v>265</v>
      </c>
      <c r="AU275" s="22">
        <v>0.48489399999999999</v>
      </c>
      <c r="AV275">
        <f t="shared" si="56"/>
        <v>17.048395061728392</v>
      </c>
      <c r="AW275">
        <f t="shared" si="57"/>
        <v>8.2801838523456777</v>
      </c>
      <c r="AX275" s="9"/>
      <c r="AY275" s="22">
        <v>1.23444</v>
      </c>
      <c r="AZ275" s="22">
        <v>30.514099999999999</v>
      </c>
      <c r="BA275" s="22">
        <v>-1.3384999999999999E-2</v>
      </c>
      <c r="BB275" s="22">
        <v>265</v>
      </c>
      <c r="BC275" s="22">
        <v>1.23291</v>
      </c>
      <c r="BD275">
        <f t="shared" si="58"/>
        <v>16.52469135802469</v>
      </c>
      <c r="BE275">
        <f t="shared" si="59"/>
        <v>20.398739999999997</v>
      </c>
    </row>
    <row r="276" spans="6:101">
      <c r="F276" s="9"/>
      <c r="G276" s="22">
        <v>0.48065200000000002</v>
      </c>
      <c r="H276" s="22">
        <v>7.9052100000000003</v>
      </c>
      <c r="I276" s="22">
        <v>-1.36749E-2</v>
      </c>
      <c r="J276" s="22">
        <v>266</v>
      </c>
      <c r="K276" s="22">
        <v>0.47991899999999998</v>
      </c>
      <c r="L276">
        <f t="shared" si="48"/>
        <v>16.882592592592591</v>
      </c>
      <c r="M276">
        <f t="shared" si="49"/>
        <v>8.1146518948148145</v>
      </c>
      <c r="N276" s="9"/>
      <c r="O276" s="22">
        <v>1.2394700000000001</v>
      </c>
      <c r="P276" s="22">
        <v>11.764699999999999</v>
      </c>
      <c r="Q276" s="22">
        <v>-1.3241599999999999E-2</v>
      </c>
      <c r="R276" s="22">
        <v>266</v>
      </c>
      <c r="S276" s="22">
        <v>1.2383999999999999</v>
      </c>
      <c r="T276">
        <f t="shared" si="50"/>
        <v>16.347654320987651</v>
      </c>
      <c r="U276">
        <f t="shared" si="51"/>
        <v>20.262427101234564</v>
      </c>
      <c r="X276" s="9"/>
      <c r="Y276" s="22">
        <v>0.48065200000000002</v>
      </c>
      <c r="Z276" s="22">
        <v>17.241499999999998</v>
      </c>
      <c r="AA276" s="22">
        <v>-1.3738999999999999E-2</v>
      </c>
      <c r="AB276" s="22">
        <v>266</v>
      </c>
      <c r="AC276" s="22">
        <v>0.47985800000000001</v>
      </c>
      <c r="AD276">
        <f t="shared" si="52"/>
        <v>16.961728395061726</v>
      </c>
      <c r="AE276">
        <f t="shared" si="53"/>
        <v>8.1526886765432085</v>
      </c>
      <c r="AF276" s="9"/>
      <c r="AG276" s="22">
        <v>1.2394700000000001</v>
      </c>
      <c r="AH276" s="22">
        <v>21.100899999999999</v>
      </c>
      <c r="AI276" s="22">
        <v>-1.3241599999999999E-2</v>
      </c>
      <c r="AJ276" s="22">
        <v>266</v>
      </c>
      <c r="AK276" s="22">
        <v>1.2383999999999999</v>
      </c>
      <c r="AL276">
        <f t="shared" si="54"/>
        <v>16.347654320987651</v>
      </c>
      <c r="AM276">
        <f t="shared" si="55"/>
        <v>20.262427101234564</v>
      </c>
      <c r="AP276" s="9"/>
      <c r="AQ276" s="22">
        <v>0.48065200000000002</v>
      </c>
      <c r="AR276" s="22">
        <v>26.6647</v>
      </c>
      <c r="AS276" s="22">
        <v>-1.38123E-2</v>
      </c>
      <c r="AT276" s="22">
        <v>266</v>
      </c>
      <c r="AU276" s="22">
        <v>0.47988900000000001</v>
      </c>
      <c r="AV276">
        <f t="shared" si="56"/>
        <v>17.052222222222223</v>
      </c>
      <c r="AW276">
        <f t="shared" si="57"/>
        <v>8.1961847155555567</v>
      </c>
      <c r="AX276" s="9"/>
      <c r="AY276" s="22">
        <v>1.2394700000000001</v>
      </c>
      <c r="AZ276" s="22">
        <v>30.5242</v>
      </c>
      <c r="BA276" s="22">
        <v>-1.3384999999999999E-2</v>
      </c>
      <c r="BB276" s="22">
        <v>266</v>
      </c>
      <c r="BC276" s="22">
        <v>1.23871</v>
      </c>
      <c r="BD276">
        <f t="shared" si="58"/>
        <v>16.52469135802469</v>
      </c>
      <c r="BE276">
        <f t="shared" si="59"/>
        <v>20.481859197530863</v>
      </c>
    </row>
    <row r="277" spans="6:101">
      <c r="F277" s="9"/>
      <c r="G277" s="22">
        <v>0.47561599999999998</v>
      </c>
      <c r="H277" s="22">
        <v>7.9152800000000001</v>
      </c>
      <c r="I277" s="22">
        <v>-1.3665800000000001E-2</v>
      </c>
      <c r="J277" s="22">
        <v>267</v>
      </c>
      <c r="K277" s="22">
        <v>0.47488399999999997</v>
      </c>
      <c r="L277">
        <f t="shared" si="48"/>
        <v>16.871358024691357</v>
      </c>
      <c r="M277">
        <f t="shared" si="49"/>
        <v>8.0242878182716044</v>
      </c>
      <c r="N277" s="9"/>
      <c r="O277" s="22">
        <v>1.24451</v>
      </c>
      <c r="P277" s="22">
        <v>11.774800000000001</v>
      </c>
      <c r="Q277" s="22">
        <v>-1.3235500000000001E-2</v>
      </c>
      <c r="R277" s="22">
        <v>267</v>
      </c>
      <c r="S277" s="22">
        <v>1.2439</v>
      </c>
      <c r="T277">
        <f t="shared" si="50"/>
        <v>16.340123456790124</v>
      </c>
      <c r="U277">
        <f t="shared" si="51"/>
        <v>20.335447043209879</v>
      </c>
      <c r="X277" s="9"/>
      <c r="Y277" s="22">
        <v>0.47561599999999998</v>
      </c>
      <c r="Z277" s="22">
        <v>17.2515</v>
      </c>
      <c r="AA277" s="22">
        <v>-1.3738999999999999E-2</v>
      </c>
      <c r="AB277" s="22">
        <v>267</v>
      </c>
      <c r="AC277" s="22">
        <v>0.47494500000000001</v>
      </c>
      <c r="AD277">
        <f t="shared" si="52"/>
        <v>16.961728395061726</v>
      </c>
      <c r="AE277">
        <f t="shared" si="53"/>
        <v>8.0672694123456772</v>
      </c>
      <c r="AF277" s="9"/>
      <c r="AG277" s="22">
        <v>1.24451</v>
      </c>
      <c r="AH277" s="22">
        <v>21.111000000000001</v>
      </c>
      <c r="AI277" s="22">
        <v>-1.3235500000000001E-2</v>
      </c>
      <c r="AJ277" s="22">
        <v>267</v>
      </c>
      <c r="AK277" s="22">
        <v>1.2439</v>
      </c>
      <c r="AL277">
        <f t="shared" si="54"/>
        <v>16.340123456790124</v>
      </c>
      <c r="AM277">
        <f t="shared" si="55"/>
        <v>20.335447043209879</v>
      </c>
      <c r="AP277" s="9"/>
      <c r="AQ277" s="22">
        <v>0.47561599999999998</v>
      </c>
      <c r="AR277" s="22">
        <v>26.674800000000001</v>
      </c>
      <c r="AS277" s="22">
        <v>-1.3821399999999999E-2</v>
      </c>
      <c r="AT277" s="22">
        <v>267</v>
      </c>
      <c r="AU277" s="22">
        <v>0.47488399999999997</v>
      </c>
      <c r="AV277">
        <f t="shared" si="56"/>
        <v>17.063456790123453</v>
      </c>
      <c r="AW277">
        <f t="shared" si="57"/>
        <v>8.1156530646913563</v>
      </c>
      <c r="AX277" s="9"/>
      <c r="AY277" s="22">
        <v>1.24451</v>
      </c>
      <c r="AZ277" s="22">
        <v>30.534199999999998</v>
      </c>
      <c r="BA277" s="22">
        <v>-1.3384999999999999E-2</v>
      </c>
      <c r="BB277" s="22">
        <v>267</v>
      </c>
      <c r="BC277" s="22">
        <v>1.2439</v>
      </c>
      <c r="BD277">
        <f t="shared" si="58"/>
        <v>16.52469135802469</v>
      </c>
      <c r="BE277">
        <f t="shared" si="59"/>
        <v>20.565143641975308</v>
      </c>
    </row>
    <row r="278" spans="6:101">
      <c r="F278" s="9"/>
      <c r="G278" s="22">
        <v>0.47058100000000003</v>
      </c>
      <c r="H278" s="22">
        <v>7.9253499999999999</v>
      </c>
      <c r="I278" s="22">
        <v>-1.36749E-2</v>
      </c>
      <c r="J278" s="22">
        <v>268</v>
      </c>
      <c r="K278" s="22">
        <v>0.46978799999999998</v>
      </c>
      <c r="L278">
        <f t="shared" si="48"/>
        <v>16.882592592592591</v>
      </c>
      <c r="M278">
        <f t="shared" si="49"/>
        <v>7.9446273048148148</v>
      </c>
      <c r="N278" s="9"/>
      <c r="O278" s="22">
        <v>1.2495400000000001</v>
      </c>
      <c r="P278" s="22">
        <v>11.784800000000001</v>
      </c>
      <c r="Q278" s="22">
        <v>-1.32233E-2</v>
      </c>
      <c r="R278" s="22">
        <v>268</v>
      </c>
      <c r="S278" s="22">
        <v>1.24847</v>
      </c>
      <c r="T278">
        <f t="shared" si="50"/>
        <v>16.32506172839506</v>
      </c>
      <c r="U278">
        <f t="shared" si="51"/>
        <v>20.398817632098766</v>
      </c>
      <c r="X278" s="9"/>
      <c r="Y278" s="22">
        <v>0.47058100000000003</v>
      </c>
      <c r="Z278" s="22">
        <v>17.261600000000001</v>
      </c>
      <c r="AA278" s="22">
        <v>-1.3736E-2</v>
      </c>
      <c r="AB278" s="22">
        <v>268</v>
      </c>
      <c r="AC278" s="22">
        <v>0.46987899999999999</v>
      </c>
      <c r="AD278">
        <f t="shared" si="52"/>
        <v>16.958024691358023</v>
      </c>
      <c r="AE278">
        <f t="shared" si="53"/>
        <v>7.9801242172839508</v>
      </c>
      <c r="AF278" s="9"/>
      <c r="AG278" s="22">
        <v>1.2495400000000001</v>
      </c>
      <c r="AH278" s="22">
        <v>21.121099999999998</v>
      </c>
      <c r="AI278" s="22">
        <v>-1.32233E-2</v>
      </c>
      <c r="AJ278" s="22">
        <v>268</v>
      </c>
      <c r="AK278" s="22">
        <v>1.24847</v>
      </c>
      <c r="AL278">
        <f t="shared" si="54"/>
        <v>16.32506172839506</v>
      </c>
      <c r="AM278">
        <f t="shared" si="55"/>
        <v>20.398817632098766</v>
      </c>
      <c r="AP278" s="9"/>
      <c r="AQ278" s="22">
        <v>0.47058100000000003</v>
      </c>
      <c r="AR278" s="22">
        <v>26.684799999999999</v>
      </c>
      <c r="AS278" s="22">
        <v>-1.3821399999999999E-2</v>
      </c>
      <c r="AT278" s="22">
        <v>268</v>
      </c>
      <c r="AU278" s="22">
        <v>0.46987899999999999</v>
      </c>
      <c r="AV278">
        <f t="shared" si="56"/>
        <v>17.063456790123453</v>
      </c>
      <c r="AW278">
        <f t="shared" si="57"/>
        <v>8.0297385597530848</v>
      </c>
      <c r="AX278" s="9"/>
      <c r="AY278" s="22">
        <v>1.2495400000000001</v>
      </c>
      <c r="AZ278" s="22">
        <v>30.5443</v>
      </c>
      <c r="BA278" s="22">
        <v>-1.33759E-2</v>
      </c>
      <c r="BB278" s="22">
        <v>268</v>
      </c>
      <c r="BC278" s="22">
        <v>1.24817</v>
      </c>
      <c r="BD278">
        <f t="shared" si="58"/>
        <v>16.513456790123456</v>
      </c>
      <c r="BE278">
        <f t="shared" si="59"/>
        <v>20.634224797530866</v>
      </c>
    </row>
    <row r="279" spans="6:101">
      <c r="F279" s="9"/>
      <c r="G279" s="22">
        <v>0.46554600000000002</v>
      </c>
      <c r="H279" s="22">
        <v>7.9354199999999997</v>
      </c>
      <c r="I279" s="22">
        <v>-1.3681E-2</v>
      </c>
      <c r="J279" s="22">
        <v>269</v>
      </c>
      <c r="K279" s="22">
        <v>0.46481299999999998</v>
      </c>
      <c r="L279">
        <f t="shared" si="48"/>
        <v>16.890123456790121</v>
      </c>
      <c r="M279">
        <f t="shared" si="49"/>
        <v>7.8631294148148143</v>
      </c>
      <c r="N279" s="9"/>
      <c r="O279" s="22">
        <v>1.25458</v>
      </c>
      <c r="P279" s="22">
        <v>11.7949</v>
      </c>
      <c r="Q279" s="22">
        <v>-1.3214099999999999E-2</v>
      </c>
      <c r="R279" s="22">
        <v>269</v>
      </c>
      <c r="S279" s="22">
        <v>1.25336</v>
      </c>
      <c r="T279">
        <f t="shared" si="50"/>
        <v>16.313703703703702</v>
      </c>
      <c r="U279">
        <f t="shared" si="51"/>
        <v>20.46684639259259</v>
      </c>
      <c r="X279" s="9"/>
      <c r="Y279" s="22">
        <v>0.46554600000000002</v>
      </c>
      <c r="Z279" s="22">
        <v>17.271699999999999</v>
      </c>
      <c r="AA279" s="22">
        <v>-1.37299E-2</v>
      </c>
      <c r="AB279" s="22">
        <v>269</v>
      </c>
      <c r="AC279" s="22">
        <v>0.46481299999999998</v>
      </c>
      <c r="AD279">
        <f t="shared" si="52"/>
        <v>16.950493827160493</v>
      </c>
      <c r="AE279">
        <f t="shared" si="53"/>
        <v>7.891234599259259</v>
      </c>
      <c r="AF279" s="9"/>
      <c r="AG279" s="22">
        <v>1.25458</v>
      </c>
      <c r="AH279" s="22">
        <v>21.1312</v>
      </c>
      <c r="AI279" s="22">
        <v>-1.32172E-2</v>
      </c>
      <c r="AJ279" s="22">
        <v>269</v>
      </c>
      <c r="AK279" s="22">
        <v>1.25366</v>
      </c>
      <c r="AL279">
        <f t="shared" si="54"/>
        <v>16.317530864197529</v>
      </c>
      <c r="AM279">
        <f t="shared" si="55"/>
        <v>20.471647871604937</v>
      </c>
      <c r="AP279" s="9"/>
      <c r="AQ279" s="22">
        <v>0.46554600000000002</v>
      </c>
      <c r="AR279" s="22">
        <v>26.694900000000001</v>
      </c>
      <c r="AS279" s="22">
        <v>-1.38306E-2</v>
      </c>
      <c r="AT279" s="22">
        <v>269</v>
      </c>
      <c r="AU279" s="22">
        <v>0.464783</v>
      </c>
      <c r="AV279">
        <f t="shared" si="56"/>
        <v>17.074814814814815</v>
      </c>
      <c r="AW279">
        <f t="shared" si="57"/>
        <v>7.9491117377777778</v>
      </c>
      <c r="AX279" s="9"/>
      <c r="AY279" s="22">
        <v>1.25458</v>
      </c>
      <c r="AZ279" s="22">
        <v>30.554400000000001</v>
      </c>
      <c r="BA279" s="22">
        <v>-1.33636E-2</v>
      </c>
      <c r="BB279" s="22">
        <v>269</v>
      </c>
      <c r="BC279" s="22">
        <v>1.25427</v>
      </c>
      <c r="BD279">
        <f t="shared" si="58"/>
        <v>16.498271604938271</v>
      </c>
      <c r="BE279">
        <f t="shared" si="59"/>
        <v>20.698401590123456</v>
      </c>
    </row>
    <row r="280" spans="6:101">
      <c r="F280" s="9"/>
      <c r="G280" s="22">
        <v>0.46050999999999997</v>
      </c>
      <c r="H280" s="22">
        <v>7.9454900000000004</v>
      </c>
      <c r="I280" s="22">
        <v>-1.3684099999999999E-2</v>
      </c>
      <c r="J280" s="22">
        <v>270</v>
      </c>
      <c r="K280" s="22">
        <v>0.45968599999999998</v>
      </c>
      <c r="L280">
        <f t="shared" si="48"/>
        <v>16.893950617283949</v>
      </c>
      <c r="M280">
        <f t="shared" si="49"/>
        <v>7.7798331987654308</v>
      </c>
      <c r="N280" s="9"/>
      <c r="O280" s="22">
        <v>1.2596099999999999</v>
      </c>
      <c r="P280" s="22">
        <v>11.805</v>
      </c>
      <c r="Q280" s="22">
        <v>-1.31989E-2</v>
      </c>
      <c r="R280" s="22">
        <v>270</v>
      </c>
      <c r="S280" s="22">
        <v>1.25824</v>
      </c>
      <c r="T280">
        <f t="shared" si="50"/>
        <v>16.294938271604938</v>
      </c>
      <c r="U280">
        <f t="shared" si="51"/>
        <v>20.525267196296294</v>
      </c>
      <c r="X280" s="9"/>
      <c r="Y280" s="22">
        <v>0.46050999999999997</v>
      </c>
      <c r="Z280" s="22">
        <v>17.281700000000001</v>
      </c>
      <c r="AA280" s="22">
        <v>-1.37299E-2</v>
      </c>
      <c r="AB280" s="22">
        <v>270</v>
      </c>
      <c r="AC280" s="22">
        <v>0.45977800000000002</v>
      </c>
      <c r="AD280">
        <f t="shared" si="52"/>
        <v>16.950493827160493</v>
      </c>
      <c r="AE280">
        <f t="shared" si="53"/>
        <v>7.8058719123456779</v>
      </c>
      <c r="AF280" s="9"/>
      <c r="AG280" s="22">
        <v>1.2596099999999999</v>
      </c>
      <c r="AH280" s="22">
        <v>21.141200000000001</v>
      </c>
      <c r="AI280" s="22">
        <v>-1.3207999999999999E-2</v>
      </c>
      <c r="AJ280" s="22">
        <v>270</v>
      </c>
      <c r="AK280" s="22">
        <v>1.25854</v>
      </c>
      <c r="AL280">
        <f t="shared" si="54"/>
        <v>16.306172839506171</v>
      </c>
      <c r="AM280">
        <f t="shared" si="55"/>
        <v>20.539418370370367</v>
      </c>
      <c r="AP280" s="9"/>
      <c r="AQ280" s="22">
        <v>0.46050999999999997</v>
      </c>
      <c r="AR280" s="22">
        <v>26.704999999999998</v>
      </c>
      <c r="AS280" s="22">
        <v>-1.38367E-2</v>
      </c>
      <c r="AT280" s="22">
        <v>270</v>
      </c>
      <c r="AU280" s="22">
        <v>0.45974700000000002</v>
      </c>
      <c r="AV280">
        <f t="shared" si="56"/>
        <v>17.082345679012345</v>
      </c>
      <c r="AW280">
        <f t="shared" si="57"/>
        <v>7.8665910086419748</v>
      </c>
      <c r="AX280" s="9"/>
      <c r="AY280" s="22">
        <v>1.2596099999999999</v>
      </c>
      <c r="AZ280" s="22">
        <v>30.564499999999999</v>
      </c>
      <c r="BA280" s="22">
        <v>-1.3351399999999999E-2</v>
      </c>
      <c r="BB280" s="22">
        <v>270</v>
      </c>
      <c r="BC280" s="22">
        <v>1.25854</v>
      </c>
      <c r="BD280">
        <f t="shared" si="58"/>
        <v>16.483209876543206</v>
      </c>
      <c r="BE280">
        <f t="shared" si="59"/>
        <v>20.762415992592587</v>
      </c>
    </row>
    <row r="281" spans="6:101">
      <c r="F281" s="9"/>
      <c r="G281" s="22">
        <v>0.45547500000000002</v>
      </c>
      <c r="H281" s="22">
        <v>7.9555699999999998</v>
      </c>
      <c r="I281" s="22">
        <v>-1.36902E-2</v>
      </c>
      <c r="J281" s="22">
        <v>271</v>
      </c>
      <c r="K281" s="22">
        <v>0.45474199999999998</v>
      </c>
      <c r="L281">
        <f t="shared" si="48"/>
        <v>16.901481481481479</v>
      </c>
      <c r="M281">
        <f t="shared" si="49"/>
        <v>7.698202277777777</v>
      </c>
      <c r="N281" s="9"/>
      <c r="O281" s="22">
        <v>1.2646500000000001</v>
      </c>
      <c r="P281" s="22">
        <v>11.815</v>
      </c>
      <c r="Q281" s="22">
        <v>-1.31897E-2</v>
      </c>
      <c r="R281" s="22">
        <v>271</v>
      </c>
      <c r="S281" s="22">
        <v>1.26373</v>
      </c>
      <c r="T281">
        <f t="shared" si="50"/>
        <v>16.28358024691358</v>
      </c>
      <c r="U281">
        <f t="shared" si="51"/>
        <v>20.593029759259259</v>
      </c>
      <c r="X281" s="9"/>
      <c r="Y281" s="22">
        <v>0.45547500000000002</v>
      </c>
      <c r="Z281" s="22">
        <v>17.291799999999999</v>
      </c>
      <c r="AA281" s="22">
        <v>-1.3736E-2</v>
      </c>
      <c r="AB281" s="22">
        <v>271</v>
      </c>
      <c r="AC281" s="22">
        <v>0.45474199999999998</v>
      </c>
      <c r="AD281">
        <f t="shared" si="52"/>
        <v>16.958024691358023</v>
      </c>
      <c r="AE281">
        <f t="shared" si="53"/>
        <v>7.7239562962962962</v>
      </c>
      <c r="AF281" s="9"/>
      <c r="AG281" s="22">
        <v>1.2646500000000001</v>
      </c>
      <c r="AH281" s="22">
        <v>21.151299999999999</v>
      </c>
      <c r="AI281" s="22">
        <v>-1.31989E-2</v>
      </c>
      <c r="AJ281" s="22">
        <v>271</v>
      </c>
      <c r="AK281" s="22">
        <v>1.26373</v>
      </c>
      <c r="AL281">
        <f t="shared" si="54"/>
        <v>16.294938271604938</v>
      </c>
      <c r="AM281">
        <f t="shared" si="55"/>
        <v>20.607393685185187</v>
      </c>
      <c r="AP281" s="9"/>
      <c r="AQ281" s="22">
        <v>0.45547500000000002</v>
      </c>
      <c r="AR281" s="22">
        <v>26.7151</v>
      </c>
      <c r="AS281" s="22">
        <v>-1.38397E-2</v>
      </c>
      <c r="AT281" s="22">
        <v>271</v>
      </c>
      <c r="AU281" s="22">
        <v>0.45474199999999998</v>
      </c>
      <c r="AV281">
        <f t="shared" si="56"/>
        <v>17.086049382716048</v>
      </c>
      <c r="AW281">
        <f t="shared" si="57"/>
        <v>7.7822683425925927</v>
      </c>
      <c r="AX281" s="9"/>
      <c r="AY281" s="22">
        <v>1.2646500000000001</v>
      </c>
      <c r="AZ281" s="22">
        <v>30.5745</v>
      </c>
      <c r="BA281" s="22">
        <v>-1.3330099999999999E-2</v>
      </c>
      <c r="BB281" s="22">
        <v>271</v>
      </c>
      <c r="BC281" s="22">
        <v>1.26373</v>
      </c>
      <c r="BD281">
        <f t="shared" si="58"/>
        <v>16.456913580246912</v>
      </c>
      <c r="BE281">
        <f t="shared" si="59"/>
        <v>20.812235759259259</v>
      </c>
    </row>
    <row r="282" spans="6:101">
      <c r="F282" s="9"/>
      <c r="G282" s="22">
        <v>0.45043899999999998</v>
      </c>
      <c r="H282" s="22">
        <v>7.9656399999999996</v>
      </c>
      <c r="I282" s="22">
        <v>-1.36902E-2</v>
      </c>
      <c r="J282" s="22">
        <v>272</v>
      </c>
      <c r="K282" s="22">
        <v>0.44964599999999999</v>
      </c>
      <c r="L282">
        <f t="shared" si="48"/>
        <v>16.901481481481479</v>
      </c>
      <c r="M282">
        <f t="shared" si="49"/>
        <v>7.613086417037036</v>
      </c>
      <c r="N282" s="9"/>
      <c r="O282" s="22">
        <v>1.2696799999999999</v>
      </c>
      <c r="P282" s="22">
        <v>11.825100000000001</v>
      </c>
      <c r="Q282" s="22">
        <v>-1.31775E-2</v>
      </c>
      <c r="R282" s="22">
        <v>272</v>
      </c>
      <c r="S282" s="22">
        <v>1.26892</v>
      </c>
      <c r="T282">
        <f t="shared" si="50"/>
        <v>16.268518518518519</v>
      </c>
      <c r="U282">
        <f t="shared" si="51"/>
        <v>20.655812592592593</v>
      </c>
      <c r="X282" s="9"/>
      <c r="Y282" s="22">
        <v>0.45043899999999998</v>
      </c>
      <c r="Z282" s="22">
        <v>17.3019</v>
      </c>
      <c r="AA282" s="22">
        <v>-1.3736E-2</v>
      </c>
      <c r="AB282" s="22">
        <v>272</v>
      </c>
      <c r="AC282" s="22">
        <v>0.449799</v>
      </c>
      <c r="AD282">
        <f t="shared" si="52"/>
        <v>16.958024691358023</v>
      </c>
      <c r="AE282">
        <f t="shared" si="53"/>
        <v>7.6385556839506163</v>
      </c>
      <c r="AF282" s="9"/>
      <c r="AG282" s="22">
        <v>1.2696799999999999</v>
      </c>
      <c r="AH282" s="22">
        <v>21.1614</v>
      </c>
      <c r="AI282" s="22">
        <v>-1.31989E-2</v>
      </c>
      <c r="AJ282" s="22">
        <v>272</v>
      </c>
      <c r="AK282" s="22">
        <v>1.2686200000000001</v>
      </c>
      <c r="AL282">
        <f t="shared" si="54"/>
        <v>16.294938271604938</v>
      </c>
      <c r="AM282">
        <f t="shared" si="55"/>
        <v>20.689357224691356</v>
      </c>
      <c r="AP282" s="9"/>
      <c r="AQ282" s="22">
        <v>0.45043899999999998</v>
      </c>
      <c r="AR282" s="22">
        <v>26.725100000000001</v>
      </c>
      <c r="AS282" s="22">
        <v>-1.38397E-2</v>
      </c>
      <c r="AT282" s="22">
        <v>272</v>
      </c>
      <c r="AU282" s="22">
        <v>0.44967699999999999</v>
      </c>
      <c r="AV282">
        <f t="shared" si="56"/>
        <v>17.086049382716048</v>
      </c>
      <c r="AW282">
        <f t="shared" si="57"/>
        <v>7.6962229979012333</v>
      </c>
      <c r="AX282" s="9"/>
      <c r="AY282" s="22">
        <v>1.2696799999999999</v>
      </c>
      <c r="AZ282" s="22">
        <v>30.584599999999998</v>
      </c>
      <c r="BA282" s="22">
        <v>-1.33087E-2</v>
      </c>
      <c r="BB282" s="22">
        <v>272</v>
      </c>
      <c r="BC282" s="22">
        <v>1.26831</v>
      </c>
      <c r="BD282">
        <f t="shared" si="58"/>
        <v>16.430493827160493</v>
      </c>
      <c r="BE282">
        <f t="shared" si="59"/>
        <v>20.861469402469133</v>
      </c>
    </row>
    <row r="283" spans="6:101">
      <c r="F283" s="9"/>
      <c r="G283" s="22">
        <v>0.44540400000000002</v>
      </c>
      <c r="H283" s="22">
        <v>7.9757100000000003</v>
      </c>
      <c r="I283" s="22">
        <v>-1.3687100000000001E-2</v>
      </c>
      <c r="J283" s="22">
        <v>273</v>
      </c>
      <c r="K283" s="22">
        <v>0.44464100000000001</v>
      </c>
      <c r="L283">
        <f t="shared" si="48"/>
        <v>16.897654320987655</v>
      </c>
      <c r="M283">
        <f t="shared" si="49"/>
        <v>7.5262828251851861</v>
      </c>
      <c r="N283" s="9"/>
      <c r="O283" s="22">
        <v>1.2747200000000001</v>
      </c>
      <c r="P283" s="22">
        <v>11.8352</v>
      </c>
      <c r="Q283" s="22">
        <v>-1.31714E-2</v>
      </c>
      <c r="R283" s="22">
        <v>273</v>
      </c>
      <c r="S283" s="22">
        <v>1.2738</v>
      </c>
      <c r="T283">
        <f t="shared" si="50"/>
        <v>16.260987654320989</v>
      </c>
      <c r="U283">
        <f t="shared" si="51"/>
        <v>20.72820618271605</v>
      </c>
      <c r="X283" s="9"/>
      <c r="Y283" s="22">
        <v>0.44540400000000002</v>
      </c>
      <c r="Z283" s="22">
        <v>17.312000000000001</v>
      </c>
      <c r="AA283" s="22">
        <v>-1.37421E-2</v>
      </c>
      <c r="AB283" s="22">
        <v>273</v>
      </c>
      <c r="AC283" s="22">
        <v>0.44464100000000001</v>
      </c>
      <c r="AD283">
        <f t="shared" si="52"/>
        <v>16.965555555555554</v>
      </c>
      <c r="AE283">
        <f t="shared" si="53"/>
        <v>7.5565263066666661</v>
      </c>
      <c r="AF283" s="9"/>
      <c r="AG283" s="22">
        <v>1.2747200000000001</v>
      </c>
      <c r="AH283" s="22">
        <v>21.171399999999998</v>
      </c>
      <c r="AI283" s="22">
        <v>-1.3195800000000001E-2</v>
      </c>
      <c r="AJ283" s="22">
        <v>273</v>
      </c>
      <c r="AK283" s="22">
        <v>1.2735000000000001</v>
      </c>
      <c r="AL283">
        <f t="shared" si="54"/>
        <v>16.29111111111111</v>
      </c>
      <c r="AM283">
        <f t="shared" si="55"/>
        <v>20.766605155555556</v>
      </c>
      <c r="AP283" s="9"/>
      <c r="AQ283" s="22">
        <v>0.44540400000000002</v>
      </c>
      <c r="AR283" s="22">
        <v>26.735199999999999</v>
      </c>
      <c r="AS283" s="22">
        <v>-1.38397E-2</v>
      </c>
      <c r="AT283" s="22">
        <v>273</v>
      </c>
      <c r="AU283" s="22">
        <v>0.44470199999999999</v>
      </c>
      <c r="AV283">
        <f t="shared" si="56"/>
        <v>17.086049382716048</v>
      </c>
      <c r="AW283">
        <f t="shared" si="57"/>
        <v>7.610194739259259</v>
      </c>
      <c r="AX283" s="9"/>
      <c r="AY283" s="22">
        <v>1.2747200000000001</v>
      </c>
      <c r="AZ283" s="22">
        <v>30.5947</v>
      </c>
      <c r="BA283" s="22">
        <v>-1.32935E-2</v>
      </c>
      <c r="BB283" s="22">
        <v>273</v>
      </c>
      <c r="BC283" s="22">
        <v>1.2738</v>
      </c>
      <c r="BD283">
        <f t="shared" si="58"/>
        <v>16.411728395061726</v>
      </c>
      <c r="BE283">
        <f t="shared" si="59"/>
        <v>20.920358419753086</v>
      </c>
    </row>
    <row r="284" spans="6:101">
      <c r="F284" s="9"/>
      <c r="G284" s="22">
        <v>0.44036900000000001</v>
      </c>
      <c r="H284" s="22">
        <v>7.9857800000000001</v>
      </c>
      <c r="I284" s="22">
        <v>-1.3687100000000001E-2</v>
      </c>
      <c r="J284" s="22">
        <v>274</v>
      </c>
      <c r="K284" s="22">
        <v>0.439606</v>
      </c>
      <c r="L284">
        <f t="shared" si="48"/>
        <v>16.897654320987655</v>
      </c>
      <c r="M284">
        <f t="shared" si="49"/>
        <v>7.4412031356790127</v>
      </c>
      <c r="N284" s="9"/>
      <c r="O284" s="22">
        <v>1.2797499999999999</v>
      </c>
      <c r="P284" s="22">
        <v>11.8453</v>
      </c>
      <c r="Q284" s="22">
        <v>-1.31561E-2</v>
      </c>
      <c r="R284" s="22">
        <v>274</v>
      </c>
      <c r="S284" s="22">
        <v>1.2793000000000001</v>
      </c>
      <c r="T284">
        <f t="shared" si="50"/>
        <v>16.2420987654321</v>
      </c>
      <c r="U284">
        <f t="shared" si="51"/>
        <v>20.785825895061731</v>
      </c>
      <c r="X284" s="9"/>
      <c r="Y284" s="22">
        <v>0.44036900000000001</v>
      </c>
      <c r="Z284" s="22">
        <v>17.321999999999999</v>
      </c>
      <c r="AA284" s="22">
        <v>-1.37482E-2</v>
      </c>
      <c r="AB284" s="22">
        <v>274</v>
      </c>
      <c r="AC284" s="22">
        <v>0.43963600000000003</v>
      </c>
      <c r="AD284">
        <f t="shared" si="52"/>
        <v>16.973086419753084</v>
      </c>
      <c r="AE284">
        <f t="shared" si="53"/>
        <v>7.4744210935802462</v>
      </c>
      <c r="AF284" s="9"/>
      <c r="AG284" s="22">
        <v>1.2797499999999999</v>
      </c>
      <c r="AH284" s="22">
        <v>21.1815</v>
      </c>
      <c r="AI284" s="22">
        <v>-1.3195800000000001E-2</v>
      </c>
      <c r="AJ284" s="22">
        <v>274</v>
      </c>
      <c r="AK284" s="22">
        <v>1.2789900000000001</v>
      </c>
      <c r="AL284">
        <f t="shared" si="54"/>
        <v>16.29111111111111</v>
      </c>
      <c r="AM284">
        <f t="shared" si="55"/>
        <v>20.848549444444444</v>
      </c>
      <c r="AP284" s="9"/>
      <c r="AQ284" s="22">
        <v>0.44036900000000001</v>
      </c>
      <c r="AR284" s="22">
        <v>26.7453</v>
      </c>
      <c r="AS284" s="22">
        <v>-1.38397E-2</v>
      </c>
      <c r="AT284" s="22">
        <v>274</v>
      </c>
      <c r="AU284" s="22">
        <v>0.43966699999999997</v>
      </c>
      <c r="AV284">
        <f t="shared" si="56"/>
        <v>17.086049382716048</v>
      </c>
      <c r="AW284">
        <f t="shared" si="57"/>
        <v>7.5241664806172839</v>
      </c>
      <c r="AX284" s="9"/>
      <c r="AY284" s="22">
        <v>1.2797499999999999</v>
      </c>
      <c r="AZ284" s="22">
        <v>30.604700000000001</v>
      </c>
      <c r="BA284" s="22">
        <v>-1.3296499999999999E-2</v>
      </c>
      <c r="BB284" s="22">
        <v>274</v>
      </c>
      <c r="BC284" s="22">
        <v>1.2789900000000001</v>
      </c>
      <c r="BD284">
        <f t="shared" si="58"/>
        <v>16.415432098765429</v>
      </c>
      <c r="BE284">
        <f t="shared" si="59"/>
        <v>21.007649228395056</v>
      </c>
    </row>
    <row r="285" spans="6:101">
      <c r="F285" s="9"/>
      <c r="G285" s="22">
        <v>0.43533300000000003</v>
      </c>
      <c r="H285" s="22">
        <v>7.9958499999999999</v>
      </c>
      <c r="I285" s="22">
        <v>-1.36902E-2</v>
      </c>
      <c r="J285" s="22">
        <v>275</v>
      </c>
      <c r="K285" s="22">
        <v>0.43463099999999999</v>
      </c>
      <c r="L285">
        <f t="shared" si="48"/>
        <v>16.901481481481479</v>
      </c>
      <c r="M285">
        <f t="shared" si="49"/>
        <v>7.357772637777777</v>
      </c>
      <c r="N285" s="9"/>
      <c r="O285" s="22">
        <v>1.2847900000000001</v>
      </c>
      <c r="P285" s="22">
        <v>11.8553</v>
      </c>
      <c r="Q285" s="22">
        <v>-1.3153099999999999E-2</v>
      </c>
      <c r="R285" s="22">
        <v>275</v>
      </c>
      <c r="S285" s="22">
        <v>1.2835700000000001</v>
      </c>
      <c r="T285">
        <f t="shared" si="50"/>
        <v>16.238395061728394</v>
      </c>
      <c r="U285">
        <f t="shared" si="51"/>
        <v>20.862927591358023</v>
      </c>
      <c r="X285" s="9"/>
      <c r="Y285" s="22">
        <v>0.43533300000000003</v>
      </c>
      <c r="Z285" s="22">
        <v>17.332100000000001</v>
      </c>
      <c r="AA285" s="22">
        <v>-1.37421E-2</v>
      </c>
      <c r="AB285" s="22">
        <v>275</v>
      </c>
      <c r="AC285" s="22">
        <v>0.43457000000000001</v>
      </c>
      <c r="AD285">
        <f t="shared" si="52"/>
        <v>16.965555555555554</v>
      </c>
      <c r="AE285">
        <f t="shared" si="53"/>
        <v>7.3856661966666666</v>
      </c>
      <c r="AF285" s="9"/>
      <c r="AG285" s="22">
        <v>1.2847900000000001</v>
      </c>
      <c r="AH285" s="22">
        <v>21.191600000000001</v>
      </c>
      <c r="AI285" s="22">
        <v>-1.31897E-2</v>
      </c>
      <c r="AJ285" s="22">
        <v>275</v>
      </c>
      <c r="AK285" s="22">
        <v>1.2844800000000001</v>
      </c>
      <c r="AL285">
        <f t="shared" si="54"/>
        <v>16.28358024691358</v>
      </c>
      <c r="AM285">
        <f t="shared" si="55"/>
        <v>20.920981065432102</v>
      </c>
      <c r="AP285" s="9"/>
      <c r="AQ285" s="22">
        <v>0.43533300000000003</v>
      </c>
      <c r="AR285" s="22">
        <v>26.755299999999998</v>
      </c>
      <c r="AS285" s="22">
        <v>-1.38397E-2</v>
      </c>
      <c r="AT285" s="22">
        <v>275</v>
      </c>
      <c r="AU285" s="22">
        <v>0.434479</v>
      </c>
      <c r="AV285">
        <f t="shared" si="56"/>
        <v>17.086049382716048</v>
      </c>
      <c r="AW285">
        <f t="shared" si="57"/>
        <v>7.4381211359259263</v>
      </c>
      <c r="AX285" s="9"/>
      <c r="AY285" s="22">
        <v>1.2847900000000001</v>
      </c>
      <c r="AZ285" s="22">
        <v>30.614799999999999</v>
      </c>
      <c r="BA285" s="22">
        <v>-1.32935E-2</v>
      </c>
      <c r="BB285" s="22">
        <v>275</v>
      </c>
      <c r="BC285" s="22">
        <v>1.2844800000000001</v>
      </c>
      <c r="BD285">
        <f t="shared" si="58"/>
        <v>16.411728395061726</v>
      </c>
      <c r="BE285">
        <f t="shared" si="59"/>
        <v>21.085624524691355</v>
      </c>
    </row>
    <row r="286" spans="6:101">
      <c r="F286" s="9"/>
      <c r="G286" s="22">
        <v>0.43029800000000001</v>
      </c>
      <c r="H286" s="22">
        <v>8.0059199999999997</v>
      </c>
      <c r="I286" s="22">
        <v>-1.3687100000000001E-2</v>
      </c>
      <c r="J286" s="22">
        <v>276</v>
      </c>
      <c r="K286" s="22">
        <v>0.42962600000000001</v>
      </c>
      <c r="L286">
        <f t="shared" si="48"/>
        <v>16.897654320987655</v>
      </c>
      <c r="M286">
        <f t="shared" si="49"/>
        <v>7.2710268590123466</v>
      </c>
      <c r="N286" s="9"/>
      <c r="O286" s="22">
        <v>1.28983</v>
      </c>
      <c r="P286" s="22">
        <v>11.865399999999999</v>
      </c>
      <c r="Q286" s="22">
        <v>-1.315E-2</v>
      </c>
      <c r="R286" s="22">
        <v>276</v>
      </c>
      <c r="S286" s="22">
        <v>1.2893699999999999</v>
      </c>
      <c r="T286">
        <f t="shared" si="50"/>
        <v>16.234567901234566</v>
      </c>
      <c r="U286">
        <f t="shared" si="51"/>
        <v>20.939832716049381</v>
      </c>
      <c r="X286" s="9"/>
      <c r="Y286" s="22">
        <v>0.43029800000000001</v>
      </c>
      <c r="Z286" s="22">
        <v>17.342199999999998</v>
      </c>
      <c r="AA286" s="22">
        <v>-1.3732899999999999E-2</v>
      </c>
      <c r="AB286" s="22">
        <v>276</v>
      </c>
      <c r="AC286" s="22">
        <v>0.429535</v>
      </c>
      <c r="AD286">
        <f t="shared" si="52"/>
        <v>16.954197530864196</v>
      </c>
      <c r="AE286">
        <f t="shared" si="53"/>
        <v>7.2953572891358016</v>
      </c>
      <c r="AF286" s="9"/>
      <c r="AG286" s="22">
        <v>1.28983</v>
      </c>
      <c r="AH286" s="22">
        <v>21.201599999999999</v>
      </c>
      <c r="AI286" s="22">
        <v>-1.31836E-2</v>
      </c>
      <c r="AJ286" s="22">
        <v>276</v>
      </c>
      <c r="AK286" s="22">
        <v>1.2890600000000001</v>
      </c>
      <c r="AL286">
        <f t="shared" si="54"/>
        <v>16.276049382716046</v>
      </c>
      <c r="AM286">
        <f t="shared" si="55"/>
        <v>20.993336775308638</v>
      </c>
      <c r="AP286" s="9"/>
      <c r="AQ286" s="22">
        <v>0.43029800000000001</v>
      </c>
      <c r="AR286" s="22">
        <v>26.7654</v>
      </c>
      <c r="AS286" s="22">
        <v>-1.38367E-2</v>
      </c>
      <c r="AT286" s="22">
        <v>276</v>
      </c>
      <c r="AU286" s="22">
        <v>0.42959599999999998</v>
      </c>
      <c r="AV286">
        <f t="shared" si="56"/>
        <v>17.082345679012345</v>
      </c>
      <c r="AW286">
        <f t="shared" si="57"/>
        <v>7.3504991809876543</v>
      </c>
      <c r="AX286" s="9"/>
      <c r="AY286" s="22">
        <v>1.28983</v>
      </c>
      <c r="AZ286" s="22">
        <v>30.6249</v>
      </c>
      <c r="BA286" s="22">
        <v>-1.3284300000000001E-2</v>
      </c>
      <c r="BB286" s="22">
        <v>276</v>
      </c>
      <c r="BC286" s="22">
        <v>1.2887599999999999</v>
      </c>
      <c r="BD286">
        <f t="shared" si="58"/>
        <v>16.400370370370371</v>
      </c>
      <c r="BE286">
        <f t="shared" si="59"/>
        <v>21.153689714814817</v>
      </c>
    </row>
    <row r="287" spans="6:101">
      <c r="F287" s="9"/>
      <c r="G287" s="22">
        <v>0.42526199999999997</v>
      </c>
      <c r="H287" s="22">
        <v>8.0159900000000004</v>
      </c>
      <c r="I287" s="22">
        <v>-1.36902E-2</v>
      </c>
      <c r="J287" s="22">
        <v>277</v>
      </c>
      <c r="K287" s="22">
        <v>0.42446899999999999</v>
      </c>
      <c r="L287">
        <f t="shared" si="48"/>
        <v>16.901481481481479</v>
      </c>
      <c r="M287">
        <f t="shared" si="49"/>
        <v>7.1875578177777761</v>
      </c>
      <c r="N287" s="9"/>
      <c r="O287" s="22">
        <v>1.2948599999999999</v>
      </c>
      <c r="P287" s="22">
        <v>11.875500000000001</v>
      </c>
      <c r="Q287" s="22">
        <v>-1.31439E-2</v>
      </c>
      <c r="R287" s="22">
        <v>277</v>
      </c>
      <c r="S287" s="22">
        <v>1.2939499999999999</v>
      </c>
      <c r="T287">
        <f t="shared" si="50"/>
        <v>16.227037037037036</v>
      </c>
      <c r="U287">
        <f t="shared" si="51"/>
        <v>21.011741177777775</v>
      </c>
      <c r="X287" s="9"/>
      <c r="Y287" s="22">
        <v>0.42526199999999997</v>
      </c>
      <c r="Z287" s="22">
        <v>17.3522</v>
      </c>
      <c r="AA287" s="22">
        <v>-1.37299E-2</v>
      </c>
      <c r="AB287" s="22">
        <v>277</v>
      </c>
      <c r="AC287" s="22">
        <v>0.42446899999999999</v>
      </c>
      <c r="AD287">
        <f t="shared" si="52"/>
        <v>16.950493827160493</v>
      </c>
      <c r="AE287">
        <f t="shared" si="53"/>
        <v>7.2084009059259246</v>
      </c>
      <c r="AF287" s="9"/>
      <c r="AG287" s="22">
        <v>1.2948599999999999</v>
      </c>
      <c r="AH287" s="22">
        <v>21.2117</v>
      </c>
      <c r="AI287" s="22">
        <v>-1.3174399999999999E-2</v>
      </c>
      <c r="AJ287" s="22">
        <v>277</v>
      </c>
      <c r="AK287" s="22">
        <v>1.2939499999999999</v>
      </c>
      <c r="AL287">
        <f t="shared" si="54"/>
        <v>16.264691358024692</v>
      </c>
      <c r="AM287">
        <f t="shared" si="55"/>
        <v>21.06049825185185</v>
      </c>
      <c r="AP287" s="9"/>
      <c r="AQ287" s="22">
        <v>0.42526199999999997</v>
      </c>
      <c r="AR287" s="22">
        <v>26.775500000000001</v>
      </c>
      <c r="AS287" s="22">
        <v>-1.38275E-2</v>
      </c>
      <c r="AT287" s="22">
        <v>277</v>
      </c>
      <c r="AU287" s="22">
        <v>0.42453000000000002</v>
      </c>
      <c r="AV287">
        <f t="shared" si="56"/>
        <v>17.070987654320987</v>
      </c>
      <c r="AW287">
        <f t="shared" si="57"/>
        <v>7.2596423518518511</v>
      </c>
      <c r="AX287" s="9"/>
      <c r="AY287" s="22">
        <v>1.2948599999999999</v>
      </c>
      <c r="AZ287" s="22">
        <v>30.635000000000002</v>
      </c>
      <c r="BA287" s="22">
        <v>-1.3281299999999999E-2</v>
      </c>
      <c r="BB287" s="22">
        <v>277</v>
      </c>
      <c r="BC287" s="22">
        <v>1.2939499999999999</v>
      </c>
      <c r="BD287">
        <f t="shared" si="58"/>
        <v>16.396666666666665</v>
      </c>
      <c r="BE287">
        <f t="shared" si="59"/>
        <v>21.231387799999997</v>
      </c>
    </row>
    <row r="288" spans="6:101">
      <c r="F288" s="9"/>
      <c r="G288" s="22">
        <v>0.42022700000000002</v>
      </c>
      <c r="H288" s="22">
        <v>8.0260599999999993</v>
      </c>
      <c r="I288" s="22">
        <v>-1.3687100000000001E-2</v>
      </c>
      <c r="J288" s="22">
        <v>278</v>
      </c>
      <c r="K288" s="22">
        <v>0.419464</v>
      </c>
      <c r="L288">
        <f t="shared" si="48"/>
        <v>16.897654320987655</v>
      </c>
      <c r="M288">
        <f t="shared" si="49"/>
        <v>7.1008505823456796</v>
      </c>
      <c r="N288" s="9"/>
      <c r="O288" s="22">
        <v>1.2999000000000001</v>
      </c>
      <c r="P288" s="22">
        <v>11.8855</v>
      </c>
      <c r="Q288" s="22">
        <v>-1.31378E-2</v>
      </c>
      <c r="R288" s="22">
        <v>278</v>
      </c>
      <c r="S288" s="22">
        <v>1.2988299999999999</v>
      </c>
      <c r="T288">
        <f t="shared" si="50"/>
        <v>16.219506172839505</v>
      </c>
      <c r="U288">
        <f t="shared" si="51"/>
        <v>21.083736074074075</v>
      </c>
      <c r="X288" s="9"/>
      <c r="Y288" s="22">
        <v>0.42022700000000002</v>
      </c>
      <c r="Z288" s="22">
        <v>17.362300000000001</v>
      </c>
      <c r="AA288" s="22">
        <v>-1.3732899999999999E-2</v>
      </c>
      <c r="AB288" s="22">
        <v>278</v>
      </c>
      <c r="AC288" s="22">
        <v>0.419464</v>
      </c>
      <c r="AD288">
        <f t="shared" si="52"/>
        <v>16.954197530864196</v>
      </c>
      <c r="AE288">
        <f t="shared" si="53"/>
        <v>7.1246115658024687</v>
      </c>
      <c r="AF288" s="9"/>
      <c r="AG288" s="22">
        <v>1.2999000000000001</v>
      </c>
      <c r="AH288" s="22">
        <v>21.221800000000002</v>
      </c>
      <c r="AI288" s="22">
        <v>-1.31653E-2</v>
      </c>
      <c r="AJ288" s="22">
        <v>278</v>
      </c>
      <c r="AK288" s="22">
        <v>1.2988299999999999</v>
      </c>
      <c r="AL288">
        <f t="shared" si="54"/>
        <v>16.253456790123455</v>
      </c>
      <c r="AM288">
        <f t="shared" si="55"/>
        <v>21.127868481481478</v>
      </c>
      <c r="AP288" s="9"/>
      <c r="AQ288" s="22">
        <v>0.42022700000000002</v>
      </c>
      <c r="AR288" s="22">
        <v>26.785499999999999</v>
      </c>
      <c r="AS288" s="22">
        <v>-1.3821399999999999E-2</v>
      </c>
      <c r="AT288" s="22">
        <v>278</v>
      </c>
      <c r="AU288" s="22">
        <v>0.41952499999999998</v>
      </c>
      <c r="AV288">
        <f t="shared" si="56"/>
        <v>17.063456790123453</v>
      </c>
      <c r="AW288">
        <f t="shared" si="57"/>
        <v>7.1705252565432085</v>
      </c>
      <c r="AX288" s="9"/>
      <c r="AY288" s="22">
        <v>1.2999000000000001</v>
      </c>
      <c r="AZ288" s="22">
        <v>30.645</v>
      </c>
      <c r="BA288" s="22">
        <v>-1.3262899999999999E-2</v>
      </c>
      <c r="BB288" s="22">
        <v>278</v>
      </c>
      <c r="BC288" s="22">
        <v>1.2988299999999999</v>
      </c>
      <c r="BD288">
        <f t="shared" si="58"/>
        <v>16.373950617283949</v>
      </c>
      <c r="BE288">
        <f t="shared" si="59"/>
        <v>21.284498407407405</v>
      </c>
    </row>
    <row r="289" spans="6:57">
      <c r="F289" s="9"/>
      <c r="G289" s="22">
        <v>0.41519200000000001</v>
      </c>
      <c r="H289" s="22">
        <v>8.03613</v>
      </c>
      <c r="I289" s="22">
        <v>-1.3687100000000001E-2</v>
      </c>
      <c r="J289" s="22">
        <v>279</v>
      </c>
      <c r="K289" s="22">
        <v>0.41449000000000003</v>
      </c>
      <c r="L289">
        <f t="shared" si="48"/>
        <v>16.897654320987655</v>
      </c>
      <c r="M289">
        <f t="shared" si="49"/>
        <v>7.0157708928395071</v>
      </c>
      <c r="N289" s="9"/>
      <c r="O289" s="22">
        <v>1.3049299999999999</v>
      </c>
      <c r="P289" s="22">
        <v>11.8956</v>
      </c>
      <c r="Q289" s="22">
        <v>-1.3125599999999999E-2</v>
      </c>
      <c r="R289" s="22">
        <v>279</v>
      </c>
      <c r="S289" s="22">
        <v>1.3037099999999999</v>
      </c>
      <c r="T289">
        <f t="shared" si="50"/>
        <v>16.204444444444441</v>
      </c>
      <c r="U289">
        <f t="shared" si="51"/>
        <v>21.145665688888883</v>
      </c>
      <c r="X289" s="9"/>
      <c r="Y289" s="22">
        <v>0.41519200000000001</v>
      </c>
      <c r="Z289" s="22">
        <v>17.372399999999999</v>
      </c>
      <c r="AA289" s="22">
        <v>-1.3736E-2</v>
      </c>
      <c r="AB289" s="22">
        <v>279</v>
      </c>
      <c r="AC289" s="22">
        <v>0.41445900000000002</v>
      </c>
      <c r="AD289">
        <f t="shared" si="52"/>
        <v>16.958024691358023</v>
      </c>
      <c r="AE289">
        <f t="shared" si="53"/>
        <v>7.0408361876543202</v>
      </c>
      <c r="AF289" s="9"/>
      <c r="AG289" s="22">
        <v>1.3049299999999999</v>
      </c>
      <c r="AH289" s="22">
        <v>21.2319</v>
      </c>
      <c r="AI289" s="22">
        <v>-1.315E-2</v>
      </c>
      <c r="AJ289" s="22">
        <v>279</v>
      </c>
      <c r="AK289" s="22">
        <v>1.30402</v>
      </c>
      <c r="AL289">
        <f t="shared" si="54"/>
        <v>16.234567901234566</v>
      </c>
      <c r="AM289">
        <f t="shared" si="55"/>
        <v>21.184974691358022</v>
      </c>
      <c r="AP289" s="9"/>
      <c r="AQ289" s="22">
        <v>0.41519200000000001</v>
      </c>
      <c r="AR289" s="22">
        <v>26.7956</v>
      </c>
      <c r="AS289" s="22">
        <v>-1.38245E-2</v>
      </c>
      <c r="AT289" s="22">
        <v>279</v>
      </c>
      <c r="AU289" s="22">
        <v>0.41439799999999999</v>
      </c>
      <c r="AV289">
        <f t="shared" si="56"/>
        <v>17.067283950617281</v>
      </c>
      <c r="AW289">
        <f t="shared" si="57"/>
        <v>7.0861997580246898</v>
      </c>
      <c r="AX289" s="9"/>
      <c r="AY289" s="22">
        <v>1.3049299999999999</v>
      </c>
      <c r="AZ289" s="22">
        <v>30.655100000000001</v>
      </c>
      <c r="BA289" s="22">
        <v>-1.3247699999999999E-2</v>
      </c>
      <c r="BB289" s="22">
        <v>279</v>
      </c>
      <c r="BC289" s="22">
        <v>1.3043199999999999</v>
      </c>
      <c r="BD289">
        <f t="shared" si="58"/>
        <v>16.355185185185185</v>
      </c>
      <c r="BE289">
        <f t="shared" si="59"/>
        <v>21.342371803703703</v>
      </c>
    </row>
    <row r="290" spans="6:57">
      <c r="F290" s="9"/>
      <c r="G290" s="22">
        <v>0.41015600000000002</v>
      </c>
      <c r="H290" s="22">
        <v>8.0462000000000007</v>
      </c>
      <c r="I290" s="22">
        <v>-1.36902E-2</v>
      </c>
      <c r="J290" s="22">
        <v>280</v>
      </c>
      <c r="K290" s="22">
        <v>0.40942400000000001</v>
      </c>
      <c r="L290">
        <f t="shared" si="48"/>
        <v>16.901481481481479</v>
      </c>
      <c r="M290">
        <f t="shared" si="49"/>
        <v>6.932244038518518</v>
      </c>
      <c r="N290" s="9"/>
      <c r="O290" s="22">
        <v>1.3099700000000001</v>
      </c>
      <c r="P290" s="22">
        <v>11.9057</v>
      </c>
      <c r="Q290" s="22">
        <v>-1.31226E-2</v>
      </c>
      <c r="R290" s="22">
        <v>280</v>
      </c>
      <c r="S290" s="22">
        <v>1.3089</v>
      </c>
      <c r="T290">
        <f t="shared" si="50"/>
        <v>16.200740740740741</v>
      </c>
      <c r="U290">
        <f t="shared" si="51"/>
        <v>21.22248434814815</v>
      </c>
      <c r="X290" s="9"/>
      <c r="Y290" s="22">
        <v>0.41015600000000002</v>
      </c>
      <c r="Z290" s="22">
        <v>17.3825</v>
      </c>
      <c r="AA290" s="22">
        <v>-1.37421E-2</v>
      </c>
      <c r="AB290" s="22">
        <v>280</v>
      </c>
      <c r="AC290" s="22">
        <v>0.409302</v>
      </c>
      <c r="AD290">
        <f t="shared" si="52"/>
        <v>16.965555555555554</v>
      </c>
      <c r="AE290">
        <f t="shared" si="53"/>
        <v>6.9585244044444439</v>
      </c>
      <c r="AF290" s="9"/>
      <c r="AG290" s="22">
        <v>1.3099700000000001</v>
      </c>
      <c r="AH290" s="22">
        <v>21.241900000000001</v>
      </c>
      <c r="AI290" s="22">
        <v>-1.31348E-2</v>
      </c>
      <c r="AJ290" s="22">
        <v>280</v>
      </c>
      <c r="AK290" s="22">
        <v>1.3089</v>
      </c>
      <c r="AL290">
        <f t="shared" si="54"/>
        <v>16.215802469135802</v>
      </c>
      <c r="AM290">
        <f t="shared" si="55"/>
        <v>21.242214760493827</v>
      </c>
      <c r="AP290" s="9"/>
      <c r="AQ290" s="22">
        <v>0.41015600000000002</v>
      </c>
      <c r="AR290" s="22">
        <v>26.805700000000002</v>
      </c>
      <c r="AS290" s="22">
        <v>-1.38184E-2</v>
      </c>
      <c r="AT290" s="22">
        <v>280</v>
      </c>
      <c r="AU290" s="22">
        <v>0.40939300000000001</v>
      </c>
      <c r="AV290">
        <f t="shared" si="56"/>
        <v>17.05975308641975</v>
      </c>
      <c r="AW290">
        <f t="shared" si="57"/>
        <v>6.9971600869135795</v>
      </c>
      <c r="AX290" s="9"/>
      <c r="AY290" s="22">
        <v>1.3099700000000001</v>
      </c>
      <c r="AZ290" s="22">
        <v>30.665199999999999</v>
      </c>
      <c r="BA290" s="22">
        <v>-1.32446E-2</v>
      </c>
      <c r="BB290" s="22">
        <v>280</v>
      </c>
      <c r="BC290" s="22">
        <v>1.30951</v>
      </c>
      <c r="BD290">
        <f t="shared" si="58"/>
        <v>16.351358024691358</v>
      </c>
      <c r="BE290">
        <f t="shared" si="59"/>
        <v>21.419788471604939</v>
      </c>
    </row>
    <row r="291" spans="6:57">
      <c r="F291" s="9"/>
      <c r="G291" s="22">
        <v>0.40512100000000001</v>
      </c>
      <c r="H291" s="22">
        <v>8.0562799999999992</v>
      </c>
      <c r="I291" s="22">
        <v>-1.36963E-2</v>
      </c>
      <c r="J291" s="22">
        <v>281</v>
      </c>
      <c r="K291" s="22">
        <v>0.40450999999999998</v>
      </c>
      <c r="L291">
        <f t="shared" si="48"/>
        <v>16.90901234567901</v>
      </c>
      <c r="M291">
        <f t="shared" si="49"/>
        <v>6.8501959904938259</v>
      </c>
      <c r="N291" s="9"/>
      <c r="O291" s="22">
        <v>1.3149999999999999</v>
      </c>
      <c r="P291" s="22">
        <v>11.915699999999999</v>
      </c>
      <c r="Q291" s="22">
        <v>-1.3125599999999999E-2</v>
      </c>
      <c r="R291" s="22">
        <v>281</v>
      </c>
      <c r="S291" s="22">
        <v>1.3137799999999999</v>
      </c>
      <c r="T291">
        <f t="shared" si="50"/>
        <v>16.204444444444441</v>
      </c>
      <c r="U291">
        <f t="shared" si="51"/>
        <v>21.308844444444439</v>
      </c>
      <c r="X291" s="9"/>
      <c r="Y291" s="22">
        <v>0.40512100000000001</v>
      </c>
      <c r="Z291" s="22">
        <v>17.392499999999998</v>
      </c>
      <c r="AA291" s="22">
        <v>-1.37482E-2</v>
      </c>
      <c r="AB291" s="22">
        <v>281</v>
      </c>
      <c r="AC291" s="22">
        <v>0.404449</v>
      </c>
      <c r="AD291">
        <f t="shared" si="52"/>
        <v>16.973086419753084</v>
      </c>
      <c r="AE291">
        <f t="shared" si="53"/>
        <v>6.876153743456789</v>
      </c>
      <c r="AF291" s="9"/>
      <c r="AG291" s="22">
        <v>1.3149999999999999</v>
      </c>
      <c r="AH291" s="22">
        <v>21.251999999999999</v>
      </c>
      <c r="AI291" s="22">
        <v>-1.31226E-2</v>
      </c>
      <c r="AJ291" s="22">
        <v>281</v>
      </c>
      <c r="AK291" s="22">
        <v>1.31409</v>
      </c>
      <c r="AL291">
        <f t="shared" si="54"/>
        <v>16.200740740740741</v>
      </c>
      <c r="AM291">
        <f t="shared" si="55"/>
        <v>21.303974074074073</v>
      </c>
      <c r="AP291" s="9"/>
      <c r="AQ291" s="22">
        <v>0.40512100000000001</v>
      </c>
      <c r="AR291" s="22">
        <v>26.815799999999999</v>
      </c>
      <c r="AS291" s="22">
        <v>-1.38306E-2</v>
      </c>
      <c r="AT291" s="22">
        <v>281</v>
      </c>
      <c r="AU291" s="22">
        <v>0.404449</v>
      </c>
      <c r="AV291">
        <f t="shared" si="56"/>
        <v>17.074814814814815</v>
      </c>
      <c r="AW291">
        <f t="shared" si="57"/>
        <v>6.9173660525925929</v>
      </c>
      <c r="AX291" s="9"/>
      <c r="AY291" s="22">
        <v>1.3149999999999999</v>
      </c>
      <c r="AZ291" s="22">
        <v>30.6752</v>
      </c>
      <c r="BA291" s="22">
        <v>-1.32324E-2</v>
      </c>
      <c r="BB291" s="22">
        <v>281</v>
      </c>
      <c r="BC291" s="22">
        <v>1.3143899999999999</v>
      </c>
      <c r="BD291">
        <f t="shared" si="58"/>
        <v>16.336296296296297</v>
      </c>
      <c r="BE291">
        <f t="shared" si="59"/>
        <v>21.482229629629629</v>
      </c>
    </row>
    <row r="292" spans="6:57">
      <c r="F292" s="9"/>
      <c r="G292" s="22">
        <v>0.40008500000000002</v>
      </c>
      <c r="H292" s="22">
        <v>8.0663499999999999</v>
      </c>
      <c r="I292" s="22">
        <v>-1.37054E-2</v>
      </c>
      <c r="J292" s="22">
        <v>282</v>
      </c>
      <c r="K292" s="22">
        <v>0.39941399999999999</v>
      </c>
      <c r="L292">
        <f t="shared" si="48"/>
        <v>16.920246913580247</v>
      </c>
      <c r="M292">
        <f t="shared" si="49"/>
        <v>6.7695369864197534</v>
      </c>
      <c r="N292" s="9"/>
      <c r="O292" s="22">
        <v>1.3200400000000001</v>
      </c>
      <c r="P292" s="22">
        <v>11.925800000000001</v>
      </c>
      <c r="Q292" s="22">
        <v>-1.3107300000000001E-2</v>
      </c>
      <c r="R292" s="22">
        <v>282</v>
      </c>
      <c r="S292" s="22">
        <v>1.31958</v>
      </c>
      <c r="T292">
        <f t="shared" si="50"/>
        <v>16.181851851851849</v>
      </c>
      <c r="U292">
        <f t="shared" si="51"/>
        <v>21.360691718518517</v>
      </c>
      <c r="X292" s="9"/>
      <c r="Y292" s="22">
        <v>0.40008500000000002</v>
      </c>
      <c r="Z292" s="22">
        <v>17.4026</v>
      </c>
      <c r="AA292" s="22">
        <v>-1.37573E-2</v>
      </c>
      <c r="AB292" s="22">
        <v>282</v>
      </c>
      <c r="AC292" s="22">
        <v>0.39944499999999999</v>
      </c>
      <c r="AD292">
        <f t="shared" si="52"/>
        <v>16.984320987654321</v>
      </c>
      <c r="AE292">
        <f t="shared" si="53"/>
        <v>6.7951720623456797</v>
      </c>
      <c r="AF292" s="9"/>
      <c r="AG292" s="22">
        <v>1.3200400000000001</v>
      </c>
      <c r="AH292" s="22">
        <v>21.2621</v>
      </c>
      <c r="AI292" s="22">
        <v>-1.3119499999999999E-2</v>
      </c>
      <c r="AJ292" s="22">
        <v>282</v>
      </c>
      <c r="AK292" s="22">
        <v>1.31897</v>
      </c>
      <c r="AL292">
        <f t="shared" si="54"/>
        <v>16.19691358024691</v>
      </c>
      <c r="AM292">
        <f t="shared" si="55"/>
        <v>21.380573802469133</v>
      </c>
      <c r="AP292" s="9"/>
      <c r="AQ292" s="22">
        <v>0.40008500000000002</v>
      </c>
      <c r="AR292" s="22">
        <v>26.825800000000001</v>
      </c>
      <c r="AS292" s="22">
        <v>-1.3842800000000001E-2</v>
      </c>
      <c r="AT292" s="22">
        <v>282</v>
      </c>
      <c r="AU292" s="22">
        <v>0.39944499999999999</v>
      </c>
      <c r="AV292">
        <f t="shared" si="56"/>
        <v>17.089876543209876</v>
      </c>
      <c r="AW292">
        <f t="shared" si="57"/>
        <v>6.8374032567901235</v>
      </c>
      <c r="AX292" s="9"/>
      <c r="AY292" s="22">
        <v>1.3200400000000001</v>
      </c>
      <c r="AZ292" s="22">
        <v>30.685300000000002</v>
      </c>
      <c r="BA292" s="22">
        <v>-1.32263E-2</v>
      </c>
      <c r="BB292" s="22">
        <v>282</v>
      </c>
      <c r="BC292" s="22">
        <v>1.3192699999999999</v>
      </c>
      <c r="BD292">
        <f t="shared" si="58"/>
        <v>16.328765432098766</v>
      </c>
      <c r="BE292">
        <f t="shared" si="59"/>
        <v>21.554623520987658</v>
      </c>
    </row>
    <row r="293" spans="6:57">
      <c r="F293" s="9"/>
      <c r="G293" s="22">
        <v>0.39505000000000001</v>
      </c>
      <c r="H293" s="22">
        <v>8.0764200000000006</v>
      </c>
      <c r="I293" s="22">
        <v>-1.37024E-2</v>
      </c>
      <c r="J293" s="22">
        <v>283</v>
      </c>
      <c r="K293" s="22">
        <v>0.394287</v>
      </c>
      <c r="L293">
        <f t="shared" si="48"/>
        <v>16.916543209876544</v>
      </c>
      <c r="M293">
        <f t="shared" si="49"/>
        <v>6.682880395061729</v>
      </c>
      <c r="N293" s="9"/>
      <c r="O293" s="22">
        <v>1.32507</v>
      </c>
      <c r="P293" s="22">
        <v>11.9359</v>
      </c>
      <c r="Q293" s="22">
        <v>-1.3085899999999999E-2</v>
      </c>
      <c r="R293" s="22">
        <v>283</v>
      </c>
      <c r="S293" s="22">
        <v>1.32416</v>
      </c>
      <c r="T293">
        <f t="shared" si="50"/>
        <v>16.155432098765431</v>
      </c>
      <c r="U293">
        <f t="shared" si="51"/>
        <v>21.407078411111108</v>
      </c>
      <c r="X293" s="9"/>
      <c r="Y293" s="22">
        <v>0.39505000000000001</v>
      </c>
      <c r="Z293" s="22">
        <v>17.412700000000001</v>
      </c>
      <c r="AA293" s="22">
        <v>-1.3760400000000001E-2</v>
      </c>
      <c r="AB293" s="22">
        <v>283</v>
      </c>
      <c r="AC293" s="22">
        <v>0.39434799999999998</v>
      </c>
      <c r="AD293">
        <f t="shared" si="52"/>
        <v>16.988148148148149</v>
      </c>
      <c r="AE293">
        <f t="shared" si="53"/>
        <v>6.7111679259259267</v>
      </c>
      <c r="AF293" s="9"/>
      <c r="AG293" s="22">
        <v>1.32507</v>
      </c>
      <c r="AH293" s="22">
        <v>21.272099999999998</v>
      </c>
      <c r="AI293" s="22">
        <v>-1.31042E-2</v>
      </c>
      <c r="AJ293" s="22">
        <v>283</v>
      </c>
      <c r="AK293" s="22">
        <v>1.32416</v>
      </c>
      <c r="AL293">
        <f t="shared" si="54"/>
        <v>16.178024691358022</v>
      </c>
      <c r="AM293">
        <f t="shared" si="55"/>
        <v>21.437015177777774</v>
      </c>
      <c r="AP293" s="9"/>
      <c r="AQ293" s="22">
        <v>0.39505000000000001</v>
      </c>
      <c r="AR293" s="22">
        <v>26.835899999999999</v>
      </c>
      <c r="AS293" s="22">
        <v>-1.38458E-2</v>
      </c>
      <c r="AT293" s="22">
        <v>283</v>
      </c>
      <c r="AU293" s="22">
        <v>0.39437899999999998</v>
      </c>
      <c r="AV293">
        <f t="shared" si="56"/>
        <v>17.093580246913579</v>
      </c>
      <c r="AW293">
        <f t="shared" si="57"/>
        <v>6.7528188765432091</v>
      </c>
      <c r="AX293" s="9"/>
      <c r="AY293" s="22">
        <v>1.32507</v>
      </c>
      <c r="AZ293" s="22">
        <v>30.695399999999999</v>
      </c>
      <c r="BA293" s="22">
        <v>-1.3214099999999999E-2</v>
      </c>
      <c r="BB293" s="22">
        <v>283</v>
      </c>
      <c r="BC293" s="22">
        <v>1.32477</v>
      </c>
      <c r="BD293">
        <f t="shared" si="58"/>
        <v>16.313703703703702</v>
      </c>
      <c r="BE293">
        <f t="shared" si="59"/>
        <v>21.616799366666665</v>
      </c>
    </row>
    <row r="294" spans="6:57">
      <c r="F294" s="9"/>
      <c r="G294" s="22">
        <v>0.390015</v>
      </c>
      <c r="H294" s="22">
        <v>8.0864899999999995</v>
      </c>
      <c r="I294" s="22">
        <v>-1.37054E-2</v>
      </c>
      <c r="J294" s="22">
        <v>284</v>
      </c>
      <c r="K294" s="22">
        <v>0.38928200000000002</v>
      </c>
      <c r="L294">
        <f t="shared" si="48"/>
        <v>16.920246913580247</v>
      </c>
      <c r="M294">
        <f t="shared" si="49"/>
        <v>6.5991501000000001</v>
      </c>
      <c r="N294" s="9"/>
      <c r="O294" s="22">
        <v>1.3301099999999999</v>
      </c>
      <c r="P294" s="22">
        <v>11.946</v>
      </c>
      <c r="Q294" s="22">
        <v>-1.30676E-2</v>
      </c>
      <c r="R294" s="22">
        <v>284</v>
      </c>
      <c r="S294" s="22">
        <v>1.32904</v>
      </c>
      <c r="T294">
        <f t="shared" si="50"/>
        <v>16.132839506172839</v>
      </c>
      <c r="U294">
        <f t="shared" si="51"/>
        <v>21.458451155555554</v>
      </c>
      <c r="X294" s="9"/>
      <c r="Y294" s="22">
        <v>0.390015</v>
      </c>
      <c r="Z294" s="22">
        <v>17.422699999999999</v>
      </c>
      <c r="AA294" s="22">
        <v>-1.37634E-2</v>
      </c>
      <c r="AB294" s="22">
        <v>284</v>
      </c>
      <c r="AC294" s="22">
        <v>0.38928200000000002</v>
      </c>
      <c r="AD294">
        <f t="shared" si="52"/>
        <v>16.991851851851852</v>
      </c>
      <c r="AE294">
        <f t="shared" si="53"/>
        <v>6.6270771000000002</v>
      </c>
      <c r="AF294" s="9"/>
      <c r="AG294" s="22">
        <v>1.3301099999999999</v>
      </c>
      <c r="AH294" s="22">
        <v>21.2822</v>
      </c>
      <c r="AI294" s="22">
        <v>-1.30951E-2</v>
      </c>
      <c r="AJ294" s="22">
        <v>284</v>
      </c>
      <c r="AK294" s="22">
        <v>1.32935</v>
      </c>
      <c r="AL294">
        <f t="shared" si="54"/>
        <v>16.166790123456789</v>
      </c>
      <c r="AM294">
        <f t="shared" si="55"/>
        <v>21.503609211111108</v>
      </c>
      <c r="AP294" s="9"/>
      <c r="AQ294" s="22">
        <v>0.390015</v>
      </c>
      <c r="AR294" s="22">
        <v>26.846</v>
      </c>
      <c r="AS294" s="22">
        <v>-1.38458E-2</v>
      </c>
      <c r="AT294" s="22">
        <v>284</v>
      </c>
      <c r="AU294" s="22">
        <v>0.38925199999999999</v>
      </c>
      <c r="AV294">
        <f t="shared" si="56"/>
        <v>17.093580246913579</v>
      </c>
      <c r="AW294">
        <f t="shared" si="57"/>
        <v>6.6667526999999991</v>
      </c>
      <c r="AX294" s="9"/>
      <c r="AY294" s="22">
        <v>1.3301099999999999</v>
      </c>
      <c r="AZ294" s="22">
        <v>30.705400000000001</v>
      </c>
      <c r="BA294" s="22">
        <v>-1.31927E-2</v>
      </c>
      <c r="BB294" s="22">
        <v>284</v>
      </c>
      <c r="BC294" s="22">
        <v>1.32874</v>
      </c>
      <c r="BD294">
        <f t="shared" si="58"/>
        <v>16.287283950617283</v>
      </c>
      <c r="BE294">
        <f t="shared" si="59"/>
        <v>21.663879255555553</v>
      </c>
    </row>
    <row r="295" spans="6:57">
      <c r="F295" s="9"/>
      <c r="G295" s="22">
        <v>0.38497900000000002</v>
      </c>
      <c r="H295" s="22">
        <v>8.0965600000000002</v>
      </c>
      <c r="I295" s="22">
        <v>-1.3717699999999999E-2</v>
      </c>
      <c r="J295" s="22">
        <v>285</v>
      </c>
      <c r="K295" s="22">
        <v>0.38424700000000001</v>
      </c>
      <c r="L295">
        <f t="shared" si="48"/>
        <v>16.935432098765432</v>
      </c>
      <c r="M295">
        <f t="shared" si="49"/>
        <v>6.5197857139506175</v>
      </c>
      <c r="N295" s="9"/>
      <c r="O295" s="22">
        <v>1.33514</v>
      </c>
      <c r="P295" s="22">
        <v>11.956</v>
      </c>
      <c r="Q295" s="22">
        <v>-1.30554E-2</v>
      </c>
      <c r="R295" s="22">
        <v>285</v>
      </c>
      <c r="S295" s="22">
        <v>1.33423</v>
      </c>
      <c r="T295">
        <f t="shared" si="50"/>
        <v>16.117777777777775</v>
      </c>
      <c r="U295">
        <f t="shared" si="51"/>
        <v>21.519489822222219</v>
      </c>
      <c r="X295" s="9"/>
      <c r="Y295" s="22">
        <v>0.38497900000000002</v>
      </c>
      <c r="Z295" s="22">
        <v>17.4328</v>
      </c>
      <c r="AA295" s="22">
        <v>-1.3766499999999999E-2</v>
      </c>
      <c r="AB295" s="22">
        <v>285</v>
      </c>
      <c r="AC295" s="22">
        <v>0.38427699999999998</v>
      </c>
      <c r="AD295">
        <f t="shared" si="52"/>
        <v>16.995679012345676</v>
      </c>
      <c r="AE295">
        <f t="shared" si="53"/>
        <v>6.5429795104938258</v>
      </c>
      <c r="AF295" s="9"/>
      <c r="AG295" s="22">
        <v>1.33514</v>
      </c>
      <c r="AH295" s="22">
        <v>21.292300000000001</v>
      </c>
      <c r="AI295" s="22">
        <v>-1.30829E-2</v>
      </c>
      <c r="AJ295" s="22">
        <v>285</v>
      </c>
      <c r="AK295" s="22">
        <v>1.33423</v>
      </c>
      <c r="AL295">
        <f t="shared" si="54"/>
        <v>16.151728395061728</v>
      </c>
      <c r="AM295">
        <f t="shared" si="55"/>
        <v>21.564818649382715</v>
      </c>
      <c r="AP295" s="9"/>
      <c r="AQ295" s="22">
        <v>0.38497900000000002</v>
      </c>
      <c r="AR295" s="22">
        <v>26.856000000000002</v>
      </c>
      <c r="AS295" s="22">
        <v>-1.3842800000000001E-2</v>
      </c>
      <c r="AT295" s="22">
        <v>285</v>
      </c>
      <c r="AU295" s="22">
        <v>0.38430799999999998</v>
      </c>
      <c r="AV295">
        <f t="shared" si="56"/>
        <v>17.089876543209876</v>
      </c>
      <c r="AW295">
        <f t="shared" si="57"/>
        <v>6.5792435817283952</v>
      </c>
      <c r="AX295" s="9"/>
      <c r="AY295" s="22">
        <v>1.33514</v>
      </c>
      <c r="AZ295" s="22">
        <v>30.715499999999999</v>
      </c>
      <c r="BA295" s="22">
        <v>-1.31775E-2</v>
      </c>
      <c r="BB295" s="22">
        <v>285</v>
      </c>
      <c r="BC295" s="22">
        <v>1.33331</v>
      </c>
      <c r="BD295">
        <f t="shared" si="58"/>
        <v>16.268518518518519</v>
      </c>
      <c r="BE295">
        <f t="shared" si="59"/>
        <v>21.720749814814816</v>
      </c>
    </row>
    <row r="296" spans="6:57">
      <c r="F296" s="9"/>
      <c r="G296" s="22">
        <v>0.379944</v>
      </c>
      <c r="H296" s="22">
        <v>8.1066299999999991</v>
      </c>
      <c r="I296" s="22">
        <v>-1.3720700000000001E-2</v>
      </c>
      <c r="J296" s="22">
        <v>286</v>
      </c>
      <c r="K296" s="22">
        <v>0.37918099999999999</v>
      </c>
      <c r="L296">
        <f t="shared" si="48"/>
        <v>16.939135802469135</v>
      </c>
      <c r="M296">
        <f t="shared" si="49"/>
        <v>6.4359230133333334</v>
      </c>
      <c r="N296" s="9"/>
      <c r="O296" s="22">
        <v>1.3401799999999999</v>
      </c>
      <c r="P296" s="22">
        <v>11.966100000000001</v>
      </c>
      <c r="Q296" s="22">
        <v>-1.30341E-2</v>
      </c>
      <c r="R296" s="22">
        <v>286</v>
      </c>
      <c r="S296" s="22">
        <v>1.3388100000000001</v>
      </c>
      <c r="T296">
        <f t="shared" si="50"/>
        <v>16.09148148148148</v>
      </c>
      <c r="U296">
        <f t="shared" si="51"/>
        <v>21.565481651851851</v>
      </c>
      <c r="X296" s="9"/>
      <c r="Y296" s="22">
        <v>0.379944</v>
      </c>
      <c r="Z296" s="22">
        <v>17.442900000000002</v>
      </c>
      <c r="AA296" s="22">
        <v>-1.37787E-2</v>
      </c>
      <c r="AB296" s="22">
        <v>286</v>
      </c>
      <c r="AC296" s="22">
        <v>0.37924200000000002</v>
      </c>
      <c r="AD296">
        <f t="shared" si="52"/>
        <v>17.01074074074074</v>
      </c>
      <c r="AE296">
        <f t="shared" si="53"/>
        <v>6.4631288800000002</v>
      </c>
      <c r="AF296" s="9"/>
      <c r="AG296" s="22">
        <v>1.3401799999999999</v>
      </c>
      <c r="AH296" s="22">
        <v>21.302399999999999</v>
      </c>
      <c r="AI296" s="22">
        <v>-1.30768E-2</v>
      </c>
      <c r="AJ296" s="22">
        <v>286</v>
      </c>
      <c r="AK296" s="22">
        <v>1.33911</v>
      </c>
      <c r="AL296">
        <f t="shared" si="54"/>
        <v>16.144197530864194</v>
      </c>
      <c r="AM296">
        <f t="shared" si="55"/>
        <v>21.636130646913575</v>
      </c>
      <c r="AP296" s="9"/>
      <c r="AQ296" s="22">
        <v>0.379944</v>
      </c>
      <c r="AR296" s="22">
        <v>26.866099999999999</v>
      </c>
      <c r="AS296" s="22">
        <v>-1.38336E-2</v>
      </c>
      <c r="AT296" s="22">
        <v>286</v>
      </c>
      <c r="AU296" s="22">
        <v>0.37918099999999999</v>
      </c>
      <c r="AV296">
        <f t="shared" si="56"/>
        <v>17.078518518518518</v>
      </c>
      <c r="AW296">
        <f t="shared" si="57"/>
        <v>6.4888806399999996</v>
      </c>
      <c r="AX296" s="9"/>
      <c r="AY296" s="22">
        <v>1.3401799999999999</v>
      </c>
      <c r="AZ296" s="22">
        <v>30.7256</v>
      </c>
      <c r="BA296" s="22">
        <v>-1.3168300000000001E-2</v>
      </c>
      <c r="BB296" s="22">
        <v>286</v>
      </c>
      <c r="BC296" s="22">
        <v>1.3394200000000001</v>
      </c>
      <c r="BD296">
        <f t="shared" si="58"/>
        <v>16.257160493827158</v>
      </c>
      <c r="BE296">
        <f t="shared" si="59"/>
        <v>21.787521350617279</v>
      </c>
    </row>
    <row r="297" spans="6:57">
      <c r="F297" s="9"/>
      <c r="G297" s="22">
        <v>0.37490800000000002</v>
      </c>
      <c r="H297" s="22">
        <v>8.1166999999999998</v>
      </c>
      <c r="I297" s="22">
        <v>-1.3717699999999999E-2</v>
      </c>
      <c r="J297" s="22">
        <v>287</v>
      </c>
      <c r="K297" s="22">
        <v>0.37420700000000001</v>
      </c>
      <c r="L297">
        <f t="shared" si="48"/>
        <v>16.935432098765432</v>
      </c>
      <c r="M297">
        <f t="shared" si="49"/>
        <v>6.3492289772839507</v>
      </c>
      <c r="N297" s="9"/>
      <c r="O297" s="22">
        <v>1.34521</v>
      </c>
      <c r="P297" s="22">
        <v>11.9762</v>
      </c>
      <c r="Q297" s="22">
        <v>-1.3018800000000001E-2</v>
      </c>
      <c r="R297" s="22">
        <v>287</v>
      </c>
      <c r="S297" s="22">
        <v>1.34399</v>
      </c>
      <c r="T297">
        <f t="shared" si="50"/>
        <v>16.072592592592592</v>
      </c>
      <c r="U297">
        <f t="shared" si="51"/>
        <v>21.62101228148148</v>
      </c>
      <c r="X297" s="9"/>
      <c r="Y297" s="22">
        <v>0.37490800000000002</v>
      </c>
      <c r="Z297" s="22">
        <v>17.452999999999999</v>
      </c>
      <c r="AA297" s="22">
        <v>-1.3775600000000001E-2</v>
      </c>
      <c r="AB297" s="22">
        <v>287</v>
      </c>
      <c r="AC297" s="22">
        <v>0.37423699999999999</v>
      </c>
      <c r="AD297">
        <f t="shared" si="52"/>
        <v>17.006913580246916</v>
      </c>
      <c r="AE297">
        <f t="shared" si="53"/>
        <v>6.3760279565432114</v>
      </c>
      <c r="AF297" s="9"/>
      <c r="AG297" s="22">
        <v>1.34521</v>
      </c>
      <c r="AH297" s="22">
        <v>21.3124</v>
      </c>
      <c r="AI297" s="22">
        <v>-1.30768E-2</v>
      </c>
      <c r="AJ297" s="22">
        <v>287</v>
      </c>
      <c r="AK297" s="22">
        <v>1.3443000000000001</v>
      </c>
      <c r="AL297">
        <f t="shared" si="54"/>
        <v>16.144197530864194</v>
      </c>
      <c r="AM297">
        <f t="shared" si="55"/>
        <v>21.717335960493823</v>
      </c>
      <c r="AP297" s="9"/>
      <c r="AQ297" s="22">
        <v>0.37490800000000002</v>
      </c>
      <c r="AR297" s="22">
        <v>26.876200000000001</v>
      </c>
      <c r="AS297" s="22">
        <v>-1.38275E-2</v>
      </c>
      <c r="AT297" s="22">
        <v>287</v>
      </c>
      <c r="AU297" s="22">
        <v>0.37426799999999999</v>
      </c>
      <c r="AV297">
        <f t="shared" si="56"/>
        <v>17.070987654320987</v>
      </c>
      <c r="AW297">
        <f t="shared" si="57"/>
        <v>6.4000498395061731</v>
      </c>
      <c r="AX297" s="9"/>
      <c r="AY297" s="22">
        <v>1.34521</v>
      </c>
      <c r="AZ297" s="22">
        <v>30.735700000000001</v>
      </c>
      <c r="BA297" s="22">
        <v>-1.3153099999999999E-2</v>
      </c>
      <c r="BB297" s="22">
        <v>287</v>
      </c>
      <c r="BC297" s="22">
        <v>1.3443000000000001</v>
      </c>
      <c r="BD297">
        <f t="shared" si="58"/>
        <v>16.238395061728394</v>
      </c>
      <c r="BE297">
        <f t="shared" si="59"/>
        <v>21.844051420987654</v>
      </c>
    </row>
    <row r="298" spans="6:57">
      <c r="F298" s="9"/>
      <c r="G298" s="22">
        <v>0.36987300000000001</v>
      </c>
      <c r="H298" s="22">
        <v>8.1267700000000005</v>
      </c>
      <c r="I298" s="22">
        <v>-1.3717699999999999E-2</v>
      </c>
      <c r="J298" s="22">
        <v>288</v>
      </c>
      <c r="K298" s="22">
        <v>0.36917100000000003</v>
      </c>
      <c r="L298">
        <f t="shared" si="48"/>
        <v>16.935432098765432</v>
      </c>
      <c r="M298">
        <f t="shared" si="49"/>
        <v>6.2639590766666666</v>
      </c>
      <c r="N298" s="9"/>
      <c r="O298" s="22">
        <v>1.35025</v>
      </c>
      <c r="P298" s="22">
        <v>11.9862</v>
      </c>
      <c r="Q298" s="22">
        <v>-1.3003499999999999E-2</v>
      </c>
      <c r="R298" s="22">
        <v>288</v>
      </c>
      <c r="S298" s="22">
        <v>1.34918</v>
      </c>
      <c r="T298">
        <f t="shared" si="50"/>
        <v>16.0537037037037</v>
      </c>
      <c r="U298">
        <f t="shared" si="51"/>
        <v>21.676513425925922</v>
      </c>
      <c r="X298" s="9"/>
      <c r="Y298" s="22">
        <v>0.36987300000000001</v>
      </c>
      <c r="Z298" s="22">
        <v>17.463000000000001</v>
      </c>
      <c r="AA298" s="22">
        <v>-1.37787E-2</v>
      </c>
      <c r="AB298" s="22">
        <v>288</v>
      </c>
      <c r="AC298" s="22">
        <v>0.369141</v>
      </c>
      <c r="AD298">
        <f t="shared" si="52"/>
        <v>17.01074074074074</v>
      </c>
      <c r="AE298">
        <f t="shared" si="53"/>
        <v>6.2918137099999996</v>
      </c>
      <c r="AF298" s="9"/>
      <c r="AG298" s="22">
        <v>1.35025</v>
      </c>
      <c r="AH298" s="22">
        <v>21.322500000000002</v>
      </c>
      <c r="AI298" s="22">
        <v>-1.3070699999999999E-2</v>
      </c>
      <c r="AJ298" s="22">
        <v>288</v>
      </c>
      <c r="AK298" s="22">
        <v>1.34979</v>
      </c>
      <c r="AL298">
        <f t="shared" si="54"/>
        <v>16.136666666666663</v>
      </c>
      <c r="AM298">
        <f t="shared" si="55"/>
        <v>21.788534166666661</v>
      </c>
      <c r="AP298" s="9"/>
      <c r="AQ298" s="22">
        <v>0.36987300000000001</v>
      </c>
      <c r="AR298" s="22">
        <v>26.886299999999999</v>
      </c>
      <c r="AS298" s="22">
        <v>-1.38306E-2</v>
      </c>
      <c r="AT298" s="22">
        <v>288</v>
      </c>
      <c r="AU298" s="22">
        <v>0.36910999999999999</v>
      </c>
      <c r="AV298">
        <f t="shared" si="56"/>
        <v>17.074814814814815</v>
      </c>
      <c r="AW298">
        <f t="shared" si="57"/>
        <v>6.3155129800000003</v>
      </c>
      <c r="AX298" s="9"/>
      <c r="AY298" s="22">
        <v>1.35025</v>
      </c>
      <c r="AZ298" s="22">
        <v>30.745699999999999</v>
      </c>
      <c r="BA298" s="22">
        <v>-1.3147000000000001E-2</v>
      </c>
      <c r="BB298" s="22">
        <v>288</v>
      </c>
      <c r="BC298" s="22">
        <v>1.34918</v>
      </c>
      <c r="BD298">
        <f t="shared" si="58"/>
        <v>16.230864197530863</v>
      </c>
      <c r="BE298">
        <f t="shared" si="59"/>
        <v>21.915724382716046</v>
      </c>
    </row>
    <row r="299" spans="6:57">
      <c r="F299" s="9"/>
      <c r="G299" s="22">
        <v>0.364838</v>
      </c>
      <c r="H299" s="22">
        <v>8.1368399999999994</v>
      </c>
      <c r="I299" s="22">
        <v>-1.37146E-2</v>
      </c>
      <c r="J299" s="22">
        <v>289</v>
      </c>
      <c r="K299" s="22">
        <v>0.36413600000000002</v>
      </c>
      <c r="L299">
        <f t="shared" si="48"/>
        <v>16.931604938271605</v>
      </c>
      <c r="M299">
        <f t="shared" si="49"/>
        <v>6.1772928824691355</v>
      </c>
      <c r="N299" s="9"/>
      <c r="O299" s="22">
        <v>1.3552900000000001</v>
      </c>
      <c r="P299" s="22">
        <v>11.9963</v>
      </c>
      <c r="Q299" s="22">
        <v>-1.29791E-2</v>
      </c>
      <c r="R299" s="22">
        <v>289</v>
      </c>
      <c r="S299" s="22">
        <v>1.3543700000000001</v>
      </c>
      <c r="T299">
        <f t="shared" si="50"/>
        <v>16.023580246913578</v>
      </c>
      <c r="U299">
        <f t="shared" si="51"/>
        <v>21.716598072839506</v>
      </c>
      <c r="X299" s="9"/>
      <c r="Y299" s="22">
        <v>0.364838</v>
      </c>
      <c r="Z299" s="22">
        <v>17.473099999999999</v>
      </c>
      <c r="AA299" s="22">
        <v>-1.3775600000000001E-2</v>
      </c>
      <c r="AB299" s="22">
        <v>289</v>
      </c>
      <c r="AC299" s="22">
        <v>0.36422700000000002</v>
      </c>
      <c r="AD299">
        <f t="shared" si="52"/>
        <v>17.006913580246916</v>
      </c>
      <c r="AE299">
        <f t="shared" si="53"/>
        <v>6.2047683367901243</v>
      </c>
      <c r="AF299" s="9"/>
      <c r="AG299" s="22">
        <v>1.3552900000000001</v>
      </c>
      <c r="AH299" s="22">
        <v>21.332599999999999</v>
      </c>
      <c r="AI299" s="22">
        <v>-1.3064600000000001E-2</v>
      </c>
      <c r="AJ299" s="22">
        <v>289</v>
      </c>
      <c r="AK299" s="22">
        <v>1.3543700000000001</v>
      </c>
      <c r="AL299">
        <f t="shared" si="54"/>
        <v>16.129135802469136</v>
      </c>
      <c r="AM299">
        <f t="shared" si="55"/>
        <v>21.859656461728399</v>
      </c>
      <c r="AP299" s="9"/>
      <c r="AQ299" s="22">
        <v>0.364838</v>
      </c>
      <c r="AR299" s="22">
        <v>26.8963</v>
      </c>
      <c r="AS299" s="22">
        <v>-1.3842800000000001E-2</v>
      </c>
      <c r="AT299" s="22">
        <v>289</v>
      </c>
      <c r="AU299" s="22">
        <v>0.36419699999999999</v>
      </c>
      <c r="AV299">
        <f t="shared" si="56"/>
        <v>17.089876543209876</v>
      </c>
      <c r="AW299">
        <f t="shared" si="57"/>
        <v>6.2350363782716043</v>
      </c>
      <c r="AX299" s="9"/>
      <c r="AY299" s="22">
        <v>1.3552900000000001</v>
      </c>
      <c r="AZ299" s="22">
        <v>30.755800000000001</v>
      </c>
      <c r="BA299" s="22">
        <v>-1.31287E-2</v>
      </c>
      <c r="BB299" s="22">
        <v>289</v>
      </c>
      <c r="BC299" s="22">
        <v>1.35406</v>
      </c>
      <c r="BD299">
        <f t="shared" si="58"/>
        <v>16.208271604938268</v>
      </c>
      <c r="BE299">
        <f t="shared" si="59"/>
        <v>21.966908423456786</v>
      </c>
    </row>
    <row r="300" spans="6:57">
      <c r="F300" s="9"/>
      <c r="G300" s="22">
        <v>0.35980200000000001</v>
      </c>
      <c r="H300" s="22">
        <v>8.1469100000000001</v>
      </c>
      <c r="I300" s="22">
        <v>-1.3717699999999999E-2</v>
      </c>
      <c r="J300" s="22">
        <v>290</v>
      </c>
      <c r="K300" s="22">
        <v>0.359039</v>
      </c>
      <c r="L300">
        <f t="shared" si="48"/>
        <v>16.935432098765432</v>
      </c>
      <c r="M300">
        <f t="shared" si="49"/>
        <v>6.0934023399999999</v>
      </c>
      <c r="N300" s="9"/>
      <c r="O300" s="22">
        <v>1.36032</v>
      </c>
      <c r="P300" s="22">
        <v>12.006399999999999</v>
      </c>
      <c r="Q300" s="22">
        <v>-1.29578E-2</v>
      </c>
      <c r="R300" s="22">
        <v>290</v>
      </c>
      <c r="S300" s="22">
        <v>1.3595600000000001</v>
      </c>
      <c r="T300">
        <f t="shared" si="50"/>
        <v>15.997283950617284</v>
      </c>
      <c r="U300">
        <f t="shared" si="51"/>
        <v>21.761425303703703</v>
      </c>
      <c r="X300" s="9"/>
      <c r="Y300" s="22">
        <v>0.35980200000000001</v>
      </c>
      <c r="Z300" s="22">
        <v>17.4832</v>
      </c>
      <c r="AA300" s="22">
        <v>-1.3772599999999999E-2</v>
      </c>
      <c r="AB300" s="22">
        <v>290</v>
      </c>
      <c r="AC300" s="22">
        <v>0.35909999999999997</v>
      </c>
      <c r="AD300">
        <f t="shared" si="52"/>
        <v>17.00320987654321</v>
      </c>
      <c r="AE300">
        <f t="shared" si="53"/>
        <v>6.1177889199999997</v>
      </c>
      <c r="AF300" s="9"/>
      <c r="AG300" s="22">
        <v>1.36032</v>
      </c>
      <c r="AH300" s="22">
        <v>21.342600000000001</v>
      </c>
      <c r="AI300" s="22">
        <v>-1.30554E-2</v>
      </c>
      <c r="AJ300" s="22">
        <v>290</v>
      </c>
      <c r="AK300" s="22">
        <v>1.3592500000000001</v>
      </c>
      <c r="AL300">
        <f t="shared" si="54"/>
        <v>16.117777777777775</v>
      </c>
      <c r="AM300">
        <f t="shared" si="55"/>
        <v>21.925335466666663</v>
      </c>
      <c r="AP300" s="9"/>
      <c r="AQ300" s="22">
        <v>0.35980200000000001</v>
      </c>
      <c r="AR300" s="22">
        <v>26.906400000000001</v>
      </c>
      <c r="AS300" s="22">
        <v>-1.3854999999999999E-2</v>
      </c>
      <c r="AT300" s="22">
        <v>290</v>
      </c>
      <c r="AU300" s="22">
        <v>0.35907</v>
      </c>
      <c r="AV300">
        <f t="shared" si="56"/>
        <v>17.104938271604937</v>
      </c>
      <c r="AW300">
        <f t="shared" si="57"/>
        <v>6.1543909999999995</v>
      </c>
      <c r="AX300" s="9"/>
      <c r="AY300" s="22">
        <v>1.36032</v>
      </c>
      <c r="AZ300" s="22">
        <v>30.765899999999998</v>
      </c>
      <c r="BA300" s="22">
        <v>-1.3113400000000001E-2</v>
      </c>
      <c r="BB300" s="22">
        <v>290</v>
      </c>
      <c r="BC300" s="22">
        <v>1.3592500000000001</v>
      </c>
      <c r="BD300">
        <f t="shared" si="58"/>
        <v>16.18938271604938</v>
      </c>
      <c r="BE300">
        <f t="shared" si="59"/>
        <v>22.022741096296294</v>
      </c>
    </row>
    <row r="301" spans="6:57">
      <c r="F301" s="9"/>
      <c r="G301" s="22">
        <v>0.354767</v>
      </c>
      <c r="H301" s="22">
        <v>8.1569900000000004</v>
      </c>
      <c r="I301" s="22">
        <v>-1.3720700000000001E-2</v>
      </c>
      <c r="J301" s="22">
        <v>291</v>
      </c>
      <c r="K301" s="22">
        <v>0.35403400000000002</v>
      </c>
      <c r="L301">
        <f t="shared" si="48"/>
        <v>16.939135802469135</v>
      </c>
      <c r="M301">
        <f t="shared" si="49"/>
        <v>6.0094463912345679</v>
      </c>
      <c r="N301" s="9"/>
      <c r="O301" s="22">
        <v>1.3653599999999999</v>
      </c>
      <c r="P301" s="22">
        <v>12.016500000000001</v>
      </c>
      <c r="Q301" s="22">
        <v>-1.29333E-2</v>
      </c>
      <c r="R301" s="22">
        <v>291</v>
      </c>
      <c r="S301" s="22">
        <v>1.3647499999999999</v>
      </c>
      <c r="T301">
        <f t="shared" si="50"/>
        <v>15.967037037037036</v>
      </c>
      <c r="U301">
        <f t="shared" si="51"/>
        <v>21.800753688888886</v>
      </c>
      <c r="X301" s="9"/>
      <c r="Y301" s="22">
        <v>0.354767</v>
      </c>
      <c r="Z301" s="22">
        <v>17.493200000000002</v>
      </c>
      <c r="AA301" s="22">
        <v>-1.37695E-2</v>
      </c>
      <c r="AB301" s="22">
        <v>291</v>
      </c>
      <c r="AC301" s="22">
        <v>0.35406500000000002</v>
      </c>
      <c r="AD301">
        <f t="shared" si="52"/>
        <v>16.999382716049382</v>
      </c>
      <c r="AE301">
        <f t="shared" si="53"/>
        <v>6.0308200080246914</v>
      </c>
      <c r="AF301" s="9"/>
      <c r="AG301" s="22">
        <v>1.3653599999999999</v>
      </c>
      <c r="AH301" s="22">
        <v>21.352699999999999</v>
      </c>
      <c r="AI301" s="22">
        <v>-1.30341E-2</v>
      </c>
      <c r="AJ301" s="22">
        <v>291</v>
      </c>
      <c r="AK301" s="22">
        <v>1.3641399999999999</v>
      </c>
      <c r="AL301">
        <f t="shared" si="54"/>
        <v>16.09148148148148</v>
      </c>
      <c r="AM301">
        <f t="shared" si="55"/>
        <v>21.970665155555551</v>
      </c>
      <c r="AP301" s="9"/>
      <c r="AQ301" s="22">
        <v>0.354767</v>
      </c>
      <c r="AR301" s="22">
        <v>26.916499999999999</v>
      </c>
      <c r="AS301" s="22">
        <v>-1.3864100000000001E-2</v>
      </c>
      <c r="AT301" s="22">
        <v>291</v>
      </c>
      <c r="AU301" s="22">
        <v>0.35406500000000002</v>
      </c>
      <c r="AV301">
        <f t="shared" si="56"/>
        <v>17.11617283950617</v>
      </c>
      <c r="AW301">
        <f t="shared" si="57"/>
        <v>6.0722532897530854</v>
      </c>
      <c r="AX301" s="9"/>
      <c r="AY301" s="22">
        <v>1.3653599999999999</v>
      </c>
      <c r="AZ301" s="22">
        <v>30.7759</v>
      </c>
      <c r="BA301" s="22">
        <v>-1.3091999999999999E-2</v>
      </c>
      <c r="BB301" s="22">
        <v>291</v>
      </c>
      <c r="BC301" s="22">
        <v>1.3647499999999999</v>
      </c>
      <c r="BD301">
        <f t="shared" si="58"/>
        <v>16.162962962962961</v>
      </c>
      <c r="BE301">
        <f t="shared" si="59"/>
        <v>22.068263111111108</v>
      </c>
    </row>
    <row r="302" spans="6:57">
      <c r="F302" s="9"/>
      <c r="G302" s="22">
        <v>0.34973100000000001</v>
      </c>
      <c r="H302" s="22">
        <v>8.1670599999999993</v>
      </c>
      <c r="I302" s="22">
        <v>-1.3720700000000001E-2</v>
      </c>
      <c r="J302" s="22">
        <v>292</v>
      </c>
      <c r="K302" s="22">
        <v>0.349213</v>
      </c>
      <c r="L302">
        <f t="shared" si="48"/>
        <v>16.939135802469135</v>
      </c>
      <c r="M302">
        <f t="shared" si="49"/>
        <v>5.924140903333333</v>
      </c>
      <c r="N302" s="9"/>
      <c r="O302" s="22">
        <v>1.37039</v>
      </c>
      <c r="P302" s="22">
        <v>12.0265</v>
      </c>
      <c r="Q302" s="22">
        <v>-1.29211E-2</v>
      </c>
      <c r="R302" s="22">
        <v>292</v>
      </c>
      <c r="S302" s="22">
        <v>1.3699300000000001</v>
      </c>
      <c r="T302">
        <f t="shared" si="50"/>
        <v>15.951975308641973</v>
      </c>
      <c r="U302">
        <f t="shared" si="51"/>
        <v>21.860427443209876</v>
      </c>
      <c r="X302" s="9"/>
      <c r="Y302" s="22">
        <v>0.34973100000000001</v>
      </c>
      <c r="Z302" s="22">
        <v>17.503299999999999</v>
      </c>
      <c r="AA302" s="22">
        <v>-1.3760400000000001E-2</v>
      </c>
      <c r="AB302" s="22">
        <v>292</v>
      </c>
      <c r="AC302" s="22">
        <v>0.34905999999999998</v>
      </c>
      <c r="AD302">
        <f t="shared" si="52"/>
        <v>16.988148148148149</v>
      </c>
      <c r="AE302">
        <f t="shared" si="53"/>
        <v>5.9412820400000008</v>
      </c>
      <c r="AF302" s="9"/>
      <c r="AG302" s="22">
        <v>1.37039</v>
      </c>
      <c r="AH302" s="22">
        <v>21.3628</v>
      </c>
      <c r="AI302" s="22">
        <v>-1.3018800000000001E-2</v>
      </c>
      <c r="AJ302" s="22">
        <v>292</v>
      </c>
      <c r="AK302" s="22">
        <v>1.3693200000000001</v>
      </c>
      <c r="AL302">
        <f t="shared" si="54"/>
        <v>16.072592592592592</v>
      </c>
      <c r="AM302">
        <f t="shared" si="55"/>
        <v>22.025720162962962</v>
      </c>
      <c r="AP302" s="9"/>
      <c r="AQ302" s="22">
        <v>0.34973100000000001</v>
      </c>
      <c r="AR302" s="22">
        <v>26.926500000000001</v>
      </c>
      <c r="AS302" s="22">
        <v>-1.3861099999999999E-2</v>
      </c>
      <c r="AT302" s="22">
        <v>292</v>
      </c>
      <c r="AU302" s="22">
        <v>0.348999</v>
      </c>
      <c r="AV302">
        <f t="shared" si="56"/>
        <v>17.112469135802467</v>
      </c>
      <c r="AW302">
        <f t="shared" si="57"/>
        <v>5.9847609433333329</v>
      </c>
      <c r="AX302" s="9"/>
      <c r="AY302" s="22">
        <v>1.37039</v>
      </c>
      <c r="AZ302" s="22">
        <v>30.786000000000001</v>
      </c>
      <c r="BA302" s="22">
        <v>-1.3070699999999999E-2</v>
      </c>
      <c r="BB302" s="22">
        <v>292</v>
      </c>
      <c r="BC302" s="22">
        <v>1.3696299999999999</v>
      </c>
      <c r="BD302">
        <f t="shared" si="58"/>
        <v>16.136666666666663</v>
      </c>
      <c r="BE302">
        <f t="shared" si="59"/>
        <v>22.113526633333329</v>
      </c>
    </row>
    <row r="303" spans="6:57">
      <c r="F303" s="9"/>
      <c r="G303" s="22">
        <v>0.344696</v>
      </c>
      <c r="H303" s="22">
        <v>8.17713</v>
      </c>
      <c r="I303" s="22">
        <v>-1.37299E-2</v>
      </c>
      <c r="J303" s="22">
        <v>293</v>
      </c>
      <c r="K303" s="22">
        <v>0.34402500000000003</v>
      </c>
      <c r="L303">
        <f t="shared" si="48"/>
        <v>16.950493827160493</v>
      </c>
      <c r="M303">
        <f t="shared" si="49"/>
        <v>5.8427674202469131</v>
      </c>
      <c r="N303" s="9"/>
      <c r="O303" s="22">
        <v>1.3754299999999999</v>
      </c>
      <c r="P303" s="22">
        <v>12.0366</v>
      </c>
      <c r="Q303" s="22">
        <v>-1.2912E-2</v>
      </c>
      <c r="R303" s="22">
        <v>293</v>
      </c>
      <c r="S303" s="22">
        <v>1.3742099999999999</v>
      </c>
      <c r="T303">
        <f t="shared" si="50"/>
        <v>15.940740740740738</v>
      </c>
      <c r="U303">
        <f t="shared" si="51"/>
        <v>21.925373037037033</v>
      </c>
      <c r="X303" s="9"/>
      <c r="Y303" s="22">
        <v>0.344696</v>
      </c>
      <c r="Z303" s="22">
        <v>17.513400000000001</v>
      </c>
      <c r="AA303" s="22">
        <v>-1.3760400000000001E-2</v>
      </c>
      <c r="AB303" s="22">
        <v>293</v>
      </c>
      <c r="AC303" s="22">
        <v>0.34402500000000003</v>
      </c>
      <c r="AD303">
        <f t="shared" si="52"/>
        <v>16.988148148148149</v>
      </c>
      <c r="AE303">
        <f t="shared" si="53"/>
        <v>5.8557467140740744</v>
      </c>
      <c r="AF303" s="9"/>
      <c r="AG303" s="22">
        <v>1.3754299999999999</v>
      </c>
      <c r="AH303" s="22">
        <v>21.372900000000001</v>
      </c>
      <c r="AI303" s="22">
        <v>-1.3003499999999999E-2</v>
      </c>
      <c r="AJ303" s="22">
        <v>293</v>
      </c>
      <c r="AK303" s="22">
        <v>1.3751199999999999</v>
      </c>
      <c r="AL303">
        <f t="shared" si="54"/>
        <v>16.0537037037037</v>
      </c>
      <c r="AM303">
        <f t="shared" si="55"/>
        <v>22.080745685185178</v>
      </c>
      <c r="AP303" s="9"/>
      <c r="AQ303" s="22">
        <v>0.344696</v>
      </c>
      <c r="AR303" s="22">
        <v>26.936599999999999</v>
      </c>
      <c r="AS303" s="22">
        <v>-1.38519E-2</v>
      </c>
      <c r="AT303" s="22">
        <v>293</v>
      </c>
      <c r="AU303" s="22">
        <v>0.34393299999999999</v>
      </c>
      <c r="AV303">
        <f t="shared" si="56"/>
        <v>17.101111111111113</v>
      </c>
      <c r="AW303">
        <f t="shared" si="57"/>
        <v>5.8946845955555558</v>
      </c>
      <c r="AX303" s="9"/>
      <c r="AY303" s="22">
        <v>1.3754299999999999</v>
      </c>
      <c r="AZ303" s="22">
        <v>30.796099999999999</v>
      </c>
      <c r="BA303" s="22">
        <v>-1.30524E-2</v>
      </c>
      <c r="BB303" s="22">
        <v>293</v>
      </c>
      <c r="BC303" s="22">
        <v>1.3735999999999999</v>
      </c>
      <c r="BD303">
        <f t="shared" si="58"/>
        <v>16.114074074074072</v>
      </c>
      <c r="BE303">
        <f t="shared" si="59"/>
        <v>22.163780903703699</v>
      </c>
    </row>
    <row r="304" spans="6:57">
      <c r="F304" s="9"/>
      <c r="G304" s="22">
        <v>0.33966099999999999</v>
      </c>
      <c r="H304" s="22">
        <v>8.1872000000000007</v>
      </c>
      <c r="I304" s="22">
        <v>-1.37451E-2</v>
      </c>
      <c r="J304" s="22">
        <v>294</v>
      </c>
      <c r="K304" s="22">
        <v>0.33895900000000001</v>
      </c>
      <c r="L304">
        <f t="shared" si="48"/>
        <v>16.969259259259257</v>
      </c>
      <c r="M304">
        <f t="shared" si="49"/>
        <v>5.7637955692592584</v>
      </c>
      <c r="N304" s="9"/>
      <c r="O304" s="22">
        <v>1.38046</v>
      </c>
      <c r="P304" s="22">
        <v>12.0467</v>
      </c>
      <c r="Q304" s="22">
        <v>-1.2893699999999999E-2</v>
      </c>
      <c r="R304" s="22">
        <v>294</v>
      </c>
      <c r="S304" s="22">
        <v>1.3796999999999999</v>
      </c>
      <c r="T304">
        <f t="shared" si="50"/>
        <v>15.918148148148147</v>
      </c>
      <c r="U304">
        <f t="shared" si="51"/>
        <v>21.974366792592591</v>
      </c>
      <c r="X304" s="9"/>
      <c r="Y304" s="22">
        <v>0.33966099999999999</v>
      </c>
      <c r="Z304" s="22">
        <v>17.523499999999999</v>
      </c>
      <c r="AA304" s="22">
        <v>-1.37634E-2</v>
      </c>
      <c r="AB304" s="22">
        <v>294</v>
      </c>
      <c r="AC304" s="22">
        <v>0.33895900000000001</v>
      </c>
      <c r="AD304">
        <f t="shared" si="52"/>
        <v>16.991851851851852</v>
      </c>
      <c r="AE304">
        <f t="shared" si="53"/>
        <v>5.771469391851852</v>
      </c>
      <c r="AF304" s="9"/>
      <c r="AG304" s="22">
        <v>1.38046</v>
      </c>
      <c r="AH304" s="22">
        <v>21.382899999999999</v>
      </c>
      <c r="AI304" s="22">
        <v>-1.2976100000000001E-2</v>
      </c>
      <c r="AJ304" s="22">
        <v>294</v>
      </c>
      <c r="AK304" s="22">
        <v>1.38</v>
      </c>
      <c r="AL304">
        <f t="shared" si="54"/>
        <v>16.019876543209875</v>
      </c>
      <c r="AM304">
        <f t="shared" si="55"/>
        <v>22.114798772839507</v>
      </c>
      <c r="AP304" s="9"/>
      <c r="AQ304" s="22">
        <v>0.33966099999999999</v>
      </c>
      <c r="AR304" s="22">
        <v>26.9467</v>
      </c>
      <c r="AS304" s="22">
        <v>-1.3842800000000001E-2</v>
      </c>
      <c r="AT304" s="22">
        <v>294</v>
      </c>
      <c r="AU304" s="22">
        <v>0.33892800000000001</v>
      </c>
      <c r="AV304">
        <f t="shared" si="56"/>
        <v>17.089876543209876</v>
      </c>
      <c r="AW304">
        <f t="shared" si="57"/>
        <v>5.8047645565432093</v>
      </c>
      <c r="AX304" s="9"/>
      <c r="AY304" s="22">
        <v>1.38046</v>
      </c>
      <c r="AZ304" s="22">
        <v>30.8062</v>
      </c>
      <c r="BA304" s="22">
        <v>-1.3030999999999999E-2</v>
      </c>
      <c r="BB304" s="22">
        <v>294</v>
      </c>
      <c r="BC304" s="22">
        <v>1.3796999999999999</v>
      </c>
      <c r="BD304">
        <f t="shared" si="58"/>
        <v>16.087654320987653</v>
      </c>
      <c r="BE304">
        <f t="shared" si="59"/>
        <v>22.208363283950614</v>
      </c>
    </row>
    <row r="305" spans="6:57">
      <c r="F305" s="9"/>
      <c r="G305" s="22">
        <v>0.33462500000000001</v>
      </c>
      <c r="H305" s="22">
        <v>8.1972699999999996</v>
      </c>
      <c r="I305" s="22">
        <v>-1.37482E-2</v>
      </c>
      <c r="J305" s="22">
        <v>295</v>
      </c>
      <c r="K305" s="22">
        <v>0.33386199999999999</v>
      </c>
      <c r="L305">
        <f t="shared" si="48"/>
        <v>16.973086419753084</v>
      </c>
      <c r="M305">
        <f t="shared" si="49"/>
        <v>5.6796190432098763</v>
      </c>
      <c r="N305" s="9"/>
      <c r="O305" s="22">
        <v>1.3855</v>
      </c>
      <c r="P305" s="22">
        <v>12.056699999999999</v>
      </c>
      <c r="Q305" s="22">
        <v>-1.28845E-2</v>
      </c>
      <c r="R305" s="22">
        <v>295</v>
      </c>
      <c r="S305" s="22">
        <v>1.38428</v>
      </c>
      <c r="T305">
        <f t="shared" si="50"/>
        <v>15.906790123456791</v>
      </c>
      <c r="U305">
        <f t="shared" si="51"/>
        <v>22.038857716049382</v>
      </c>
      <c r="X305" s="9"/>
      <c r="Y305" s="22">
        <v>0.33462500000000001</v>
      </c>
      <c r="Z305" s="22">
        <v>17.5335</v>
      </c>
      <c r="AA305" s="22">
        <v>-1.3766499999999999E-2</v>
      </c>
      <c r="AB305" s="22">
        <v>295</v>
      </c>
      <c r="AC305" s="22">
        <v>0.333893</v>
      </c>
      <c r="AD305">
        <f t="shared" si="52"/>
        <v>16.995679012345676</v>
      </c>
      <c r="AE305">
        <f t="shared" si="53"/>
        <v>5.6871790895061718</v>
      </c>
      <c r="AF305" s="9"/>
      <c r="AG305" s="22">
        <v>1.3855</v>
      </c>
      <c r="AH305" s="22">
        <v>21.393000000000001</v>
      </c>
      <c r="AI305" s="22">
        <v>-1.29456E-2</v>
      </c>
      <c r="AJ305" s="22">
        <v>295</v>
      </c>
      <c r="AK305" s="22">
        <v>1.3839699999999999</v>
      </c>
      <c r="AL305">
        <f t="shared" si="54"/>
        <v>15.982222222222221</v>
      </c>
      <c r="AM305">
        <f t="shared" si="55"/>
        <v>22.143368888888887</v>
      </c>
      <c r="AP305" s="9"/>
      <c r="AQ305" s="22">
        <v>0.33462500000000001</v>
      </c>
      <c r="AR305" s="22">
        <v>26.956800000000001</v>
      </c>
      <c r="AS305" s="22">
        <v>-1.3842800000000001E-2</v>
      </c>
      <c r="AT305" s="22">
        <v>295</v>
      </c>
      <c r="AU305" s="22">
        <v>0.33386199999999999</v>
      </c>
      <c r="AV305">
        <f t="shared" si="56"/>
        <v>17.089876543209876</v>
      </c>
      <c r="AW305">
        <f t="shared" si="57"/>
        <v>5.7186999382716044</v>
      </c>
      <c r="AX305" s="9"/>
      <c r="AY305" s="22">
        <v>1.3855</v>
      </c>
      <c r="AZ305" s="22">
        <v>30.816199999999998</v>
      </c>
      <c r="BA305" s="22">
        <v>-1.3024900000000001E-2</v>
      </c>
      <c r="BB305" s="22">
        <v>295</v>
      </c>
      <c r="BC305" s="22">
        <v>1.38489</v>
      </c>
      <c r="BD305">
        <f t="shared" si="58"/>
        <v>16.080123456790126</v>
      </c>
      <c r="BE305">
        <f t="shared" si="59"/>
        <v>22.279011049382721</v>
      </c>
    </row>
    <row r="306" spans="6:57">
      <c r="F306" s="9"/>
      <c r="G306" s="22">
        <v>0.32958999999999999</v>
      </c>
      <c r="H306" s="22">
        <v>8.2073400000000003</v>
      </c>
      <c r="I306" s="22">
        <v>-1.37512E-2</v>
      </c>
      <c r="J306" s="22">
        <v>296</v>
      </c>
      <c r="K306" s="22">
        <v>0.32891799999999999</v>
      </c>
      <c r="L306">
        <f t="shared" si="48"/>
        <v>16.976790123456787</v>
      </c>
      <c r="M306">
        <f t="shared" si="49"/>
        <v>5.5953802567901221</v>
      </c>
      <c r="N306" s="9"/>
      <c r="O306" s="22">
        <v>1.39053</v>
      </c>
      <c r="P306" s="22">
        <v>12.066800000000001</v>
      </c>
      <c r="Q306" s="22">
        <v>-1.2860099999999999E-2</v>
      </c>
      <c r="R306" s="22">
        <v>296</v>
      </c>
      <c r="S306" s="22">
        <v>1.38947</v>
      </c>
      <c r="T306">
        <f t="shared" si="50"/>
        <v>15.876666666666663</v>
      </c>
      <c r="U306">
        <f t="shared" si="51"/>
        <v>22.076981299999996</v>
      </c>
      <c r="X306" s="9"/>
      <c r="Y306" s="22">
        <v>0.32958999999999999</v>
      </c>
      <c r="Z306" s="22">
        <v>17.543600000000001</v>
      </c>
      <c r="AA306" s="22">
        <v>-1.37573E-2</v>
      </c>
      <c r="AB306" s="22">
        <v>296</v>
      </c>
      <c r="AC306" s="22">
        <v>0.32888800000000001</v>
      </c>
      <c r="AD306">
        <f t="shared" si="52"/>
        <v>16.984320987654321</v>
      </c>
      <c r="AE306">
        <f t="shared" si="53"/>
        <v>5.5978623543209878</v>
      </c>
      <c r="AF306" s="9"/>
      <c r="AG306" s="22">
        <v>1.39053</v>
      </c>
      <c r="AH306" s="22">
        <v>21.403099999999998</v>
      </c>
      <c r="AI306" s="22">
        <v>-1.2914999999999999E-2</v>
      </c>
      <c r="AJ306" s="22">
        <v>296</v>
      </c>
      <c r="AK306" s="22">
        <v>1.3897699999999999</v>
      </c>
      <c r="AL306">
        <f t="shared" si="54"/>
        <v>15.944444444444441</v>
      </c>
      <c r="AM306">
        <f t="shared" si="55"/>
        <v>22.171228333333328</v>
      </c>
      <c r="AP306" s="9"/>
      <c r="AQ306" s="22">
        <v>0.32958999999999999</v>
      </c>
      <c r="AR306" s="22">
        <v>26.966799999999999</v>
      </c>
      <c r="AS306" s="22">
        <v>-1.38458E-2</v>
      </c>
      <c r="AT306" s="22">
        <v>296</v>
      </c>
      <c r="AU306" s="22">
        <v>0.32885700000000001</v>
      </c>
      <c r="AV306">
        <f t="shared" si="56"/>
        <v>17.093580246913579</v>
      </c>
      <c r="AW306">
        <f t="shared" si="57"/>
        <v>5.633873113580246</v>
      </c>
      <c r="AX306" s="9"/>
      <c r="AY306" s="22">
        <v>1.39053</v>
      </c>
      <c r="AZ306" s="22">
        <v>30.8263</v>
      </c>
      <c r="BA306" s="22">
        <v>-1.30157E-2</v>
      </c>
      <c r="BB306" s="22">
        <v>296</v>
      </c>
      <c r="BC306" s="22">
        <v>1.38947</v>
      </c>
      <c r="BD306">
        <f t="shared" si="58"/>
        <v>16.068765432098765</v>
      </c>
      <c r="BE306">
        <f t="shared" si="59"/>
        <v>22.344100396296295</v>
      </c>
    </row>
    <row r="307" spans="6:57">
      <c r="F307" s="9"/>
      <c r="G307" s="22">
        <v>0.32455400000000001</v>
      </c>
      <c r="H307" s="22">
        <v>8.2174099999999992</v>
      </c>
      <c r="I307" s="22">
        <v>-1.3754300000000001E-2</v>
      </c>
      <c r="J307" s="22">
        <v>297</v>
      </c>
      <c r="K307" s="22">
        <v>0.32376100000000002</v>
      </c>
      <c r="L307">
        <f t="shared" si="48"/>
        <v>16.980617283950615</v>
      </c>
      <c r="M307">
        <f t="shared" si="49"/>
        <v>5.5111272619753082</v>
      </c>
      <c r="N307" s="9"/>
      <c r="O307" s="22">
        <v>1.39557</v>
      </c>
      <c r="P307" s="22">
        <v>12.0769</v>
      </c>
      <c r="Q307" s="22">
        <v>-1.28418E-2</v>
      </c>
      <c r="R307" s="22">
        <v>297</v>
      </c>
      <c r="S307" s="22">
        <v>1.39496</v>
      </c>
      <c r="T307">
        <f t="shared" si="50"/>
        <v>15.854074074074072</v>
      </c>
      <c r="U307">
        <f t="shared" si="51"/>
        <v>22.125470155555551</v>
      </c>
      <c r="X307" s="9"/>
      <c r="Y307" s="22">
        <v>0.32455400000000001</v>
      </c>
      <c r="Z307" s="22">
        <v>17.553699999999999</v>
      </c>
      <c r="AA307" s="22">
        <v>-1.37451E-2</v>
      </c>
      <c r="AB307" s="22">
        <v>297</v>
      </c>
      <c r="AC307" s="22">
        <v>0.32388299999999998</v>
      </c>
      <c r="AD307">
        <f t="shared" si="52"/>
        <v>16.969259259259257</v>
      </c>
      <c r="AE307">
        <f t="shared" si="53"/>
        <v>5.5074409696296289</v>
      </c>
      <c r="AF307" s="9"/>
      <c r="AG307" s="22">
        <v>1.39557</v>
      </c>
      <c r="AH307" s="22">
        <v>21.4131</v>
      </c>
      <c r="AI307" s="22">
        <v>-1.28784E-2</v>
      </c>
      <c r="AJ307" s="22">
        <v>297</v>
      </c>
      <c r="AK307" s="22">
        <v>1.39496</v>
      </c>
      <c r="AL307">
        <f t="shared" si="54"/>
        <v>15.899259259259258</v>
      </c>
      <c r="AM307">
        <f t="shared" si="55"/>
        <v>22.188529244444442</v>
      </c>
      <c r="AP307" s="9"/>
      <c r="AQ307" s="22">
        <v>0.32455400000000001</v>
      </c>
      <c r="AR307" s="22">
        <v>26.976900000000001</v>
      </c>
      <c r="AS307" s="22">
        <v>-1.3848900000000001E-2</v>
      </c>
      <c r="AT307" s="22">
        <v>297</v>
      </c>
      <c r="AU307" s="22">
        <v>0.323822</v>
      </c>
      <c r="AV307">
        <f t="shared" si="56"/>
        <v>17.09740740740741</v>
      </c>
      <c r="AW307">
        <f t="shared" si="57"/>
        <v>5.5490319637037047</v>
      </c>
      <c r="AX307" s="9"/>
      <c r="AY307" s="22">
        <v>1.39557</v>
      </c>
      <c r="AZ307" s="22">
        <v>30.836400000000001</v>
      </c>
      <c r="BA307" s="22">
        <v>-1.30005E-2</v>
      </c>
      <c r="BB307" s="22">
        <v>297</v>
      </c>
      <c r="BC307" s="22">
        <v>1.39435</v>
      </c>
      <c r="BD307">
        <f t="shared" si="58"/>
        <v>16.049999999999997</v>
      </c>
      <c r="BE307">
        <f t="shared" si="59"/>
        <v>22.398898499999994</v>
      </c>
    </row>
    <row r="308" spans="6:57">
      <c r="F308" s="9"/>
      <c r="G308" s="22">
        <v>0.319519</v>
      </c>
      <c r="H308" s="22">
        <v>8.2274799999999999</v>
      </c>
      <c r="I308" s="22">
        <v>-1.3766499999999999E-2</v>
      </c>
      <c r="J308" s="22">
        <v>298</v>
      </c>
      <c r="K308" s="22">
        <v>0.31881700000000002</v>
      </c>
      <c r="L308">
        <f t="shared" si="48"/>
        <v>16.995679012345676</v>
      </c>
      <c r="M308">
        <f t="shared" si="49"/>
        <v>5.4304423623456781</v>
      </c>
      <c r="N308" s="9"/>
      <c r="O308" s="22">
        <v>1.4006000000000001</v>
      </c>
      <c r="P308" s="22">
        <v>12.087</v>
      </c>
      <c r="Q308" s="22">
        <v>-1.2826499999999999E-2</v>
      </c>
      <c r="R308" s="22">
        <v>298</v>
      </c>
      <c r="S308" s="22">
        <v>1.39954</v>
      </c>
      <c r="T308">
        <f t="shared" si="50"/>
        <v>15.835185185185185</v>
      </c>
      <c r="U308">
        <f t="shared" si="51"/>
        <v>22.178760370370373</v>
      </c>
      <c r="X308" s="9"/>
      <c r="Y308" s="22">
        <v>0.319519</v>
      </c>
      <c r="Z308" s="22">
        <v>17.563700000000001</v>
      </c>
      <c r="AA308" s="22">
        <v>-1.37451E-2</v>
      </c>
      <c r="AB308" s="22">
        <v>298</v>
      </c>
      <c r="AC308" s="22">
        <v>0.31881700000000002</v>
      </c>
      <c r="AD308">
        <f t="shared" si="52"/>
        <v>16.969259259259257</v>
      </c>
      <c r="AE308">
        <f t="shared" si="53"/>
        <v>5.4220007492592588</v>
      </c>
      <c r="AF308" s="9"/>
      <c r="AG308" s="22">
        <v>1.4006000000000001</v>
      </c>
      <c r="AH308" s="22">
        <v>21.423200000000001</v>
      </c>
      <c r="AI308" s="22">
        <v>-1.2860099999999999E-2</v>
      </c>
      <c r="AJ308" s="22">
        <v>298</v>
      </c>
      <c r="AK308" s="22">
        <v>1.39954</v>
      </c>
      <c r="AL308">
        <f t="shared" si="54"/>
        <v>15.876666666666663</v>
      </c>
      <c r="AM308">
        <f t="shared" si="55"/>
        <v>22.236859333333332</v>
      </c>
      <c r="AP308" s="9"/>
      <c r="AQ308" s="22">
        <v>0.319519</v>
      </c>
      <c r="AR308" s="22">
        <v>26.986999999999998</v>
      </c>
      <c r="AS308" s="22">
        <v>-1.3848900000000001E-2</v>
      </c>
      <c r="AT308" s="22">
        <v>298</v>
      </c>
      <c r="AU308" s="22">
        <v>0.31878699999999999</v>
      </c>
      <c r="AV308">
        <f t="shared" si="56"/>
        <v>17.09740740740741</v>
      </c>
      <c r="AW308">
        <f t="shared" si="57"/>
        <v>5.4629465174074081</v>
      </c>
      <c r="AX308" s="9"/>
      <c r="AY308" s="22">
        <v>1.4006000000000001</v>
      </c>
      <c r="AZ308" s="22">
        <v>30.846399999999999</v>
      </c>
      <c r="BA308" s="22">
        <v>-1.2997399999999999E-2</v>
      </c>
      <c r="BB308" s="22">
        <v>298</v>
      </c>
      <c r="BC308" s="22">
        <v>1.40045</v>
      </c>
      <c r="BD308">
        <f t="shared" si="58"/>
        <v>16.04617283950617</v>
      </c>
      <c r="BE308">
        <f t="shared" si="59"/>
        <v>22.474269679012341</v>
      </c>
    </row>
    <row r="309" spans="6:57">
      <c r="F309" s="9"/>
      <c r="G309" s="22">
        <v>0.31448399999999999</v>
      </c>
      <c r="H309" s="22">
        <v>8.2375500000000006</v>
      </c>
      <c r="I309" s="22">
        <v>-1.3772599999999999E-2</v>
      </c>
      <c r="J309" s="22">
        <v>299</v>
      </c>
      <c r="K309" s="22">
        <v>0.31384299999999998</v>
      </c>
      <c r="L309">
        <f t="shared" si="48"/>
        <v>17.00320987654321</v>
      </c>
      <c r="M309">
        <f t="shared" si="49"/>
        <v>5.3472374548148141</v>
      </c>
      <c r="N309" s="9"/>
      <c r="O309" s="22">
        <v>1.40564</v>
      </c>
      <c r="P309" s="22">
        <v>12.097</v>
      </c>
      <c r="Q309" s="22">
        <v>-1.28082E-2</v>
      </c>
      <c r="R309" s="22">
        <v>299</v>
      </c>
      <c r="S309" s="22">
        <v>1.40503</v>
      </c>
      <c r="T309">
        <f t="shared" si="50"/>
        <v>15.812592592592594</v>
      </c>
      <c r="U309">
        <f t="shared" si="51"/>
        <v>22.226812651851855</v>
      </c>
      <c r="X309" s="9"/>
      <c r="Y309" s="22">
        <v>0.31448399999999999</v>
      </c>
      <c r="Z309" s="22">
        <v>17.573799999999999</v>
      </c>
      <c r="AA309" s="22">
        <v>-1.37512E-2</v>
      </c>
      <c r="AB309" s="22">
        <v>299</v>
      </c>
      <c r="AC309" s="22">
        <v>0.31387300000000001</v>
      </c>
      <c r="AD309">
        <f t="shared" si="52"/>
        <v>16.976790123456787</v>
      </c>
      <c r="AE309">
        <f t="shared" si="53"/>
        <v>5.3389288651851841</v>
      </c>
      <c r="AF309" s="9"/>
      <c r="AG309" s="22">
        <v>1.40564</v>
      </c>
      <c r="AH309" s="22">
        <v>21.433299999999999</v>
      </c>
      <c r="AI309" s="22">
        <v>-1.28387E-2</v>
      </c>
      <c r="AJ309" s="22">
        <v>299</v>
      </c>
      <c r="AK309" s="22">
        <v>1.40442</v>
      </c>
      <c r="AL309">
        <f t="shared" si="54"/>
        <v>15.850246913580245</v>
      </c>
      <c r="AM309">
        <f t="shared" si="55"/>
        <v>22.279741071604935</v>
      </c>
      <c r="AP309" s="9"/>
      <c r="AQ309" s="22">
        <v>0.31448399999999999</v>
      </c>
      <c r="AR309" s="22">
        <v>26.997</v>
      </c>
      <c r="AS309" s="22">
        <v>-1.3842800000000001E-2</v>
      </c>
      <c r="AT309" s="22">
        <v>299</v>
      </c>
      <c r="AU309" s="22">
        <v>0.31378200000000001</v>
      </c>
      <c r="AV309">
        <f t="shared" si="56"/>
        <v>17.089876543209876</v>
      </c>
      <c r="AW309">
        <f t="shared" si="57"/>
        <v>5.3744927348148144</v>
      </c>
      <c r="AX309" s="9"/>
      <c r="AY309" s="22">
        <v>1.40564</v>
      </c>
      <c r="AZ309" s="22">
        <v>30.8565</v>
      </c>
      <c r="BA309" s="22">
        <v>-1.29944E-2</v>
      </c>
      <c r="BB309" s="22">
        <v>299</v>
      </c>
      <c r="BC309" s="22">
        <v>1.40472</v>
      </c>
      <c r="BD309">
        <f t="shared" si="58"/>
        <v>16.042469135802467</v>
      </c>
      <c r="BE309">
        <f t="shared" si="59"/>
        <v>22.549936316049379</v>
      </c>
    </row>
    <row r="310" spans="6:57">
      <c r="F310" s="9"/>
      <c r="G310" s="22">
        <v>0.309448</v>
      </c>
      <c r="H310" s="22">
        <v>8.2476199999999995</v>
      </c>
      <c r="I310" s="22">
        <v>-1.37695E-2</v>
      </c>
      <c r="J310" s="22">
        <v>300</v>
      </c>
      <c r="K310" s="22">
        <v>0.30877700000000002</v>
      </c>
      <c r="L310">
        <f t="shared" si="48"/>
        <v>16.999382716049382</v>
      </c>
      <c r="M310">
        <f t="shared" si="49"/>
        <v>5.2604249827160494</v>
      </c>
      <c r="N310" s="9"/>
      <c r="O310" s="22">
        <v>1.4106799999999999</v>
      </c>
      <c r="P310" s="22">
        <v>12.107100000000001</v>
      </c>
      <c r="Q310" s="22">
        <v>-1.27899E-2</v>
      </c>
      <c r="R310" s="22">
        <v>300</v>
      </c>
      <c r="S310" s="22">
        <v>1.40991</v>
      </c>
      <c r="T310">
        <f t="shared" si="50"/>
        <v>15.79</v>
      </c>
      <c r="U310">
        <f t="shared" si="51"/>
        <v>22.274637199999997</v>
      </c>
      <c r="X310" s="9"/>
      <c r="Y310" s="22">
        <v>0.309448</v>
      </c>
      <c r="Z310" s="22">
        <v>17.5839</v>
      </c>
      <c r="AA310" s="22">
        <v>-1.37695E-2</v>
      </c>
      <c r="AB310" s="22">
        <v>300</v>
      </c>
      <c r="AC310" s="22">
        <v>0.30877700000000002</v>
      </c>
      <c r="AD310">
        <f t="shared" si="52"/>
        <v>16.999382716049382</v>
      </c>
      <c r="AE310">
        <f t="shared" si="53"/>
        <v>5.2604249827160494</v>
      </c>
      <c r="AF310" s="9"/>
      <c r="AG310" s="22">
        <v>1.4106799999999999</v>
      </c>
      <c r="AH310" s="22">
        <v>21.4434</v>
      </c>
      <c r="AI310" s="22">
        <v>-1.2811299999999999E-2</v>
      </c>
      <c r="AJ310" s="22">
        <v>300</v>
      </c>
      <c r="AK310" s="22">
        <v>1.4093</v>
      </c>
      <c r="AL310">
        <f t="shared" si="54"/>
        <v>15.816419753086418</v>
      </c>
      <c r="AM310">
        <f t="shared" si="55"/>
        <v>22.311907017283946</v>
      </c>
      <c r="AP310" s="9"/>
      <c r="AQ310" s="22">
        <v>0.309448</v>
      </c>
      <c r="AR310" s="22">
        <v>27.007100000000001</v>
      </c>
      <c r="AS310" s="22">
        <v>-1.38458E-2</v>
      </c>
      <c r="AT310" s="22">
        <v>300</v>
      </c>
      <c r="AU310" s="22">
        <v>0.30871599999999999</v>
      </c>
      <c r="AV310">
        <f t="shared" si="56"/>
        <v>17.093580246913579</v>
      </c>
      <c r="AW310">
        <f t="shared" si="57"/>
        <v>5.2895742202469131</v>
      </c>
      <c r="AX310" s="9"/>
      <c r="AY310" s="22">
        <v>1.4106799999999999</v>
      </c>
      <c r="AZ310" s="22">
        <v>30.866599999999998</v>
      </c>
      <c r="BA310" s="22">
        <v>-1.2982199999999999E-2</v>
      </c>
      <c r="BB310" s="22">
        <v>300</v>
      </c>
      <c r="BC310" s="22">
        <v>1.40961</v>
      </c>
      <c r="BD310">
        <f t="shared" si="58"/>
        <v>16.027407407407406</v>
      </c>
      <c r="BE310">
        <f t="shared" si="59"/>
        <v>22.60954308148148</v>
      </c>
    </row>
    <row r="311" spans="6:57">
      <c r="F311" s="9"/>
      <c r="G311" s="22">
        <v>0.30441299999999999</v>
      </c>
      <c r="H311" s="22">
        <v>8.2576999999999998</v>
      </c>
      <c r="I311" s="22">
        <v>-1.3766499999999999E-2</v>
      </c>
      <c r="J311" s="22">
        <v>301</v>
      </c>
      <c r="K311" s="22">
        <v>0.30368000000000001</v>
      </c>
      <c r="L311">
        <f t="shared" si="48"/>
        <v>16.995679012345676</v>
      </c>
      <c r="M311">
        <f t="shared" si="49"/>
        <v>5.1737056351851836</v>
      </c>
      <c r="N311" s="9"/>
      <c r="O311" s="22">
        <v>1.41571</v>
      </c>
      <c r="P311" s="22">
        <v>12.1172</v>
      </c>
      <c r="Q311" s="22">
        <v>-1.27747E-2</v>
      </c>
      <c r="R311" s="22">
        <v>301</v>
      </c>
      <c r="S311" s="22">
        <v>1.41449</v>
      </c>
      <c r="T311">
        <f t="shared" si="50"/>
        <v>15.771234567901235</v>
      </c>
      <c r="U311">
        <f t="shared" si="51"/>
        <v>22.327494490123456</v>
      </c>
      <c r="X311" s="9"/>
      <c r="Y311" s="22">
        <v>0.30441299999999999</v>
      </c>
      <c r="Z311" s="22">
        <v>17.593900000000001</v>
      </c>
      <c r="AA311" s="22">
        <v>-1.37848E-2</v>
      </c>
      <c r="AB311" s="22">
        <v>301</v>
      </c>
      <c r="AC311" s="22">
        <v>0.30364999999999998</v>
      </c>
      <c r="AD311">
        <f t="shared" si="52"/>
        <v>17.018271604938271</v>
      </c>
      <c r="AE311">
        <f t="shared" si="53"/>
        <v>5.1805831140740732</v>
      </c>
      <c r="AF311" s="9"/>
      <c r="AG311" s="22">
        <v>1.41571</v>
      </c>
      <c r="AH311" s="22">
        <v>21.453399999999998</v>
      </c>
      <c r="AI311" s="22">
        <v>-1.2796E-2</v>
      </c>
      <c r="AJ311" s="22">
        <v>301</v>
      </c>
      <c r="AK311" s="22">
        <v>1.41449</v>
      </c>
      <c r="AL311">
        <f t="shared" si="54"/>
        <v>15.79753086419753</v>
      </c>
      <c r="AM311">
        <f t="shared" si="55"/>
        <v>22.364722419753086</v>
      </c>
      <c r="AP311" s="9"/>
      <c r="AQ311" s="22">
        <v>0.30441299999999999</v>
      </c>
      <c r="AR311" s="22">
        <v>27.017199999999999</v>
      </c>
      <c r="AS311" s="22">
        <v>-1.38519E-2</v>
      </c>
      <c r="AT311" s="22">
        <v>301</v>
      </c>
      <c r="AU311" s="22">
        <v>0.30374099999999998</v>
      </c>
      <c r="AV311">
        <f t="shared" si="56"/>
        <v>17.101111111111113</v>
      </c>
      <c r="AW311">
        <f t="shared" si="57"/>
        <v>5.2058005366666666</v>
      </c>
      <c r="AX311" s="9"/>
      <c r="AY311" s="22">
        <v>1.41571</v>
      </c>
      <c r="AZ311" s="22">
        <v>30.8767</v>
      </c>
      <c r="BA311" s="22">
        <v>-1.29578E-2</v>
      </c>
      <c r="BB311" s="22">
        <v>301</v>
      </c>
      <c r="BC311" s="22">
        <v>1.41449</v>
      </c>
      <c r="BD311">
        <f t="shared" si="58"/>
        <v>15.997283950617284</v>
      </c>
      <c r="BE311">
        <f t="shared" si="59"/>
        <v>22.647514861728396</v>
      </c>
    </row>
    <row r="312" spans="6:57">
      <c r="F312" s="9"/>
      <c r="G312" s="22">
        <v>0.299377</v>
      </c>
      <c r="H312" s="22">
        <v>8.2677700000000005</v>
      </c>
      <c r="I312" s="22">
        <v>-1.37634E-2</v>
      </c>
      <c r="J312" s="22">
        <v>302</v>
      </c>
      <c r="K312" s="22">
        <v>0.29870600000000003</v>
      </c>
      <c r="L312">
        <f t="shared" si="48"/>
        <v>16.991851851851852</v>
      </c>
      <c r="M312">
        <f t="shared" si="49"/>
        <v>5.0869696318518516</v>
      </c>
      <c r="N312" s="9"/>
      <c r="O312" s="22">
        <v>1.42075</v>
      </c>
      <c r="P312" s="22">
        <v>12.1272</v>
      </c>
      <c r="Q312" s="22">
        <v>-1.27441E-2</v>
      </c>
      <c r="R312" s="22">
        <v>302</v>
      </c>
      <c r="S312" s="22">
        <v>1.41998</v>
      </c>
      <c r="T312">
        <f t="shared" si="50"/>
        <v>15.733456790123457</v>
      </c>
      <c r="U312">
        <f t="shared" si="51"/>
        <v>22.3533087345679</v>
      </c>
      <c r="X312" s="9"/>
      <c r="Y312" s="22">
        <v>0.299377</v>
      </c>
      <c r="Z312" s="22">
        <v>17.603999999999999</v>
      </c>
      <c r="AA312" s="22">
        <v>-1.3787799999999999E-2</v>
      </c>
      <c r="AB312" s="22">
        <v>302</v>
      </c>
      <c r="AC312" s="22">
        <v>0.298676</v>
      </c>
      <c r="AD312">
        <f t="shared" si="52"/>
        <v>17.021975308641974</v>
      </c>
      <c r="AE312">
        <f t="shared" si="53"/>
        <v>5.0959879019753078</v>
      </c>
      <c r="AF312" s="9"/>
      <c r="AG312" s="22">
        <v>1.42075</v>
      </c>
      <c r="AH312" s="22">
        <v>21.4635</v>
      </c>
      <c r="AI312" s="22">
        <v>-1.27747E-2</v>
      </c>
      <c r="AJ312" s="22">
        <v>302</v>
      </c>
      <c r="AK312" s="22">
        <v>1.41998</v>
      </c>
      <c r="AL312">
        <f t="shared" si="54"/>
        <v>15.771234567901235</v>
      </c>
      <c r="AM312">
        <f t="shared" si="55"/>
        <v>22.406981512345681</v>
      </c>
      <c r="AP312" s="9"/>
      <c r="AQ312" s="22">
        <v>0.299377</v>
      </c>
      <c r="AR312" s="22">
        <v>27.0273</v>
      </c>
      <c r="AS312" s="22">
        <v>-1.3854999999999999E-2</v>
      </c>
      <c r="AT312" s="22">
        <v>302</v>
      </c>
      <c r="AU312" s="22">
        <v>0.29870600000000003</v>
      </c>
      <c r="AV312">
        <f t="shared" si="56"/>
        <v>17.104938271604937</v>
      </c>
      <c r="AW312">
        <f t="shared" si="57"/>
        <v>5.1208251049382714</v>
      </c>
      <c r="AX312" s="9"/>
      <c r="AY312" s="22">
        <v>1.42075</v>
      </c>
      <c r="AZ312" s="22">
        <v>30.886700000000001</v>
      </c>
      <c r="BA312" s="22">
        <v>-1.2936400000000001E-2</v>
      </c>
      <c r="BB312" s="22">
        <v>302</v>
      </c>
      <c r="BC312" s="22">
        <v>1.41998</v>
      </c>
      <c r="BD312">
        <f t="shared" si="58"/>
        <v>15.970864197530865</v>
      </c>
      <c r="BE312">
        <f t="shared" si="59"/>
        <v>22.690605308641977</v>
      </c>
    </row>
    <row r="313" spans="6:57">
      <c r="F313" s="9"/>
      <c r="G313" s="22">
        <v>0.29434199999999999</v>
      </c>
      <c r="H313" s="22">
        <v>8.2778399999999994</v>
      </c>
      <c r="I313" s="22">
        <v>-1.3766499999999999E-2</v>
      </c>
      <c r="J313" s="22">
        <v>303</v>
      </c>
      <c r="K313" s="22">
        <v>0.29360999999999998</v>
      </c>
      <c r="L313">
        <f t="shared" si="48"/>
        <v>16.995679012345676</v>
      </c>
      <c r="M313">
        <f t="shared" si="49"/>
        <v>5.0025421518518511</v>
      </c>
      <c r="N313" s="9"/>
      <c r="O313" s="22">
        <v>1.42578</v>
      </c>
      <c r="P313" s="22">
        <v>12.1373</v>
      </c>
      <c r="Q313" s="22">
        <v>-1.27075E-2</v>
      </c>
      <c r="R313" s="22">
        <v>303</v>
      </c>
      <c r="S313" s="22">
        <v>1.42517</v>
      </c>
      <c r="T313">
        <f t="shared" si="50"/>
        <v>15.68827160493827</v>
      </c>
      <c r="U313">
        <f t="shared" si="51"/>
        <v>22.368023888888889</v>
      </c>
      <c r="X313" s="9"/>
      <c r="Y313" s="22">
        <v>0.29434199999999999</v>
      </c>
      <c r="Z313" s="22">
        <v>17.614100000000001</v>
      </c>
      <c r="AA313" s="22">
        <v>-1.3787799999999999E-2</v>
      </c>
      <c r="AB313" s="22">
        <v>303</v>
      </c>
      <c r="AC313" s="22">
        <v>0.29367100000000002</v>
      </c>
      <c r="AD313">
        <f t="shared" si="52"/>
        <v>17.021975308641974</v>
      </c>
      <c r="AE313">
        <f t="shared" si="53"/>
        <v>5.0102822562962954</v>
      </c>
      <c r="AF313" s="9"/>
      <c r="AG313" s="22">
        <v>1.42578</v>
      </c>
      <c r="AH313" s="22">
        <v>21.473600000000001</v>
      </c>
      <c r="AI313" s="22">
        <v>-1.27502E-2</v>
      </c>
      <c r="AJ313" s="22">
        <v>303</v>
      </c>
      <c r="AK313" s="22">
        <v>1.4242600000000001</v>
      </c>
      <c r="AL313">
        <f t="shared" si="54"/>
        <v>15.740987654320987</v>
      </c>
      <c r="AM313">
        <f t="shared" si="55"/>
        <v>22.443185377777777</v>
      </c>
      <c r="AP313" s="9"/>
      <c r="AQ313" s="22">
        <v>0.29434199999999999</v>
      </c>
      <c r="AR313" s="22">
        <v>27.037299999999998</v>
      </c>
      <c r="AS313" s="22">
        <v>-1.3858000000000001E-2</v>
      </c>
      <c r="AT313" s="22">
        <v>303</v>
      </c>
      <c r="AU313" s="22">
        <v>0.293549</v>
      </c>
      <c r="AV313">
        <f t="shared" si="56"/>
        <v>17.10864197530864</v>
      </c>
      <c r="AW313">
        <f t="shared" si="57"/>
        <v>5.0357918962962955</v>
      </c>
      <c r="AX313" s="9"/>
      <c r="AY313" s="22">
        <v>1.42578</v>
      </c>
      <c r="AZ313" s="22">
        <v>30.896799999999999</v>
      </c>
      <c r="BA313" s="22">
        <v>-1.2914999999999999E-2</v>
      </c>
      <c r="BB313" s="22">
        <v>303</v>
      </c>
      <c r="BC313" s="22">
        <v>1.42456</v>
      </c>
      <c r="BD313">
        <f t="shared" si="58"/>
        <v>15.944444444444441</v>
      </c>
      <c r="BE313">
        <f t="shared" si="59"/>
        <v>22.733269999999997</v>
      </c>
    </row>
    <row r="314" spans="6:57">
      <c r="F314" s="9"/>
      <c r="G314" s="22">
        <v>0.28930699999999998</v>
      </c>
      <c r="H314" s="22">
        <v>8.2879100000000001</v>
      </c>
      <c r="I314" s="22">
        <v>-1.37634E-2</v>
      </c>
      <c r="J314" s="22">
        <v>304</v>
      </c>
      <c r="K314" s="22">
        <v>0.28866599999999998</v>
      </c>
      <c r="L314">
        <f t="shared" si="48"/>
        <v>16.991851851851852</v>
      </c>
      <c r="M314">
        <f t="shared" si="49"/>
        <v>4.915861683703703</v>
      </c>
      <c r="N314" s="9"/>
      <c r="O314" s="22">
        <v>1.43082</v>
      </c>
      <c r="P314" s="22">
        <v>12.147399999999999</v>
      </c>
      <c r="Q314" s="22">
        <v>-1.2677000000000001E-2</v>
      </c>
      <c r="R314" s="22">
        <v>304</v>
      </c>
      <c r="S314" s="22">
        <v>1.43005</v>
      </c>
      <c r="T314">
        <f t="shared" si="50"/>
        <v>15.650617283950618</v>
      </c>
      <c r="U314">
        <f t="shared" si="51"/>
        <v>22.393216222222222</v>
      </c>
      <c r="X314" s="9"/>
      <c r="Y314" s="22">
        <v>0.28930699999999998</v>
      </c>
      <c r="Z314" s="22">
        <v>17.624199999999998</v>
      </c>
      <c r="AA314" s="22">
        <v>-1.3787799999999999E-2</v>
      </c>
      <c r="AB314" s="22">
        <v>304</v>
      </c>
      <c r="AC314" s="22">
        <v>0.288574</v>
      </c>
      <c r="AD314">
        <f t="shared" si="52"/>
        <v>17.021975308641974</v>
      </c>
      <c r="AE314">
        <f t="shared" si="53"/>
        <v>4.924576610617283</v>
      </c>
      <c r="AF314" s="9"/>
      <c r="AG314" s="22">
        <v>1.43082</v>
      </c>
      <c r="AH314" s="22">
        <v>21.483599999999999</v>
      </c>
      <c r="AI314" s="22">
        <v>-1.2725800000000001E-2</v>
      </c>
      <c r="AJ314" s="22">
        <v>304</v>
      </c>
      <c r="AK314" s="22">
        <v>1.4297500000000001</v>
      </c>
      <c r="AL314">
        <f t="shared" si="54"/>
        <v>15.710864197530865</v>
      </c>
      <c r="AM314">
        <f t="shared" si="55"/>
        <v>22.479418711111112</v>
      </c>
      <c r="AP314" s="9"/>
      <c r="AQ314" s="22">
        <v>0.28930699999999998</v>
      </c>
      <c r="AR314" s="22">
        <v>27.0474</v>
      </c>
      <c r="AS314" s="22">
        <v>-1.3848900000000001E-2</v>
      </c>
      <c r="AT314" s="22">
        <v>304</v>
      </c>
      <c r="AU314" s="22">
        <v>0.28854400000000002</v>
      </c>
      <c r="AV314">
        <f t="shared" si="56"/>
        <v>17.09740740740741</v>
      </c>
      <c r="AW314">
        <f t="shared" si="57"/>
        <v>4.9463996448148153</v>
      </c>
      <c r="AX314" s="9"/>
      <c r="AY314" s="22">
        <v>1.43082</v>
      </c>
      <c r="AZ314" s="22">
        <v>30.9069</v>
      </c>
      <c r="BA314" s="22">
        <v>-1.2881500000000001E-2</v>
      </c>
      <c r="BB314" s="22">
        <v>304</v>
      </c>
      <c r="BC314" s="22">
        <v>1.42944</v>
      </c>
      <c r="BD314">
        <f t="shared" si="58"/>
        <v>15.903086419753087</v>
      </c>
      <c r="BE314">
        <f t="shared" si="59"/>
        <v>22.754454111111112</v>
      </c>
    </row>
    <row r="315" spans="6:57">
      <c r="F315" s="9"/>
      <c r="G315" s="22">
        <v>0.284271</v>
      </c>
      <c r="H315" s="22">
        <v>8.2979800000000008</v>
      </c>
      <c r="I315" s="22">
        <v>-1.37695E-2</v>
      </c>
      <c r="J315" s="22">
        <v>305</v>
      </c>
      <c r="K315" s="22">
        <v>0.28350799999999998</v>
      </c>
      <c r="L315">
        <f t="shared" si="48"/>
        <v>16.999382716049382</v>
      </c>
      <c r="M315">
        <f t="shared" si="49"/>
        <v>4.8324315240740736</v>
      </c>
      <c r="N315" s="9"/>
      <c r="O315" s="22">
        <v>1.4358500000000001</v>
      </c>
      <c r="P315" s="22">
        <v>12.157500000000001</v>
      </c>
      <c r="Q315" s="22">
        <v>-1.26678E-2</v>
      </c>
      <c r="R315" s="22">
        <v>305</v>
      </c>
      <c r="S315" s="22">
        <v>1.4352400000000001</v>
      </c>
      <c r="T315">
        <f t="shared" si="50"/>
        <v>15.639259259259259</v>
      </c>
      <c r="U315">
        <f t="shared" si="51"/>
        <v>22.455630407407408</v>
      </c>
      <c r="X315" s="9"/>
      <c r="Y315" s="22">
        <v>0.284271</v>
      </c>
      <c r="Z315" s="22">
        <v>17.6342</v>
      </c>
      <c r="AA315" s="22">
        <v>-1.3781699999999999E-2</v>
      </c>
      <c r="AB315" s="22">
        <v>305</v>
      </c>
      <c r="AC315" s="22">
        <v>0.28356900000000002</v>
      </c>
      <c r="AD315">
        <f t="shared" si="52"/>
        <v>17.014444444444443</v>
      </c>
      <c r="AE315">
        <f t="shared" si="53"/>
        <v>4.836713136666666</v>
      </c>
      <c r="AF315" s="9"/>
      <c r="AG315" s="22">
        <v>1.4358500000000001</v>
      </c>
      <c r="AH315" s="22">
        <v>21.4937</v>
      </c>
      <c r="AI315" s="22">
        <v>-1.26984E-2</v>
      </c>
      <c r="AJ315" s="22">
        <v>305</v>
      </c>
      <c r="AK315" s="22">
        <v>1.4352400000000001</v>
      </c>
      <c r="AL315">
        <f t="shared" si="54"/>
        <v>15.677037037037039</v>
      </c>
      <c r="AM315">
        <f t="shared" si="55"/>
        <v>22.509873629629634</v>
      </c>
      <c r="AP315" s="9"/>
      <c r="AQ315" s="22">
        <v>0.284271</v>
      </c>
      <c r="AR315" s="22">
        <v>27.057500000000001</v>
      </c>
      <c r="AS315" s="22">
        <v>-1.38458E-2</v>
      </c>
      <c r="AT315" s="22">
        <v>305</v>
      </c>
      <c r="AU315" s="22">
        <v>0.28356900000000002</v>
      </c>
      <c r="AV315">
        <f t="shared" si="56"/>
        <v>17.093580246913579</v>
      </c>
      <c r="AW315">
        <f t="shared" si="57"/>
        <v>4.8592091503703703</v>
      </c>
      <c r="AX315" s="9"/>
      <c r="AY315" s="22">
        <v>1.4358500000000001</v>
      </c>
      <c r="AZ315" s="22">
        <v>30.916899999999998</v>
      </c>
      <c r="BA315" s="22">
        <v>-1.2854000000000001E-2</v>
      </c>
      <c r="BB315" s="22">
        <v>305</v>
      </c>
      <c r="BC315" s="22">
        <v>1.4352400000000001</v>
      </c>
      <c r="BD315">
        <f t="shared" si="58"/>
        <v>15.869135802469136</v>
      </c>
      <c r="BE315">
        <f t="shared" si="59"/>
        <v>22.785698641975312</v>
      </c>
    </row>
    <row r="316" spans="6:57">
      <c r="F316" s="9"/>
      <c r="G316" s="22">
        <v>0.27923599999999998</v>
      </c>
      <c r="H316" s="22">
        <v>8.3080499999999997</v>
      </c>
      <c r="I316" s="22">
        <v>-1.3772599999999999E-2</v>
      </c>
      <c r="J316" s="22">
        <v>306</v>
      </c>
      <c r="K316" s="22">
        <v>0.278534</v>
      </c>
      <c r="L316">
        <f t="shared" si="48"/>
        <v>17.00320987654321</v>
      </c>
      <c r="M316">
        <f t="shared" si="49"/>
        <v>4.7479083130864197</v>
      </c>
      <c r="N316" s="9"/>
      <c r="O316" s="22">
        <v>1.44089</v>
      </c>
      <c r="P316" s="22">
        <v>12.1675</v>
      </c>
      <c r="Q316" s="22">
        <v>-1.2649499999999999E-2</v>
      </c>
      <c r="R316" s="22">
        <v>306</v>
      </c>
      <c r="S316" s="22">
        <v>1.4404300000000001</v>
      </c>
      <c r="T316">
        <f t="shared" si="50"/>
        <v>15.616666666666664</v>
      </c>
      <c r="U316">
        <f t="shared" si="51"/>
        <v>22.501898833333328</v>
      </c>
      <c r="X316" s="9"/>
      <c r="Y316" s="22">
        <v>0.27923599999999998</v>
      </c>
      <c r="Z316" s="22">
        <v>17.644300000000001</v>
      </c>
      <c r="AA316" s="22">
        <v>-1.37695E-2</v>
      </c>
      <c r="AB316" s="22">
        <v>306</v>
      </c>
      <c r="AC316" s="22">
        <v>0.278534</v>
      </c>
      <c r="AD316">
        <f t="shared" si="52"/>
        <v>16.999382716049382</v>
      </c>
      <c r="AE316">
        <f t="shared" si="53"/>
        <v>4.7468396320987649</v>
      </c>
      <c r="AF316" s="9"/>
      <c r="AG316" s="22">
        <v>1.44089</v>
      </c>
      <c r="AH316" s="22">
        <v>21.503799999999998</v>
      </c>
      <c r="AI316" s="22">
        <v>-1.2670900000000001E-2</v>
      </c>
      <c r="AJ316" s="22">
        <v>306</v>
      </c>
      <c r="AK316" s="22">
        <v>1.4401200000000001</v>
      </c>
      <c r="AL316">
        <f t="shared" si="54"/>
        <v>15.643086419753088</v>
      </c>
      <c r="AM316">
        <f t="shared" si="55"/>
        <v>22.539966791358026</v>
      </c>
      <c r="AP316" s="9"/>
      <c r="AQ316" s="22">
        <v>0.27923599999999998</v>
      </c>
      <c r="AR316" s="22">
        <v>27.067499999999999</v>
      </c>
      <c r="AS316" s="22">
        <v>-1.3842800000000001E-2</v>
      </c>
      <c r="AT316" s="22">
        <v>306</v>
      </c>
      <c r="AU316" s="22">
        <v>0.27844200000000002</v>
      </c>
      <c r="AV316">
        <f t="shared" si="56"/>
        <v>17.089876543209876</v>
      </c>
      <c r="AW316">
        <f t="shared" si="57"/>
        <v>4.7721087664197528</v>
      </c>
      <c r="AX316" s="9"/>
      <c r="AY316" s="22">
        <v>1.44089</v>
      </c>
      <c r="AZ316" s="22">
        <v>30.927</v>
      </c>
      <c r="BA316" s="22">
        <v>-1.28357E-2</v>
      </c>
      <c r="BB316" s="22">
        <v>306</v>
      </c>
      <c r="BC316" s="22">
        <v>1.4398200000000001</v>
      </c>
      <c r="BD316">
        <f t="shared" si="58"/>
        <v>15.846543209876542</v>
      </c>
      <c r="BE316">
        <f t="shared" si="59"/>
        <v>22.833125645679011</v>
      </c>
    </row>
    <row r="317" spans="6:57">
      <c r="F317" s="9"/>
      <c r="G317" s="22">
        <v>0.2742</v>
      </c>
      <c r="H317" s="22">
        <v>8.3181200000000004</v>
      </c>
      <c r="I317" s="22">
        <v>-1.37787E-2</v>
      </c>
      <c r="J317" s="22">
        <v>307</v>
      </c>
      <c r="K317" s="22">
        <v>0.27352900000000002</v>
      </c>
      <c r="L317">
        <f t="shared" si="48"/>
        <v>17.01074074074074</v>
      </c>
      <c r="M317">
        <f t="shared" si="49"/>
        <v>4.6643451111111105</v>
      </c>
      <c r="N317" s="9"/>
      <c r="O317" s="22">
        <v>1.4459200000000001</v>
      </c>
      <c r="P317" s="22">
        <v>12.1776</v>
      </c>
      <c r="Q317" s="22">
        <v>-1.26251E-2</v>
      </c>
      <c r="R317" s="22">
        <v>307</v>
      </c>
      <c r="S317" s="22">
        <v>1.4443999999999999</v>
      </c>
      <c r="T317">
        <f t="shared" si="50"/>
        <v>15.586543209876544</v>
      </c>
      <c r="U317">
        <f t="shared" si="51"/>
        <v>22.536894558024692</v>
      </c>
      <c r="X317" s="9"/>
      <c r="Y317" s="22">
        <v>0.2742</v>
      </c>
      <c r="Z317" s="22">
        <v>17.654399999999999</v>
      </c>
      <c r="AA317" s="22">
        <v>-1.37695E-2</v>
      </c>
      <c r="AB317" s="22">
        <v>307</v>
      </c>
      <c r="AC317" s="22">
        <v>0.27349899999999999</v>
      </c>
      <c r="AD317">
        <f t="shared" si="52"/>
        <v>16.999382716049382</v>
      </c>
      <c r="AE317">
        <f t="shared" si="53"/>
        <v>4.6612307407407405</v>
      </c>
      <c r="AF317" s="9"/>
      <c r="AG317" s="22">
        <v>1.4459200000000001</v>
      </c>
      <c r="AH317" s="22">
        <v>21.5139</v>
      </c>
      <c r="AI317" s="22">
        <v>-1.2649499999999999E-2</v>
      </c>
      <c r="AJ317" s="22">
        <v>307</v>
      </c>
      <c r="AK317" s="22">
        <v>1.4447000000000001</v>
      </c>
      <c r="AL317">
        <f t="shared" si="54"/>
        <v>15.616666666666664</v>
      </c>
      <c r="AM317">
        <f t="shared" si="55"/>
        <v>22.580450666666664</v>
      </c>
      <c r="AP317" s="9"/>
      <c r="AQ317" s="22">
        <v>0.2742</v>
      </c>
      <c r="AR317" s="22">
        <v>27.0776</v>
      </c>
      <c r="AS317" s="22">
        <v>-1.38336E-2</v>
      </c>
      <c r="AT317" s="22">
        <v>307</v>
      </c>
      <c r="AU317" s="22">
        <v>0.27346799999999999</v>
      </c>
      <c r="AV317">
        <f t="shared" si="56"/>
        <v>17.078518518518518</v>
      </c>
      <c r="AW317">
        <f t="shared" si="57"/>
        <v>4.6829297777777779</v>
      </c>
      <c r="AX317" s="9"/>
      <c r="AY317" s="22">
        <v>1.4459200000000001</v>
      </c>
      <c r="AZ317" s="22">
        <v>30.937100000000001</v>
      </c>
      <c r="BA317" s="22">
        <v>-1.28082E-2</v>
      </c>
      <c r="BB317" s="22">
        <v>307</v>
      </c>
      <c r="BC317" s="22">
        <v>1.4453100000000001</v>
      </c>
      <c r="BD317">
        <f t="shared" si="58"/>
        <v>15.812592592592594</v>
      </c>
      <c r="BE317">
        <f t="shared" si="59"/>
        <v>22.863743881481486</v>
      </c>
    </row>
    <row r="318" spans="6:57">
      <c r="F318" s="9"/>
      <c r="G318" s="22">
        <v>0.26916499999999999</v>
      </c>
      <c r="H318" s="22">
        <v>8.3281899999999993</v>
      </c>
      <c r="I318" s="22">
        <v>-1.3772599999999999E-2</v>
      </c>
      <c r="J318" s="22">
        <v>308</v>
      </c>
      <c r="K318" s="22">
        <v>0.26852399999999998</v>
      </c>
      <c r="L318">
        <f t="shared" si="48"/>
        <v>17.00320987654321</v>
      </c>
      <c r="M318">
        <f t="shared" si="49"/>
        <v>4.5766689864197527</v>
      </c>
      <c r="N318" s="9"/>
      <c r="O318" s="22">
        <v>1.45096</v>
      </c>
      <c r="P318" s="22">
        <v>12.1877</v>
      </c>
      <c r="Q318" s="22">
        <v>-1.2594599999999999E-2</v>
      </c>
      <c r="R318" s="22">
        <v>308</v>
      </c>
      <c r="S318" s="22">
        <v>1.4501999999999999</v>
      </c>
      <c r="T318">
        <f t="shared" si="50"/>
        <v>15.548888888888886</v>
      </c>
      <c r="U318">
        <f t="shared" si="51"/>
        <v>22.560815822222217</v>
      </c>
      <c r="X318" s="9"/>
      <c r="Y318" s="22">
        <v>0.26916499999999999</v>
      </c>
      <c r="Z318" s="22">
        <v>17.664400000000001</v>
      </c>
      <c r="AA318" s="22">
        <v>-1.3766499999999999E-2</v>
      </c>
      <c r="AB318" s="22">
        <v>308</v>
      </c>
      <c r="AC318" s="22">
        <v>0.26852399999999998</v>
      </c>
      <c r="AD318">
        <f t="shared" si="52"/>
        <v>16.995679012345676</v>
      </c>
      <c r="AE318">
        <f t="shared" si="53"/>
        <v>4.5746419413580233</v>
      </c>
      <c r="AF318" s="9"/>
      <c r="AG318" s="22">
        <v>1.45096</v>
      </c>
      <c r="AH318" s="22">
        <v>21.523900000000001</v>
      </c>
      <c r="AI318" s="22">
        <v>-1.2628199999999999E-2</v>
      </c>
      <c r="AJ318" s="22">
        <v>308</v>
      </c>
      <c r="AK318" s="22">
        <v>1.4501999999999999</v>
      </c>
      <c r="AL318">
        <f t="shared" si="54"/>
        <v>15.590370370370369</v>
      </c>
      <c r="AM318">
        <f t="shared" si="55"/>
        <v>22.621003792592592</v>
      </c>
      <c r="AP318" s="9"/>
      <c r="AQ318" s="22">
        <v>0.26916499999999999</v>
      </c>
      <c r="AR318" s="22">
        <v>27.087700000000002</v>
      </c>
      <c r="AS318" s="22">
        <v>-1.38245E-2</v>
      </c>
      <c r="AT318" s="22">
        <v>308</v>
      </c>
      <c r="AU318" s="22">
        <v>0.26852399999999998</v>
      </c>
      <c r="AV318">
        <f t="shared" si="56"/>
        <v>17.067283950617281</v>
      </c>
      <c r="AW318">
        <f t="shared" si="57"/>
        <v>4.5939154845679004</v>
      </c>
      <c r="AX318" s="9"/>
      <c r="AY318" s="22">
        <v>1.45096</v>
      </c>
      <c r="AZ318" s="22">
        <v>30.947199999999999</v>
      </c>
      <c r="BA318" s="22">
        <v>-1.27808E-2</v>
      </c>
      <c r="BB318" s="22">
        <v>308</v>
      </c>
      <c r="BC318" s="22">
        <v>1.4501999999999999</v>
      </c>
      <c r="BD318">
        <f t="shared" si="58"/>
        <v>15.778765432098764</v>
      </c>
      <c r="BE318">
        <f t="shared" si="59"/>
        <v>22.894357491358022</v>
      </c>
    </row>
    <row r="319" spans="6:57">
      <c r="F319" s="9"/>
      <c r="G319" s="22">
        <v>0.26412999999999998</v>
      </c>
      <c r="H319" s="22">
        <v>8.33826</v>
      </c>
      <c r="I319" s="22">
        <v>-1.3772599999999999E-2</v>
      </c>
      <c r="J319" s="22">
        <v>309</v>
      </c>
      <c r="K319" s="22">
        <v>0.263428</v>
      </c>
      <c r="L319">
        <f t="shared" si="48"/>
        <v>17.00320987654321</v>
      </c>
      <c r="M319">
        <f t="shared" si="49"/>
        <v>4.4910578246913575</v>
      </c>
      <c r="N319" s="9"/>
      <c r="O319" s="22">
        <v>1.4559899999999999</v>
      </c>
      <c r="P319" s="22">
        <v>12.197699999999999</v>
      </c>
      <c r="Q319" s="22">
        <v>-1.25641E-2</v>
      </c>
      <c r="R319" s="22">
        <v>309</v>
      </c>
      <c r="S319" s="22">
        <v>1.4553799999999999</v>
      </c>
      <c r="T319">
        <f t="shared" si="50"/>
        <v>15.511234567901234</v>
      </c>
      <c r="U319">
        <f t="shared" si="51"/>
        <v>22.584202418518515</v>
      </c>
      <c r="X319" s="9"/>
      <c r="Y319" s="22">
        <v>0.26412999999999998</v>
      </c>
      <c r="Z319" s="22">
        <v>17.674499999999998</v>
      </c>
      <c r="AA319" s="22">
        <v>-1.3766499999999999E-2</v>
      </c>
      <c r="AB319" s="22">
        <v>309</v>
      </c>
      <c r="AC319" s="22">
        <v>0.26345800000000003</v>
      </c>
      <c r="AD319">
        <f t="shared" si="52"/>
        <v>16.995679012345676</v>
      </c>
      <c r="AE319">
        <f t="shared" si="53"/>
        <v>4.4890686975308629</v>
      </c>
      <c r="AF319" s="9"/>
      <c r="AG319" s="22">
        <v>1.4559899999999999</v>
      </c>
      <c r="AH319" s="22">
        <v>21.533999999999999</v>
      </c>
      <c r="AI319" s="22">
        <v>-1.2594599999999999E-2</v>
      </c>
      <c r="AJ319" s="22">
        <v>309</v>
      </c>
      <c r="AK319" s="22">
        <v>1.4550799999999999</v>
      </c>
      <c r="AL319">
        <f t="shared" si="54"/>
        <v>15.548888888888886</v>
      </c>
      <c r="AM319">
        <f t="shared" si="55"/>
        <v>22.639026733333328</v>
      </c>
      <c r="AP319" s="9"/>
      <c r="AQ319" s="22">
        <v>0.26412999999999998</v>
      </c>
      <c r="AR319" s="22">
        <v>27.0977</v>
      </c>
      <c r="AS319" s="22">
        <v>-1.38184E-2</v>
      </c>
      <c r="AT319" s="22">
        <v>309</v>
      </c>
      <c r="AU319" s="22">
        <v>0.263428</v>
      </c>
      <c r="AV319">
        <f t="shared" si="56"/>
        <v>17.05975308641975</v>
      </c>
      <c r="AW319">
        <f t="shared" si="57"/>
        <v>4.5059925827160479</v>
      </c>
      <c r="AX319" s="9"/>
      <c r="AY319" s="22">
        <v>1.4559899999999999</v>
      </c>
      <c r="AZ319" s="22">
        <v>30.9572</v>
      </c>
      <c r="BA319" s="22">
        <v>-1.27533E-2</v>
      </c>
      <c r="BB319" s="22">
        <v>309</v>
      </c>
      <c r="BC319" s="22">
        <v>1.4553799999999999</v>
      </c>
      <c r="BD319">
        <f t="shared" si="58"/>
        <v>15.744814814814816</v>
      </c>
      <c r="BE319">
        <f t="shared" si="59"/>
        <v>22.924292922222222</v>
      </c>
    </row>
    <row r="320" spans="6:57">
      <c r="F320" s="9"/>
      <c r="G320" s="22">
        <v>0.25909399999999999</v>
      </c>
      <c r="H320" s="22">
        <v>8.3483300000000007</v>
      </c>
      <c r="I320" s="22">
        <v>-1.3772599999999999E-2</v>
      </c>
      <c r="J320" s="22">
        <v>310</v>
      </c>
      <c r="K320" s="22">
        <v>0.25839200000000001</v>
      </c>
      <c r="L320">
        <f t="shared" si="48"/>
        <v>17.00320987654321</v>
      </c>
      <c r="M320">
        <f t="shared" si="49"/>
        <v>4.4054296597530858</v>
      </c>
      <c r="N320" s="9"/>
      <c r="O320" s="22">
        <v>1.4610300000000001</v>
      </c>
      <c r="P320" s="22">
        <v>12.207800000000001</v>
      </c>
      <c r="Q320" s="22">
        <v>-1.25275E-2</v>
      </c>
      <c r="R320" s="22">
        <v>310</v>
      </c>
      <c r="S320" s="22">
        <v>1.4599599999999999</v>
      </c>
      <c r="T320">
        <f t="shared" si="50"/>
        <v>15.466049382716049</v>
      </c>
      <c r="U320">
        <f t="shared" si="51"/>
        <v>22.596362129629629</v>
      </c>
      <c r="X320" s="9"/>
      <c r="Y320" s="22">
        <v>0.25909399999999999</v>
      </c>
      <c r="Z320" s="22">
        <v>17.6846</v>
      </c>
      <c r="AA320" s="22">
        <v>-1.3760400000000001E-2</v>
      </c>
      <c r="AB320" s="22">
        <v>310</v>
      </c>
      <c r="AC320" s="22">
        <v>0.25833099999999998</v>
      </c>
      <c r="AD320">
        <f t="shared" si="52"/>
        <v>16.988148148148149</v>
      </c>
      <c r="AE320">
        <f t="shared" si="53"/>
        <v>4.4015272562962959</v>
      </c>
      <c r="AF320" s="9"/>
      <c r="AG320" s="22">
        <v>1.4610300000000001</v>
      </c>
      <c r="AH320" s="22">
        <v>21.5441</v>
      </c>
      <c r="AI320" s="22">
        <v>-1.25732E-2</v>
      </c>
      <c r="AJ320" s="22">
        <v>310</v>
      </c>
      <c r="AK320" s="22">
        <v>1.4605699999999999</v>
      </c>
      <c r="AL320">
        <f t="shared" si="54"/>
        <v>15.522469135802467</v>
      </c>
      <c r="AM320">
        <f t="shared" si="55"/>
        <v>22.67879308148148</v>
      </c>
      <c r="AP320" s="9"/>
      <c r="AQ320" s="22">
        <v>0.25909399999999999</v>
      </c>
      <c r="AR320" s="22">
        <v>27.107800000000001</v>
      </c>
      <c r="AS320" s="22">
        <v>-1.38123E-2</v>
      </c>
      <c r="AT320" s="22">
        <v>310</v>
      </c>
      <c r="AU320" s="22">
        <v>0.25839200000000001</v>
      </c>
      <c r="AV320">
        <f t="shared" si="56"/>
        <v>17.052222222222223</v>
      </c>
      <c r="AW320">
        <f t="shared" si="57"/>
        <v>4.418128464444445</v>
      </c>
      <c r="AX320" s="9"/>
      <c r="AY320" s="22">
        <v>1.4610300000000001</v>
      </c>
      <c r="AZ320" s="22">
        <v>30.967300000000002</v>
      </c>
      <c r="BA320" s="22">
        <v>-1.2731900000000001E-2</v>
      </c>
      <c r="BB320" s="22">
        <v>310</v>
      </c>
      <c r="BC320" s="22">
        <v>1.4605699999999999</v>
      </c>
      <c r="BD320">
        <f t="shared" si="58"/>
        <v>15.718395061728396</v>
      </c>
      <c r="BE320">
        <f t="shared" si="59"/>
        <v>22.965046737037039</v>
      </c>
    </row>
    <row r="321" spans="6:57">
      <c r="F321" s="9"/>
      <c r="G321" s="22">
        <v>0.25405899999999998</v>
      </c>
      <c r="H321" s="22">
        <v>8.3584099999999992</v>
      </c>
      <c r="I321" s="22">
        <v>-1.37787E-2</v>
      </c>
      <c r="J321" s="22">
        <v>311</v>
      </c>
      <c r="K321" s="22">
        <v>0.25344800000000001</v>
      </c>
      <c r="L321">
        <f t="shared" si="48"/>
        <v>17.01074074074074</v>
      </c>
      <c r="M321">
        <f t="shared" si="49"/>
        <v>4.3217317818518515</v>
      </c>
      <c r="N321" s="9"/>
      <c r="O321" s="22">
        <v>1.4660599999999999</v>
      </c>
      <c r="P321" s="22">
        <v>12.2179</v>
      </c>
      <c r="Q321" s="22">
        <v>-1.24878E-2</v>
      </c>
      <c r="R321" s="22">
        <v>311</v>
      </c>
      <c r="S321" s="22">
        <v>1.4654499999999999</v>
      </c>
      <c r="T321">
        <f t="shared" si="50"/>
        <v>15.417037037037037</v>
      </c>
      <c r="U321">
        <f t="shared" si="51"/>
        <v>22.602301318518517</v>
      </c>
      <c r="X321" s="9"/>
      <c r="Y321" s="22">
        <v>0.25405899999999998</v>
      </c>
      <c r="Z321" s="22">
        <v>17.694700000000001</v>
      </c>
      <c r="AA321" s="22">
        <v>-1.37482E-2</v>
      </c>
      <c r="AB321" s="22">
        <v>311</v>
      </c>
      <c r="AC321" s="22">
        <v>0.253357</v>
      </c>
      <c r="AD321">
        <f t="shared" si="52"/>
        <v>16.973086419753084</v>
      </c>
      <c r="AE321">
        <f t="shared" si="53"/>
        <v>4.3121653627160486</v>
      </c>
      <c r="AF321" s="9"/>
      <c r="AG321" s="22">
        <v>1.4660599999999999</v>
      </c>
      <c r="AH321" s="22">
        <v>21.554099999999998</v>
      </c>
      <c r="AI321" s="22">
        <v>-1.2533600000000001E-2</v>
      </c>
      <c r="AJ321" s="22">
        <v>311</v>
      </c>
      <c r="AK321" s="22">
        <v>1.46515</v>
      </c>
      <c r="AL321">
        <f t="shared" si="54"/>
        <v>15.473580246913581</v>
      </c>
      <c r="AM321">
        <f t="shared" si="55"/>
        <v>22.685197056790123</v>
      </c>
      <c r="AP321" s="9"/>
      <c r="AQ321" s="22">
        <v>0.25405899999999998</v>
      </c>
      <c r="AR321" s="22">
        <v>27.117899999999999</v>
      </c>
      <c r="AS321" s="22">
        <v>-1.38E-2</v>
      </c>
      <c r="AT321" s="22">
        <v>311</v>
      </c>
      <c r="AU321" s="22">
        <v>0.25338699999999997</v>
      </c>
      <c r="AV321">
        <f t="shared" si="56"/>
        <v>17.037037037037035</v>
      </c>
      <c r="AW321">
        <f t="shared" si="57"/>
        <v>4.328412592592592</v>
      </c>
      <c r="AX321" s="9"/>
      <c r="AY321" s="22">
        <v>1.4660599999999999</v>
      </c>
      <c r="AZ321" s="22">
        <v>30.977399999999999</v>
      </c>
      <c r="BA321" s="22">
        <v>-1.27197E-2</v>
      </c>
      <c r="BB321" s="22">
        <v>311</v>
      </c>
      <c r="BC321" s="22">
        <v>1.4654499999999999</v>
      </c>
      <c r="BD321">
        <f t="shared" si="58"/>
        <v>15.703333333333333</v>
      </c>
      <c r="BE321">
        <f t="shared" si="59"/>
        <v>23.022028866666666</v>
      </c>
    </row>
    <row r="322" spans="6:57">
      <c r="F322" s="9"/>
      <c r="G322" s="22">
        <v>0.24902299999999999</v>
      </c>
      <c r="H322" s="22">
        <v>8.3684799999999999</v>
      </c>
      <c r="I322" s="22">
        <v>-1.3787799999999999E-2</v>
      </c>
      <c r="J322" s="22">
        <v>312</v>
      </c>
      <c r="K322" s="22">
        <v>0.24832199999999999</v>
      </c>
      <c r="L322">
        <f t="shared" si="48"/>
        <v>17.021975308641974</v>
      </c>
      <c r="M322">
        <f t="shared" si="49"/>
        <v>4.2388633572839503</v>
      </c>
      <c r="N322" s="9"/>
      <c r="O322" s="22">
        <v>1.4711000000000001</v>
      </c>
      <c r="P322" s="22">
        <v>12.2279</v>
      </c>
      <c r="Q322" s="22">
        <v>-1.24542E-2</v>
      </c>
      <c r="R322" s="22">
        <v>312</v>
      </c>
      <c r="S322" s="22">
        <v>1.47034</v>
      </c>
      <c r="T322">
        <f t="shared" si="50"/>
        <v>15.375555555555556</v>
      </c>
      <c r="U322">
        <f t="shared" si="51"/>
        <v>22.618979777777778</v>
      </c>
      <c r="X322" s="9"/>
      <c r="Y322" s="22">
        <v>0.24902299999999999</v>
      </c>
      <c r="Z322" s="22">
        <v>17.704699999999999</v>
      </c>
      <c r="AA322" s="22">
        <v>-1.37451E-2</v>
      </c>
      <c r="AB322" s="22">
        <v>312</v>
      </c>
      <c r="AC322" s="22">
        <v>0.24838299999999999</v>
      </c>
      <c r="AD322">
        <f t="shared" si="52"/>
        <v>16.969259259259257</v>
      </c>
      <c r="AE322">
        <f t="shared" si="53"/>
        <v>4.2257358485185179</v>
      </c>
      <c r="AF322" s="9"/>
      <c r="AG322" s="22">
        <v>1.4711000000000001</v>
      </c>
      <c r="AH322" s="22">
        <v>21.5642</v>
      </c>
      <c r="AI322" s="22">
        <v>-1.25092E-2</v>
      </c>
      <c r="AJ322" s="22">
        <v>312</v>
      </c>
      <c r="AK322" s="22">
        <v>1.4706399999999999</v>
      </c>
      <c r="AL322">
        <f t="shared" si="54"/>
        <v>15.443456790123456</v>
      </c>
      <c r="AM322">
        <f t="shared" si="55"/>
        <v>22.718869283950617</v>
      </c>
      <c r="AP322" s="9"/>
      <c r="AQ322" s="22">
        <v>0.24902299999999999</v>
      </c>
      <c r="AR322" s="22">
        <v>27.128</v>
      </c>
      <c r="AS322" s="22">
        <v>-1.37939E-2</v>
      </c>
      <c r="AT322" s="22">
        <v>312</v>
      </c>
      <c r="AU322" s="22">
        <v>0.24841299999999999</v>
      </c>
      <c r="AV322">
        <f t="shared" si="56"/>
        <v>17.029506172839504</v>
      </c>
      <c r="AW322">
        <f t="shared" si="57"/>
        <v>4.2407387156790115</v>
      </c>
      <c r="AX322" s="9"/>
      <c r="AY322" s="22">
        <v>1.4711000000000001</v>
      </c>
      <c r="AZ322" s="22">
        <v>30.987400000000001</v>
      </c>
      <c r="BA322" s="22">
        <v>-1.26953E-2</v>
      </c>
      <c r="BB322" s="22">
        <v>312</v>
      </c>
      <c r="BC322" s="22">
        <v>1.4700299999999999</v>
      </c>
      <c r="BD322">
        <f t="shared" si="58"/>
        <v>15.67320987654321</v>
      </c>
      <c r="BE322">
        <f t="shared" si="59"/>
        <v>23.056859049382716</v>
      </c>
    </row>
    <row r="323" spans="6:57">
      <c r="F323" s="9"/>
      <c r="G323" s="22">
        <v>0.24398800000000001</v>
      </c>
      <c r="H323" s="22">
        <v>8.3785500000000006</v>
      </c>
      <c r="I323" s="22">
        <v>-1.3787799999999999E-2</v>
      </c>
      <c r="J323" s="22">
        <v>313</v>
      </c>
      <c r="K323" s="22">
        <v>0.243286</v>
      </c>
      <c r="L323">
        <f t="shared" si="48"/>
        <v>17.021975308641974</v>
      </c>
      <c r="M323">
        <f t="shared" si="49"/>
        <v>4.1531577116049379</v>
      </c>
      <c r="N323" s="9"/>
      <c r="O323" s="22">
        <v>1.47614</v>
      </c>
      <c r="P323" s="22">
        <v>12.238</v>
      </c>
      <c r="Q323" s="22">
        <v>-1.24298E-2</v>
      </c>
      <c r="R323" s="22">
        <v>313</v>
      </c>
      <c r="S323" s="22">
        <v>1.4749099999999999</v>
      </c>
      <c r="T323">
        <f t="shared" si="50"/>
        <v>15.34543209876543</v>
      </c>
      <c r="U323">
        <f t="shared" si="51"/>
        <v>22.652006138271602</v>
      </c>
      <c r="X323" s="9"/>
      <c r="Y323" s="22">
        <v>0.24398800000000001</v>
      </c>
      <c r="Z323" s="22">
        <v>17.7148</v>
      </c>
      <c r="AA323" s="22">
        <v>-1.37512E-2</v>
      </c>
      <c r="AB323" s="22">
        <v>313</v>
      </c>
      <c r="AC323" s="22">
        <v>0.24331700000000001</v>
      </c>
      <c r="AD323">
        <f t="shared" si="52"/>
        <v>16.976790123456787</v>
      </c>
      <c r="AE323">
        <f t="shared" si="53"/>
        <v>4.1421330686419751</v>
      </c>
      <c r="AF323" s="9"/>
      <c r="AG323" s="22">
        <v>1.47614</v>
      </c>
      <c r="AH323" s="22">
        <v>21.574300000000001</v>
      </c>
      <c r="AI323" s="22">
        <v>-1.24817E-2</v>
      </c>
      <c r="AJ323" s="22">
        <v>313</v>
      </c>
      <c r="AK323" s="22">
        <v>1.47461</v>
      </c>
      <c r="AL323">
        <f t="shared" si="54"/>
        <v>15.409506172839505</v>
      </c>
      <c r="AM323">
        <f t="shared" si="55"/>
        <v>22.746588441975305</v>
      </c>
      <c r="AP323" s="9"/>
      <c r="AQ323" s="22">
        <v>0.24398800000000001</v>
      </c>
      <c r="AR323" s="22">
        <v>27.138000000000002</v>
      </c>
      <c r="AS323" s="22">
        <v>-1.3797E-2</v>
      </c>
      <c r="AT323" s="22">
        <v>313</v>
      </c>
      <c r="AU323" s="22">
        <v>0.24334700000000001</v>
      </c>
      <c r="AV323">
        <f t="shared" si="56"/>
        <v>17.033333333333331</v>
      </c>
      <c r="AW323">
        <f t="shared" si="57"/>
        <v>4.1559289333333327</v>
      </c>
      <c r="AX323" s="9"/>
      <c r="AY323" s="22">
        <v>1.47614</v>
      </c>
      <c r="AZ323" s="22">
        <v>30.997499999999999</v>
      </c>
      <c r="BA323" s="22">
        <v>-1.2674E-2</v>
      </c>
      <c r="BB323" s="22">
        <v>313</v>
      </c>
      <c r="BC323" s="22">
        <v>1.47522</v>
      </c>
      <c r="BD323">
        <f t="shared" si="58"/>
        <v>15.646913580246911</v>
      </c>
      <c r="BE323">
        <f t="shared" si="59"/>
        <v>23.097035012345675</v>
      </c>
    </row>
    <row r="324" spans="6:57">
      <c r="F324" s="9"/>
      <c r="G324" s="22">
        <v>0.238953</v>
      </c>
      <c r="H324" s="22">
        <v>8.3886199999999995</v>
      </c>
      <c r="I324" s="22">
        <v>-1.37848E-2</v>
      </c>
      <c r="J324" s="22">
        <v>314</v>
      </c>
      <c r="K324" s="22">
        <v>0.23828099999999999</v>
      </c>
      <c r="L324">
        <f t="shared" si="48"/>
        <v>17.018271604938271</v>
      </c>
      <c r="M324">
        <f t="shared" si="49"/>
        <v>4.066567054814815</v>
      </c>
      <c r="N324" s="9"/>
      <c r="O324" s="22">
        <v>1.4811700000000001</v>
      </c>
      <c r="P324" s="22">
        <v>12.248100000000001</v>
      </c>
      <c r="Q324" s="22">
        <v>-1.24023E-2</v>
      </c>
      <c r="R324" s="22">
        <v>314</v>
      </c>
      <c r="S324" s="22">
        <v>1.48041</v>
      </c>
      <c r="T324">
        <f t="shared" si="50"/>
        <v>15.311481481481479</v>
      </c>
      <c r="U324">
        <f t="shared" si="51"/>
        <v>22.678907025925923</v>
      </c>
      <c r="X324" s="9"/>
      <c r="Y324" s="22">
        <v>0.238953</v>
      </c>
      <c r="Z324" s="22">
        <v>17.724900000000002</v>
      </c>
      <c r="AA324" s="22">
        <v>-1.37573E-2</v>
      </c>
      <c r="AB324" s="22">
        <v>314</v>
      </c>
      <c r="AC324" s="22">
        <v>0.23828099999999999</v>
      </c>
      <c r="AD324">
        <f t="shared" si="52"/>
        <v>16.984320987654321</v>
      </c>
      <c r="AE324">
        <f t="shared" si="53"/>
        <v>4.0584544529629634</v>
      </c>
      <c r="AF324" s="9"/>
      <c r="AG324" s="22">
        <v>1.4811700000000001</v>
      </c>
      <c r="AH324" s="22">
        <v>21.584299999999999</v>
      </c>
      <c r="AI324" s="22">
        <v>-1.24359E-2</v>
      </c>
      <c r="AJ324" s="22">
        <v>314</v>
      </c>
      <c r="AK324" s="22">
        <v>1.48041</v>
      </c>
      <c r="AL324">
        <f t="shared" si="54"/>
        <v>15.352962962962962</v>
      </c>
      <c r="AM324">
        <f t="shared" si="55"/>
        <v>22.740348151851851</v>
      </c>
      <c r="AP324" s="9"/>
      <c r="AQ324" s="22">
        <v>0.238953</v>
      </c>
      <c r="AR324" s="22">
        <v>27.148099999999999</v>
      </c>
      <c r="AS324" s="22">
        <v>-1.38123E-2</v>
      </c>
      <c r="AT324" s="22">
        <v>314</v>
      </c>
      <c r="AU324" s="22">
        <v>0.238403</v>
      </c>
      <c r="AV324">
        <f t="shared" si="56"/>
        <v>17.052222222222223</v>
      </c>
      <c r="AW324">
        <f t="shared" si="57"/>
        <v>4.0746796566666665</v>
      </c>
      <c r="AX324" s="9"/>
      <c r="AY324" s="22">
        <v>1.4811700000000001</v>
      </c>
      <c r="AZ324" s="22">
        <v>31.0076</v>
      </c>
      <c r="BA324" s="22">
        <v>-1.2643400000000001E-2</v>
      </c>
      <c r="BB324" s="22">
        <v>314</v>
      </c>
      <c r="BC324" s="22">
        <v>1.4801</v>
      </c>
      <c r="BD324">
        <f t="shared" si="58"/>
        <v>15.609135802469137</v>
      </c>
      <c r="BE324">
        <f t="shared" si="59"/>
        <v>23.119783676543214</v>
      </c>
    </row>
    <row r="325" spans="6:57">
      <c r="F325" s="9"/>
      <c r="G325" s="22">
        <v>0.23391700000000001</v>
      </c>
      <c r="H325" s="22">
        <v>8.3986900000000002</v>
      </c>
      <c r="I325" s="22">
        <v>-1.3775600000000001E-2</v>
      </c>
      <c r="J325" s="22">
        <v>315</v>
      </c>
      <c r="K325" s="22">
        <v>0.23327600000000001</v>
      </c>
      <c r="L325">
        <f t="shared" si="48"/>
        <v>17.006913580246916</v>
      </c>
      <c r="M325">
        <f t="shared" si="49"/>
        <v>3.9782062039506183</v>
      </c>
      <c r="N325" s="9"/>
      <c r="O325" s="22">
        <v>1.48621</v>
      </c>
      <c r="P325" s="22">
        <v>12.2582</v>
      </c>
      <c r="Q325" s="22">
        <v>-1.2368799999999999E-2</v>
      </c>
      <c r="R325" s="22">
        <v>315</v>
      </c>
      <c r="S325" s="22">
        <v>1.48499</v>
      </c>
      <c r="T325">
        <f t="shared" si="50"/>
        <v>15.270123456790122</v>
      </c>
      <c r="U325">
        <f t="shared" si="51"/>
        <v>22.694610182716048</v>
      </c>
      <c r="X325" s="9"/>
      <c r="Y325" s="22">
        <v>0.23391700000000001</v>
      </c>
      <c r="Z325" s="22">
        <v>17.7349</v>
      </c>
      <c r="AA325" s="22">
        <v>-1.37695E-2</v>
      </c>
      <c r="AB325" s="22">
        <v>315</v>
      </c>
      <c r="AC325" s="22">
        <v>0.23327600000000001</v>
      </c>
      <c r="AD325">
        <f t="shared" si="52"/>
        <v>16.999382716049382</v>
      </c>
      <c r="AE325">
        <f t="shared" si="53"/>
        <v>3.9764446067901238</v>
      </c>
      <c r="AF325" s="9"/>
      <c r="AG325" s="22">
        <v>1.48621</v>
      </c>
      <c r="AH325" s="22">
        <v>21.5944</v>
      </c>
      <c r="AI325" s="22">
        <v>-1.23993E-2</v>
      </c>
      <c r="AJ325" s="22">
        <v>315</v>
      </c>
      <c r="AK325" s="22">
        <v>1.48529</v>
      </c>
      <c r="AL325">
        <f t="shared" si="54"/>
        <v>15.307777777777778</v>
      </c>
      <c r="AM325">
        <f t="shared" si="55"/>
        <v>22.750572411111111</v>
      </c>
      <c r="AP325" s="9"/>
      <c r="AQ325" s="22">
        <v>0.23391700000000001</v>
      </c>
      <c r="AR325" s="22">
        <v>27.158200000000001</v>
      </c>
      <c r="AS325" s="22">
        <v>-1.38245E-2</v>
      </c>
      <c r="AT325" s="22">
        <v>315</v>
      </c>
      <c r="AU325" s="22">
        <v>0.23327600000000001</v>
      </c>
      <c r="AV325">
        <f t="shared" si="56"/>
        <v>17.067283950617281</v>
      </c>
      <c r="AW325">
        <f t="shared" si="57"/>
        <v>3.9923278598765428</v>
      </c>
      <c r="AX325" s="9"/>
      <c r="AY325" s="22">
        <v>1.48621</v>
      </c>
      <c r="AZ325" s="22">
        <v>31.017600000000002</v>
      </c>
      <c r="BA325" s="22">
        <v>-1.26068E-2</v>
      </c>
      <c r="BB325" s="22">
        <v>315</v>
      </c>
      <c r="BC325" s="22">
        <v>1.4856</v>
      </c>
      <c r="BD325">
        <f t="shared" si="58"/>
        <v>15.56395061728395</v>
      </c>
      <c r="BE325">
        <f t="shared" si="59"/>
        <v>23.131299046913579</v>
      </c>
    </row>
    <row r="326" spans="6:57">
      <c r="F326" s="9"/>
      <c r="G326" s="22">
        <v>0.228882</v>
      </c>
      <c r="H326" s="22">
        <v>8.4087599999999991</v>
      </c>
      <c r="I326" s="22">
        <v>-1.37634E-2</v>
      </c>
      <c r="J326" s="22">
        <v>316</v>
      </c>
      <c r="K326" s="22">
        <v>0.22821</v>
      </c>
      <c r="L326">
        <f t="shared" si="48"/>
        <v>16.991851851851852</v>
      </c>
      <c r="M326">
        <f t="shared" si="49"/>
        <v>3.8891290355555554</v>
      </c>
      <c r="N326" s="9"/>
      <c r="O326" s="22">
        <v>1.4912399999999999</v>
      </c>
      <c r="P326" s="22">
        <v>12.2682</v>
      </c>
      <c r="Q326" s="22">
        <v>-1.2329100000000001E-2</v>
      </c>
      <c r="R326" s="22">
        <v>316</v>
      </c>
      <c r="S326" s="22">
        <v>1.49017</v>
      </c>
      <c r="T326">
        <f t="shared" si="50"/>
        <v>15.22111111111111</v>
      </c>
      <c r="U326">
        <f t="shared" si="51"/>
        <v>22.698329733333331</v>
      </c>
      <c r="X326" s="9"/>
      <c r="Y326" s="22">
        <v>0.228882</v>
      </c>
      <c r="Z326" s="22">
        <v>17.745000000000001</v>
      </c>
      <c r="AA326" s="22">
        <v>-1.37787E-2</v>
      </c>
      <c r="AB326" s="22">
        <v>316</v>
      </c>
      <c r="AC326" s="22">
        <v>0.22817999999999999</v>
      </c>
      <c r="AD326">
        <f t="shared" si="52"/>
        <v>17.01074074074074</v>
      </c>
      <c r="AE326">
        <f t="shared" si="53"/>
        <v>3.8934523622222219</v>
      </c>
      <c r="AF326" s="9"/>
      <c r="AG326" s="22">
        <v>1.4912399999999999</v>
      </c>
      <c r="AH326" s="22">
        <v>21.604500000000002</v>
      </c>
      <c r="AI326" s="22">
        <v>-1.2362700000000001E-2</v>
      </c>
      <c r="AJ326" s="22">
        <v>316</v>
      </c>
      <c r="AK326" s="22">
        <v>1.49017</v>
      </c>
      <c r="AL326">
        <f t="shared" si="54"/>
        <v>15.262592592592593</v>
      </c>
      <c r="AM326">
        <f t="shared" si="55"/>
        <v>22.760188577777779</v>
      </c>
      <c r="AP326" s="9"/>
      <c r="AQ326" s="22">
        <v>0.228882</v>
      </c>
      <c r="AR326" s="22">
        <v>27.168199999999999</v>
      </c>
      <c r="AS326" s="22">
        <v>-1.38336E-2</v>
      </c>
      <c r="AT326" s="22">
        <v>316</v>
      </c>
      <c r="AU326" s="22">
        <v>0.228271</v>
      </c>
      <c r="AV326">
        <f t="shared" si="56"/>
        <v>17.078518518518518</v>
      </c>
      <c r="AW326">
        <f t="shared" si="57"/>
        <v>3.9089654755555556</v>
      </c>
      <c r="AX326" s="9"/>
      <c r="AY326" s="22">
        <v>1.4912399999999999</v>
      </c>
      <c r="AZ326" s="22">
        <v>31.027699999999999</v>
      </c>
      <c r="BA326" s="22">
        <v>-1.25702E-2</v>
      </c>
      <c r="BB326" s="22">
        <v>316</v>
      </c>
      <c r="BC326" s="22">
        <v>1.49017</v>
      </c>
      <c r="BD326">
        <f t="shared" si="58"/>
        <v>15.518765432098766</v>
      </c>
      <c r="BE326">
        <f t="shared" si="59"/>
        <v>23.142203762962961</v>
      </c>
    </row>
    <row r="327" spans="6:57">
      <c r="F327" s="9"/>
      <c r="G327" s="22">
        <v>0.22384599999999999</v>
      </c>
      <c r="H327" s="22">
        <v>8.4188299999999998</v>
      </c>
      <c r="I327" s="22">
        <v>-1.37482E-2</v>
      </c>
      <c r="J327" s="22">
        <v>317</v>
      </c>
      <c r="K327" s="22">
        <v>0.22323599999999999</v>
      </c>
      <c r="L327">
        <f t="shared" si="48"/>
        <v>16.973086419753084</v>
      </c>
      <c r="M327">
        <f t="shared" si="49"/>
        <v>3.7993575027160489</v>
      </c>
      <c r="N327" s="9"/>
      <c r="O327" s="22">
        <v>1.4962800000000001</v>
      </c>
      <c r="P327" s="22">
        <v>12.2783</v>
      </c>
      <c r="Q327" s="22">
        <v>-1.22925E-2</v>
      </c>
      <c r="R327" s="22">
        <v>317</v>
      </c>
      <c r="S327" s="22">
        <v>1.4950600000000001</v>
      </c>
      <c r="T327">
        <f t="shared" si="50"/>
        <v>15.175925925925924</v>
      </c>
      <c r="U327">
        <f t="shared" si="51"/>
        <v>22.707434444444441</v>
      </c>
      <c r="X327" s="9"/>
      <c r="Y327" s="22">
        <v>0.22384599999999999</v>
      </c>
      <c r="Z327" s="22">
        <v>17.755099999999999</v>
      </c>
      <c r="AA327" s="22">
        <v>-1.37909E-2</v>
      </c>
      <c r="AB327" s="22">
        <v>317</v>
      </c>
      <c r="AC327" s="22">
        <v>0.22320599999999999</v>
      </c>
      <c r="AD327">
        <f t="shared" si="52"/>
        <v>17.025802469135801</v>
      </c>
      <c r="AE327">
        <f t="shared" si="53"/>
        <v>3.8111577795061722</v>
      </c>
      <c r="AF327" s="9"/>
      <c r="AG327" s="22">
        <v>1.4962800000000001</v>
      </c>
      <c r="AH327" s="22">
        <v>21.614599999999999</v>
      </c>
      <c r="AI327" s="22">
        <v>-1.2329100000000001E-2</v>
      </c>
      <c r="AJ327" s="22">
        <v>317</v>
      </c>
      <c r="AK327" s="22">
        <v>1.49536</v>
      </c>
      <c r="AL327">
        <f t="shared" si="54"/>
        <v>15.22111111111111</v>
      </c>
      <c r="AM327">
        <f t="shared" si="55"/>
        <v>22.775044133333331</v>
      </c>
      <c r="AP327" s="9"/>
      <c r="AQ327" s="22">
        <v>0.22384599999999999</v>
      </c>
      <c r="AR327" s="22">
        <v>27.1783</v>
      </c>
      <c r="AS327" s="22">
        <v>-1.38336E-2</v>
      </c>
      <c r="AT327" s="22">
        <v>317</v>
      </c>
      <c r="AU327" s="22">
        <v>0.22326699999999999</v>
      </c>
      <c r="AV327">
        <f t="shared" si="56"/>
        <v>17.078518518518518</v>
      </c>
      <c r="AW327">
        <f t="shared" si="57"/>
        <v>3.8229580562962959</v>
      </c>
      <c r="AX327" s="9"/>
      <c r="AY327" s="22">
        <v>1.4962800000000001</v>
      </c>
      <c r="AZ327" s="22">
        <v>31.037800000000001</v>
      </c>
      <c r="BA327" s="22">
        <v>-1.2539700000000001E-2</v>
      </c>
      <c r="BB327" s="22">
        <v>317</v>
      </c>
      <c r="BC327" s="22">
        <v>1.49597</v>
      </c>
      <c r="BD327">
        <f t="shared" si="58"/>
        <v>15.48111111111111</v>
      </c>
      <c r="BE327">
        <f t="shared" si="59"/>
        <v>23.164076933333334</v>
      </c>
    </row>
    <row r="328" spans="6:57">
      <c r="F328" s="9"/>
      <c r="G328" s="22">
        <v>0.21881100000000001</v>
      </c>
      <c r="H328" s="22">
        <v>8.4289000000000005</v>
      </c>
      <c r="I328" s="22">
        <v>-1.37482E-2</v>
      </c>
      <c r="J328" s="22">
        <v>318</v>
      </c>
      <c r="K328" s="22">
        <v>0.21814</v>
      </c>
      <c r="L328">
        <f t="shared" si="48"/>
        <v>16.973086419753084</v>
      </c>
      <c r="M328">
        <f t="shared" si="49"/>
        <v>3.7138980125925922</v>
      </c>
      <c r="N328" s="9"/>
      <c r="O328" s="22">
        <v>1.5013099999999999</v>
      </c>
      <c r="P328" s="22">
        <v>12.288399999999999</v>
      </c>
      <c r="Q328" s="22">
        <v>-1.2246699999999999E-2</v>
      </c>
      <c r="R328" s="22">
        <v>318</v>
      </c>
      <c r="S328" s="22">
        <v>1.50024</v>
      </c>
      <c r="T328">
        <f t="shared" si="50"/>
        <v>15.11938271604938</v>
      </c>
      <c r="U328">
        <f t="shared" si="51"/>
        <v>22.698880465432094</v>
      </c>
      <c r="X328" s="9"/>
      <c r="Y328" s="22">
        <v>0.21881100000000001</v>
      </c>
      <c r="Z328" s="22">
        <v>17.7652</v>
      </c>
      <c r="AA328" s="22">
        <v>-1.37939E-2</v>
      </c>
      <c r="AB328" s="22">
        <v>318</v>
      </c>
      <c r="AC328" s="22">
        <v>0.21820100000000001</v>
      </c>
      <c r="AD328">
        <f t="shared" si="52"/>
        <v>17.029506172839504</v>
      </c>
      <c r="AE328">
        <f t="shared" si="53"/>
        <v>3.7262432751851846</v>
      </c>
      <c r="AF328" s="9"/>
      <c r="AG328" s="22">
        <v>1.5013099999999999</v>
      </c>
      <c r="AH328" s="22">
        <v>21.624600000000001</v>
      </c>
      <c r="AI328" s="22">
        <v>-1.2289400000000001E-2</v>
      </c>
      <c r="AJ328" s="22">
        <v>318</v>
      </c>
      <c r="AK328" s="22">
        <v>1.50024</v>
      </c>
      <c r="AL328">
        <f t="shared" si="54"/>
        <v>15.172098765432098</v>
      </c>
      <c r="AM328">
        <f t="shared" si="55"/>
        <v>22.778023597530861</v>
      </c>
      <c r="AP328" s="9"/>
      <c r="AQ328" s="22">
        <v>0.21881100000000001</v>
      </c>
      <c r="AR328" s="22">
        <v>27.188400000000001</v>
      </c>
      <c r="AS328" s="22">
        <v>-1.38245E-2</v>
      </c>
      <c r="AT328" s="22">
        <v>318</v>
      </c>
      <c r="AU328" s="22">
        <v>0.21820100000000001</v>
      </c>
      <c r="AV328">
        <f t="shared" si="56"/>
        <v>17.067283950617281</v>
      </c>
      <c r="AW328">
        <f t="shared" si="57"/>
        <v>3.7345094685185178</v>
      </c>
      <c r="AX328" s="9"/>
      <c r="AY328" s="22">
        <v>1.5013099999999999</v>
      </c>
      <c r="AZ328" s="22">
        <v>31.047899999999998</v>
      </c>
      <c r="BA328" s="22">
        <v>-1.2506099999999999E-2</v>
      </c>
      <c r="BB328" s="22">
        <v>318</v>
      </c>
      <c r="BC328" s="22">
        <v>1.5005500000000001</v>
      </c>
      <c r="BD328">
        <f t="shared" si="58"/>
        <v>15.439629629629628</v>
      </c>
      <c r="BE328">
        <f t="shared" si="59"/>
        <v>23.179670359259255</v>
      </c>
    </row>
    <row r="329" spans="6:57">
      <c r="F329" s="9"/>
      <c r="G329" s="22">
        <v>0.21377599999999999</v>
      </c>
      <c r="H329" s="22">
        <v>8.4389699999999994</v>
      </c>
      <c r="I329" s="22">
        <v>-1.37482E-2</v>
      </c>
      <c r="J329" s="22">
        <v>319</v>
      </c>
      <c r="K329" s="22">
        <v>0.21310399999999999</v>
      </c>
      <c r="L329">
        <f t="shared" si="48"/>
        <v>16.973086419753084</v>
      </c>
      <c r="M329">
        <f t="shared" si="49"/>
        <v>3.6284385224691351</v>
      </c>
      <c r="N329" s="9"/>
      <c r="O329" s="22">
        <v>1.5063500000000001</v>
      </c>
      <c r="P329" s="22">
        <v>12.298400000000001</v>
      </c>
      <c r="Q329" s="22">
        <v>-1.2200900000000001E-2</v>
      </c>
      <c r="R329" s="22">
        <v>319</v>
      </c>
      <c r="S329" s="22">
        <v>1.50482</v>
      </c>
      <c r="T329">
        <f t="shared" si="50"/>
        <v>15.062839506172839</v>
      </c>
      <c r="U329">
        <f t="shared" si="51"/>
        <v>22.689908290123459</v>
      </c>
      <c r="X329" s="9"/>
      <c r="Y329" s="22">
        <v>0.21377599999999999</v>
      </c>
      <c r="Z329" s="22">
        <v>17.775200000000002</v>
      </c>
      <c r="AA329" s="22">
        <v>-1.3797E-2</v>
      </c>
      <c r="AB329" s="22">
        <v>319</v>
      </c>
      <c r="AC329" s="22">
        <v>0.21304300000000001</v>
      </c>
      <c r="AD329">
        <f t="shared" si="52"/>
        <v>17.033333333333331</v>
      </c>
      <c r="AE329">
        <f t="shared" si="53"/>
        <v>3.6413178666666663</v>
      </c>
      <c r="AF329" s="9"/>
      <c r="AG329" s="22">
        <v>1.5063500000000001</v>
      </c>
      <c r="AH329" s="22">
        <v>21.634699999999999</v>
      </c>
      <c r="AI329" s="22">
        <v>-1.2252799999999999E-2</v>
      </c>
      <c r="AJ329" s="22">
        <v>319</v>
      </c>
      <c r="AK329" s="22">
        <v>1.50543</v>
      </c>
      <c r="AL329">
        <f t="shared" si="54"/>
        <v>15.126913580246912</v>
      </c>
      <c r="AM329">
        <f t="shared" si="55"/>
        <v>22.786426271604938</v>
      </c>
      <c r="AP329" s="9"/>
      <c r="AQ329" s="22">
        <v>0.21377599999999999</v>
      </c>
      <c r="AR329" s="22">
        <v>27.198499999999999</v>
      </c>
      <c r="AS329" s="22">
        <v>-1.38245E-2</v>
      </c>
      <c r="AT329" s="22">
        <v>319</v>
      </c>
      <c r="AU329" s="22">
        <v>0.21307400000000001</v>
      </c>
      <c r="AV329">
        <f t="shared" si="56"/>
        <v>17.067283950617281</v>
      </c>
      <c r="AW329">
        <f t="shared" si="57"/>
        <v>3.6485756938271598</v>
      </c>
      <c r="AX329" s="9"/>
      <c r="AY329" s="22">
        <v>1.5063500000000001</v>
      </c>
      <c r="AZ329" s="22">
        <v>31.0579</v>
      </c>
      <c r="BA329" s="22">
        <v>-1.2457299999999999E-2</v>
      </c>
      <c r="BB329" s="22">
        <v>319</v>
      </c>
      <c r="BC329" s="22">
        <v>1.5051300000000001</v>
      </c>
      <c r="BD329">
        <f t="shared" si="58"/>
        <v>15.379382716049379</v>
      </c>
      <c r="BE329">
        <f t="shared" si="59"/>
        <v>23.166733154320983</v>
      </c>
    </row>
    <row r="330" spans="6:57">
      <c r="F330" s="9"/>
      <c r="G330" s="22">
        <v>0.20874000000000001</v>
      </c>
      <c r="H330" s="22">
        <v>8.4490400000000001</v>
      </c>
      <c r="I330" s="22">
        <v>-1.3754300000000001E-2</v>
      </c>
      <c r="J330" s="22">
        <v>320</v>
      </c>
      <c r="K330" s="22">
        <v>0.20813000000000001</v>
      </c>
      <c r="L330">
        <f t="shared" si="48"/>
        <v>16.980617283950615</v>
      </c>
      <c r="M330">
        <f t="shared" si="49"/>
        <v>3.5445340518518513</v>
      </c>
      <c r="N330" s="9"/>
      <c r="O330" s="22">
        <v>1.5113799999999999</v>
      </c>
      <c r="P330" s="22">
        <v>12.3085</v>
      </c>
      <c r="Q330" s="22">
        <v>-1.2164299999999999E-2</v>
      </c>
      <c r="R330" s="22">
        <v>320</v>
      </c>
      <c r="S330" s="22">
        <v>1.5106200000000001</v>
      </c>
      <c r="T330">
        <f t="shared" si="50"/>
        <v>15.017654320987653</v>
      </c>
      <c r="U330">
        <f t="shared" si="51"/>
        <v>22.697382387654319</v>
      </c>
      <c r="X330" s="9"/>
      <c r="Y330" s="22">
        <v>0.20874000000000001</v>
      </c>
      <c r="Z330" s="22">
        <v>17.785299999999999</v>
      </c>
      <c r="AA330" s="22">
        <v>-1.3797E-2</v>
      </c>
      <c r="AB330" s="22">
        <v>320</v>
      </c>
      <c r="AC330" s="22">
        <v>0.20816000000000001</v>
      </c>
      <c r="AD330">
        <f t="shared" si="52"/>
        <v>17.033333333333331</v>
      </c>
      <c r="AE330">
        <f t="shared" si="53"/>
        <v>3.5555379999999999</v>
      </c>
      <c r="AF330" s="9"/>
      <c r="AG330" s="22">
        <v>1.5113799999999999</v>
      </c>
      <c r="AH330" s="22">
        <v>21.6448</v>
      </c>
      <c r="AI330" s="22">
        <v>-1.22223E-2</v>
      </c>
      <c r="AJ330" s="22">
        <v>320</v>
      </c>
      <c r="AK330" s="22">
        <v>1.5109300000000001</v>
      </c>
      <c r="AL330">
        <f t="shared" si="54"/>
        <v>15.08925925925926</v>
      </c>
      <c r="AM330">
        <f t="shared" si="55"/>
        <v>22.805604659259259</v>
      </c>
      <c r="AP330" s="9"/>
      <c r="AQ330" s="22">
        <v>0.20874000000000001</v>
      </c>
      <c r="AR330" s="22">
        <v>27.208500000000001</v>
      </c>
      <c r="AS330" s="22">
        <v>-1.38275E-2</v>
      </c>
      <c r="AT330" s="22">
        <v>320</v>
      </c>
      <c r="AU330" s="22">
        <v>0.20813000000000001</v>
      </c>
      <c r="AV330">
        <f t="shared" si="56"/>
        <v>17.070987654320987</v>
      </c>
      <c r="AW330">
        <f t="shared" si="57"/>
        <v>3.5633979629629629</v>
      </c>
      <c r="AX330" s="9"/>
      <c r="AY330" s="22">
        <v>1.5113799999999999</v>
      </c>
      <c r="AZ330" s="22">
        <v>31.068000000000001</v>
      </c>
      <c r="BA330" s="22">
        <v>-1.24084E-2</v>
      </c>
      <c r="BB330" s="22">
        <v>320</v>
      </c>
      <c r="BC330" s="22">
        <v>1.5106200000000001</v>
      </c>
      <c r="BD330">
        <f t="shared" si="58"/>
        <v>15.319012345679011</v>
      </c>
      <c r="BE330">
        <f t="shared" si="59"/>
        <v>23.152848879012343</v>
      </c>
    </row>
    <row r="331" spans="6:57">
      <c r="F331" s="9"/>
      <c r="G331" s="22">
        <v>0.203705</v>
      </c>
      <c r="H331" s="22">
        <v>8.4591200000000004</v>
      </c>
      <c r="I331" s="22">
        <v>-1.37634E-2</v>
      </c>
      <c r="J331" s="22">
        <v>321</v>
      </c>
      <c r="K331" s="22">
        <v>0.20303299999999999</v>
      </c>
      <c r="L331">
        <f t="shared" si="48"/>
        <v>16.991851851851852</v>
      </c>
      <c r="M331">
        <f t="shared" si="49"/>
        <v>3.4613251814814814</v>
      </c>
      <c r="N331" s="9"/>
      <c r="O331" s="22">
        <v>1.5164200000000001</v>
      </c>
      <c r="P331" s="22">
        <v>12.3186</v>
      </c>
      <c r="Q331" s="22">
        <v>-1.21277E-2</v>
      </c>
      <c r="R331" s="22">
        <v>321</v>
      </c>
      <c r="S331" s="22">
        <v>1.5158100000000001</v>
      </c>
      <c r="T331">
        <f t="shared" si="50"/>
        <v>14.972469135802468</v>
      </c>
      <c r="U331">
        <f t="shared" si="51"/>
        <v>22.704551646913579</v>
      </c>
      <c r="X331" s="9"/>
      <c r="Y331" s="22">
        <v>0.203705</v>
      </c>
      <c r="Z331" s="22">
        <v>17.795400000000001</v>
      </c>
      <c r="AA331" s="22">
        <v>-1.37909E-2</v>
      </c>
      <c r="AB331" s="22">
        <v>321</v>
      </c>
      <c r="AC331" s="22">
        <v>0.203156</v>
      </c>
      <c r="AD331">
        <f t="shared" si="52"/>
        <v>17.025802469135801</v>
      </c>
      <c r="AE331">
        <f t="shared" si="53"/>
        <v>3.4682410919753082</v>
      </c>
      <c r="AF331" s="9"/>
      <c r="AG331" s="22">
        <v>1.5164200000000001</v>
      </c>
      <c r="AH331" s="22">
        <v>21.654800000000002</v>
      </c>
      <c r="AI331" s="22">
        <v>-1.21887E-2</v>
      </c>
      <c r="AJ331" s="22">
        <v>321</v>
      </c>
      <c r="AK331" s="22">
        <v>1.5155000000000001</v>
      </c>
      <c r="AL331">
        <f t="shared" si="54"/>
        <v>15.047777777777776</v>
      </c>
      <c r="AM331">
        <f t="shared" si="55"/>
        <v>22.818751177777777</v>
      </c>
      <c r="AP331" s="9"/>
      <c r="AQ331" s="22">
        <v>0.203705</v>
      </c>
      <c r="AR331" s="22">
        <v>27.218599999999999</v>
      </c>
      <c r="AS331" s="22">
        <v>-1.38306E-2</v>
      </c>
      <c r="AT331" s="22">
        <v>321</v>
      </c>
      <c r="AU331" s="22">
        <v>0.20300299999999999</v>
      </c>
      <c r="AV331">
        <f t="shared" si="56"/>
        <v>17.074814814814815</v>
      </c>
      <c r="AW331">
        <f t="shared" si="57"/>
        <v>3.4782251518518517</v>
      </c>
      <c r="AX331" s="9"/>
      <c r="AY331" s="22">
        <v>1.5164200000000001</v>
      </c>
      <c r="AZ331" s="22">
        <v>31.078099999999999</v>
      </c>
      <c r="BA331" s="22">
        <v>-1.23596E-2</v>
      </c>
      <c r="BB331" s="22">
        <v>321</v>
      </c>
      <c r="BC331" s="22">
        <v>1.5158100000000001</v>
      </c>
      <c r="BD331">
        <f t="shared" si="58"/>
        <v>15.258765432098766</v>
      </c>
      <c r="BE331">
        <f t="shared" si="59"/>
        <v>23.138697076543213</v>
      </c>
    </row>
    <row r="332" spans="6:57">
      <c r="F332" s="9"/>
      <c r="G332" s="22">
        <v>0.19866900000000001</v>
      </c>
      <c r="H332" s="22">
        <v>8.4691899999999993</v>
      </c>
      <c r="I332" s="22">
        <v>-1.3772599999999999E-2</v>
      </c>
      <c r="J332" s="22">
        <v>322</v>
      </c>
      <c r="K332" s="22">
        <v>0.19799800000000001</v>
      </c>
      <c r="L332">
        <f t="shared" ref="L332:L392" si="60">-I332/$F$2*1000</f>
        <v>17.00320987654321</v>
      </c>
      <c r="M332">
        <f t="shared" ref="M332:M392" si="61">L332*G332</f>
        <v>3.3780107029629631</v>
      </c>
      <c r="N332" s="9"/>
      <c r="O332" s="22">
        <v>1.52145</v>
      </c>
      <c r="P332" s="22">
        <v>12.3287</v>
      </c>
      <c r="Q332" s="22">
        <v>-1.20819E-2</v>
      </c>
      <c r="R332" s="22">
        <v>322</v>
      </c>
      <c r="S332" s="22">
        <v>1.5200800000000001</v>
      </c>
      <c r="T332">
        <f t="shared" ref="T332:T392" si="62">-Q332/$F$2*1000</f>
        <v>14.915925925925924</v>
      </c>
      <c r="U332">
        <f t="shared" ref="U332:U392" si="63">T332*O332</f>
        <v>22.693835499999995</v>
      </c>
      <c r="X332" s="9"/>
      <c r="Y332" s="22">
        <v>0.19866900000000001</v>
      </c>
      <c r="Z332" s="22">
        <v>17.805399999999999</v>
      </c>
      <c r="AA332" s="22">
        <v>-1.37939E-2</v>
      </c>
      <c r="AB332" s="22">
        <v>322</v>
      </c>
      <c r="AC332" s="22">
        <v>0.19805900000000001</v>
      </c>
      <c r="AD332">
        <f t="shared" ref="AD332:AD392" si="64">-AA332/$F$2*1000</f>
        <v>17.029506172839504</v>
      </c>
      <c r="AE332">
        <f t="shared" ref="AE332:AE392" si="65">AD332*Y332</f>
        <v>3.3832349618518518</v>
      </c>
      <c r="AF332" s="9"/>
      <c r="AG332" s="22">
        <v>1.52145</v>
      </c>
      <c r="AH332" s="22">
        <v>21.664899999999999</v>
      </c>
      <c r="AI332" s="22">
        <v>-1.2149E-2</v>
      </c>
      <c r="AJ332" s="22">
        <v>322</v>
      </c>
      <c r="AK332" s="22">
        <v>1.5200800000000001</v>
      </c>
      <c r="AL332">
        <f t="shared" ref="AL332:AL392" si="66">-AI332/$F$2*1000</f>
        <v>14.998765432098764</v>
      </c>
      <c r="AM332">
        <f t="shared" ref="AM332:AM392" si="67">AL332*AG332</f>
        <v>22.819871666666664</v>
      </c>
      <c r="AP332" s="9"/>
      <c r="AQ332" s="22">
        <v>0.19866900000000001</v>
      </c>
      <c r="AR332" s="22">
        <v>27.2287</v>
      </c>
      <c r="AS332" s="22">
        <v>-1.38306E-2</v>
      </c>
      <c r="AT332" s="22">
        <v>322</v>
      </c>
      <c r="AU332" s="22">
        <v>0.19805900000000001</v>
      </c>
      <c r="AV332">
        <f t="shared" ref="AV332:AV392" si="68">-AS332/$F$2*1000</f>
        <v>17.074814814814815</v>
      </c>
      <c r="AW332">
        <f t="shared" ref="AW332:AW392" si="69">AV332*AQ332</f>
        <v>3.3922363844444448</v>
      </c>
      <c r="AX332" s="9"/>
      <c r="AY332" s="22">
        <v>1.52145</v>
      </c>
      <c r="AZ332" s="22">
        <v>31.088100000000001</v>
      </c>
      <c r="BA332" s="22">
        <v>-1.23138E-2</v>
      </c>
      <c r="BB332" s="22">
        <v>322</v>
      </c>
      <c r="BC332" s="22">
        <v>1.5200800000000001</v>
      </c>
      <c r="BD332">
        <f t="shared" ref="BD332:BD392" si="70">-BA332/$F$2*1000</f>
        <v>15.202222222222222</v>
      </c>
      <c r="BE332">
        <f t="shared" ref="BE332:BE392" si="71">BD332*AY332</f>
        <v>23.129421000000001</v>
      </c>
    </row>
    <row r="333" spans="6:57">
      <c r="F333" s="9"/>
      <c r="G333" s="22">
        <v>0.193634</v>
      </c>
      <c r="H333" s="22">
        <v>8.47926</v>
      </c>
      <c r="I333" s="22">
        <v>-1.37787E-2</v>
      </c>
      <c r="J333" s="22">
        <v>323</v>
      </c>
      <c r="K333" s="22">
        <v>0.193054</v>
      </c>
      <c r="L333">
        <f t="shared" si="60"/>
        <v>17.01074074074074</v>
      </c>
      <c r="M333">
        <f t="shared" si="61"/>
        <v>3.2938577725925926</v>
      </c>
      <c r="N333" s="9"/>
      <c r="O333" s="22">
        <v>1.5264899999999999</v>
      </c>
      <c r="P333" s="22">
        <v>12.338699999999999</v>
      </c>
      <c r="Q333" s="22">
        <v>-1.2036099999999999E-2</v>
      </c>
      <c r="R333" s="22">
        <v>323</v>
      </c>
      <c r="S333" s="22">
        <v>1.5255700000000001</v>
      </c>
      <c r="T333">
        <f t="shared" si="62"/>
        <v>14.85938271604938</v>
      </c>
      <c r="U333">
        <f t="shared" si="63"/>
        <v>22.682699122222218</v>
      </c>
      <c r="X333" s="9"/>
      <c r="Y333" s="22">
        <v>0.193634</v>
      </c>
      <c r="Z333" s="22">
        <v>17.8155</v>
      </c>
      <c r="AA333" s="22">
        <v>-1.37939E-2</v>
      </c>
      <c r="AB333" s="22">
        <v>323</v>
      </c>
      <c r="AC333" s="22">
        <v>0.192963</v>
      </c>
      <c r="AD333">
        <f t="shared" si="64"/>
        <v>17.029506172839504</v>
      </c>
      <c r="AE333">
        <f t="shared" si="65"/>
        <v>3.2974913982716045</v>
      </c>
      <c r="AF333" s="9"/>
      <c r="AG333" s="22">
        <v>1.5264899999999999</v>
      </c>
      <c r="AH333" s="22">
        <v>21.675000000000001</v>
      </c>
      <c r="AI333" s="22">
        <v>-1.2103300000000001E-2</v>
      </c>
      <c r="AJ333" s="22">
        <v>323</v>
      </c>
      <c r="AK333" s="22">
        <v>1.5261800000000001</v>
      </c>
      <c r="AL333">
        <f t="shared" si="66"/>
        <v>14.942345679012346</v>
      </c>
      <c r="AM333">
        <f t="shared" si="67"/>
        <v>22.809341255555555</v>
      </c>
      <c r="AP333" s="9"/>
      <c r="AQ333" s="22">
        <v>0.193634</v>
      </c>
      <c r="AR333" s="22">
        <v>27.238700000000001</v>
      </c>
      <c r="AS333" s="22">
        <v>-1.38245E-2</v>
      </c>
      <c r="AT333" s="22">
        <v>323</v>
      </c>
      <c r="AU333" s="22">
        <v>0.192963</v>
      </c>
      <c r="AV333">
        <f t="shared" si="68"/>
        <v>17.067283950617281</v>
      </c>
      <c r="AW333">
        <f t="shared" si="69"/>
        <v>3.3048064604938263</v>
      </c>
      <c r="AX333" s="9"/>
      <c r="AY333" s="22">
        <v>1.5264899999999999</v>
      </c>
      <c r="AZ333" s="22">
        <v>31.098199999999999</v>
      </c>
      <c r="BA333" s="22">
        <v>-1.22772E-2</v>
      </c>
      <c r="BB333" s="22">
        <v>323</v>
      </c>
      <c r="BC333" s="22">
        <v>1.5258799999999999</v>
      </c>
      <c r="BD333">
        <f t="shared" si="70"/>
        <v>15.157037037037037</v>
      </c>
      <c r="BE333">
        <f t="shared" si="71"/>
        <v>23.137065466666666</v>
      </c>
    </row>
    <row r="334" spans="6:57">
      <c r="F334" s="9"/>
      <c r="G334" s="22">
        <v>0.18859899999999999</v>
      </c>
      <c r="H334" s="22">
        <v>8.4893300000000007</v>
      </c>
      <c r="I334" s="22">
        <v>-1.37787E-2</v>
      </c>
      <c r="J334" s="22">
        <v>324</v>
      </c>
      <c r="K334" s="22">
        <v>0.18795799999999999</v>
      </c>
      <c r="L334">
        <f t="shared" si="60"/>
        <v>17.01074074074074</v>
      </c>
      <c r="M334">
        <f t="shared" si="61"/>
        <v>3.2082086929629625</v>
      </c>
      <c r="N334" s="9"/>
      <c r="O334" s="22">
        <v>1.53152</v>
      </c>
      <c r="P334" s="22">
        <v>12.348800000000001</v>
      </c>
      <c r="Q334" s="22">
        <v>-1.19904E-2</v>
      </c>
      <c r="R334" s="22">
        <v>324</v>
      </c>
      <c r="S334" s="22">
        <v>1.5304599999999999</v>
      </c>
      <c r="T334">
        <f t="shared" si="62"/>
        <v>14.802962962962962</v>
      </c>
      <c r="U334">
        <f t="shared" si="63"/>
        <v>22.671033837037037</v>
      </c>
      <c r="X334" s="9"/>
      <c r="Y334" s="22">
        <v>0.18859899999999999</v>
      </c>
      <c r="Z334" s="22">
        <v>17.825600000000001</v>
      </c>
      <c r="AA334" s="22">
        <v>-1.3797E-2</v>
      </c>
      <c r="AB334" s="22">
        <v>324</v>
      </c>
      <c r="AC334" s="22">
        <v>0.18795799999999999</v>
      </c>
      <c r="AD334">
        <f t="shared" si="64"/>
        <v>17.033333333333331</v>
      </c>
      <c r="AE334">
        <f t="shared" si="65"/>
        <v>3.2124696333333329</v>
      </c>
      <c r="AF334" s="9"/>
      <c r="AG334" s="22">
        <v>1.53152</v>
      </c>
      <c r="AH334" s="22">
        <v>21.685099999999998</v>
      </c>
      <c r="AI334" s="22">
        <v>-1.20544E-2</v>
      </c>
      <c r="AJ334" s="22">
        <v>324</v>
      </c>
      <c r="AK334" s="22">
        <v>1.5313699999999999</v>
      </c>
      <c r="AL334">
        <f t="shared" si="66"/>
        <v>14.881975308641973</v>
      </c>
      <c r="AM334">
        <f t="shared" si="67"/>
        <v>22.792042824691354</v>
      </c>
      <c r="AP334" s="9"/>
      <c r="AQ334" s="22">
        <v>0.18859899999999999</v>
      </c>
      <c r="AR334" s="22">
        <v>27.248799999999999</v>
      </c>
      <c r="AS334" s="22">
        <v>-1.3821399999999999E-2</v>
      </c>
      <c r="AT334" s="22">
        <v>324</v>
      </c>
      <c r="AU334" s="22">
        <v>0.18786600000000001</v>
      </c>
      <c r="AV334">
        <f t="shared" si="68"/>
        <v>17.063456790123453</v>
      </c>
      <c r="AW334">
        <f t="shared" si="69"/>
        <v>3.2181508871604931</v>
      </c>
      <c r="AX334" s="9"/>
      <c r="AY334" s="22">
        <v>1.53152</v>
      </c>
      <c r="AZ334" s="22">
        <v>31.1083</v>
      </c>
      <c r="BA334" s="22">
        <v>-1.2240600000000001E-2</v>
      </c>
      <c r="BB334" s="22">
        <v>324</v>
      </c>
      <c r="BC334" s="22">
        <v>1.5301499999999999</v>
      </c>
      <c r="BD334">
        <f t="shared" si="70"/>
        <v>15.111851851851853</v>
      </c>
      <c r="BE334">
        <f t="shared" si="71"/>
        <v>23.14410334814815</v>
      </c>
    </row>
    <row r="335" spans="6:57">
      <c r="F335" s="9"/>
      <c r="G335" s="22">
        <v>0.183563</v>
      </c>
      <c r="H335" s="22">
        <v>8.4993999999999996</v>
      </c>
      <c r="I335" s="22">
        <v>-1.3775600000000001E-2</v>
      </c>
      <c r="J335" s="22">
        <v>325</v>
      </c>
      <c r="K335" s="22">
        <v>0.182892</v>
      </c>
      <c r="L335">
        <f t="shared" si="60"/>
        <v>17.006913580246916</v>
      </c>
      <c r="M335">
        <f t="shared" si="61"/>
        <v>3.1218400775308646</v>
      </c>
      <c r="N335" s="9"/>
      <c r="O335" s="22">
        <v>1.5365599999999999</v>
      </c>
      <c r="P335" s="22">
        <v>12.3589</v>
      </c>
      <c r="Q335" s="22">
        <v>-1.1953699999999999E-2</v>
      </c>
      <c r="R335" s="22">
        <v>325</v>
      </c>
      <c r="S335" s="22">
        <v>1.5356399999999999</v>
      </c>
      <c r="T335">
        <f t="shared" si="62"/>
        <v>14.757654320987653</v>
      </c>
      <c r="U335">
        <f t="shared" si="63"/>
        <v>22.676021323456787</v>
      </c>
      <c r="X335" s="9"/>
      <c r="Y335" s="22">
        <v>0.183563</v>
      </c>
      <c r="Z335" s="22">
        <v>17.835699999999999</v>
      </c>
      <c r="AA335" s="22">
        <v>-1.3797E-2</v>
      </c>
      <c r="AB335" s="22">
        <v>325</v>
      </c>
      <c r="AC335" s="22">
        <v>0.182861</v>
      </c>
      <c r="AD335">
        <f t="shared" si="64"/>
        <v>17.033333333333331</v>
      </c>
      <c r="AE335">
        <f t="shared" si="65"/>
        <v>3.1266897666666664</v>
      </c>
      <c r="AF335" s="9"/>
      <c r="AG335" s="22">
        <v>1.5365599999999999</v>
      </c>
      <c r="AH335" s="22">
        <v>21.6951</v>
      </c>
      <c r="AI335" s="22">
        <v>-1.20026E-2</v>
      </c>
      <c r="AJ335" s="22">
        <v>325</v>
      </c>
      <c r="AK335" s="22">
        <v>1.5356399999999999</v>
      </c>
      <c r="AL335">
        <f t="shared" si="66"/>
        <v>14.818024691358024</v>
      </c>
      <c r="AM335">
        <f t="shared" si="67"/>
        <v>22.768784019753085</v>
      </c>
      <c r="AP335" s="9"/>
      <c r="AQ335" s="22">
        <v>0.183563</v>
      </c>
      <c r="AR335" s="22">
        <v>27.258900000000001</v>
      </c>
      <c r="AS335" s="22">
        <v>-1.3821399999999999E-2</v>
      </c>
      <c r="AT335" s="22">
        <v>325</v>
      </c>
      <c r="AU335" s="22">
        <v>0.182953</v>
      </c>
      <c r="AV335">
        <f t="shared" si="68"/>
        <v>17.063456790123453</v>
      </c>
      <c r="AW335">
        <f t="shared" si="69"/>
        <v>3.1322193187654315</v>
      </c>
      <c r="AX335" s="9"/>
      <c r="AY335" s="22">
        <v>1.5365599999999999</v>
      </c>
      <c r="AZ335" s="22">
        <v>31.118400000000001</v>
      </c>
      <c r="BA335" s="22">
        <v>-1.2200900000000001E-2</v>
      </c>
      <c r="BB335" s="22">
        <v>325</v>
      </c>
      <c r="BC335" s="22">
        <v>1.5356399999999999</v>
      </c>
      <c r="BD335">
        <f t="shared" si="70"/>
        <v>15.062839506172839</v>
      </c>
      <c r="BE335">
        <f t="shared" si="71"/>
        <v>23.144956671604938</v>
      </c>
    </row>
    <row r="336" spans="6:57">
      <c r="F336" s="9"/>
      <c r="G336" s="22">
        <v>0.17852799999999999</v>
      </c>
      <c r="H336" s="22">
        <v>8.5094700000000003</v>
      </c>
      <c r="I336" s="22">
        <v>-1.3766499999999999E-2</v>
      </c>
      <c r="J336" s="22">
        <v>326</v>
      </c>
      <c r="K336" s="22">
        <v>0.17788699999999999</v>
      </c>
      <c r="L336">
        <f t="shared" si="60"/>
        <v>16.995679012345676</v>
      </c>
      <c r="M336">
        <f t="shared" si="61"/>
        <v>3.0342045827160486</v>
      </c>
      <c r="N336" s="9"/>
      <c r="O336" s="22">
        <v>1.5416000000000001</v>
      </c>
      <c r="P336" s="22">
        <v>12.3689</v>
      </c>
      <c r="Q336" s="22">
        <v>-1.19019E-2</v>
      </c>
      <c r="R336" s="22">
        <v>326</v>
      </c>
      <c r="S336" s="22">
        <v>1.5402199999999999</v>
      </c>
      <c r="T336">
        <f t="shared" si="62"/>
        <v>14.693703703703703</v>
      </c>
      <c r="U336">
        <f t="shared" si="63"/>
        <v>22.651813629629629</v>
      </c>
      <c r="X336" s="9"/>
      <c r="Y336" s="22">
        <v>0.17852799999999999</v>
      </c>
      <c r="Z336" s="22">
        <v>17.845700000000001</v>
      </c>
      <c r="AA336" s="22">
        <v>-1.38031E-2</v>
      </c>
      <c r="AB336" s="22">
        <v>326</v>
      </c>
      <c r="AC336" s="22">
        <v>0.17782600000000001</v>
      </c>
      <c r="AD336">
        <f t="shared" si="64"/>
        <v>17.040864197530862</v>
      </c>
      <c r="AE336">
        <f t="shared" si="65"/>
        <v>3.0422714034567897</v>
      </c>
      <c r="AF336" s="9"/>
      <c r="AG336" s="22">
        <v>1.5416000000000001</v>
      </c>
      <c r="AH336" s="22">
        <v>21.705200000000001</v>
      </c>
      <c r="AI336" s="22">
        <v>-1.19568E-2</v>
      </c>
      <c r="AJ336" s="22">
        <v>326</v>
      </c>
      <c r="AK336" s="22">
        <v>1.5408299999999999</v>
      </c>
      <c r="AL336">
        <f t="shared" si="66"/>
        <v>14.761481481481482</v>
      </c>
      <c r="AM336">
        <f t="shared" si="67"/>
        <v>22.756299851851853</v>
      </c>
      <c r="AP336" s="9"/>
      <c r="AQ336" s="22">
        <v>0.17852799999999999</v>
      </c>
      <c r="AR336" s="22">
        <v>27.268999999999998</v>
      </c>
      <c r="AS336" s="22">
        <v>-1.3815300000000001E-2</v>
      </c>
      <c r="AT336" s="22">
        <v>326</v>
      </c>
      <c r="AU336" s="22">
        <v>0.17788699999999999</v>
      </c>
      <c r="AV336">
        <f t="shared" si="68"/>
        <v>17.055925925925926</v>
      </c>
      <c r="AW336">
        <f t="shared" si="69"/>
        <v>3.0449603437037038</v>
      </c>
      <c r="AX336" s="9"/>
      <c r="AY336" s="22">
        <v>1.5416000000000001</v>
      </c>
      <c r="AZ336" s="22">
        <v>31.128399999999999</v>
      </c>
      <c r="BA336" s="22">
        <v>-1.2149E-2</v>
      </c>
      <c r="BB336" s="22">
        <v>326</v>
      </c>
      <c r="BC336" s="22">
        <v>1.5408299999999999</v>
      </c>
      <c r="BD336">
        <f t="shared" si="70"/>
        <v>14.998765432098764</v>
      </c>
      <c r="BE336">
        <f t="shared" si="71"/>
        <v>23.122096790123457</v>
      </c>
    </row>
    <row r="337" spans="6:57">
      <c r="F337" s="9"/>
      <c r="G337" s="22">
        <v>0.17349200000000001</v>
      </c>
      <c r="H337" s="22">
        <v>8.5195399999999992</v>
      </c>
      <c r="I337" s="22">
        <v>-1.3766499999999999E-2</v>
      </c>
      <c r="J337" s="22">
        <v>327</v>
      </c>
      <c r="K337" s="22">
        <v>0.172821</v>
      </c>
      <c r="L337">
        <f t="shared" si="60"/>
        <v>16.995679012345676</v>
      </c>
      <c r="M337">
        <f t="shared" si="61"/>
        <v>2.9486143432098761</v>
      </c>
      <c r="N337" s="9"/>
      <c r="O337" s="22">
        <v>1.5466299999999999</v>
      </c>
      <c r="P337" s="22">
        <v>12.379</v>
      </c>
      <c r="Q337" s="22">
        <v>-1.1859099999999999E-2</v>
      </c>
      <c r="R337" s="22">
        <v>327</v>
      </c>
      <c r="S337" s="22">
        <v>1.54541</v>
      </c>
      <c r="T337">
        <f t="shared" si="62"/>
        <v>14.640864197530862</v>
      </c>
      <c r="U337">
        <f t="shared" si="63"/>
        <v>22.643999793827156</v>
      </c>
      <c r="X337" s="9"/>
      <c r="Y337" s="22">
        <v>0.17349200000000001</v>
      </c>
      <c r="Z337" s="22">
        <v>17.855799999999999</v>
      </c>
      <c r="AA337" s="22">
        <v>-1.3815300000000001E-2</v>
      </c>
      <c r="AB337" s="22">
        <v>327</v>
      </c>
      <c r="AC337" s="22">
        <v>0.172821</v>
      </c>
      <c r="AD337">
        <f t="shared" si="64"/>
        <v>17.055925925925926</v>
      </c>
      <c r="AE337">
        <f t="shared" si="65"/>
        <v>2.959066700740741</v>
      </c>
      <c r="AF337" s="9"/>
      <c r="AG337" s="22">
        <v>1.5466299999999999</v>
      </c>
      <c r="AH337" s="22">
        <v>21.715299999999999</v>
      </c>
      <c r="AI337" s="22">
        <v>-1.1908E-2</v>
      </c>
      <c r="AJ337" s="22">
        <v>327</v>
      </c>
      <c r="AK337" s="22">
        <v>1.54541</v>
      </c>
      <c r="AL337">
        <f t="shared" si="66"/>
        <v>14.701234567901233</v>
      </c>
      <c r="AM337">
        <f t="shared" si="67"/>
        <v>22.737370419753084</v>
      </c>
      <c r="AP337" s="9"/>
      <c r="AQ337" s="22">
        <v>0.17349200000000001</v>
      </c>
      <c r="AR337" s="22">
        <v>27.279</v>
      </c>
      <c r="AS337" s="22">
        <v>-1.38184E-2</v>
      </c>
      <c r="AT337" s="22">
        <v>327</v>
      </c>
      <c r="AU337" s="22">
        <v>0.172821</v>
      </c>
      <c r="AV337">
        <f t="shared" si="68"/>
        <v>17.05975308641975</v>
      </c>
      <c r="AW337">
        <f t="shared" si="69"/>
        <v>2.9597306824691354</v>
      </c>
      <c r="AX337" s="9"/>
      <c r="AY337" s="22">
        <v>1.5466299999999999</v>
      </c>
      <c r="AZ337" s="22">
        <v>31.138500000000001</v>
      </c>
      <c r="BA337" s="22">
        <v>-1.2109399999999999E-2</v>
      </c>
      <c r="BB337" s="22">
        <v>327</v>
      </c>
      <c r="BC337" s="22">
        <v>1.54633</v>
      </c>
      <c r="BD337">
        <f t="shared" si="70"/>
        <v>14.949876543209875</v>
      </c>
      <c r="BE337">
        <f t="shared" si="71"/>
        <v>23.121927558024687</v>
      </c>
    </row>
    <row r="338" spans="6:57">
      <c r="F338" s="9"/>
      <c r="G338" s="22">
        <v>0.168457</v>
      </c>
      <c r="H338" s="22">
        <v>8.5296099999999999</v>
      </c>
      <c r="I338" s="22">
        <v>-1.37695E-2</v>
      </c>
      <c r="J338" s="22">
        <v>328</v>
      </c>
      <c r="K338" s="22">
        <v>0.167877</v>
      </c>
      <c r="L338">
        <f t="shared" si="60"/>
        <v>16.999382716049382</v>
      </c>
      <c r="M338">
        <f t="shared" si="61"/>
        <v>2.8636650141975308</v>
      </c>
      <c r="N338" s="9"/>
      <c r="O338" s="22">
        <v>1.5516700000000001</v>
      </c>
      <c r="P338" s="22">
        <v>12.389099999999999</v>
      </c>
      <c r="Q338" s="22">
        <v>-1.1798100000000001E-2</v>
      </c>
      <c r="R338" s="22">
        <v>328</v>
      </c>
      <c r="S338" s="22">
        <v>1.5506</v>
      </c>
      <c r="T338">
        <f t="shared" si="62"/>
        <v>14.565555555555555</v>
      </c>
      <c r="U338">
        <f t="shared" si="63"/>
        <v>22.600935588888891</v>
      </c>
      <c r="X338" s="9"/>
      <c r="Y338" s="22">
        <v>0.168457</v>
      </c>
      <c r="Z338" s="22">
        <v>17.8659</v>
      </c>
      <c r="AA338" s="22">
        <v>-1.3809200000000001E-2</v>
      </c>
      <c r="AB338" s="22">
        <v>328</v>
      </c>
      <c r="AC338" s="22">
        <v>0.16781599999999999</v>
      </c>
      <c r="AD338">
        <f t="shared" si="64"/>
        <v>17.048395061728392</v>
      </c>
      <c r="AE338">
        <f t="shared" si="65"/>
        <v>2.8719214869135796</v>
      </c>
      <c r="AF338" s="9"/>
      <c r="AG338" s="22">
        <v>1.5516700000000001</v>
      </c>
      <c r="AH338" s="22">
        <v>21.725300000000001</v>
      </c>
      <c r="AI338" s="22">
        <v>-1.1837800000000001E-2</v>
      </c>
      <c r="AJ338" s="22">
        <v>328</v>
      </c>
      <c r="AK338" s="22">
        <v>1.5506</v>
      </c>
      <c r="AL338">
        <f t="shared" si="66"/>
        <v>14.614567901234569</v>
      </c>
      <c r="AM338">
        <f t="shared" si="67"/>
        <v>22.676986575308646</v>
      </c>
      <c r="AP338" s="9"/>
      <c r="AQ338" s="22">
        <v>0.168457</v>
      </c>
      <c r="AR338" s="22">
        <v>27.289100000000001</v>
      </c>
      <c r="AS338" s="22">
        <v>-1.38184E-2</v>
      </c>
      <c r="AT338" s="22">
        <v>328</v>
      </c>
      <c r="AU338" s="22">
        <v>0.16775499999999999</v>
      </c>
      <c r="AV338">
        <f t="shared" si="68"/>
        <v>17.05975308641975</v>
      </c>
      <c r="AW338">
        <f t="shared" si="69"/>
        <v>2.8738348256790118</v>
      </c>
      <c r="AX338" s="9"/>
      <c r="AY338" s="22">
        <v>1.5516700000000001</v>
      </c>
      <c r="AZ338" s="22">
        <v>31.148599999999998</v>
      </c>
      <c r="BA338" s="22">
        <v>-1.20544E-2</v>
      </c>
      <c r="BB338" s="22">
        <v>328</v>
      </c>
      <c r="BC338" s="22">
        <v>1.55121</v>
      </c>
      <c r="BD338">
        <f t="shared" si="70"/>
        <v>14.881975308641973</v>
      </c>
      <c r="BE338">
        <f t="shared" si="71"/>
        <v>23.091914627160492</v>
      </c>
    </row>
    <row r="339" spans="6:57">
      <c r="F339" s="9"/>
      <c r="G339" s="22">
        <v>0.16342200000000001</v>
      </c>
      <c r="H339" s="22">
        <v>8.5396800000000006</v>
      </c>
      <c r="I339" s="22">
        <v>-1.3766499999999999E-2</v>
      </c>
      <c r="J339" s="22">
        <v>329</v>
      </c>
      <c r="K339" s="22">
        <v>0.16284199999999999</v>
      </c>
      <c r="L339">
        <f t="shared" si="60"/>
        <v>16.995679012345676</v>
      </c>
      <c r="M339">
        <f t="shared" si="61"/>
        <v>2.777467855555555</v>
      </c>
      <c r="N339" s="9"/>
      <c r="O339" s="22">
        <v>1.5567</v>
      </c>
      <c r="P339" s="22">
        <v>12.3992</v>
      </c>
      <c r="Q339" s="22">
        <v>-1.1755399999999999E-2</v>
      </c>
      <c r="R339" s="22">
        <v>329</v>
      </c>
      <c r="S339" s="22">
        <v>1.55579</v>
      </c>
      <c r="T339">
        <f t="shared" si="62"/>
        <v>14.512839506172838</v>
      </c>
      <c r="U339">
        <f t="shared" si="63"/>
        <v>22.592137259259257</v>
      </c>
      <c r="X339" s="9"/>
      <c r="Y339" s="22">
        <v>0.16342200000000001</v>
      </c>
      <c r="Z339" s="22">
        <v>17.875900000000001</v>
      </c>
      <c r="AA339" s="22">
        <v>-1.3806199999999999E-2</v>
      </c>
      <c r="AB339" s="22">
        <v>329</v>
      </c>
      <c r="AC339" s="22">
        <v>0.162689</v>
      </c>
      <c r="AD339">
        <f t="shared" si="64"/>
        <v>17.044691358024689</v>
      </c>
      <c r="AE339">
        <f t="shared" si="65"/>
        <v>2.7854775511111112</v>
      </c>
      <c r="AF339" s="9"/>
      <c r="AG339" s="22">
        <v>1.5567</v>
      </c>
      <c r="AH339" s="22">
        <v>21.735399999999998</v>
      </c>
      <c r="AI339" s="22">
        <v>-1.17859E-2</v>
      </c>
      <c r="AJ339" s="22">
        <v>329</v>
      </c>
      <c r="AK339" s="22">
        <v>1.55579</v>
      </c>
      <c r="AL339">
        <f t="shared" si="66"/>
        <v>14.550493827160492</v>
      </c>
      <c r="AM339">
        <f t="shared" si="67"/>
        <v>22.65075374074074</v>
      </c>
      <c r="AP339" s="9"/>
      <c r="AQ339" s="22">
        <v>0.16342200000000001</v>
      </c>
      <c r="AR339" s="22">
        <v>27.299199999999999</v>
      </c>
      <c r="AS339" s="22">
        <v>-1.38123E-2</v>
      </c>
      <c r="AT339" s="22">
        <v>329</v>
      </c>
      <c r="AU339" s="22">
        <v>0.16272</v>
      </c>
      <c r="AV339">
        <f t="shared" si="68"/>
        <v>17.052222222222223</v>
      </c>
      <c r="AW339">
        <f t="shared" si="69"/>
        <v>2.7867082600000002</v>
      </c>
      <c r="AX339" s="9"/>
      <c r="AY339" s="22">
        <v>1.5567</v>
      </c>
      <c r="AZ339" s="22">
        <v>31.1586</v>
      </c>
      <c r="BA339" s="22">
        <v>-1.19934E-2</v>
      </c>
      <c r="BB339" s="22">
        <v>329</v>
      </c>
      <c r="BC339" s="22">
        <v>1.55518</v>
      </c>
      <c r="BD339">
        <f t="shared" si="70"/>
        <v>14.806666666666667</v>
      </c>
      <c r="BE339">
        <f t="shared" si="71"/>
        <v>23.049537999999998</v>
      </c>
    </row>
    <row r="340" spans="6:57">
      <c r="F340" s="9"/>
      <c r="G340" s="22">
        <v>0.158386</v>
      </c>
      <c r="H340" s="22">
        <v>8.5497499999999995</v>
      </c>
      <c r="I340" s="22">
        <v>-1.37695E-2</v>
      </c>
      <c r="J340" s="22">
        <v>330</v>
      </c>
      <c r="K340" s="22">
        <v>0.157776</v>
      </c>
      <c r="L340">
        <f t="shared" si="60"/>
        <v>16.999382716049382</v>
      </c>
      <c r="M340">
        <f t="shared" si="61"/>
        <v>2.6924642308641973</v>
      </c>
      <c r="N340" s="9"/>
      <c r="O340" s="22">
        <v>1.5617399999999999</v>
      </c>
      <c r="P340" s="22">
        <v>12.4092</v>
      </c>
      <c r="Q340" s="22">
        <v>-1.16913E-2</v>
      </c>
      <c r="R340" s="22">
        <v>330</v>
      </c>
      <c r="S340" s="22">
        <v>1.56036</v>
      </c>
      <c r="T340">
        <f t="shared" si="62"/>
        <v>14.433703703703703</v>
      </c>
      <c r="U340">
        <f t="shared" si="63"/>
        <v>22.541692422222219</v>
      </c>
      <c r="X340" s="9"/>
      <c r="Y340" s="22">
        <v>0.158386</v>
      </c>
      <c r="Z340" s="22">
        <v>17.885999999999999</v>
      </c>
      <c r="AA340" s="22">
        <v>-1.38123E-2</v>
      </c>
      <c r="AB340" s="22">
        <v>330</v>
      </c>
      <c r="AC340" s="22">
        <v>0.157745</v>
      </c>
      <c r="AD340">
        <f t="shared" si="64"/>
        <v>17.052222222222223</v>
      </c>
      <c r="AE340">
        <f t="shared" si="65"/>
        <v>2.7008332688888892</v>
      </c>
      <c r="AF340" s="9"/>
      <c r="AG340" s="22">
        <v>1.5617399999999999</v>
      </c>
      <c r="AH340" s="22">
        <v>21.7455</v>
      </c>
      <c r="AI340" s="22">
        <v>-1.17401E-2</v>
      </c>
      <c r="AJ340" s="22">
        <v>330</v>
      </c>
      <c r="AK340" s="22">
        <v>1.56097</v>
      </c>
      <c r="AL340">
        <f t="shared" si="66"/>
        <v>14.49395061728395</v>
      </c>
      <c r="AM340">
        <f t="shared" si="67"/>
        <v>22.635782437037033</v>
      </c>
      <c r="AP340" s="9"/>
      <c r="AQ340" s="22">
        <v>0.158386</v>
      </c>
      <c r="AR340" s="22">
        <v>27.309200000000001</v>
      </c>
      <c r="AS340" s="22">
        <v>-1.38031E-2</v>
      </c>
      <c r="AT340" s="22">
        <v>330</v>
      </c>
      <c r="AU340" s="22">
        <v>0.157745</v>
      </c>
      <c r="AV340">
        <f t="shared" si="68"/>
        <v>17.040864197530862</v>
      </c>
      <c r="AW340">
        <f t="shared" si="69"/>
        <v>2.6990343167901232</v>
      </c>
      <c r="AX340" s="9"/>
      <c r="AY340" s="22">
        <v>1.5617399999999999</v>
      </c>
      <c r="AZ340" s="22">
        <v>31.168700000000001</v>
      </c>
      <c r="BA340" s="22">
        <v>-1.1938499999999999E-2</v>
      </c>
      <c r="BB340" s="22">
        <v>330</v>
      </c>
      <c r="BC340" s="22">
        <v>1.56128</v>
      </c>
      <c r="BD340">
        <f t="shared" si="70"/>
        <v>14.738888888888887</v>
      </c>
      <c r="BE340">
        <f t="shared" si="71"/>
        <v>23.018312333333331</v>
      </c>
    </row>
    <row r="341" spans="6:57">
      <c r="F341" s="9"/>
      <c r="G341" s="22">
        <v>0.15335099999999999</v>
      </c>
      <c r="H341" s="22">
        <v>8.5598299999999998</v>
      </c>
      <c r="I341" s="22">
        <v>-1.37695E-2</v>
      </c>
      <c r="J341" s="22">
        <v>331</v>
      </c>
      <c r="K341" s="22">
        <v>0.15267900000000001</v>
      </c>
      <c r="L341">
        <f t="shared" si="60"/>
        <v>16.999382716049382</v>
      </c>
      <c r="M341">
        <f t="shared" si="61"/>
        <v>2.6068723388888886</v>
      </c>
      <c r="N341" s="9"/>
      <c r="O341" s="22">
        <v>1.56677</v>
      </c>
      <c r="P341" s="22">
        <v>12.4193</v>
      </c>
      <c r="Q341" s="22">
        <v>-1.16241E-2</v>
      </c>
      <c r="R341" s="22">
        <v>331</v>
      </c>
      <c r="S341" s="22">
        <v>1.56555</v>
      </c>
      <c r="T341">
        <f t="shared" si="62"/>
        <v>14.35074074074074</v>
      </c>
      <c r="U341">
        <f t="shared" si="63"/>
        <v>22.48431007037037</v>
      </c>
      <c r="X341" s="9"/>
      <c r="Y341" s="22">
        <v>0.15335099999999999</v>
      </c>
      <c r="Z341" s="22">
        <v>17.896100000000001</v>
      </c>
      <c r="AA341" s="22">
        <v>-1.3815300000000001E-2</v>
      </c>
      <c r="AB341" s="22">
        <v>331</v>
      </c>
      <c r="AC341" s="22">
        <v>0.15271000000000001</v>
      </c>
      <c r="AD341">
        <f t="shared" si="64"/>
        <v>17.055925925925926</v>
      </c>
      <c r="AE341">
        <f t="shared" si="65"/>
        <v>2.6155432966666665</v>
      </c>
      <c r="AF341" s="9"/>
      <c r="AG341" s="22">
        <v>1.56677</v>
      </c>
      <c r="AH341" s="22">
        <v>21.755600000000001</v>
      </c>
      <c r="AI341" s="22">
        <v>-1.1676000000000001E-2</v>
      </c>
      <c r="AJ341" s="22">
        <v>331</v>
      </c>
      <c r="AK341" s="22">
        <v>1.56555</v>
      </c>
      <c r="AL341">
        <f t="shared" si="66"/>
        <v>14.414814814814815</v>
      </c>
      <c r="AM341">
        <f t="shared" si="67"/>
        <v>22.584699407407406</v>
      </c>
      <c r="AP341" s="9"/>
      <c r="AQ341" s="22">
        <v>0.15335099999999999</v>
      </c>
      <c r="AR341" s="22">
        <v>27.319299999999998</v>
      </c>
      <c r="AS341" s="22">
        <v>-1.3815300000000001E-2</v>
      </c>
      <c r="AT341" s="22">
        <v>331</v>
      </c>
      <c r="AU341" s="22">
        <v>0.15271000000000001</v>
      </c>
      <c r="AV341">
        <f t="shared" si="68"/>
        <v>17.055925925925926</v>
      </c>
      <c r="AW341">
        <f t="shared" si="69"/>
        <v>2.6155432966666665</v>
      </c>
      <c r="AX341" s="9"/>
      <c r="AY341" s="22">
        <v>1.56677</v>
      </c>
      <c r="AZ341" s="22">
        <v>31.178799999999999</v>
      </c>
      <c r="BA341" s="22">
        <v>-1.18805E-2</v>
      </c>
      <c r="BB341" s="22">
        <v>331</v>
      </c>
      <c r="BC341" s="22">
        <v>1.56555</v>
      </c>
      <c r="BD341">
        <f t="shared" si="70"/>
        <v>14.667283950617284</v>
      </c>
      <c r="BE341">
        <f t="shared" si="71"/>
        <v>22.980260475308643</v>
      </c>
    </row>
    <row r="342" spans="6:57">
      <c r="F342" s="9"/>
      <c r="G342" s="22">
        <v>0.148315</v>
      </c>
      <c r="H342" s="22">
        <v>8.5699000000000005</v>
      </c>
      <c r="I342" s="22">
        <v>-1.37695E-2</v>
      </c>
      <c r="J342" s="22">
        <v>332</v>
      </c>
      <c r="K342" s="22">
        <v>0.147614</v>
      </c>
      <c r="L342">
        <f t="shared" si="60"/>
        <v>16.999382716049382</v>
      </c>
      <c r="M342">
        <f t="shared" si="61"/>
        <v>2.5212634475308642</v>
      </c>
      <c r="N342" s="9"/>
      <c r="O342" s="22">
        <v>1.5718099999999999</v>
      </c>
      <c r="P342" s="22">
        <v>12.429399999999999</v>
      </c>
      <c r="Q342" s="22">
        <v>-1.15631E-2</v>
      </c>
      <c r="R342" s="22">
        <v>332</v>
      </c>
      <c r="S342" s="22">
        <v>1.57013</v>
      </c>
      <c r="T342">
        <f t="shared" si="62"/>
        <v>14.275432098765432</v>
      </c>
      <c r="U342">
        <f t="shared" si="63"/>
        <v>22.438266927160491</v>
      </c>
      <c r="X342" s="9"/>
      <c r="Y342" s="22">
        <v>0.148315</v>
      </c>
      <c r="Z342" s="22">
        <v>17.906199999999998</v>
      </c>
      <c r="AA342" s="22">
        <v>-1.38184E-2</v>
      </c>
      <c r="AB342" s="22">
        <v>332</v>
      </c>
      <c r="AC342" s="22">
        <v>0.147644</v>
      </c>
      <c r="AD342">
        <f t="shared" si="64"/>
        <v>17.05975308641975</v>
      </c>
      <c r="AE342">
        <f t="shared" si="65"/>
        <v>2.5302172790123452</v>
      </c>
      <c r="AF342" s="9"/>
      <c r="AG342" s="22">
        <v>1.5718099999999999</v>
      </c>
      <c r="AH342" s="22">
        <v>21.765599999999999</v>
      </c>
      <c r="AI342" s="22">
        <v>-1.1618E-2</v>
      </c>
      <c r="AJ342" s="22">
        <v>332</v>
      </c>
      <c r="AK342" s="22">
        <v>1.57074</v>
      </c>
      <c r="AL342">
        <f t="shared" si="66"/>
        <v>14.343209876543209</v>
      </c>
      <c r="AM342">
        <f t="shared" si="67"/>
        <v>22.54480071604938</v>
      </c>
      <c r="AP342" s="9"/>
      <c r="AQ342" s="22">
        <v>0.148315</v>
      </c>
      <c r="AR342" s="22">
        <v>27.3294</v>
      </c>
      <c r="AS342" s="22">
        <v>-1.3821399999999999E-2</v>
      </c>
      <c r="AT342" s="22">
        <v>332</v>
      </c>
      <c r="AU342" s="22">
        <v>0.147644</v>
      </c>
      <c r="AV342">
        <f t="shared" si="68"/>
        <v>17.063456790123453</v>
      </c>
      <c r="AW342">
        <f t="shared" si="69"/>
        <v>2.5307665938271602</v>
      </c>
      <c r="AX342" s="9"/>
      <c r="AY342" s="22">
        <v>1.5718099999999999</v>
      </c>
      <c r="AZ342" s="22">
        <v>31.1889</v>
      </c>
      <c r="BA342" s="22">
        <v>-1.1831700000000001E-2</v>
      </c>
      <c r="BB342" s="22">
        <v>332</v>
      </c>
      <c r="BC342" s="22">
        <v>1.57104</v>
      </c>
      <c r="BD342">
        <f t="shared" si="70"/>
        <v>14.607037037037037</v>
      </c>
      <c r="BE342">
        <f t="shared" si="71"/>
        <v>22.959486885185182</v>
      </c>
    </row>
    <row r="343" spans="6:57">
      <c r="F343" s="9"/>
      <c r="G343" s="22">
        <v>0.14327999999999999</v>
      </c>
      <c r="H343" s="22">
        <v>8.5799699999999994</v>
      </c>
      <c r="I343" s="22">
        <v>-1.3772599999999999E-2</v>
      </c>
      <c r="J343" s="22">
        <v>333</v>
      </c>
      <c r="K343" s="22">
        <v>0.14263899999999999</v>
      </c>
      <c r="L343">
        <f t="shared" si="60"/>
        <v>17.00320987654321</v>
      </c>
      <c r="M343">
        <f t="shared" si="61"/>
        <v>2.4362199111111109</v>
      </c>
      <c r="N343" s="9"/>
      <c r="O343" s="22">
        <v>1.57684</v>
      </c>
      <c r="P343" s="22">
        <v>12.439399999999999</v>
      </c>
      <c r="Q343" s="22">
        <v>-1.1538700000000001E-2</v>
      </c>
      <c r="R343" s="22">
        <v>333</v>
      </c>
      <c r="S343" s="22">
        <v>1.5759300000000001</v>
      </c>
      <c r="T343">
        <f t="shared" si="62"/>
        <v>14.245308641975308</v>
      </c>
      <c r="U343">
        <f t="shared" si="63"/>
        <v>22.462572479012344</v>
      </c>
      <c r="X343" s="9"/>
      <c r="Y343" s="22">
        <v>0.14327999999999999</v>
      </c>
      <c r="Z343" s="22">
        <v>17.9162</v>
      </c>
      <c r="AA343" s="22">
        <v>-1.38245E-2</v>
      </c>
      <c r="AB343" s="22">
        <v>333</v>
      </c>
      <c r="AC343" s="22">
        <v>0.14263899999999999</v>
      </c>
      <c r="AD343">
        <f t="shared" si="64"/>
        <v>17.067283950617281</v>
      </c>
      <c r="AE343">
        <f t="shared" si="65"/>
        <v>2.4454004444444437</v>
      </c>
      <c r="AF343" s="9"/>
      <c r="AG343" s="22">
        <v>1.57684</v>
      </c>
      <c r="AH343" s="22">
        <v>21.775700000000001</v>
      </c>
      <c r="AI343" s="22">
        <v>-1.1544799999999999E-2</v>
      </c>
      <c r="AJ343" s="22">
        <v>333</v>
      </c>
      <c r="AK343" s="22">
        <v>1.57623</v>
      </c>
      <c r="AL343">
        <f t="shared" si="66"/>
        <v>14.252839506172839</v>
      </c>
      <c r="AM343">
        <f t="shared" si="67"/>
        <v>22.47444744691358</v>
      </c>
      <c r="AP343" s="9"/>
      <c r="AQ343" s="22">
        <v>0.14327999999999999</v>
      </c>
      <c r="AR343" s="22">
        <v>27.339500000000001</v>
      </c>
      <c r="AS343" s="22">
        <v>-1.38306E-2</v>
      </c>
      <c r="AT343" s="22">
        <v>333</v>
      </c>
      <c r="AU343" s="22">
        <v>0.14263899999999999</v>
      </c>
      <c r="AV343">
        <f t="shared" si="68"/>
        <v>17.074814814814815</v>
      </c>
      <c r="AW343">
        <f t="shared" si="69"/>
        <v>2.4464794666666663</v>
      </c>
      <c r="AX343" s="9"/>
      <c r="AY343" s="22">
        <v>1.57684</v>
      </c>
      <c r="AZ343" s="22">
        <v>31.198899999999998</v>
      </c>
      <c r="BA343" s="22">
        <v>-1.1761499999999999E-2</v>
      </c>
      <c r="BB343" s="22">
        <v>333</v>
      </c>
      <c r="BC343" s="22">
        <v>1.57562</v>
      </c>
      <c r="BD343">
        <f t="shared" si="70"/>
        <v>14.520370370370369</v>
      </c>
      <c r="BE343">
        <f t="shared" si="71"/>
        <v>22.896300814814811</v>
      </c>
    </row>
    <row r="344" spans="6:57">
      <c r="F344" s="9"/>
      <c r="G344" s="22">
        <v>0.13824500000000001</v>
      </c>
      <c r="H344" s="22">
        <v>8.5900400000000001</v>
      </c>
      <c r="I344" s="22">
        <v>-1.37787E-2</v>
      </c>
      <c r="J344" s="22">
        <v>334</v>
      </c>
      <c r="K344" s="22">
        <v>0.13766500000000001</v>
      </c>
      <c r="L344">
        <f t="shared" si="60"/>
        <v>17.01074074074074</v>
      </c>
      <c r="M344">
        <f t="shared" si="61"/>
        <v>2.3516498537037038</v>
      </c>
      <c r="N344" s="9"/>
      <c r="O344" s="22">
        <v>1.58188</v>
      </c>
      <c r="P344" s="22">
        <v>12.4495</v>
      </c>
      <c r="Q344" s="22">
        <v>-1.1495999999999999E-2</v>
      </c>
      <c r="R344" s="22">
        <v>334</v>
      </c>
      <c r="S344" s="22">
        <v>1.5811200000000001</v>
      </c>
      <c r="T344">
        <f t="shared" si="62"/>
        <v>14.19259259259259</v>
      </c>
      <c r="U344">
        <f t="shared" si="63"/>
        <v>22.450978370370365</v>
      </c>
      <c r="X344" s="9"/>
      <c r="Y344" s="22">
        <v>0.13824500000000001</v>
      </c>
      <c r="Z344" s="22">
        <v>17.926300000000001</v>
      </c>
      <c r="AA344" s="22">
        <v>-1.38275E-2</v>
      </c>
      <c r="AB344" s="22">
        <v>334</v>
      </c>
      <c r="AC344" s="22">
        <v>0.137604</v>
      </c>
      <c r="AD344">
        <f t="shared" si="64"/>
        <v>17.070987654320987</v>
      </c>
      <c r="AE344">
        <f t="shared" si="65"/>
        <v>2.359978688271605</v>
      </c>
      <c r="AF344" s="9"/>
      <c r="AG344" s="22">
        <v>1.58188</v>
      </c>
      <c r="AH344" s="22">
        <v>21.785799999999998</v>
      </c>
      <c r="AI344" s="22">
        <v>-1.1483800000000001E-2</v>
      </c>
      <c r="AJ344" s="22">
        <v>334</v>
      </c>
      <c r="AK344" s="22">
        <v>1.5805100000000001</v>
      </c>
      <c r="AL344">
        <f t="shared" si="66"/>
        <v>14.17753086419753</v>
      </c>
      <c r="AM344">
        <f t="shared" si="67"/>
        <v>22.42715252345679</v>
      </c>
      <c r="AP344" s="9"/>
      <c r="AQ344" s="22">
        <v>0.13824500000000001</v>
      </c>
      <c r="AR344" s="22">
        <v>27.349499999999999</v>
      </c>
      <c r="AS344" s="22">
        <v>-1.38397E-2</v>
      </c>
      <c r="AT344" s="22">
        <v>334</v>
      </c>
      <c r="AU344" s="22">
        <v>0.13766500000000001</v>
      </c>
      <c r="AV344">
        <f t="shared" si="68"/>
        <v>17.086049382716048</v>
      </c>
      <c r="AW344">
        <f t="shared" si="69"/>
        <v>2.3620608969135803</v>
      </c>
      <c r="AX344" s="9"/>
      <c r="AY344" s="22">
        <v>1.58188</v>
      </c>
      <c r="AZ344" s="22">
        <v>31.209</v>
      </c>
      <c r="BA344" s="22">
        <v>-1.1688199999999999E-2</v>
      </c>
      <c r="BB344" s="22">
        <v>334</v>
      </c>
      <c r="BC344" s="22">
        <v>1.5811200000000001</v>
      </c>
      <c r="BD344">
        <f t="shared" si="70"/>
        <v>14.429876543209874</v>
      </c>
      <c r="BE344">
        <f t="shared" si="71"/>
        <v>22.826333106172836</v>
      </c>
    </row>
    <row r="345" spans="6:57">
      <c r="F345" s="9"/>
      <c r="G345" s="22">
        <v>0.13320899999999999</v>
      </c>
      <c r="H345" s="22">
        <v>8.6001100000000008</v>
      </c>
      <c r="I345" s="22">
        <v>-1.37909E-2</v>
      </c>
      <c r="J345" s="22">
        <v>335</v>
      </c>
      <c r="K345" s="22">
        <v>0.13256799999999999</v>
      </c>
      <c r="L345">
        <f t="shared" si="60"/>
        <v>17.025802469135801</v>
      </c>
      <c r="M345">
        <f t="shared" si="61"/>
        <v>2.2679901211111106</v>
      </c>
      <c r="N345" s="9"/>
      <c r="O345" s="22">
        <v>1.58691</v>
      </c>
      <c r="P345" s="22">
        <v>12.4596</v>
      </c>
      <c r="Q345" s="22">
        <v>-1.14319E-2</v>
      </c>
      <c r="R345" s="22">
        <v>335</v>
      </c>
      <c r="S345" s="22">
        <v>1.58508</v>
      </c>
      <c r="T345">
        <f t="shared" si="62"/>
        <v>14.113456790123456</v>
      </c>
      <c r="U345">
        <f t="shared" si="63"/>
        <v>22.396785714814815</v>
      </c>
      <c r="X345" s="9"/>
      <c r="Y345" s="22">
        <v>0.13320899999999999</v>
      </c>
      <c r="Z345" s="22">
        <v>17.936399999999999</v>
      </c>
      <c r="AA345" s="22">
        <v>-1.38275E-2</v>
      </c>
      <c r="AB345" s="22">
        <v>335</v>
      </c>
      <c r="AC345" s="22">
        <v>0.13259899999999999</v>
      </c>
      <c r="AD345">
        <f t="shared" si="64"/>
        <v>17.070987654320987</v>
      </c>
      <c r="AE345">
        <f t="shared" si="65"/>
        <v>2.2740091944444445</v>
      </c>
      <c r="AF345" s="9"/>
      <c r="AG345" s="22">
        <v>1.58691</v>
      </c>
      <c r="AH345" s="22">
        <v>21.7958</v>
      </c>
      <c r="AI345" s="22">
        <v>-1.1407499999999999E-2</v>
      </c>
      <c r="AJ345" s="22">
        <v>335</v>
      </c>
      <c r="AK345" s="22">
        <v>1.5860000000000001</v>
      </c>
      <c r="AL345">
        <f t="shared" si="66"/>
        <v>14.083333333333332</v>
      </c>
      <c r="AM345">
        <f t="shared" si="67"/>
        <v>22.348982499999998</v>
      </c>
      <c r="AP345" s="9"/>
      <c r="AQ345" s="22">
        <v>0.13320899999999999</v>
      </c>
      <c r="AR345" s="22">
        <v>27.3596</v>
      </c>
      <c r="AS345" s="22">
        <v>-1.38458E-2</v>
      </c>
      <c r="AT345" s="22">
        <v>335</v>
      </c>
      <c r="AU345" s="22">
        <v>0.13259899999999999</v>
      </c>
      <c r="AV345">
        <f t="shared" si="68"/>
        <v>17.093580246913579</v>
      </c>
      <c r="AW345">
        <f t="shared" si="69"/>
        <v>2.2770187311111107</v>
      </c>
      <c r="AX345" s="9"/>
      <c r="AY345" s="22">
        <v>1.58691</v>
      </c>
      <c r="AZ345" s="22">
        <v>31.219100000000001</v>
      </c>
      <c r="BA345" s="22">
        <v>-1.1618E-2</v>
      </c>
      <c r="BB345" s="22">
        <v>335</v>
      </c>
      <c r="BC345" s="22">
        <v>1.58569</v>
      </c>
      <c r="BD345">
        <f t="shared" si="70"/>
        <v>14.343209876543209</v>
      </c>
      <c r="BE345">
        <f t="shared" si="71"/>
        <v>22.761383185185185</v>
      </c>
    </row>
    <row r="346" spans="6:57">
      <c r="F346" s="9"/>
      <c r="G346" s="22">
        <v>0.12817400000000001</v>
      </c>
      <c r="H346" s="22">
        <v>8.6101799999999997</v>
      </c>
      <c r="I346" s="22">
        <v>-1.3797E-2</v>
      </c>
      <c r="J346" s="22">
        <v>336</v>
      </c>
      <c r="K346" s="22">
        <v>0.12753300000000001</v>
      </c>
      <c r="L346">
        <f t="shared" si="60"/>
        <v>17.033333333333331</v>
      </c>
      <c r="M346">
        <f t="shared" si="61"/>
        <v>2.1832304666666666</v>
      </c>
      <c r="N346" s="9"/>
      <c r="O346" s="22">
        <v>1.59195</v>
      </c>
      <c r="P346" s="22">
        <v>12.4697</v>
      </c>
      <c r="Q346" s="22">
        <v>-1.13586E-2</v>
      </c>
      <c r="R346" s="22">
        <v>336</v>
      </c>
      <c r="S346" s="22">
        <v>1.5908800000000001</v>
      </c>
      <c r="T346">
        <f t="shared" si="62"/>
        <v>14.022962962962962</v>
      </c>
      <c r="U346">
        <f t="shared" si="63"/>
        <v>22.323855888888886</v>
      </c>
      <c r="X346" s="9"/>
      <c r="Y346" s="22">
        <v>0.12817400000000001</v>
      </c>
      <c r="Z346" s="22">
        <v>17.946400000000001</v>
      </c>
      <c r="AA346" s="22">
        <v>-1.38306E-2</v>
      </c>
      <c r="AB346" s="22">
        <v>336</v>
      </c>
      <c r="AC346" s="22">
        <v>0.12753300000000001</v>
      </c>
      <c r="AD346">
        <f t="shared" si="64"/>
        <v>17.074814814814815</v>
      </c>
      <c r="AE346">
        <f t="shared" si="65"/>
        <v>2.1885473140740741</v>
      </c>
      <c r="AF346" s="9"/>
      <c r="AG346" s="22">
        <v>1.59195</v>
      </c>
      <c r="AH346" s="22">
        <v>21.805900000000001</v>
      </c>
      <c r="AI346" s="22">
        <v>-1.1340299999999999E-2</v>
      </c>
      <c r="AJ346" s="22">
        <v>336</v>
      </c>
      <c r="AK346" s="22">
        <v>1.5905800000000001</v>
      </c>
      <c r="AL346">
        <f t="shared" si="66"/>
        <v>14.000370370370367</v>
      </c>
      <c r="AM346">
        <f t="shared" si="67"/>
        <v>22.287889611111105</v>
      </c>
      <c r="AP346" s="9"/>
      <c r="AQ346" s="22">
        <v>0.12817400000000001</v>
      </c>
      <c r="AR346" s="22">
        <v>27.369700000000002</v>
      </c>
      <c r="AS346" s="22">
        <v>-1.3854999999999999E-2</v>
      </c>
      <c r="AT346" s="22">
        <v>336</v>
      </c>
      <c r="AU346" s="22">
        <v>0.12753300000000001</v>
      </c>
      <c r="AV346">
        <f t="shared" si="68"/>
        <v>17.104938271604937</v>
      </c>
      <c r="AW346">
        <f t="shared" si="69"/>
        <v>2.1924083580246911</v>
      </c>
      <c r="AX346" s="9"/>
      <c r="AY346" s="22">
        <v>1.59195</v>
      </c>
      <c r="AZ346" s="22">
        <v>31.229099999999999</v>
      </c>
      <c r="BA346" s="22">
        <v>-1.15356E-2</v>
      </c>
      <c r="BB346" s="22">
        <v>336</v>
      </c>
      <c r="BC346" s="22">
        <v>1.5911900000000001</v>
      </c>
      <c r="BD346">
        <f t="shared" si="70"/>
        <v>14.241481481481481</v>
      </c>
      <c r="BE346">
        <f t="shared" si="71"/>
        <v>22.671726444444442</v>
      </c>
    </row>
    <row r="347" spans="6:57">
      <c r="F347" s="9"/>
      <c r="G347" s="22">
        <v>0.123138</v>
      </c>
      <c r="H347" s="22">
        <v>8.6202500000000004</v>
      </c>
      <c r="I347" s="22">
        <v>-1.38E-2</v>
      </c>
      <c r="J347" s="22">
        <v>337</v>
      </c>
      <c r="K347" s="22">
        <v>0.122498</v>
      </c>
      <c r="L347">
        <f t="shared" si="60"/>
        <v>17.037037037037035</v>
      </c>
      <c r="M347">
        <f t="shared" si="61"/>
        <v>2.0979066666666664</v>
      </c>
      <c r="N347" s="9"/>
      <c r="O347" s="22">
        <v>1.5969800000000001</v>
      </c>
      <c r="P347" s="22">
        <v>12.479699999999999</v>
      </c>
      <c r="Q347" s="22">
        <v>-1.1291499999999999E-2</v>
      </c>
      <c r="R347" s="22">
        <v>337</v>
      </c>
      <c r="S347" s="22">
        <v>1.5963700000000001</v>
      </c>
      <c r="T347">
        <f t="shared" si="62"/>
        <v>13.940123456790122</v>
      </c>
      <c r="U347">
        <f t="shared" si="63"/>
        <v>22.262098358024691</v>
      </c>
      <c r="X347" s="9"/>
      <c r="Y347" s="22">
        <v>0.123138</v>
      </c>
      <c r="Z347" s="22">
        <v>17.956499999999998</v>
      </c>
      <c r="AA347" s="22">
        <v>-1.38336E-2</v>
      </c>
      <c r="AB347" s="22">
        <v>337</v>
      </c>
      <c r="AC347" s="22">
        <v>0.122498</v>
      </c>
      <c r="AD347">
        <f t="shared" si="64"/>
        <v>17.078518518518518</v>
      </c>
      <c r="AE347">
        <f t="shared" si="65"/>
        <v>2.1030146133333334</v>
      </c>
      <c r="AF347" s="9"/>
      <c r="AG347" s="22">
        <v>1.5969800000000001</v>
      </c>
      <c r="AH347" s="22">
        <v>21.815999999999999</v>
      </c>
      <c r="AI347" s="22">
        <v>-1.1285399999999999E-2</v>
      </c>
      <c r="AJ347" s="22">
        <v>337</v>
      </c>
      <c r="AK347" s="22">
        <v>1.5957600000000001</v>
      </c>
      <c r="AL347">
        <f t="shared" si="66"/>
        <v>13.93259259259259</v>
      </c>
      <c r="AM347">
        <f t="shared" si="67"/>
        <v>22.250071718518516</v>
      </c>
      <c r="AP347" s="9"/>
      <c r="AQ347" s="22">
        <v>0.123138</v>
      </c>
      <c r="AR347" s="22">
        <v>27.3797</v>
      </c>
      <c r="AS347" s="22">
        <v>-1.3864100000000001E-2</v>
      </c>
      <c r="AT347" s="22">
        <v>337</v>
      </c>
      <c r="AU347" s="22">
        <v>0.122498</v>
      </c>
      <c r="AV347">
        <f t="shared" si="68"/>
        <v>17.11617283950617</v>
      </c>
      <c r="AW347">
        <f t="shared" si="69"/>
        <v>2.1076512911111109</v>
      </c>
      <c r="AX347" s="9"/>
      <c r="AY347" s="22">
        <v>1.5969800000000001</v>
      </c>
      <c r="AZ347" s="22">
        <v>31.2392</v>
      </c>
      <c r="BA347" s="22">
        <v>-1.1462399999999999E-2</v>
      </c>
      <c r="BB347" s="22">
        <v>337</v>
      </c>
      <c r="BC347" s="22">
        <v>1.5957600000000001</v>
      </c>
      <c r="BD347">
        <f t="shared" si="70"/>
        <v>14.15111111111111</v>
      </c>
      <c r="BE347">
        <f t="shared" si="71"/>
        <v>22.599041422222221</v>
      </c>
    </row>
    <row r="348" spans="6:57">
      <c r="F348" s="9"/>
      <c r="G348" s="22">
        <v>0.118103</v>
      </c>
      <c r="H348" s="22">
        <v>8.6303199999999993</v>
      </c>
      <c r="I348" s="22">
        <v>-1.3806199999999999E-2</v>
      </c>
      <c r="J348" s="22">
        <v>338</v>
      </c>
      <c r="K348" s="22">
        <v>0.117523</v>
      </c>
      <c r="L348">
        <f t="shared" si="60"/>
        <v>17.044691358024689</v>
      </c>
      <c r="M348">
        <f t="shared" si="61"/>
        <v>2.0130291834567897</v>
      </c>
      <c r="N348" s="9"/>
      <c r="O348" s="22">
        <v>1.60202</v>
      </c>
      <c r="P348" s="22">
        <v>12.489800000000001</v>
      </c>
      <c r="Q348" s="22">
        <v>-1.1196899999999999E-2</v>
      </c>
      <c r="R348" s="22">
        <v>338</v>
      </c>
      <c r="S348" s="22">
        <v>1.6006499999999999</v>
      </c>
      <c r="T348">
        <f t="shared" si="62"/>
        <v>13.823333333333332</v>
      </c>
      <c r="U348">
        <f t="shared" si="63"/>
        <v>22.145256466666666</v>
      </c>
      <c r="X348" s="9"/>
      <c r="Y348" s="22">
        <v>0.118103</v>
      </c>
      <c r="Z348" s="22">
        <v>17.9666</v>
      </c>
      <c r="AA348" s="22">
        <v>-1.38306E-2</v>
      </c>
      <c r="AB348" s="22">
        <v>338</v>
      </c>
      <c r="AC348" s="22">
        <v>0.117493</v>
      </c>
      <c r="AD348">
        <f t="shared" si="64"/>
        <v>17.074814814814815</v>
      </c>
      <c r="AE348">
        <f t="shared" si="65"/>
        <v>2.0165868540740739</v>
      </c>
      <c r="AF348" s="9"/>
      <c r="AG348" s="22">
        <v>1.60202</v>
      </c>
      <c r="AH348" s="22">
        <v>21.8261</v>
      </c>
      <c r="AI348" s="22">
        <v>-1.12E-2</v>
      </c>
      <c r="AJ348" s="22">
        <v>338</v>
      </c>
      <c r="AK348" s="22">
        <v>1.6012599999999999</v>
      </c>
      <c r="AL348">
        <f t="shared" si="66"/>
        <v>13.82716049382716</v>
      </c>
      <c r="AM348">
        <f t="shared" si="67"/>
        <v>22.151387654320985</v>
      </c>
      <c r="AP348" s="9"/>
      <c r="AQ348" s="22">
        <v>0.118103</v>
      </c>
      <c r="AR348" s="22">
        <v>27.389800000000001</v>
      </c>
      <c r="AS348" s="22">
        <v>-1.3876299999999999E-2</v>
      </c>
      <c r="AT348" s="22">
        <v>338</v>
      </c>
      <c r="AU348" s="22">
        <v>0.11740100000000001</v>
      </c>
      <c r="AV348">
        <f t="shared" si="68"/>
        <v>17.131234567901231</v>
      </c>
      <c r="AW348">
        <f t="shared" si="69"/>
        <v>2.0232501961728393</v>
      </c>
      <c r="AX348" s="9"/>
      <c r="AY348" s="22">
        <v>1.60202</v>
      </c>
      <c r="AZ348" s="22">
        <v>31.249300000000002</v>
      </c>
      <c r="BA348" s="22">
        <v>-1.1395300000000001E-2</v>
      </c>
      <c r="BB348" s="22">
        <v>338</v>
      </c>
      <c r="BC348" s="22">
        <v>1.6012599999999999</v>
      </c>
      <c r="BD348">
        <f t="shared" si="70"/>
        <v>14.068271604938271</v>
      </c>
      <c r="BE348">
        <f t="shared" si="71"/>
        <v>22.537652476543208</v>
      </c>
    </row>
    <row r="349" spans="6:57">
      <c r="F349" s="9"/>
      <c r="G349" s="22">
        <v>0.113068</v>
      </c>
      <c r="H349" s="22">
        <v>8.64039</v>
      </c>
      <c r="I349" s="22">
        <v>-1.3809200000000001E-2</v>
      </c>
      <c r="J349" s="22">
        <v>339</v>
      </c>
      <c r="K349" s="22">
        <v>0.112396</v>
      </c>
      <c r="L349">
        <f t="shared" si="60"/>
        <v>17.048395061728392</v>
      </c>
      <c r="M349">
        <f t="shared" si="61"/>
        <v>1.9276279328395058</v>
      </c>
      <c r="N349" s="9"/>
      <c r="O349" s="22">
        <v>1.6070599999999999</v>
      </c>
      <c r="P349" s="22">
        <v>12.4999</v>
      </c>
      <c r="Q349" s="22">
        <v>-1.11206E-2</v>
      </c>
      <c r="R349" s="22">
        <v>339</v>
      </c>
      <c r="S349" s="22">
        <v>1.6061399999999999</v>
      </c>
      <c r="T349">
        <f t="shared" si="62"/>
        <v>13.729135802469134</v>
      </c>
      <c r="U349">
        <f t="shared" si="63"/>
        <v>22.063544982716046</v>
      </c>
      <c r="X349" s="9"/>
      <c r="Y349" s="22">
        <v>0.113068</v>
      </c>
      <c r="Z349" s="22">
        <v>17.976600000000001</v>
      </c>
      <c r="AA349" s="22">
        <v>-1.3821399999999999E-2</v>
      </c>
      <c r="AB349" s="22">
        <v>339</v>
      </c>
      <c r="AC349" s="22">
        <v>0.112427</v>
      </c>
      <c r="AD349">
        <f t="shared" si="64"/>
        <v>17.063456790123453</v>
      </c>
      <c r="AE349">
        <f t="shared" si="65"/>
        <v>1.9293309323456787</v>
      </c>
      <c r="AF349" s="9"/>
      <c r="AG349" s="22">
        <v>1.6070599999999999</v>
      </c>
      <c r="AH349" s="22">
        <v>21.836099999999998</v>
      </c>
      <c r="AI349" s="22">
        <v>-1.1114499999999999E-2</v>
      </c>
      <c r="AJ349" s="22">
        <v>339</v>
      </c>
      <c r="AK349" s="22">
        <v>1.6058300000000001</v>
      </c>
      <c r="AL349">
        <f t="shared" si="66"/>
        <v>13.721604938271604</v>
      </c>
      <c r="AM349">
        <f t="shared" si="67"/>
        <v>22.051442432098764</v>
      </c>
      <c r="AP349" s="9"/>
      <c r="AQ349" s="22">
        <v>0.113068</v>
      </c>
      <c r="AR349" s="22">
        <v>27.399899999999999</v>
      </c>
      <c r="AS349" s="22">
        <v>-1.38855E-2</v>
      </c>
      <c r="AT349" s="22">
        <v>339</v>
      </c>
      <c r="AU349" s="22">
        <v>0.112396</v>
      </c>
      <c r="AV349">
        <f t="shared" si="68"/>
        <v>17.142592592592592</v>
      </c>
      <c r="AW349">
        <f t="shared" si="69"/>
        <v>1.9382786592592594</v>
      </c>
      <c r="AX349" s="9"/>
      <c r="AY349" s="22">
        <v>1.6070599999999999</v>
      </c>
      <c r="AZ349" s="22">
        <v>31.259399999999999</v>
      </c>
      <c r="BA349" s="22">
        <v>-1.1312900000000001E-2</v>
      </c>
      <c r="BB349" s="22">
        <v>339</v>
      </c>
      <c r="BC349" s="22">
        <v>1.6061399999999999</v>
      </c>
      <c r="BD349">
        <f t="shared" si="70"/>
        <v>13.966543209876543</v>
      </c>
      <c r="BE349">
        <f t="shared" si="71"/>
        <v>22.445072930864196</v>
      </c>
    </row>
    <row r="350" spans="6:57">
      <c r="F350" s="9"/>
      <c r="G350" s="22">
        <v>0.108032</v>
      </c>
      <c r="H350" s="22">
        <v>8.6504600000000007</v>
      </c>
      <c r="I350" s="22">
        <v>-1.3809200000000001E-2</v>
      </c>
      <c r="J350" s="22">
        <v>340</v>
      </c>
      <c r="K350" s="22">
        <v>0.107422</v>
      </c>
      <c r="L350">
        <f t="shared" si="60"/>
        <v>17.048395061728392</v>
      </c>
      <c r="M350">
        <f t="shared" si="61"/>
        <v>1.8417722153086418</v>
      </c>
      <c r="N350" s="9"/>
      <c r="O350" s="22">
        <v>1.61209</v>
      </c>
      <c r="P350" s="22">
        <v>12.5099</v>
      </c>
      <c r="Q350" s="22">
        <v>-1.10413E-2</v>
      </c>
      <c r="R350" s="22">
        <v>340</v>
      </c>
      <c r="S350" s="22">
        <v>1.6107199999999999</v>
      </c>
      <c r="T350">
        <f t="shared" si="62"/>
        <v>13.631234567901235</v>
      </c>
      <c r="U350">
        <f t="shared" si="63"/>
        <v>21.974776934567902</v>
      </c>
      <c r="X350" s="9"/>
      <c r="Y350" s="22">
        <v>0.108032</v>
      </c>
      <c r="Z350" s="22">
        <v>17.986699999999999</v>
      </c>
      <c r="AA350" s="22">
        <v>-1.38184E-2</v>
      </c>
      <c r="AB350" s="22">
        <v>340</v>
      </c>
      <c r="AC350" s="22">
        <v>0.107391</v>
      </c>
      <c r="AD350">
        <f t="shared" si="64"/>
        <v>17.05975308641975</v>
      </c>
      <c r="AE350">
        <f t="shared" si="65"/>
        <v>1.8429992454320985</v>
      </c>
      <c r="AF350" s="9"/>
      <c r="AG350" s="22">
        <v>1.61209</v>
      </c>
      <c r="AH350" s="22">
        <v>21.8462</v>
      </c>
      <c r="AI350" s="22">
        <v>-1.10321E-2</v>
      </c>
      <c r="AJ350" s="22">
        <v>340</v>
      </c>
      <c r="AK350" s="22">
        <v>1.6110199999999999</v>
      </c>
      <c r="AL350">
        <f t="shared" si="66"/>
        <v>13.619876543209877</v>
      </c>
      <c r="AM350">
        <f t="shared" si="67"/>
        <v>21.956466776543209</v>
      </c>
      <c r="AP350" s="9"/>
      <c r="AQ350" s="22">
        <v>0.108032</v>
      </c>
      <c r="AR350" s="22">
        <v>27.41</v>
      </c>
      <c r="AS350" s="22">
        <v>-1.38916E-2</v>
      </c>
      <c r="AT350" s="22">
        <v>340</v>
      </c>
      <c r="AU350" s="22">
        <v>0.107391</v>
      </c>
      <c r="AV350">
        <f t="shared" si="68"/>
        <v>17.150123456790123</v>
      </c>
      <c r="AW350">
        <f t="shared" si="69"/>
        <v>1.8527621372839507</v>
      </c>
      <c r="AX350" s="9"/>
      <c r="AY350" s="22">
        <v>1.61209</v>
      </c>
      <c r="AZ350" s="22">
        <v>31.269400000000001</v>
      </c>
      <c r="BA350" s="22">
        <v>-1.1224400000000001E-2</v>
      </c>
      <c r="BB350" s="22">
        <v>340</v>
      </c>
      <c r="BC350" s="22">
        <v>1.6110199999999999</v>
      </c>
      <c r="BD350">
        <f t="shared" si="70"/>
        <v>13.857283950617285</v>
      </c>
      <c r="BE350">
        <f t="shared" si="71"/>
        <v>22.339188883950619</v>
      </c>
    </row>
    <row r="351" spans="6:57">
      <c r="F351" s="9"/>
      <c r="G351" s="22">
        <v>0.10299700000000001</v>
      </c>
      <c r="H351" s="22">
        <v>8.6605399999999992</v>
      </c>
      <c r="I351" s="22">
        <v>-1.3809200000000001E-2</v>
      </c>
      <c r="J351" s="22">
        <v>341</v>
      </c>
      <c r="K351" s="22">
        <v>0.102356</v>
      </c>
      <c r="L351">
        <f t="shared" si="60"/>
        <v>17.048395061728392</v>
      </c>
      <c r="M351">
        <f t="shared" si="61"/>
        <v>1.7559335461728394</v>
      </c>
      <c r="N351" s="9"/>
      <c r="O351" s="22">
        <v>1.61713</v>
      </c>
      <c r="P351" s="22">
        <v>12.52</v>
      </c>
      <c r="Q351" s="22">
        <v>-1.09619E-2</v>
      </c>
      <c r="R351" s="22">
        <v>341</v>
      </c>
      <c r="S351" s="22">
        <v>1.6162099999999999</v>
      </c>
      <c r="T351">
        <f t="shared" si="62"/>
        <v>13.533209876543209</v>
      </c>
      <c r="U351">
        <f t="shared" si="63"/>
        <v>21.88495968765432</v>
      </c>
      <c r="X351" s="9"/>
      <c r="Y351" s="22">
        <v>0.10299700000000001</v>
      </c>
      <c r="Z351" s="22">
        <v>17.9968</v>
      </c>
      <c r="AA351" s="22">
        <v>-1.3821399999999999E-2</v>
      </c>
      <c r="AB351" s="22">
        <v>341</v>
      </c>
      <c r="AC351" s="22">
        <v>0.102356</v>
      </c>
      <c r="AD351">
        <f t="shared" si="64"/>
        <v>17.063456790123453</v>
      </c>
      <c r="AE351">
        <f t="shared" si="65"/>
        <v>1.7574848590123453</v>
      </c>
      <c r="AF351" s="9"/>
      <c r="AG351" s="22">
        <v>1.61713</v>
      </c>
      <c r="AH351" s="22">
        <v>21.856300000000001</v>
      </c>
      <c r="AI351" s="22">
        <v>-1.091E-2</v>
      </c>
      <c r="AJ351" s="22">
        <v>341</v>
      </c>
      <c r="AK351" s="22">
        <v>1.6162099999999999</v>
      </c>
      <c r="AL351">
        <f t="shared" si="66"/>
        <v>13.469135802469134</v>
      </c>
      <c r="AM351">
        <f t="shared" si="67"/>
        <v>21.781343580246912</v>
      </c>
      <c r="AP351" s="9"/>
      <c r="AQ351" s="22">
        <v>0.10299700000000001</v>
      </c>
      <c r="AR351" s="22">
        <v>27.42</v>
      </c>
      <c r="AS351" s="22">
        <v>-1.39008E-2</v>
      </c>
      <c r="AT351" s="22">
        <v>341</v>
      </c>
      <c r="AU351" s="22">
        <v>0.102325</v>
      </c>
      <c r="AV351">
        <f t="shared" si="68"/>
        <v>17.161481481481481</v>
      </c>
      <c r="AW351">
        <f t="shared" si="69"/>
        <v>1.7675811081481481</v>
      </c>
      <c r="AX351" s="9"/>
      <c r="AY351" s="22">
        <v>1.61713</v>
      </c>
      <c r="AZ351" s="22">
        <v>31.279499999999999</v>
      </c>
      <c r="BA351" s="22">
        <v>-1.11237E-2</v>
      </c>
      <c r="BB351" s="22">
        <v>341</v>
      </c>
      <c r="BC351" s="22">
        <v>1.6162099999999999</v>
      </c>
      <c r="BD351">
        <f t="shared" si="70"/>
        <v>13.732962962962963</v>
      </c>
      <c r="BE351">
        <f t="shared" si="71"/>
        <v>22.207986396296295</v>
      </c>
    </row>
    <row r="352" spans="6:57">
      <c r="F352" s="9"/>
      <c r="G352" s="22">
        <v>9.7961400000000004E-2</v>
      </c>
      <c r="H352" s="22">
        <v>8.6706099999999999</v>
      </c>
      <c r="I352" s="22">
        <v>-1.38184E-2</v>
      </c>
      <c r="J352" s="22">
        <v>342</v>
      </c>
      <c r="K352" s="22">
        <v>9.7351099999999996E-2</v>
      </c>
      <c r="L352">
        <f t="shared" si="60"/>
        <v>17.05975308641975</v>
      </c>
      <c r="M352">
        <f t="shared" si="61"/>
        <v>1.6711972959999999</v>
      </c>
      <c r="N352" s="9"/>
      <c r="O352" s="22">
        <v>1.62216</v>
      </c>
      <c r="P352" s="22">
        <v>12.530099999999999</v>
      </c>
      <c r="Q352" s="22">
        <v>-1.08673E-2</v>
      </c>
      <c r="R352" s="22">
        <v>342</v>
      </c>
      <c r="S352" s="22">
        <v>1.62079</v>
      </c>
      <c r="T352">
        <f t="shared" si="62"/>
        <v>13.416419753086419</v>
      </c>
      <c r="U352">
        <f t="shared" si="63"/>
        <v>21.763579466666666</v>
      </c>
      <c r="X352" s="9"/>
      <c r="Y352" s="22">
        <v>9.7961400000000004E-2</v>
      </c>
      <c r="Z352" s="22">
        <v>18.006900000000002</v>
      </c>
      <c r="AA352" s="22">
        <v>-1.38184E-2</v>
      </c>
      <c r="AB352" s="22">
        <v>342</v>
      </c>
      <c r="AC352" s="22">
        <v>9.7351099999999996E-2</v>
      </c>
      <c r="AD352">
        <f t="shared" si="64"/>
        <v>17.05975308641975</v>
      </c>
      <c r="AE352">
        <f t="shared" si="65"/>
        <v>1.6711972959999999</v>
      </c>
      <c r="AF352" s="9"/>
      <c r="AG352" s="22">
        <v>1.62216</v>
      </c>
      <c r="AH352" s="22">
        <v>21.866299999999999</v>
      </c>
      <c r="AI352" s="22">
        <v>-1.08246E-2</v>
      </c>
      <c r="AJ352" s="22">
        <v>342</v>
      </c>
      <c r="AK352" s="22">
        <v>1.6214</v>
      </c>
      <c r="AL352">
        <f t="shared" si="66"/>
        <v>13.363703703703703</v>
      </c>
      <c r="AM352">
        <f t="shared" si="67"/>
        <v>21.6780656</v>
      </c>
      <c r="AP352" s="9"/>
      <c r="AQ352" s="22">
        <v>9.7961400000000004E-2</v>
      </c>
      <c r="AR352" s="22">
        <v>27.430099999999999</v>
      </c>
      <c r="AS352" s="22">
        <v>-1.39069E-2</v>
      </c>
      <c r="AT352" s="22">
        <v>342</v>
      </c>
      <c r="AU352" s="22">
        <v>9.7320599999999993E-2</v>
      </c>
      <c r="AV352">
        <f t="shared" si="68"/>
        <v>17.169012345679011</v>
      </c>
      <c r="AW352">
        <f t="shared" si="69"/>
        <v>1.681900486</v>
      </c>
      <c r="AX352" s="9"/>
      <c r="AY352" s="22">
        <v>1.62216</v>
      </c>
      <c r="AZ352" s="22">
        <v>31.2896</v>
      </c>
      <c r="BA352" s="22">
        <v>-1.10382E-2</v>
      </c>
      <c r="BB352" s="22">
        <v>342</v>
      </c>
      <c r="BC352" s="22">
        <v>1.6214</v>
      </c>
      <c r="BD352">
        <f t="shared" si="70"/>
        <v>13.627407407407405</v>
      </c>
      <c r="BE352">
        <f t="shared" si="71"/>
        <v>22.105835199999998</v>
      </c>
    </row>
    <row r="353" spans="6:57">
      <c r="F353" s="9"/>
      <c r="G353" s="22">
        <v>9.2925999999999995E-2</v>
      </c>
      <c r="H353" s="22">
        <v>8.6806800000000006</v>
      </c>
      <c r="I353" s="22">
        <v>-1.38245E-2</v>
      </c>
      <c r="J353" s="22">
        <v>343</v>
      </c>
      <c r="K353" s="22">
        <v>9.2346200000000003E-2</v>
      </c>
      <c r="L353">
        <f t="shared" si="60"/>
        <v>17.067283950617281</v>
      </c>
      <c r="M353">
        <f t="shared" si="61"/>
        <v>1.5859944283950613</v>
      </c>
      <c r="N353" s="9"/>
      <c r="O353" s="22">
        <v>1.6272</v>
      </c>
      <c r="P353" s="22">
        <v>12.5402</v>
      </c>
      <c r="Q353" s="22">
        <v>-1.0766599999999999E-2</v>
      </c>
      <c r="R353" s="22">
        <v>343</v>
      </c>
      <c r="S353" s="22">
        <v>1.6262799999999999</v>
      </c>
      <c r="T353">
        <f t="shared" si="62"/>
        <v>13.292098765432097</v>
      </c>
      <c r="U353">
        <f t="shared" si="63"/>
        <v>21.628903111111107</v>
      </c>
      <c r="X353" s="9"/>
      <c r="Y353" s="22">
        <v>9.2925999999999995E-2</v>
      </c>
      <c r="Z353" s="22">
        <v>18.0169</v>
      </c>
      <c r="AA353" s="22">
        <v>-1.3815300000000001E-2</v>
      </c>
      <c r="AB353" s="22">
        <v>343</v>
      </c>
      <c r="AC353" s="22">
        <v>9.2315700000000001E-2</v>
      </c>
      <c r="AD353">
        <f t="shared" si="64"/>
        <v>17.055925925925926</v>
      </c>
      <c r="AE353">
        <f t="shared" si="65"/>
        <v>1.5849389725925926</v>
      </c>
      <c r="AF353" s="9"/>
      <c r="AG353" s="22">
        <v>1.6272</v>
      </c>
      <c r="AH353" s="22">
        <v>21.8764</v>
      </c>
      <c r="AI353" s="22">
        <v>-1.07025E-2</v>
      </c>
      <c r="AJ353" s="22">
        <v>343</v>
      </c>
      <c r="AK353" s="22">
        <v>1.6262799999999999</v>
      </c>
      <c r="AL353">
        <f t="shared" si="66"/>
        <v>13.212962962962964</v>
      </c>
      <c r="AM353">
        <f t="shared" si="67"/>
        <v>21.500133333333334</v>
      </c>
      <c r="AP353" s="9"/>
      <c r="AQ353" s="22">
        <v>9.2925999999999995E-2</v>
      </c>
      <c r="AR353" s="22">
        <v>27.440200000000001</v>
      </c>
      <c r="AS353" s="22">
        <v>-1.39069E-2</v>
      </c>
      <c r="AT353" s="22">
        <v>343</v>
      </c>
      <c r="AU353" s="22">
        <v>9.2285199999999998E-2</v>
      </c>
      <c r="AV353">
        <f t="shared" si="68"/>
        <v>17.169012345679011</v>
      </c>
      <c r="AW353">
        <f t="shared" si="69"/>
        <v>1.5954476412345677</v>
      </c>
      <c r="AX353" s="9"/>
      <c r="AY353" s="22">
        <v>1.6272</v>
      </c>
      <c r="AZ353" s="22">
        <v>31.299600000000002</v>
      </c>
      <c r="BA353" s="22">
        <v>-1.09436E-2</v>
      </c>
      <c r="BB353" s="22">
        <v>343</v>
      </c>
      <c r="BC353" s="22">
        <v>1.62598</v>
      </c>
      <c r="BD353">
        <f t="shared" si="70"/>
        <v>13.510617283950616</v>
      </c>
      <c r="BE353">
        <f t="shared" si="71"/>
        <v>21.984476444444443</v>
      </c>
    </row>
    <row r="354" spans="6:57">
      <c r="F354" s="9"/>
      <c r="G354" s="22">
        <v>8.7890599999999999E-2</v>
      </c>
      <c r="H354" s="22">
        <v>8.6907499999999995</v>
      </c>
      <c r="I354" s="22">
        <v>-1.38306E-2</v>
      </c>
      <c r="J354" s="22">
        <v>344</v>
      </c>
      <c r="K354" s="22">
        <v>8.7280300000000005E-2</v>
      </c>
      <c r="L354">
        <f t="shared" si="60"/>
        <v>17.074814814814815</v>
      </c>
      <c r="M354">
        <f t="shared" si="61"/>
        <v>1.500715718962963</v>
      </c>
      <c r="N354" s="9"/>
      <c r="O354" s="22">
        <v>1.6322300000000001</v>
      </c>
      <c r="P354" s="22">
        <v>12.5502</v>
      </c>
      <c r="Q354" s="22">
        <v>-1.06567E-2</v>
      </c>
      <c r="R354" s="22">
        <v>344</v>
      </c>
      <c r="S354" s="22">
        <v>1.63147</v>
      </c>
      <c r="T354">
        <f t="shared" si="62"/>
        <v>13.15641975308642</v>
      </c>
      <c r="U354">
        <f t="shared" si="63"/>
        <v>21.474303013580247</v>
      </c>
      <c r="X354" s="9"/>
      <c r="Y354" s="22">
        <v>8.7890599999999999E-2</v>
      </c>
      <c r="Z354" s="22">
        <v>18.027000000000001</v>
      </c>
      <c r="AA354" s="22">
        <v>-1.38123E-2</v>
      </c>
      <c r="AB354" s="22">
        <v>344</v>
      </c>
      <c r="AC354" s="22">
        <v>8.7310799999999994E-2</v>
      </c>
      <c r="AD354">
        <f t="shared" si="64"/>
        <v>17.052222222222223</v>
      </c>
      <c r="AE354">
        <f t="shared" si="65"/>
        <v>1.4987300424444445</v>
      </c>
      <c r="AF354" s="9"/>
      <c r="AG354" s="22">
        <v>1.6322300000000001</v>
      </c>
      <c r="AH354" s="22">
        <v>21.886500000000002</v>
      </c>
      <c r="AI354" s="22">
        <v>-1.0589599999999999E-2</v>
      </c>
      <c r="AJ354" s="22">
        <v>344</v>
      </c>
      <c r="AK354" s="22">
        <v>1.63147</v>
      </c>
      <c r="AL354">
        <f t="shared" si="66"/>
        <v>13.073580246913579</v>
      </c>
      <c r="AM354">
        <f t="shared" si="67"/>
        <v>21.339089886419753</v>
      </c>
      <c r="AP354" s="9"/>
      <c r="AQ354" s="22">
        <v>8.7890599999999999E-2</v>
      </c>
      <c r="AR354" s="22">
        <v>27.450199999999999</v>
      </c>
      <c r="AS354" s="22">
        <v>-1.39008E-2</v>
      </c>
      <c r="AT354" s="22">
        <v>344</v>
      </c>
      <c r="AU354" s="22">
        <v>8.7188699999999994E-2</v>
      </c>
      <c r="AV354">
        <f t="shared" si="68"/>
        <v>17.161481481481481</v>
      </c>
      <c r="AW354">
        <f t="shared" si="69"/>
        <v>1.5083329042962963</v>
      </c>
      <c r="AX354" s="9"/>
      <c r="AY354" s="22">
        <v>1.6322300000000001</v>
      </c>
      <c r="AZ354" s="22">
        <v>31.309699999999999</v>
      </c>
      <c r="BA354" s="22">
        <v>-1.0842900000000001E-2</v>
      </c>
      <c r="BB354" s="22">
        <v>344</v>
      </c>
      <c r="BC354" s="22">
        <v>1.63147</v>
      </c>
      <c r="BD354">
        <f t="shared" si="70"/>
        <v>13.386296296296297</v>
      </c>
      <c r="BE354">
        <f t="shared" si="71"/>
        <v>21.849514403703708</v>
      </c>
    </row>
    <row r="355" spans="6:57">
      <c r="F355" s="9"/>
      <c r="G355" s="22">
        <v>8.2855200000000004E-2</v>
      </c>
      <c r="H355" s="22">
        <v>8.7008200000000002</v>
      </c>
      <c r="I355" s="22">
        <v>-1.38245E-2</v>
      </c>
      <c r="J355" s="22">
        <v>345</v>
      </c>
      <c r="K355" s="22">
        <v>8.2305900000000001E-2</v>
      </c>
      <c r="L355">
        <f t="shared" si="60"/>
        <v>17.067283950617281</v>
      </c>
      <c r="M355">
        <f t="shared" si="61"/>
        <v>1.4141132251851849</v>
      </c>
      <c r="N355" s="9"/>
      <c r="O355" s="22">
        <v>1.63727</v>
      </c>
      <c r="P355" s="22">
        <v>12.5603</v>
      </c>
      <c r="Q355" s="22">
        <v>-1.0528600000000001E-2</v>
      </c>
      <c r="R355" s="22">
        <v>345</v>
      </c>
      <c r="S355" s="22">
        <v>1.63635</v>
      </c>
      <c r="T355">
        <f t="shared" si="62"/>
        <v>12.998271604938271</v>
      </c>
      <c r="U355">
        <f t="shared" si="63"/>
        <v>21.281680150617284</v>
      </c>
      <c r="X355" s="9"/>
      <c r="Y355" s="22">
        <v>8.2855200000000004E-2</v>
      </c>
      <c r="Z355" s="22">
        <v>18.037099999999999</v>
      </c>
      <c r="AA355" s="22">
        <v>-1.3809200000000001E-2</v>
      </c>
      <c r="AB355" s="22">
        <v>345</v>
      </c>
      <c r="AC355" s="22">
        <v>8.2336400000000004E-2</v>
      </c>
      <c r="AD355">
        <f t="shared" si="64"/>
        <v>17.048395061728392</v>
      </c>
      <c r="AE355">
        <f t="shared" si="65"/>
        <v>1.4125481825185184</v>
      </c>
      <c r="AF355" s="9"/>
      <c r="AG355" s="22">
        <v>1.63727</v>
      </c>
      <c r="AH355" s="22">
        <v>21.8965</v>
      </c>
      <c r="AI355" s="22">
        <v>-1.0501099999999999E-2</v>
      </c>
      <c r="AJ355" s="22">
        <v>345</v>
      </c>
      <c r="AK355" s="22">
        <v>1.63574</v>
      </c>
      <c r="AL355">
        <f t="shared" si="66"/>
        <v>12.96432098765432</v>
      </c>
      <c r="AM355">
        <f t="shared" si="67"/>
        <v>21.22609382345679</v>
      </c>
      <c r="AP355" s="9"/>
      <c r="AQ355" s="22">
        <v>8.2855200000000004E-2</v>
      </c>
      <c r="AR355" s="22">
        <v>27.4603</v>
      </c>
      <c r="AS355" s="22">
        <v>-1.38916E-2</v>
      </c>
      <c r="AT355" s="22">
        <v>345</v>
      </c>
      <c r="AU355" s="22">
        <v>8.2305900000000001E-2</v>
      </c>
      <c r="AV355">
        <f t="shared" si="68"/>
        <v>17.150123456790123</v>
      </c>
      <c r="AW355">
        <f t="shared" si="69"/>
        <v>1.420976909037037</v>
      </c>
      <c r="AX355" s="9"/>
      <c r="AY355" s="22">
        <v>1.63727</v>
      </c>
      <c r="AZ355" s="22">
        <v>31.319800000000001</v>
      </c>
      <c r="BA355" s="22">
        <v>-1.07391E-2</v>
      </c>
      <c r="BB355" s="22">
        <v>345</v>
      </c>
      <c r="BC355" s="22">
        <v>1.63635</v>
      </c>
      <c r="BD355">
        <f t="shared" si="70"/>
        <v>13.258148148148148</v>
      </c>
      <c r="BE355">
        <f t="shared" si="71"/>
        <v>21.707168218518518</v>
      </c>
    </row>
    <row r="356" spans="6:57">
      <c r="F356" s="9"/>
      <c r="G356" s="22">
        <v>7.7819799999999995E-2</v>
      </c>
      <c r="H356" s="22">
        <v>8.7108899999999991</v>
      </c>
      <c r="I356" s="22">
        <v>-1.38123E-2</v>
      </c>
      <c r="J356" s="22">
        <v>346</v>
      </c>
      <c r="K356" s="22">
        <v>7.7148400000000006E-2</v>
      </c>
      <c r="L356">
        <f t="shared" si="60"/>
        <v>17.052222222222223</v>
      </c>
      <c r="M356">
        <f t="shared" si="61"/>
        <v>1.3270005228888888</v>
      </c>
      <c r="N356" s="9"/>
      <c r="O356" s="22">
        <v>1.6423000000000001</v>
      </c>
      <c r="P356" s="22">
        <v>12.570399999999999</v>
      </c>
      <c r="Q356" s="22">
        <v>-1.0366800000000001E-2</v>
      </c>
      <c r="R356" s="22">
        <v>346</v>
      </c>
      <c r="S356" s="22">
        <v>1.64154</v>
      </c>
      <c r="T356">
        <f t="shared" si="62"/>
        <v>12.798518518518518</v>
      </c>
      <c r="U356">
        <f t="shared" si="63"/>
        <v>21.019006962962965</v>
      </c>
      <c r="X356" s="9"/>
      <c r="Y356" s="22">
        <v>7.7819799999999995E-2</v>
      </c>
      <c r="Z356" s="22">
        <v>18.0471</v>
      </c>
      <c r="AA356" s="22">
        <v>-1.3806199999999999E-2</v>
      </c>
      <c r="AB356" s="22">
        <v>346</v>
      </c>
      <c r="AC356" s="22">
        <v>7.7240000000000003E-2</v>
      </c>
      <c r="AD356">
        <f t="shared" si="64"/>
        <v>17.044691358024689</v>
      </c>
      <c r="AE356">
        <f t="shared" si="65"/>
        <v>1.3264144725432097</v>
      </c>
      <c r="AF356" s="9"/>
      <c r="AG356" s="22">
        <v>1.6423000000000001</v>
      </c>
      <c r="AH356" s="22">
        <v>21.906600000000001</v>
      </c>
      <c r="AI356" s="22">
        <v>-1.0372899999999999E-2</v>
      </c>
      <c r="AJ356" s="22">
        <v>346</v>
      </c>
      <c r="AK356" s="22">
        <v>1.64063</v>
      </c>
      <c r="AL356">
        <f t="shared" si="66"/>
        <v>12.806049382716049</v>
      </c>
      <c r="AM356">
        <f t="shared" si="67"/>
        <v>21.031374901234567</v>
      </c>
      <c r="AP356" s="9"/>
      <c r="AQ356" s="22">
        <v>7.7819799999999995E-2</v>
      </c>
      <c r="AR356" s="22">
        <v>27.470400000000001</v>
      </c>
      <c r="AS356" s="22">
        <v>-1.3876299999999999E-2</v>
      </c>
      <c r="AT356" s="22">
        <v>346</v>
      </c>
      <c r="AU356" s="22">
        <v>7.7178999999999998E-2</v>
      </c>
      <c r="AV356">
        <f t="shared" si="68"/>
        <v>17.131234567901231</v>
      </c>
      <c r="AW356">
        <f t="shared" si="69"/>
        <v>1.33314924782716</v>
      </c>
      <c r="AX356" s="9"/>
      <c r="AY356" s="22">
        <v>1.6423000000000001</v>
      </c>
      <c r="AZ356" s="22">
        <v>31.329799999999999</v>
      </c>
      <c r="BA356" s="22">
        <v>-1.0614E-2</v>
      </c>
      <c r="BB356" s="22">
        <v>346</v>
      </c>
      <c r="BC356" s="22">
        <v>1.64124</v>
      </c>
      <c r="BD356">
        <f t="shared" si="70"/>
        <v>13.103703703703703</v>
      </c>
      <c r="BE356">
        <f t="shared" si="71"/>
        <v>21.520212592592593</v>
      </c>
    </row>
    <row r="357" spans="6:57">
      <c r="F357" s="9"/>
      <c r="G357" s="22">
        <v>7.2784399999999999E-2</v>
      </c>
      <c r="H357" s="22">
        <v>8.7209599999999998</v>
      </c>
      <c r="I357" s="22">
        <v>-1.3806199999999999E-2</v>
      </c>
      <c r="J357" s="22">
        <v>347</v>
      </c>
      <c r="K357" s="22">
        <v>7.2112999999999997E-2</v>
      </c>
      <c r="L357">
        <f t="shared" si="60"/>
        <v>17.044691358024689</v>
      </c>
      <c r="M357">
        <f t="shared" si="61"/>
        <v>1.2405876336790123</v>
      </c>
      <c r="N357" s="9"/>
      <c r="O357" s="22">
        <v>1.64734</v>
      </c>
      <c r="P357" s="22">
        <v>12.580399999999999</v>
      </c>
      <c r="Q357" s="22">
        <v>-1.0241699999999999E-2</v>
      </c>
      <c r="R357" s="22">
        <v>347</v>
      </c>
      <c r="S357" s="22">
        <v>1.64612</v>
      </c>
      <c r="T357">
        <f t="shared" si="62"/>
        <v>12.644074074074073</v>
      </c>
      <c r="U357">
        <f t="shared" si="63"/>
        <v>20.829088985185184</v>
      </c>
      <c r="X357" s="9"/>
      <c r="Y357" s="22">
        <v>7.2784399999999999E-2</v>
      </c>
      <c r="Z357" s="22">
        <v>18.057200000000002</v>
      </c>
      <c r="AA357" s="22">
        <v>-1.38031E-2</v>
      </c>
      <c r="AB357" s="22">
        <v>347</v>
      </c>
      <c r="AC357" s="22">
        <v>7.2143600000000002E-2</v>
      </c>
      <c r="AD357">
        <f t="shared" si="64"/>
        <v>17.040864197530862</v>
      </c>
      <c r="AE357">
        <f t="shared" si="65"/>
        <v>1.2403090760987652</v>
      </c>
      <c r="AF357" s="9"/>
      <c r="AG357" s="22">
        <v>1.64734</v>
      </c>
      <c r="AH357" s="22">
        <v>21.916699999999999</v>
      </c>
      <c r="AI357" s="22">
        <v>-1.02509E-2</v>
      </c>
      <c r="AJ357" s="22">
        <v>347</v>
      </c>
      <c r="AK357" s="22">
        <v>1.64642</v>
      </c>
      <c r="AL357">
        <f t="shared" si="66"/>
        <v>12.655432098765431</v>
      </c>
      <c r="AM357">
        <f t="shared" si="67"/>
        <v>20.847799513580245</v>
      </c>
      <c r="AP357" s="9"/>
      <c r="AQ357" s="22">
        <v>7.2784399999999999E-2</v>
      </c>
      <c r="AR357" s="22">
        <v>27.480399999999999</v>
      </c>
      <c r="AS357" s="22">
        <v>-1.3870199999999999E-2</v>
      </c>
      <c r="AT357" s="22">
        <v>347</v>
      </c>
      <c r="AU357" s="22">
        <v>7.2174100000000005E-2</v>
      </c>
      <c r="AV357">
        <f t="shared" si="68"/>
        <v>17.123703703703701</v>
      </c>
      <c r="AW357">
        <f t="shared" si="69"/>
        <v>1.2463384998518516</v>
      </c>
      <c r="AX357" s="9"/>
      <c r="AY357" s="22">
        <v>1.64734</v>
      </c>
      <c r="AZ357" s="22">
        <v>31.3399</v>
      </c>
      <c r="BA357" s="22">
        <v>-1.04858E-2</v>
      </c>
      <c r="BB357" s="22">
        <v>347</v>
      </c>
      <c r="BC357" s="22">
        <v>1.64642</v>
      </c>
      <c r="BD357">
        <f t="shared" si="70"/>
        <v>12.945432098765432</v>
      </c>
      <c r="BE357">
        <f t="shared" si="71"/>
        <v>21.325528113580248</v>
      </c>
    </row>
    <row r="358" spans="6:57">
      <c r="F358" s="9"/>
      <c r="G358" s="22">
        <v>6.7749000000000004E-2</v>
      </c>
      <c r="H358" s="22">
        <v>8.7310300000000005</v>
      </c>
      <c r="I358" s="22">
        <v>-1.38031E-2</v>
      </c>
      <c r="J358" s="22">
        <v>348</v>
      </c>
      <c r="K358" s="22">
        <v>6.7199700000000001E-2</v>
      </c>
      <c r="L358">
        <f t="shared" si="60"/>
        <v>17.040864197530862</v>
      </c>
      <c r="M358">
        <f t="shared" si="61"/>
        <v>1.1545015085185184</v>
      </c>
      <c r="N358" s="9"/>
      <c r="O358" s="22">
        <v>1.6523699999999999</v>
      </c>
      <c r="P358" s="22">
        <v>12.5905</v>
      </c>
      <c r="Q358" s="22">
        <v>-1.0104399999999999E-2</v>
      </c>
      <c r="R358" s="22">
        <v>348</v>
      </c>
      <c r="S358" s="22">
        <v>1.65161</v>
      </c>
      <c r="T358">
        <f t="shared" si="62"/>
        <v>12.474567901234566</v>
      </c>
      <c r="U358">
        <f t="shared" si="63"/>
        <v>20.61260176296296</v>
      </c>
      <c r="X358" s="9"/>
      <c r="Y358" s="22">
        <v>6.7749000000000004E-2</v>
      </c>
      <c r="Z358" s="22">
        <v>18.067299999999999</v>
      </c>
      <c r="AA358" s="22">
        <v>-1.3806199999999999E-2</v>
      </c>
      <c r="AB358" s="22">
        <v>348</v>
      </c>
      <c r="AC358" s="22">
        <v>6.7260700000000007E-2</v>
      </c>
      <c r="AD358">
        <f t="shared" si="64"/>
        <v>17.044691358024689</v>
      </c>
      <c r="AE358">
        <f t="shared" si="65"/>
        <v>1.1547607948148146</v>
      </c>
      <c r="AF358" s="9"/>
      <c r="AG358" s="22">
        <v>1.6523699999999999</v>
      </c>
      <c r="AH358" s="22">
        <v>21.9268</v>
      </c>
      <c r="AI358" s="22">
        <v>-1.01318E-2</v>
      </c>
      <c r="AJ358" s="22">
        <v>348</v>
      </c>
      <c r="AK358" s="22">
        <v>1.6519200000000001</v>
      </c>
      <c r="AL358">
        <f t="shared" si="66"/>
        <v>12.508395061728393</v>
      </c>
      <c r="AM358">
        <f t="shared" si="67"/>
        <v>20.668496748148144</v>
      </c>
      <c r="AP358" s="9"/>
      <c r="AQ358" s="22">
        <v>6.7749000000000004E-2</v>
      </c>
      <c r="AR358" s="22">
        <v>27.490500000000001</v>
      </c>
      <c r="AS358" s="22">
        <v>-1.38733E-2</v>
      </c>
      <c r="AT358" s="22">
        <v>348</v>
      </c>
      <c r="AU358" s="22">
        <v>6.7169199999999998E-2</v>
      </c>
      <c r="AV358">
        <f t="shared" si="68"/>
        <v>17.127530864197528</v>
      </c>
      <c r="AW358">
        <f t="shared" si="69"/>
        <v>1.1603730885185184</v>
      </c>
      <c r="AX358" s="9"/>
      <c r="AY358" s="22">
        <v>1.6523699999999999</v>
      </c>
      <c r="AZ358" s="22">
        <v>31.35</v>
      </c>
      <c r="BA358" s="22">
        <v>-1.03485E-2</v>
      </c>
      <c r="BB358" s="22">
        <v>348</v>
      </c>
      <c r="BC358" s="22">
        <v>1.65161</v>
      </c>
      <c r="BD358">
        <f t="shared" si="70"/>
        <v>12.775925925925925</v>
      </c>
      <c r="BE358">
        <f t="shared" si="71"/>
        <v>21.110556722222221</v>
      </c>
    </row>
    <row r="359" spans="6:57">
      <c r="F359" s="9"/>
      <c r="G359" s="22">
        <v>6.2713599999999994E-2</v>
      </c>
      <c r="H359" s="22">
        <v>8.7410999999999994</v>
      </c>
      <c r="I359" s="22">
        <v>-1.3809200000000001E-2</v>
      </c>
      <c r="J359" s="22">
        <v>349</v>
      </c>
      <c r="K359" s="22">
        <v>6.21033E-2</v>
      </c>
      <c r="L359">
        <f t="shared" si="60"/>
        <v>17.048395061728392</v>
      </c>
      <c r="M359">
        <f t="shared" si="61"/>
        <v>1.0691662285432095</v>
      </c>
      <c r="N359" s="9"/>
      <c r="O359" s="22">
        <v>1.65741</v>
      </c>
      <c r="P359" s="22">
        <v>12.6006</v>
      </c>
      <c r="Q359" s="22">
        <v>-9.9609399999999997E-3</v>
      </c>
      <c r="R359" s="22">
        <v>349</v>
      </c>
      <c r="S359" s="22">
        <v>1.6561900000000001</v>
      </c>
      <c r="T359">
        <f t="shared" si="62"/>
        <v>12.297456790123457</v>
      </c>
      <c r="U359">
        <f t="shared" si="63"/>
        <v>20.38192785851852</v>
      </c>
      <c r="X359" s="9"/>
      <c r="Y359" s="22">
        <v>6.2713599999999994E-2</v>
      </c>
      <c r="Z359" s="22">
        <v>18.077400000000001</v>
      </c>
      <c r="AA359" s="22">
        <v>-1.38123E-2</v>
      </c>
      <c r="AB359" s="22">
        <v>349</v>
      </c>
      <c r="AC359" s="22">
        <v>6.2072799999999997E-2</v>
      </c>
      <c r="AD359">
        <f t="shared" si="64"/>
        <v>17.052222222222223</v>
      </c>
      <c r="AE359">
        <f t="shared" si="65"/>
        <v>1.0694062435555556</v>
      </c>
      <c r="AF359" s="9"/>
      <c r="AG359" s="22">
        <v>1.65741</v>
      </c>
      <c r="AH359" s="22">
        <v>21.936800000000002</v>
      </c>
      <c r="AI359" s="22">
        <v>-9.9975600000000008E-3</v>
      </c>
      <c r="AJ359" s="22">
        <v>349</v>
      </c>
      <c r="AK359" s="22">
        <v>1.6561900000000001</v>
      </c>
      <c r="AL359">
        <f t="shared" si="66"/>
        <v>12.342666666666666</v>
      </c>
      <c r="AM359">
        <f t="shared" si="67"/>
        <v>20.45685916</v>
      </c>
      <c r="AP359" s="9"/>
      <c r="AQ359" s="22">
        <v>6.2713599999999994E-2</v>
      </c>
      <c r="AR359" s="22">
        <v>27.500599999999999</v>
      </c>
      <c r="AS359" s="22">
        <v>-1.38672E-2</v>
      </c>
      <c r="AT359" s="22">
        <v>349</v>
      </c>
      <c r="AU359" s="22">
        <v>6.2072799999999997E-2</v>
      </c>
      <c r="AV359">
        <f t="shared" si="68"/>
        <v>17.12</v>
      </c>
      <c r="AW359">
        <f t="shared" si="69"/>
        <v>1.0736568319999999</v>
      </c>
      <c r="AX359" s="9"/>
      <c r="AY359" s="22">
        <v>1.65741</v>
      </c>
      <c r="AZ359" s="22">
        <v>31.360099999999999</v>
      </c>
      <c r="BA359" s="22">
        <v>-1.02112E-2</v>
      </c>
      <c r="BB359" s="22">
        <v>349</v>
      </c>
      <c r="BC359" s="22">
        <v>1.65649</v>
      </c>
      <c r="BD359">
        <f t="shared" si="70"/>
        <v>12.606419753086419</v>
      </c>
      <c r="BE359">
        <f t="shared" si="71"/>
        <v>20.894006162962963</v>
      </c>
    </row>
    <row r="360" spans="6:57">
      <c r="F360" s="9"/>
      <c r="G360" s="22">
        <v>5.7678199999999999E-2</v>
      </c>
      <c r="H360" s="22">
        <v>8.7511700000000001</v>
      </c>
      <c r="I360" s="22">
        <v>-1.38184E-2</v>
      </c>
      <c r="J360" s="22">
        <v>350</v>
      </c>
      <c r="K360" s="22">
        <v>5.7006800000000003E-2</v>
      </c>
      <c r="L360">
        <f t="shared" si="60"/>
        <v>17.05975308641975</v>
      </c>
      <c r="M360">
        <f t="shared" si="61"/>
        <v>0.9839758504691356</v>
      </c>
      <c r="N360" s="9"/>
      <c r="O360" s="22">
        <v>1.66245</v>
      </c>
      <c r="P360" s="22">
        <v>12.6106</v>
      </c>
      <c r="Q360" s="22">
        <v>-9.7991899999999993E-3</v>
      </c>
      <c r="R360" s="22">
        <v>350</v>
      </c>
      <c r="S360" s="22">
        <v>1.66168</v>
      </c>
      <c r="T360">
        <f t="shared" si="62"/>
        <v>12.097765432098763</v>
      </c>
      <c r="U360">
        <f t="shared" si="63"/>
        <v>20.111930142592588</v>
      </c>
      <c r="X360" s="9"/>
      <c r="Y360" s="22">
        <v>5.7678199999999999E-2</v>
      </c>
      <c r="Z360" s="22">
        <v>18.087399999999999</v>
      </c>
      <c r="AA360" s="22">
        <v>-1.38245E-2</v>
      </c>
      <c r="AB360" s="22">
        <v>350</v>
      </c>
      <c r="AC360" s="22">
        <v>5.7067899999999998E-2</v>
      </c>
      <c r="AD360">
        <f t="shared" si="64"/>
        <v>17.067283950617281</v>
      </c>
      <c r="AE360">
        <f t="shared" si="65"/>
        <v>0.98441021716049359</v>
      </c>
      <c r="AF360" s="9"/>
      <c r="AG360" s="22">
        <v>1.66245</v>
      </c>
      <c r="AH360" s="22">
        <v>21.946899999999999</v>
      </c>
      <c r="AI360" s="22">
        <v>-9.8358200000000003E-3</v>
      </c>
      <c r="AJ360" s="22">
        <v>350</v>
      </c>
      <c r="AK360" s="22">
        <v>1.6613800000000001</v>
      </c>
      <c r="AL360">
        <f t="shared" si="66"/>
        <v>12.142987654320986</v>
      </c>
      <c r="AM360">
        <f t="shared" si="67"/>
        <v>20.187109825925923</v>
      </c>
      <c r="AP360" s="9"/>
      <c r="AQ360" s="22">
        <v>5.7678199999999999E-2</v>
      </c>
      <c r="AR360" s="22">
        <v>27.5107</v>
      </c>
      <c r="AS360" s="22">
        <v>-1.38672E-2</v>
      </c>
      <c r="AT360" s="22">
        <v>350</v>
      </c>
      <c r="AU360" s="22">
        <v>5.7006800000000003E-2</v>
      </c>
      <c r="AV360">
        <f t="shared" si="68"/>
        <v>17.12</v>
      </c>
      <c r="AW360">
        <f t="shared" si="69"/>
        <v>0.98745078400000008</v>
      </c>
      <c r="AX360" s="9"/>
      <c r="AY360" s="22">
        <v>1.66245</v>
      </c>
      <c r="AZ360" s="22">
        <v>31.370100000000001</v>
      </c>
      <c r="BA360" s="22">
        <v>-1.00464E-2</v>
      </c>
      <c r="BB360" s="22">
        <v>350</v>
      </c>
      <c r="BC360" s="22">
        <v>1.66107</v>
      </c>
      <c r="BD360">
        <f t="shared" si="70"/>
        <v>12.402962962962963</v>
      </c>
      <c r="BE360">
        <f t="shared" si="71"/>
        <v>20.619305777777779</v>
      </c>
    </row>
    <row r="361" spans="6:57">
      <c r="F361" s="9"/>
      <c r="G361" s="22">
        <v>5.2642799999999997E-2</v>
      </c>
      <c r="H361" s="22">
        <v>8.7612500000000004</v>
      </c>
      <c r="I361" s="22">
        <v>-1.38184E-2</v>
      </c>
      <c r="J361" s="22">
        <v>351</v>
      </c>
      <c r="K361" s="22">
        <v>5.2123999999999997E-2</v>
      </c>
      <c r="L361">
        <f t="shared" si="60"/>
        <v>17.05975308641975</v>
      </c>
      <c r="M361">
        <f t="shared" si="61"/>
        <v>0.89807316977777751</v>
      </c>
      <c r="N361" s="9"/>
      <c r="O361" s="22">
        <v>1.6674800000000001</v>
      </c>
      <c r="P361" s="22">
        <v>12.620699999999999</v>
      </c>
      <c r="Q361" s="22">
        <v>-9.6343999999999996E-3</v>
      </c>
      <c r="R361" s="22">
        <v>351</v>
      </c>
      <c r="S361" s="22">
        <v>1.6662600000000001</v>
      </c>
      <c r="T361">
        <f t="shared" si="62"/>
        <v>11.89432098765432</v>
      </c>
      <c r="U361">
        <f t="shared" si="63"/>
        <v>19.833542360493826</v>
      </c>
      <c r="X361" s="9"/>
      <c r="Y361" s="22">
        <v>5.2642799999999997E-2</v>
      </c>
      <c r="Z361" s="22">
        <v>18.0975</v>
      </c>
      <c r="AA361" s="22">
        <v>-1.38397E-2</v>
      </c>
      <c r="AB361" s="22">
        <v>351</v>
      </c>
      <c r="AC361" s="22">
        <v>5.2062999999999998E-2</v>
      </c>
      <c r="AD361">
        <f t="shared" si="64"/>
        <v>17.086049382716048</v>
      </c>
      <c r="AE361">
        <f t="shared" si="65"/>
        <v>0.89945748044444429</v>
      </c>
      <c r="AF361" s="9"/>
      <c r="AG361" s="22">
        <v>1.6674800000000001</v>
      </c>
      <c r="AH361" s="22">
        <v>21.957000000000001</v>
      </c>
      <c r="AI361" s="22">
        <v>-9.6893299999999995E-3</v>
      </c>
      <c r="AJ361" s="22">
        <v>351</v>
      </c>
      <c r="AK361" s="22">
        <v>1.6662600000000001</v>
      </c>
      <c r="AL361">
        <f t="shared" si="66"/>
        <v>11.962135802469135</v>
      </c>
      <c r="AM361">
        <f t="shared" si="67"/>
        <v>19.946622207901232</v>
      </c>
      <c r="AP361" s="9"/>
      <c r="AQ361" s="22">
        <v>5.2642799999999997E-2</v>
      </c>
      <c r="AR361" s="22">
        <v>27.520700000000001</v>
      </c>
      <c r="AS361" s="22">
        <v>-1.38733E-2</v>
      </c>
      <c r="AT361" s="22">
        <v>351</v>
      </c>
      <c r="AU361" s="22">
        <v>5.2093500000000001E-2</v>
      </c>
      <c r="AV361">
        <f t="shared" si="68"/>
        <v>17.127530864197528</v>
      </c>
      <c r="AW361">
        <f t="shared" si="69"/>
        <v>0.90164118177777752</v>
      </c>
      <c r="AX361" s="9"/>
      <c r="AY361" s="22">
        <v>1.6674800000000001</v>
      </c>
      <c r="AZ361" s="22">
        <v>31.380199999999999</v>
      </c>
      <c r="BA361" s="22">
        <v>-9.8785399999999999E-3</v>
      </c>
      <c r="BB361" s="22">
        <v>351</v>
      </c>
      <c r="BC361" s="22">
        <v>1.6662600000000001</v>
      </c>
      <c r="BD361">
        <f t="shared" si="70"/>
        <v>12.195728395061728</v>
      </c>
      <c r="BE361">
        <f t="shared" si="71"/>
        <v>20.336133184197532</v>
      </c>
    </row>
    <row r="362" spans="6:57">
      <c r="F362" s="9"/>
      <c r="G362" s="22">
        <v>4.7607400000000001E-2</v>
      </c>
      <c r="H362" s="22">
        <v>8.7713199999999993</v>
      </c>
      <c r="I362" s="22">
        <v>-1.38184E-2</v>
      </c>
      <c r="J362" s="22">
        <v>352</v>
      </c>
      <c r="K362" s="22">
        <v>4.7430399999999998E-2</v>
      </c>
      <c r="L362">
        <f t="shared" si="60"/>
        <v>17.05975308641975</v>
      </c>
      <c r="M362">
        <f t="shared" si="61"/>
        <v>0.81217048908641964</v>
      </c>
      <c r="N362" s="9"/>
      <c r="O362" s="22">
        <v>1.67252</v>
      </c>
      <c r="P362" s="22">
        <v>12.630800000000001</v>
      </c>
      <c r="Q362" s="22">
        <v>-9.4329800000000005E-3</v>
      </c>
      <c r="R362" s="22">
        <v>352</v>
      </c>
      <c r="S362" s="22">
        <v>1.6720600000000001</v>
      </c>
      <c r="T362">
        <f t="shared" si="62"/>
        <v>11.645654320987655</v>
      </c>
      <c r="U362">
        <f t="shared" si="63"/>
        <v>19.477589764938273</v>
      </c>
      <c r="X362" s="9"/>
      <c r="Y362" s="22">
        <v>4.7607400000000001E-2</v>
      </c>
      <c r="Z362" s="22">
        <v>18.107600000000001</v>
      </c>
      <c r="AA362" s="22">
        <v>-1.3842800000000001E-2</v>
      </c>
      <c r="AB362" s="22">
        <v>352</v>
      </c>
      <c r="AC362" s="22">
        <v>4.7403000000000001E-2</v>
      </c>
      <c r="AD362">
        <f t="shared" si="64"/>
        <v>17.089876543209876</v>
      </c>
      <c r="AE362">
        <f t="shared" si="65"/>
        <v>0.81360458854320983</v>
      </c>
      <c r="AF362" s="9"/>
      <c r="AG362" s="22">
        <v>1.67252</v>
      </c>
      <c r="AH362" s="22">
        <v>21.966999999999999</v>
      </c>
      <c r="AI362" s="22">
        <v>-9.5123299999999994E-3</v>
      </c>
      <c r="AJ362" s="22">
        <v>352</v>
      </c>
      <c r="AK362" s="22">
        <v>1.6714500000000001</v>
      </c>
      <c r="AL362">
        <f t="shared" si="66"/>
        <v>11.743617283950616</v>
      </c>
      <c r="AM362">
        <f t="shared" si="67"/>
        <v>19.641434779753084</v>
      </c>
      <c r="AP362" s="9"/>
      <c r="AQ362" s="22">
        <v>4.7607400000000001E-2</v>
      </c>
      <c r="AR362" s="22">
        <v>27.530799999999999</v>
      </c>
      <c r="AS362" s="22">
        <v>-1.38794E-2</v>
      </c>
      <c r="AT362" s="22">
        <v>352</v>
      </c>
      <c r="AU362" s="22">
        <v>4.7439599999999998E-2</v>
      </c>
      <c r="AV362">
        <f t="shared" si="68"/>
        <v>17.135061728395058</v>
      </c>
      <c r="AW362">
        <f t="shared" si="69"/>
        <v>0.81575573772839494</v>
      </c>
      <c r="AX362" s="9"/>
      <c r="AY362" s="22">
        <v>1.67252</v>
      </c>
      <c r="AZ362" s="22">
        <v>31.3903</v>
      </c>
      <c r="BA362" s="22">
        <v>-9.7045900000000008E-3</v>
      </c>
      <c r="BB362" s="22">
        <v>352</v>
      </c>
      <c r="BC362" s="22">
        <v>1.6717500000000001</v>
      </c>
      <c r="BD362">
        <f t="shared" si="70"/>
        <v>11.980975308641977</v>
      </c>
      <c r="BE362">
        <f t="shared" si="71"/>
        <v>20.038420823209879</v>
      </c>
    </row>
    <row r="363" spans="6:57">
      <c r="F363" s="9"/>
      <c r="G363" s="22">
        <v>4.2571999999999999E-2</v>
      </c>
      <c r="H363" s="22">
        <v>8.78139</v>
      </c>
      <c r="I363" s="22">
        <v>-1.3815300000000001E-2</v>
      </c>
      <c r="J363" s="22">
        <v>353</v>
      </c>
      <c r="K363" s="22">
        <v>4.2401099999999997E-2</v>
      </c>
      <c r="L363">
        <f t="shared" si="60"/>
        <v>17.055925925925926</v>
      </c>
      <c r="M363">
        <f t="shared" si="61"/>
        <v>0.72610487851851857</v>
      </c>
      <c r="N363" s="9"/>
      <c r="O363" s="22">
        <v>1.6775500000000001</v>
      </c>
      <c r="P363" s="22">
        <v>12.6409</v>
      </c>
      <c r="Q363" s="22">
        <v>-9.2681900000000008E-3</v>
      </c>
      <c r="R363" s="22">
        <v>353</v>
      </c>
      <c r="S363" s="22">
        <v>1.6760299999999999</v>
      </c>
      <c r="T363">
        <f t="shared" si="62"/>
        <v>11.44220987654321</v>
      </c>
      <c r="U363">
        <f t="shared" si="63"/>
        <v>19.194879178395063</v>
      </c>
      <c r="X363" s="9"/>
      <c r="Y363" s="22">
        <v>4.2571999999999999E-2</v>
      </c>
      <c r="Z363" s="22">
        <v>18.117599999999999</v>
      </c>
      <c r="AA363" s="22">
        <v>-1.38458E-2</v>
      </c>
      <c r="AB363" s="22">
        <v>353</v>
      </c>
      <c r="AC363" s="22">
        <v>4.2404200000000003E-2</v>
      </c>
      <c r="AD363">
        <f t="shared" si="64"/>
        <v>17.093580246913579</v>
      </c>
      <c r="AE363">
        <f t="shared" si="65"/>
        <v>0.72770789827160487</v>
      </c>
      <c r="AF363" s="9"/>
      <c r="AG363" s="22">
        <v>1.6775500000000001</v>
      </c>
      <c r="AH363" s="22">
        <v>21.9771</v>
      </c>
      <c r="AI363" s="22">
        <v>-9.3322800000000001E-3</v>
      </c>
      <c r="AJ363" s="22">
        <v>353</v>
      </c>
      <c r="AK363" s="22">
        <v>1.6763300000000001</v>
      </c>
      <c r="AL363">
        <f t="shared" si="66"/>
        <v>11.521333333333333</v>
      </c>
      <c r="AM363">
        <f t="shared" si="67"/>
        <v>19.327612733333332</v>
      </c>
      <c r="AP363" s="9"/>
      <c r="AQ363" s="22">
        <v>4.2571999999999999E-2</v>
      </c>
      <c r="AR363" s="22">
        <v>27.540900000000001</v>
      </c>
      <c r="AS363" s="22">
        <v>-1.38824E-2</v>
      </c>
      <c r="AT363" s="22">
        <v>353</v>
      </c>
      <c r="AU363" s="22">
        <v>4.2456099999999997E-2</v>
      </c>
      <c r="AV363">
        <f t="shared" si="68"/>
        <v>17.138765432098765</v>
      </c>
      <c r="AW363">
        <f t="shared" si="69"/>
        <v>0.72963152197530856</v>
      </c>
      <c r="AX363" s="9"/>
      <c r="AY363" s="22">
        <v>1.6775500000000001</v>
      </c>
      <c r="AZ363" s="22">
        <v>31.400300000000001</v>
      </c>
      <c r="BA363" s="22">
        <v>-9.5184299999999996E-3</v>
      </c>
      <c r="BB363" s="22">
        <v>353</v>
      </c>
      <c r="BC363" s="22">
        <v>1.6766399999999999</v>
      </c>
      <c r="BD363">
        <f t="shared" si="70"/>
        <v>11.751148148148149</v>
      </c>
      <c r="BE363">
        <f t="shared" si="71"/>
        <v>19.713138575925928</v>
      </c>
    </row>
    <row r="364" spans="6:57">
      <c r="F364" s="9"/>
      <c r="G364" s="22">
        <v>3.7536600000000003E-2</v>
      </c>
      <c r="H364" s="22">
        <v>8.7914600000000007</v>
      </c>
      <c r="I364" s="22">
        <v>-1.3821399999999999E-2</v>
      </c>
      <c r="J364" s="22">
        <v>354</v>
      </c>
      <c r="K364" s="22">
        <v>3.73444E-2</v>
      </c>
      <c r="L364">
        <f t="shared" si="60"/>
        <v>17.063456790123453</v>
      </c>
      <c r="M364">
        <f t="shared" si="61"/>
        <v>0.64050415214814804</v>
      </c>
      <c r="N364" s="9"/>
      <c r="O364" s="22">
        <v>1.68259</v>
      </c>
      <c r="P364" s="22">
        <v>12.6509</v>
      </c>
      <c r="Q364" s="22">
        <v>-9.06677E-3</v>
      </c>
      <c r="R364" s="22">
        <v>354</v>
      </c>
      <c r="S364" s="22">
        <v>1.6818200000000001</v>
      </c>
      <c r="T364">
        <f t="shared" si="62"/>
        <v>11.193543209876541</v>
      </c>
      <c r="U364">
        <f t="shared" si="63"/>
        <v>18.834143869506171</v>
      </c>
      <c r="X364" s="9"/>
      <c r="Y364" s="22">
        <v>3.7536600000000003E-2</v>
      </c>
      <c r="Z364" s="22">
        <v>18.127700000000001</v>
      </c>
      <c r="AA364" s="22">
        <v>-1.3842800000000001E-2</v>
      </c>
      <c r="AB364" s="22">
        <v>354</v>
      </c>
      <c r="AC364" s="22">
        <v>3.7374900000000003E-2</v>
      </c>
      <c r="AD364">
        <f t="shared" si="64"/>
        <v>17.089876543209876</v>
      </c>
      <c r="AE364">
        <f t="shared" si="65"/>
        <v>0.64149585985185187</v>
      </c>
      <c r="AF364" s="9"/>
      <c r="AG364" s="22">
        <v>1.68259</v>
      </c>
      <c r="AH364" s="22">
        <v>21.987200000000001</v>
      </c>
      <c r="AI364" s="22">
        <v>-9.1064500000000003E-3</v>
      </c>
      <c r="AJ364" s="22">
        <v>354</v>
      </c>
      <c r="AK364" s="22">
        <v>1.6815199999999999</v>
      </c>
      <c r="AL364">
        <f t="shared" si="66"/>
        <v>11.24253086419753</v>
      </c>
      <c r="AM364">
        <f t="shared" si="67"/>
        <v>18.916570006790121</v>
      </c>
      <c r="AP364" s="9"/>
      <c r="AQ364" s="22">
        <v>3.7536600000000003E-2</v>
      </c>
      <c r="AR364" s="22">
        <v>27.550899999999999</v>
      </c>
      <c r="AS364" s="22">
        <v>-1.38824E-2</v>
      </c>
      <c r="AT364" s="22">
        <v>354</v>
      </c>
      <c r="AU364" s="22">
        <v>3.74115E-2</v>
      </c>
      <c r="AV364">
        <f t="shared" si="68"/>
        <v>17.138765432098765</v>
      </c>
      <c r="AW364">
        <f t="shared" si="69"/>
        <v>0.64333098251851861</v>
      </c>
      <c r="AX364" s="9"/>
      <c r="AY364" s="22">
        <v>1.68259</v>
      </c>
      <c r="AZ364" s="22">
        <v>31.410399999999999</v>
      </c>
      <c r="BA364" s="22">
        <v>-9.3109100000000004E-3</v>
      </c>
      <c r="BB364" s="22">
        <v>354</v>
      </c>
      <c r="BC364" s="22">
        <v>1.6815199999999999</v>
      </c>
      <c r="BD364">
        <f t="shared" si="70"/>
        <v>11.49495061728395</v>
      </c>
      <c r="BE364">
        <f t="shared" si="71"/>
        <v>19.341288959135802</v>
      </c>
    </row>
    <row r="365" spans="6:57">
      <c r="F365" s="9"/>
      <c r="G365" s="22">
        <v>3.2501200000000001E-2</v>
      </c>
      <c r="H365" s="22">
        <v>8.8015299999999996</v>
      </c>
      <c r="I365" s="22">
        <v>-1.3821399999999999E-2</v>
      </c>
      <c r="J365" s="22">
        <v>355</v>
      </c>
      <c r="K365" s="22">
        <v>3.23547E-2</v>
      </c>
      <c r="L365">
        <f t="shared" si="60"/>
        <v>17.063456790123453</v>
      </c>
      <c r="M365">
        <f t="shared" si="61"/>
        <v>0.55458282182716034</v>
      </c>
      <c r="N365" s="9"/>
      <c r="O365" s="22">
        <v>1.6876199999999999</v>
      </c>
      <c r="P365" s="22">
        <v>12.661</v>
      </c>
      <c r="Q365" s="22">
        <v>-8.8745100000000004E-3</v>
      </c>
      <c r="R365" s="22">
        <v>355</v>
      </c>
      <c r="S365" s="22">
        <v>1.6870099999999999</v>
      </c>
      <c r="T365">
        <f t="shared" si="62"/>
        <v>10.956185185185186</v>
      </c>
      <c r="U365">
        <f t="shared" si="63"/>
        <v>18.489877242222221</v>
      </c>
      <c r="X365" s="9"/>
      <c r="Y365" s="22">
        <v>3.2501200000000001E-2</v>
      </c>
      <c r="Z365" s="22">
        <v>18.137799999999999</v>
      </c>
      <c r="AA365" s="22">
        <v>-1.3842800000000001E-2</v>
      </c>
      <c r="AB365" s="22">
        <v>355</v>
      </c>
      <c r="AC365" s="22">
        <v>3.2312E-2</v>
      </c>
      <c r="AD365">
        <f t="shared" si="64"/>
        <v>17.089876543209876</v>
      </c>
      <c r="AE365">
        <f t="shared" si="65"/>
        <v>0.55544149550617283</v>
      </c>
      <c r="AF365" s="9"/>
      <c r="AG365" s="22">
        <v>1.6876199999999999</v>
      </c>
      <c r="AH365" s="22">
        <v>21.997299999999999</v>
      </c>
      <c r="AI365" s="22">
        <v>-8.8928199999999992E-3</v>
      </c>
      <c r="AJ365" s="22">
        <v>355</v>
      </c>
      <c r="AK365" s="22">
        <v>1.6867099999999999</v>
      </c>
      <c r="AL365">
        <f t="shared" si="66"/>
        <v>10.978790123456788</v>
      </c>
      <c r="AM365">
        <f t="shared" si="67"/>
        <v>18.528025788148142</v>
      </c>
      <c r="AP365" s="9"/>
      <c r="AQ365" s="22">
        <v>3.2501200000000001E-2</v>
      </c>
      <c r="AR365" s="22">
        <v>27.561</v>
      </c>
      <c r="AS365" s="22">
        <v>-1.38885E-2</v>
      </c>
      <c r="AT365" s="22">
        <v>355</v>
      </c>
      <c r="AU365" s="22">
        <v>3.2296800000000001E-2</v>
      </c>
      <c r="AV365">
        <f t="shared" si="68"/>
        <v>17.146296296296295</v>
      </c>
      <c r="AW365">
        <f t="shared" si="69"/>
        <v>0.55727520518518514</v>
      </c>
      <c r="AX365" s="9"/>
      <c r="AY365" s="22">
        <v>1.6876199999999999</v>
      </c>
      <c r="AZ365" s="22">
        <v>31.420500000000001</v>
      </c>
      <c r="BA365" s="22">
        <v>-9.0545699999999996E-3</v>
      </c>
      <c r="BB365" s="22">
        <v>355</v>
      </c>
      <c r="BC365" s="22">
        <v>1.6860999999999999</v>
      </c>
      <c r="BD365">
        <f t="shared" si="70"/>
        <v>11.17848148148148</v>
      </c>
      <c r="BE365">
        <f t="shared" si="71"/>
        <v>18.865028917777774</v>
      </c>
    </row>
    <row r="366" spans="6:57">
      <c r="F366" s="9"/>
      <c r="G366" s="22">
        <v>2.7465799999999999E-2</v>
      </c>
      <c r="H366" s="22">
        <v>8.8116000000000003</v>
      </c>
      <c r="I366" s="22">
        <v>-1.38275E-2</v>
      </c>
      <c r="J366" s="22">
        <v>356</v>
      </c>
      <c r="K366" s="22">
        <v>2.7276600000000002E-2</v>
      </c>
      <c r="L366">
        <f t="shared" si="60"/>
        <v>17.070987654320987</v>
      </c>
      <c r="M366">
        <f t="shared" si="61"/>
        <v>0.46886833271604933</v>
      </c>
      <c r="N366" s="9"/>
      <c r="O366" s="22">
        <v>1.6926600000000001</v>
      </c>
      <c r="P366" s="22">
        <v>12.671099999999999</v>
      </c>
      <c r="Q366" s="22">
        <v>-8.6425800000000004E-3</v>
      </c>
      <c r="R366" s="22">
        <v>356</v>
      </c>
      <c r="S366" s="22">
        <v>1.6918899999999999</v>
      </c>
      <c r="T366">
        <f t="shared" si="62"/>
        <v>10.669851851851853</v>
      </c>
      <c r="U366">
        <f t="shared" si="63"/>
        <v>18.060431435555557</v>
      </c>
      <c r="X366" s="9"/>
      <c r="Y366" s="22">
        <v>2.7465799999999999E-2</v>
      </c>
      <c r="Z366" s="22">
        <v>18.1479</v>
      </c>
      <c r="AA366" s="22">
        <v>-1.3842800000000001E-2</v>
      </c>
      <c r="AB366" s="22">
        <v>356</v>
      </c>
      <c r="AC366" s="22">
        <v>2.7249099999999998E-2</v>
      </c>
      <c r="AD366">
        <f t="shared" si="64"/>
        <v>17.089876543209876</v>
      </c>
      <c r="AE366">
        <f t="shared" si="65"/>
        <v>0.4693871311604938</v>
      </c>
      <c r="AF366" s="9"/>
      <c r="AG366" s="22">
        <v>1.6926600000000001</v>
      </c>
      <c r="AH366" s="22">
        <v>22.007300000000001</v>
      </c>
      <c r="AI366" s="22">
        <v>-8.6425800000000004E-3</v>
      </c>
      <c r="AJ366" s="22">
        <v>356</v>
      </c>
      <c r="AK366" s="22">
        <v>1.6918899999999999</v>
      </c>
      <c r="AL366">
        <f t="shared" si="66"/>
        <v>10.669851851851853</v>
      </c>
      <c r="AM366">
        <f t="shared" si="67"/>
        <v>18.060431435555557</v>
      </c>
      <c r="AP366" s="9"/>
      <c r="AQ366" s="22">
        <v>2.7465799999999999E-2</v>
      </c>
      <c r="AR366" s="22">
        <v>27.571100000000001</v>
      </c>
      <c r="AS366" s="22">
        <v>-1.38885E-2</v>
      </c>
      <c r="AT366" s="22">
        <v>356</v>
      </c>
      <c r="AU366" s="22">
        <v>2.7243E-2</v>
      </c>
      <c r="AV366">
        <f t="shared" si="68"/>
        <v>17.146296296296295</v>
      </c>
      <c r="AW366">
        <f t="shared" si="69"/>
        <v>0.47093674481481479</v>
      </c>
      <c r="AX366" s="9"/>
      <c r="AY366" s="22">
        <v>1.6926600000000001</v>
      </c>
      <c r="AZ366" s="22">
        <v>31.430599999999998</v>
      </c>
      <c r="BA366" s="22">
        <v>-8.8104199999999994E-3</v>
      </c>
      <c r="BB366" s="22">
        <v>356</v>
      </c>
      <c r="BC366" s="22">
        <v>1.6915899999999999</v>
      </c>
      <c r="BD366">
        <f t="shared" si="70"/>
        <v>10.877061728395059</v>
      </c>
      <c r="BE366">
        <f t="shared" si="71"/>
        <v>18.411167305185181</v>
      </c>
    </row>
    <row r="367" spans="6:57">
      <c r="F367" s="9"/>
      <c r="G367" s="22">
        <v>2.24304E-2</v>
      </c>
      <c r="H367" s="22">
        <v>8.8216699999999992</v>
      </c>
      <c r="I367" s="22">
        <v>-1.3821399999999999E-2</v>
      </c>
      <c r="J367" s="22">
        <v>357</v>
      </c>
      <c r="K367" s="22">
        <v>2.2225999999999999E-2</v>
      </c>
      <c r="L367">
        <f t="shared" si="60"/>
        <v>17.063456790123453</v>
      </c>
      <c r="M367">
        <f t="shared" si="61"/>
        <v>0.38274016118518511</v>
      </c>
      <c r="N367" s="9"/>
      <c r="O367" s="22">
        <v>1.6976899999999999</v>
      </c>
      <c r="P367" s="22">
        <v>12.681100000000001</v>
      </c>
      <c r="Q367" s="22">
        <v>-8.4289599999999992E-3</v>
      </c>
      <c r="R367" s="22">
        <v>357</v>
      </c>
      <c r="S367" s="22">
        <v>1.6970799999999999</v>
      </c>
      <c r="T367">
        <f t="shared" si="62"/>
        <v>10.406123456790121</v>
      </c>
      <c r="U367">
        <f t="shared" si="63"/>
        <v>17.666371731358019</v>
      </c>
      <c r="X367" s="9"/>
      <c r="Y367" s="22">
        <v>2.24304E-2</v>
      </c>
      <c r="Z367" s="22">
        <v>18.157900000000001</v>
      </c>
      <c r="AA367" s="22">
        <v>-1.38458E-2</v>
      </c>
      <c r="AB367" s="22">
        <v>357</v>
      </c>
      <c r="AC367" s="22">
        <v>2.2186299999999999E-2</v>
      </c>
      <c r="AD367">
        <f t="shared" si="64"/>
        <v>17.093580246913579</v>
      </c>
      <c r="AE367">
        <f t="shared" si="65"/>
        <v>0.38341584237037035</v>
      </c>
      <c r="AF367" s="9"/>
      <c r="AG367" s="22">
        <v>1.6976899999999999</v>
      </c>
      <c r="AH367" s="22">
        <v>22.017399999999999</v>
      </c>
      <c r="AI367" s="22">
        <v>-8.3770800000000003E-3</v>
      </c>
      <c r="AJ367" s="22">
        <v>357</v>
      </c>
      <c r="AK367" s="22">
        <v>1.69678</v>
      </c>
      <c r="AL367">
        <f t="shared" si="66"/>
        <v>10.342074074074073</v>
      </c>
      <c r="AM367">
        <f t="shared" si="67"/>
        <v>17.557635734814813</v>
      </c>
      <c r="AP367" s="9"/>
      <c r="AQ367" s="22">
        <v>2.24304E-2</v>
      </c>
      <c r="AR367" s="22">
        <v>27.581199999999999</v>
      </c>
      <c r="AS367" s="22">
        <v>-1.38855E-2</v>
      </c>
      <c r="AT367" s="22">
        <v>357</v>
      </c>
      <c r="AU367" s="22">
        <v>2.22229E-2</v>
      </c>
      <c r="AV367">
        <f t="shared" si="68"/>
        <v>17.142592592592592</v>
      </c>
      <c r="AW367">
        <f t="shared" si="69"/>
        <v>0.3845152088888889</v>
      </c>
      <c r="AX367" s="9"/>
      <c r="AY367" s="22">
        <v>1.6976899999999999</v>
      </c>
      <c r="AZ367" s="22">
        <v>31.4406</v>
      </c>
      <c r="BA367" s="22">
        <v>-8.5906999999999997E-3</v>
      </c>
      <c r="BB367" s="22">
        <v>357</v>
      </c>
      <c r="BC367" s="22">
        <v>1.6970799999999999</v>
      </c>
      <c r="BD367">
        <f t="shared" si="70"/>
        <v>10.605802469135801</v>
      </c>
      <c r="BE367">
        <f t="shared" si="71"/>
        <v>18.005364793827159</v>
      </c>
    </row>
    <row r="368" spans="6:57">
      <c r="F368" s="9"/>
      <c r="G368" s="22">
        <v>1.7395000000000001E-2</v>
      </c>
      <c r="H368" s="22">
        <v>8.8317399999999999</v>
      </c>
      <c r="I368" s="22">
        <v>-1.3821399999999999E-2</v>
      </c>
      <c r="J368" s="22">
        <v>358</v>
      </c>
      <c r="K368" s="22">
        <v>1.7172199999999999E-2</v>
      </c>
      <c r="L368">
        <f t="shared" si="60"/>
        <v>17.063456790123453</v>
      </c>
      <c r="M368">
        <f t="shared" si="61"/>
        <v>0.29681883086419747</v>
      </c>
      <c r="N368" s="9"/>
      <c r="O368" s="22">
        <v>1.7027300000000001</v>
      </c>
      <c r="P368" s="22">
        <v>12.6912</v>
      </c>
      <c r="Q368" s="22">
        <v>-8.1390400000000002E-3</v>
      </c>
      <c r="R368" s="22">
        <v>358</v>
      </c>
      <c r="S368" s="22">
        <v>1.7022699999999999</v>
      </c>
      <c r="T368">
        <f t="shared" si="62"/>
        <v>10.048197530864197</v>
      </c>
      <c r="U368">
        <f t="shared" si="63"/>
        <v>17.109367381728394</v>
      </c>
      <c r="X368" s="9"/>
      <c r="Y368" s="22">
        <v>1.7395000000000001E-2</v>
      </c>
      <c r="Z368" s="22">
        <v>18.167999999999999</v>
      </c>
      <c r="AA368" s="22">
        <v>-1.38458E-2</v>
      </c>
      <c r="AB368" s="22">
        <v>358</v>
      </c>
      <c r="AC368" s="22">
        <v>1.7169199999999999E-2</v>
      </c>
      <c r="AD368">
        <f t="shared" si="64"/>
        <v>17.093580246913579</v>
      </c>
      <c r="AE368">
        <f t="shared" si="65"/>
        <v>0.29734282839506171</v>
      </c>
      <c r="AF368" s="9"/>
      <c r="AG368" s="22">
        <v>1.7027300000000001</v>
      </c>
      <c r="AH368" s="22">
        <v>22.0275</v>
      </c>
      <c r="AI368" s="22">
        <v>-8.1451400000000004E-3</v>
      </c>
      <c r="AJ368" s="22">
        <v>358</v>
      </c>
      <c r="AK368" s="22">
        <v>1.70197</v>
      </c>
      <c r="AL368">
        <f t="shared" si="66"/>
        <v>10.055728395061728</v>
      </c>
      <c r="AM368">
        <f t="shared" si="67"/>
        <v>17.122190410123455</v>
      </c>
      <c r="AP368" s="9"/>
      <c r="AQ368" s="22">
        <v>1.7395000000000001E-2</v>
      </c>
      <c r="AR368" s="22">
        <v>27.591200000000001</v>
      </c>
      <c r="AS368" s="22">
        <v>-1.3894699999999999E-2</v>
      </c>
      <c r="AT368" s="22">
        <v>358</v>
      </c>
      <c r="AU368" s="22">
        <v>1.7147800000000001E-2</v>
      </c>
      <c r="AV368">
        <f t="shared" si="68"/>
        <v>17.153950617283947</v>
      </c>
      <c r="AW368">
        <f t="shared" si="69"/>
        <v>0.29839297098765427</v>
      </c>
      <c r="AX368" s="9"/>
      <c r="AY368" s="22">
        <v>1.7027300000000001</v>
      </c>
      <c r="AZ368" s="22">
        <v>31.450700000000001</v>
      </c>
      <c r="BA368" s="22">
        <v>-8.3160400000000002E-3</v>
      </c>
      <c r="BB368" s="22">
        <v>358</v>
      </c>
      <c r="BC368" s="22">
        <v>1.70258</v>
      </c>
      <c r="BD368">
        <f t="shared" si="70"/>
        <v>10.266716049382715</v>
      </c>
      <c r="BE368">
        <f t="shared" si="71"/>
        <v>17.481445418765432</v>
      </c>
    </row>
    <row r="369" spans="6:57">
      <c r="F369" s="9"/>
      <c r="G369" s="22">
        <v>1.23596E-2</v>
      </c>
      <c r="H369" s="22">
        <v>8.8418100000000006</v>
      </c>
      <c r="I369" s="22">
        <v>-1.38184E-2</v>
      </c>
      <c r="J369" s="22">
        <v>359</v>
      </c>
      <c r="K369" s="22">
        <v>1.2118500000000001E-2</v>
      </c>
      <c r="L369">
        <f t="shared" si="60"/>
        <v>17.05975308641975</v>
      </c>
      <c r="M369">
        <f t="shared" si="61"/>
        <v>0.21085172424691354</v>
      </c>
      <c r="N369" s="9"/>
      <c r="O369" s="22">
        <v>1.7077599999999999</v>
      </c>
      <c r="P369" s="22">
        <v>12.7013</v>
      </c>
      <c r="Q369" s="22">
        <v>-7.8155499999999992E-3</v>
      </c>
      <c r="R369" s="22">
        <v>359</v>
      </c>
      <c r="S369" s="22">
        <v>1.70685</v>
      </c>
      <c r="T369">
        <f t="shared" si="62"/>
        <v>9.6488271604938252</v>
      </c>
      <c r="U369">
        <f t="shared" si="63"/>
        <v>16.477881071604934</v>
      </c>
      <c r="X369" s="9"/>
      <c r="Y369" s="22">
        <v>1.23596E-2</v>
      </c>
      <c r="Z369" s="22">
        <v>18.178100000000001</v>
      </c>
      <c r="AA369" s="22">
        <v>-1.3848900000000001E-2</v>
      </c>
      <c r="AB369" s="22">
        <v>359</v>
      </c>
      <c r="AC369" s="22">
        <v>1.21887E-2</v>
      </c>
      <c r="AD369">
        <f t="shared" si="64"/>
        <v>17.09740740740741</v>
      </c>
      <c r="AE369">
        <f t="shared" si="65"/>
        <v>0.21131711659259261</v>
      </c>
      <c r="AF369" s="9"/>
      <c r="AG369" s="22">
        <v>1.7077599999999999</v>
      </c>
      <c r="AH369" s="22">
        <v>22.037500000000001</v>
      </c>
      <c r="AI369" s="22">
        <v>-7.8338599999999998E-3</v>
      </c>
      <c r="AJ369" s="22">
        <v>359</v>
      </c>
      <c r="AK369" s="22">
        <v>1.7071499999999999</v>
      </c>
      <c r="AL369">
        <f t="shared" si="66"/>
        <v>9.6714320987654308</v>
      </c>
      <c r="AM369">
        <f t="shared" si="67"/>
        <v>16.516484880987651</v>
      </c>
      <c r="AP369" s="9"/>
      <c r="AQ369" s="22">
        <v>1.23596E-2</v>
      </c>
      <c r="AR369" s="22">
        <v>27.601299999999998</v>
      </c>
      <c r="AS369" s="22">
        <v>-1.39008E-2</v>
      </c>
      <c r="AT369" s="22">
        <v>359</v>
      </c>
      <c r="AU369" s="22">
        <v>1.2124599999999999E-2</v>
      </c>
      <c r="AV369">
        <f t="shared" si="68"/>
        <v>17.161481481481481</v>
      </c>
      <c r="AW369">
        <f t="shared" si="69"/>
        <v>0.2121090465185185</v>
      </c>
      <c r="AX369" s="9"/>
      <c r="AY369" s="22">
        <v>1.7077599999999999</v>
      </c>
      <c r="AZ369" s="22">
        <v>31.460799999999999</v>
      </c>
      <c r="BA369" s="22">
        <v>-8.0139200000000008E-3</v>
      </c>
      <c r="BB369" s="22">
        <v>359</v>
      </c>
      <c r="BC369" s="22">
        <v>1.70746</v>
      </c>
      <c r="BD369">
        <f t="shared" si="70"/>
        <v>9.8937283950617285</v>
      </c>
      <c r="BE369">
        <f t="shared" si="71"/>
        <v>16.896113603950617</v>
      </c>
    </row>
    <row r="370" spans="6:57">
      <c r="F370" s="9"/>
      <c r="G370" s="22">
        <v>7.3242200000000002E-3</v>
      </c>
      <c r="H370" s="22">
        <v>8.8518799999999995</v>
      </c>
      <c r="I370" s="22">
        <v>-1.3821399999999999E-2</v>
      </c>
      <c r="J370" s="22">
        <v>360</v>
      </c>
      <c r="K370" s="22">
        <v>7.0617700000000002E-3</v>
      </c>
      <c r="L370">
        <f t="shared" si="60"/>
        <v>17.063456790123453</v>
      </c>
      <c r="M370">
        <f t="shared" si="61"/>
        <v>0.12497651149135801</v>
      </c>
      <c r="N370" s="9"/>
      <c r="O370" s="22">
        <v>1.7128000000000001</v>
      </c>
      <c r="P370" s="22">
        <v>12.711399999999999</v>
      </c>
      <c r="Q370" s="22">
        <v>-7.51953E-3</v>
      </c>
      <c r="R370" s="22">
        <v>360</v>
      </c>
      <c r="S370" s="22">
        <v>1.71143</v>
      </c>
      <c r="T370">
        <f t="shared" si="62"/>
        <v>9.2833703703703687</v>
      </c>
      <c r="U370">
        <f t="shared" si="63"/>
        <v>15.900556770370368</v>
      </c>
      <c r="X370" s="9"/>
      <c r="Y370" s="22">
        <v>7.3242200000000002E-3</v>
      </c>
      <c r="Z370" s="22">
        <v>18.188099999999999</v>
      </c>
      <c r="AA370" s="22">
        <v>-1.3854999999999999E-2</v>
      </c>
      <c r="AB370" s="22">
        <v>360</v>
      </c>
      <c r="AC370" s="22">
        <v>7.0861800000000001E-3</v>
      </c>
      <c r="AD370">
        <f t="shared" si="64"/>
        <v>17.104938271604937</v>
      </c>
      <c r="AE370">
        <f t="shared" si="65"/>
        <v>0.12528033098765431</v>
      </c>
      <c r="AF370" s="9"/>
      <c r="AG370" s="22">
        <v>1.7128000000000001</v>
      </c>
      <c r="AH370" s="22">
        <v>22.047599999999999</v>
      </c>
      <c r="AI370" s="22">
        <v>-7.5164799999999999E-3</v>
      </c>
      <c r="AJ370" s="22">
        <v>360</v>
      </c>
      <c r="AK370" s="22">
        <v>1.71173</v>
      </c>
      <c r="AL370">
        <f t="shared" si="66"/>
        <v>9.2796049382716053</v>
      </c>
      <c r="AM370">
        <f t="shared" si="67"/>
        <v>15.894107338271606</v>
      </c>
      <c r="AP370" s="9"/>
      <c r="AQ370" s="22">
        <v>7.3242200000000002E-3</v>
      </c>
      <c r="AR370" s="22">
        <v>27.6114</v>
      </c>
      <c r="AS370" s="22">
        <v>-1.39069E-2</v>
      </c>
      <c r="AT370" s="22">
        <v>360</v>
      </c>
      <c r="AU370" s="22">
        <v>7.0861800000000001E-3</v>
      </c>
      <c r="AV370">
        <f t="shared" si="68"/>
        <v>17.169012345679011</v>
      </c>
      <c r="AW370">
        <f t="shared" si="69"/>
        <v>0.12574962360246913</v>
      </c>
      <c r="AX370" s="9"/>
      <c r="AY370" s="22">
        <v>1.7128000000000001</v>
      </c>
      <c r="AZ370" s="22">
        <v>31.470800000000001</v>
      </c>
      <c r="BA370" s="22">
        <v>-7.69653E-3</v>
      </c>
      <c r="BB370" s="22">
        <v>360</v>
      </c>
      <c r="BC370" s="22">
        <v>1.71173</v>
      </c>
      <c r="BD370">
        <f t="shared" si="70"/>
        <v>9.5018888888888871</v>
      </c>
      <c r="BE370">
        <f t="shared" si="71"/>
        <v>16.274835288888887</v>
      </c>
    </row>
    <row r="371" spans="6:57">
      <c r="F371" s="9"/>
      <c r="G371" s="22">
        <v>2.28882E-3</v>
      </c>
      <c r="H371" s="22">
        <v>8.8619599999999998</v>
      </c>
      <c r="I371" s="22">
        <v>-1.38336E-2</v>
      </c>
      <c r="J371" s="22">
        <v>361</v>
      </c>
      <c r="K371" s="22">
        <v>2.03857E-3</v>
      </c>
      <c r="L371">
        <f t="shared" si="60"/>
        <v>17.078518518518518</v>
      </c>
      <c r="M371">
        <f t="shared" si="61"/>
        <v>3.9089654755555557E-2</v>
      </c>
      <c r="N371" s="9"/>
      <c r="O371" s="22">
        <v>1.71783</v>
      </c>
      <c r="P371" s="22">
        <v>12.721399999999999</v>
      </c>
      <c r="Q371" s="22">
        <v>-7.1746800000000001E-3</v>
      </c>
      <c r="R371" s="22">
        <v>361</v>
      </c>
      <c r="S371" s="22">
        <v>1.71753</v>
      </c>
      <c r="T371">
        <f t="shared" si="62"/>
        <v>8.8576296296296277</v>
      </c>
      <c r="U371">
        <f t="shared" si="63"/>
        <v>15.215901906666662</v>
      </c>
      <c r="X371" s="9"/>
      <c r="Y371" s="22">
        <v>2.28882E-3</v>
      </c>
      <c r="Z371" s="22">
        <v>18.1982</v>
      </c>
      <c r="AA371" s="22">
        <v>-1.38519E-2</v>
      </c>
      <c r="AB371" s="22">
        <v>361</v>
      </c>
      <c r="AC371" s="22">
        <v>2.0355199999999999E-3</v>
      </c>
      <c r="AD371">
        <f t="shared" si="64"/>
        <v>17.101111111111113</v>
      </c>
      <c r="AE371">
        <f t="shared" si="65"/>
        <v>3.9141365133333335E-2</v>
      </c>
      <c r="AF371" s="9"/>
      <c r="AG371" s="22">
        <v>1.71783</v>
      </c>
      <c r="AH371" s="22">
        <v>22.057700000000001</v>
      </c>
      <c r="AI371" s="22">
        <v>-7.1777300000000002E-3</v>
      </c>
      <c r="AJ371" s="22">
        <v>361</v>
      </c>
      <c r="AK371" s="22">
        <v>1.71661</v>
      </c>
      <c r="AL371">
        <f t="shared" si="66"/>
        <v>8.8613950617283948</v>
      </c>
      <c r="AM371">
        <f t="shared" si="67"/>
        <v>15.222370278888889</v>
      </c>
      <c r="AP371" s="9"/>
      <c r="AQ371" s="22">
        <v>2.28882E-3</v>
      </c>
      <c r="AR371" s="22">
        <v>27.621400000000001</v>
      </c>
      <c r="AS371" s="22">
        <v>-1.3903799999999999E-2</v>
      </c>
      <c r="AT371" s="22">
        <v>361</v>
      </c>
      <c r="AU371" s="22">
        <v>2.02637E-3</v>
      </c>
      <c r="AV371">
        <f t="shared" si="68"/>
        <v>17.165185185185184</v>
      </c>
      <c r="AW371">
        <f t="shared" si="69"/>
        <v>3.9288019155555555E-2</v>
      </c>
      <c r="AX371" s="9"/>
      <c r="AY371" s="22">
        <v>1.71783</v>
      </c>
      <c r="AZ371" s="22">
        <v>31.480899999999998</v>
      </c>
      <c r="BA371" s="22">
        <v>-7.3089599999999998E-3</v>
      </c>
      <c r="BB371" s="22">
        <v>361</v>
      </c>
      <c r="BC371" s="22">
        <v>1.71631</v>
      </c>
      <c r="BD371">
        <f t="shared" si="70"/>
        <v>9.0234074074074062</v>
      </c>
      <c r="BE371">
        <f t="shared" si="71"/>
        <v>15.500679946666665</v>
      </c>
    </row>
    <row r="372" spans="6:57">
      <c r="F372" s="9"/>
      <c r="G372" s="22">
        <v>-2.7465800000000002E-3</v>
      </c>
      <c r="H372" s="22">
        <v>8.8720300000000005</v>
      </c>
      <c r="I372" s="22">
        <v>-1.38367E-2</v>
      </c>
      <c r="J372" s="22">
        <v>362</v>
      </c>
      <c r="K372" s="22">
        <v>-3.01819E-3</v>
      </c>
      <c r="L372">
        <f t="shared" si="60"/>
        <v>17.082345679012345</v>
      </c>
      <c r="M372">
        <f t="shared" si="61"/>
        <v>-4.6918028995061728E-2</v>
      </c>
      <c r="N372" s="9"/>
      <c r="O372" s="22">
        <v>1.7228699999999999</v>
      </c>
      <c r="P372" s="22">
        <v>12.7315</v>
      </c>
      <c r="Q372" s="22">
        <v>-6.8359400000000004E-3</v>
      </c>
      <c r="R372" s="22">
        <v>362</v>
      </c>
      <c r="S372" s="22">
        <v>1.7215</v>
      </c>
      <c r="T372">
        <f t="shared" si="62"/>
        <v>8.4394320987654314</v>
      </c>
      <c r="U372">
        <f t="shared" si="63"/>
        <v>14.540044379999998</v>
      </c>
      <c r="X372" s="9"/>
      <c r="Y372" s="22">
        <v>-2.7465800000000002E-3</v>
      </c>
      <c r="Z372" s="22">
        <v>18.208300000000001</v>
      </c>
      <c r="AA372" s="22">
        <v>-1.3842800000000001E-2</v>
      </c>
      <c r="AB372" s="22">
        <v>362</v>
      </c>
      <c r="AC372" s="22">
        <v>-3.00293E-3</v>
      </c>
      <c r="AD372">
        <f t="shared" si="64"/>
        <v>17.089876543209876</v>
      </c>
      <c r="AE372">
        <f t="shared" si="65"/>
        <v>-4.6938713116049385E-2</v>
      </c>
      <c r="AF372" s="9"/>
      <c r="AG372" s="22">
        <v>1.7228699999999999</v>
      </c>
      <c r="AH372" s="22">
        <v>22.067799999999998</v>
      </c>
      <c r="AI372" s="22">
        <v>-6.7504899999999996E-3</v>
      </c>
      <c r="AJ372" s="22">
        <v>362</v>
      </c>
      <c r="AK372" s="22">
        <v>1.72272</v>
      </c>
      <c r="AL372">
        <f t="shared" si="66"/>
        <v>8.3339382716049375</v>
      </c>
      <c r="AM372">
        <f t="shared" si="67"/>
        <v>14.358292229999998</v>
      </c>
      <c r="AP372" s="9"/>
      <c r="AQ372" s="22">
        <v>-2.7465800000000002E-3</v>
      </c>
      <c r="AR372" s="22">
        <v>27.631499999999999</v>
      </c>
      <c r="AS372" s="22">
        <v>-1.3897700000000001E-2</v>
      </c>
      <c r="AT372" s="22">
        <v>362</v>
      </c>
      <c r="AU372" s="22">
        <v>-3.0548099999999998E-3</v>
      </c>
      <c r="AV372">
        <f t="shared" si="68"/>
        <v>17.157654320987653</v>
      </c>
      <c r="AW372">
        <f t="shared" si="69"/>
        <v>-4.7124870204938274E-2</v>
      </c>
      <c r="AX372" s="9"/>
      <c r="AY372" s="22">
        <v>1.7228699999999999</v>
      </c>
      <c r="AZ372" s="22">
        <v>31.491</v>
      </c>
      <c r="BA372" s="22">
        <v>-6.8725599999999998E-3</v>
      </c>
      <c r="BB372" s="22">
        <v>362</v>
      </c>
      <c r="BC372" s="22">
        <v>1.7218</v>
      </c>
      <c r="BD372">
        <f t="shared" si="70"/>
        <v>8.4846419753086408</v>
      </c>
      <c r="BE372">
        <f t="shared" si="71"/>
        <v>14.617935119999997</v>
      </c>
    </row>
    <row r="373" spans="6:57">
      <c r="F373" s="9"/>
      <c r="G373" s="22">
        <v>-7.78198E-3</v>
      </c>
      <c r="H373" s="22">
        <v>8.8820999999999994</v>
      </c>
      <c r="I373" s="22">
        <v>-1.3842800000000001E-2</v>
      </c>
      <c r="J373" s="22">
        <v>363</v>
      </c>
      <c r="K373" s="22">
        <v>-8.1024200000000008E-3</v>
      </c>
      <c r="L373">
        <f t="shared" si="60"/>
        <v>17.089876543209876</v>
      </c>
      <c r="M373">
        <f t="shared" si="61"/>
        <v>-0.13299307746172839</v>
      </c>
      <c r="N373" s="9"/>
      <c r="O373" s="22">
        <v>1.7279100000000001</v>
      </c>
      <c r="P373" s="22">
        <v>12.7416</v>
      </c>
      <c r="Q373" s="22">
        <v>-6.4239500000000003E-3</v>
      </c>
      <c r="R373" s="22">
        <v>363</v>
      </c>
      <c r="S373" s="22">
        <v>1.72668</v>
      </c>
      <c r="T373">
        <f t="shared" si="62"/>
        <v>7.9308024691358021</v>
      </c>
      <c r="U373">
        <f t="shared" si="63"/>
        <v>13.703712894444445</v>
      </c>
      <c r="X373" s="9"/>
      <c r="Y373" s="22">
        <v>-7.78198E-3</v>
      </c>
      <c r="Z373" s="22">
        <v>18.218399999999999</v>
      </c>
      <c r="AA373" s="22">
        <v>-1.38458E-2</v>
      </c>
      <c r="AB373" s="22">
        <v>363</v>
      </c>
      <c r="AC373" s="22">
        <v>-8.1115700000000002E-3</v>
      </c>
      <c r="AD373">
        <f t="shared" si="64"/>
        <v>17.093580246913579</v>
      </c>
      <c r="AE373">
        <f t="shared" si="65"/>
        <v>-0.13302189960987654</v>
      </c>
      <c r="AF373" s="9"/>
      <c r="AG373" s="22">
        <v>1.7279100000000001</v>
      </c>
      <c r="AH373" s="22">
        <v>22.0778</v>
      </c>
      <c r="AI373" s="22">
        <v>-6.3354500000000003E-3</v>
      </c>
      <c r="AJ373" s="22">
        <v>363</v>
      </c>
      <c r="AK373" s="22">
        <v>1.72699</v>
      </c>
      <c r="AL373">
        <f t="shared" si="66"/>
        <v>7.8215432098765438</v>
      </c>
      <c r="AM373">
        <f t="shared" si="67"/>
        <v>13.51492272777778</v>
      </c>
      <c r="AP373" s="9"/>
      <c r="AQ373" s="22">
        <v>-7.78198E-3</v>
      </c>
      <c r="AR373" s="22">
        <v>27.6416</v>
      </c>
      <c r="AS373" s="22">
        <v>-1.39008E-2</v>
      </c>
      <c r="AT373" s="22">
        <v>363</v>
      </c>
      <c r="AU373" s="22">
        <v>-8.0383299999999998E-3</v>
      </c>
      <c r="AV373">
        <f t="shared" si="68"/>
        <v>17.161481481481481</v>
      </c>
      <c r="AW373">
        <f t="shared" si="69"/>
        <v>-0.13355030565925927</v>
      </c>
      <c r="AX373" s="9"/>
      <c r="AY373" s="22">
        <v>1.7279100000000001</v>
      </c>
      <c r="AZ373" s="22">
        <v>31.501100000000001</v>
      </c>
      <c r="BA373" s="22">
        <v>-6.5429700000000004E-3</v>
      </c>
      <c r="BB373" s="22">
        <v>363</v>
      </c>
      <c r="BC373" s="22">
        <v>1.7276</v>
      </c>
      <c r="BD373">
        <f t="shared" si="70"/>
        <v>8.077740740740742</v>
      </c>
      <c r="BE373">
        <f t="shared" si="71"/>
        <v>13.957609003333335</v>
      </c>
    </row>
    <row r="374" spans="6:57">
      <c r="F374" s="9"/>
      <c r="G374" s="22">
        <v>-1.28174E-2</v>
      </c>
      <c r="H374" s="22">
        <v>8.8921700000000001</v>
      </c>
      <c r="I374" s="22">
        <v>-1.3848900000000001E-2</v>
      </c>
      <c r="J374" s="22">
        <v>364</v>
      </c>
      <c r="K374" s="22">
        <v>-1.31165E-2</v>
      </c>
      <c r="L374">
        <f t="shared" si="60"/>
        <v>17.09740740740741</v>
      </c>
      <c r="M374">
        <f t="shared" si="61"/>
        <v>-0.21914430970370372</v>
      </c>
      <c r="N374" s="9"/>
      <c r="O374" s="22">
        <v>1.7329399999999999</v>
      </c>
      <c r="P374" s="22">
        <v>12.7516</v>
      </c>
      <c r="Q374" s="22">
        <v>-5.94482E-3</v>
      </c>
      <c r="R374" s="22">
        <v>364</v>
      </c>
      <c r="S374" s="22">
        <v>1.73187</v>
      </c>
      <c r="T374">
        <f t="shared" si="62"/>
        <v>7.3392839506172827</v>
      </c>
      <c r="U374">
        <f t="shared" si="63"/>
        <v>12.718538729382713</v>
      </c>
      <c r="X374" s="9"/>
      <c r="Y374" s="22">
        <v>-1.28174E-2</v>
      </c>
      <c r="Z374" s="22">
        <v>18.228400000000001</v>
      </c>
      <c r="AA374" s="22">
        <v>-1.3848900000000001E-2</v>
      </c>
      <c r="AB374" s="22">
        <v>364</v>
      </c>
      <c r="AC374" s="22">
        <v>-1.31561E-2</v>
      </c>
      <c r="AD374">
        <f t="shared" si="64"/>
        <v>17.09740740740741</v>
      </c>
      <c r="AE374">
        <f t="shared" si="65"/>
        <v>-0.21914430970370372</v>
      </c>
      <c r="AF374" s="9"/>
      <c r="AG374" s="22">
        <v>1.7329399999999999</v>
      </c>
      <c r="AH374" s="22">
        <v>22.087900000000001</v>
      </c>
      <c r="AI374" s="22">
        <v>-5.8715800000000004E-3</v>
      </c>
      <c r="AJ374" s="22">
        <v>364</v>
      </c>
      <c r="AK374" s="22">
        <v>1.73248</v>
      </c>
      <c r="AL374">
        <f t="shared" si="66"/>
        <v>7.2488641975308639</v>
      </c>
      <c r="AM374">
        <f t="shared" si="67"/>
        <v>12.561846722469134</v>
      </c>
      <c r="AP374" s="9"/>
      <c r="AQ374" s="22">
        <v>-1.28174E-2</v>
      </c>
      <c r="AR374" s="22">
        <v>27.651700000000002</v>
      </c>
      <c r="AS374" s="22">
        <v>-1.3897700000000001E-2</v>
      </c>
      <c r="AT374" s="22">
        <v>364</v>
      </c>
      <c r="AU374" s="22">
        <v>-1.3125599999999999E-2</v>
      </c>
      <c r="AV374">
        <f t="shared" si="68"/>
        <v>17.157654320987653</v>
      </c>
      <c r="AW374">
        <f t="shared" si="69"/>
        <v>-0.21991651849382715</v>
      </c>
      <c r="AX374" s="9"/>
      <c r="AY374" s="22">
        <v>1.7329399999999999</v>
      </c>
      <c r="AZ374" s="22">
        <v>31.511099999999999</v>
      </c>
      <c r="BA374" s="22">
        <v>-6.0150100000000003E-3</v>
      </c>
      <c r="BB374" s="22">
        <v>364</v>
      </c>
      <c r="BC374" s="22">
        <v>1.73248</v>
      </c>
      <c r="BD374">
        <f t="shared" si="70"/>
        <v>7.425938271604938</v>
      </c>
      <c r="BE374">
        <f t="shared" si="71"/>
        <v>12.86870546839506</v>
      </c>
    </row>
    <row r="375" spans="6:57">
      <c r="F375" s="9"/>
      <c r="G375" s="22">
        <v>-1.7852799999999999E-2</v>
      </c>
      <c r="H375" s="22">
        <v>8.9022400000000008</v>
      </c>
      <c r="I375" s="22">
        <v>-1.3854999999999999E-2</v>
      </c>
      <c r="J375" s="22">
        <v>365</v>
      </c>
      <c r="K375" s="22">
        <v>-1.82007E-2</v>
      </c>
      <c r="L375">
        <f t="shared" si="60"/>
        <v>17.104938271604937</v>
      </c>
      <c r="M375">
        <f t="shared" si="61"/>
        <v>-0.30537104197530857</v>
      </c>
      <c r="N375" s="9"/>
      <c r="O375" s="22">
        <v>1.7379800000000001</v>
      </c>
      <c r="P375" s="22">
        <v>12.761699999999999</v>
      </c>
      <c r="Q375" s="22">
        <v>-5.4534900000000001E-3</v>
      </c>
      <c r="R375" s="22">
        <v>365</v>
      </c>
      <c r="S375" s="22">
        <v>1.7367600000000001</v>
      </c>
      <c r="T375">
        <f t="shared" si="62"/>
        <v>6.7327037037037032</v>
      </c>
      <c r="U375">
        <f t="shared" si="63"/>
        <v>11.701304382962963</v>
      </c>
      <c r="X375" s="9"/>
      <c r="Y375" s="22">
        <v>-1.7852799999999999E-2</v>
      </c>
      <c r="Z375" s="22">
        <v>18.238499999999998</v>
      </c>
      <c r="AA375" s="22">
        <v>-1.38519E-2</v>
      </c>
      <c r="AB375" s="22">
        <v>365</v>
      </c>
      <c r="AC375" s="22">
        <v>-1.81213E-2</v>
      </c>
      <c r="AD375">
        <f t="shared" si="64"/>
        <v>17.101111111111113</v>
      </c>
      <c r="AE375">
        <f t="shared" si="65"/>
        <v>-0.30530271644444446</v>
      </c>
      <c r="AF375" s="9"/>
      <c r="AG375" s="22">
        <v>1.7379800000000001</v>
      </c>
      <c r="AH375" s="22">
        <v>22.097999999999999</v>
      </c>
      <c r="AI375" s="22">
        <v>-5.3283699999999998E-3</v>
      </c>
      <c r="AJ375" s="22">
        <v>365</v>
      </c>
      <c r="AK375" s="22">
        <v>1.73706</v>
      </c>
      <c r="AL375">
        <f t="shared" si="66"/>
        <v>6.5782345679012337</v>
      </c>
      <c r="AM375">
        <f t="shared" si="67"/>
        <v>11.432840114320987</v>
      </c>
      <c r="AP375" s="9"/>
      <c r="AQ375" s="22">
        <v>-1.7852799999999999E-2</v>
      </c>
      <c r="AR375" s="22">
        <v>27.6617</v>
      </c>
      <c r="AS375" s="22">
        <v>-1.3903799999999999E-2</v>
      </c>
      <c r="AT375" s="22">
        <v>365</v>
      </c>
      <c r="AU375" s="22">
        <v>-1.8228100000000001E-2</v>
      </c>
      <c r="AV375">
        <f t="shared" si="68"/>
        <v>17.165185185185184</v>
      </c>
      <c r="AW375">
        <f t="shared" si="69"/>
        <v>-0.30644661807407403</v>
      </c>
      <c r="AX375" s="9"/>
      <c r="AY375" s="22">
        <v>1.7379800000000001</v>
      </c>
      <c r="AZ375" s="22">
        <v>31.5212</v>
      </c>
      <c r="BA375" s="22">
        <v>-5.4657000000000004E-3</v>
      </c>
      <c r="BB375" s="22">
        <v>365</v>
      </c>
      <c r="BC375" s="22">
        <v>1.73706</v>
      </c>
      <c r="BD375">
        <f t="shared" si="70"/>
        <v>6.7477777777777783</v>
      </c>
      <c r="BE375">
        <f t="shared" si="71"/>
        <v>11.727502822222224</v>
      </c>
    </row>
    <row r="376" spans="6:57">
      <c r="F376" s="9"/>
      <c r="G376" s="22">
        <v>-2.2888200000000001E-2</v>
      </c>
      <c r="H376" s="22">
        <v>8.9123099999999997</v>
      </c>
      <c r="I376" s="22">
        <v>-1.3854999999999999E-2</v>
      </c>
      <c r="J376" s="22">
        <v>366</v>
      </c>
      <c r="K376" s="22">
        <v>-2.32208E-2</v>
      </c>
      <c r="L376">
        <f t="shared" si="60"/>
        <v>17.104938271604937</v>
      </c>
      <c r="M376">
        <f t="shared" si="61"/>
        <v>-0.39150124814814813</v>
      </c>
      <c r="N376" s="9"/>
      <c r="O376" s="22">
        <v>1.7430099999999999</v>
      </c>
      <c r="P376" s="22">
        <v>12.771800000000001</v>
      </c>
      <c r="Q376" s="22">
        <v>-4.8818999999999998E-3</v>
      </c>
      <c r="R376" s="22">
        <v>366</v>
      </c>
      <c r="S376" s="22">
        <v>1.7422500000000001</v>
      </c>
      <c r="T376">
        <f t="shared" si="62"/>
        <v>6.0270370370370365</v>
      </c>
      <c r="U376">
        <f t="shared" si="63"/>
        <v>10.505185825925924</v>
      </c>
      <c r="X376" s="9"/>
      <c r="Y376" s="22">
        <v>-2.2888200000000001E-2</v>
      </c>
      <c r="Z376" s="22">
        <v>18.2486</v>
      </c>
      <c r="AA376" s="22">
        <v>-1.38458E-2</v>
      </c>
      <c r="AB376" s="22">
        <v>366</v>
      </c>
      <c r="AC376" s="22">
        <v>-2.3251299999999999E-2</v>
      </c>
      <c r="AD376">
        <f t="shared" si="64"/>
        <v>17.093580246913579</v>
      </c>
      <c r="AE376">
        <f t="shared" si="65"/>
        <v>-0.39124128340740738</v>
      </c>
      <c r="AF376" s="9"/>
      <c r="AG376" s="22">
        <v>1.7430099999999999</v>
      </c>
      <c r="AH376" s="22">
        <v>22.108000000000001</v>
      </c>
      <c r="AI376" s="22">
        <v>-4.7775300000000003E-3</v>
      </c>
      <c r="AJ376" s="22">
        <v>366</v>
      </c>
      <c r="AK376" s="22">
        <v>1.7422500000000001</v>
      </c>
      <c r="AL376">
        <f t="shared" si="66"/>
        <v>5.8981851851851852</v>
      </c>
      <c r="AM376">
        <f t="shared" si="67"/>
        <v>10.280595759629628</v>
      </c>
      <c r="AP376" s="9"/>
      <c r="AQ376" s="22">
        <v>-2.2888200000000001E-2</v>
      </c>
      <c r="AR376" s="22">
        <v>27.671800000000001</v>
      </c>
      <c r="AS376" s="22">
        <v>-1.39008E-2</v>
      </c>
      <c r="AT376" s="22">
        <v>366</v>
      </c>
      <c r="AU376" s="22">
        <v>-2.3251299999999999E-2</v>
      </c>
      <c r="AV376">
        <f t="shared" si="68"/>
        <v>17.161481481481481</v>
      </c>
      <c r="AW376">
        <f t="shared" si="69"/>
        <v>-0.39279542044444443</v>
      </c>
      <c r="AX376" s="9"/>
      <c r="AY376" s="22">
        <v>1.7430099999999999</v>
      </c>
      <c r="AZ376" s="22">
        <v>31.531300000000002</v>
      </c>
      <c r="BA376" s="22">
        <v>-4.9212600000000002E-3</v>
      </c>
      <c r="BB376" s="22">
        <v>366</v>
      </c>
      <c r="BC376" s="22">
        <v>1.74255</v>
      </c>
      <c r="BD376">
        <f t="shared" si="70"/>
        <v>6.0756296296296295</v>
      </c>
      <c r="BE376">
        <f t="shared" si="71"/>
        <v>10.58988320074074</v>
      </c>
    </row>
    <row r="377" spans="6:57">
      <c r="F377" s="9"/>
      <c r="G377" s="22">
        <v>-2.79236E-2</v>
      </c>
      <c r="H377" s="22">
        <v>8.9223800000000004</v>
      </c>
      <c r="I377" s="22">
        <v>-1.3858000000000001E-2</v>
      </c>
      <c r="J377" s="22">
        <v>367</v>
      </c>
      <c r="K377" s="22">
        <v>-2.83173E-2</v>
      </c>
      <c r="L377">
        <f t="shared" si="60"/>
        <v>17.10864197530864</v>
      </c>
      <c r="M377">
        <f t="shared" si="61"/>
        <v>-0.47773487506172835</v>
      </c>
      <c r="N377" s="9"/>
      <c r="O377" s="22">
        <v>1.7480500000000001</v>
      </c>
      <c r="P377" s="22">
        <v>12.7819</v>
      </c>
      <c r="Q377" s="22">
        <v>-4.2401100000000001E-3</v>
      </c>
      <c r="R377" s="22">
        <v>367</v>
      </c>
      <c r="S377" s="22">
        <v>1.7471300000000001</v>
      </c>
      <c r="T377">
        <f t="shared" si="62"/>
        <v>5.234703703703703</v>
      </c>
      <c r="U377">
        <f t="shared" si="63"/>
        <v>9.1505238092592585</v>
      </c>
      <c r="X377" s="9"/>
      <c r="Y377" s="22">
        <v>-2.79236E-2</v>
      </c>
      <c r="Z377" s="22">
        <v>18.258600000000001</v>
      </c>
      <c r="AA377" s="22">
        <v>-1.3842800000000001E-2</v>
      </c>
      <c r="AB377" s="22">
        <v>367</v>
      </c>
      <c r="AC377" s="22">
        <v>-2.82928E-2</v>
      </c>
      <c r="AD377">
        <f t="shared" si="64"/>
        <v>17.089876543209876</v>
      </c>
      <c r="AE377">
        <f t="shared" si="65"/>
        <v>-0.47721087664197526</v>
      </c>
      <c r="AF377" s="9"/>
      <c r="AG377" s="22">
        <v>1.7480500000000001</v>
      </c>
      <c r="AH377" s="22">
        <v>22.118099999999998</v>
      </c>
      <c r="AI377" s="22">
        <v>-4.0951499999999997E-3</v>
      </c>
      <c r="AJ377" s="22">
        <v>367</v>
      </c>
      <c r="AK377" s="22">
        <v>1.7471300000000001</v>
      </c>
      <c r="AL377">
        <f t="shared" si="66"/>
        <v>5.05574074074074</v>
      </c>
      <c r="AM377">
        <f t="shared" si="67"/>
        <v>8.8376876018518509</v>
      </c>
      <c r="AP377" s="9"/>
      <c r="AQ377" s="22">
        <v>-2.79236E-2</v>
      </c>
      <c r="AR377" s="22">
        <v>27.681899999999999</v>
      </c>
      <c r="AS377" s="22">
        <v>-1.39008E-2</v>
      </c>
      <c r="AT377" s="22">
        <v>367</v>
      </c>
      <c r="AU377" s="22">
        <v>-2.8243999999999998E-2</v>
      </c>
      <c r="AV377">
        <f t="shared" si="68"/>
        <v>17.161481481481481</v>
      </c>
      <c r="AW377">
        <f t="shared" si="69"/>
        <v>-0.47921034429629628</v>
      </c>
      <c r="AX377" s="9"/>
      <c r="AY377" s="22">
        <v>1.7480500000000001</v>
      </c>
      <c r="AZ377" s="22">
        <v>31.5413</v>
      </c>
      <c r="BA377" s="22">
        <v>-4.2144799999999996E-3</v>
      </c>
      <c r="BB377" s="22">
        <v>367</v>
      </c>
      <c r="BC377" s="22">
        <v>1.7468300000000001</v>
      </c>
      <c r="BD377">
        <f t="shared" si="70"/>
        <v>5.2030617283950606</v>
      </c>
      <c r="BE377">
        <f t="shared" si="71"/>
        <v>9.0952120543209869</v>
      </c>
    </row>
    <row r="378" spans="6:57">
      <c r="F378" s="9"/>
      <c r="G378" s="22">
        <v>-3.2959000000000002E-2</v>
      </c>
      <c r="H378" s="22">
        <v>8.9324499999999993</v>
      </c>
      <c r="I378" s="22">
        <v>-1.3854999999999999E-2</v>
      </c>
      <c r="J378" s="22">
        <v>368</v>
      </c>
      <c r="K378" s="22">
        <v>-3.3395399999999999E-2</v>
      </c>
      <c r="L378">
        <f t="shared" si="60"/>
        <v>17.104938271604937</v>
      </c>
      <c r="M378">
        <f t="shared" si="61"/>
        <v>-0.56376166049382714</v>
      </c>
      <c r="N378" s="9"/>
      <c r="O378" s="22">
        <v>1.75308</v>
      </c>
      <c r="P378" s="22">
        <v>12.7919</v>
      </c>
      <c r="Q378" s="22">
        <v>-3.5101300000000002E-3</v>
      </c>
      <c r="R378" s="22">
        <v>368</v>
      </c>
      <c r="S378" s="22">
        <v>1.7520100000000001</v>
      </c>
      <c r="T378">
        <f t="shared" si="62"/>
        <v>4.3334938271604937</v>
      </c>
      <c r="U378">
        <f t="shared" si="63"/>
        <v>7.5969613585185183</v>
      </c>
      <c r="X378" s="9"/>
      <c r="Y378" s="22">
        <v>-3.2959000000000002E-2</v>
      </c>
      <c r="Z378" s="22">
        <v>18.268699999999999</v>
      </c>
      <c r="AA378" s="22">
        <v>-1.38367E-2</v>
      </c>
      <c r="AB378" s="22">
        <v>368</v>
      </c>
      <c r="AC378" s="22">
        <v>-3.3325199999999999E-2</v>
      </c>
      <c r="AD378">
        <f t="shared" si="64"/>
        <v>17.082345679012345</v>
      </c>
      <c r="AE378">
        <f t="shared" si="65"/>
        <v>-0.56301703123456792</v>
      </c>
      <c r="AF378" s="9"/>
      <c r="AG378" s="22">
        <v>1.75308</v>
      </c>
      <c r="AH378" s="22">
        <v>22.1282</v>
      </c>
      <c r="AI378" s="22">
        <v>-3.3187899999999998E-3</v>
      </c>
      <c r="AJ378" s="22">
        <v>368</v>
      </c>
      <c r="AK378" s="22">
        <v>1.7526200000000001</v>
      </c>
      <c r="AL378">
        <f t="shared" si="66"/>
        <v>4.0972716049382711</v>
      </c>
      <c r="AM378">
        <f t="shared" si="67"/>
        <v>7.1828449051851839</v>
      </c>
      <c r="AP378" s="9"/>
      <c r="AQ378" s="22">
        <v>-3.2959000000000002E-2</v>
      </c>
      <c r="AR378" s="22">
        <v>27.6919</v>
      </c>
      <c r="AS378" s="22">
        <v>-1.3897700000000001E-2</v>
      </c>
      <c r="AT378" s="22">
        <v>368</v>
      </c>
      <c r="AU378" s="22">
        <v>-3.3340500000000002E-2</v>
      </c>
      <c r="AV378">
        <f t="shared" si="68"/>
        <v>17.157654320987653</v>
      </c>
      <c r="AW378">
        <f t="shared" si="69"/>
        <v>-0.56549912876543207</v>
      </c>
      <c r="AX378" s="9"/>
      <c r="AY378" s="22">
        <v>1.75308</v>
      </c>
      <c r="AZ378" s="22">
        <v>31.551400000000001</v>
      </c>
      <c r="BA378" s="22">
        <v>-3.4469600000000002E-3</v>
      </c>
      <c r="BB378" s="22">
        <v>368</v>
      </c>
      <c r="BC378" s="22">
        <v>1.7520100000000001</v>
      </c>
      <c r="BD378">
        <f t="shared" si="70"/>
        <v>4.2555061728395058</v>
      </c>
      <c r="BE378">
        <f t="shared" si="71"/>
        <v>7.4602427614814806</v>
      </c>
    </row>
    <row r="379" spans="6:57">
      <c r="F379" s="9"/>
      <c r="G379" s="22">
        <v>-3.7994399999999998E-2</v>
      </c>
      <c r="H379" s="22">
        <v>8.94252</v>
      </c>
      <c r="I379" s="22">
        <v>-1.3861099999999999E-2</v>
      </c>
      <c r="J379" s="22">
        <v>369</v>
      </c>
      <c r="K379" s="22">
        <v>-3.8372799999999999E-2</v>
      </c>
      <c r="L379">
        <f t="shared" si="60"/>
        <v>17.112469135802467</v>
      </c>
      <c r="M379">
        <f t="shared" si="61"/>
        <v>-0.65017799733333326</v>
      </c>
      <c r="N379" s="9"/>
      <c r="O379" s="22">
        <v>1.7581199999999999</v>
      </c>
      <c r="P379" s="22">
        <v>12.802</v>
      </c>
      <c r="Q379" s="22">
        <v>-2.70294E-3</v>
      </c>
      <c r="R379" s="22">
        <v>369</v>
      </c>
      <c r="S379" s="22">
        <v>1.7572000000000001</v>
      </c>
      <c r="T379">
        <f t="shared" si="62"/>
        <v>3.3369629629629625</v>
      </c>
      <c r="U379">
        <f t="shared" si="63"/>
        <v>5.8667813244444433</v>
      </c>
      <c r="X379" s="9"/>
      <c r="Y379" s="22">
        <v>-3.7994399999999998E-2</v>
      </c>
      <c r="Z379" s="22">
        <v>18.2788</v>
      </c>
      <c r="AA379" s="22">
        <v>-1.38336E-2</v>
      </c>
      <c r="AB379" s="22">
        <v>369</v>
      </c>
      <c r="AC379" s="22">
        <v>-3.8351400000000001E-2</v>
      </c>
      <c r="AD379">
        <f t="shared" si="64"/>
        <v>17.078518518518518</v>
      </c>
      <c r="AE379">
        <f t="shared" si="65"/>
        <v>-0.64888806399999988</v>
      </c>
      <c r="AF379" s="9"/>
      <c r="AG379" s="22">
        <v>1.7581199999999999</v>
      </c>
      <c r="AH379" s="22">
        <v>22.138300000000001</v>
      </c>
      <c r="AI379" s="22">
        <v>-2.38098E-3</v>
      </c>
      <c r="AJ379" s="22">
        <v>369</v>
      </c>
      <c r="AK379" s="22">
        <v>1.7568999999999999</v>
      </c>
      <c r="AL379">
        <f t="shared" si="66"/>
        <v>2.9394814814814811</v>
      </c>
      <c r="AM379">
        <f t="shared" si="67"/>
        <v>5.1679611822222213</v>
      </c>
      <c r="AP379" s="9"/>
      <c r="AQ379" s="22">
        <v>-3.7994399999999998E-2</v>
      </c>
      <c r="AR379" s="22">
        <v>27.702000000000002</v>
      </c>
      <c r="AS379" s="22">
        <v>-1.3897700000000001E-2</v>
      </c>
      <c r="AT379" s="22">
        <v>369</v>
      </c>
      <c r="AU379" s="22">
        <v>-3.8375899999999998E-2</v>
      </c>
      <c r="AV379">
        <f t="shared" si="68"/>
        <v>17.157654320987653</v>
      </c>
      <c r="AW379">
        <f t="shared" si="69"/>
        <v>-0.65189478133333323</v>
      </c>
      <c r="AX379" s="9"/>
      <c r="AY379" s="22">
        <v>1.7581199999999999</v>
      </c>
      <c r="AZ379" s="22">
        <v>31.561499999999999</v>
      </c>
      <c r="BA379" s="22">
        <v>-2.5506600000000002E-3</v>
      </c>
      <c r="BB379" s="22">
        <v>369</v>
      </c>
      <c r="BC379" s="22">
        <v>1.7575099999999999</v>
      </c>
      <c r="BD379">
        <f t="shared" si="70"/>
        <v>3.1489629629629627</v>
      </c>
      <c r="BE379">
        <f t="shared" si="71"/>
        <v>5.5362547644444442</v>
      </c>
    </row>
    <row r="380" spans="6:57">
      <c r="F380" s="9"/>
      <c r="G380" s="22">
        <v>-4.30298E-2</v>
      </c>
      <c r="H380" s="22">
        <v>8.9525900000000007</v>
      </c>
      <c r="I380" s="22">
        <v>-1.3864100000000001E-2</v>
      </c>
      <c r="J380" s="22">
        <v>370</v>
      </c>
      <c r="K380" s="22">
        <v>-4.3380700000000001E-2</v>
      </c>
      <c r="L380">
        <f t="shared" si="60"/>
        <v>17.11617283950617</v>
      </c>
      <c r="M380">
        <f t="shared" si="61"/>
        <v>-0.73650549404938259</v>
      </c>
      <c r="N380" s="9"/>
      <c r="O380" s="22">
        <v>1.76315</v>
      </c>
      <c r="P380" s="22">
        <v>12.812099999999999</v>
      </c>
      <c r="Q380" s="22">
        <v>-1.74591E-3</v>
      </c>
      <c r="R380" s="22">
        <v>370</v>
      </c>
      <c r="S380" s="22">
        <v>1.7623899999999999</v>
      </c>
      <c r="T380">
        <f t="shared" si="62"/>
        <v>2.1554444444444441</v>
      </c>
      <c r="U380">
        <f t="shared" si="63"/>
        <v>3.8003718722222217</v>
      </c>
      <c r="X380" s="9"/>
      <c r="Y380" s="22">
        <v>-4.30298E-2</v>
      </c>
      <c r="Z380" s="22">
        <v>18.288799999999998</v>
      </c>
      <c r="AA380" s="22">
        <v>-1.38306E-2</v>
      </c>
      <c r="AB380" s="22">
        <v>370</v>
      </c>
      <c r="AC380" s="22">
        <v>-4.3432600000000002E-2</v>
      </c>
      <c r="AD380">
        <f t="shared" si="64"/>
        <v>17.074814814814815</v>
      </c>
      <c r="AE380">
        <f t="shared" si="65"/>
        <v>-0.73472586651851857</v>
      </c>
      <c r="AF380" s="9"/>
      <c r="AG380" s="22">
        <v>1.76315</v>
      </c>
      <c r="AH380" s="22">
        <v>22.148299999999999</v>
      </c>
      <c r="AI380" s="22">
        <v>-1.4489699999999999E-3</v>
      </c>
      <c r="AJ380" s="22">
        <v>370</v>
      </c>
      <c r="AK380" s="22">
        <v>1.7617799999999999</v>
      </c>
      <c r="AL380">
        <f t="shared" si="66"/>
        <v>1.7888518518518517</v>
      </c>
      <c r="AM380">
        <f t="shared" si="67"/>
        <v>3.1540141425925925</v>
      </c>
      <c r="AP380" s="9"/>
      <c r="AQ380" s="22">
        <v>-4.30298E-2</v>
      </c>
      <c r="AR380" s="22">
        <v>27.7121</v>
      </c>
      <c r="AS380" s="22">
        <v>-1.38916E-2</v>
      </c>
      <c r="AT380" s="22">
        <v>370</v>
      </c>
      <c r="AU380" s="22">
        <v>-4.3423499999999997E-2</v>
      </c>
      <c r="AV380">
        <f t="shared" si="68"/>
        <v>17.150123456790123</v>
      </c>
      <c r="AW380">
        <f t="shared" si="69"/>
        <v>-0.73796638232098766</v>
      </c>
      <c r="AX380" s="9"/>
      <c r="AY380" s="22">
        <v>1.76315</v>
      </c>
      <c r="AZ380" s="22">
        <v>31.5716</v>
      </c>
      <c r="BA380" s="22">
        <v>-1.6885400000000001E-3</v>
      </c>
      <c r="BB380" s="22">
        <v>370</v>
      </c>
      <c r="BC380" s="22">
        <v>1.7623899999999999</v>
      </c>
      <c r="BD380">
        <f t="shared" si="70"/>
        <v>2.0846172839506174</v>
      </c>
      <c r="BE380">
        <f t="shared" si="71"/>
        <v>3.6754929641975309</v>
      </c>
    </row>
    <row r="381" spans="6:57">
      <c r="F381" s="9"/>
      <c r="G381" s="22">
        <v>-4.8065200000000002E-2</v>
      </c>
      <c r="H381" s="22">
        <v>8.9626699999999992</v>
      </c>
      <c r="I381" s="22">
        <v>-1.3861099999999999E-2</v>
      </c>
      <c r="J381" s="22">
        <v>371</v>
      </c>
      <c r="K381" s="22">
        <v>-4.8486300000000003E-2</v>
      </c>
      <c r="L381">
        <f t="shared" si="60"/>
        <v>17.112469135802467</v>
      </c>
      <c r="M381">
        <f t="shared" si="61"/>
        <v>-0.82251425150617274</v>
      </c>
      <c r="N381" s="9"/>
      <c r="O381" s="22">
        <v>1.7681899999999999</v>
      </c>
      <c r="P381" s="22">
        <v>12.822100000000001</v>
      </c>
      <c r="Q381" s="22">
        <v>-7.0556600000000003E-4</v>
      </c>
      <c r="R381" s="22">
        <v>371</v>
      </c>
      <c r="S381" s="22">
        <v>1.7672699999999999</v>
      </c>
      <c r="T381">
        <f t="shared" si="62"/>
        <v>0.87106913580246914</v>
      </c>
      <c r="U381">
        <f t="shared" si="63"/>
        <v>1.5402157352345678</v>
      </c>
      <c r="X381" s="9"/>
      <c r="Y381" s="22">
        <v>-4.8065200000000002E-2</v>
      </c>
      <c r="Z381" s="22">
        <v>18.2989</v>
      </c>
      <c r="AA381" s="22">
        <v>-1.38275E-2</v>
      </c>
      <c r="AB381" s="22">
        <v>371</v>
      </c>
      <c r="AC381" s="22">
        <v>-4.8471100000000003E-2</v>
      </c>
      <c r="AD381">
        <f t="shared" si="64"/>
        <v>17.070987654320987</v>
      </c>
      <c r="AE381">
        <f t="shared" si="65"/>
        <v>-0.82052043580246914</v>
      </c>
      <c r="AF381" s="9"/>
      <c r="AG381" s="22">
        <v>1.7681899999999999</v>
      </c>
      <c r="AH381" s="22">
        <v>22.1584</v>
      </c>
      <c r="AI381" s="22">
        <v>-3.2540899999999997E-4</v>
      </c>
      <c r="AJ381" s="22">
        <v>371</v>
      </c>
      <c r="AK381" s="22">
        <v>1.7669699999999999</v>
      </c>
      <c r="AL381">
        <f t="shared" si="66"/>
        <v>0.40173950617283943</v>
      </c>
      <c r="AM381">
        <f t="shared" si="67"/>
        <v>0.71035177741975297</v>
      </c>
      <c r="AP381" s="9"/>
      <c r="AQ381" s="22">
        <v>-4.8065200000000002E-2</v>
      </c>
      <c r="AR381" s="22">
        <v>27.722200000000001</v>
      </c>
      <c r="AS381" s="22">
        <v>-1.38855E-2</v>
      </c>
      <c r="AT381" s="22">
        <v>371</v>
      </c>
      <c r="AU381" s="22">
        <v>-4.8492399999999998E-2</v>
      </c>
      <c r="AV381">
        <f t="shared" si="68"/>
        <v>17.142592592592592</v>
      </c>
      <c r="AW381">
        <f t="shared" si="69"/>
        <v>-0.8239621414814815</v>
      </c>
      <c r="AX381" s="9"/>
      <c r="AY381" s="22">
        <v>1.7681899999999999</v>
      </c>
      <c r="AZ381" s="22">
        <v>31.581600000000002</v>
      </c>
      <c r="BA381" s="22">
        <v>-4.5288099999999998E-4</v>
      </c>
      <c r="BB381" s="22">
        <v>371</v>
      </c>
      <c r="BC381" s="22">
        <v>1.7672699999999999</v>
      </c>
      <c r="BD381">
        <f t="shared" si="70"/>
        <v>0.55911234567901225</v>
      </c>
      <c r="BE381">
        <f t="shared" si="71"/>
        <v>0.98861685850617265</v>
      </c>
    </row>
    <row r="382" spans="6:57">
      <c r="F382" s="9"/>
      <c r="G382" s="22">
        <v>-5.3100599999999998E-2</v>
      </c>
      <c r="H382" s="22">
        <v>8.9727399999999999</v>
      </c>
      <c r="I382" s="22">
        <v>-1.3858000000000001E-2</v>
      </c>
      <c r="J382" s="22">
        <v>372</v>
      </c>
      <c r="K382" s="22">
        <v>-5.3680400000000003E-2</v>
      </c>
      <c r="L382">
        <f t="shared" si="60"/>
        <v>17.10864197530864</v>
      </c>
      <c r="M382">
        <f t="shared" si="61"/>
        <v>-0.90847915407407387</v>
      </c>
      <c r="N382" s="9"/>
      <c r="O382" s="22">
        <v>1.77322</v>
      </c>
      <c r="P382" s="22">
        <v>12.8322</v>
      </c>
      <c r="Q382" s="22">
        <v>5.4779099999999995E-4</v>
      </c>
      <c r="R382" s="22">
        <v>372</v>
      </c>
      <c r="S382" s="22">
        <v>1.77216</v>
      </c>
      <c r="T382">
        <f t="shared" si="62"/>
        <v>-0.6762851851851851</v>
      </c>
      <c r="U382">
        <f t="shared" si="63"/>
        <v>-1.199202416074074</v>
      </c>
      <c r="X382" s="9"/>
      <c r="Y382" s="22">
        <v>-5.3100599999999998E-2</v>
      </c>
      <c r="Z382" s="22">
        <v>18.309000000000001</v>
      </c>
      <c r="AA382" s="22">
        <v>-1.38367E-2</v>
      </c>
      <c r="AB382" s="22">
        <v>372</v>
      </c>
      <c r="AC382" s="22">
        <v>-5.36499E-2</v>
      </c>
      <c r="AD382">
        <f t="shared" si="64"/>
        <v>17.082345679012345</v>
      </c>
      <c r="AE382">
        <f t="shared" si="65"/>
        <v>-0.9070828049629629</v>
      </c>
      <c r="AF382" s="9"/>
      <c r="AG382" s="22">
        <v>1.77322</v>
      </c>
      <c r="AH382" s="22">
        <v>22.168500000000002</v>
      </c>
      <c r="AI382" s="22">
        <v>9.9365200000000003E-4</v>
      </c>
      <c r="AJ382" s="22">
        <v>372</v>
      </c>
      <c r="AK382" s="22">
        <v>1.7724599999999999</v>
      </c>
      <c r="AL382">
        <f t="shared" si="66"/>
        <v>-1.226730864197531</v>
      </c>
      <c r="AM382">
        <f t="shared" si="67"/>
        <v>-2.1752637030123458</v>
      </c>
      <c r="AP382" s="9"/>
      <c r="AQ382" s="22">
        <v>-5.3100599999999998E-2</v>
      </c>
      <c r="AR382" s="22">
        <v>27.732199999999999</v>
      </c>
      <c r="AS382" s="22">
        <v>-1.3876299999999999E-2</v>
      </c>
      <c r="AT382" s="22">
        <v>372</v>
      </c>
      <c r="AU382" s="22">
        <v>-5.3619399999999998E-2</v>
      </c>
      <c r="AV382">
        <f t="shared" si="68"/>
        <v>17.131234567901231</v>
      </c>
      <c r="AW382">
        <f t="shared" si="69"/>
        <v>-0.90967883429629603</v>
      </c>
      <c r="AX382" s="9"/>
      <c r="AY382" s="22">
        <v>1.77322</v>
      </c>
      <c r="AZ382" s="22">
        <v>31.591699999999999</v>
      </c>
      <c r="BA382" s="22">
        <v>9.1003399999999999E-4</v>
      </c>
      <c r="BB382" s="22">
        <v>372</v>
      </c>
      <c r="BC382" s="22">
        <v>1.77216</v>
      </c>
      <c r="BD382">
        <f t="shared" si="70"/>
        <v>-1.1234987654320987</v>
      </c>
      <c r="BE382">
        <f t="shared" si="71"/>
        <v>-1.992210480839506</v>
      </c>
    </row>
    <row r="383" spans="6:57">
      <c r="F383" s="9"/>
      <c r="G383" s="22">
        <v>-5.8136E-2</v>
      </c>
      <c r="H383" s="22">
        <v>8.9828100000000006</v>
      </c>
      <c r="I383" s="22">
        <v>-1.3854999999999999E-2</v>
      </c>
      <c r="J383" s="22">
        <v>373</v>
      </c>
      <c r="K383" s="22">
        <v>-5.8685300000000003E-2</v>
      </c>
      <c r="L383">
        <f t="shared" si="60"/>
        <v>17.104938271604937</v>
      </c>
      <c r="M383">
        <f t="shared" si="61"/>
        <v>-0.99441269135802457</v>
      </c>
      <c r="N383" s="9"/>
      <c r="O383" s="22">
        <v>1.77826</v>
      </c>
      <c r="P383" s="22">
        <v>12.8423</v>
      </c>
      <c r="Q383" s="22">
        <v>2.1008300000000001E-3</v>
      </c>
      <c r="R383" s="22">
        <v>373</v>
      </c>
      <c r="S383" s="22">
        <v>1.77704</v>
      </c>
      <c r="T383">
        <f t="shared" si="62"/>
        <v>-2.5936172839506173</v>
      </c>
      <c r="U383">
        <f t="shared" si="63"/>
        <v>-4.6121258713580247</v>
      </c>
      <c r="X383" s="9"/>
      <c r="Y383" s="22">
        <v>-5.8136E-2</v>
      </c>
      <c r="Z383" s="22">
        <v>18.319099999999999</v>
      </c>
      <c r="AA383" s="22">
        <v>-1.38458E-2</v>
      </c>
      <c r="AB383" s="22">
        <v>373</v>
      </c>
      <c r="AC383" s="22">
        <v>-5.8593800000000001E-2</v>
      </c>
      <c r="AD383">
        <f t="shared" si="64"/>
        <v>17.093580246913579</v>
      </c>
      <c r="AE383">
        <f t="shared" si="65"/>
        <v>-0.99375238123456777</v>
      </c>
      <c r="AF383" s="9"/>
      <c r="AG383" s="22">
        <v>1.77826</v>
      </c>
      <c r="AH383" s="22">
        <v>22.1785</v>
      </c>
      <c r="AI383" s="22">
        <v>2.64343E-3</v>
      </c>
      <c r="AJ383" s="22">
        <v>373</v>
      </c>
      <c r="AK383" s="22">
        <v>1.77704</v>
      </c>
      <c r="AL383">
        <f t="shared" si="66"/>
        <v>-3.2634938271604934</v>
      </c>
      <c r="AM383">
        <f t="shared" si="67"/>
        <v>-5.803340533086419</v>
      </c>
      <c r="AP383" s="9"/>
      <c r="AQ383" s="22">
        <v>-5.8136E-2</v>
      </c>
      <c r="AR383" s="22">
        <v>27.7423</v>
      </c>
      <c r="AS383" s="22">
        <v>-1.3870199999999999E-2</v>
      </c>
      <c r="AT383" s="22">
        <v>373</v>
      </c>
      <c r="AU383" s="22">
        <v>-5.86548E-2</v>
      </c>
      <c r="AV383">
        <f t="shared" si="68"/>
        <v>17.123703703703701</v>
      </c>
      <c r="AW383">
        <f t="shared" si="69"/>
        <v>-0.99550363851851831</v>
      </c>
      <c r="AX383" s="9"/>
      <c r="AY383" s="22">
        <v>1.77826</v>
      </c>
      <c r="AZ383" s="22">
        <v>31.601800000000001</v>
      </c>
      <c r="BA383" s="22">
        <v>2.5384499999999998E-3</v>
      </c>
      <c r="BB383" s="22">
        <v>373</v>
      </c>
      <c r="BC383" s="22">
        <v>1.77704</v>
      </c>
      <c r="BD383">
        <f t="shared" si="70"/>
        <v>-3.1338888888888885</v>
      </c>
      <c r="BE383">
        <f t="shared" si="71"/>
        <v>-5.5728692555555543</v>
      </c>
    </row>
    <row r="384" spans="6:57">
      <c r="F384" s="9"/>
      <c r="G384" s="22">
        <v>-6.3171400000000003E-2</v>
      </c>
      <c r="H384" s="22">
        <v>8.9928799999999995</v>
      </c>
      <c r="I384" s="22">
        <v>-1.3854999999999999E-2</v>
      </c>
      <c r="J384" s="22">
        <v>374</v>
      </c>
      <c r="K384" s="22">
        <v>-6.3751199999999994E-2</v>
      </c>
      <c r="L384">
        <f t="shared" si="60"/>
        <v>17.104938271604937</v>
      </c>
      <c r="M384">
        <f t="shared" si="61"/>
        <v>-1.0805428975308642</v>
      </c>
      <c r="N384" s="9"/>
      <c r="O384" s="22">
        <v>1.78329</v>
      </c>
      <c r="P384" s="22">
        <v>12.852399999999999</v>
      </c>
      <c r="Q384" s="22">
        <v>3.9263900000000001E-3</v>
      </c>
      <c r="R384" s="22">
        <v>374</v>
      </c>
      <c r="S384" s="22">
        <v>1.78223</v>
      </c>
      <c r="T384">
        <f t="shared" si="62"/>
        <v>-4.8473950617283954</v>
      </c>
      <c r="U384">
        <f t="shared" si="63"/>
        <v>-8.6443111396296306</v>
      </c>
      <c r="X384" s="9"/>
      <c r="Y384" s="22">
        <v>-6.3171400000000003E-2</v>
      </c>
      <c r="Z384" s="22">
        <v>18.3291</v>
      </c>
      <c r="AA384" s="22">
        <v>-1.38397E-2</v>
      </c>
      <c r="AB384" s="22">
        <v>374</v>
      </c>
      <c r="AC384" s="22">
        <v>-6.3751199999999994E-2</v>
      </c>
      <c r="AD384">
        <f t="shared" si="64"/>
        <v>17.086049382716048</v>
      </c>
      <c r="AE384">
        <f t="shared" si="65"/>
        <v>-1.0793496599753085</v>
      </c>
      <c r="AF384" s="9"/>
      <c r="AG384" s="22">
        <v>1.78329</v>
      </c>
      <c r="AH384" s="22">
        <v>22.188600000000001</v>
      </c>
      <c r="AI384" s="22">
        <v>4.5977800000000001E-3</v>
      </c>
      <c r="AJ384" s="22">
        <v>374</v>
      </c>
      <c r="AK384" s="22">
        <v>1.78284</v>
      </c>
      <c r="AL384">
        <f t="shared" si="66"/>
        <v>-5.6762716049382718</v>
      </c>
      <c r="AM384">
        <f t="shared" si="67"/>
        <v>-10.122438390370371</v>
      </c>
      <c r="AP384" s="9"/>
      <c r="AQ384" s="22">
        <v>-6.3171400000000003E-2</v>
      </c>
      <c r="AR384" s="22">
        <v>27.752400000000002</v>
      </c>
      <c r="AS384" s="22">
        <v>-1.38733E-2</v>
      </c>
      <c r="AT384" s="22">
        <v>374</v>
      </c>
      <c r="AU384" s="22">
        <v>-6.3720700000000005E-2</v>
      </c>
      <c r="AV384">
        <f t="shared" si="68"/>
        <v>17.127530864197528</v>
      </c>
      <c r="AW384">
        <f t="shared" si="69"/>
        <v>-1.0819701032345677</v>
      </c>
      <c r="AX384" s="9"/>
      <c r="AY384" s="22">
        <v>1.78329</v>
      </c>
      <c r="AZ384" s="22">
        <v>31.611799999999999</v>
      </c>
      <c r="BA384" s="22">
        <v>4.3347200000000002E-3</v>
      </c>
      <c r="BB384" s="22">
        <v>374</v>
      </c>
      <c r="BC384" s="22">
        <v>1.7825299999999999</v>
      </c>
      <c r="BD384">
        <f t="shared" si="70"/>
        <v>-5.3515061728395068</v>
      </c>
      <c r="BE384">
        <f t="shared" si="71"/>
        <v>-9.5432874429629635</v>
      </c>
    </row>
    <row r="385" spans="6:57">
      <c r="F385" s="9"/>
      <c r="G385" s="22">
        <v>-6.8206799999999998E-2</v>
      </c>
      <c r="H385" s="22">
        <v>9.0029500000000002</v>
      </c>
      <c r="I385" s="22">
        <v>-1.38519E-2</v>
      </c>
      <c r="J385" s="22">
        <v>375</v>
      </c>
      <c r="K385" s="22">
        <v>-6.8786600000000003E-2</v>
      </c>
      <c r="L385">
        <f t="shared" si="60"/>
        <v>17.101111111111113</v>
      </c>
      <c r="M385">
        <f t="shared" si="61"/>
        <v>-1.1664120653333334</v>
      </c>
      <c r="N385" s="9"/>
      <c r="O385" s="22">
        <v>1.78833</v>
      </c>
      <c r="P385" s="22">
        <v>12.862399999999999</v>
      </c>
      <c r="Q385" s="22">
        <v>6.0730000000000003E-3</v>
      </c>
      <c r="R385" s="22">
        <v>375</v>
      </c>
      <c r="S385" s="22">
        <v>1.78772</v>
      </c>
      <c r="T385">
        <f t="shared" si="62"/>
        <v>-7.4975308641975307</v>
      </c>
      <c r="U385">
        <f t="shared" si="63"/>
        <v>-13.408059370370371</v>
      </c>
      <c r="X385" s="9"/>
      <c r="Y385" s="22">
        <v>-6.8206799999999998E-2</v>
      </c>
      <c r="Z385" s="22">
        <v>18.339200000000002</v>
      </c>
      <c r="AA385" s="22">
        <v>-1.38458E-2</v>
      </c>
      <c r="AB385" s="22">
        <v>375</v>
      </c>
      <c r="AC385" s="22">
        <v>-6.8725599999999998E-2</v>
      </c>
      <c r="AD385">
        <f t="shared" si="64"/>
        <v>17.093580246913579</v>
      </c>
      <c r="AE385">
        <f t="shared" si="65"/>
        <v>-1.1658984091851849</v>
      </c>
      <c r="AF385" s="9"/>
      <c r="AG385" s="22">
        <v>1.78833</v>
      </c>
      <c r="AH385" s="22">
        <v>22.198699999999999</v>
      </c>
      <c r="AI385" s="22">
        <v>6.8878200000000002E-3</v>
      </c>
      <c r="AJ385" s="22">
        <v>375</v>
      </c>
      <c r="AK385" s="22">
        <v>1.78711</v>
      </c>
      <c r="AL385">
        <f t="shared" si="66"/>
        <v>-8.5034814814814812</v>
      </c>
      <c r="AM385">
        <f t="shared" si="67"/>
        <v>-15.207031037777776</v>
      </c>
      <c r="AP385" s="9"/>
      <c r="AQ385" s="22">
        <v>-6.8206799999999998E-2</v>
      </c>
      <c r="AR385" s="22">
        <v>27.7624</v>
      </c>
      <c r="AS385" s="22">
        <v>-1.38794E-2</v>
      </c>
      <c r="AT385" s="22">
        <v>375</v>
      </c>
      <c r="AU385" s="22">
        <v>-6.8756100000000001E-2</v>
      </c>
      <c r="AV385">
        <f t="shared" si="68"/>
        <v>17.135061728395058</v>
      </c>
      <c r="AW385">
        <f t="shared" si="69"/>
        <v>-1.168727728296296</v>
      </c>
      <c r="AX385" s="9"/>
      <c r="AY385" s="22">
        <v>1.78833</v>
      </c>
      <c r="AZ385" s="22">
        <v>31.6219</v>
      </c>
      <c r="BA385" s="22">
        <v>6.44226E-3</v>
      </c>
      <c r="BB385" s="22">
        <v>375</v>
      </c>
      <c r="BC385" s="22">
        <v>1.7874099999999999</v>
      </c>
      <c r="BD385">
        <f t="shared" si="70"/>
        <v>-7.9534074074074077</v>
      </c>
      <c r="BE385">
        <f t="shared" si="71"/>
        <v>-14.223317068888889</v>
      </c>
    </row>
    <row r="386" spans="6:57">
      <c r="F386" s="9"/>
      <c r="G386" s="22">
        <v>-7.3242199999999993E-2</v>
      </c>
      <c r="H386" s="22">
        <v>9.0130199999999991</v>
      </c>
      <c r="I386" s="22">
        <v>-1.3854999999999999E-2</v>
      </c>
      <c r="J386" s="22">
        <v>376</v>
      </c>
      <c r="K386" s="22">
        <v>-7.3760999999999993E-2</v>
      </c>
      <c r="L386">
        <f t="shared" si="60"/>
        <v>17.104938271604937</v>
      </c>
      <c r="M386">
        <f t="shared" si="61"/>
        <v>-1.252803309876543</v>
      </c>
      <c r="N386" s="9"/>
      <c r="O386" s="22">
        <v>1.7933699999999999</v>
      </c>
      <c r="P386" s="22">
        <v>12.8725</v>
      </c>
      <c r="Q386" s="22">
        <v>8.6059599999999993E-3</v>
      </c>
      <c r="R386" s="22">
        <v>376</v>
      </c>
      <c r="S386" s="22">
        <v>1.7926</v>
      </c>
      <c r="T386">
        <f t="shared" si="62"/>
        <v>-10.62464197530864</v>
      </c>
      <c r="U386">
        <f t="shared" si="63"/>
        <v>-19.053914179259255</v>
      </c>
      <c r="X386" s="9"/>
      <c r="Y386" s="22">
        <v>-7.3242199999999993E-2</v>
      </c>
      <c r="Z386" s="22">
        <v>18.349299999999999</v>
      </c>
      <c r="AA386" s="22">
        <v>-1.38519E-2</v>
      </c>
      <c r="AB386" s="22">
        <v>376</v>
      </c>
      <c r="AC386" s="22">
        <v>-7.3821999999999999E-2</v>
      </c>
      <c r="AD386">
        <f t="shared" si="64"/>
        <v>17.101111111111113</v>
      </c>
      <c r="AE386">
        <f t="shared" si="65"/>
        <v>-1.2525230002222223</v>
      </c>
      <c r="AF386" s="9"/>
      <c r="AG386" s="22">
        <v>1.7933699999999999</v>
      </c>
      <c r="AH386" s="22">
        <v>22.2087</v>
      </c>
      <c r="AI386" s="22">
        <v>9.8754900000000007E-3</v>
      </c>
      <c r="AJ386" s="22">
        <v>376</v>
      </c>
      <c r="AK386" s="22">
        <v>1.7923</v>
      </c>
      <c r="AL386">
        <f t="shared" si="66"/>
        <v>-12.191962962962963</v>
      </c>
      <c r="AM386">
        <f t="shared" si="67"/>
        <v>-21.864700618888886</v>
      </c>
      <c r="AP386" s="9"/>
      <c r="AQ386" s="22">
        <v>-7.3242199999999993E-2</v>
      </c>
      <c r="AR386" s="22">
        <v>27.772500000000001</v>
      </c>
      <c r="AS386" s="22">
        <v>-1.3876299999999999E-2</v>
      </c>
      <c r="AT386" s="22">
        <v>376</v>
      </c>
      <c r="AU386" s="22">
        <v>-7.3791499999999996E-2</v>
      </c>
      <c r="AV386">
        <f t="shared" si="68"/>
        <v>17.131234567901231</v>
      </c>
      <c r="AW386">
        <f t="shared" si="69"/>
        <v>-1.2547293084691353</v>
      </c>
      <c r="AX386" s="9"/>
      <c r="AY386" s="22">
        <v>1.7933699999999999</v>
      </c>
      <c r="AZ386" s="22">
        <v>31.632000000000001</v>
      </c>
      <c r="BA386" s="22">
        <v>9.2040999999999998E-3</v>
      </c>
      <c r="BB386" s="22">
        <v>376</v>
      </c>
      <c r="BC386" s="22">
        <v>1.7926</v>
      </c>
      <c r="BD386">
        <f t="shared" si="70"/>
        <v>-11.363086419753087</v>
      </c>
      <c r="BE386">
        <f t="shared" si="71"/>
        <v>-20.378218292592592</v>
      </c>
    </row>
    <row r="387" spans="6:57">
      <c r="F387" s="9"/>
      <c r="G387" s="22">
        <v>-7.8277600000000003E-2</v>
      </c>
      <c r="H387" s="22">
        <v>9.0230899999999998</v>
      </c>
      <c r="I387" s="22">
        <v>-1.3854999999999999E-2</v>
      </c>
      <c r="J387" s="22">
        <v>377</v>
      </c>
      <c r="K387" s="22">
        <v>-7.8857399999999994E-2</v>
      </c>
      <c r="L387">
        <f t="shared" si="60"/>
        <v>17.104938271604937</v>
      </c>
      <c r="M387">
        <f t="shared" si="61"/>
        <v>-1.3389335160493827</v>
      </c>
      <c r="N387" s="9"/>
      <c r="O387" s="22">
        <v>1.7984</v>
      </c>
      <c r="P387" s="22">
        <v>12.8826</v>
      </c>
      <c r="Q387" s="22">
        <v>1.2057500000000001E-2</v>
      </c>
      <c r="R387" s="22">
        <v>377</v>
      </c>
      <c r="S387" s="22">
        <v>1.79718</v>
      </c>
      <c r="T387">
        <f t="shared" si="62"/>
        <v>-14.885802469135802</v>
      </c>
      <c r="U387">
        <f t="shared" si="63"/>
        <v>-26.770627160493827</v>
      </c>
      <c r="X387" s="9"/>
      <c r="Y387" s="22">
        <v>-7.8277600000000003E-2</v>
      </c>
      <c r="Z387" s="22">
        <v>18.359300000000001</v>
      </c>
      <c r="AA387" s="22">
        <v>-1.3858000000000001E-2</v>
      </c>
      <c r="AB387" s="22">
        <v>377</v>
      </c>
      <c r="AC387" s="22">
        <v>-7.8826900000000005E-2</v>
      </c>
      <c r="AD387">
        <f t="shared" si="64"/>
        <v>17.10864197530864</v>
      </c>
      <c r="AE387">
        <f t="shared" si="65"/>
        <v>-1.3392234330864197</v>
      </c>
      <c r="AF387" s="9"/>
      <c r="AG387" s="22">
        <v>1.7984</v>
      </c>
      <c r="AH387" s="22">
        <v>22.218800000000002</v>
      </c>
      <c r="AI387" s="22">
        <v>1.3473499999999999E-2</v>
      </c>
      <c r="AJ387" s="22">
        <v>377</v>
      </c>
      <c r="AK387" s="22">
        <v>1.79779</v>
      </c>
      <c r="AL387">
        <f t="shared" si="66"/>
        <v>-16.633950617283947</v>
      </c>
      <c r="AM387">
        <f t="shared" si="67"/>
        <v>-29.914496790123451</v>
      </c>
      <c r="AP387" s="9"/>
      <c r="AQ387" s="22">
        <v>-7.8277600000000003E-2</v>
      </c>
      <c r="AR387" s="22">
        <v>27.782599999999999</v>
      </c>
      <c r="AS387" s="22">
        <v>-1.38824E-2</v>
      </c>
      <c r="AT387" s="22">
        <v>377</v>
      </c>
      <c r="AU387" s="22">
        <v>-7.8857399999999994E-2</v>
      </c>
      <c r="AV387">
        <f t="shared" si="68"/>
        <v>17.138765432098765</v>
      </c>
      <c r="AW387">
        <f t="shared" si="69"/>
        <v>-1.3415814249876543</v>
      </c>
      <c r="AX387" s="9"/>
      <c r="AY387" s="22">
        <v>1.7984</v>
      </c>
      <c r="AZ387" s="22">
        <v>31.642099999999999</v>
      </c>
      <c r="BA387" s="22">
        <v>1.2896700000000001E-2</v>
      </c>
      <c r="BB387" s="22">
        <v>377</v>
      </c>
      <c r="BC387" s="22">
        <v>1.79749</v>
      </c>
      <c r="BD387">
        <f t="shared" si="70"/>
        <v>-15.92185185185185</v>
      </c>
      <c r="BE387">
        <f t="shared" si="71"/>
        <v>-28.633858370370366</v>
      </c>
    </row>
    <row r="388" spans="6:57">
      <c r="F388" s="9"/>
      <c r="G388" s="22">
        <v>-8.3312999999999998E-2</v>
      </c>
      <c r="H388" s="22">
        <v>9.0331600000000005</v>
      </c>
      <c r="I388" s="22">
        <v>-1.3861099999999999E-2</v>
      </c>
      <c r="J388" s="22">
        <v>378</v>
      </c>
      <c r="K388" s="22">
        <v>-8.3892800000000003E-2</v>
      </c>
      <c r="L388">
        <f t="shared" si="60"/>
        <v>17.112469135802467</v>
      </c>
      <c r="M388">
        <f t="shared" si="61"/>
        <v>-1.4256911411111108</v>
      </c>
      <c r="N388" s="9"/>
      <c r="O388" s="22">
        <v>1.8034399999999999</v>
      </c>
      <c r="P388" s="22">
        <v>12.8926</v>
      </c>
      <c r="Q388" s="22">
        <v>1.6079699999999999E-2</v>
      </c>
      <c r="R388" s="22">
        <v>378</v>
      </c>
      <c r="S388" s="22">
        <v>1.80267</v>
      </c>
      <c r="T388">
        <f t="shared" si="62"/>
        <v>-19.851481481481482</v>
      </c>
      <c r="U388">
        <f t="shared" si="63"/>
        <v>-35.800955762962964</v>
      </c>
      <c r="X388" s="9"/>
      <c r="Y388" s="22">
        <v>-8.3312999999999998E-2</v>
      </c>
      <c r="Z388" s="22">
        <v>18.369399999999999</v>
      </c>
      <c r="AA388" s="22">
        <v>-1.3864100000000001E-2</v>
      </c>
      <c r="AB388" s="22">
        <v>378</v>
      </c>
      <c r="AC388" s="22">
        <v>-8.3862300000000001E-2</v>
      </c>
      <c r="AD388">
        <f t="shared" si="64"/>
        <v>17.11617283950617</v>
      </c>
      <c r="AE388">
        <f t="shared" si="65"/>
        <v>-1.4259997077777775</v>
      </c>
      <c r="AF388" s="9"/>
      <c r="AG388" s="22">
        <v>1.8034399999999999</v>
      </c>
      <c r="AH388" s="22">
        <v>22.228899999999999</v>
      </c>
      <c r="AI388" s="22">
        <v>1.80237E-2</v>
      </c>
      <c r="AJ388" s="22">
        <v>378</v>
      </c>
      <c r="AK388" s="22">
        <v>1.80267</v>
      </c>
      <c r="AL388">
        <f t="shared" si="66"/>
        <v>-22.251481481481481</v>
      </c>
      <c r="AM388">
        <f t="shared" si="67"/>
        <v>-40.12921176296296</v>
      </c>
      <c r="AP388" s="9"/>
      <c r="AQ388" s="22">
        <v>-8.3312999999999998E-2</v>
      </c>
      <c r="AR388" s="22">
        <v>27.7926</v>
      </c>
      <c r="AS388" s="22">
        <v>-1.38916E-2</v>
      </c>
      <c r="AT388" s="22">
        <v>378</v>
      </c>
      <c r="AU388" s="22">
        <v>-8.3953899999999998E-2</v>
      </c>
      <c r="AV388">
        <f t="shared" si="68"/>
        <v>17.150123456790123</v>
      </c>
      <c r="AW388">
        <f t="shared" si="69"/>
        <v>-1.4288282355555555</v>
      </c>
      <c r="AX388" s="9"/>
      <c r="AY388" s="22">
        <v>1.8034399999999999</v>
      </c>
      <c r="AZ388" s="22">
        <v>31.652100000000001</v>
      </c>
      <c r="BA388" s="22">
        <v>1.71387E-2</v>
      </c>
      <c r="BB388" s="22">
        <v>378</v>
      </c>
      <c r="BC388" s="22">
        <v>1.80267</v>
      </c>
      <c r="BD388">
        <f t="shared" si="70"/>
        <v>-21.158888888888885</v>
      </c>
      <c r="BE388">
        <f t="shared" si="71"/>
        <v>-38.158786577777768</v>
      </c>
    </row>
    <row r="389" spans="6:57">
      <c r="F389" s="9"/>
      <c r="G389" s="22">
        <v>-8.8348399999999994E-2</v>
      </c>
      <c r="H389" s="22">
        <v>9.0432299999999994</v>
      </c>
      <c r="I389" s="22">
        <v>-1.38672E-2</v>
      </c>
      <c r="J389" s="22">
        <v>379</v>
      </c>
      <c r="K389" s="22">
        <v>-8.8897699999999996E-2</v>
      </c>
      <c r="L389">
        <f t="shared" si="60"/>
        <v>17.12</v>
      </c>
      <c r="M389">
        <f t="shared" si="61"/>
        <v>-1.5125246079999999</v>
      </c>
      <c r="N389" s="9"/>
      <c r="O389" s="22">
        <v>1.80847</v>
      </c>
      <c r="P389" s="22">
        <v>12.902699999999999</v>
      </c>
      <c r="Q389" s="22">
        <v>2.1438599999999999E-2</v>
      </c>
      <c r="R389" s="22">
        <v>379</v>
      </c>
      <c r="S389" s="22">
        <v>1.8075600000000001</v>
      </c>
      <c r="T389">
        <f t="shared" si="62"/>
        <v>-26.467407407407403</v>
      </c>
      <c r="U389">
        <f t="shared" si="63"/>
        <v>-47.865512274074071</v>
      </c>
      <c r="X389" s="9"/>
      <c r="Y389" s="22">
        <v>-8.8348399999999994E-2</v>
      </c>
      <c r="Z389" s="22">
        <v>18.3795</v>
      </c>
      <c r="AA389" s="22">
        <v>-1.38733E-2</v>
      </c>
      <c r="AB389" s="22">
        <v>379</v>
      </c>
      <c r="AC389" s="22">
        <v>-8.8897699999999996E-2</v>
      </c>
      <c r="AD389">
        <f t="shared" si="64"/>
        <v>17.127530864197528</v>
      </c>
      <c r="AE389">
        <f t="shared" si="65"/>
        <v>-1.5131899478024688</v>
      </c>
      <c r="AF389" s="9"/>
      <c r="AG389" s="22">
        <v>1.80847</v>
      </c>
      <c r="AH389" s="22">
        <v>22.239000000000001</v>
      </c>
      <c r="AI389" s="22">
        <v>2.3754899999999999E-2</v>
      </c>
      <c r="AJ389" s="22">
        <v>379</v>
      </c>
      <c r="AK389" s="22">
        <v>1.8075600000000001</v>
      </c>
      <c r="AL389">
        <f t="shared" si="66"/>
        <v>-29.327037037037034</v>
      </c>
      <c r="AM389">
        <f t="shared" si="67"/>
        <v>-53.037066670370365</v>
      </c>
      <c r="AP389" s="9"/>
      <c r="AQ389" s="22">
        <v>-8.8348399999999994E-2</v>
      </c>
      <c r="AR389" s="22">
        <v>27.802700000000002</v>
      </c>
      <c r="AS389" s="22">
        <v>-1.3894699999999999E-2</v>
      </c>
      <c r="AT389" s="22">
        <v>379</v>
      </c>
      <c r="AU389" s="22">
        <v>-8.8867199999999993E-2</v>
      </c>
      <c r="AV389">
        <f t="shared" si="68"/>
        <v>17.153950617283947</v>
      </c>
      <c r="AW389">
        <f t="shared" si="69"/>
        <v>-1.515524090716049</v>
      </c>
      <c r="AX389" s="9"/>
      <c r="AY389" s="22">
        <v>1.80847</v>
      </c>
      <c r="AZ389" s="22">
        <v>31.662199999999999</v>
      </c>
      <c r="BA389" s="22">
        <v>2.2936999999999999E-2</v>
      </c>
      <c r="BB389" s="22">
        <v>379</v>
      </c>
      <c r="BC389" s="22">
        <v>1.8075600000000001</v>
      </c>
      <c r="BD389">
        <f t="shared" si="70"/>
        <v>-28.317283950617281</v>
      </c>
      <c r="BE389">
        <f t="shared" si="71"/>
        <v>-51.210958506172837</v>
      </c>
    </row>
    <row r="390" spans="6:57">
      <c r="F390" s="9"/>
      <c r="G390" s="22">
        <v>-9.3383800000000003E-2</v>
      </c>
      <c r="H390" s="22">
        <v>9.0533000000000001</v>
      </c>
      <c r="I390" s="22">
        <v>-1.38733E-2</v>
      </c>
      <c r="J390" s="22">
        <v>380</v>
      </c>
      <c r="K390" s="22">
        <v>-9.3902600000000003E-2</v>
      </c>
      <c r="L390">
        <f t="shared" si="60"/>
        <v>17.127530864197528</v>
      </c>
      <c r="M390">
        <f t="shared" si="61"/>
        <v>-1.5994339167160492</v>
      </c>
      <c r="N390" s="9"/>
      <c r="O390" s="22">
        <v>1.81351</v>
      </c>
      <c r="P390" s="22">
        <v>12.912800000000001</v>
      </c>
      <c r="Q390" s="22">
        <v>2.76794E-2</v>
      </c>
      <c r="R390" s="22">
        <v>380</v>
      </c>
      <c r="S390" s="22">
        <v>1.81274</v>
      </c>
      <c r="T390">
        <f t="shared" si="62"/>
        <v>-34.172098765432096</v>
      </c>
      <c r="U390">
        <f t="shared" si="63"/>
        <v>-61.971442832098759</v>
      </c>
      <c r="X390" s="9"/>
      <c r="Y390" s="22">
        <v>-9.3383800000000003E-2</v>
      </c>
      <c r="Z390" s="22">
        <v>18.389600000000002</v>
      </c>
      <c r="AA390" s="22">
        <v>-1.38733E-2</v>
      </c>
      <c r="AB390" s="22">
        <v>380</v>
      </c>
      <c r="AC390" s="22">
        <v>-9.3963599999999994E-2</v>
      </c>
      <c r="AD390">
        <f t="shared" si="64"/>
        <v>17.127530864197528</v>
      </c>
      <c r="AE390">
        <f t="shared" si="65"/>
        <v>-1.5994339167160492</v>
      </c>
      <c r="AF390" s="9"/>
      <c r="AG390" s="22">
        <v>1.81351</v>
      </c>
      <c r="AH390" s="22">
        <v>22.248999999999999</v>
      </c>
      <c r="AI390" s="22">
        <v>3.08411E-2</v>
      </c>
      <c r="AJ390" s="22">
        <v>380</v>
      </c>
      <c r="AK390" s="22">
        <v>1.8124400000000001</v>
      </c>
      <c r="AL390">
        <f t="shared" si="66"/>
        <v>-38.075432098765432</v>
      </c>
      <c r="AM390">
        <f t="shared" si="67"/>
        <v>-69.050176865432093</v>
      </c>
      <c r="AP390" s="9"/>
      <c r="AQ390" s="22">
        <v>-9.3383800000000003E-2</v>
      </c>
      <c r="AR390" s="22">
        <v>27.812799999999999</v>
      </c>
      <c r="AS390" s="22">
        <v>-1.39008E-2</v>
      </c>
      <c r="AT390" s="22">
        <v>380</v>
      </c>
      <c r="AU390" s="22">
        <v>-9.3994099999999997E-2</v>
      </c>
      <c r="AV390">
        <f t="shared" si="68"/>
        <v>17.161481481481481</v>
      </c>
      <c r="AW390">
        <f t="shared" si="69"/>
        <v>-1.6026043543703703</v>
      </c>
      <c r="AX390" s="9"/>
      <c r="AY390" s="22">
        <v>1.81351</v>
      </c>
      <c r="AZ390" s="22">
        <v>31.6723</v>
      </c>
      <c r="BA390" s="22">
        <v>2.9595900000000001E-2</v>
      </c>
      <c r="BB390" s="22">
        <v>380</v>
      </c>
      <c r="BC390" s="22">
        <v>1.8124400000000001</v>
      </c>
      <c r="BD390">
        <f t="shared" si="70"/>
        <v>-36.538148148148146</v>
      </c>
      <c r="BE390">
        <f t="shared" si="71"/>
        <v>-66.262297048148142</v>
      </c>
    </row>
    <row r="391" spans="6:57">
      <c r="F391" s="9"/>
      <c r="G391" s="22">
        <v>-9.8419199999999998E-2</v>
      </c>
      <c r="H391" s="22">
        <v>9.0633800000000004</v>
      </c>
      <c r="I391" s="22">
        <v>-1.3870199999999999E-2</v>
      </c>
      <c r="J391" s="22">
        <v>381</v>
      </c>
      <c r="K391" s="22">
        <v>-9.8937999999999998E-2</v>
      </c>
      <c r="L391">
        <f t="shared" si="60"/>
        <v>17.123703703703701</v>
      </c>
      <c r="M391">
        <f t="shared" si="61"/>
        <v>-1.6853012195555552</v>
      </c>
      <c r="N391" s="9"/>
      <c r="O391" s="22">
        <v>1.81854</v>
      </c>
      <c r="P391" s="22">
        <v>12.922800000000001</v>
      </c>
      <c r="Q391" s="22">
        <v>3.5415599999999998E-2</v>
      </c>
      <c r="R391" s="22">
        <v>381</v>
      </c>
      <c r="S391" s="22">
        <v>1.81793</v>
      </c>
      <c r="T391">
        <f t="shared" si="62"/>
        <v>-43.72296296296296</v>
      </c>
      <c r="U391">
        <f t="shared" si="63"/>
        <v>-79.511957066666668</v>
      </c>
      <c r="X391" s="9"/>
      <c r="Y391" s="22">
        <v>-9.8419199999999998E-2</v>
      </c>
      <c r="Z391" s="22">
        <v>18.3996</v>
      </c>
      <c r="AA391" s="22">
        <v>-1.3870199999999999E-2</v>
      </c>
      <c r="AB391" s="22">
        <v>381</v>
      </c>
      <c r="AC391" s="22">
        <v>-9.8968500000000001E-2</v>
      </c>
      <c r="AD391">
        <f t="shared" si="64"/>
        <v>17.123703703703701</v>
      </c>
      <c r="AE391">
        <f t="shared" si="65"/>
        <v>-1.6853012195555552</v>
      </c>
      <c r="AF391" s="9"/>
      <c r="AG391" s="22">
        <v>1.81854</v>
      </c>
      <c r="AH391" s="22">
        <v>22.2591</v>
      </c>
      <c r="AI391" s="22">
        <v>3.9273099999999998E-2</v>
      </c>
      <c r="AJ391" s="22">
        <v>381</v>
      </c>
      <c r="AK391" s="22">
        <v>1.8176300000000001</v>
      </c>
      <c r="AL391">
        <f t="shared" si="66"/>
        <v>-48.485308641975301</v>
      </c>
      <c r="AM391">
        <f t="shared" si="67"/>
        <v>-88.172473177777761</v>
      </c>
      <c r="AP391" s="9"/>
      <c r="AQ391" s="22">
        <v>-9.8419199999999998E-2</v>
      </c>
      <c r="AR391" s="22">
        <v>27.822900000000001</v>
      </c>
      <c r="AS391" s="22">
        <v>-1.3903799999999999E-2</v>
      </c>
      <c r="AT391" s="22">
        <v>381</v>
      </c>
      <c r="AU391" s="22">
        <v>-9.8968500000000001E-2</v>
      </c>
      <c r="AV391">
        <f t="shared" si="68"/>
        <v>17.165185185185184</v>
      </c>
      <c r="AW391">
        <f t="shared" si="69"/>
        <v>-1.6893837937777776</v>
      </c>
      <c r="AX391" s="9"/>
      <c r="AY391" s="22">
        <v>1.81854</v>
      </c>
      <c r="AZ391" s="22">
        <v>31.682300000000001</v>
      </c>
      <c r="BA391" s="22">
        <v>3.7994399999999998E-2</v>
      </c>
      <c r="BB391" s="22">
        <v>381</v>
      </c>
      <c r="BC391" s="22">
        <v>1.8176300000000001</v>
      </c>
      <c r="BD391">
        <f t="shared" si="70"/>
        <v>-46.906666666666659</v>
      </c>
      <c r="BE391">
        <f t="shared" si="71"/>
        <v>-85.30164959999999</v>
      </c>
    </row>
    <row r="392" spans="6:57">
      <c r="F392" s="9"/>
      <c r="G392" s="22">
        <v>-0.10345500000000001</v>
      </c>
      <c r="H392" s="22">
        <v>9.0734499999999993</v>
      </c>
      <c r="I392" s="22">
        <v>-1.3870199999999999E-2</v>
      </c>
      <c r="J392" s="22">
        <v>382</v>
      </c>
      <c r="K392" s="22">
        <v>-0.10394299999999999</v>
      </c>
      <c r="L392">
        <f t="shared" si="60"/>
        <v>17.123703703703701</v>
      </c>
      <c r="M392">
        <f t="shared" si="61"/>
        <v>-1.7715327666666665</v>
      </c>
      <c r="N392" s="9"/>
      <c r="O392" s="22">
        <v>1.82358</v>
      </c>
      <c r="P392" s="22">
        <v>12.9329</v>
      </c>
      <c r="Q392" s="22">
        <v>4.46808E-2</v>
      </c>
      <c r="R392" s="22">
        <v>382</v>
      </c>
      <c r="S392" s="22">
        <v>1.82281</v>
      </c>
      <c r="T392">
        <f t="shared" si="62"/>
        <v>-55.161481481481481</v>
      </c>
      <c r="U392">
        <f t="shared" si="63"/>
        <v>-100.59137439999999</v>
      </c>
      <c r="X392" s="9"/>
      <c r="Y392" s="22">
        <v>-0.10345500000000001</v>
      </c>
      <c r="Z392" s="22">
        <v>18.409700000000001</v>
      </c>
      <c r="AA392" s="22">
        <v>-1.3870199999999999E-2</v>
      </c>
      <c r="AB392" s="22">
        <v>382</v>
      </c>
      <c r="AC392" s="22">
        <v>-0.104004</v>
      </c>
      <c r="AD392">
        <f t="shared" si="64"/>
        <v>17.123703703703701</v>
      </c>
      <c r="AE392">
        <f t="shared" si="65"/>
        <v>-1.7715327666666665</v>
      </c>
      <c r="AF392" s="9"/>
      <c r="AG392" s="22">
        <v>1.82358</v>
      </c>
      <c r="AH392" s="22">
        <v>22.269200000000001</v>
      </c>
      <c r="AI392" s="22">
        <v>4.9496499999999999E-2</v>
      </c>
      <c r="AJ392" s="22">
        <v>382</v>
      </c>
      <c r="AK392" s="22">
        <v>1.82281</v>
      </c>
      <c r="AL392">
        <f t="shared" si="66"/>
        <v>-61.10679012345679</v>
      </c>
      <c r="AM392">
        <f t="shared" si="67"/>
        <v>-111.43312033333333</v>
      </c>
      <c r="AP392" s="9"/>
      <c r="AQ392" s="22">
        <v>-0.10345500000000001</v>
      </c>
      <c r="AR392" s="22">
        <v>27.832899999999999</v>
      </c>
      <c r="AS392" s="22">
        <v>-1.3909899999999999E-2</v>
      </c>
      <c r="AT392" s="22">
        <v>382</v>
      </c>
      <c r="AU392" s="22">
        <v>-0.103973</v>
      </c>
      <c r="AV392">
        <f t="shared" si="68"/>
        <v>17.172716049382714</v>
      </c>
      <c r="AW392">
        <f t="shared" si="69"/>
        <v>-1.7766033388888889</v>
      </c>
      <c r="AX392" s="9"/>
      <c r="AY392" s="22">
        <v>1.82358</v>
      </c>
      <c r="AZ392" s="22">
        <v>31.692399999999999</v>
      </c>
      <c r="BA392" s="22">
        <v>4.8379499999999999E-2</v>
      </c>
      <c r="BB392" s="22">
        <v>382</v>
      </c>
      <c r="BC392" s="22">
        <v>1.8225100000000001</v>
      </c>
      <c r="BD392">
        <f t="shared" si="70"/>
        <v>-59.727777777777774</v>
      </c>
      <c r="BE392">
        <f t="shared" si="71"/>
        <v>-108.918381</v>
      </c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2"/>
  <sheetViews>
    <sheetView topLeftCell="AN1" workbookViewId="0">
      <selection activeCell="BD11" sqref="BD11:BE39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28611.608400004672</v>
      </c>
      <c r="H2" s="2"/>
      <c r="I2" s="6" t="s">
        <v>12</v>
      </c>
      <c r="J2" s="2"/>
      <c r="K2" s="7" t="s">
        <v>13</v>
      </c>
      <c r="L2" s="3">
        <f>L4*I6*L9/100*100</f>
        <v>24.029561111111107</v>
      </c>
      <c r="M2" s="8" t="s">
        <v>14</v>
      </c>
      <c r="N2" s="9"/>
      <c r="O2" s="2">
        <f>ABS(S7-S6)/ABS(T7-T6)*1000</f>
        <v>446.01945652174675</v>
      </c>
      <c r="P2" s="2"/>
      <c r="Q2" s="6" t="s">
        <v>15</v>
      </c>
      <c r="R2" s="2"/>
      <c r="S2" s="7" t="s">
        <v>13</v>
      </c>
      <c r="T2" s="3">
        <f>T4*Q6*T9/100*100</f>
        <v>23.358765499999997</v>
      </c>
      <c r="U2" s="8" t="s">
        <v>14</v>
      </c>
      <c r="X2" s="9"/>
      <c r="Y2" s="2">
        <f>ABS(AC7-AC6)/ABS(AD7-AD6)*1000</f>
        <v>2021.3071967214194</v>
      </c>
      <c r="Z2" s="2"/>
      <c r="AA2" s="6" t="s">
        <v>12</v>
      </c>
      <c r="AB2" s="2"/>
      <c r="AC2" s="7" t="s">
        <v>13</v>
      </c>
      <c r="AD2" s="3">
        <f>AD4*AA6*AD9/100*100</f>
        <v>24.175842262962959</v>
      </c>
      <c r="AE2" s="8" t="s">
        <v>14</v>
      </c>
      <c r="AF2" s="9"/>
      <c r="AG2" s="2">
        <f>ABS(AK7-AK6)/ABS(AL7-AL6)*1000</f>
        <v>665.39282458988555</v>
      </c>
      <c r="AH2" s="2"/>
      <c r="AI2" s="6" t="s">
        <v>15</v>
      </c>
      <c r="AJ2" s="2"/>
      <c r="AK2" s="7" t="s">
        <v>13</v>
      </c>
      <c r="AL2" s="3">
        <f>AL4*AI6*AL9/100*100</f>
        <v>23.142907588888885</v>
      </c>
      <c r="AM2" s="8" t="s">
        <v>14</v>
      </c>
      <c r="AP2" s="9"/>
      <c r="AQ2" s="2">
        <f>ABS(AU7-AU6)/ABS(AV7-AV6)*1000</f>
        <v>660.52180327872395</v>
      </c>
      <c r="AR2" s="2"/>
      <c r="AS2" s="6" t="s">
        <v>12</v>
      </c>
      <c r="AT2" s="2"/>
      <c r="AU2" s="7" t="s">
        <v>13</v>
      </c>
      <c r="AV2" s="3">
        <f>AV4*AS6*AV9/100*100</f>
        <v>23.926334972839506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1.79413</v>
      </c>
      <c r="J3" s="2"/>
      <c r="K3" s="10">
        <f>INDEX(L11:L1056,MATCH(I3,K11:K1056,0))</f>
        <v>-0.71471358024691356</v>
      </c>
      <c r="L3" s="33" t="s">
        <v>16</v>
      </c>
      <c r="M3" s="11">
        <f>M9</f>
        <v>24.029561111111107</v>
      </c>
      <c r="N3" s="9"/>
      <c r="O3" s="2" t="s">
        <v>44</v>
      </c>
      <c r="P3" s="2"/>
      <c r="Q3" s="2">
        <f>INDEX(S11:S1056,MATCH(0,T11:T1056,-1))</f>
        <v>1.77216</v>
      </c>
      <c r="R3" s="2"/>
      <c r="S3" s="10">
        <f>INDEX(T11:T1056,MATCH(Q3,S11:S1056,0))</f>
        <v>0.33000370370370363</v>
      </c>
      <c r="T3" s="33" t="s">
        <v>16</v>
      </c>
      <c r="U3" s="11">
        <f>U9</f>
        <v>23.358765500000001</v>
      </c>
      <c r="X3" s="9"/>
      <c r="Y3" s="2" t="s">
        <v>44</v>
      </c>
      <c r="Z3" s="2"/>
      <c r="AA3" s="2">
        <f>INDEX(AC11:AC856,MATCH(0,AD11:AD856,1))</f>
        <v>1.7837499999999999</v>
      </c>
      <c r="AB3" s="2"/>
      <c r="AC3" s="10">
        <f>INDEX(AD11:AD1056,MATCH(AA3,AC11:AC1056,0))</f>
        <v>-0.16189382716049383</v>
      </c>
      <c r="AD3" s="33" t="s">
        <v>16</v>
      </c>
      <c r="AE3" s="11">
        <f>AE9</f>
        <v>24.175842262962959</v>
      </c>
      <c r="AF3" s="9"/>
      <c r="AG3" s="2" t="s">
        <v>44</v>
      </c>
      <c r="AH3" s="2"/>
      <c r="AI3" s="2">
        <f>INDEX(AK11:AK1056,MATCH(0,AL11:AL1056,-1))</f>
        <v>1.7678799999999999</v>
      </c>
      <c r="AJ3" s="2"/>
      <c r="AK3" s="10">
        <f>INDEX(AL11:AL1056,MATCH(AI3,AK11:AK1056,0))</f>
        <v>0.83301728395061725</v>
      </c>
      <c r="AL3" s="33" t="s">
        <v>16</v>
      </c>
      <c r="AM3" s="11">
        <f>AM9</f>
        <v>23.142907588888885</v>
      </c>
      <c r="AP3" s="9"/>
      <c r="AQ3" s="2" t="s">
        <v>44</v>
      </c>
      <c r="AR3" s="2"/>
      <c r="AS3" s="2">
        <f>INDEX(AU11:AU856,MATCH(0,AV11:AV856,1))</f>
        <v>1.7837499999999999</v>
      </c>
      <c r="AT3" s="2"/>
      <c r="AU3" s="10">
        <f>INDEX(AV11:AV1056,MATCH(AS3,AU11:AU1056,0))</f>
        <v>-1.6867530864197529</v>
      </c>
      <c r="AV3" s="33" t="s">
        <v>16</v>
      </c>
      <c r="AW3" s="11">
        <f>AW9</f>
        <v>23.926334972839502</v>
      </c>
      <c r="AX3" s="9"/>
      <c r="AY3" s="2" t="s">
        <v>44</v>
      </c>
      <c r="AZ3" s="2"/>
      <c r="BA3" s="2">
        <f>INDEX(BC11:BC1056,MATCH(0,BD11:BD1056,-1))</f>
        <v>1.7675799999999999</v>
      </c>
      <c r="BB3" s="2"/>
      <c r="BC3" s="10">
        <f>INDEX(BD11:BD1056,MATCH(BA3,BC11:BC1056,0))</f>
        <v>1.0737666666666666E-2</v>
      </c>
      <c r="BD3" s="33" t="s">
        <v>16</v>
      </c>
      <c r="BE3" s="11">
        <f>BE9</f>
        <v>23.096924433333328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3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3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3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3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3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3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2.9172376739508472</v>
      </c>
      <c r="H4" s="2"/>
      <c r="I4" s="2">
        <f>INDEX(K11:K1000,1+MATCH(0,L11:L856,1))</f>
        <v>1.78864</v>
      </c>
      <c r="J4" s="2"/>
      <c r="K4" s="10">
        <f>INDEX(L11:L1056,MATCH(I4,K11:K1056,0))</f>
        <v>1.1672037037037037</v>
      </c>
      <c r="L4" s="32">
        <f>M3/(I6*L9)</f>
        <v>0.77069109291025062</v>
      </c>
      <c r="M4" s="8" t="s">
        <v>17</v>
      </c>
      <c r="N4" s="9"/>
      <c r="O4" s="2">
        <f>ABS(Q3-Q4)/ABS(S3-S4)*1000</f>
        <v>3.1106659559340635</v>
      </c>
      <c r="P4" s="2"/>
      <c r="Q4" s="2">
        <f>INDEX(S11:S856,1+MATCH(0,T11:T856,-1))</f>
        <v>1.7773399999999999</v>
      </c>
      <c r="R4" s="2"/>
      <c r="S4" s="10">
        <f>INDEX(T11:T856,MATCH(Q4,S11:S856,0))</f>
        <v>-1.3352345679012345</v>
      </c>
      <c r="T4" s="32">
        <f>U3/(Q6*T9)</f>
        <v>0.75068005838958463</v>
      </c>
      <c r="U4" s="8" t="s">
        <v>17</v>
      </c>
      <c r="X4" s="9"/>
      <c r="Y4" s="2">
        <f>ABS(AA3-AA4)/ABS(AC3-AC4)*1000</f>
        <v>2.7373885390899173</v>
      </c>
      <c r="Z4" s="2"/>
      <c r="AA4" s="2">
        <f>INDEX(AC11:AC1000,1+MATCH(0,AD11:AD856,1))</f>
        <v>1.77887</v>
      </c>
      <c r="AB4" s="2"/>
      <c r="AC4" s="10">
        <f>INDEX(AD11:AD1056,MATCH(AA4,AC11:AC1056,0))</f>
        <v>1.6208271604938271</v>
      </c>
      <c r="AD4" s="32">
        <f>AE3/(AA6*AD9)</f>
        <v>0.77991902724513396</v>
      </c>
      <c r="AE4" s="8" t="s">
        <v>17</v>
      </c>
      <c r="AF4" s="9"/>
      <c r="AG4" s="2">
        <f>ABS(AI3-AI4)/ABS(AK3-AK4)*1000</f>
        <v>3.1199686183570399</v>
      </c>
      <c r="AH4" s="2"/>
      <c r="AI4" s="2">
        <f>INDEX(AK11:AK856,1+MATCH(0,AL11:AL856,-1))</f>
        <v>1.77277</v>
      </c>
      <c r="AJ4" s="2"/>
      <c r="AK4" s="10">
        <f>INDEX(AL11:AL856,MATCH(AI4,AK11:AK856,0))</f>
        <v>-0.73430617283950606</v>
      </c>
      <c r="AL4" s="32">
        <f>AM3/(AI6*AL9)</f>
        <v>0.75361738847965654</v>
      </c>
      <c r="AM4" s="8" t="s">
        <v>17</v>
      </c>
      <c r="AP4" s="9"/>
      <c r="AQ4" s="2">
        <f>ABS(AS3-AS4)/ABS(AU3-AU4)*1000</f>
        <v>2.6043321903487642</v>
      </c>
      <c r="AR4" s="2"/>
      <c r="AS4" s="2">
        <f>INDEX(AU11:AU1000,1+MATCH(0,AV11:AV856,1))</f>
        <v>1.7785599999999999</v>
      </c>
      <c r="AT4" s="2"/>
      <c r="AU4" s="10">
        <f>INDEX(AV11:AV1056,MATCH(AS4,AU11:AU1056,0))</f>
        <v>0.30608024691358027</v>
      </c>
      <c r="AV4" s="32">
        <f>AW3/(AS6*AV9)</f>
        <v>0.77150665400044272</v>
      </c>
      <c r="AW4" s="8" t="s">
        <v>17</v>
      </c>
      <c r="AX4" s="9"/>
      <c r="AY4" s="2">
        <f>ABS(BA3-BA4)/ABS(BC3-BC4)*1000</f>
        <v>2.8558062544396621</v>
      </c>
      <c r="AZ4" s="2"/>
      <c r="BA4" s="2">
        <f>INDEX(BC11:BC856,1+MATCH(0,BD11:BD856,-1))</f>
        <v>1.7724599999999999</v>
      </c>
      <c r="BB4" s="2"/>
      <c r="BC4" s="10">
        <f>INDEX(BD11:BD856,MATCH(BA4,BC11:BC856,0))</f>
        <v>-1.6980617283950616</v>
      </c>
      <c r="BD4" s="32" t="e">
        <f>BE3/(BA6*BD9)</f>
        <v>#DIV/0!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15.175925925925924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15.352962962962962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15.514938271604937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15.160864197530863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15.454691358024689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15.130740740740739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1.7920450106176193</v>
      </c>
      <c r="J6" s="32"/>
      <c r="K6" s="13">
        <f>INDEX(K11:K1056,MATCH(L6,L11:L1056,0))</f>
        <v>2.1179200000000001E-3</v>
      </c>
      <c r="L6" s="10">
        <f>INDEX(L11:L1056,MATCH(0,K11:K1056,-1))</f>
        <v>17.398765432098763</v>
      </c>
      <c r="M6" s="8" t="s">
        <v>22</v>
      </c>
      <c r="N6" s="9"/>
      <c r="O6" s="2"/>
      <c r="P6" s="2"/>
      <c r="Q6" s="36">
        <f>(Q3-Q4)/(S3-S4)*(-S4)+Q4</f>
        <v>1.7731865312864432</v>
      </c>
      <c r="R6" s="36"/>
      <c r="S6" s="13">
        <f>INDEX(S11:S1056,MATCH(T6,T11:T1056,0))</f>
        <v>-8.52966E-2</v>
      </c>
      <c r="T6" s="10">
        <f>INDEX(T11:T1056,MATCH(0,S11:S1056,1))</f>
        <v>17.357283950617283</v>
      </c>
      <c r="U6" s="8" t="s">
        <v>22</v>
      </c>
      <c r="X6" s="9"/>
      <c r="Y6" s="2"/>
      <c r="Z6" s="2"/>
      <c r="AA6" s="32">
        <f>(AA3-AA4)/(AC3-AC4)*(-AC4)+AA4</f>
        <v>1.7833068336929814</v>
      </c>
      <c r="AB6" s="32"/>
      <c r="AC6" s="13">
        <f>INDEX(AC11:AC1056,MATCH(AD6,AD11:AD1056,0))</f>
        <v>1.2286399999999999E-2</v>
      </c>
      <c r="AD6" s="10">
        <f>INDEX(AD11:AD1056,MATCH(0,AC11:AC1056,-1))</f>
        <v>17.376172839506172</v>
      </c>
      <c r="AE6" s="8" t="s">
        <v>22</v>
      </c>
      <c r="AF6" s="9"/>
      <c r="AG6" s="2"/>
      <c r="AH6" s="2"/>
      <c r="AI6" s="36">
        <f>(AI3-AI4)/(AK3-AK4)*(-AK4)+AI4</f>
        <v>1.7704789877844749</v>
      </c>
      <c r="AJ6" s="36"/>
      <c r="AK6" s="13">
        <f>INDEX(AK11:AK1056,MATCH(AL6,AL11:AL1056,0))</f>
        <v>-4.3640099999999998E-3</v>
      </c>
      <c r="AL6" s="10">
        <f>INDEX(AL11:AL1056,MATCH(0,AK11:AK1056,1))</f>
        <v>17.338518518518516</v>
      </c>
      <c r="AM6" s="8" t="s">
        <v>22</v>
      </c>
      <c r="AP6" s="9"/>
      <c r="AQ6" s="2"/>
      <c r="AR6" s="2"/>
      <c r="AS6" s="32">
        <f>(AS3-AS4)/(AU3-AU4)*(-AU4)+AS4</f>
        <v>1.7793571346398669</v>
      </c>
      <c r="AT6" s="32"/>
      <c r="AU6" s="13">
        <f>INDEX(AU11:AU1056,MATCH(AV6,AV11:AV1056,0))</f>
        <v>6.7291299999999998E-2</v>
      </c>
      <c r="AV6" s="10">
        <f>INDEX(AV11:AV1056,MATCH(0,AU11:AU1056,-1))</f>
        <v>17.327160493827162</v>
      </c>
      <c r="AW6" s="8" t="s">
        <v>22</v>
      </c>
      <c r="AX6" s="9"/>
      <c r="AY6" s="2"/>
      <c r="AZ6" s="2"/>
      <c r="BA6" s="36">
        <f>(BA3-BA4)/(BC3-BC4)*(-BC4)+BA4</f>
        <v>1.7676106646956247</v>
      </c>
      <c r="BB6" s="36"/>
      <c r="BC6" s="13">
        <f>INDEX(BC11:BC1056,MATCH(BD6,BD11:BD1056,0))</f>
        <v>-4.4280999999999999E-3</v>
      </c>
      <c r="BD6" s="10">
        <f>INDEX(BD11:BD1056,MATCH(0,BC11:BC1056,1))</f>
        <v>17.266913580246914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-0.103851</v>
      </c>
      <c r="L7" s="10">
        <f>INDEX(L11:L856,1+MATCH(0,K11:K856,-1))</f>
        <v>17.39506172839506</v>
      </c>
      <c r="M7" s="12">
        <f>INDEX(K11:K1056,MATCH(M9,M11:M1056,0))</f>
        <v>1.58264</v>
      </c>
      <c r="N7" s="9"/>
      <c r="O7" s="2"/>
      <c r="P7" s="2"/>
      <c r="Q7" s="2"/>
      <c r="R7" s="2"/>
      <c r="S7" s="13">
        <f>INDEX(S11:S1056,MATCH(T7,T11:T1056,0))</f>
        <v>-8.0230700000000002E-2</v>
      </c>
      <c r="T7" s="10">
        <f>INDEX(T11:T1056,1+MATCH(0,S11:S1056,1))</f>
        <v>17.368641975308641</v>
      </c>
      <c r="U7" s="12">
        <f>INDEX(S11:S1056,MATCH(U9,U11:U1056,0))</f>
        <v>1.5203899999999999</v>
      </c>
      <c r="X7" s="9"/>
      <c r="Y7" s="2"/>
      <c r="Z7" s="2"/>
      <c r="AA7" s="2"/>
      <c r="AB7" s="2"/>
      <c r="AC7" s="13">
        <f>INDEX(AC11:AC856,MATCH(AD7,AD11:AD856,1))</f>
        <v>-2.9357900000000002E-3</v>
      </c>
      <c r="AD7" s="10">
        <f>INDEX(AD11:AD856,1+MATCH(0,AC11:AC856,-1))</f>
        <v>17.383703703703702</v>
      </c>
      <c r="AE7" s="12">
        <f>INDEX(AC11:AC1056,MATCH(AE9,AE11:AE1056,0))</f>
        <v>1.55731</v>
      </c>
      <c r="AF7" s="9"/>
      <c r="AG7" s="2"/>
      <c r="AH7" s="2"/>
      <c r="AI7" s="2"/>
      <c r="AJ7" s="2"/>
      <c r="AK7" s="13">
        <f>INDEX(AK11:AK1056,MATCH(AL7,AL11:AL1056,0))</f>
        <v>6.4697300000000001E-4</v>
      </c>
      <c r="AL7" s="10">
        <f>INDEX(AL11:AL1056,1+MATCH(0,AK11:AK1056,1))</f>
        <v>17.34604938271605</v>
      </c>
      <c r="AM7" s="12">
        <f>INDEX(AK11:AK1056,MATCH(AM9,AM11:AM1056,0))</f>
        <v>1.5255700000000001</v>
      </c>
      <c r="AP7" s="9"/>
      <c r="AQ7" s="2"/>
      <c r="AR7" s="2"/>
      <c r="AS7" s="2"/>
      <c r="AT7" s="2"/>
      <c r="AU7" s="13">
        <f>INDEX(AU11:AU856,MATCH(AV7,AV11:AV856,1))</f>
        <v>7.2265599999999999E-2</v>
      </c>
      <c r="AV7" s="10">
        <f>INDEX(AV11:AV856,1+MATCH(0,AU11:AU856,-1))</f>
        <v>17.319629629629631</v>
      </c>
      <c r="AW7" s="12">
        <f>INDEX(AU11:AU1056,MATCH(AW9,AW11:AW1056,0))</f>
        <v>1.54755</v>
      </c>
      <c r="AX7" s="9"/>
      <c r="AY7" s="2"/>
      <c r="AZ7" s="2"/>
      <c r="BA7" s="2"/>
      <c r="BB7" s="2"/>
      <c r="BC7" s="13">
        <f>INDEX(BC11:BC1056,MATCH(BD7,BD11:BD1056,0))</f>
        <v>-4.4280999999999999E-3</v>
      </c>
      <c r="BD7" s="10">
        <f>INDEX(BD11:BD1056,1+MATCH(0,BC11:BC1056,1))</f>
        <v>17.266913580246914</v>
      </c>
      <c r="BE7" s="12">
        <f>INDEX(BC11:BC1056,MATCH(BE9,BE11:BE1056,0))</f>
        <v>1.5255700000000001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2.7915433328532111</v>
      </c>
      <c r="J9" s="2"/>
      <c r="K9" s="2"/>
      <c r="L9" s="3">
        <f>(L6-L7)/(K6-K7)*(-K7)+L7</f>
        <v>17.398691408997006</v>
      </c>
      <c r="M9" s="16">
        <f>MAX(M11:M1056)</f>
        <v>24.029561111111107</v>
      </c>
      <c r="N9" s="9"/>
      <c r="O9" s="2"/>
      <c r="P9" s="2"/>
      <c r="Q9" s="2"/>
      <c r="R9" s="2"/>
      <c r="S9" s="2"/>
      <c r="T9" s="3">
        <f>(T6-T7)/(S6-S7)*(-S7)+T7</f>
        <v>17.548523589948669</v>
      </c>
      <c r="U9" s="16">
        <f>MAX(U11:U1056)</f>
        <v>23.358765500000001</v>
      </c>
      <c r="X9" s="9"/>
      <c r="Y9" s="2"/>
      <c r="Z9" s="2"/>
      <c r="AA9" s="15">
        <f>(MAX(AD2,AL2)-MIN(AD2,AL2))/MAX(AD2,AL2)%</f>
        <v>4.2725902280414649</v>
      </c>
      <c r="AB9" s="2"/>
      <c r="AC9" s="2"/>
      <c r="AD9" s="3">
        <f>(AD6-AD7)/(AC6-AC7)*(-AC7)+AD7</f>
        <v>17.382251282218853</v>
      </c>
      <c r="AE9" s="16">
        <f>MAX(AE11:AE1056)</f>
        <v>24.175842262962959</v>
      </c>
      <c r="AF9" s="9"/>
      <c r="AG9" s="2"/>
      <c r="AH9" s="2"/>
      <c r="AI9" s="2"/>
      <c r="AJ9" s="2"/>
      <c r="AK9" s="2"/>
      <c r="AL9" s="3">
        <f>(AL6-AL7)/(AK6-AK7)*(-AK7)+AL7</f>
        <v>17.345077065347887</v>
      </c>
      <c r="AM9" s="16">
        <f>MAX(AM11:AM1056)</f>
        <v>23.142907588888885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17.429036464712567</v>
      </c>
      <c r="AW9" s="16">
        <f>MAX(AW11:AW1056)</f>
        <v>23.926334972839502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23.096924433333328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1.7920450106176193</v>
      </c>
      <c r="B11" s="19">
        <f>IFERROR(L9,0)</f>
        <v>17.398691408997006</v>
      </c>
      <c r="C11" s="20">
        <f>IFERROR(L4,0)</f>
        <v>0.77069109291025062</v>
      </c>
      <c r="D11" s="21">
        <f>IFERROR(L2,0)</f>
        <v>24.029561111111107</v>
      </c>
      <c r="E11" s="21">
        <f>IFERROR(I9,0)</f>
        <v>2.7915433328532111</v>
      </c>
      <c r="F11" s="9"/>
      <c r="G11" s="22">
        <v>1.8150299999999999</v>
      </c>
      <c r="H11" s="22">
        <v>5.3343999999999996</v>
      </c>
      <c r="I11" s="22">
        <v>1.18225E-2</v>
      </c>
      <c r="J11" s="22">
        <v>1</v>
      </c>
      <c r="K11" s="22">
        <v>1.81427</v>
      </c>
      <c r="L11">
        <f>-I11/$F$2*1000</f>
        <v>-14.595679012345677</v>
      </c>
      <c r="M11">
        <f>L11*G11</f>
        <v>-26.491595277777773</v>
      </c>
      <c r="N11" s="9"/>
      <c r="O11" s="22">
        <v>-9.49097E-2</v>
      </c>
      <c r="P11" s="22">
        <v>9.1938700000000004</v>
      </c>
      <c r="Q11" s="22">
        <v>-1.4047199999999999E-2</v>
      </c>
      <c r="R11" s="22">
        <v>1</v>
      </c>
      <c r="S11" s="22">
        <v>-9.5397899999999994E-2</v>
      </c>
      <c r="T11">
        <f>-Q11/$F$2*1000</f>
        <v>17.342222222222222</v>
      </c>
      <c r="U11">
        <f>T11*O11</f>
        <v>-1.6459451084444445</v>
      </c>
      <c r="V11" s="23"/>
      <c r="W11" s="24"/>
      <c r="X11" s="9"/>
      <c r="Y11" s="22">
        <v>1.8150299999999999</v>
      </c>
      <c r="Z11" s="22">
        <v>14.778600000000001</v>
      </c>
      <c r="AA11" s="22">
        <v>1.9683800000000001E-2</v>
      </c>
      <c r="AB11" s="22">
        <v>1</v>
      </c>
      <c r="AC11" s="22">
        <v>1.81427</v>
      </c>
      <c r="AD11">
        <f>-AA11/$F$2*1000</f>
        <v>-24.300987654320988</v>
      </c>
      <c r="AE11">
        <f>AD11*Y11</f>
        <v>-44.10702162222222</v>
      </c>
      <c r="AF11" s="9"/>
      <c r="AG11" s="22">
        <v>-9.49097E-2</v>
      </c>
      <c r="AH11" s="22">
        <v>18.638100000000001</v>
      </c>
      <c r="AI11" s="22">
        <v>-1.4071699999999999E-2</v>
      </c>
      <c r="AJ11" s="22">
        <v>1</v>
      </c>
      <c r="AK11" s="22">
        <v>-9.5367400000000005E-2</v>
      </c>
      <c r="AL11">
        <f>-AI11/$F$2*1000</f>
        <v>17.372469135802469</v>
      </c>
      <c r="AM11">
        <f>AL11*AG11</f>
        <v>-1.6488158339382715</v>
      </c>
      <c r="AP11" s="9"/>
      <c r="AQ11" s="22">
        <v>1.8150299999999999</v>
      </c>
      <c r="AR11" s="22">
        <v>24.0838</v>
      </c>
      <c r="AS11" s="22">
        <v>2.42554E-2</v>
      </c>
      <c r="AT11" s="22">
        <v>1</v>
      </c>
      <c r="AU11" s="22">
        <v>1.81396</v>
      </c>
      <c r="AV11">
        <f>-AS11/$F$2*1000</f>
        <v>-29.944938271604936</v>
      </c>
      <c r="AW11">
        <f>AV11*AQ11</f>
        <v>-54.350961311111107</v>
      </c>
      <c r="AX11" s="9"/>
      <c r="AY11" s="22">
        <v>-9.49097E-2</v>
      </c>
      <c r="AZ11" s="22">
        <v>27.943300000000001</v>
      </c>
      <c r="BA11" s="22">
        <v>-1.4035000000000001E-2</v>
      </c>
      <c r="BB11" s="22">
        <v>1</v>
      </c>
      <c r="BC11" s="22">
        <v>-9.5336900000000002E-2</v>
      </c>
      <c r="BD11">
        <f>-BA11/$F$2*1000</f>
        <v>17.327160493827162</v>
      </c>
      <c r="BE11">
        <f>BD11*AY11</f>
        <v>-1.6445156043209876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1.7731865312864432</v>
      </c>
      <c r="B12" s="19">
        <f>IFERROR(T9,0)</f>
        <v>17.548523589948669</v>
      </c>
      <c r="C12" s="20">
        <f>IFERROR(T4,0)</f>
        <v>0.75068005838958463</v>
      </c>
      <c r="D12" s="21">
        <f>IFERROR(T2,0)</f>
        <v>23.358765499999997</v>
      </c>
      <c r="E12" s="21"/>
      <c r="F12" s="9"/>
      <c r="G12" s="22">
        <v>1.81</v>
      </c>
      <c r="H12" s="22">
        <v>5.3444700000000003</v>
      </c>
      <c r="I12" s="22">
        <v>7.8765899999999993E-3</v>
      </c>
      <c r="J12" s="22">
        <v>2</v>
      </c>
      <c r="K12" s="22">
        <v>1.80908</v>
      </c>
      <c r="L12">
        <f t="shared" ref="L12:L75" si="0">-I12/$F$2*1000</f>
        <v>-9.724185185185183</v>
      </c>
      <c r="M12">
        <f t="shared" ref="M12:M75" si="1">L12*G12</f>
        <v>-17.600775185185181</v>
      </c>
      <c r="N12" s="9"/>
      <c r="O12" s="22">
        <v>-8.9874300000000004E-2</v>
      </c>
      <c r="P12" s="22">
        <v>9.2039500000000007</v>
      </c>
      <c r="Q12" s="22">
        <v>-1.4053299999999999E-2</v>
      </c>
      <c r="R12" s="22">
        <v>2</v>
      </c>
      <c r="S12" s="22">
        <v>-9.0240500000000001E-2</v>
      </c>
      <c r="T12">
        <f t="shared" ref="T12:T75" si="2">-Q12/$F$2*1000</f>
        <v>17.349753086419753</v>
      </c>
      <c r="U12">
        <f t="shared" ref="U12:U75" si="3">T12*O12</f>
        <v>-1.5592969138148149</v>
      </c>
      <c r="V12" s="23"/>
      <c r="W12" s="24"/>
      <c r="X12" s="9"/>
      <c r="Y12" s="22">
        <v>1.81</v>
      </c>
      <c r="Z12" s="22">
        <v>14.7887</v>
      </c>
      <c r="AA12" s="22">
        <v>1.40289E-2</v>
      </c>
      <c r="AB12" s="22">
        <v>2</v>
      </c>
      <c r="AC12" s="22">
        <v>1.8087800000000001</v>
      </c>
      <c r="AD12">
        <f t="shared" ref="AD12:AD75" si="4">-AA12/$F$2*1000</f>
        <v>-17.319629629629631</v>
      </c>
      <c r="AE12">
        <f t="shared" ref="AE12:AE75" si="5">AD12*Y12</f>
        <v>-31.348529629629635</v>
      </c>
      <c r="AF12" s="9"/>
      <c r="AG12" s="22">
        <v>-8.9874300000000004E-2</v>
      </c>
      <c r="AH12" s="22">
        <v>18.648199999999999</v>
      </c>
      <c r="AI12" s="22">
        <v>-1.4065599999999999E-2</v>
      </c>
      <c r="AJ12" s="22">
        <v>2</v>
      </c>
      <c r="AK12" s="22">
        <v>-9.0301500000000007E-2</v>
      </c>
      <c r="AL12">
        <f t="shared" ref="AL12:AL75" si="6">-AI12/$F$2*1000</f>
        <v>17.364938271604938</v>
      </c>
      <c r="AM12">
        <f t="shared" ref="AM12:AM75" si="7">AL12*AG12</f>
        <v>-1.5606616717037038</v>
      </c>
      <c r="AP12" s="9"/>
      <c r="AQ12" s="22">
        <v>1.81</v>
      </c>
      <c r="AR12" s="22">
        <v>24.093900000000001</v>
      </c>
      <c r="AS12" s="22">
        <v>1.76422E-2</v>
      </c>
      <c r="AT12" s="22">
        <v>2</v>
      </c>
      <c r="AU12" s="22">
        <v>1.8087800000000001</v>
      </c>
      <c r="AV12">
        <f t="shared" ref="AV12:AV75" si="8">-AS12/$F$2*1000</f>
        <v>-21.780493827160495</v>
      </c>
      <c r="AW12">
        <f t="shared" ref="AW12:AW75" si="9">AV12*AQ12</f>
        <v>-39.422693827160494</v>
      </c>
      <c r="AX12" s="9"/>
      <c r="AY12" s="22">
        <v>-8.9874300000000004E-2</v>
      </c>
      <c r="AZ12" s="22">
        <v>27.953399999999998</v>
      </c>
      <c r="BA12" s="22">
        <v>-1.4047199999999999E-2</v>
      </c>
      <c r="BB12" s="22">
        <v>2</v>
      </c>
      <c r="BC12" s="22">
        <v>-9.0331999999999996E-2</v>
      </c>
      <c r="BD12">
        <f t="shared" ref="BD12:BD75" si="10">-BA12/$F$2*1000</f>
        <v>17.342222222222222</v>
      </c>
      <c r="BE12">
        <f t="shared" ref="BE12:BE75" si="11">BD12*AY12</f>
        <v>-1.5586200826666667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1.7833068336929814</v>
      </c>
      <c r="B13" s="19">
        <f>IFERROR(AD9,0)</f>
        <v>17.382251282218853</v>
      </c>
      <c r="C13" s="20">
        <f>IFERROR(AD4,0)</f>
        <v>0.77991902724513396</v>
      </c>
      <c r="D13" s="21">
        <f>IFERROR(AD2,0)</f>
        <v>24.175842262962959</v>
      </c>
      <c r="E13" s="21">
        <f>IFERROR(AA9,0)</f>
        <v>4.2725902280414649</v>
      </c>
      <c r="F13" s="9"/>
      <c r="G13" s="22">
        <v>1.8049599999999999</v>
      </c>
      <c r="H13" s="22">
        <v>5.3545400000000001</v>
      </c>
      <c r="I13" s="22">
        <v>4.8605300000000001E-3</v>
      </c>
      <c r="J13" s="22">
        <v>3</v>
      </c>
      <c r="K13" s="22">
        <v>1.8042</v>
      </c>
      <c r="L13">
        <f t="shared" si="0"/>
        <v>-6.0006543209876542</v>
      </c>
      <c r="M13">
        <f t="shared" si="1"/>
        <v>-10.830941023209876</v>
      </c>
      <c r="N13" s="9"/>
      <c r="O13" s="22">
        <v>-8.4838899999999995E-2</v>
      </c>
      <c r="P13" s="22">
        <v>9.2140199999999997</v>
      </c>
      <c r="Q13" s="22">
        <v>-1.40594E-2</v>
      </c>
      <c r="R13" s="22">
        <v>3</v>
      </c>
      <c r="S13" s="22">
        <v>-8.52966E-2</v>
      </c>
      <c r="T13">
        <f t="shared" si="2"/>
        <v>17.357283950617283</v>
      </c>
      <c r="U13">
        <f t="shared" si="3"/>
        <v>-1.4725728773580244</v>
      </c>
      <c r="V13" s="23"/>
      <c r="W13" s="24"/>
      <c r="X13" s="9"/>
      <c r="Y13" s="22">
        <v>1.8049599999999999</v>
      </c>
      <c r="Z13" s="22">
        <v>14.7987</v>
      </c>
      <c r="AA13" s="22">
        <v>9.7930900000000008E-3</v>
      </c>
      <c r="AB13" s="22">
        <v>3</v>
      </c>
      <c r="AC13" s="22">
        <v>1.8042</v>
      </c>
      <c r="AD13">
        <f t="shared" si="4"/>
        <v>-12.090234567901234</v>
      </c>
      <c r="AE13">
        <f t="shared" si="5"/>
        <v>-21.822389785679011</v>
      </c>
      <c r="AF13" s="9"/>
      <c r="AG13" s="22">
        <v>-8.4838899999999995E-2</v>
      </c>
      <c r="AH13" s="22">
        <v>18.658200000000001</v>
      </c>
      <c r="AI13" s="22">
        <v>-1.4065599999999999E-2</v>
      </c>
      <c r="AJ13" s="22">
        <v>3</v>
      </c>
      <c r="AK13" s="22">
        <v>-8.5357699999999995E-2</v>
      </c>
      <c r="AL13">
        <f t="shared" si="6"/>
        <v>17.364938271604938</v>
      </c>
      <c r="AM13">
        <f t="shared" si="7"/>
        <v>-1.4732222615308641</v>
      </c>
      <c r="AP13" s="9"/>
      <c r="AQ13" s="22">
        <v>1.8049599999999999</v>
      </c>
      <c r="AR13" s="22">
        <v>24.103999999999999</v>
      </c>
      <c r="AS13" s="22">
        <v>1.2628199999999999E-2</v>
      </c>
      <c r="AT13" s="22">
        <v>3</v>
      </c>
      <c r="AU13" s="22">
        <v>1.80389</v>
      </c>
      <c r="AV13">
        <f t="shared" si="8"/>
        <v>-15.590370370370369</v>
      </c>
      <c r="AW13">
        <f t="shared" si="9"/>
        <v>-28.139994903703698</v>
      </c>
      <c r="AX13" s="9"/>
      <c r="AY13" s="22">
        <v>-8.4838899999999995E-2</v>
      </c>
      <c r="AZ13" s="22">
        <v>27.9635</v>
      </c>
      <c r="BA13" s="22">
        <v>-1.4053299999999999E-2</v>
      </c>
      <c r="BB13" s="22">
        <v>3</v>
      </c>
      <c r="BC13" s="22">
        <v>-8.5357699999999995E-2</v>
      </c>
      <c r="BD13">
        <f t="shared" si="10"/>
        <v>17.349753086419753</v>
      </c>
      <c r="BE13">
        <f t="shared" si="11"/>
        <v>-1.4719339671234566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1.7704789877844749</v>
      </c>
      <c r="B14" s="19">
        <f>IFERROR(AL9,0)</f>
        <v>17.345077065347887</v>
      </c>
      <c r="C14" s="20">
        <f>IFERROR(AL4,0)</f>
        <v>0.75361738847965654</v>
      </c>
      <c r="D14" s="21">
        <f>IFERROR(AL2,0)</f>
        <v>23.142907588888885</v>
      </c>
      <c r="E14" s="21"/>
      <c r="F14" s="9"/>
      <c r="G14" s="22">
        <v>1.79993</v>
      </c>
      <c r="H14" s="22">
        <v>5.3646099999999999</v>
      </c>
      <c r="I14" s="22">
        <v>2.55157E-3</v>
      </c>
      <c r="J14" s="22">
        <v>4</v>
      </c>
      <c r="K14" s="22">
        <v>1.79901</v>
      </c>
      <c r="L14">
        <f t="shared" si="0"/>
        <v>-3.1500864197530865</v>
      </c>
      <c r="M14">
        <f t="shared" si="1"/>
        <v>-5.6699350495061731</v>
      </c>
      <c r="N14" s="9"/>
      <c r="O14" s="22">
        <v>-7.9803499999999999E-2</v>
      </c>
      <c r="P14" s="22">
        <v>9.2240900000000003</v>
      </c>
      <c r="Q14" s="22">
        <v>-1.4068600000000001E-2</v>
      </c>
      <c r="R14" s="22">
        <v>4</v>
      </c>
      <c r="S14" s="22">
        <v>-8.0230700000000002E-2</v>
      </c>
      <c r="T14">
        <f t="shared" si="2"/>
        <v>17.368641975308641</v>
      </c>
      <c r="U14">
        <f t="shared" si="3"/>
        <v>-1.3860784198765432</v>
      </c>
      <c r="V14" s="23"/>
      <c r="W14" s="24"/>
      <c r="X14" s="9"/>
      <c r="Y14" s="22">
        <v>1.79993</v>
      </c>
      <c r="Z14" s="22">
        <v>14.8088</v>
      </c>
      <c r="AA14" s="22">
        <v>6.4971899999999999E-3</v>
      </c>
      <c r="AB14" s="22">
        <v>4</v>
      </c>
      <c r="AC14" s="22">
        <v>1.79871</v>
      </c>
      <c r="AD14">
        <f t="shared" si="4"/>
        <v>-8.0212222222222209</v>
      </c>
      <c r="AE14">
        <f t="shared" si="5"/>
        <v>-14.437638514444442</v>
      </c>
      <c r="AF14" s="9"/>
      <c r="AG14" s="22">
        <v>-7.9803499999999999E-2</v>
      </c>
      <c r="AH14" s="22">
        <v>18.668299999999999</v>
      </c>
      <c r="AI14" s="22">
        <v>-1.4065599999999999E-2</v>
      </c>
      <c r="AJ14" s="22">
        <v>4</v>
      </c>
      <c r="AK14" s="22">
        <v>-8.0261200000000005E-2</v>
      </c>
      <c r="AL14">
        <f t="shared" si="6"/>
        <v>17.364938271604938</v>
      </c>
      <c r="AM14">
        <f t="shared" si="7"/>
        <v>-1.3857828513580246</v>
      </c>
      <c r="AP14" s="9"/>
      <c r="AQ14" s="22">
        <v>1.79993</v>
      </c>
      <c r="AR14" s="22">
        <v>24.114000000000001</v>
      </c>
      <c r="AS14" s="22">
        <v>8.7768599999999992E-3</v>
      </c>
      <c r="AT14" s="22">
        <v>4</v>
      </c>
      <c r="AU14" s="22">
        <v>1.79871</v>
      </c>
      <c r="AV14">
        <f t="shared" si="8"/>
        <v>-10.835629629629628</v>
      </c>
      <c r="AW14">
        <f t="shared" si="9"/>
        <v>-19.503374839259255</v>
      </c>
      <c r="AX14" s="9"/>
      <c r="AY14" s="22">
        <v>-7.9803499999999999E-2</v>
      </c>
      <c r="AZ14" s="22">
        <v>27.973500000000001</v>
      </c>
      <c r="BA14" s="22">
        <v>-1.4047199999999999E-2</v>
      </c>
      <c r="BB14" s="22">
        <v>4</v>
      </c>
      <c r="BC14" s="22">
        <v>-8.0261200000000005E-2</v>
      </c>
      <c r="BD14">
        <f t="shared" si="10"/>
        <v>17.342222222222222</v>
      </c>
      <c r="BE14">
        <f t="shared" si="11"/>
        <v>-1.3839700311111112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1.7793571346398669</v>
      </c>
      <c r="B15" s="19">
        <f>IFERROR(AV9,0)</f>
        <v>17.429036464712567</v>
      </c>
      <c r="C15" s="20">
        <f>IFERROR(AV4,0)</f>
        <v>0.77150665400044272</v>
      </c>
      <c r="D15" s="21">
        <f>IFERROR(AV2,0)</f>
        <v>23.926334972839506</v>
      </c>
      <c r="E15" s="21">
        <f>IFERROR(AS9,0)</f>
        <v>0</v>
      </c>
      <c r="F15" s="9"/>
      <c r="G15" s="22">
        <v>1.7948900000000001</v>
      </c>
      <c r="H15" s="22">
        <v>5.3746799999999997</v>
      </c>
      <c r="I15" s="22">
        <v>5.7891799999999999E-4</v>
      </c>
      <c r="J15" s="22">
        <v>5</v>
      </c>
      <c r="K15" s="22">
        <v>1.79413</v>
      </c>
      <c r="L15">
        <f t="shared" si="0"/>
        <v>-0.71471358024691356</v>
      </c>
      <c r="M15">
        <f t="shared" si="1"/>
        <v>-1.2828322580493827</v>
      </c>
      <c r="N15" s="9"/>
      <c r="O15" s="22">
        <v>-7.4768100000000004E-2</v>
      </c>
      <c r="P15" s="22">
        <v>9.2341599999999993</v>
      </c>
      <c r="Q15" s="22">
        <v>-1.4071699999999999E-2</v>
      </c>
      <c r="R15" s="22">
        <v>5</v>
      </c>
      <c r="S15" s="22">
        <v>-7.5195300000000007E-2</v>
      </c>
      <c r="T15">
        <f t="shared" si="2"/>
        <v>17.372469135802469</v>
      </c>
      <c r="U15">
        <f t="shared" si="3"/>
        <v>-1.2989065095925927</v>
      </c>
      <c r="V15" s="23"/>
      <c r="W15" s="24"/>
      <c r="X15" s="9"/>
      <c r="Y15" s="22">
        <v>1.7948900000000001</v>
      </c>
      <c r="Z15" s="22">
        <v>14.818899999999999</v>
      </c>
      <c r="AA15" s="22">
        <v>3.9151000000000004E-3</v>
      </c>
      <c r="AB15" s="22">
        <v>5</v>
      </c>
      <c r="AC15" s="22">
        <v>1.79352</v>
      </c>
      <c r="AD15">
        <f t="shared" si="4"/>
        <v>-4.8334567901234573</v>
      </c>
      <c r="AE15">
        <f t="shared" si="5"/>
        <v>-8.6755232580246933</v>
      </c>
      <c r="AF15" s="9"/>
      <c r="AG15" s="22">
        <v>-7.4768100000000004E-2</v>
      </c>
      <c r="AH15" s="22">
        <v>18.6784</v>
      </c>
      <c r="AI15" s="22">
        <v>-1.4065599999999999E-2</v>
      </c>
      <c r="AJ15" s="22">
        <v>5</v>
      </c>
      <c r="AK15" s="22">
        <v>-7.5195300000000007E-2</v>
      </c>
      <c r="AL15">
        <f t="shared" si="6"/>
        <v>17.364938271604938</v>
      </c>
      <c r="AM15">
        <f t="shared" si="7"/>
        <v>-1.2983434411851853</v>
      </c>
      <c r="AP15" s="9"/>
      <c r="AQ15" s="22">
        <v>1.7948900000000001</v>
      </c>
      <c r="AR15" s="22">
        <v>24.124099999999999</v>
      </c>
      <c r="AS15" s="22">
        <v>5.7311999999999997E-3</v>
      </c>
      <c r="AT15" s="22">
        <v>5</v>
      </c>
      <c r="AU15" s="22">
        <v>1.79382</v>
      </c>
      <c r="AV15">
        <f t="shared" si="8"/>
        <v>-7.0755555555555549</v>
      </c>
      <c r="AW15">
        <f t="shared" si="9"/>
        <v>-12.699843911111111</v>
      </c>
      <c r="AX15" s="9"/>
      <c r="AY15" s="22">
        <v>-7.4768100000000004E-2</v>
      </c>
      <c r="AZ15" s="22">
        <v>27.983599999999999</v>
      </c>
      <c r="BA15" s="22">
        <v>-1.4041100000000001E-2</v>
      </c>
      <c r="BB15" s="22">
        <v>5</v>
      </c>
      <c r="BC15" s="22">
        <v>-7.5164800000000004E-2</v>
      </c>
      <c r="BD15">
        <f t="shared" si="10"/>
        <v>17.334691358024692</v>
      </c>
      <c r="BE15">
        <f t="shared" si="11"/>
        <v>-1.296081936925926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1.7676106646956247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1.78986</v>
      </c>
      <c r="H16" s="22">
        <v>5.38476</v>
      </c>
      <c r="I16" s="22">
        <v>-9.45435E-4</v>
      </c>
      <c r="J16" s="22">
        <v>6</v>
      </c>
      <c r="K16" s="22">
        <v>1.78864</v>
      </c>
      <c r="L16">
        <f t="shared" si="0"/>
        <v>1.1672037037037037</v>
      </c>
      <c r="M16">
        <f t="shared" si="1"/>
        <v>2.0891312211111113</v>
      </c>
      <c r="N16" s="9"/>
      <c r="O16" s="22">
        <v>-6.9732699999999995E-2</v>
      </c>
      <c r="P16" s="22">
        <v>9.2442299999999999</v>
      </c>
      <c r="Q16" s="22">
        <v>-1.4071699999999999E-2</v>
      </c>
      <c r="R16" s="22">
        <v>6</v>
      </c>
      <c r="S16" s="22">
        <v>-7.01904E-2</v>
      </c>
      <c r="T16">
        <f t="shared" si="2"/>
        <v>17.372469135802469</v>
      </c>
      <c r="U16">
        <f t="shared" si="3"/>
        <v>-1.2114291785061726</v>
      </c>
      <c r="V16" s="23"/>
      <c r="W16" s="24"/>
      <c r="X16" s="9"/>
      <c r="Y16" s="22">
        <v>1.78986</v>
      </c>
      <c r="Z16" s="22">
        <v>14.829000000000001</v>
      </c>
      <c r="AA16" s="22">
        <v>1.8044999999999999E-3</v>
      </c>
      <c r="AB16" s="22">
        <v>6</v>
      </c>
      <c r="AC16" s="22">
        <v>1.78894</v>
      </c>
      <c r="AD16">
        <f t="shared" si="4"/>
        <v>-2.2277777777777774</v>
      </c>
      <c r="AE16">
        <f t="shared" si="5"/>
        <v>-3.9874103333333326</v>
      </c>
      <c r="AF16" s="9"/>
      <c r="AG16" s="22">
        <v>-6.9732699999999995E-2</v>
      </c>
      <c r="AH16" s="22">
        <v>18.688400000000001</v>
      </c>
      <c r="AI16" s="22">
        <v>-1.40625E-2</v>
      </c>
      <c r="AJ16" s="22">
        <v>6</v>
      </c>
      <c r="AK16" s="22">
        <v>-7.0129399999999995E-2</v>
      </c>
      <c r="AL16">
        <f t="shared" si="6"/>
        <v>17.361111111111111</v>
      </c>
      <c r="AM16">
        <f t="shared" si="7"/>
        <v>-1.2106371527777777</v>
      </c>
      <c r="AP16" s="9"/>
      <c r="AQ16" s="22">
        <v>1.78986</v>
      </c>
      <c r="AR16" s="22">
        <v>24.1342</v>
      </c>
      <c r="AS16" s="22">
        <v>3.3212300000000001E-3</v>
      </c>
      <c r="AT16" s="22">
        <v>6</v>
      </c>
      <c r="AU16" s="22">
        <v>1.78894</v>
      </c>
      <c r="AV16">
        <f t="shared" si="8"/>
        <v>-4.1002839506172837</v>
      </c>
      <c r="AW16">
        <f t="shared" si="9"/>
        <v>-7.3389342318518516</v>
      </c>
      <c r="AX16" s="9"/>
      <c r="AY16" s="22">
        <v>-6.9732699999999995E-2</v>
      </c>
      <c r="AZ16" s="22">
        <v>27.9937</v>
      </c>
      <c r="BA16" s="22">
        <v>-1.4031999999999999E-2</v>
      </c>
      <c r="BB16" s="22">
        <v>6</v>
      </c>
      <c r="BC16" s="22">
        <v>-7.01904E-2</v>
      </c>
      <c r="BD16">
        <f t="shared" si="10"/>
        <v>17.323456790123455</v>
      </c>
      <c r="BE16">
        <f t="shared" si="11"/>
        <v>-1.2080114153086416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1.7848200000000001</v>
      </c>
      <c r="H17" s="22">
        <v>5.3948299999999998</v>
      </c>
      <c r="I17" s="22">
        <v>-2.2198500000000002E-3</v>
      </c>
      <c r="J17" s="22">
        <v>7</v>
      </c>
      <c r="K17" s="22">
        <v>1.78406</v>
      </c>
      <c r="L17">
        <f t="shared" si="0"/>
        <v>2.7405555555555554</v>
      </c>
      <c r="M17">
        <f t="shared" si="1"/>
        <v>4.8913983666666665</v>
      </c>
      <c r="N17" s="9"/>
      <c r="O17" s="22">
        <v>-6.4697299999999999E-2</v>
      </c>
      <c r="P17" s="22">
        <v>9.2543000000000006</v>
      </c>
      <c r="Q17" s="22">
        <v>-1.4074700000000001E-2</v>
      </c>
      <c r="R17" s="22">
        <v>7</v>
      </c>
      <c r="S17" s="22">
        <v>-6.5093999999999999E-2</v>
      </c>
      <c r="T17">
        <f t="shared" si="2"/>
        <v>17.376172839506172</v>
      </c>
      <c r="U17">
        <f t="shared" si="3"/>
        <v>-1.1241914670493827</v>
      </c>
      <c r="V17" s="23"/>
      <c r="W17" s="24"/>
      <c r="X17" s="9"/>
      <c r="Y17" s="22">
        <v>1.7848200000000001</v>
      </c>
      <c r="Z17" s="22">
        <v>14.839</v>
      </c>
      <c r="AA17" s="22">
        <v>1.3113400000000001E-4</v>
      </c>
      <c r="AB17" s="22">
        <v>7</v>
      </c>
      <c r="AC17" s="22">
        <v>1.7837499999999999</v>
      </c>
      <c r="AD17">
        <f t="shared" si="4"/>
        <v>-0.16189382716049383</v>
      </c>
      <c r="AE17">
        <f t="shared" si="5"/>
        <v>-0.28895134059259259</v>
      </c>
      <c r="AF17" s="9"/>
      <c r="AG17" s="22">
        <v>-6.4697299999999999E-2</v>
      </c>
      <c r="AH17" s="22">
        <v>18.698499999999999</v>
      </c>
      <c r="AI17" s="22">
        <v>-1.40594E-2</v>
      </c>
      <c r="AJ17" s="22">
        <v>7</v>
      </c>
      <c r="AK17" s="22">
        <v>-6.5124500000000002E-2</v>
      </c>
      <c r="AL17">
        <f t="shared" si="6"/>
        <v>17.357283950617283</v>
      </c>
      <c r="AM17">
        <f t="shared" si="7"/>
        <v>-1.1229694069382716</v>
      </c>
      <c r="AP17" s="9"/>
      <c r="AQ17" s="22">
        <v>1.7848200000000001</v>
      </c>
      <c r="AR17" s="22">
        <v>24.144300000000001</v>
      </c>
      <c r="AS17" s="22">
        <v>1.3662699999999999E-3</v>
      </c>
      <c r="AT17" s="22">
        <v>7</v>
      </c>
      <c r="AU17" s="22">
        <v>1.7837499999999999</v>
      </c>
      <c r="AV17">
        <f t="shared" si="8"/>
        <v>-1.6867530864197529</v>
      </c>
      <c r="AW17">
        <f t="shared" si="9"/>
        <v>-3.0105506437037035</v>
      </c>
      <c r="AX17" s="9"/>
      <c r="AY17" s="22">
        <v>-6.4697299999999999E-2</v>
      </c>
      <c r="AZ17" s="22">
        <v>28.003699999999998</v>
      </c>
      <c r="BA17" s="22">
        <v>-1.40228E-2</v>
      </c>
      <c r="BB17" s="22">
        <v>7</v>
      </c>
      <c r="BC17" s="22">
        <v>-6.5032999999999994E-2</v>
      </c>
      <c r="BD17">
        <f t="shared" si="10"/>
        <v>17.312098765432097</v>
      </c>
      <c r="BE17">
        <f t="shared" si="11"/>
        <v>-1.1200460474567899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1.77979</v>
      </c>
      <c r="H18" s="22">
        <v>5.4048999999999996</v>
      </c>
      <c r="I18" s="22">
        <v>-3.2940700000000001E-3</v>
      </c>
      <c r="J18" s="22">
        <v>8</v>
      </c>
      <c r="K18" s="22">
        <v>1.7791699999999999</v>
      </c>
      <c r="L18">
        <f t="shared" si="0"/>
        <v>4.0667530864197525</v>
      </c>
      <c r="M18">
        <f t="shared" si="1"/>
        <v>7.237966475679011</v>
      </c>
      <c r="N18" s="9"/>
      <c r="O18" s="22">
        <v>-5.9661899999999997E-2</v>
      </c>
      <c r="P18" s="22">
        <v>9.2643699999999995</v>
      </c>
      <c r="Q18" s="22">
        <v>-1.4065599999999999E-2</v>
      </c>
      <c r="R18" s="22">
        <v>8</v>
      </c>
      <c r="S18" s="22">
        <v>-6.0119600000000002E-2</v>
      </c>
      <c r="T18">
        <f t="shared" si="2"/>
        <v>17.364938271604938</v>
      </c>
      <c r="U18">
        <f t="shared" si="3"/>
        <v>-1.0360252106666665</v>
      </c>
      <c r="V18" s="23"/>
      <c r="W18" s="24"/>
      <c r="X18" s="9"/>
      <c r="Y18" s="22">
        <v>1.77979</v>
      </c>
      <c r="Z18" s="22">
        <v>14.8491</v>
      </c>
      <c r="AA18" s="22">
        <v>-1.3128700000000001E-3</v>
      </c>
      <c r="AB18" s="22">
        <v>8</v>
      </c>
      <c r="AC18" s="22">
        <v>1.77887</v>
      </c>
      <c r="AD18">
        <f t="shared" si="4"/>
        <v>1.6208271604938271</v>
      </c>
      <c r="AE18">
        <f t="shared" si="5"/>
        <v>2.8847319719753086</v>
      </c>
      <c r="AF18" s="9"/>
      <c r="AG18" s="22">
        <v>-5.9661899999999997E-2</v>
      </c>
      <c r="AH18" s="22">
        <v>18.708600000000001</v>
      </c>
      <c r="AI18" s="22">
        <v>-1.40594E-2</v>
      </c>
      <c r="AJ18" s="22">
        <v>8</v>
      </c>
      <c r="AK18" s="22">
        <v>-6.0119600000000002E-2</v>
      </c>
      <c r="AL18">
        <f t="shared" si="6"/>
        <v>17.357283950617283</v>
      </c>
      <c r="AM18">
        <f t="shared" si="7"/>
        <v>-1.0355685393333331</v>
      </c>
      <c r="AP18" s="9"/>
      <c r="AQ18" s="22">
        <v>1.77979</v>
      </c>
      <c r="AR18" s="22">
        <v>24.154299999999999</v>
      </c>
      <c r="AS18" s="22">
        <v>-2.4792500000000002E-4</v>
      </c>
      <c r="AT18" s="22">
        <v>8</v>
      </c>
      <c r="AU18" s="22">
        <v>1.7785599999999999</v>
      </c>
      <c r="AV18">
        <f t="shared" si="8"/>
        <v>0.30608024691358027</v>
      </c>
      <c r="AW18">
        <f t="shared" si="9"/>
        <v>0.54475856265432099</v>
      </c>
      <c r="AX18" s="9"/>
      <c r="AY18" s="22">
        <v>-5.9661899999999997E-2</v>
      </c>
      <c r="AZ18" s="22">
        <v>28.0138</v>
      </c>
      <c r="BA18" s="22">
        <v>-1.40228E-2</v>
      </c>
      <c r="BB18" s="22">
        <v>8</v>
      </c>
      <c r="BC18" s="22">
        <v>-6.0119600000000002E-2</v>
      </c>
      <c r="BD18">
        <f t="shared" si="10"/>
        <v>17.312098765432097</v>
      </c>
      <c r="BE18">
        <f t="shared" si="11"/>
        <v>-1.0328727053333331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1.77475</v>
      </c>
      <c r="H19" s="22">
        <v>5.4149700000000003</v>
      </c>
      <c r="I19" s="22">
        <v>-4.2083700000000003E-3</v>
      </c>
      <c r="J19" s="22">
        <v>9</v>
      </c>
      <c r="K19" s="22">
        <v>1.77338</v>
      </c>
      <c r="L19">
        <f t="shared" si="0"/>
        <v>5.1955185185185186</v>
      </c>
      <c r="M19">
        <f t="shared" si="1"/>
        <v>9.2207464907407406</v>
      </c>
      <c r="N19" s="9"/>
      <c r="O19" s="22">
        <v>-5.4626500000000001E-2</v>
      </c>
      <c r="P19" s="22">
        <v>9.2744400000000002</v>
      </c>
      <c r="Q19" s="22">
        <v>-1.40564E-2</v>
      </c>
      <c r="R19" s="22">
        <v>9</v>
      </c>
      <c r="S19" s="22">
        <v>-5.50842E-2</v>
      </c>
      <c r="T19">
        <f t="shared" si="2"/>
        <v>17.35358024691358</v>
      </c>
      <c r="U19">
        <f t="shared" si="3"/>
        <v>-0.94796535135802473</v>
      </c>
      <c r="V19" s="23"/>
      <c r="W19" s="24"/>
      <c r="X19" s="9"/>
      <c r="Y19" s="22">
        <v>1.77475</v>
      </c>
      <c r="Z19" s="22">
        <v>14.8592</v>
      </c>
      <c r="AA19" s="22">
        <v>-2.47131E-3</v>
      </c>
      <c r="AB19" s="22">
        <v>9</v>
      </c>
      <c r="AC19" s="22">
        <v>1.77338</v>
      </c>
      <c r="AD19">
        <f t="shared" si="4"/>
        <v>3.0509999999999997</v>
      </c>
      <c r="AE19">
        <f t="shared" si="5"/>
        <v>5.4147622499999999</v>
      </c>
      <c r="AF19" s="9"/>
      <c r="AG19" s="22">
        <v>-5.4626500000000001E-2</v>
      </c>
      <c r="AH19" s="22">
        <v>18.718599999999999</v>
      </c>
      <c r="AI19" s="22">
        <v>-1.40625E-2</v>
      </c>
      <c r="AJ19" s="22">
        <v>9</v>
      </c>
      <c r="AK19" s="22">
        <v>-5.5053699999999997E-2</v>
      </c>
      <c r="AL19">
        <f t="shared" si="6"/>
        <v>17.361111111111111</v>
      </c>
      <c r="AM19">
        <f t="shared" si="7"/>
        <v>-0.94837673611111106</v>
      </c>
      <c r="AP19" s="9"/>
      <c r="AQ19" s="22">
        <v>1.77475</v>
      </c>
      <c r="AR19" s="22">
        <v>24.164400000000001</v>
      </c>
      <c r="AS19" s="22">
        <v>-1.5838600000000001E-3</v>
      </c>
      <c r="AT19" s="22">
        <v>9</v>
      </c>
      <c r="AU19" s="22">
        <v>1.77399</v>
      </c>
      <c r="AV19">
        <f t="shared" si="8"/>
        <v>1.9553827160493829</v>
      </c>
      <c r="AW19">
        <f t="shared" si="9"/>
        <v>3.4703154753086425</v>
      </c>
      <c r="AX19" s="9"/>
      <c r="AY19" s="22">
        <v>-5.4626500000000001E-2</v>
      </c>
      <c r="AZ19" s="22">
        <v>28.023900000000001</v>
      </c>
      <c r="BA19" s="22">
        <v>-1.40137E-2</v>
      </c>
      <c r="BB19" s="22">
        <v>9</v>
      </c>
      <c r="BC19" s="22">
        <v>-5.5053699999999997E-2</v>
      </c>
      <c r="BD19">
        <f t="shared" si="10"/>
        <v>17.300864197530863</v>
      </c>
      <c r="BE19">
        <f t="shared" si="11"/>
        <v>-0.94508565808641976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1.7697099999999999</v>
      </c>
      <c r="H20" s="22">
        <v>5.4250400000000001</v>
      </c>
      <c r="I20" s="22">
        <v>-4.9871799999999999E-3</v>
      </c>
      <c r="J20" s="22">
        <v>10</v>
      </c>
      <c r="K20" s="22">
        <v>1.7687999999999999</v>
      </c>
      <c r="L20">
        <f t="shared" si="0"/>
        <v>6.1570123456790125</v>
      </c>
      <c r="M20">
        <f t="shared" si="1"/>
        <v>10.896126318271605</v>
      </c>
      <c r="N20" s="9"/>
      <c r="O20" s="22">
        <v>-4.9591099999999999E-2</v>
      </c>
      <c r="P20" s="22">
        <v>9.2845099999999992</v>
      </c>
      <c r="Q20" s="22">
        <v>-1.40594E-2</v>
      </c>
      <c r="R20" s="22">
        <v>10</v>
      </c>
      <c r="S20" s="22">
        <v>-5.0018300000000002E-2</v>
      </c>
      <c r="T20">
        <f t="shared" si="2"/>
        <v>17.357283950617283</v>
      </c>
      <c r="U20">
        <f t="shared" si="3"/>
        <v>-0.86076680412345674</v>
      </c>
      <c r="V20" s="23"/>
      <c r="W20" s="24"/>
      <c r="X20" s="9"/>
      <c r="Y20" s="22">
        <v>1.7697099999999999</v>
      </c>
      <c r="Z20" s="22">
        <v>14.869199999999999</v>
      </c>
      <c r="AA20" s="22">
        <v>-3.5141E-3</v>
      </c>
      <c r="AB20" s="22">
        <v>10</v>
      </c>
      <c r="AC20" s="22">
        <v>1.7687999999999999</v>
      </c>
      <c r="AD20">
        <f t="shared" si="4"/>
        <v>4.3383950617283951</v>
      </c>
      <c r="AE20">
        <f t="shared" si="5"/>
        <v>7.6777011246913576</v>
      </c>
      <c r="AF20" s="9"/>
      <c r="AG20" s="22">
        <v>-4.9591099999999999E-2</v>
      </c>
      <c r="AH20" s="22">
        <v>18.7287</v>
      </c>
      <c r="AI20" s="22">
        <v>-1.4065599999999999E-2</v>
      </c>
      <c r="AJ20" s="22">
        <v>10</v>
      </c>
      <c r="AK20" s="22">
        <v>-5.0018300000000002E-2</v>
      </c>
      <c r="AL20">
        <f t="shared" si="6"/>
        <v>17.364938271604938</v>
      </c>
      <c r="AM20">
        <f t="shared" si="7"/>
        <v>-0.86114639032098761</v>
      </c>
      <c r="AP20" s="9"/>
      <c r="AQ20" s="22">
        <v>1.7697099999999999</v>
      </c>
      <c r="AR20" s="22">
        <v>24.174499999999998</v>
      </c>
      <c r="AS20" s="22">
        <v>-2.7154499999999999E-3</v>
      </c>
      <c r="AT20" s="22">
        <v>10</v>
      </c>
      <c r="AU20" s="22">
        <v>1.7690999999999999</v>
      </c>
      <c r="AV20">
        <f t="shared" si="8"/>
        <v>3.3524074074074073</v>
      </c>
      <c r="AW20">
        <f t="shared" si="9"/>
        <v>5.9327889129629625</v>
      </c>
      <c r="AX20" s="9"/>
      <c r="AY20" s="22">
        <v>-4.9591099999999999E-2</v>
      </c>
      <c r="AZ20" s="22">
        <v>28.033899999999999</v>
      </c>
      <c r="BA20" s="22">
        <v>-1.40015E-2</v>
      </c>
      <c r="BB20" s="22">
        <v>10</v>
      </c>
      <c r="BC20" s="22">
        <v>-4.9987799999999999E-2</v>
      </c>
      <c r="BD20">
        <f t="shared" si="10"/>
        <v>17.285802469135803</v>
      </c>
      <c r="BE20">
        <f t="shared" si="11"/>
        <v>-0.85722195882716046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1.76468</v>
      </c>
      <c r="H21" s="22">
        <v>5.4351099999999999</v>
      </c>
      <c r="I21" s="22">
        <v>-5.6610100000000002E-3</v>
      </c>
      <c r="J21" s="22">
        <v>11</v>
      </c>
      <c r="K21" s="22">
        <v>1.7639199999999999</v>
      </c>
      <c r="L21">
        <f t="shared" si="0"/>
        <v>6.9889012345679014</v>
      </c>
      <c r="M21">
        <f t="shared" si="1"/>
        <v>12.333174230617285</v>
      </c>
      <c r="N21" s="9"/>
      <c r="O21" s="22">
        <v>-4.4555699999999997E-2</v>
      </c>
      <c r="P21" s="22">
        <v>9.2945799999999998</v>
      </c>
      <c r="Q21" s="22">
        <v>-1.40564E-2</v>
      </c>
      <c r="R21" s="22">
        <v>11</v>
      </c>
      <c r="S21" s="22">
        <v>-4.47906E-2</v>
      </c>
      <c r="T21">
        <f t="shared" si="2"/>
        <v>17.35358024691358</v>
      </c>
      <c r="U21">
        <f t="shared" si="3"/>
        <v>-0.77320091540740732</v>
      </c>
      <c r="V21" s="23"/>
      <c r="W21" s="24"/>
      <c r="X21" s="9"/>
      <c r="Y21" s="22">
        <v>1.76468</v>
      </c>
      <c r="Z21" s="22">
        <v>14.879300000000001</v>
      </c>
      <c r="AA21" s="22">
        <v>-4.3637099999999998E-3</v>
      </c>
      <c r="AB21" s="22">
        <v>11</v>
      </c>
      <c r="AC21" s="22">
        <v>1.7639199999999999</v>
      </c>
      <c r="AD21">
        <f t="shared" si="4"/>
        <v>5.3872962962962951</v>
      </c>
      <c r="AE21">
        <f t="shared" si="5"/>
        <v>9.5068540281481457</v>
      </c>
      <c r="AF21" s="9"/>
      <c r="AG21" s="22">
        <v>-4.4555699999999997E-2</v>
      </c>
      <c r="AH21" s="22">
        <v>18.738800000000001</v>
      </c>
      <c r="AI21" s="22">
        <v>-1.4065599999999999E-2</v>
      </c>
      <c r="AJ21" s="22">
        <v>11</v>
      </c>
      <c r="AK21" s="22">
        <v>-4.4845599999999999E-2</v>
      </c>
      <c r="AL21">
        <f t="shared" si="6"/>
        <v>17.364938271604938</v>
      </c>
      <c r="AM21">
        <f t="shared" si="7"/>
        <v>-0.77370698014814809</v>
      </c>
      <c r="AP21" s="9"/>
      <c r="AQ21" s="22">
        <v>1.76468</v>
      </c>
      <c r="AR21" s="22">
        <v>24.1845</v>
      </c>
      <c r="AS21" s="22">
        <v>-3.68805E-3</v>
      </c>
      <c r="AT21" s="22">
        <v>11</v>
      </c>
      <c r="AU21" s="22">
        <v>1.7633099999999999</v>
      </c>
      <c r="AV21">
        <f t="shared" si="8"/>
        <v>4.5531481481481482</v>
      </c>
      <c r="AW21">
        <f t="shared" si="9"/>
        <v>8.0348494740740737</v>
      </c>
      <c r="AX21" s="9"/>
      <c r="AY21" s="22">
        <v>-4.4555699999999997E-2</v>
      </c>
      <c r="AZ21" s="22">
        <v>28.044</v>
      </c>
      <c r="BA21" s="22">
        <v>-1.40045E-2</v>
      </c>
      <c r="BB21" s="22">
        <v>11</v>
      </c>
      <c r="BC21" s="22">
        <v>-4.4930999999999999E-2</v>
      </c>
      <c r="BD21">
        <f t="shared" si="10"/>
        <v>17.289506172839506</v>
      </c>
      <c r="BE21">
        <f t="shared" si="11"/>
        <v>-0.77034605018518509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1.7596400000000001</v>
      </c>
      <c r="H22" s="22">
        <v>5.4451799999999997</v>
      </c>
      <c r="I22" s="22">
        <v>-6.2622099999999998E-3</v>
      </c>
      <c r="J22" s="22">
        <v>12</v>
      </c>
      <c r="K22" s="22">
        <v>1.7587299999999999</v>
      </c>
      <c r="L22">
        <f t="shared" si="0"/>
        <v>7.7311234567901224</v>
      </c>
      <c r="M22">
        <f t="shared" si="1"/>
        <v>13.603994079506172</v>
      </c>
      <c r="N22" s="9"/>
      <c r="O22" s="22">
        <v>-3.9520300000000001E-2</v>
      </c>
      <c r="P22" s="22">
        <v>9.3046600000000002</v>
      </c>
      <c r="Q22" s="22">
        <v>-1.40503E-2</v>
      </c>
      <c r="R22" s="22">
        <v>12</v>
      </c>
      <c r="S22" s="22">
        <v>-3.9843799999999999E-2</v>
      </c>
      <c r="T22">
        <f t="shared" si="2"/>
        <v>17.34604938271605</v>
      </c>
      <c r="U22">
        <f t="shared" si="3"/>
        <v>-0.68552107541975316</v>
      </c>
      <c r="V22" s="23"/>
      <c r="W22" s="24"/>
      <c r="X22" s="9"/>
      <c r="Y22" s="22">
        <v>1.7596400000000001</v>
      </c>
      <c r="Z22" s="22">
        <v>14.8894</v>
      </c>
      <c r="AA22" s="22">
        <v>-5.1513699999999997E-3</v>
      </c>
      <c r="AB22" s="22">
        <v>12</v>
      </c>
      <c r="AC22" s="22">
        <v>1.7590300000000001</v>
      </c>
      <c r="AD22">
        <f t="shared" si="4"/>
        <v>6.3597160493827154</v>
      </c>
      <c r="AE22">
        <f t="shared" si="5"/>
        <v>11.190810749135801</v>
      </c>
      <c r="AF22" s="9"/>
      <c r="AG22" s="22">
        <v>-3.9520300000000001E-2</v>
      </c>
      <c r="AH22" s="22">
        <v>18.748899999999999</v>
      </c>
      <c r="AI22" s="22">
        <v>-1.40625E-2</v>
      </c>
      <c r="AJ22" s="22">
        <v>12</v>
      </c>
      <c r="AK22" s="22">
        <v>-3.9801000000000003E-2</v>
      </c>
      <c r="AL22">
        <f t="shared" si="6"/>
        <v>17.361111111111111</v>
      </c>
      <c r="AM22">
        <f t="shared" si="7"/>
        <v>-0.6861163194444444</v>
      </c>
      <c r="AP22" s="9"/>
      <c r="AQ22" s="22">
        <v>1.7596400000000001</v>
      </c>
      <c r="AR22" s="22">
        <v>24.194600000000001</v>
      </c>
      <c r="AS22" s="22">
        <v>-4.5202599999999999E-3</v>
      </c>
      <c r="AT22" s="22">
        <v>12</v>
      </c>
      <c r="AU22" s="22">
        <v>1.7587299999999999</v>
      </c>
      <c r="AV22">
        <f t="shared" si="8"/>
        <v>5.5805679012345681</v>
      </c>
      <c r="AW22">
        <f t="shared" si="9"/>
        <v>9.8197905017283968</v>
      </c>
      <c r="AX22" s="9"/>
      <c r="AY22" s="22">
        <v>-3.9520300000000001E-2</v>
      </c>
      <c r="AZ22" s="22">
        <v>28.054099999999998</v>
      </c>
      <c r="BA22" s="22">
        <v>-1.4019800000000001E-2</v>
      </c>
      <c r="BB22" s="22">
        <v>12</v>
      </c>
      <c r="BC22" s="22">
        <v>-3.97705E-2</v>
      </c>
      <c r="BD22">
        <f t="shared" si="10"/>
        <v>17.308395061728394</v>
      </c>
      <c r="BE22">
        <f t="shared" si="11"/>
        <v>-0.68403296535802471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1.75461</v>
      </c>
      <c r="H23" s="22">
        <v>5.4552500000000004</v>
      </c>
      <c r="I23" s="22">
        <v>-6.7962600000000001E-3</v>
      </c>
      <c r="J23" s="22">
        <v>13</v>
      </c>
      <c r="K23" s="22">
        <v>1.7535400000000001</v>
      </c>
      <c r="L23">
        <f t="shared" si="0"/>
        <v>8.3904444444444426</v>
      </c>
      <c r="M23">
        <f t="shared" si="1"/>
        <v>14.721957726666663</v>
      </c>
      <c r="N23" s="9"/>
      <c r="O23" s="22">
        <v>-3.4484899999999999E-2</v>
      </c>
      <c r="P23" s="22">
        <v>9.3147300000000008</v>
      </c>
      <c r="Q23" s="22">
        <v>-1.4053299999999999E-2</v>
      </c>
      <c r="R23" s="22">
        <v>13</v>
      </c>
      <c r="S23" s="22">
        <v>-3.4710699999999997E-2</v>
      </c>
      <c r="T23">
        <f t="shared" si="2"/>
        <v>17.349753086419753</v>
      </c>
      <c r="U23">
        <f t="shared" si="3"/>
        <v>-0.59830450020987647</v>
      </c>
      <c r="V23" s="23"/>
      <c r="W23" s="24"/>
      <c r="X23" s="9"/>
      <c r="Y23" s="22">
        <v>1.75461</v>
      </c>
      <c r="Z23" s="22">
        <v>14.8995</v>
      </c>
      <c r="AA23" s="22">
        <v>-5.7952899999999998E-3</v>
      </c>
      <c r="AB23" s="22">
        <v>13</v>
      </c>
      <c r="AC23" s="22">
        <v>1.7535400000000001</v>
      </c>
      <c r="AD23">
        <f t="shared" si="4"/>
        <v>7.154679012345678</v>
      </c>
      <c r="AE23">
        <f t="shared" si="5"/>
        <v>12.55367134185185</v>
      </c>
      <c r="AF23" s="9"/>
      <c r="AG23" s="22">
        <v>-3.4484899999999999E-2</v>
      </c>
      <c r="AH23" s="22">
        <v>18.758900000000001</v>
      </c>
      <c r="AI23" s="22">
        <v>-1.4068600000000001E-2</v>
      </c>
      <c r="AJ23" s="22">
        <v>13</v>
      </c>
      <c r="AK23" s="22">
        <v>-3.46985E-2</v>
      </c>
      <c r="AL23">
        <f t="shared" si="6"/>
        <v>17.368641975308641</v>
      </c>
      <c r="AM23">
        <f t="shared" si="7"/>
        <v>-0.5989558816543209</v>
      </c>
      <c r="AP23" s="9"/>
      <c r="AQ23" s="22">
        <v>1.75461</v>
      </c>
      <c r="AR23" s="22">
        <v>24.204699999999999</v>
      </c>
      <c r="AS23" s="22">
        <v>-5.2490200000000001E-3</v>
      </c>
      <c r="AT23" s="22">
        <v>13</v>
      </c>
      <c r="AU23" s="22">
        <v>1.7538499999999999</v>
      </c>
      <c r="AV23">
        <f t="shared" si="8"/>
        <v>6.4802716049382711</v>
      </c>
      <c r="AW23">
        <f t="shared" si="9"/>
        <v>11.37034936074074</v>
      </c>
      <c r="AX23" s="9"/>
      <c r="AY23" s="22">
        <v>-3.4484899999999999E-2</v>
      </c>
      <c r="AZ23" s="22">
        <v>28.0642</v>
      </c>
      <c r="BA23" s="22">
        <v>-1.40228E-2</v>
      </c>
      <c r="BB23" s="22">
        <v>13</v>
      </c>
      <c r="BC23" s="22">
        <v>-3.47412E-2</v>
      </c>
      <c r="BD23">
        <f t="shared" si="10"/>
        <v>17.312098765432097</v>
      </c>
      <c r="BE23">
        <f t="shared" si="11"/>
        <v>-0.59700599471604932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1.7495700000000001</v>
      </c>
      <c r="H24" s="22">
        <v>5.4653200000000002</v>
      </c>
      <c r="I24" s="22">
        <v>-7.2753899999999996E-3</v>
      </c>
      <c r="J24" s="22">
        <v>14</v>
      </c>
      <c r="K24" s="22">
        <v>1.7489600000000001</v>
      </c>
      <c r="L24">
        <f t="shared" si="0"/>
        <v>8.981962962962962</v>
      </c>
      <c r="M24">
        <f t="shared" si="1"/>
        <v>15.714572941111109</v>
      </c>
      <c r="N24" s="9"/>
      <c r="O24" s="22">
        <v>-2.94495E-2</v>
      </c>
      <c r="P24" s="22">
        <v>9.3247999999999998</v>
      </c>
      <c r="Q24" s="22">
        <v>-1.40564E-2</v>
      </c>
      <c r="R24" s="22">
        <v>14</v>
      </c>
      <c r="S24" s="22">
        <v>-2.97089E-2</v>
      </c>
      <c r="T24">
        <f t="shared" si="2"/>
        <v>17.35358024691358</v>
      </c>
      <c r="U24">
        <f t="shared" si="3"/>
        <v>-0.51105426148148148</v>
      </c>
      <c r="V24" s="23"/>
      <c r="W24" s="24"/>
      <c r="X24" s="9"/>
      <c r="Y24" s="22">
        <v>1.7495700000000001</v>
      </c>
      <c r="Z24" s="22">
        <v>14.9095</v>
      </c>
      <c r="AA24" s="22">
        <v>-6.4025899999999997E-3</v>
      </c>
      <c r="AB24" s="22">
        <v>14</v>
      </c>
      <c r="AC24" s="22">
        <v>1.7489600000000001</v>
      </c>
      <c r="AD24">
        <f t="shared" si="4"/>
        <v>7.9044320987654313</v>
      </c>
      <c r="AE24">
        <f t="shared" si="5"/>
        <v>13.829357267037036</v>
      </c>
      <c r="AF24" s="9"/>
      <c r="AG24" s="22">
        <v>-2.94495E-2</v>
      </c>
      <c r="AH24" s="22">
        <v>18.768999999999998</v>
      </c>
      <c r="AI24" s="22">
        <v>-1.4065599999999999E-2</v>
      </c>
      <c r="AJ24" s="22">
        <v>14</v>
      </c>
      <c r="AK24" s="22">
        <v>-2.9705800000000001E-2</v>
      </c>
      <c r="AL24">
        <f t="shared" si="6"/>
        <v>17.364938271604938</v>
      </c>
      <c r="AM24">
        <f t="shared" si="7"/>
        <v>-0.51138874962962966</v>
      </c>
      <c r="AP24" s="9"/>
      <c r="AQ24" s="22">
        <v>1.7495700000000001</v>
      </c>
      <c r="AR24" s="22">
        <v>24.2148</v>
      </c>
      <c r="AS24" s="22">
        <v>-5.8929400000000002E-3</v>
      </c>
      <c r="AT24" s="22">
        <v>14</v>
      </c>
      <c r="AU24" s="22">
        <v>1.7486600000000001</v>
      </c>
      <c r="AV24">
        <f t="shared" si="8"/>
        <v>7.2752345679012338</v>
      </c>
      <c r="AW24">
        <f t="shared" si="9"/>
        <v>12.728532142962962</v>
      </c>
      <c r="AX24" s="9"/>
      <c r="AY24" s="22">
        <v>-2.94495E-2</v>
      </c>
      <c r="AZ24" s="22">
        <v>28.074200000000001</v>
      </c>
      <c r="BA24" s="22">
        <v>-1.40228E-2</v>
      </c>
      <c r="BB24" s="22">
        <v>14</v>
      </c>
      <c r="BC24" s="22">
        <v>-2.9656999999999999E-2</v>
      </c>
      <c r="BD24">
        <f t="shared" si="10"/>
        <v>17.312098765432097</v>
      </c>
      <c r="BE24">
        <f t="shared" si="11"/>
        <v>-0.50983265259259258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1.74454</v>
      </c>
      <c r="H25" s="22">
        <v>5.47539</v>
      </c>
      <c r="I25" s="22">
        <v>-7.6995800000000001E-3</v>
      </c>
      <c r="J25" s="22">
        <v>15</v>
      </c>
      <c r="K25" s="22">
        <v>1.7440800000000001</v>
      </c>
      <c r="L25">
        <f t="shared" si="0"/>
        <v>9.5056543209876541</v>
      </c>
      <c r="M25">
        <f t="shared" si="1"/>
        <v>16.582994189135803</v>
      </c>
      <c r="N25" s="9"/>
      <c r="O25" s="22">
        <v>-2.4414100000000001E-2</v>
      </c>
      <c r="P25" s="22">
        <v>9.3348700000000004</v>
      </c>
      <c r="Q25" s="22">
        <v>-1.40564E-2</v>
      </c>
      <c r="R25" s="22">
        <v>15</v>
      </c>
      <c r="S25" s="22">
        <v>-2.4633800000000001E-2</v>
      </c>
      <c r="T25">
        <f t="shared" si="2"/>
        <v>17.35358024691358</v>
      </c>
      <c r="U25">
        <f t="shared" si="3"/>
        <v>-0.42367204350617288</v>
      </c>
      <c r="V25" s="23"/>
      <c r="W25" s="24"/>
      <c r="X25" s="9"/>
      <c r="Y25" s="22">
        <v>1.74454</v>
      </c>
      <c r="Z25" s="22">
        <v>14.919600000000001</v>
      </c>
      <c r="AA25" s="22">
        <v>-6.9061299999999999E-3</v>
      </c>
      <c r="AB25" s="22">
        <v>15</v>
      </c>
      <c r="AC25" s="22">
        <v>1.74316</v>
      </c>
      <c r="AD25">
        <f t="shared" si="4"/>
        <v>8.526086419753085</v>
      </c>
      <c r="AE25">
        <f t="shared" si="5"/>
        <v>14.874098802716047</v>
      </c>
      <c r="AF25" s="9"/>
      <c r="AG25" s="22">
        <v>-2.4414100000000001E-2</v>
      </c>
      <c r="AH25" s="22">
        <v>18.7791</v>
      </c>
      <c r="AI25" s="22">
        <v>-1.40594E-2</v>
      </c>
      <c r="AJ25" s="22">
        <v>15</v>
      </c>
      <c r="AK25" s="22">
        <v>-2.4676500000000001E-2</v>
      </c>
      <c r="AL25">
        <f t="shared" si="6"/>
        <v>17.357283950617283</v>
      </c>
      <c r="AM25">
        <f t="shared" si="7"/>
        <v>-0.42376246609876544</v>
      </c>
      <c r="AP25" s="9"/>
      <c r="AQ25" s="22">
        <v>1.74454</v>
      </c>
      <c r="AR25" s="22">
        <v>24.224799999999998</v>
      </c>
      <c r="AS25" s="22">
        <v>-6.4666699999999999E-3</v>
      </c>
      <c r="AT25" s="22">
        <v>15</v>
      </c>
      <c r="AU25" s="22">
        <v>1.7440800000000001</v>
      </c>
      <c r="AV25">
        <f t="shared" si="8"/>
        <v>7.983543209876542</v>
      </c>
      <c r="AW25">
        <f t="shared" si="9"/>
        <v>13.927610471358022</v>
      </c>
      <c r="AX25" s="9"/>
      <c r="AY25" s="22">
        <v>-2.4414100000000001E-2</v>
      </c>
      <c r="AZ25" s="22">
        <v>28.084299999999999</v>
      </c>
      <c r="BA25" s="22">
        <v>-1.4025900000000001E-2</v>
      </c>
      <c r="BB25" s="22">
        <v>15</v>
      </c>
      <c r="BC25" s="22">
        <v>-2.4673500000000001E-2</v>
      </c>
      <c r="BD25">
        <f t="shared" si="10"/>
        <v>17.315925925925924</v>
      </c>
      <c r="BE25">
        <f t="shared" si="11"/>
        <v>-0.42275274714814814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1.7395</v>
      </c>
      <c r="H26" s="22">
        <v>5.4854700000000003</v>
      </c>
      <c r="I26" s="22">
        <v>-8.0810499999999993E-3</v>
      </c>
      <c r="J26" s="22">
        <v>16</v>
      </c>
      <c r="K26" s="22">
        <v>1.7395</v>
      </c>
      <c r="L26">
        <f t="shared" si="0"/>
        <v>9.9766049382716027</v>
      </c>
      <c r="M26">
        <f t="shared" si="1"/>
        <v>17.354304290123455</v>
      </c>
      <c r="N26" s="9"/>
      <c r="O26" s="22">
        <v>-1.9378699999999999E-2</v>
      </c>
      <c r="P26" s="22">
        <v>9.3449399999999994</v>
      </c>
      <c r="Q26" s="22">
        <v>-1.40503E-2</v>
      </c>
      <c r="R26" s="22">
        <v>16</v>
      </c>
      <c r="S26" s="22">
        <v>-1.9632E-2</v>
      </c>
      <c r="T26">
        <f t="shared" si="2"/>
        <v>17.34604938271605</v>
      </c>
      <c r="U26">
        <f t="shared" si="3"/>
        <v>-0.3361438871728395</v>
      </c>
      <c r="V26" s="23"/>
      <c r="W26" s="24"/>
      <c r="X26" s="9"/>
      <c r="Y26" s="22">
        <v>1.7395</v>
      </c>
      <c r="Z26" s="22">
        <v>14.9297</v>
      </c>
      <c r="AA26" s="22">
        <v>-7.3944099999999997E-3</v>
      </c>
      <c r="AB26" s="22">
        <v>16</v>
      </c>
      <c r="AC26" s="22">
        <v>1.73889</v>
      </c>
      <c r="AD26">
        <f t="shared" si="4"/>
        <v>9.1289012345679001</v>
      </c>
      <c r="AE26">
        <f t="shared" si="5"/>
        <v>15.879723697530864</v>
      </c>
      <c r="AF26" s="9"/>
      <c r="AG26" s="22">
        <v>-1.9378699999999999E-2</v>
      </c>
      <c r="AH26" s="22">
        <v>18.789100000000001</v>
      </c>
      <c r="AI26" s="22">
        <v>-1.4053299999999999E-2</v>
      </c>
      <c r="AJ26" s="22">
        <v>16</v>
      </c>
      <c r="AK26" s="22">
        <v>-1.9577000000000001E-2</v>
      </c>
      <c r="AL26">
        <f t="shared" si="6"/>
        <v>17.349753086419753</v>
      </c>
      <c r="AM26">
        <f t="shared" si="7"/>
        <v>-0.33621566013580245</v>
      </c>
      <c r="AP26" s="9"/>
      <c r="AQ26" s="22">
        <v>1.7395</v>
      </c>
      <c r="AR26" s="22">
        <v>24.2349</v>
      </c>
      <c r="AS26" s="22">
        <v>-6.96716E-3</v>
      </c>
      <c r="AT26" s="22">
        <v>16</v>
      </c>
      <c r="AU26" s="22">
        <v>1.73889</v>
      </c>
      <c r="AV26">
        <f t="shared" si="8"/>
        <v>8.6014320987654305</v>
      </c>
      <c r="AW26">
        <f t="shared" si="9"/>
        <v>14.962191135802467</v>
      </c>
      <c r="AX26" s="9"/>
      <c r="AY26" s="22">
        <v>-1.9378699999999999E-2</v>
      </c>
      <c r="AZ26" s="22">
        <v>28.0944</v>
      </c>
      <c r="BA26" s="22">
        <v>-1.40228E-2</v>
      </c>
      <c r="BB26" s="22">
        <v>16</v>
      </c>
      <c r="BC26" s="22">
        <v>-1.9583099999999999E-2</v>
      </c>
      <c r="BD26">
        <f t="shared" si="10"/>
        <v>17.312098765432097</v>
      </c>
      <c r="BE26">
        <f t="shared" si="11"/>
        <v>-0.33548596834567895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1.73447</v>
      </c>
      <c r="H27" s="22">
        <v>5.4955400000000001</v>
      </c>
      <c r="I27" s="22">
        <v>-8.4228500000000008E-3</v>
      </c>
      <c r="J27" s="22">
        <v>17</v>
      </c>
      <c r="K27" s="22">
        <v>1.73431</v>
      </c>
      <c r="L27">
        <f t="shared" si="0"/>
        <v>10.39858024691358</v>
      </c>
      <c r="M27">
        <f t="shared" si="1"/>
        <v>18.036025480864197</v>
      </c>
      <c r="N27" s="9"/>
      <c r="O27" s="22">
        <v>-1.43433E-2</v>
      </c>
      <c r="P27" s="22">
        <v>9.35501</v>
      </c>
      <c r="Q27" s="22">
        <v>-1.4047199999999999E-2</v>
      </c>
      <c r="R27" s="22">
        <v>17</v>
      </c>
      <c r="S27" s="22">
        <v>-1.45538E-2</v>
      </c>
      <c r="T27">
        <f t="shared" si="2"/>
        <v>17.342222222222222</v>
      </c>
      <c r="U27">
        <f t="shared" si="3"/>
        <v>-0.24874469599999999</v>
      </c>
      <c r="X27" s="9"/>
      <c r="Y27" s="22">
        <v>1.73447</v>
      </c>
      <c r="Z27" s="22">
        <v>14.9397</v>
      </c>
      <c r="AA27" s="22">
        <v>-7.8094499999999999E-3</v>
      </c>
      <c r="AB27" s="22">
        <v>17</v>
      </c>
      <c r="AC27" s="22">
        <v>1.7337</v>
      </c>
      <c r="AD27">
        <f t="shared" si="4"/>
        <v>9.6412962962962947</v>
      </c>
      <c r="AE27">
        <f t="shared" si="5"/>
        <v>16.722539187037032</v>
      </c>
      <c r="AF27" s="9"/>
      <c r="AG27" s="22">
        <v>-1.43433E-2</v>
      </c>
      <c r="AH27" s="22">
        <v>18.799199999999999</v>
      </c>
      <c r="AI27" s="22">
        <v>-1.4047199999999999E-2</v>
      </c>
      <c r="AJ27" s="22">
        <v>17</v>
      </c>
      <c r="AK27" s="22">
        <v>-1.45142E-2</v>
      </c>
      <c r="AL27">
        <f t="shared" si="6"/>
        <v>17.342222222222222</v>
      </c>
      <c r="AM27">
        <f t="shared" si="7"/>
        <v>-0.24874469599999999</v>
      </c>
      <c r="AP27" s="9"/>
      <c r="AQ27" s="22">
        <v>1.73447</v>
      </c>
      <c r="AR27" s="22">
        <v>24.245000000000001</v>
      </c>
      <c r="AS27" s="22">
        <v>-7.4218799999999996E-3</v>
      </c>
      <c r="AT27" s="22">
        <v>17</v>
      </c>
      <c r="AU27" s="22">
        <v>1.73431</v>
      </c>
      <c r="AV27">
        <f t="shared" si="8"/>
        <v>9.1628148148148139</v>
      </c>
      <c r="AW27">
        <f t="shared" si="9"/>
        <v>15.89262741185185</v>
      </c>
      <c r="AX27" s="9"/>
      <c r="AY27" s="22">
        <v>-1.43433E-2</v>
      </c>
      <c r="AZ27" s="22">
        <v>28.104399999999998</v>
      </c>
      <c r="BA27" s="22">
        <v>-1.40137E-2</v>
      </c>
      <c r="BB27" s="22">
        <v>17</v>
      </c>
      <c r="BC27" s="22">
        <v>-1.4559900000000001E-2</v>
      </c>
      <c r="BD27">
        <f t="shared" si="10"/>
        <v>17.300864197530863</v>
      </c>
      <c r="BE27">
        <f t="shared" si="11"/>
        <v>-0.24815148544444443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1.72943</v>
      </c>
      <c r="H28" s="22">
        <v>5.5056099999999999</v>
      </c>
      <c r="I28" s="22">
        <v>-8.7432900000000008E-3</v>
      </c>
      <c r="J28" s="22">
        <v>18</v>
      </c>
      <c r="K28" s="22">
        <v>1.72882</v>
      </c>
      <c r="L28">
        <f t="shared" si="0"/>
        <v>10.794185185185187</v>
      </c>
      <c r="M28">
        <f t="shared" si="1"/>
        <v>18.667787684814819</v>
      </c>
      <c r="N28" s="9"/>
      <c r="O28" s="22">
        <v>-9.3078599999999994E-3</v>
      </c>
      <c r="P28" s="22">
        <v>9.3650800000000007</v>
      </c>
      <c r="Q28" s="22">
        <v>-1.40503E-2</v>
      </c>
      <c r="R28" s="22">
        <v>18</v>
      </c>
      <c r="S28" s="22">
        <v>-9.5123299999999994E-3</v>
      </c>
      <c r="T28">
        <f t="shared" si="2"/>
        <v>17.34604938271605</v>
      </c>
      <c r="U28">
        <f t="shared" si="3"/>
        <v>-0.1614545992074074</v>
      </c>
      <c r="X28" s="9"/>
      <c r="Y28" s="22">
        <v>1.72943</v>
      </c>
      <c r="Z28" s="22">
        <v>14.9498</v>
      </c>
      <c r="AA28" s="22">
        <v>-8.2031299999999994E-3</v>
      </c>
      <c r="AB28" s="22">
        <v>18</v>
      </c>
      <c r="AC28" s="22">
        <v>1.72882</v>
      </c>
      <c r="AD28">
        <f t="shared" si="4"/>
        <v>10.12732098765432</v>
      </c>
      <c r="AE28">
        <f t="shared" si="5"/>
        <v>17.51449273567901</v>
      </c>
      <c r="AF28" s="9"/>
      <c r="AG28" s="22">
        <v>-9.3078599999999994E-3</v>
      </c>
      <c r="AH28" s="22">
        <v>18.8093</v>
      </c>
      <c r="AI28" s="22">
        <v>-1.4041100000000001E-2</v>
      </c>
      <c r="AJ28" s="22">
        <v>18</v>
      </c>
      <c r="AK28" s="22">
        <v>-9.4848599999999995E-3</v>
      </c>
      <c r="AL28">
        <f t="shared" si="6"/>
        <v>17.334691358024692</v>
      </c>
      <c r="AM28">
        <f t="shared" si="7"/>
        <v>-0.1613488803037037</v>
      </c>
      <c r="AP28" s="9"/>
      <c r="AQ28" s="22">
        <v>1.72943</v>
      </c>
      <c r="AR28" s="22">
        <v>24.254999999999999</v>
      </c>
      <c r="AS28" s="22">
        <v>-7.8247100000000003E-3</v>
      </c>
      <c r="AT28" s="22">
        <v>18</v>
      </c>
      <c r="AU28" s="22">
        <v>1.7285200000000001</v>
      </c>
      <c r="AV28">
        <f t="shared" si="8"/>
        <v>9.6601358024691351</v>
      </c>
      <c r="AW28">
        <f t="shared" si="9"/>
        <v>16.706528660864198</v>
      </c>
      <c r="AX28" s="9"/>
      <c r="AY28" s="22">
        <v>-9.3078599999999994E-3</v>
      </c>
      <c r="AZ28" s="22">
        <v>28.1145</v>
      </c>
      <c r="BA28" s="22">
        <v>-1.40015E-2</v>
      </c>
      <c r="BB28" s="22">
        <v>18</v>
      </c>
      <c r="BC28" s="22">
        <v>-9.5062299999999992E-3</v>
      </c>
      <c r="BD28">
        <f t="shared" si="10"/>
        <v>17.285802469135803</v>
      </c>
      <c r="BE28">
        <f t="shared" si="11"/>
        <v>-0.16089382937037036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1.7243999999999999</v>
      </c>
      <c r="H29" s="22">
        <v>5.5156799999999997</v>
      </c>
      <c r="I29" s="22">
        <v>-9.0301500000000007E-3</v>
      </c>
      <c r="J29" s="22">
        <v>19</v>
      </c>
      <c r="K29" s="22">
        <v>1.72363</v>
      </c>
      <c r="L29">
        <f t="shared" si="0"/>
        <v>11.148333333333333</v>
      </c>
      <c r="M29">
        <f t="shared" si="1"/>
        <v>19.224186</v>
      </c>
      <c r="N29" s="9"/>
      <c r="O29" s="22">
        <v>-4.2724599999999996E-3</v>
      </c>
      <c r="P29" s="22">
        <v>9.3751499999999997</v>
      </c>
      <c r="Q29" s="22">
        <v>-1.40594E-2</v>
      </c>
      <c r="R29" s="22">
        <v>19</v>
      </c>
      <c r="S29" s="22">
        <v>-4.46167E-3</v>
      </c>
      <c r="T29">
        <f t="shared" si="2"/>
        <v>17.357283950617283</v>
      </c>
      <c r="U29">
        <f t="shared" si="3"/>
        <v>-7.4158301387654307E-2</v>
      </c>
      <c r="X29" s="9"/>
      <c r="Y29" s="22">
        <v>1.7243999999999999</v>
      </c>
      <c r="Z29" s="22">
        <v>14.959899999999999</v>
      </c>
      <c r="AA29" s="22">
        <v>-8.54187E-3</v>
      </c>
      <c r="AB29" s="22">
        <v>19</v>
      </c>
      <c r="AC29" s="22">
        <v>1.72333</v>
      </c>
      <c r="AD29">
        <f t="shared" si="4"/>
        <v>10.545518518518518</v>
      </c>
      <c r="AE29">
        <f t="shared" si="5"/>
        <v>18.184692133333332</v>
      </c>
      <c r="AF29" s="9"/>
      <c r="AG29" s="22">
        <v>-4.2724599999999996E-3</v>
      </c>
      <c r="AH29" s="22">
        <v>18.819400000000002</v>
      </c>
      <c r="AI29" s="22">
        <v>-1.40442E-2</v>
      </c>
      <c r="AJ29" s="22">
        <v>19</v>
      </c>
      <c r="AK29" s="22">
        <v>-4.3640099999999998E-3</v>
      </c>
      <c r="AL29">
        <f t="shared" si="6"/>
        <v>17.338518518518516</v>
      </c>
      <c r="AM29">
        <f t="shared" si="7"/>
        <v>-7.4078126829629609E-2</v>
      </c>
      <c r="AP29" s="9"/>
      <c r="AQ29" s="22">
        <v>1.7243999999999999</v>
      </c>
      <c r="AR29" s="22">
        <v>24.2651</v>
      </c>
      <c r="AS29" s="22">
        <v>-8.1909200000000008E-3</v>
      </c>
      <c r="AT29" s="22">
        <v>19</v>
      </c>
      <c r="AU29" s="22">
        <v>1.72363</v>
      </c>
      <c r="AV29">
        <f t="shared" si="8"/>
        <v>10.112246913580249</v>
      </c>
      <c r="AW29">
        <f t="shared" si="9"/>
        <v>17.437558577777779</v>
      </c>
      <c r="AX29" s="9"/>
      <c r="AY29" s="22">
        <v>-4.2724599999999996E-3</v>
      </c>
      <c r="AZ29" s="22">
        <v>28.124600000000001</v>
      </c>
      <c r="BA29" s="22">
        <v>-1.3986200000000001E-2</v>
      </c>
      <c r="BB29" s="22">
        <v>19</v>
      </c>
      <c r="BC29" s="22">
        <v>-4.4280999999999999E-3</v>
      </c>
      <c r="BD29">
        <f t="shared" si="10"/>
        <v>17.266913580246914</v>
      </c>
      <c r="BE29">
        <f t="shared" si="11"/>
        <v>-7.377219759506172E-2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1.71936</v>
      </c>
      <c r="H30" s="22">
        <v>5.5257500000000004</v>
      </c>
      <c r="I30" s="22">
        <v>-9.3017599999999992E-3</v>
      </c>
      <c r="J30" s="22">
        <v>20</v>
      </c>
      <c r="K30" s="22">
        <v>1.71844</v>
      </c>
      <c r="L30">
        <f t="shared" si="0"/>
        <v>11.483654320987652</v>
      </c>
      <c r="M30">
        <f t="shared" si="1"/>
        <v>19.744535893333328</v>
      </c>
      <c r="N30" s="9"/>
      <c r="O30" s="22">
        <v>7.6293900000000002E-4</v>
      </c>
      <c r="P30" s="22">
        <v>9.3852200000000003</v>
      </c>
      <c r="Q30" s="22">
        <v>-1.4068600000000001E-2</v>
      </c>
      <c r="R30" s="22">
        <v>20</v>
      </c>
      <c r="S30" s="22">
        <v>6.2255899999999996E-4</v>
      </c>
      <c r="T30">
        <f t="shared" si="2"/>
        <v>17.368641975308641</v>
      </c>
      <c r="U30">
        <f t="shared" si="3"/>
        <v>1.3251214339999999E-2</v>
      </c>
      <c r="X30" s="9"/>
      <c r="Y30" s="22">
        <v>1.71936</v>
      </c>
      <c r="Z30" s="22">
        <v>14.97</v>
      </c>
      <c r="AA30" s="22">
        <v>-8.8623E-3</v>
      </c>
      <c r="AB30" s="22">
        <v>20</v>
      </c>
      <c r="AC30" s="22">
        <v>1.71814</v>
      </c>
      <c r="AD30">
        <f t="shared" si="4"/>
        <v>10.941111111111109</v>
      </c>
      <c r="AE30">
        <f t="shared" si="5"/>
        <v>18.811708799999998</v>
      </c>
      <c r="AF30" s="9"/>
      <c r="AG30" s="22">
        <v>7.6293900000000002E-4</v>
      </c>
      <c r="AH30" s="22">
        <v>18.8294</v>
      </c>
      <c r="AI30" s="22">
        <v>-1.40503E-2</v>
      </c>
      <c r="AJ30" s="22">
        <v>20</v>
      </c>
      <c r="AK30" s="22">
        <v>6.4697300000000001E-4</v>
      </c>
      <c r="AL30">
        <f t="shared" si="6"/>
        <v>17.34604938271605</v>
      </c>
      <c r="AM30">
        <f t="shared" si="7"/>
        <v>1.3233977570000001E-2</v>
      </c>
      <c r="AP30" s="9"/>
      <c r="AQ30" s="22">
        <v>1.71936</v>
      </c>
      <c r="AR30" s="22">
        <v>24.275200000000002</v>
      </c>
      <c r="AS30" s="22">
        <v>-8.5235599999999995E-3</v>
      </c>
      <c r="AT30" s="22">
        <v>20</v>
      </c>
      <c r="AU30" s="22">
        <v>1.71875</v>
      </c>
      <c r="AV30">
        <f t="shared" si="8"/>
        <v>10.522913580246913</v>
      </c>
      <c r="AW30">
        <f t="shared" si="9"/>
        <v>18.092676693333331</v>
      </c>
      <c r="AX30" s="9"/>
      <c r="AY30" s="22">
        <v>7.6293900000000002E-4</v>
      </c>
      <c r="AZ30" s="22">
        <v>28.134699999999999</v>
      </c>
      <c r="BA30" s="22">
        <v>-1.3986200000000001E-2</v>
      </c>
      <c r="BB30" s="22">
        <v>20</v>
      </c>
      <c r="BC30" s="22">
        <v>6.4392099999999999E-4</v>
      </c>
      <c r="BD30">
        <f t="shared" si="10"/>
        <v>17.266913580246914</v>
      </c>
      <c r="BE30">
        <f t="shared" si="11"/>
        <v>1.317360178E-2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1.7143200000000001</v>
      </c>
      <c r="H31" s="22">
        <v>5.5358200000000002</v>
      </c>
      <c r="I31" s="22">
        <v>-9.5458999999999995E-3</v>
      </c>
      <c r="J31" s="22">
        <v>21</v>
      </c>
      <c r="K31" s="22">
        <v>1.71326</v>
      </c>
      <c r="L31">
        <f t="shared" si="0"/>
        <v>11.78506172839506</v>
      </c>
      <c r="M31">
        <f t="shared" si="1"/>
        <v>20.203367022222221</v>
      </c>
      <c r="N31" s="9"/>
      <c r="O31" s="22">
        <v>5.7983399999999999E-3</v>
      </c>
      <c r="P31" s="22">
        <v>9.3952899999999993</v>
      </c>
      <c r="Q31" s="22">
        <v>-1.4068600000000001E-2</v>
      </c>
      <c r="R31" s="22">
        <v>21</v>
      </c>
      <c r="S31" s="22">
        <v>5.6762699999999998E-3</v>
      </c>
      <c r="T31">
        <f t="shared" si="2"/>
        <v>17.368641975308641</v>
      </c>
      <c r="U31">
        <f t="shared" si="3"/>
        <v>0.1007092915111111</v>
      </c>
      <c r="X31" s="9"/>
      <c r="Y31" s="22">
        <v>1.7143200000000001</v>
      </c>
      <c r="Z31" s="22">
        <v>14.98</v>
      </c>
      <c r="AA31" s="22">
        <v>-9.1400100000000005E-3</v>
      </c>
      <c r="AB31" s="22">
        <v>21</v>
      </c>
      <c r="AC31" s="22">
        <v>1.71356</v>
      </c>
      <c r="AD31">
        <f t="shared" si="4"/>
        <v>11.283962962962963</v>
      </c>
      <c r="AE31">
        <f t="shared" si="5"/>
        <v>19.34432338666667</v>
      </c>
      <c r="AF31" s="9"/>
      <c r="AG31" s="22">
        <v>5.7983399999999999E-3</v>
      </c>
      <c r="AH31" s="22">
        <v>18.839500000000001</v>
      </c>
      <c r="AI31" s="22">
        <v>-1.4053299999999999E-2</v>
      </c>
      <c r="AJ31" s="22">
        <v>21</v>
      </c>
      <c r="AK31" s="22">
        <v>5.6732199999999997E-3</v>
      </c>
      <c r="AL31">
        <f t="shared" si="6"/>
        <v>17.349753086419753</v>
      </c>
      <c r="AM31">
        <f t="shared" si="7"/>
        <v>0.1005997673111111</v>
      </c>
      <c r="AP31" s="9"/>
      <c r="AQ31" s="22">
        <v>1.7143200000000001</v>
      </c>
      <c r="AR31" s="22">
        <v>24.285299999999999</v>
      </c>
      <c r="AS31" s="22">
        <v>-8.8348400000000001E-3</v>
      </c>
      <c r="AT31" s="22">
        <v>21</v>
      </c>
      <c r="AU31" s="22">
        <v>1.71387</v>
      </c>
      <c r="AV31">
        <f t="shared" si="8"/>
        <v>10.90720987654321</v>
      </c>
      <c r="AW31">
        <f t="shared" si="9"/>
        <v>18.698448035555554</v>
      </c>
      <c r="AX31" s="9"/>
      <c r="AY31" s="22">
        <v>5.7983399999999999E-3</v>
      </c>
      <c r="AZ31" s="22">
        <v>28.1447</v>
      </c>
      <c r="BA31" s="22">
        <v>-1.3992299999999999E-2</v>
      </c>
      <c r="BB31" s="22">
        <v>21</v>
      </c>
      <c r="BC31" s="22">
        <v>5.6579600000000001E-3</v>
      </c>
      <c r="BD31">
        <f t="shared" si="10"/>
        <v>17.274444444444445</v>
      </c>
      <c r="BE31">
        <f t="shared" si="11"/>
        <v>0.10016310220000001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1.70929</v>
      </c>
      <c r="H32" s="22">
        <v>5.54589</v>
      </c>
      <c r="I32" s="22">
        <v>-9.7656300000000008E-3</v>
      </c>
      <c r="J32" s="22">
        <v>22</v>
      </c>
      <c r="K32" s="22">
        <v>1.70868</v>
      </c>
      <c r="L32">
        <f t="shared" si="0"/>
        <v>12.056333333333335</v>
      </c>
      <c r="M32">
        <f t="shared" si="1"/>
        <v>20.607770003333336</v>
      </c>
      <c r="N32" s="9"/>
      <c r="O32" s="22">
        <v>1.08337E-2</v>
      </c>
      <c r="P32" s="22">
        <v>9.4053699999999996</v>
      </c>
      <c r="Q32" s="22">
        <v>-1.40778E-2</v>
      </c>
      <c r="R32" s="22">
        <v>22</v>
      </c>
      <c r="S32" s="22">
        <v>1.06476E-2</v>
      </c>
      <c r="T32">
        <f t="shared" si="2"/>
        <v>17.38</v>
      </c>
      <c r="U32">
        <f t="shared" si="3"/>
        <v>0.188289706</v>
      </c>
      <c r="X32" s="9"/>
      <c r="Y32" s="22">
        <v>1.70929</v>
      </c>
      <c r="Z32" s="22">
        <v>14.9901</v>
      </c>
      <c r="AA32" s="22">
        <v>-9.4024699999999996E-3</v>
      </c>
      <c r="AB32" s="22">
        <v>22</v>
      </c>
      <c r="AC32" s="22">
        <v>1.7089799999999999</v>
      </c>
      <c r="AD32">
        <f t="shared" si="4"/>
        <v>11.607987654320986</v>
      </c>
      <c r="AE32">
        <f t="shared" si="5"/>
        <v>19.841417217654318</v>
      </c>
      <c r="AF32" s="9"/>
      <c r="AG32" s="22">
        <v>1.08337E-2</v>
      </c>
      <c r="AH32" s="22">
        <v>18.849599999999999</v>
      </c>
      <c r="AI32" s="22">
        <v>-1.40625E-2</v>
      </c>
      <c r="AJ32" s="22">
        <v>22</v>
      </c>
      <c r="AK32" s="22">
        <v>1.06873E-2</v>
      </c>
      <c r="AL32">
        <f t="shared" si="6"/>
        <v>17.361111111111111</v>
      </c>
      <c r="AM32">
        <f t="shared" si="7"/>
        <v>0.18808506944444445</v>
      </c>
      <c r="AP32" s="9"/>
      <c r="AQ32" s="22">
        <v>1.70929</v>
      </c>
      <c r="AR32" s="22">
        <v>24.295300000000001</v>
      </c>
      <c r="AS32" s="22">
        <v>-9.1155999999999997E-3</v>
      </c>
      <c r="AT32" s="22">
        <v>22</v>
      </c>
      <c r="AU32" s="22">
        <v>1.7083699999999999</v>
      </c>
      <c r="AV32">
        <f t="shared" si="8"/>
        <v>11.253827160493826</v>
      </c>
      <c r="AW32">
        <f t="shared" si="9"/>
        <v>19.236054227160491</v>
      </c>
      <c r="AX32" s="9"/>
      <c r="AY32" s="22">
        <v>1.08337E-2</v>
      </c>
      <c r="AZ32" s="22">
        <v>28.154800000000002</v>
      </c>
      <c r="BA32" s="22">
        <v>-1.40015E-2</v>
      </c>
      <c r="BB32" s="22">
        <v>22</v>
      </c>
      <c r="BC32" s="22">
        <v>1.06964E-2</v>
      </c>
      <c r="BD32">
        <f t="shared" si="10"/>
        <v>17.285802469135803</v>
      </c>
      <c r="BE32">
        <f t="shared" si="11"/>
        <v>0.18726919820987653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1.70425</v>
      </c>
      <c r="H33" s="22">
        <v>5.5559599999999998</v>
      </c>
      <c r="I33" s="22">
        <v>-9.9700899999999992E-3</v>
      </c>
      <c r="J33" s="22">
        <v>23</v>
      </c>
      <c r="K33" s="22">
        <v>1.70319</v>
      </c>
      <c r="L33">
        <f t="shared" si="0"/>
        <v>12.308753086419753</v>
      </c>
      <c r="M33">
        <f t="shared" si="1"/>
        <v>20.977192447530864</v>
      </c>
      <c r="N33" s="9"/>
      <c r="O33" s="22">
        <v>1.5869100000000001E-2</v>
      </c>
      <c r="P33" s="22">
        <v>9.4154400000000003</v>
      </c>
      <c r="Q33" s="22">
        <v>-1.4071699999999999E-2</v>
      </c>
      <c r="R33" s="22">
        <v>23</v>
      </c>
      <c r="S33" s="22">
        <v>1.5765399999999999E-2</v>
      </c>
      <c r="T33">
        <f t="shared" si="2"/>
        <v>17.372469135802469</v>
      </c>
      <c r="U33">
        <f t="shared" si="3"/>
        <v>0.27568544996296296</v>
      </c>
      <c r="X33" s="9"/>
      <c r="Y33" s="22">
        <v>1.70425</v>
      </c>
      <c r="Z33" s="22">
        <v>15.0002</v>
      </c>
      <c r="AA33" s="22">
        <v>-9.6343999999999996E-3</v>
      </c>
      <c r="AB33" s="22">
        <v>23</v>
      </c>
      <c r="AC33" s="22">
        <v>1.7038</v>
      </c>
      <c r="AD33">
        <f t="shared" si="4"/>
        <v>11.89432098765432</v>
      </c>
      <c r="AE33">
        <f t="shared" si="5"/>
        <v>20.270896543209876</v>
      </c>
      <c r="AF33" s="9"/>
      <c r="AG33" s="22">
        <v>1.5869100000000001E-2</v>
      </c>
      <c r="AH33" s="22">
        <v>18.8596</v>
      </c>
      <c r="AI33" s="22">
        <v>-1.40625E-2</v>
      </c>
      <c r="AJ33" s="22">
        <v>23</v>
      </c>
      <c r="AK33" s="22">
        <v>1.57623E-2</v>
      </c>
      <c r="AL33">
        <f t="shared" si="6"/>
        <v>17.361111111111111</v>
      </c>
      <c r="AM33">
        <f t="shared" si="7"/>
        <v>0.27550520833333336</v>
      </c>
      <c r="AP33" s="9"/>
      <c r="AQ33" s="22">
        <v>1.70425</v>
      </c>
      <c r="AR33" s="22">
        <v>24.305399999999999</v>
      </c>
      <c r="AS33" s="22">
        <v>-9.3780500000000006E-3</v>
      </c>
      <c r="AT33" s="22">
        <v>23</v>
      </c>
      <c r="AU33" s="22">
        <v>1.70319</v>
      </c>
      <c r="AV33">
        <f t="shared" si="8"/>
        <v>11.57783950617284</v>
      </c>
      <c r="AW33">
        <f t="shared" si="9"/>
        <v>19.731532978395062</v>
      </c>
      <c r="AX33" s="9"/>
      <c r="AY33" s="22">
        <v>1.5869100000000001E-2</v>
      </c>
      <c r="AZ33" s="22">
        <v>28.164899999999999</v>
      </c>
      <c r="BA33" s="22">
        <v>-1.40045E-2</v>
      </c>
      <c r="BB33" s="22">
        <v>23</v>
      </c>
      <c r="BC33" s="22">
        <v>1.5826400000000001E-2</v>
      </c>
      <c r="BD33">
        <f t="shared" si="10"/>
        <v>17.289506172839506</v>
      </c>
      <c r="BE33">
        <f t="shared" si="11"/>
        <v>0.27436890240740741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1.69922</v>
      </c>
      <c r="H34" s="22">
        <v>5.5660299999999996</v>
      </c>
      <c r="I34" s="22">
        <v>-1.01501E-2</v>
      </c>
      <c r="J34" s="22">
        <v>24</v>
      </c>
      <c r="K34" s="22">
        <v>1.6976899999999999</v>
      </c>
      <c r="L34">
        <f t="shared" si="0"/>
        <v>12.530987654320986</v>
      </c>
      <c r="M34">
        <f t="shared" si="1"/>
        <v>21.292904841975307</v>
      </c>
      <c r="N34" s="9"/>
      <c r="O34" s="22">
        <v>2.0904499999999999E-2</v>
      </c>
      <c r="P34" s="22">
        <v>9.4255099999999992</v>
      </c>
      <c r="Q34" s="22">
        <v>-1.4068600000000001E-2</v>
      </c>
      <c r="R34" s="22">
        <v>24</v>
      </c>
      <c r="S34" s="22">
        <v>2.0831300000000001E-2</v>
      </c>
      <c r="T34">
        <f t="shared" si="2"/>
        <v>17.368641975308641</v>
      </c>
      <c r="U34">
        <f t="shared" si="3"/>
        <v>0.36308277617283946</v>
      </c>
      <c r="X34" s="9"/>
      <c r="Y34" s="22">
        <v>1.69922</v>
      </c>
      <c r="Z34" s="22">
        <v>15.010199999999999</v>
      </c>
      <c r="AA34" s="22">
        <v>-9.8632800000000003E-3</v>
      </c>
      <c r="AB34" s="22">
        <v>24</v>
      </c>
      <c r="AC34" s="22">
        <v>1.6976899999999999</v>
      </c>
      <c r="AD34">
        <f t="shared" si="4"/>
        <v>12.176888888888888</v>
      </c>
      <c r="AE34">
        <f t="shared" si="5"/>
        <v>20.691213137777776</v>
      </c>
      <c r="AF34" s="9"/>
      <c r="AG34" s="22">
        <v>2.0904499999999999E-2</v>
      </c>
      <c r="AH34" s="22">
        <v>18.869700000000002</v>
      </c>
      <c r="AI34" s="22">
        <v>-1.40594E-2</v>
      </c>
      <c r="AJ34" s="22">
        <v>24</v>
      </c>
      <c r="AK34" s="22">
        <v>2.0828200000000002E-2</v>
      </c>
      <c r="AL34">
        <f t="shared" si="6"/>
        <v>17.357283950617283</v>
      </c>
      <c r="AM34">
        <f t="shared" si="7"/>
        <v>0.362845342345679</v>
      </c>
      <c r="AP34" s="9"/>
      <c r="AQ34" s="22">
        <v>1.69922</v>
      </c>
      <c r="AR34" s="22">
        <v>24.3155</v>
      </c>
      <c r="AS34" s="22">
        <v>-9.61914E-3</v>
      </c>
      <c r="AT34" s="22">
        <v>24</v>
      </c>
      <c r="AU34" s="22">
        <v>1.6982999999999999</v>
      </c>
      <c r="AV34">
        <f t="shared" si="8"/>
        <v>11.875481481481479</v>
      </c>
      <c r="AW34">
        <f t="shared" si="9"/>
        <v>20.179055642962958</v>
      </c>
      <c r="AX34" s="9"/>
      <c r="AY34" s="22">
        <v>2.0904499999999999E-2</v>
      </c>
      <c r="AZ34" s="22">
        <v>28.174900000000001</v>
      </c>
      <c r="BA34" s="22">
        <v>-1.40106E-2</v>
      </c>
      <c r="BB34" s="22">
        <v>24</v>
      </c>
      <c r="BC34" s="22">
        <v>2.0834399999999999E-2</v>
      </c>
      <c r="BD34">
        <f t="shared" si="10"/>
        <v>17.297037037037036</v>
      </c>
      <c r="BE34">
        <f t="shared" si="11"/>
        <v>0.3615859107407407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1.69418</v>
      </c>
      <c r="H35" s="22">
        <v>5.5761000000000003</v>
      </c>
      <c r="I35" s="22">
        <v>-1.0318000000000001E-2</v>
      </c>
      <c r="J35" s="22">
        <v>25</v>
      </c>
      <c r="K35" s="22">
        <v>1.69373</v>
      </c>
      <c r="L35">
        <f t="shared" si="0"/>
        <v>12.738271604938271</v>
      </c>
      <c r="M35">
        <f t="shared" si="1"/>
        <v>21.580924987654321</v>
      </c>
      <c r="N35" s="9"/>
      <c r="O35" s="22">
        <v>2.5939899999999998E-2</v>
      </c>
      <c r="P35" s="22">
        <v>9.4355799999999999</v>
      </c>
      <c r="Q35" s="22">
        <v>-1.40594E-2</v>
      </c>
      <c r="R35" s="22">
        <v>25</v>
      </c>
      <c r="S35" s="22">
        <v>2.5848400000000001E-2</v>
      </c>
      <c r="T35">
        <f t="shared" si="2"/>
        <v>17.357283950617283</v>
      </c>
      <c r="U35">
        <f t="shared" si="3"/>
        <v>0.45024620995061726</v>
      </c>
      <c r="X35" s="9"/>
      <c r="Y35" s="22">
        <v>1.69418</v>
      </c>
      <c r="Z35" s="22">
        <v>15.020300000000001</v>
      </c>
      <c r="AA35" s="22">
        <v>-1.0058599999999999E-2</v>
      </c>
      <c r="AB35" s="22">
        <v>25</v>
      </c>
      <c r="AC35" s="22">
        <v>1.6934199999999999</v>
      </c>
      <c r="AD35">
        <f t="shared" si="4"/>
        <v>12.418024691358022</v>
      </c>
      <c r="AE35">
        <f t="shared" si="5"/>
        <v>21.038369071604933</v>
      </c>
      <c r="AF35" s="9"/>
      <c r="AG35" s="22">
        <v>2.5939899999999998E-2</v>
      </c>
      <c r="AH35" s="22">
        <v>18.879799999999999</v>
      </c>
      <c r="AI35" s="22">
        <v>-1.40503E-2</v>
      </c>
      <c r="AJ35" s="22">
        <v>25</v>
      </c>
      <c r="AK35" s="22">
        <v>2.5833100000000001E-2</v>
      </c>
      <c r="AL35">
        <f t="shared" si="6"/>
        <v>17.34604938271605</v>
      </c>
      <c r="AM35">
        <f t="shared" si="7"/>
        <v>0.44995478638271602</v>
      </c>
      <c r="AP35" s="9"/>
      <c r="AQ35" s="22">
        <v>1.69418</v>
      </c>
      <c r="AR35" s="22">
        <v>24.325500000000002</v>
      </c>
      <c r="AS35" s="22">
        <v>-9.8327599999999994E-3</v>
      </c>
      <c r="AT35" s="22">
        <v>25</v>
      </c>
      <c r="AU35" s="22">
        <v>1.6934199999999999</v>
      </c>
      <c r="AV35">
        <f t="shared" si="8"/>
        <v>12.139209876543207</v>
      </c>
      <c r="AW35">
        <f t="shared" si="9"/>
        <v>20.566006588641972</v>
      </c>
      <c r="AX35" s="9"/>
      <c r="AY35" s="22">
        <v>2.5939899999999998E-2</v>
      </c>
      <c r="AZ35" s="22">
        <v>28.184999999999999</v>
      </c>
      <c r="BA35" s="22">
        <v>-1.4019800000000001E-2</v>
      </c>
      <c r="BB35" s="22">
        <v>25</v>
      </c>
      <c r="BC35" s="22">
        <v>2.58392E-2</v>
      </c>
      <c r="BD35">
        <f t="shared" si="10"/>
        <v>17.308395061728394</v>
      </c>
      <c r="BE35">
        <f t="shared" si="11"/>
        <v>0.44897803706172834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1.6891499999999999</v>
      </c>
      <c r="H36" s="22">
        <v>5.5861799999999997</v>
      </c>
      <c r="I36" s="22">
        <v>-1.04828E-2</v>
      </c>
      <c r="J36" s="22">
        <v>26</v>
      </c>
      <c r="K36" s="22">
        <v>1.6882299999999999</v>
      </c>
      <c r="L36">
        <f t="shared" si="0"/>
        <v>12.941728395061729</v>
      </c>
      <c r="M36">
        <f t="shared" si="1"/>
        <v>21.860520518518516</v>
      </c>
      <c r="N36" s="9"/>
      <c r="O36" s="22">
        <v>3.0975300000000001E-2</v>
      </c>
      <c r="P36" s="22">
        <v>9.4456500000000005</v>
      </c>
      <c r="Q36" s="22">
        <v>-1.4053299999999999E-2</v>
      </c>
      <c r="R36" s="22">
        <v>26</v>
      </c>
      <c r="S36" s="22">
        <v>3.0905200000000001E-2</v>
      </c>
      <c r="T36">
        <f t="shared" si="2"/>
        <v>17.349753086419753</v>
      </c>
      <c r="U36">
        <f t="shared" si="3"/>
        <v>0.53741380677777784</v>
      </c>
      <c r="X36" s="9"/>
      <c r="Y36" s="22">
        <v>1.6891499999999999</v>
      </c>
      <c r="Z36" s="22">
        <v>15.0304</v>
      </c>
      <c r="AA36" s="22">
        <v>-1.02539E-2</v>
      </c>
      <c r="AB36" s="22">
        <v>26</v>
      </c>
      <c r="AC36" s="22">
        <v>1.6885399999999999</v>
      </c>
      <c r="AD36">
        <f t="shared" si="4"/>
        <v>12.659135802469134</v>
      </c>
      <c r="AE36">
        <f t="shared" si="5"/>
        <v>21.383179240740738</v>
      </c>
      <c r="AF36" s="9"/>
      <c r="AG36" s="22">
        <v>3.0975300000000001E-2</v>
      </c>
      <c r="AH36" s="22">
        <v>18.889900000000001</v>
      </c>
      <c r="AI36" s="22">
        <v>-1.40442E-2</v>
      </c>
      <c r="AJ36" s="22">
        <v>26</v>
      </c>
      <c r="AK36" s="22">
        <v>3.09357E-2</v>
      </c>
      <c r="AL36">
        <f t="shared" si="6"/>
        <v>17.338518518518516</v>
      </c>
      <c r="AM36">
        <f t="shared" si="7"/>
        <v>0.53706581266666664</v>
      </c>
      <c r="AP36" s="9"/>
      <c r="AQ36" s="22">
        <v>1.6891499999999999</v>
      </c>
      <c r="AR36" s="22">
        <v>24.335599999999999</v>
      </c>
      <c r="AS36" s="22">
        <v>-1.00281E-2</v>
      </c>
      <c r="AT36" s="22">
        <v>26</v>
      </c>
      <c r="AU36" s="22">
        <v>1.6870099999999999</v>
      </c>
      <c r="AV36">
        <f t="shared" si="8"/>
        <v>12.38037037037037</v>
      </c>
      <c r="AW36">
        <f t="shared" si="9"/>
        <v>20.912302611111109</v>
      </c>
      <c r="AX36" s="9"/>
      <c r="AY36" s="22">
        <v>3.0975300000000001E-2</v>
      </c>
      <c r="AZ36" s="22">
        <v>28.1951</v>
      </c>
      <c r="BA36" s="22">
        <v>-1.40167E-2</v>
      </c>
      <c r="BB36" s="22">
        <v>26</v>
      </c>
      <c r="BC36" s="22">
        <v>3.0871599999999999E-2</v>
      </c>
      <c r="BD36">
        <f t="shared" si="10"/>
        <v>17.304567901234567</v>
      </c>
      <c r="BE36">
        <f t="shared" si="11"/>
        <v>0.53601418211111107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1.68411</v>
      </c>
      <c r="H37" s="22">
        <v>5.5962500000000004</v>
      </c>
      <c r="I37" s="22">
        <v>-1.06293E-2</v>
      </c>
      <c r="J37" s="22">
        <v>27</v>
      </c>
      <c r="K37" s="22">
        <v>1.6833499999999999</v>
      </c>
      <c r="L37">
        <f t="shared" si="0"/>
        <v>13.122592592592593</v>
      </c>
      <c r="M37">
        <f t="shared" si="1"/>
        <v>22.099889411111111</v>
      </c>
      <c r="N37" s="9"/>
      <c r="O37" s="22">
        <v>3.60107E-2</v>
      </c>
      <c r="P37" s="22">
        <v>9.4557199999999995</v>
      </c>
      <c r="Q37" s="22">
        <v>-1.4053299999999999E-2</v>
      </c>
      <c r="R37" s="22">
        <v>27</v>
      </c>
      <c r="S37" s="22">
        <v>3.6044300000000001E-2</v>
      </c>
      <c r="T37">
        <f t="shared" si="2"/>
        <v>17.349753086419753</v>
      </c>
      <c r="U37">
        <f t="shared" si="3"/>
        <v>0.62477675346913575</v>
      </c>
      <c r="X37" s="9"/>
      <c r="Y37" s="22">
        <v>1.68411</v>
      </c>
      <c r="Z37" s="22">
        <v>15.0405</v>
      </c>
      <c r="AA37" s="22">
        <v>-1.0434000000000001E-2</v>
      </c>
      <c r="AB37" s="22">
        <v>27</v>
      </c>
      <c r="AC37" s="22">
        <v>1.6833499999999999</v>
      </c>
      <c r="AD37">
        <f t="shared" si="4"/>
        <v>12.881481481481481</v>
      </c>
      <c r="AE37">
        <f t="shared" si="5"/>
        <v>21.693831777777778</v>
      </c>
      <c r="AF37" s="9"/>
      <c r="AG37" s="22">
        <v>3.60107E-2</v>
      </c>
      <c r="AH37" s="22">
        <v>18.899899999999999</v>
      </c>
      <c r="AI37" s="22">
        <v>-1.40442E-2</v>
      </c>
      <c r="AJ37" s="22">
        <v>27</v>
      </c>
      <c r="AK37" s="22">
        <v>3.5946699999999998E-2</v>
      </c>
      <c r="AL37">
        <f t="shared" si="6"/>
        <v>17.338518518518516</v>
      </c>
      <c r="AM37">
        <f t="shared" si="7"/>
        <v>0.62437218881481471</v>
      </c>
      <c r="AP37" s="9"/>
      <c r="AQ37" s="22">
        <v>1.68411</v>
      </c>
      <c r="AR37" s="22">
        <v>24.345700000000001</v>
      </c>
      <c r="AS37" s="22">
        <v>-1.02112E-2</v>
      </c>
      <c r="AT37" s="22">
        <v>27</v>
      </c>
      <c r="AU37" s="22">
        <v>1.6833499999999999</v>
      </c>
      <c r="AV37">
        <f t="shared" si="8"/>
        <v>12.606419753086419</v>
      </c>
      <c r="AW37">
        <f t="shared" si="9"/>
        <v>21.230597570370367</v>
      </c>
      <c r="AX37" s="9"/>
      <c r="AY37" s="22">
        <v>3.60107E-2</v>
      </c>
      <c r="AZ37" s="22">
        <v>28.205200000000001</v>
      </c>
      <c r="BA37" s="22">
        <v>-1.40137E-2</v>
      </c>
      <c r="BB37" s="22">
        <v>27</v>
      </c>
      <c r="BC37" s="22">
        <v>3.5968E-2</v>
      </c>
      <c r="BD37">
        <f t="shared" si="10"/>
        <v>17.300864197530863</v>
      </c>
      <c r="BE37">
        <f t="shared" si="11"/>
        <v>0.62301623035802467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1.6790799999999999</v>
      </c>
      <c r="H38" s="22">
        <v>5.6063200000000002</v>
      </c>
      <c r="I38" s="22">
        <v>-1.07758E-2</v>
      </c>
      <c r="J38" s="22">
        <v>28</v>
      </c>
      <c r="K38" s="22">
        <v>1.6784699999999999</v>
      </c>
      <c r="L38">
        <f t="shared" si="0"/>
        <v>13.303456790123457</v>
      </c>
      <c r="M38">
        <f t="shared" si="1"/>
        <v>22.337568227160492</v>
      </c>
      <c r="N38" s="9"/>
      <c r="O38" s="22">
        <v>4.1046100000000002E-2</v>
      </c>
      <c r="P38" s="22">
        <v>9.4657900000000001</v>
      </c>
      <c r="Q38" s="22">
        <v>-1.4053299999999999E-2</v>
      </c>
      <c r="R38" s="22">
        <v>28</v>
      </c>
      <c r="S38" s="22">
        <v>4.0985099999999997E-2</v>
      </c>
      <c r="T38">
        <f t="shared" si="2"/>
        <v>17.349753086419753</v>
      </c>
      <c r="U38">
        <f t="shared" si="3"/>
        <v>0.71213970016049388</v>
      </c>
      <c r="X38" s="9"/>
      <c r="Y38" s="22">
        <v>1.6790799999999999</v>
      </c>
      <c r="Z38" s="22">
        <v>15.0505</v>
      </c>
      <c r="AA38" s="22">
        <v>-1.06018E-2</v>
      </c>
      <c r="AB38" s="22">
        <v>28</v>
      </c>
      <c r="AC38" s="22">
        <v>1.6781600000000001</v>
      </c>
      <c r="AD38">
        <f t="shared" si="4"/>
        <v>13.088641975308642</v>
      </c>
      <c r="AE38">
        <f t="shared" si="5"/>
        <v>21.976876967901234</v>
      </c>
      <c r="AF38" s="9"/>
      <c r="AG38" s="22">
        <v>4.1046100000000002E-2</v>
      </c>
      <c r="AH38" s="22">
        <v>18.91</v>
      </c>
      <c r="AI38" s="22">
        <v>-1.40442E-2</v>
      </c>
      <c r="AJ38" s="22">
        <v>28</v>
      </c>
      <c r="AK38" s="22">
        <v>4.1000399999999999E-2</v>
      </c>
      <c r="AL38">
        <f t="shared" si="6"/>
        <v>17.338518518518516</v>
      </c>
      <c r="AM38">
        <f t="shared" si="7"/>
        <v>0.71167856496296289</v>
      </c>
      <c r="AP38" s="9"/>
      <c r="AQ38" s="22">
        <v>1.6790799999999999</v>
      </c>
      <c r="AR38" s="22">
        <v>24.355799999999999</v>
      </c>
      <c r="AS38" s="22">
        <v>-1.03882E-2</v>
      </c>
      <c r="AT38" s="22">
        <v>28</v>
      </c>
      <c r="AU38" s="22">
        <v>1.6778599999999999</v>
      </c>
      <c r="AV38">
        <f t="shared" si="8"/>
        <v>12.824938271604937</v>
      </c>
      <c r="AW38">
        <f t="shared" si="9"/>
        <v>21.534097353086416</v>
      </c>
      <c r="AX38" s="9"/>
      <c r="AY38" s="22">
        <v>4.1046100000000002E-2</v>
      </c>
      <c r="AZ38" s="22">
        <v>28.215199999999999</v>
      </c>
      <c r="BA38" s="22">
        <v>-1.40137E-2</v>
      </c>
      <c r="BB38" s="22">
        <v>28</v>
      </c>
      <c r="BC38" s="22">
        <v>4.0985099999999997E-2</v>
      </c>
      <c r="BD38">
        <f t="shared" si="10"/>
        <v>17.300864197530863</v>
      </c>
      <c r="BE38">
        <f t="shared" si="11"/>
        <v>0.71013300193827156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1.67404</v>
      </c>
      <c r="H39" s="22">
        <v>5.61639</v>
      </c>
      <c r="I39" s="22">
        <v>-1.091E-2</v>
      </c>
      <c r="J39" s="22">
        <v>29</v>
      </c>
      <c r="K39" s="22">
        <v>1.6726700000000001</v>
      </c>
      <c r="L39">
        <f t="shared" si="0"/>
        <v>13.469135802469134</v>
      </c>
      <c r="M39">
        <f t="shared" si="1"/>
        <v>22.547872098765428</v>
      </c>
      <c r="N39" s="9"/>
      <c r="O39" s="22">
        <v>4.6081499999999997E-2</v>
      </c>
      <c r="P39" s="22">
        <v>9.4758600000000008</v>
      </c>
      <c r="Q39" s="22">
        <v>-1.4053299999999999E-2</v>
      </c>
      <c r="R39" s="22">
        <v>29</v>
      </c>
      <c r="S39" s="22">
        <v>4.60297E-2</v>
      </c>
      <c r="T39">
        <f t="shared" si="2"/>
        <v>17.349753086419753</v>
      </c>
      <c r="U39">
        <f t="shared" si="3"/>
        <v>0.79950264685185179</v>
      </c>
      <c r="X39" s="9"/>
      <c r="Y39" s="22">
        <v>1.67404</v>
      </c>
      <c r="Z39" s="22">
        <v>15.060600000000001</v>
      </c>
      <c r="AA39" s="22">
        <v>-1.07635E-2</v>
      </c>
      <c r="AB39" s="22">
        <v>29</v>
      </c>
      <c r="AC39" s="22">
        <v>1.6738900000000001</v>
      </c>
      <c r="AD39">
        <f t="shared" si="4"/>
        <v>13.288271604938272</v>
      </c>
      <c r="AE39">
        <f t="shared" si="5"/>
        <v>22.245098197530865</v>
      </c>
      <c r="AF39" s="9"/>
      <c r="AG39" s="22">
        <v>4.6081499999999997E-2</v>
      </c>
      <c r="AH39" s="22">
        <v>18.920100000000001</v>
      </c>
      <c r="AI39" s="22">
        <v>-1.4035000000000001E-2</v>
      </c>
      <c r="AJ39" s="22">
        <v>29</v>
      </c>
      <c r="AK39" s="22">
        <v>4.5996099999999998E-2</v>
      </c>
      <c r="AL39">
        <f t="shared" si="6"/>
        <v>17.327160493827162</v>
      </c>
      <c r="AM39">
        <f t="shared" si="7"/>
        <v>0.79846154629629629</v>
      </c>
      <c r="AP39" s="9"/>
      <c r="AQ39" s="22">
        <v>1.67404</v>
      </c>
      <c r="AR39" s="22">
        <v>24.3658</v>
      </c>
      <c r="AS39" s="22">
        <v>-1.0555999999999999E-2</v>
      </c>
      <c r="AT39" s="22">
        <v>29</v>
      </c>
      <c r="AU39" s="22">
        <v>1.6732800000000001</v>
      </c>
      <c r="AV39">
        <f t="shared" si="8"/>
        <v>13.032098765432098</v>
      </c>
      <c r="AW39">
        <f t="shared" si="9"/>
        <v>21.816254617283949</v>
      </c>
      <c r="AX39" s="9"/>
      <c r="AY39" s="22">
        <v>4.6081499999999997E-2</v>
      </c>
      <c r="AZ39" s="22">
        <v>28.225300000000001</v>
      </c>
      <c r="BA39" s="22">
        <v>-1.40076E-2</v>
      </c>
      <c r="BB39" s="22">
        <v>29</v>
      </c>
      <c r="BC39" s="22">
        <v>4.5999100000000001E-2</v>
      </c>
      <c r="BD39">
        <f t="shared" si="10"/>
        <v>17.293333333333333</v>
      </c>
      <c r="BE39">
        <f t="shared" si="11"/>
        <v>0.79690273999999994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1.6690100000000001</v>
      </c>
      <c r="H40" s="22">
        <v>5.6264599999999998</v>
      </c>
      <c r="I40" s="22">
        <v>-1.10382E-2</v>
      </c>
      <c r="J40" s="22">
        <v>30</v>
      </c>
      <c r="K40" s="22">
        <v>1.6677900000000001</v>
      </c>
      <c r="L40">
        <f t="shared" si="0"/>
        <v>13.627407407407405</v>
      </c>
      <c r="M40">
        <f t="shared" si="1"/>
        <v>22.744279237037034</v>
      </c>
      <c r="N40" s="9"/>
      <c r="O40" s="22">
        <v>5.11169E-2</v>
      </c>
      <c r="P40" s="22">
        <v>9.4859299999999998</v>
      </c>
      <c r="Q40" s="22">
        <v>-1.4053299999999999E-2</v>
      </c>
      <c r="R40" s="22">
        <v>30</v>
      </c>
      <c r="S40" s="22">
        <v>5.0628699999999999E-2</v>
      </c>
      <c r="T40">
        <f t="shared" si="2"/>
        <v>17.349753086419753</v>
      </c>
      <c r="U40">
        <f t="shared" si="3"/>
        <v>0.88686559354320982</v>
      </c>
      <c r="X40" s="9"/>
      <c r="Y40" s="22">
        <v>1.6690100000000001</v>
      </c>
      <c r="Z40" s="22">
        <v>15.0707</v>
      </c>
      <c r="AA40" s="22">
        <v>-1.09131E-2</v>
      </c>
      <c r="AB40" s="22">
        <v>30</v>
      </c>
      <c r="AC40" s="22">
        <v>1.6677900000000001</v>
      </c>
      <c r="AD40">
        <f t="shared" si="4"/>
        <v>13.472962962962963</v>
      </c>
      <c r="AE40">
        <f t="shared" si="5"/>
        <v>22.486509914814818</v>
      </c>
      <c r="AF40" s="9"/>
      <c r="AG40" s="22">
        <v>5.11169E-2</v>
      </c>
      <c r="AH40" s="22">
        <v>18.930099999999999</v>
      </c>
      <c r="AI40" s="22">
        <v>-1.4025900000000001E-2</v>
      </c>
      <c r="AJ40" s="22">
        <v>30</v>
      </c>
      <c r="AK40" s="22">
        <v>5.0659200000000001E-2</v>
      </c>
      <c r="AL40">
        <f t="shared" si="6"/>
        <v>17.315925925925924</v>
      </c>
      <c r="AM40">
        <f t="shared" si="7"/>
        <v>0.88513645396296292</v>
      </c>
      <c r="AP40" s="9"/>
      <c r="AQ40" s="22">
        <v>1.6690100000000001</v>
      </c>
      <c r="AR40" s="22">
        <v>24.375900000000001</v>
      </c>
      <c r="AS40" s="22">
        <v>-1.0699500000000001E-2</v>
      </c>
      <c r="AT40" s="22">
        <v>30</v>
      </c>
      <c r="AU40" s="22">
        <v>1.6684000000000001</v>
      </c>
      <c r="AV40">
        <f t="shared" si="8"/>
        <v>13.209259259259259</v>
      </c>
      <c r="AW40">
        <f t="shared" si="9"/>
        <v>22.046385796296295</v>
      </c>
      <c r="AX40" s="9"/>
      <c r="AY40" s="22">
        <v>5.11169E-2</v>
      </c>
      <c r="AZ40" s="22">
        <v>28.235399999999998</v>
      </c>
      <c r="BA40" s="22">
        <v>-1.39954E-2</v>
      </c>
      <c r="BB40" s="22">
        <v>30</v>
      </c>
      <c r="BC40" s="22">
        <v>5.0659200000000001E-2</v>
      </c>
      <c r="BD40">
        <f t="shared" si="10"/>
        <v>17.278271604938272</v>
      </c>
      <c r="BE40">
        <f t="shared" si="11"/>
        <v>0.88321168180246912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1.6639699999999999</v>
      </c>
      <c r="H41" s="22">
        <v>5.6365299999999996</v>
      </c>
      <c r="I41" s="22">
        <v>-1.1151100000000001E-2</v>
      </c>
      <c r="J41" s="22">
        <v>31</v>
      </c>
      <c r="K41" s="22">
        <v>1.6629</v>
      </c>
      <c r="L41">
        <f t="shared" si="0"/>
        <v>13.76679012345679</v>
      </c>
      <c r="M41">
        <f t="shared" si="1"/>
        <v>22.907525761728394</v>
      </c>
      <c r="N41" s="9"/>
      <c r="O41" s="22">
        <v>5.6152300000000002E-2</v>
      </c>
      <c r="P41" s="22">
        <v>9.4960000000000004</v>
      </c>
      <c r="Q41" s="22">
        <v>-1.40625E-2</v>
      </c>
      <c r="R41" s="22">
        <v>31</v>
      </c>
      <c r="S41" s="22">
        <v>5.57251E-2</v>
      </c>
      <c r="T41">
        <f t="shared" si="2"/>
        <v>17.361111111111111</v>
      </c>
      <c r="U41">
        <f t="shared" si="3"/>
        <v>0.97486631944444446</v>
      </c>
      <c r="X41" s="9"/>
      <c r="Y41" s="22">
        <v>1.6639699999999999</v>
      </c>
      <c r="Z41" s="22">
        <v>15.0807</v>
      </c>
      <c r="AA41" s="22">
        <v>-1.10504E-2</v>
      </c>
      <c r="AB41" s="22">
        <v>31</v>
      </c>
      <c r="AC41" s="22">
        <v>1.66351</v>
      </c>
      <c r="AD41">
        <f t="shared" si="4"/>
        <v>13.64246913580247</v>
      </c>
      <c r="AE41">
        <f t="shared" si="5"/>
        <v>22.700659367901235</v>
      </c>
      <c r="AF41" s="9"/>
      <c r="AG41" s="22">
        <v>5.6152300000000002E-2</v>
      </c>
      <c r="AH41" s="22">
        <v>18.940200000000001</v>
      </c>
      <c r="AI41" s="22">
        <v>-1.4025900000000001E-2</v>
      </c>
      <c r="AJ41" s="22">
        <v>31</v>
      </c>
      <c r="AK41" s="22">
        <v>5.5603E-2</v>
      </c>
      <c r="AL41">
        <f t="shared" si="6"/>
        <v>17.315925925925924</v>
      </c>
      <c r="AM41">
        <f t="shared" si="7"/>
        <v>0.97232906737037028</v>
      </c>
      <c r="AP41" s="9"/>
      <c r="AQ41" s="22">
        <v>1.6639699999999999</v>
      </c>
      <c r="AR41" s="22">
        <v>24.385999999999999</v>
      </c>
      <c r="AS41" s="22">
        <v>-1.0842900000000001E-2</v>
      </c>
      <c r="AT41" s="22">
        <v>31</v>
      </c>
      <c r="AU41" s="22">
        <v>1.66229</v>
      </c>
      <c r="AV41">
        <f t="shared" si="8"/>
        <v>13.386296296296297</v>
      </c>
      <c r="AW41">
        <f t="shared" si="9"/>
        <v>22.274395448148148</v>
      </c>
      <c r="AX41" s="9"/>
      <c r="AY41" s="22">
        <v>5.6152300000000002E-2</v>
      </c>
      <c r="AZ41" s="22">
        <v>28.2454</v>
      </c>
      <c r="BA41" s="22">
        <v>-1.3986200000000001E-2</v>
      </c>
      <c r="BB41" s="22">
        <v>31</v>
      </c>
      <c r="BC41" s="22">
        <v>5.5633500000000002E-2</v>
      </c>
      <c r="BD41">
        <f t="shared" si="10"/>
        <v>17.266913580246914</v>
      </c>
      <c r="BE41">
        <f t="shared" si="11"/>
        <v>0.96957691143209879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1.6589400000000001</v>
      </c>
      <c r="H42" s="22">
        <v>5.6466000000000003</v>
      </c>
      <c r="I42" s="22">
        <v>-1.12549E-2</v>
      </c>
      <c r="J42" s="22">
        <v>32</v>
      </c>
      <c r="K42" s="22">
        <v>1.65802</v>
      </c>
      <c r="L42">
        <f t="shared" si="0"/>
        <v>13.894938271604937</v>
      </c>
      <c r="M42">
        <f t="shared" si="1"/>
        <v>23.050868896296297</v>
      </c>
      <c r="N42" s="9"/>
      <c r="O42" s="22">
        <v>6.1187699999999998E-2</v>
      </c>
      <c r="P42" s="22">
        <v>9.5060800000000008</v>
      </c>
      <c r="Q42" s="22">
        <v>-1.40625E-2</v>
      </c>
      <c r="R42" s="22">
        <v>32</v>
      </c>
      <c r="S42" s="22">
        <v>6.0699500000000003E-2</v>
      </c>
      <c r="T42">
        <f t="shared" si="2"/>
        <v>17.361111111111111</v>
      </c>
      <c r="U42">
        <f t="shared" si="3"/>
        <v>1.0622864583333333</v>
      </c>
      <c r="X42" s="9"/>
      <c r="Y42" s="22">
        <v>1.6589400000000001</v>
      </c>
      <c r="Z42" s="22">
        <v>15.0908</v>
      </c>
      <c r="AA42" s="22">
        <v>-1.1169399999999999E-2</v>
      </c>
      <c r="AB42" s="22">
        <v>32</v>
      </c>
      <c r="AC42" s="22">
        <v>1.65802</v>
      </c>
      <c r="AD42">
        <f t="shared" si="4"/>
        <v>13.789382716049381</v>
      </c>
      <c r="AE42">
        <f t="shared" si="5"/>
        <v>22.875758562962961</v>
      </c>
      <c r="AF42" s="9"/>
      <c r="AG42" s="22">
        <v>6.1187699999999998E-2</v>
      </c>
      <c r="AH42" s="22">
        <v>18.950299999999999</v>
      </c>
      <c r="AI42" s="22">
        <v>-1.4025900000000001E-2</v>
      </c>
      <c r="AJ42" s="22">
        <v>32</v>
      </c>
      <c r="AK42" s="22">
        <v>6.0699500000000003E-2</v>
      </c>
      <c r="AL42">
        <f t="shared" si="6"/>
        <v>17.315925925925924</v>
      </c>
      <c r="AM42">
        <f t="shared" si="7"/>
        <v>1.0595216807777776</v>
      </c>
      <c r="AP42" s="9"/>
      <c r="AQ42" s="22">
        <v>1.6589400000000001</v>
      </c>
      <c r="AR42" s="22">
        <v>24.396000000000001</v>
      </c>
      <c r="AS42" s="22">
        <v>-1.0971099999999999E-2</v>
      </c>
      <c r="AT42" s="22">
        <v>32</v>
      </c>
      <c r="AU42" s="22">
        <v>1.65802</v>
      </c>
      <c r="AV42">
        <f t="shared" si="8"/>
        <v>13.544567901234567</v>
      </c>
      <c r="AW42">
        <f t="shared" si="9"/>
        <v>22.469625474074075</v>
      </c>
      <c r="AX42" s="9"/>
      <c r="AY42" s="22">
        <v>6.1187699999999998E-2</v>
      </c>
      <c r="AZ42" s="22">
        <v>28.255500000000001</v>
      </c>
      <c r="BA42" s="22">
        <v>-1.3983199999999999E-2</v>
      </c>
      <c r="BB42" s="22">
        <v>32</v>
      </c>
      <c r="BC42" s="22">
        <v>6.0699500000000003E-2</v>
      </c>
      <c r="BD42">
        <f t="shared" si="10"/>
        <v>17.263209876543208</v>
      </c>
      <c r="BE42">
        <f t="shared" si="11"/>
        <v>1.0562961069629628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1.6538999999999999</v>
      </c>
      <c r="H43" s="22">
        <v>5.6566700000000001</v>
      </c>
      <c r="I43" s="22">
        <v>-1.13495E-2</v>
      </c>
      <c r="J43" s="22">
        <v>33</v>
      </c>
      <c r="K43" s="22">
        <v>1.65283</v>
      </c>
      <c r="L43">
        <f t="shared" si="0"/>
        <v>14.011728395061727</v>
      </c>
      <c r="M43">
        <f t="shared" si="1"/>
        <v>23.173997592592588</v>
      </c>
      <c r="N43" s="9"/>
      <c r="O43" s="22">
        <v>6.6223099999999993E-2</v>
      </c>
      <c r="P43" s="22">
        <v>9.5161499999999997</v>
      </c>
      <c r="Q43" s="22">
        <v>-1.40503E-2</v>
      </c>
      <c r="R43" s="22">
        <v>33</v>
      </c>
      <c r="S43" s="22">
        <v>6.5734899999999999E-2</v>
      </c>
      <c r="T43">
        <f t="shared" si="2"/>
        <v>17.34604938271605</v>
      </c>
      <c r="U43">
        <f t="shared" si="3"/>
        <v>1.1487091628765431</v>
      </c>
      <c r="X43" s="9"/>
      <c r="Y43" s="22">
        <v>1.6538999999999999</v>
      </c>
      <c r="Z43" s="22">
        <v>15.100899999999999</v>
      </c>
      <c r="AA43" s="22">
        <v>-1.1279300000000001E-2</v>
      </c>
      <c r="AB43" s="22">
        <v>33</v>
      </c>
      <c r="AC43" s="22">
        <v>1.6531400000000001</v>
      </c>
      <c r="AD43">
        <f t="shared" si="4"/>
        <v>13.925061728395063</v>
      </c>
      <c r="AE43">
        <f t="shared" si="5"/>
        <v>23.030659592592592</v>
      </c>
      <c r="AF43" s="9"/>
      <c r="AG43" s="22">
        <v>6.6223099999999993E-2</v>
      </c>
      <c r="AH43" s="22">
        <v>18.9604</v>
      </c>
      <c r="AI43" s="22">
        <v>-1.4025900000000001E-2</v>
      </c>
      <c r="AJ43" s="22">
        <v>33</v>
      </c>
      <c r="AK43" s="22">
        <v>6.5765400000000002E-2</v>
      </c>
      <c r="AL43">
        <f t="shared" si="6"/>
        <v>17.315925925925924</v>
      </c>
      <c r="AM43">
        <f t="shared" si="7"/>
        <v>1.1467142941851849</v>
      </c>
      <c r="AP43" s="9"/>
      <c r="AQ43" s="22">
        <v>1.6538999999999999</v>
      </c>
      <c r="AR43" s="22">
        <v>24.406099999999999</v>
      </c>
      <c r="AS43" s="22">
        <v>-1.10931E-2</v>
      </c>
      <c r="AT43" s="22">
        <v>33</v>
      </c>
      <c r="AU43" s="22">
        <v>1.6525300000000001</v>
      </c>
      <c r="AV43">
        <f t="shared" si="8"/>
        <v>13.695185185185183</v>
      </c>
      <c r="AW43">
        <f t="shared" si="9"/>
        <v>22.650466777777773</v>
      </c>
      <c r="AX43" s="9"/>
      <c r="AY43" s="22">
        <v>6.6223099999999993E-2</v>
      </c>
      <c r="AZ43" s="22">
        <v>28.265599999999999</v>
      </c>
      <c r="BA43" s="22">
        <v>-1.3983199999999999E-2</v>
      </c>
      <c r="BB43" s="22">
        <v>33</v>
      </c>
      <c r="BC43" s="22">
        <v>6.5704299999999993E-2</v>
      </c>
      <c r="BD43">
        <f t="shared" si="10"/>
        <v>17.263209876543208</v>
      </c>
      <c r="BE43">
        <f t="shared" si="11"/>
        <v>1.1432232739753083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1.64886</v>
      </c>
      <c r="H44" s="22">
        <v>5.6667399999999999</v>
      </c>
      <c r="I44" s="22">
        <v>-1.1438E-2</v>
      </c>
      <c r="J44" s="22">
        <v>34</v>
      </c>
      <c r="K44" s="22">
        <v>1.64795</v>
      </c>
      <c r="L44">
        <f t="shared" si="0"/>
        <v>14.120987654320988</v>
      </c>
      <c r="M44">
        <f t="shared" si="1"/>
        <v>23.283531703703705</v>
      </c>
      <c r="N44" s="9"/>
      <c r="O44" s="22">
        <v>7.1258500000000002E-2</v>
      </c>
      <c r="P44" s="22">
        <v>9.5262200000000004</v>
      </c>
      <c r="Q44" s="22">
        <v>-1.40442E-2</v>
      </c>
      <c r="R44" s="22">
        <v>34</v>
      </c>
      <c r="S44" s="22">
        <v>7.0770299999999994E-2</v>
      </c>
      <c r="T44">
        <f t="shared" si="2"/>
        <v>17.338518518518516</v>
      </c>
      <c r="U44">
        <f t="shared" si="3"/>
        <v>1.2355168218518517</v>
      </c>
      <c r="X44" s="9"/>
      <c r="Y44" s="22">
        <v>1.64886</v>
      </c>
      <c r="Z44" s="22">
        <v>15.111000000000001</v>
      </c>
      <c r="AA44" s="22">
        <v>-1.13831E-2</v>
      </c>
      <c r="AB44" s="22">
        <v>34</v>
      </c>
      <c r="AC44" s="22">
        <v>1.64764</v>
      </c>
      <c r="AD44">
        <f t="shared" si="4"/>
        <v>14.053209876543209</v>
      </c>
      <c r="AE44">
        <f t="shared" si="5"/>
        <v>23.171775637037033</v>
      </c>
      <c r="AF44" s="9"/>
      <c r="AG44" s="22">
        <v>7.1258500000000002E-2</v>
      </c>
      <c r="AH44" s="22">
        <v>18.970400000000001</v>
      </c>
      <c r="AI44" s="22">
        <v>-1.40381E-2</v>
      </c>
      <c r="AJ44" s="22">
        <v>34</v>
      </c>
      <c r="AK44" s="22">
        <v>7.0678699999999997E-2</v>
      </c>
      <c r="AL44">
        <f t="shared" si="6"/>
        <v>17.330987654320985</v>
      </c>
      <c r="AM44">
        <f t="shared" si="7"/>
        <v>1.2349801837654319</v>
      </c>
      <c r="AP44" s="9"/>
      <c r="AQ44" s="22">
        <v>1.64886</v>
      </c>
      <c r="AR44" s="22">
        <v>24.4162</v>
      </c>
      <c r="AS44" s="22">
        <v>-1.12061E-2</v>
      </c>
      <c r="AT44" s="22">
        <v>34</v>
      </c>
      <c r="AU44" s="22">
        <v>1.64795</v>
      </c>
      <c r="AV44">
        <f t="shared" si="8"/>
        <v>13.834691358024692</v>
      </c>
      <c r="AW44">
        <f t="shared" si="9"/>
        <v>22.811469192592593</v>
      </c>
      <c r="AX44" s="9"/>
      <c r="AY44" s="22">
        <v>7.1258500000000002E-2</v>
      </c>
      <c r="AZ44" s="22">
        <v>28.275700000000001</v>
      </c>
      <c r="BA44" s="22">
        <v>-1.39893E-2</v>
      </c>
      <c r="BB44" s="22">
        <v>34</v>
      </c>
      <c r="BC44" s="22">
        <v>7.0800799999999997E-2</v>
      </c>
      <c r="BD44">
        <f t="shared" si="10"/>
        <v>17.270740740740738</v>
      </c>
      <c r="BE44">
        <f t="shared" si="11"/>
        <v>1.2306870790740738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1.6438299999999999</v>
      </c>
      <c r="H45" s="22">
        <v>5.6768099999999997</v>
      </c>
      <c r="I45" s="22">
        <v>-1.1511199999999999E-2</v>
      </c>
      <c r="J45" s="22">
        <v>35</v>
      </c>
      <c r="K45" s="22">
        <v>1.64307</v>
      </c>
      <c r="L45">
        <f t="shared" si="0"/>
        <v>14.211358024691357</v>
      </c>
      <c r="M45">
        <f t="shared" si="1"/>
        <v>23.361056661728391</v>
      </c>
      <c r="N45" s="9"/>
      <c r="O45" s="22">
        <v>7.6293899999999998E-2</v>
      </c>
      <c r="P45" s="22">
        <v>9.5362899999999993</v>
      </c>
      <c r="Q45" s="22">
        <v>-1.40289E-2</v>
      </c>
      <c r="R45" s="22">
        <v>35</v>
      </c>
      <c r="S45" s="22">
        <v>7.5744599999999995E-2</v>
      </c>
      <c r="T45">
        <f t="shared" si="2"/>
        <v>17.319629629629631</v>
      </c>
      <c r="U45">
        <f t="shared" si="3"/>
        <v>1.321382091</v>
      </c>
      <c r="X45" s="9"/>
      <c r="Y45" s="22">
        <v>1.6438299999999999</v>
      </c>
      <c r="Z45" s="22">
        <v>15.121</v>
      </c>
      <c r="AA45" s="22">
        <v>-1.1489900000000001E-2</v>
      </c>
      <c r="AB45" s="22">
        <v>35</v>
      </c>
      <c r="AC45" s="22">
        <v>1.64246</v>
      </c>
      <c r="AD45">
        <f t="shared" si="4"/>
        <v>14.185061728395063</v>
      </c>
      <c r="AE45">
        <f t="shared" si="5"/>
        <v>23.317830020987653</v>
      </c>
      <c r="AF45" s="9"/>
      <c r="AG45" s="22">
        <v>7.6293899999999998E-2</v>
      </c>
      <c r="AH45" s="22">
        <v>18.980499999999999</v>
      </c>
      <c r="AI45" s="22">
        <v>-1.4041100000000001E-2</v>
      </c>
      <c r="AJ45" s="22">
        <v>35</v>
      </c>
      <c r="AK45" s="22">
        <v>7.5775099999999998E-2</v>
      </c>
      <c r="AL45">
        <f t="shared" si="6"/>
        <v>17.334691358024692</v>
      </c>
      <c r="AM45">
        <f t="shared" si="7"/>
        <v>1.3225312090000001</v>
      </c>
      <c r="AP45" s="9"/>
      <c r="AQ45" s="22">
        <v>1.6438299999999999</v>
      </c>
      <c r="AR45" s="22">
        <v>24.426300000000001</v>
      </c>
      <c r="AS45" s="22">
        <v>-1.13159E-2</v>
      </c>
      <c r="AT45" s="22">
        <v>35</v>
      </c>
      <c r="AU45" s="22">
        <v>1.64276</v>
      </c>
      <c r="AV45">
        <f t="shared" si="8"/>
        <v>13.970246913580247</v>
      </c>
      <c r="AW45">
        <f t="shared" si="9"/>
        <v>22.964710983950617</v>
      </c>
      <c r="AX45" s="9"/>
      <c r="AY45" s="22">
        <v>7.6293899999999998E-2</v>
      </c>
      <c r="AZ45" s="22">
        <v>28.285699999999999</v>
      </c>
      <c r="BA45" s="22">
        <v>-1.3986200000000001E-2</v>
      </c>
      <c r="BB45" s="22">
        <v>35</v>
      </c>
      <c r="BC45" s="22">
        <v>7.5744599999999995E-2</v>
      </c>
      <c r="BD45">
        <f t="shared" si="10"/>
        <v>17.266913580246914</v>
      </c>
      <c r="BE45">
        <f t="shared" si="11"/>
        <v>1.3173601779999999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1.63879</v>
      </c>
      <c r="H46" s="22">
        <v>5.68689</v>
      </c>
      <c r="I46" s="22">
        <v>-1.1593600000000001E-2</v>
      </c>
      <c r="J46" s="22">
        <v>36</v>
      </c>
      <c r="K46" s="22">
        <v>1.63788</v>
      </c>
      <c r="L46">
        <f t="shared" si="0"/>
        <v>14.313086419753086</v>
      </c>
      <c r="M46">
        <f t="shared" si="1"/>
        <v>23.45614289382716</v>
      </c>
      <c r="N46" s="9"/>
      <c r="O46" s="22">
        <v>8.1329299999999993E-2</v>
      </c>
      <c r="P46" s="22">
        <v>9.54636</v>
      </c>
      <c r="Q46" s="22">
        <v>-1.4025900000000001E-2</v>
      </c>
      <c r="R46" s="22">
        <v>36</v>
      </c>
      <c r="S46" s="22">
        <v>8.0810499999999993E-2</v>
      </c>
      <c r="T46">
        <f t="shared" si="2"/>
        <v>17.315925925925924</v>
      </c>
      <c r="U46">
        <f t="shared" si="3"/>
        <v>1.4082921344074071</v>
      </c>
      <c r="X46" s="9"/>
      <c r="Y46" s="22">
        <v>1.63879</v>
      </c>
      <c r="Z46" s="22">
        <v>15.1311</v>
      </c>
      <c r="AA46" s="22">
        <v>-1.1587500000000001E-2</v>
      </c>
      <c r="AB46" s="22">
        <v>36</v>
      </c>
      <c r="AC46" s="22">
        <v>1.63818</v>
      </c>
      <c r="AD46">
        <f t="shared" si="4"/>
        <v>14.305555555555555</v>
      </c>
      <c r="AE46">
        <f t="shared" si="5"/>
        <v>23.44380138888889</v>
      </c>
      <c r="AF46" s="9"/>
      <c r="AG46" s="22">
        <v>8.1329299999999993E-2</v>
      </c>
      <c r="AH46" s="22">
        <v>18.990600000000001</v>
      </c>
      <c r="AI46" s="22">
        <v>-1.4041100000000001E-2</v>
      </c>
      <c r="AJ46" s="22">
        <v>36</v>
      </c>
      <c r="AK46" s="22">
        <v>8.0841099999999999E-2</v>
      </c>
      <c r="AL46">
        <f t="shared" si="6"/>
        <v>17.334691358024692</v>
      </c>
      <c r="AM46">
        <f t="shared" si="7"/>
        <v>1.4098183138641975</v>
      </c>
      <c r="AP46" s="9"/>
      <c r="AQ46" s="22">
        <v>1.63879</v>
      </c>
      <c r="AR46" s="22">
        <v>24.436299999999999</v>
      </c>
      <c r="AS46" s="22">
        <v>-1.1410500000000001E-2</v>
      </c>
      <c r="AT46" s="22">
        <v>36</v>
      </c>
      <c r="AU46" s="22">
        <v>1.63757</v>
      </c>
      <c r="AV46">
        <f t="shared" si="8"/>
        <v>14.087037037037037</v>
      </c>
      <c r="AW46">
        <f t="shared" si="9"/>
        <v>23.085695425925927</v>
      </c>
      <c r="AX46" s="9"/>
      <c r="AY46" s="22">
        <v>8.1329299999999993E-2</v>
      </c>
      <c r="AZ46" s="22">
        <v>28.2958</v>
      </c>
      <c r="BA46" s="22">
        <v>-1.3980100000000001E-2</v>
      </c>
      <c r="BB46" s="22">
        <v>36</v>
      </c>
      <c r="BC46" s="22">
        <v>8.0810499999999993E-2</v>
      </c>
      <c r="BD46">
        <f t="shared" si="10"/>
        <v>17.259382716049384</v>
      </c>
      <c r="BE46">
        <f t="shared" si="11"/>
        <v>1.4036935147283951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1.6337600000000001</v>
      </c>
      <c r="H47" s="22">
        <v>5.6969599999999998</v>
      </c>
      <c r="I47" s="22">
        <v>-1.16852E-2</v>
      </c>
      <c r="J47" s="22">
        <v>37</v>
      </c>
      <c r="K47" s="22">
        <v>1.63208</v>
      </c>
      <c r="L47">
        <f t="shared" si="0"/>
        <v>14.426172839506172</v>
      </c>
      <c r="M47">
        <f t="shared" si="1"/>
        <v>23.568904138271606</v>
      </c>
      <c r="N47" s="9"/>
      <c r="O47" s="22">
        <v>8.6364700000000003E-2</v>
      </c>
      <c r="P47" s="22">
        <v>9.5564300000000006</v>
      </c>
      <c r="Q47" s="22">
        <v>-1.4025900000000001E-2</v>
      </c>
      <c r="R47" s="22">
        <v>37</v>
      </c>
      <c r="S47" s="22">
        <v>8.59375E-2</v>
      </c>
      <c r="T47">
        <f t="shared" si="2"/>
        <v>17.315925925925924</v>
      </c>
      <c r="U47">
        <f t="shared" si="3"/>
        <v>1.4954847478148148</v>
      </c>
      <c r="X47" s="9"/>
      <c r="Y47" s="22">
        <v>1.6337600000000001</v>
      </c>
      <c r="Z47" s="22">
        <v>15.1412</v>
      </c>
      <c r="AA47" s="22">
        <v>-1.16852E-2</v>
      </c>
      <c r="AB47" s="22">
        <v>37</v>
      </c>
      <c r="AC47" s="22">
        <v>1.63269</v>
      </c>
      <c r="AD47">
        <f t="shared" si="4"/>
        <v>14.426172839506172</v>
      </c>
      <c r="AE47">
        <f t="shared" si="5"/>
        <v>23.568904138271606</v>
      </c>
      <c r="AF47" s="9"/>
      <c r="AG47" s="22">
        <v>8.6364700000000003E-2</v>
      </c>
      <c r="AH47" s="22">
        <v>19.000599999999999</v>
      </c>
      <c r="AI47" s="22">
        <v>-1.4041100000000001E-2</v>
      </c>
      <c r="AJ47" s="22">
        <v>37</v>
      </c>
      <c r="AK47" s="22">
        <v>8.5845900000000003E-2</v>
      </c>
      <c r="AL47">
        <f t="shared" si="6"/>
        <v>17.334691358024692</v>
      </c>
      <c r="AM47">
        <f t="shared" si="7"/>
        <v>1.4971054187283952</v>
      </c>
      <c r="AP47" s="9"/>
      <c r="AQ47" s="22">
        <v>1.6337600000000001</v>
      </c>
      <c r="AR47" s="22">
        <v>24.446400000000001</v>
      </c>
      <c r="AS47" s="22">
        <v>-1.1505100000000001E-2</v>
      </c>
      <c r="AT47" s="22">
        <v>37</v>
      </c>
      <c r="AU47" s="22">
        <v>1.6333</v>
      </c>
      <c r="AV47">
        <f t="shared" si="8"/>
        <v>14.203827160493827</v>
      </c>
      <c r="AW47">
        <f t="shared" si="9"/>
        <v>23.205644661728396</v>
      </c>
      <c r="AX47" s="9"/>
      <c r="AY47" s="22">
        <v>8.6364700000000003E-2</v>
      </c>
      <c r="AZ47" s="22">
        <v>28.305900000000001</v>
      </c>
      <c r="BA47" s="22">
        <v>-1.3977099999999999E-2</v>
      </c>
      <c r="BB47" s="22">
        <v>37</v>
      </c>
      <c r="BC47" s="22">
        <v>8.5876499999999995E-2</v>
      </c>
      <c r="BD47">
        <f t="shared" si="10"/>
        <v>17.255679012345677</v>
      </c>
      <c r="BE47">
        <f t="shared" si="11"/>
        <v>1.4902815411975308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1.6287199999999999</v>
      </c>
      <c r="H48" s="22">
        <v>5.7070299999999996</v>
      </c>
      <c r="I48" s="22">
        <v>-1.1764500000000001E-2</v>
      </c>
      <c r="J48" s="22">
        <v>38</v>
      </c>
      <c r="K48" s="22">
        <v>1.62781</v>
      </c>
      <c r="L48">
        <f t="shared" si="0"/>
        <v>14.524074074074075</v>
      </c>
      <c r="M48">
        <f t="shared" si="1"/>
        <v>23.655649925925928</v>
      </c>
      <c r="N48" s="9"/>
      <c r="O48" s="22">
        <v>9.1400099999999998E-2</v>
      </c>
      <c r="P48" s="22">
        <v>9.5664999999999996</v>
      </c>
      <c r="Q48" s="22">
        <v>-1.4031999999999999E-2</v>
      </c>
      <c r="R48" s="22">
        <v>38</v>
      </c>
      <c r="S48" s="22">
        <v>9.0942400000000007E-2</v>
      </c>
      <c r="T48">
        <f t="shared" si="2"/>
        <v>17.323456790123455</v>
      </c>
      <c r="U48">
        <f t="shared" si="3"/>
        <v>1.5833656829629628</v>
      </c>
      <c r="X48" s="9"/>
      <c r="Y48" s="22">
        <v>1.6287199999999999</v>
      </c>
      <c r="Z48" s="22">
        <v>15.151199999999999</v>
      </c>
      <c r="AA48" s="22">
        <v>-1.1770600000000001E-2</v>
      </c>
      <c r="AB48" s="22">
        <v>38</v>
      </c>
      <c r="AC48" s="22">
        <v>1.6281099999999999</v>
      </c>
      <c r="AD48">
        <f t="shared" si="4"/>
        <v>14.531604938271604</v>
      </c>
      <c r="AE48">
        <f t="shared" si="5"/>
        <v>23.667915595061725</v>
      </c>
      <c r="AF48" s="9"/>
      <c r="AG48" s="22">
        <v>9.1400099999999998E-2</v>
      </c>
      <c r="AH48" s="22">
        <v>19.0107</v>
      </c>
      <c r="AI48" s="22">
        <v>-1.4031999999999999E-2</v>
      </c>
      <c r="AJ48" s="22">
        <v>38</v>
      </c>
      <c r="AK48" s="22">
        <v>9.0911900000000004E-2</v>
      </c>
      <c r="AL48">
        <f t="shared" si="6"/>
        <v>17.323456790123455</v>
      </c>
      <c r="AM48">
        <f t="shared" si="7"/>
        <v>1.5833656829629628</v>
      </c>
      <c r="AP48" s="9"/>
      <c r="AQ48" s="22">
        <v>1.6287199999999999</v>
      </c>
      <c r="AR48" s="22">
        <v>24.456499999999998</v>
      </c>
      <c r="AS48" s="22">
        <v>-1.1599699999999999E-2</v>
      </c>
      <c r="AT48" s="22">
        <v>38</v>
      </c>
      <c r="AU48" s="22">
        <v>1.6281099999999999</v>
      </c>
      <c r="AV48">
        <f t="shared" si="8"/>
        <v>14.320617283950616</v>
      </c>
      <c r="AW48">
        <f t="shared" si="9"/>
        <v>23.324275782716047</v>
      </c>
      <c r="AX48" s="9"/>
      <c r="AY48" s="22">
        <v>9.1400099999999998E-2</v>
      </c>
      <c r="AZ48" s="22">
        <v>28.315899999999999</v>
      </c>
      <c r="BA48" s="22">
        <v>-1.39679E-2</v>
      </c>
      <c r="BB48" s="22">
        <v>38</v>
      </c>
      <c r="BC48" s="22">
        <v>9.0881299999999998E-2</v>
      </c>
      <c r="BD48">
        <f t="shared" si="10"/>
        <v>17.244320987654319</v>
      </c>
      <c r="BE48">
        <f t="shared" si="11"/>
        <v>1.5761326627037036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1.6236900000000001</v>
      </c>
      <c r="H49" s="22">
        <v>5.7171000000000003</v>
      </c>
      <c r="I49" s="22">
        <v>-1.1831700000000001E-2</v>
      </c>
      <c r="J49" s="22">
        <v>39</v>
      </c>
      <c r="K49" s="22">
        <v>1.62262</v>
      </c>
      <c r="L49">
        <f t="shared" si="0"/>
        <v>14.607037037037037</v>
      </c>
      <c r="M49">
        <f t="shared" si="1"/>
        <v>23.717299966666666</v>
      </c>
      <c r="N49" s="9"/>
      <c r="O49" s="22">
        <v>9.6435499999999993E-2</v>
      </c>
      <c r="P49" s="22">
        <v>9.5765700000000002</v>
      </c>
      <c r="Q49" s="22">
        <v>-1.40289E-2</v>
      </c>
      <c r="R49" s="22">
        <v>39</v>
      </c>
      <c r="S49" s="22">
        <v>9.5916699999999994E-2</v>
      </c>
      <c r="T49">
        <f t="shared" si="2"/>
        <v>17.319629629629631</v>
      </c>
      <c r="U49">
        <f t="shared" si="3"/>
        <v>1.6702271431481481</v>
      </c>
      <c r="X49" s="9"/>
      <c r="Y49" s="22">
        <v>1.6236900000000001</v>
      </c>
      <c r="Z49" s="22">
        <v>15.161300000000001</v>
      </c>
      <c r="AA49" s="22">
        <v>-1.1849999999999999E-2</v>
      </c>
      <c r="AB49" s="22">
        <v>39</v>
      </c>
      <c r="AC49" s="22">
        <v>1.62323</v>
      </c>
      <c r="AD49">
        <f t="shared" si="4"/>
        <v>14.629629629629628</v>
      </c>
      <c r="AE49">
        <f t="shared" si="5"/>
        <v>23.753983333333331</v>
      </c>
      <c r="AF49" s="9"/>
      <c r="AG49" s="22">
        <v>9.6435499999999993E-2</v>
      </c>
      <c r="AH49" s="22">
        <v>19.020800000000001</v>
      </c>
      <c r="AI49" s="22">
        <v>-1.40289E-2</v>
      </c>
      <c r="AJ49" s="22">
        <v>39</v>
      </c>
      <c r="AK49" s="22">
        <v>9.5977800000000002E-2</v>
      </c>
      <c r="AL49">
        <f t="shared" si="6"/>
        <v>17.319629629629631</v>
      </c>
      <c r="AM49">
        <f t="shared" si="7"/>
        <v>1.6702271431481481</v>
      </c>
      <c r="AP49" s="9"/>
      <c r="AQ49" s="22">
        <v>1.6236900000000001</v>
      </c>
      <c r="AR49" s="22">
        <v>24.4665</v>
      </c>
      <c r="AS49" s="22">
        <v>-1.16791E-2</v>
      </c>
      <c r="AT49" s="22">
        <v>39</v>
      </c>
      <c r="AU49" s="22">
        <v>1.62354</v>
      </c>
      <c r="AV49">
        <f t="shared" si="8"/>
        <v>14.41864197530864</v>
      </c>
      <c r="AW49">
        <f t="shared" si="9"/>
        <v>23.411404788888888</v>
      </c>
      <c r="AX49" s="9"/>
      <c r="AY49" s="22">
        <v>9.6435499999999993E-2</v>
      </c>
      <c r="AZ49" s="22">
        <v>28.326000000000001</v>
      </c>
      <c r="BA49" s="22">
        <v>-1.39709E-2</v>
      </c>
      <c r="BB49" s="22">
        <v>39</v>
      </c>
      <c r="BC49" s="22">
        <v>9.5886200000000005E-2</v>
      </c>
      <c r="BD49">
        <f t="shared" si="10"/>
        <v>17.248024691358022</v>
      </c>
      <c r="BE49">
        <f t="shared" si="11"/>
        <v>1.6633218851234564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1.6186499999999999</v>
      </c>
      <c r="H50" s="22">
        <v>5.7271700000000001</v>
      </c>
      <c r="I50" s="22">
        <v>-1.19049E-2</v>
      </c>
      <c r="J50" s="22">
        <v>40</v>
      </c>
      <c r="K50" s="22">
        <v>1.6180399999999999</v>
      </c>
      <c r="L50">
        <f t="shared" si="0"/>
        <v>14.697407407407406</v>
      </c>
      <c r="M50">
        <f t="shared" si="1"/>
        <v>23.789958499999997</v>
      </c>
      <c r="N50" s="9"/>
      <c r="O50" s="22">
        <v>0.10147100000000001</v>
      </c>
      <c r="P50" s="22">
        <v>9.5866399999999992</v>
      </c>
      <c r="Q50" s="22">
        <v>-1.4031999999999999E-2</v>
      </c>
      <c r="R50" s="22">
        <v>40</v>
      </c>
      <c r="S50" s="22">
        <v>0.10101300000000001</v>
      </c>
      <c r="T50">
        <f t="shared" si="2"/>
        <v>17.323456790123455</v>
      </c>
      <c r="U50">
        <f t="shared" si="3"/>
        <v>1.7578284839506171</v>
      </c>
      <c r="X50" s="9"/>
      <c r="Y50" s="22">
        <v>1.6186499999999999</v>
      </c>
      <c r="Z50" s="22">
        <v>15.1714</v>
      </c>
      <c r="AA50" s="22">
        <v>-1.19171E-2</v>
      </c>
      <c r="AB50" s="22">
        <v>40</v>
      </c>
      <c r="AC50" s="22">
        <v>1.6180399999999999</v>
      </c>
      <c r="AD50">
        <f t="shared" si="4"/>
        <v>14.712469135802468</v>
      </c>
      <c r="AE50">
        <f t="shared" si="5"/>
        <v>23.814338166666666</v>
      </c>
      <c r="AF50" s="9"/>
      <c r="AG50" s="22">
        <v>0.10147100000000001</v>
      </c>
      <c r="AH50" s="22">
        <v>19.030799999999999</v>
      </c>
      <c r="AI50" s="22">
        <v>-1.4025900000000001E-2</v>
      </c>
      <c r="AJ50" s="22">
        <v>40</v>
      </c>
      <c r="AK50" s="22">
        <v>0.10101300000000001</v>
      </c>
      <c r="AL50">
        <f t="shared" si="6"/>
        <v>17.315925925925924</v>
      </c>
      <c r="AM50">
        <f t="shared" si="7"/>
        <v>1.7570643196296296</v>
      </c>
      <c r="AP50" s="9"/>
      <c r="AQ50" s="22">
        <v>1.6186499999999999</v>
      </c>
      <c r="AR50" s="22">
        <v>24.476600000000001</v>
      </c>
      <c r="AS50" s="22">
        <v>-1.1749300000000001E-2</v>
      </c>
      <c r="AT50" s="22">
        <v>40</v>
      </c>
      <c r="AU50" s="22">
        <v>1.6174299999999999</v>
      </c>
      <c r="AV50">
        <f t="shared" si="8"/>
        <v>14.505308641975308</v>
      </c>
      <c r="AW50">
        <f t="shared" si="9"/>
        <v>23.47901783333333</v>
      </c>
      <c r="AX50" s="9"/>
      <c r="AY50" s="22">
        <v>0.10147100000000001</v>
      </c>
      <c r="AZ50" s="22">
        <v>28.336099999999998</v>
      </c>
      <c r="BA50" s="22">
        <v>-1.39709E-2</v>
      </c>
      <c r="BB50" s="22">
        <v>40</v>
      </c>
      <c r="BC50" s="22">
        <v>0.100952</v>
      </c>
      <c r="BD50">
        <f t="shared" si="10"/>
        <v>17.248024691358022</v>
      </c>
      <c r="BE50">
        <f t="shared" si="11"/>
        <v>1.75017431345679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1.6136200000000001</v>
      </c>
      <c r="H51" s="22">
        <v>5.7372399999999999</v>
      </c>
      <c r="I51" s="22">
        <v>-1.1972E-2</v>
      </c>
      <c r="J51" s="22">
        <v>41</v>
      </c>
      <c r="K51" s="22">
        <v>1.6125499999999999</v>
      </c>
      <c r="L51">
        <f t="shared" si="0"/>
        <v>14.780246913580246</v>
      </c>
      <c r="M51">
        <f t="shared" si="1"/>
        <v>23.849702024691357</v>
      </c>
      <c r="N51" s="9"/>
      <c r="O51" s="22">
        <v>0.106506</v>
      </c>
      <c r="P51" s="22">
        <v>9.5967099999999999</v>
      </c>
      <c r="Q51" s="22">
        <v>-1.4031999999999999E-2</v>
      </c>
      <c r="R51" s="22">
        <v>41</v>
      </c>
      <c r="S51" s="22">
        <v>0.106049</v>
      </c>
      <c r="T51">
        <f t="shared" si="2"/>
        <v>17.323456790123455</v>
      </c>
      <c r="U51">
        <f t="shared" si="3"/>
        <v>1.8450520888888888</v>
      </c>
      <c r="X51" s="9"/>
      <c r="Y51" s="22">
        <v>1.6136200000000001</v>
      </c>
      <c r="Z51" s="22">
        <v>15.1814</v>
      </c>
      <c r="AA51" s="22">
        <v>-1.1987299999999999E-2</v>
      </c>
      <c r="AB51" s="22">
        <v>41</v>
      </c>
      <c r="AC51" s="22">
        <v>1.6122399999999999</v>
      </c>
      <c r="AD51">
        <f t="shared" si="4"/>
        <v>14.799135802469134</v>
      </c>
      <c r="AE51">
        <f t="shared" si="5"/>
        <v>23.880181513580247</v>
      </c>
      <c r="AF51" s="9"/>
      <c r="AG51" s="22">
        <v>0.106506</v>
      </c>
      <c r="AH51" s="22">
        <v>19.040900000000001</v>
      </c>
      <c r="AI51" s="22">
        <v>-1.4025900000000001E-2</v>
      </c>
      <c r="AJ51" s="22">
        <v>41</v>
      </c>
      <c r="AK51" s="22">
        <v>0.106018</v>
      </c>
      <c r="AL51">
        <f t="shared" si="6"/>
        <v>17.315925925925924</v>
      </c>
      <c r="AM51">
        <f t="shared" si="7"/>
        <v>1.8442500066666665</v>
      </c>
      <c r="AP51" s="9"/>
      <c r="AQ51" s="22">
        <v>1.6136200000000001</v>
      </c>
      <c r="AR51" s="22">
        <v>24.486699999999999</v>
      </c>
      <c r="AS51" s="22">
        <v>-1.1816399999999999E-2</v>
      </c>
      <c r="AT51" s="22">
        <v>41</v>
      </c>
      <c r="AU51" s="22">
        <v>1.6131599999999999</v>
      </c>
      <c r="AV51">
        <f t="shared" si="8"/>
        <v>14.588148148148147</v>
      </c>
      <c r="AW51">
        <f t="shared" si="9"/>
        <v>23.539727614814812</v>
      </c>
      <c r="AX51" s="9"/>
      <c r="AY51" s="22">
        <v>0.106506</v>
      </c>
      <c r="AZ51" s="22">
        <v>28.3462</v>
      </c>
      <c r="BA51" s="22">
        <v>-1.3983199999999999E-2</v>
      </c>
      <c r="BB51" s="22">
        <v>41</v>
      </c>
      <c r="BC51" s="22">
        <v>0.105988</v>
      </c>
      <c r="BD51">
        <f t="shared" si="10"/>
        <v>17.263209876543208</v>
      </c>
      <c r="BE51">
        <f t="shared" si="11"/>
        <v>1.8386354311111108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1.6085799999999999</v>
      </c>
      <c r="H52" s="22">
        <v>5.7473099999999997</v>
      </c>
      <c r="I52" s="22">
        <v>-1.2026999999999999E-2</v>
      </c>
      <c r="J52" s="22">
        <v>42</v>
      </c>
      <c r="K52" s="22">
        <v>1.6082799999999999</v>
      </c>
      <c r="L52">
        <f t="shared" si="0"/>
        <v>14.848148148148146</v>
      </c>
      <c r="M52">
        <f t="shared" si="1"/>
        <v>23.884434148148145</v>
      </c>
      <c r="N52" s="9"/>
      <c r="O52" s="22">
        <v>0.111542</v>
      </c>
      <c r="P52" s="22">
        <v>9.6067900000000002</v>
      </c>
      <c r="Q52" s="22">
        <v>-1.40228E-2</v>
      </c>
      <c r="R52" s="22">
        <v>42</v>
      </c>
      <c r="S52" s="22">
        <v>0.111053</v>
      </c>
      <c r="T52">
        <f t="shared" si="2"/>
        <v>17.312098765432097</v>
      </c>
      <c r="U52">
        <f t="shared" si="3"/>
        <v>1.931026120493827</v>
      </c>
      <c r="X52" s="9"/>
      <c r="Y52" s="22">
        <v>1.6085799999999999</v>
      </c>
      <c r="Z52" s="22">
        <v>15.1915</v>
      </c>
      <c r="AA52" s="22">
        <v>-1.20544E-2</v>
      </c>
      <c r="AB52" s="22">
        <v>42</v>
      </c>
      <c r="AC52" s="22">
        <v>1.6076699999999999</v>
      </c>
      <c r="AD52">
        <f t="shared" si="4"/>
        <v>14.881975308641973</v>
      </c>
      <c r="AE52">
        <f t="shared" si="5"/>
        <v>23.938847841975303</v>
      </c>
      <c r="AF52" s="9"/>
      <c r="AG52" s="22">
        <v>0.111542</v>
      </c>
      <c r="AH52" s="22">
        <v>19.050999999999998</v>
      </c>
      <c r="AI52" s="22">
        <v>-1.4019800000000001E-2</v>
      </c>
      <c r="AJ52" s="22">
        <v>42</v>
      </c>
      <c r="AK52" s="22">
        <v>0.111084</v>
      </c>
      <c r="AL52">
        <f t="shared" si="6"/>
        <v>17.308395061728394</v>
      </c>
      <c r="AM52">
        <f t="shared" si="7"/>
        <v>1.9306130019753085</v>
      </c>
      <c r="AP52" s="9"/>
      <c r="AQ52" s="22">
        <v>1.6085799999999999</v>
      </c>
      <c r="AR52" s="22">
        <v>24.496700000000001</v>
      </c>
      <c r="AS52" s="22">
        <v>-1.18896E-2</v>
      </c>
      <c r="AT52" s="22">
        <v>42</v>
      </c>
      <c r="AU52" s="22">
        <v>1.6073599999999999</v>
      </c>
      <c r="AV52">
        <f t="shared" si="8"/>
        <v>14.678518518518517</v>
      </c>
      <c r="AW52">
        <f t="shared" si="9"/>
        <v>23.611571318518514</v>
      </c>
      <c r="AX52" s="9"/>
      <c r="AY52" s="22">
        <v>0.111542</v>
      </c>
      <c r="AZ52" s="22">
        <v>28.356200000000001</v>
      </c>
      <c r="BA52" s="22">
        <v>-1.39893E-2</v>
      </c>
      <c r="BB52" s="22">
        <v>42</v>
      </c>
      <c r="BC52" s="22">
        <v>0.11096200000000001</v>
      </c>
      <c r="BD52">
        <f t="shared" si="10"/>
        <v>17.270740740740738</v>
      </c>
      <c r="BE52">
        <f t="shared" si="11"/>
        <v>1.9264129637037035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1.60355</v>
      </c>
      <c r="H53" s="22">
        <v>5.7573800000000004</v>
      </c>
      <c r="I53" s="22">
        <v>-1.2085E-2</v>
      </c>
      <c r="J53" s="22">
        <v>43</v>
      </c>
      <c r="K53" s="22">
        <v>1.6030899999999999</v>
      </c>
      <c r="L53">
        <f t="shared" si="0"/>
        <v>14.919753086419753</v>
      </c>
      <c r="M53">
        <f t="shared" si="1"/>
        <v>23.924570061728396</v>
      </c>
      <c r="N53" s="9"/>
      <c r="O53" s="22">
        <v>0.116577</v>
      </c>
      <c r="P53" s="22">
        <v>9.6168600000000009</v>
      </c>
      <c r="Q53" s="22">
        <v>-1.4025900000000001E-2</v>
      </c>
      <c r="R53" s="22">
        <v>43</v>
      </c>
      <c r="S53" s="22">
        <v>0.116089</v>
      </c>
      <c r="T53">
        <f t="shared" si="2"/>
        <v>17.315925925925924</v>
      </c>
      <c r="U53">
        <f t="shared" si="3"/>
        <v>2.0186386966666663</v>
      </c>
      <c r="X53" s="9"/>
      <c r="Y53" s="22">
        <v>1.60355</v>
      </c>
      <c r="Z53" s="22">
        <v>15.201599999999999</v>
      </c>
      <c r="AA53" s="22">
        <v>-1.2118500000000001E-2</v>
      </c>
      <c r="AB53" s="22">
        <v>43</v>
      </c>
      <c r="AC53" s="22">
        <v>1.6027800000000001</v>
      </c>
      <c r="AD53">
        <f t="shared" si="4"/>
        <v>14.96111111111111</v>
      </c>
      <c r="AE53">
        <f t="shared" si="5"/>
        <v>23.990889722222221</v>
      </c>
      <c r="AF53" s="9"/>
      <c r="AG53" s="22">
        <v>0.116577</v>
      </c>
      <c r="AH53" s="22">
        <v>19.0611</v>
      </c>
      <c r="AI53" s="22">
        <v>-1.40076E-2</v>
      </c>
      <c r="AJ53" s="22">
        <v>43</v>
      </c>
      <c r="AK53" s="22">
        <v>0.116119</v>
      </c>
      <c r="AL53">
        <f t="shared" si="6"/>
        <v>17.293333333333333</v>
      </c>
      <c r="AM53">
        <f t="shared" si="7"/>
        <v>2.0160049199999999</v>
      </c>
      <c r="AP53" s="9"/>
      <c r="AQ53" s="22">
        <v>1.60355</v>
      </c>
      <c r="AR53" s="22">
        <v>24.506799999999998</v>
      </c>
      <c r="AS53" s="22">
        <v>-1.19659E-2</v>
      </c>
      <c r="AT53" s="22">
        <v>43</v>
      </c>
      <c r="AU53" s="22">
        <v>1.6024799999999999</v>
      </c>
      <c r="AV53">
        <f t="shared" si="8"/>
        <v>14.772716049382716</v>
      </c>
      <c r="AW53">
        <f t="shared" si="9"/>
        <v>23.688788820987654</v>
      </c>
      <c r="AX53" s="9"/>
      <c r="AY53" s="22">
        <v>0.116577</v>
      </c>
      <c r="AZ53" s="22">
        <v>28.366299999999999</v>
      </c>
      <c r="BA53" s="22">
        <v>-1.39893E-2</v>
      </c>
      <c r="BB53" s="22">
        <v>43</v>
      </c>
      <c r="BC53" s="22">
        <v>0.115997</v>
      </c>
      <c r="BD53">
        <f t="shared" si="10"/>
        <v>17.270740740740738</v>
      </c>
      <c r="BE53">
        <f t="shared" si="11"/>
        <v>2.013371143333333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1.5985100000000001</v>
      </c>
      <c r="H54" s="22">
        <v>5.7674500000000002</v>
      </c>
      <c r="I54" s="22">
        <v>-1.21429E-2</v>
      </c>
      <c r="J54" s="22">
        <v>44</v>
      </c>
      <c r="K54" s="22">
        <v>1.5972900000000001</v>
      </c>
      <c r="L54">
        <f t="shared" si="0"/>
        <v>14.991234567901234</v>
      </c>
      <c r="M54">
        <f t="shared" si="1"/>
        <v>23.963638369135804</v>
      </c>
      <c r="N54" s="9"/>
      <c r="O54" s="22">
        <v>0.121613</v>
      </c>
      <c r="P54" s="22">
        <v>9.6269299999999998</v>
      </c>
      <c r="Q54" s="22">
        <v>-1.4025900000000001E-2</v>
      </c>
      <c r="R54" s="22">
        <v>44</v>
      </c>
      <c r="S54" s="22">
        <v>0.121155</v>
      </c>
      <c r="T54">
        <f t="shared" si="2"/>
        <v>17.315925925925924</v>
      </c>
      <c r="U54">
        <f t="shared" si="3"/>
        <v>2.1058416996296296</v>
      </c>
      <c r="X54" s="9"/>
      <c r="Y54" s="22">
        <v>1.5985100000000001</v>
      </c>
      <c r="Z54" s="22">
        <v>15.2117</v>
      </c>
      <c r="AA54" s="22">
        <v>-1.21796E-2</v>
      </c>
      <c r="AB54" s="22">
        <v>44</v>
      </c>
      <c r="AC54" s="22">
        <v>1.5979000000000001</v>
      </c>
      <c r="AD54">
        <f t="shared" si="4"/>
        <v>15.036543209876543</v>
      </c>
      <c r="AE54">
        <f t="shared" si="5"/>
        <v>24.036064686419753</v>
      </c>
      <c r="AF54" s="9"/>
      <c r="AG54" s="22">
        <v>0.121613</v>
      </c>
      <c r="AH54" s="22">
        <v>19.071100000000001</v>
      </c>
      <c r="AI54" s="22">
        <v>-1.40106E-2</v>
      </c>
      <c r="AJ54" s="22">
        <v>44</v>
      </c>
      <c r="AK54" s="22">
        <v>0.121124</v>
      </c>
      <c r="AL54">
        <f t="shared" si="6"/>
        <v>17.297037037037036</v>
      </c>
      <c r="AM54">
        <f t="shared" si="7"/>
        <v>2.1035445651851852</v>
      </c>
      <c r="AP54" s="9"/>
      <c r="AQ54" s="22">
        <v>1.5985100000000001</v>
      </c>
      <c r="AR54" s="22">
        <v>24.5169</v>
      </c>
      <c r="AS54" s="22">
        <v>-1.2026999999999999E-2</v>
      </c>
      <c r="AT54" s="22">
        <v>44</v>
      </c>
      <c r="AU54" s="22">
        <v>1.5975999999999999</v>
      </c>
      <c r="AV54">
        <f t="shared" si="8"/>
        <v>14.848148148148146</v>
      </c>
      <c r="AW54">
        <f t="shared" si="9"/>
        <v>23.734913296296295</v>
      </c>
      <c r="AX54" s="9"/>
      <c r="AY54" s="22">
        <v>0.121613</v>
      </c>
      <c r="AZ54" s="22">
        <v>28.3764</v>
      </c>
      <c r="BA54" s="22">
        <v>-1.3983199999999999E-2</v>
      </c>
      <c r="BB54" s="22">
        <v>44</v>
      </c>
      <c r="BC54" s="22">
        <v>0.121185</v>
      </c>
      <c r="BD54">
        <f t="shared" si="10"/>
        <v>17.263209876543208</v>
      </c>
      <c r="BE54">
        <f t="shared" si="11"/>
        <v>2.099430742716049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1.59348</v>
      </c>
      <c r="H55" s="22">
        <v>5.77752</v>
      </c>
      <c r="I55" s="22">
        <v>-1.2204E-2</v>
      </c>
      <c r="J55" s="22">
        <v>45</v>
      </c>
      <c r="K55" s="22">
        <v>1.5927100000000001</v>
      </c>
      <c r="L55">
        <f t="shared" si="0"/>
        <v>15.066666666666666</v>
      </c>
      <c r="M55">
        <f t="shared" si="1"/>
        <v>24.008431999999999</v>
      </c>
      <c r="N55" s="9"/>
      <c r="O55" s="22">
        <v>0.12664800000000001</v>
      </c>
      <c r="P55" s="22">
        <v>9.6370000000000005</v>
      </c>
      <c r="Q55" s="22">
        <v>-1.4025900000000001E-2</v>
      </c>
      <c r="R55" s="22">
        <v>45</v>
      </c>
      <c r="S55" s="22">
        <v>0.12619</v>
      </c>
      <c r="T55">
        <f t="shared" si="2"/>
        <v>17.315925925925924</v>
      </c>
      <c r="U55">
        <f t="shared" si="3"/>
        <v>2.1930273866666665</v>
      </c>
      <c r="X55" s="9"/>
      <c r="Y55" s="22">
        <v>1.59348</v>
      </c>
      <c r="Z55" s="22">
        <v>15.2217</v>
      </c>
      <c r="AA55" s="22">
        <v>-1.22437E-2</v>
      </c>
      <c r="AB55" s="22">
        <v>45</v>
      </c>
      <c r="AC55" s="22">
        <v>1.5930200000000001</v>
      </c>
      <c r="AD55">
        <f t="shared" si="4"/>
        <v>15.115679012345678</v>
      </c>
      <c r="AE55">
        <f t="shared" si="5"/>
        <v>24.086532192592593</v>
      </c>
      <c r="AF55" s="9"/>
      <c r="AG55" s="22">
        <v>0.12664800000000001</v>
      </c>
      <c r="AH55" s="22">
        <v>19.081199999999999</v>
      </c>
      <c r="AI55" s="22">
        <v>-1.40106E-2</v>
      </c>
      <c r="AJ55" s="22">
        <v>45</v>
      </c>
      <c r="AK55" s="22">
        <v>0.12609899999999999</v>
      </c>
      <c r="AL55">
        <f t="shared" si="6"/>
        <v>17.297037037037036</v>
      </c>
      <c r="AM55">
        <f t="shared" si="7"/>
        <v>2.1906351466666667</v>
      </c>
      <c r="AP55" s="9"/>
      <c r="AQ55" s="22">
        <v>1.59348</v>
      </c>
      <c r="AR55" s="22">
        <v>24.527000000000001</v>
      </c>
      <c r="AS55" s="22">
        <v>-1.20819E-2</v>
      </c>
      <c r="AT55" s="22">
        <v>45</v>
      </c>
      <c r="AU55" s="22">
        <v>1.5927100000000001</v>
      </c>
      <c r="AV55">
        <f t="shared" si="8"/>
        <v>14.915925925925924</v>
      </c>
      <c r="AW55">
        <f t="shared" si="9"/>
        <v>23.768229644444443</v>
      </c>
      <c r="AX55" s="9"/>
      <c r="AY55" s="22">
        <v>0.12664800000000001</v>
      </c>
      <c r="AZ55" s="22">
        <v>28.386399999999998</v>
      </c>
      <c r="BA55" s="22">
        <v>-1.3983199999999999E-2</v>
      </c>
      <c r="BB55" s="22">
        <v>45</v>
      </c>
      <c r="BC55" s="22">
        <v>0.12609899999999999</v>
      </c>
      <c r="BD55">
        <f t="shared" si="10"/>
        <v>17.263209876543208</v>
      </c>
      <c r="BE55">
        <f t="shared" si="11"/>
        <v>2.1863510044444445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1.5884400000000001</v>
      </c>
      <c r="H56" s="22">
        <v>5.7876000000000003</v>
      </c>
      <c r="I56" s="22">
        <v>-1.2246699999999999E-2</v>
      </c>
      <c r="J56" s="22">
        <v>46</v>
      </c>
      <c r="K56" s="22">
        <v>1.5878300000000001</v>
      </c>
      <c r="L56">
        <f t="shared" si="0"/>
        <v>15.11938271604938</v>
      </c>
      <c r="M56">
        <f t="shared" si="1"/>
        <v>24.016232281481479</v>
      </c>
      <c r="N56" s="9"/>
      <c r="O56" s="22">
        <v>0.13168299999999999</v>
      </c>
      <c r="P56" s="22">
        <v>9.6470699999999994</v>
      </c>
      <c r="Q56" s="22">
        <v>-1.4019800000000001E-2</v>
      </c>
      <c r="R56" s="22">
        <v>46</v>
      </c>
      <c r="S56" s="22">
        <v>0.13119500000000001</v>
      </c>
      <c r="T56">
        <f t="shared" si="2"/>
        <v>17.308395061728394</v>
      </c>
      <c r="U56">
        <f t="shared" si="3"/>
        <v>2.27922138691358</v>
      </c>
      <c r="X56" s="9"/>
      <c r="Y56" s="22">
        <v>1.5884400000000001</v>
      </c>
      <c r="Z56" s="22">
        <v>15.2318</v>
      </c>
      <c r="AA56" s="22">
        <v>-1.22925E-2</v>
      </c>
      <c r="AB56" s="22">
        <v>46</v>
      </c>
      <c r="AC56" s="22">
        <v>1.58752</v>
      </c>
      <c r="AD56">
        <f t="shared" si="4"/>
        <v>15.175925925925924</v>
      </c>
      <c r="AE56">
        <f t="shared" si="5"/>
        <v>24.106047777777775</v>
      </c>
      <c r="AF56" s="9"/>
      <c r="AG56" s="22">
        <v>0.13168299999999999</v>
      </c>
      <c r="AH56" s="22">
        <v>19.0913</v>
      </c>
      <c r="AI56" s="22">
        <v>-1.40106E-2</v>
      </c>
      <c r="AJ56" s="22">
        <v>46</v>
      </c>
      <c r="AK56" s="22">
        <v>0.13122600000000001</v>
      </c>
      <c r="AL56">
        <f t="shared" si="6"/>
        <v>17.297037037037036</v>
      </c>
      <c r="AM56">
        <f t="shared" si="7"/>
        <v>2.2777257281481478</v>
      </c>
      <c r="AP56" s="9"/>
      <c r="AQ56" s="22">
        <v>1.5884400000000001</v>
      </c>
      <c r="AR56" s="22">
        <v>24.536999999999999</v>
      </c>
      <c r="AS56" s="22">
        <v>-1.21277E-2</v>
      </c>
      <c r="AT56" s="22">
        <v>46</v>
      </c>
      <c r="AU56" s="22">
        <v>1.58691</v>
      </c>
      <c r="AV56">
        <f t="shared" si="8"/>
        <v>14.972469135802468</v>
      </c>
      <c r="AW56">
        <f t="shared" si="9"/>
        <v>23.782868874074072</v>
      </c>
      <c r="AX56" s="9"/>
      <c r="AY56" s="22">
        <v>0.13168299999999999</v>
      </c>
      <c r="AZ56" s="22">
        <v>28.3965</v>
      </c>
      <c r="BA56" s="22">
        <v>-1.3977099999999999E-2</v>
      </c>
      <c r="BB56" s="22">
        <v>46</v>
      </c>
      <c r="BC56" s="22">
        <v>0.13137799999999999</v>
      </c>
      <c r="BD56">
        <f t="shared" si="10"/>
        <v>17.255679012345677</v>
      </c>
      <c r="BE56">
        <f t="shared" si="11"/>
        <v>2.2722795793827157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1.5833999999999999</v>
      </c>
      <c r="H57" s="22">
        <v>5.7976700000000001</v>
      </c>
      <c r="I57" s="22">
        <v>-1.22925E-2</v>
      </c>
      <c r="J57" s="22">
        <v>47</v>
      </c>
      <c r="K57" s="22">
        <v>1.58264</v>
      </c>
      <c r="L57">
        <f t="shared" si="0"/>
        <v>15.175925925925924</v>
      </c>
      <c r="M57">
        <f t="shared" si="1"/>
        <v>24.029561111111107</v>
      </c>
      <c r="N57" s="9"/>
      <c r="O57" s="22">
        <v>0.13671900000000001</v>
      </c>
      <c r="P57" s="22">
        <v>9.6571400000000001</v>
      </c>
      <c r="Q57" s="22">
        <v>-1.40167E-2</v>
      </c>
      <c r="R57" s="22">
        <v>47</v>
      </c>
      <c r="S57" s="22">
        <v>0.13619999999999999</v>
      </c>
      <c r="T57">
        <f t="shared" si="2"/>
        <v>17.304567901234567</v>
      </c>
      <c r="U57">
        <f t="shared" si="3"/>
        <v>2.3658632188888888</v>
      </c>
      <c r="X57" s="9"/>
      <c r="Y57" s="22">
        <v>1.5833999999999999</v>
      </c>
      <c r="Z57" s="22">
        <v>15.241899999999999</v>
      </c>
      <c r="AA57" s="22">
        <v>-1.23474E-2</v>
      </c>
      <c r="AB57" s="22">
        <v>47</v>
      </c>
      <c r="AC57" s="22">
        <v>1.5823400000000001</v>
      </c>
      <c r="AD57">
        <f t="shared" si="4"/>
        <v>15.243703703703702</v>
      </c>
      <c r="AE57">
        <f t="shared" si="5"/>
        <v>24.13688044444444</v>
      </c>
      <c r="AF57" s="9"/>
      <c r="AG57" s="22">
        <v>0.13671900000000001</v>
      </c>
      <c r="AH57" s="22">
        <v>19.101299999999998</v>
      </c>
      <c r="AI57" s="22">
        <v>-1.40167E-2</v>
      </c>
      <c r="AJ57" s="22">
        <v>47</v>
      </c>
      <c r="AK57" s="22">
        <v>0.136353</v>
      </c>
      <c r="AL57">
        <f t="shared" si="6"/>
        <v>17.304567901234567</v>
      </c>
      <c r="AM57">
        <f t="shared" si="7"/>
        <v>2.3658632188888888</v>
      </c>
      <c r="AP57" s="9"/>
      <c r="AQ57" s="22">
        <v>1.5833999999999999</v>
      </c>
      <c r="AR57" s="22">
        <v>24.5471</v>
      </c>
      <c r="AS57" s="22">
        <v>-1.21796E-2</v>
      </c>
      <c r="AT57" s="22">
        <v>47</v>
      </c>
      <c r="AU57" s="22">
        <v>1.5829500000000001</v>
      </c>
      <c r="AV57">
        <f t="shared" si="8"/>
        <v>15.036543209876543</v>
      </c>
      <c r="AW57">
        <f t="shared" si="9"/>
        <v>23.808862518518517</v>
      </c>
      <c r="AX57" s="9"/>
      <c r="AY57" s="22">
        <v>0.13671900000000001</v>
      </c>
      <c r="AZ57" s="22">
        <v>28.406600000000001</v>
      </c>
      <c r="BA57" s="22">
        <v>-1.39709E-2</v>
      </c>
      <c r="BB57" s="22">
        <v>47</v>
      </c>
      <c r="BC57" s="22">
        <v>0.13626099999999999</v>
      </c>
      <c r="BD57">
        <f t="shared" si="10"/>
        <v>17.248024691358022</v>
      </c>
      <c r="BE57">
        <f t="shared" si="11"/>
        <v>2.3581326877777777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1.5783700000000001</v>
      </c>
      <c r="H58" s="22">
        <v>5.8077399999999999</v>
      </c>
      <c r="I58" s="22">
        <v>-1.2329100000000001E-2</v>
      </c>
      <c r="J58" s="22">
        <v>48</v>
      </c>
      <c r="K58" s="22">
        <v>1.5777600000000001</v>
      </c>
      <c r="L58">
        <f t="shared" si="0"/>
        <v>15.22111111111111</v>
      </c>
      <c r="M58">
        <f t="shared" si="1"/>
        <v>24.024545144444442</v>
      </c>
      <c r="N58" s="9"/>
      <c r="O58" s="22">
        <v>0.14175399999999999</v>
      </c>
      <c r="P58" s="22">
        <v>9.6672100000000007</v>
      </c>
      <c r="Q58" s="22">
        <v>-1.40076E-2</v>
      </c>
      <c r="R58" s="22">
        <v>48</v>
      </c>
      <c r="S58" s="22">
        <v>0.141235</v>
      </c>
      <c r="T58">
        <f t="shared" si="2"/>
        <v>17.293333333333333</v>
      </c>
      <c r="U58">
        <f t="shared" si="3"/>
        <v>2.4513991733333333</v>
      </c>
      <c r="X58" s="9"/>
      <c r="Y58" s="22">
        <v>1.5783700000000001</v>
      </c>
      <c r="Z58" s="22">
        <v>15.251899999999999</v>
      </c>
      <c r="AA58" s="22">
        <v>-1.23932E-2</v>
      </c>
      <c r="AB58" s="22">
        <v>48</v>
      </c>
      <c r="AC58" s="22">
        <v>1.57745</v>
      </c>
      <c r="AD58">
        <f t="shared" si="4"/>
        <v>15.300246913580246</v>
      </c>
      <c r="AE58">
        <f t="shared" si="5"/>
        <v>24.149450720987652</v>
      </c>
      <c r="AF58" s="9"/>
      <c r="AG58" s="22">
        <v>0.14175399999999999</v>
      </c>
      <c r="AH58" s="22">
        <v>19.1114</v>
      </c>
      <c r="AI58" s="22">
        <v>-1.4031999999999999E-2</v>
      </c>
      <c r="AJ58" s="22">
        <v>48</v>
      </c>
      <c r="AK58" s="22">
        <v>0.141205</v>
      </c>
      <c r="AL58">
        <f t="shared" si="6"/>
        <v>17.323456790123455</v>
      </c>
      <c r="AM58">
        <f t="shared" si="7"/>
        <v>2.4556692938271603</v>
      </c>
      <c r="AP58" s="9"/>
      <c r="AQ58" s="22">
        <v>1.5783700000000001</v>
      </c>
      <c r="AR58" s="22">
        <v>24.557200000000002</v>
      </c>
      <c r="AS58" s="22">
        <v>-1.22314E-2</v>
      </c>
      <c r="AT58" s="22">
        <v>48</v>
      </c>
      <c r="AU58" s="22">
        <v>1.57684</v>
      </c>
      <c r="AV58">
        <f t="shared" si="8"/>
        <v>15.100493827160493</v>
      </c>
      <c r="AW58">
        <f t="shared" si="9"/>
        <v>23.834166441975309</v>
      </c>
      <c r="AX58" s="9"/>
      <c r="AY58" s="22">
        <v>0.14175399999999999</v>
      </c>
      <c r="AZ58" s="22">
        <v>28.416599999999999</v>
      </c>
      <c r="BA58" s="22">
        <v>-1.3974E-2</v>
      </c>
      <c r="BB58" s="22">
        <v>48</v>
      </c>
      <c r="BC58" s="22">
        <v>0.141235</v>
      </c>
      <c r="BD58">
        <f t="shared" si="10"/>
        <v>17.251851851851853</v>
      </c>
      <c r="BE58">
        <f t="shared" si="11"/>
        <v>2.4455190074074076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1.5733299999999999</v>
      </c>
      <c r="H59" s="22">
        <v>5.8178099999999997</v>
      </c>
      <c r="I59" s="22">
        <v>-1.23657E-2</v>
      </c>
      <c r="J59" s="22">
        <v>49</v>
      </c>
      <c r="K59" s="22">
        <v>1.5722700000000001</v>
      </c>
      <c r="L59">
        <f t="shared" si="0"/>
        <v>15.266296296296295</v>
      </c>
      <c r="M59">
        <f t="shared" si="1"/>
        <v>24.018921951851848</v>
      </c>
      <c r="N59" s="9"/>
      <c r="O59" s="22">
        <v>0.14679</v>
      </c>
      <c r="P59" s="22">
        <v>9.6772799999999997</v>
      </c>
      <c r="Q59" s="22">
        <v>-1.40015E-2</v>
      </c>
      <c r="R59" s="22">
        <v>49</v>
      </c>
      <c r="S59" s="22">
        <v>0.14633199999999999</v>
      </c>
      <c r="T59">
        <f t="shared" si="2"/>
        <v>17.285802469135803</v>
      </c>
      <c r="U59">
        <f t="shared" si="3"/>
        <v>2.5373829444444445</v>
      </c>
      <c r="X59" s="9"/>
      <c r="Y59" s="22">
        <v>1.5733299999999999</v>
      </c>
      <c r="Z59" s="22">
        <v>15.262</v>
      </c>
      <c r="AA59" s="22">
        <v>-1.2442E-2</v>
      </c>
      <c r="AB59" s="22">
        <v>49</v>
      </c>
      <c r="AC59" s="22">
        <v>1.57257</v>
      </c>
      <c r="AD59">
        <f t="shared" si="4"/>
        <v>15.360493827160493</v>
      </c>
      <c r="AE59">
        <f t="shared" si="5"/>
        <v>24.167125753086417</v>
      </c>
      <c r="AF59" s="9"/>
      <c r="AG59" s="22">
        <v>0.14679</v>
      </c>
      <c r="AH59" s="22">
        <v>19.121500000000001</v>
      </c>
      <c r="AI59" s="22">
        <v>-1.4041100000000001E-2</v>
      </c>
      <c r="AJ59" s="22">
        <v>49</v>
      </c>
      <c r="AK59" s="22">
        <v>0.14630099999999999</v>
      </c>
      <c r="AL59">
        <f t="shared" si="6"/>
        <v>17.334691358024692</v>
      </c>
      <c r="AM59">
        <f t="shared" si="7"/>
        <v>2.5445593444444445</v>
      </c>
      <c r="AP59" s="9"/>
      <c r="AQ59" s="22">
        <v>1.5733299999999999</v>
      </c>
      <c r="AR59" s="22">
        <v>24.5672</v>
      </c>
      <c r="AS59" s="22">
        <v>-1.2274200000000001E-2</v>
      </c>
      <c r="AT59" s="22">
        <v>49</v>
      </c>
      <c r="AU59" s="22">
        <v>1.57196</v>
      </c>
      <c r="AV59">
        <f t="shared" si="8"/>
        <v>15.153333333333332</v>
      </c>
      <c r="AW59">
        <f t="shared" si="9"/>
        <v>23.841193933333329</v>
      </c>
      <c r="AX59" s="9"/>
      <c r="AY59" s="22">
        <v>0.14679</v>
      </c>
      <c r="AZ59" s="22">
        <v>28.4267</v>
      </c>
      <c r="BA59" s="22">
        <v>-1.3974E-2</v>
      </c>
      <c r="BB59" s="22">
        <v>49</v>
      </c>
      <c r="BC59" s="22">
        <v>0.14624000000000001</v>
      </c>
      <c r="BD59">
        <f t="shared" si="10"/>
        <v>17.251851851851853</v>
      </c>
      <c r="BE59">
        <f t="shared" si="11"/>
        <v>2.5323993333333337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1.5683</v>
      </c>
      <c r="H60" s="22">
        <v>5.8278800000000004</v>
      </c>
      <c r="I60" s="22">
        <v>-1.23993E-2</v>
      </c>
      <c r="J60" s="22">
        <v>50</v>
      </c>
      <c r="K60" s="22">
        <v>1.56769</v>
      </c>
      <c r="L60">
        <f t="shared" si="0"/>
        <v>15.307777777777778</v>
      </c>
      <c r="M60">
        <f t="shared" si="1"/>
        <v>24.00718788888889</v>
      </c>
      <c r="N60" s="9"/>
      <c r="O60" s="22">
        <v>0.15182499999999999</v>
      </c>
      <c r="P60" s="22">
        <v>9.6873500000000003</v>
      </c>
      <c r="Q60" s="22">
        <v>-1.39954E-2</v>
      </c>
      <c r="R60" s="22">
        <v>50</v>
      </c>
      <c r="S60" s="22">
        <v>0.151398</v>
      </c>
      <c r="T60">
        <f t="shared" si="2"/>
        <v>17.278271604938272</v>
      </c>
      <c r="U60">
        <f t="shared" si="3"/>
        <v>2.6232735864197529</v>
      </c>
      <c r="X60" s="9"/>
      <c r="Y60" s="22">
        <v>1.5683</v>
      </c>
      <c r="Z60" s="22">
        <v>15.2721</v>
      </c>
      <c r="AA60" s="22">
        <v>-1.24847E-2</v>
      </c>
      <c r="AB60" s="22">
        <v>50</v>
      </c>
      <c r="AC60" s="22">
        <v>1.56738</v>
      </c>
      <c r="AD60">
        <f t="shared" si="4"/>
        <v>15.413209876543208</v>
      </c>
      <c r="AE60">
        <f t="shared" si="5"/>
        <v>24.172537049382715</v>
      </c>
      <c r="AF60" s="9"/>
      <c r="AG60" s="22">
        <v>0.15182499999999999</v>
      </c>
      <c r="AH60" s="22">
        <v>19.131599999999999</v>
      </c>
      <c r="AI60" s="22">
        <v>-1.4035000000000001E-2</v>
      </c>
      <c r="AJ60" s="22">
        <v>50</v>
      </c>
      <c r="AK60" s="22">
        <v>0.15124499999999999</v>
      </c>
      <c r="AL60">
        <f t="shared" si="6"/>
        <v>17.327160493827162</v>
      </c>
      <c r="AM60">
        <f t="shared" si="7"/>
        <v>2.6306961419753088</v>
      </c>
      <c r="AP60" s="9"/>
      <c r="AQ60" s="22">
        <v>1.5683</v>
      </c>
      <c r="AR60" s="22">
        <v>24.577300000000001</v>
      </c>
      <c r="AS60" s="22">
        <v>-1.2326E-2</v>
      </c>
      <c r="AT60" s="22">
        <v>50</v>
      </c>
      <c r="AU60" s="22">
        <v>1.56769</v>
      </c>
      <c r="AV60">
        <f t="shared" si="8"/>
        <v>15.217283950617283</v>
      </c>
      <c r="AW60">
        <f t="shared" si="9"/>
        <v>23.865266419753084</v>
      </c>
      <c r="AX60" s="9"/>
      <c r="AY60" s="22">
        <v>0.15182499999999999</v>
      </c>
      <c r="AZ60" s="22">
        <v>28.436800000000002</v>
      </c>
      <c r="BA60" s="22">
        <v>-1.39709E-2</v>
      </c>
      <c r="BB60" s="22">
        <v>50</v>
      </c>
      <c r="BC60" s="22">
        <v>0.151367</v>
      </c>
      <c r="BD60">
        <f t="shared" si="10"/>
        <v>17.248024691358022</v>
      </c>
      <c r="BE60">
        <f t="shared" si="11"/>
        <v>2.6186813487654317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1.5632600000000001</v>
      </c>
      <c r="H61" s="22">
        <v>5.8379500000000002</v>
      </c>
      <c r="I61" s="22">
        <v>-1.24359E-2</v>
      </c>
      <c r="J61" s="22">
        <v>51</v>
      </c>
      <c r="K61" s="22">
        <v>1.5625</v>
      </c>
      <c r="L61">
        <f t="shared" si="0"/>
        <v>15.352962962962962</v>
      </c>
      <c r="M61">
        <f t="shared" si="1"/>
        <v>24.000672881481481</v>
      </c>
      <c r="N61" s="9"/>
      <c r="O61" s="22">
        <v>0.15686</v>
      </c>
      <c r="P61" s="22">
        <v>9.6974199999999993</v>
      </c>
      <c r="Q61" s="22">
        <v>-1.3983199999999999E-2</v>
      </c>
      <c r="R61" s="22">
        <v>51</v>
      </c>
      <c r="S61" s="22">
        <v>0.15631100000000001</v>
      </c>
      <c r="T61">
        <f t="shared" si="2"/>
        <v>17.263209876543208</v>
      </c>
      <c r="U61">
        <f t="shared" si="3"/>
        <v>2.7079071012345675</v>
      </c>
      <c r="X61" s="9"/>
      <c r="Y61" s="22">
        <v>1.5632600000000001</v>
      </c>
      <c r="Z61" s="22">
        <v>15.2822</v>
      </c>
      <c r="AA61" s="22">
        <v>-1.25244E-2</v>
      </c>
      <c r="AB61" s="22">
        <v>51</v>
      </c>
      <c r="AC61" s="22">
        <v>1.56219</v>
      </c>
      <c r="AD61">
        <f t="shared" si="4"/>
        <v>15.462222222222222</v>
      </c>
      <c r="AE61">
        <f t="shared" si="5"/>
        <v>24.171473511111113</v>
      </c>
      <c r="AF61" s="9"/>
      <c r="AG61" s="22">
        <v>0.15686</v>
      </c>
      <c r="AH61" s="22">
        <v>19.1416</v>
      </c>
      <c r="AI61" s="22">
        <v>-1.4035000000000001E-2</v>
      </c>
      <c r="AJ61" s="22">
        <v>51</v>
      </c>
      <c r="AK61" s="22">
        <v>0.156281</v>
      </c>
      <c r="AL61">
        <f t="shared" si="6"/>
        <v>17.327160493827162</v>
      </c>
      <c r="AM61">
        <f t="shared" si="7"/>
        <v>2.7179383950617284</v>
      </c>
      <c r="AP61" s="9"/>
      <c r="AQ61" s="22">
        <v>1.5632600000000001</v>
      </c>
      <c r="AR61" s="22">
        <v>24.587399999999999</v>
      </c>
      <c r="AS61" s="22">
        <v>-1.2371800000000001E-2</v>
      </c>
      <c r="AT61" s="22">
        <v>51</v>
      </c>
      <c r="AU61" s="22">
        <v>1.5625</v>
      </c>
      <c r="AV61">
        <f t="shared" si="8"/>
        <v>15.273827160493827</v>
      </c>
      <c r="AW61">
        <f t="shared" si="9"/>
        <v>23.876963046913581</v>
      </c>
      <c r="AX61" s="9"/>
      <c r="AY61" s="22">
        <v>0.15686</v>
      </c>
      <c r="AZ61" s="22">
        <v>28.446899999999999</v>
      </c>
      <c r="BA61" s="22">
        <v>-1.3964799999999999E-2</v>
      </c>
      <c r="BB61" s="22">
        <v>51</v>
      </c>
      <c r="BC61" s="22">
        <v>0.15640299999999999</v>
      </c>
      <c r="BD61">
        <f t="shared" si="10"/>
        <v>17.240493827160492</v>
      </c>
      <c r="BE61">
        <f t="shared" si="11"/>
        <v>2.7043438617283946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1.55823</v>
      </c>
      <c r="H62" s="22">
        <v>5.84802</v>
      </c>
      <c r="I62" s="22">
        <v>-1.24756E-2</v>
      </c>
      <c r="J62" s="22">
        <v>52</v>
      </c>
      <c r="K62" s="22">
        <v>1.55762</v>
      </c>
      <c r="L62">
        <f t="shared" si="0"/>
        <v>15.401975308641974</v>
      </c>
      <c r="M62">
        <f t="shared" si="1"/>
        <v>23.999819985185184</v>
      </c>
      <c r="N62" s="9"/>
      <c r="O62" s="22">
        <v>0.16189600000000001</v>
      </c>
      <c r="P62" s="22">
        <v>9.7074999999999996</v>
      </c>
      <c r="Q62" s="22">
        <v>-1.3980100000000001E-2</v>
      </c>
      <c r="R62" s="22">
        <v>52</v>
      </c>
      <c r="S62" s="22">
        <v>0.16137699999999999</v>
      </c>
      <c r="T62">
        <f t="shared" si="2"/>
        <v>17.259382716049384</v>
      </c>
      <c r="U62">
        <f t="shared" si="3"/>
        <v>2.794225024197531</v>
      </c>
      <c r="X62" s="9"/>
      <c r="Y62" s="22">
        <v>1.55823</v>
      </c>
      <c r="Z62" s="22">
        <v>15.292199999999999</v>
      </c>
      <c r="AA62" s="22">
        <v>-1.2567099999999999E-2</v>
      </c>
      <c r="AB62" s="22">
        <v>52</v>
      </c>
      <c r="AC62" s="22">
        <v>1.55731</v>
      </c>
      <c r="AD62">
        <f t="shared" si="4"/>
        <v>15.514938271604937</v>
      </c>
      <c r="AE62">
        <f t="shared" si="5"/>
        <v>24.175842262962959</v>
      </c>
      <c r="AF62" s="9"/>
      <c r="AG62" s="22">
        <v>0.16189600000000001</v>
      </c>
      <c r="AH62" s="22">
        <v>19.151700000000002</v>
      </c>
      <c r="AI62" s="22">
        <v>-1.40381E-2</v>
      </c>
      <c r="AJ62" s="22">
        <v>52</v>
      </c>
      <c r="AK62" s="22">
        <v>0.16134599999999999</v>
      </c>
      <c r="AL62">
        <f t="shared" si="6"/>
        <v>17.330987654320985</v>
      </c>
      <c r="AM62">
        <f t="shared" si="7"/>
        <v>2.8058175772839506</v>
      </c>
      <c r="AP62" s="9"/>
      <c r="AQ62" s="22">
        <v>1.55823</v>
      </c>
      <c r="AR62" s="22">
        <v>24.5975</v>
      </c>
      <c r="AS62" s="22">
        <v>-1.24207E-2</v>
      </c>
      <c r="AT62" s="22">
        <v>52</v>
      </c>
      <c r="AU62" s="22">
        <v>1.55762</v>
      </c>
      <c r="AV62">
        <f t="shared" si="8"/>
        <v>15.334197530864195</v>
      </c>
      <c r="AW62">
        <f t="shared" si="9"/>
        <v>23.894206618518513</v>
      </c>
      <c r="AX62" s="9"/>
      <c r="AY62" s="22">
        <v>0.16189600000000001</v>
      </c>
      <c r="AZ62" s="22">
        <v>28.456900000000001</v>
      </c>
      <c r="BA62" s="22">
        <v>-1.39618E-2</v>
      </c>
      <c r="BB62" s="22">
        <v>52</v>
      </c>
      <c r="BC62" s="22">
        <v>0.16137699999999999</v>
      </c>
      <c r="BD62">
        <f t="shared" si="10"/>
        <v>17.236790123456789</v>
      </c>
      <c r="BE62">
        <f t="shared" si="11"/>
        <v>2.7905673738271606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1.5531900000000001</v>
      </c>
      <c r="H63" s="22">
        <v>5.8580899999999998</v>
      </c>
      <c r="I63" s="22">
        <v>-1.2512199999999999E-2</v>
      </c>
      <c r="J63" s="22">
        <v>53</v>
      </c>
      <c r="K63" s="22">
        <v>1.55243</v>
      </c>
      <c r="L63">
        <f t="shared" si="0"/>
        <v>15.447160493827159</v>
      </c>
      <c r="M63">
        <f t="shared" si="1"/>
        <v>23.992375207407406</v>
      </c>
      <c r="N63" s="9"/>
      <c r="O63" s="22">
        <v>0.166931</v>
      </c>
      <c r="P63" s="22">
        <v>9.7175700000000003</v>
      </c>
      <c r="Q63" s="22">
        <v>-1.3986200000000001E-2</v>
      </c>
      <c r="R63" s="22">
        <v>53</v>
      </c>
      <c r="S63" s="22">
        <v>0.166321</v>
      </c>
      <c r="T63">
        <f t="shared" si="2"/>
        <v>17.266913580246914</v>
      </c>
      <c r="U63">
        <f t="shared" si="3"/>
        <v>2.8823831508641975</v>
      </c>
      <c r="X63" s="9"/>
      <c r="Y63" s="22">
        <v>1.5531900000000001</v>
      </c>
      <c r="Z63" s="22">
        <v>15.302300000000001</v>
      </c>
      <c r="AA63" s="22">
        <v>-1.26038E-2</v>
      </c>
      <c r="AB63" s="22">
        <v>53</v>
      </c>
      <c r="AC63" s="22">
        <v>1.5521199999999999</v>
      </c>
      <c r="AD63">
        <f t="shared" si="4"/>
        <v>15.560246913580245</v>
      </c>
      <c r="AE63">
        <f t="shared" si="5"/>
        <v>24.168019903703701</v>
      </c>
      <c r="AF63" s="9"/>
      <c r="AG63" s="22">
        <v>0.166931</v>
      </c>
      <c r="AH63" s="22">
        <v>19.161799999999999</v>
      </c>
      <c r="AI63" s="22">
        <v>-1.40381E-2</v>
      </c>
      <c r="AJ63" s="22">
        <v>53</v>
      </c>
      <c r="AK63" s="22">
        <v>0.166382</v>
      </c>
      <c r="AL63">
        <f t="shared" si="6"/>
        <v>17.330987654320985</v>
      </c>
      <c r="AM63">
        <f t="shared" si="7"/>
        <v>2.8930791001234564</v>
      </c>
      <c r="AP63" s="9"/>
      <c r="AQ63" s="22">
        <v>1.5531900000000001</v>
      </c>
      <c r="AR63" s="22">
        <v>24.607500000000002</v>
      </c>
      <c r="AS63" s="22">
        <v>-1.24695E-2</v>
      </c>
      <c r="AT63" s="22">
        <v>53</v>
      </c>
      <c r="AU63" s="22">
        <v>1.5521199999999999</v>
      </c>
      <c r="AV63">
        <f t="shared" si="8"/>
        <v>15.394444444444444</v>
      </c>
      <c r="AW63">
        <f t="shared" si="9"/>
        <v>23.910497166666666</v>
      </c>
      <c r="AX63" s="9"/>
      <c r="AY63" s="22">
        <v>0.166931</v>
      </c>
      <c r="AZ63" s="22">
        <v>28.466999999999999</v>
      </c>
      <c r="BA63" s="22">
        <v>-1.3974E-2</v>
      </c>
      <c r="BB63" s="22">
        <v>53</v>
      </c>
      <c r="BC63" s="22">
        <v>0.16644300000000001</v>
      </c>
      <c r="BD63">
        <f t="shared" si="10"/>
        <v>17.251851851851853</v>
      </c>
      <c r="BE63">
        <f t="shared" si="11"/>
        <v>2.8798688814814817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1.54816</v>
      </c>
      <c r="H64" s="22">
        <v>5.8681599999999996</v>
      </c>
      <c r="I64" s="22">
        <v>-1.2545799999999999E-2</v>
      </c>
      <c r="J64" s="22">
        <v>54</v>
      </c>
      <c r="K64" s="22">
        <v>1.5466299999999999</v>
      </c>
      <c r="L64">
        <f t="shared" si="0"/>
        <v>15.48864197530864</v>
      </c>
      <c r="M64">
        <f t="shared" si="1"/>
        <v>23.978895960493823</v>
      </c>
      <c r="N64" s="9"/>
      <c r="O64" s="22">
        <v>0.17196700000000001</v>
      </c>
      <c r="P64" s="22">
        <v>9.7276399999999992</v>
      </c>
      <c r="Q64" s="22">
        <v>-1.3974E-2</v>
      </c>
      <c r="R64" s="22">
        <v>54</v>
      </c>
      <c r="S64" s="22">
        <v>0.17141700000000001</v>
      </c>
      <c r="T64">
        <f t="shared" si="2"/>
        <v>17.251851851851853</v>
      </c>
      <c r="U64">
        <f t="shared" si="3"/>
        <v>2.9667492074074078</v>
      </c>
      <c r="X64" s="9"/>
      <c r="Y64" s="22">
        <v>1.54816</v>
      </c>
      <c r="Z64" s="22">
        <v>15.3124</v>
      </c>
      <c r="AA64" s="22">
        <v>-1.26465E-2</v>
      </c>
      <c r="AB64" s="22">
        <v>54</v>
      </c>
      <c r="AC64" s="22">
        <v>1.5472399999999999</v>
      </c>
      <c r="AD64">
        <f t="shared" si="4"/>
        <v>15.612962962962962</v>
      </c>
      <c r="AE64">
        <f t="shared" si="5"/>
        <v>24.171364740740739</v>
      </c>
      <c r="AF64" s="9"/>
      <c r="AG64" s="22">
        <v>0.17196700000000001</v>
      </c>
      <c r="AH64" s="22">
        <v>19.171800000000001</v>
      </c>
      <c r="AI64" s="22">
        <v>-1.40289E-2</v>
      </c>
      <c r="AJ64" s="22">
        <v>54</v>
      </c>
      <c r="AK64" s="22">
        <v>0.17147799999999999</v>
      </c>
      <c r="AL64">
        <f t="shared" si="6"/>
        <v>17.319629629629631</v>
      </c>
      <c r="AM64">
        <f t="shared" si="7"/>
        <v>2.978404748518519</v>
      </c>
      <c r="AP64" s="9"/>
      <c r="AQ64" s="22">
        <v>1.54816</v>
      </c>
      <c r="AR64" s="22">
        <v>24.617599999999999</v>
      </c>
      <c r="AS64" s="22">
        <v>-1.25183E-2</v>
      </c>
      <c r="AT64" s="22">
        <v>54</v>
      </c>
      <c r="AU64" s="22">
        <v>1.54755</v>
      </c>
      <c r="AV64">
        <f t="shared" si="8"/>
        <v>15.454691358024689</v>
      </c>
      <c r="AW64">
        <f t="shared" si="9"/>
        <v>23.926334972839502</v>
      </c>
      <c r="AX64" s="9"/>
      <c r="AY64" s="22">
        <v>0.17196700000000001</v>
      </c>
      <c r="AZ64" s="22">
        <v>28.4771</v>
      </c>
      <c r="BA64" s="22">
        <v>-1.3974E-2</v>
      </c>
      <c r="BB64" s="22">
        <v>54</v>
      </c>
      <c r="BC64" s="22">
        <v>0.17141700000000001</v>
      </c>
      <c r="BD64">
        <f t="shared" si="10"/>
        <v>17.251851851851853</v>
      </c>
      <c r="BE64">
        <f t="shared" si="11"/>
        <v>2.9667492074074078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1.54312</v>
      </c>
      <c r="H65" s="22">
        <v>5.8782300000000003</v>
      </c>
      <c r="I65" s="22">
        <v>-1.25793E-2</v>
      </c>
      <c r="J65" s="22">
        <v>55</v>
      </c>
      <c r="K65" s="22">
        <v>1.5420499999999999</v>
      </c>
      <c r="L65">
        <f t="shared" si="0"/>
        <v>15.53</v>
      </c>
      <c r="M65">
        <f t="shared" si="1"/>
        <v>23.964653599999998</v>
      </c>
      <c r="N65" s="9"/>
      <c r="O65" s="22">
        <v>0.17700199999999999</v>
      </c>
      <c r="P65" s="22">
        <v>9.7377099999999999</v>
      </c>
      <c r="Q65" s="22">
        <v>-1.39618E-2</v>
      </c>
      <c r="R65" s="22">
        <v>55</v>
      </c>
      <c r="S65" s="22">
        <v>0.176483</v>
      </c>
      <c r="T65">
        <f t="shared" si="2"/>
        <v>17.236790123456789</v>
      </c>
      <c r="U65">
        <f t="shared" si="3"/>
        <v>3.0509463254320983</v>
      </c>
      <c r="X65" s="9"/>
      <c r="Y65" s="22">
        <v>1.54312</v>
      </c>
      <c r="Z65" s="22">
        <v>15.3224</v>
      </c>
      <c r="AA65" s="22">
        <v>-1.26862E-2</v>
      </c>
      <c r="AB65" s="22">
        <v>55</v>
      </c>
      <c r="AC65" s="22">
        <v>1.5420499999999999</v>
      </c>
      <c r="AD65">
        <f t="shared" si="4"/>
        <v>15.661975308641974</v>
      </c>
      <c r="AE65">
        <f t="shared" si="5"/>
        <v>24.168307338271603</v>
      </c>
      <c r="AF65" s="9"/>
      <c r="AG65" s="22">
        <v>0.17700199999999999</v>
      </c>
      <c r="AH65" s="22">
        <v>19.181899999999999</v>
      </c>
      <c r="AI65" s="22">
        <v>-1.40167E-2</v>
      </c>
      <c r="AJ65" s="22">
        <v>55</v>
      </c>
      <c r="AK65" s="22">
        <v>0.176483</v>
      </c>
      <c r="AL65">
        <f t="shared" si="6"/>
        <v>17.304567901234567</v>
      </c>
      <c r="AM65">
        <f t="shared" si="7"/>
        <v>3.0629431276543206</v>
      </c>
      <c r="AP65" s="9"/>
      <c r="AQ65" s="22">
        <v>1.54312</v>
      </c>
      <c r="AR65" s="22">
        <v>24.627700000000001</v>
      </c>
      <c r="AS65" s="22">
        <v>-1.2558E-2</v>
      </c>
      <c r="AT65" s="22">
        <v>55</v>
      </c>
      <c r="AU65" s="22">
        <v>1.54236</v>
      </c>
      <c r="AV65">
        <f t="shared" si="8"/>
        <v>15.503703703703701</v>
      </c>
      <c r="AW65">
        <f t="shared" si="9"/>
        <v>23.924075259259258</v>
      </c>
      <c r="AX65" s="9"/>
      <c r="AY65" s="22">
        <v>0.17700199999999999</v>
      </c>
      <c r="AZ65" s="22">
        <v>28.487100000000002</v>
      </c>
      <c r="BA65" s="22">
        <v>-1.39709E-2</v>
      </c>
      <c r="BB65" s="22">
        <v>55</v>
      </c>
      <c r="BC65" s="22">
        <v>0.176453</v>
      </c>
      <c r="BD65">
        <f t="shared" si="10"/>
        <v>17.248024691358022</v>
      </c>
      <c r="BE65">
        <f t="shared" si="11"/>
        <v>3.0529348664197524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1.53809</v>
      </c>
      <c r="H66" s="22">
        <v>5.8883099999999997</v>
      </c>
      <c r="I66" s="22">
        <v>-1.26129E-2</v>
      </c>
      <c r="J66" s="22">
        <v>56</v>
      </c>
      <c r="K66" s="22">
        <v>1.5371699999999999</v>
      </c>
      <c r="L66">
        <f t="shared" si="0"/>
        <v>15.571481481481479</v>
      </c>
      <c r="M66">
        <f t="shared" si="1"/>
        <v>23.950339951851848</v>
      </c>
      <c r="N66" s="9"/>
      <c r="O66" s="22">
        <v>0.182037</v>
      </c>
      <c r="P66" s="22">
        <v>9.7477800000000006</v>
      </c>
      <c r="Q66" s="22">
        <v>-1.39496E-2</v>
      </c>
      <c r="R66" s="22">
        <v>56</v>
      </c>
      <c r="S66" s="22">
        <v>0.18157999999999999</v>
      </c>
      <c r="T66">
        <f t="shared" si="2"/>
        <v>17.221728395061724</v>
      </c>
      <c r="U66">
        <f t="shared" si="3"/>
        <v>3.1349917718518512</v>
      </c>
      <c r="X66" s="9"/>
      <c r="Y66" s="22">
        <v>1.53809</v>
      </c>
      <c r="Z66" s="22">
        <v>15.3325</v>
      </c>
      <c r="AA66" s="22">
        <v>-1.2710600000000001E-2</v>
      </c>
      <c r="AB66" s="22">
        <v>56</v>
      </c>
      <c r="AC66" s="22">
        <v>1.5371699999999999</v>
      </c>
      <c r="AD66">
        <f t="shared" si="4"/>
        <v>15.692098765432098</v>
      </c>
      <c r="AE66">
        <f t="shared" si="5"/>
        <v>24.135860190123456</v>
      </c>
      <c r="AF66" s="9"/>
      <c r="AG66" s="22">
        <v>0.182037</v>
      </c>
      <c r="AH66" s="22">
        <v>19.192</v>
      </c>
      <c r="AI66" s="22">
        <v>-1.40106E-2</v>
      </c>
      <c r="AJ66" s="22">
        <v>56</v>
      </c>
      <c r="AK66" s="22">
        <v>0.18145800000000001</v>
      </c>
      <c r="AL66">
        <f t="shared" si="6"/>
        <v>17.297037037037036</v>
      </c>
      <c r="AM66">
        <f t="shared" si="7"/>
        <v>3.148700731111111</v>
      </c>
      <c r="AP66" s="9"/>
      <c r="AQ66" s="22">
        <v>1.53809</v>
      </c>
      <c r="AR66" s="22">
        <v>24.637699999999999</v>
      </c>
      <c r="AS66" s="22">
        <v>-1.25977E-2</v>
      </c>
      <c r="AT66" s="22">
        <v>56</v>
      </c>
      <c r="AU66" s="22">
        <v>1.5371699999999999</v>
      </c>
      <c r="AV66">
        <f t="shared" si="8"/>
        <v>15.552716049382715</v>
      </c>
      <c r="AW66">
        <f t="shared" si="9"/>
        <v>23.92147702839506</v>
      </c>
      <c r="AX66" s="9"/>
      <c r="AY66" s="22">
        <v>0.182037</v>
      </c>
      <c r="AZ66" s="22">
        <v>28.497199999999999</v>
      </c>
      <c r="BA66" s="22">
        <v>-1.39709E-2</v>
      </c>
      <c r="BB66" s="22">
        <v>56</v>
      </c>
      <c r="BC66" s="22">
        <v>0.18151900000000001</v>
      </c>
      <c r="BD66">
        <f t="shared" si="10"/>
        <v>17.248024691358022</v>
      </c>
      <c r="BE66">
        <f t="shared" si="11"/>
        <v>3.1397786707407405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1.53305</v>
      </c>
      <c r="H67" s="22">
        <v>5.8983800000000004</v>
      </c>
      <c r="I67" s="22">
        <v>-1.26404E-2</v>
      </c>
      <c r="J67" s="22">
        <v>57</v>
      </c>
      <c r="K67" s="22">
        <v>1.5325899999999999</v>
      </c>
      <c r="L67">
        <f t="shared" si="0"/>
        <v>15.60543209876543</v>
      </c>
      <c r="M67">
        <f t="shared" si="1"/>
        <v>23.923907679012341</v>
      </c>
      <c r="N67" s="9"/>
      <c r="O67" s="22">
        <v>0.18707299999999999</v>
      </c>
      <c r="P67" s="22">
        <v>9.7578499999999995</v>
      </c>
      <c r="Q67" s="22">
        <v>-1.3943499999999999E-2</v>
      </c>
      <c r="R67" s="22">
        <v>57</v>
      </c>
      <c r="S67" s="22">
        <v>0.18646199999999999</v>
      </c>
      <c r="T67">
        <f t="shared" si="2"/>
        <v>17.214197530864197</v>
      </c>
      <c r="U67">
        <f t="shared" si="3"/>
        <v>3.2203115746913578</v>
      </c>
      <c r="X67" s="9"/>
      <c r="Y67" s="22">
        <v>1.53305</v>
      </c>
      <c r="Z67" s="22">
        <v>15.342599999999999</v>
      </c>
      <c r="AA67" s="22">
        <v>-1.2735E-2</v>
      </c>
      <c r="AB67" s="22">
        <v>57</v>
      </c>
      <c r="AC67" s="22">
        <v>1.5319799999999999</v>
      </c>
      <c r="AD67">
        <f t="shared" si="4"/>
        <v>15.722222222222221</v>
      </c>
      <c r="AE67">
        <f t="shared" si="5"/>
        <v>24.102952777777777</v>
      </c>
      <c r="AF67" s="9"/>
      <c r="AG67" s="22">
        <v>0.18707299999999999</v>
      </c>
      <c r="AH67" s="22">
        <v>19.202100000000002</v>
      </c>
      <c r="AI67" s="22">
        <v>-1.40076E-2</v>
      </c>
      <c r="AJ67" s="22">
        <v>57</v>
      </c>
      <c r="AK67" s="22">
        <v>0.18649299999999999</v>
      </c>
      <c r="AL67">
        <f t="shared" si="6"/>
        <v>17.293333333333333</v>
      </c>
      <c r="AM67">
        <f t="shared" si="7"/>
        <v>3.2351157466666662</v>
      </c>
      <c r="AP67" s="9"/>
      <c r="AQ67" s="22">
        <v>1.53305</v>
      </c>
      <c r="AR67" s="22">
        <v>24.6478</v>
      </c>
      <c r="AS67" s="22">
        <v>-1.26251E-2</v>
      </c>
      <c r="AT67" s="22">
        <v>57</v>
      </c>
      <c r="AU67" s="22">
        <v>1.5319799999999999</v>
      </c>
      <c r="AV67">
        <f t="shared" si="8"/>
        <v>15.586543209876544</v>
      </c>
      <c r="AW67">
        <f t="shared" si="9"/>
        <v>23.894950067901235</v>
      </c>
      <c r="AX67" s="9"/>
      <c r="AY67" s="22">
        <v>0.18707299999999999</v>
      </c>
      <c r="AZ67" s="22">
        <v>28.507300000000001</v>
      </c>
      <c r="BA67" s="22">
        <v>-1.39679E-2</v>
      </c>
      <c r="BB67" s="22">
        <v>57</v>
      </c>
      <c r="BC67" s="22">
        <v>0.18652299999999999</v>
      </c>
      <c r="BD67">
        <f t="shared" si="10"/>
        <v>17.244320987654319</v>
      </c>
      <c r="BE67">
        <f t="shared" si="11"/>
        <v>3.2259468601234564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1.5280199999999999</v>
      </c>
      <c r="H68" s="22">
        <v>5.9084500000000002</v>
      </c>
      <c r="I68" s="22">
        <v>-1.26678E-2</v>
      </c>
      <c r="J68" s="22">
        <v>58</v>
      </c>
      <c r="K68" s="22">
        <v>1.5267900000000001</v>
      </c>
      <c r="L68">
        <f t="shared" si="0"/>
        <v>15.639259259259259</v>
      </c>
      <c r="M68">
        <f t="shared" si="1"/>
        <v>23.897100933333331</v>
      </c>
      <c r="N68" s="9"/>
      <c r="O68" s="22">
        <v>0.192108</v>
      </c>
      <c r="P68" s="22">
        <v>9.7679200000000002</v>
      </c>
      <c r="Q68" s="22">
        <v>-1.3952600000000001E-2</v>
      </c>
      <c r="R68" s="22">
        <v>58</v>
      </c>
      <c r="S68" s="22">
        <v>0.19158900000000001</v>
      </c>
      <c r="T68">
        <f t="shared" si="2"/>
        <v>17.225432098765431</v>
      </c>
      <c r="U68">
        <f t="shared" si="3"/>
        <v>3.3091433096296297</v>
      </c>
      <c r="X68" s="9"/>
      <c r="Y68" s="22">
        <v>1.5280199999999999</v>
      </c>
      <c r="Z68" s="22">
        <v>15.3527</v>
      </c>
      <c r="AA68" s="22">
        <v>-1.27625E-2</v>
      </c>
      <c r="AB68" s="22">
        <v>58</v>
      </c>
      <c r="AC68" s="22">
        <v>1.5270999999999999</v>
      </c>
      <c r="AD68">
        <f t="shared" si="4"/>
        <v>15.756172839506172</v>
      </c>
      <c r="AE68">
        <f t="shared" si="5"/>
        <v>24.075747222222219</v>
      </c>
      <c r="AF68" s="9"/>
      <c r="AG68" s="22">
        <v>0.192108</v>
      </c>
      <c r="AH68" s="22">
        <v>19.2121</v>
      </c>
      <c r="AI68" s="22">
        <v>-1.40076E-2</v>
      </c>
      <c r="AJ68" s="22">
        <v>58</v>
      </c>
      <c r="AK68" s="22">
        <v>0.19155900000000001</v>
      </c>
      <c r="AL68">
        <f t="shared" si="6"/>
        <v>17.293333333333333</v>
      </c>
      <c r="AM68">
        <f t="shared" si="7"/>
        <v>3.3221876799999999</v>
      </c>
      <c r="AP68" s="9"/>
      <c r="AQ68" s="22">
        <v>1.5280199999999999</v>
      </c>
      <c r="AR68" s="22">
        <v>24.657900000000001</v>
      </c>
      <c r="AS68" s="22">
        <v>-1.26526E-2</v>
      </c>
      <c r="AT68" s="22">
        <v>58</v>
      </c>
      <c r="AU68" s="22">
        <v>1.5274000000000001</v>
      </c>
      <c r="AV68">
        <f t="shared" si="8"/>
        <v>15.620493827160493</v>
      </c>
      <c r="AW68">
        <f t="shared" si="9"/>
        <v>23.868426977777776</v>
      </c>
      <c r="AX68" s="9"/>
      <c r="AY68" s="22">
        <v>0.192108</v>
      </c>
      <c r="AZ68" s="22">
        <v>28.517399999999999</v>
      </c>
      <c r="BA68" s="22">
        <v>-1.3974E-2</v>
      </c>
      <c r="BB68" s="22">
        <v>58</v>
      </c>
      <c r="BC68" s="22">
        <v>0.19162000000000001</v>
      </c>
      <c r="BD68">
        <f t="shared" si="10"/>
        <v>17.251851851851853</v>
      </c>
      <c r="BE68">
        <f t="shared" si="11"/>
        <v>3.3142187555555558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1.52298</v>
      </c>
      <c r="H69" s="22">
        <v>5.91852</v>
      </c>
      <c r="I69" s="22">
        <v>-1.26923E-2</v>
      </c>
      <c r="J69" s="22">
        <v>59</v>
      </c>
      <c r="K69" s="22">
        <v>1.5219100000000001</v>
      </c>
      <c r="L69">
        <f t="shared" si="0"/>
        <v>15.669506172839506</v>
      </c>
      <c r="M69">
        <f t="shared" si="1"/>
        <v>23.86434451111111</v>
      </c>
      <c r="N69" s="9"/>
      <c r="O69" s="22">
        <v>0.19714400000000001</v>
      </c>
      <c r="P69" s="22">
        <v>9.7779900000000008</v>
      </c>
      <c r="Q69" s="22">
        <v>-1.39557E-2</v>
      </c>
      <c r="R69" s="22">
        <v>59</v>
      </c>
      <c r="S69" s="22">
        <v>0.196655</v>
      </c>
      <c r="T69">
        <f t="shared" si="2"/>
        <v>17.229259259259258</v>
      </c>
      <c r="U69">
        <f t="shared" si="3"/>
        <v>3.3966450874074074</v>
      </c>
      <c r="X69" s="9"/>
      <c r="Y69" s="22">
        <v>1.52298</v>
      </c>
      <c r="Z69" s="22">
        <v>15.3627</v>
      </c>
      <c r="AA69" s="22">
        <v>-1.27899E-2</v>
      </c>
      <c r="AB69" s="22">
        <v>59</v>
      </c>
      <c r="AC69" s="22">
        <v>1.5216099999999999</v>
      </c>
      <c r="AD69">
        <f t="shared" si="4"/>
        <v>15.79</v>
      </c>
      <c r="AE69">
        <f t="shared" si="5"/>
        <v>24.0478542</v>
      </c>
      <c r="AF69" s="9"/>
      <c r="AG69" s="22">
        <v>0.19714400000000001</v>
      </c>
      <c r="AH69" s="22">
        <v>19.222200000000001</v>
      </c>
      <c r="AI69" s="22">
        <v>-1.40137E-2</v>
      </c>
      <c r="AJ69" s="22">
        <v>59</v>
      </c>
      <c r="AK69" s="22">
        <v>0.19656399999999999</v>
      </c>
      <c r="AL69">
        <f t="shared" si="6"/>
        <v>17.300864197530863</v>
      </c>
      <c r="AM69">
        <f t="shared" si="7"/>
        <v>3.4107615713580248</v>
      </c>
      <c r="AP69" s="9"/>
      <c r="AQ69" s="22">
        <v>1.52298</v>
      </c>
      <c r="AR69" s="22">
        <v>24.667999999999999</v>
      </c>
      <c r="AS69" s="22">
        <v>-1.2683099999999999E-2</v>
      </c>
      <c r="AT69" s="22">
        <v>59</v>
      </c>
      <c r="AU69" s="22">
        <v>1.5225200000000001</v>
      </c>
      <c r="AV69">
        <f t="shared" si="8"/>
        <v>15.658148148148147</v>
      </c>
      <c r="AW69">
        <f t="shared" si="9"/>
        <v>23.847046466666665</v>
      </c>
      <c r="AX69" s="9"/>
      <c r="AY69" s="22">
        <v>0.19714400000000001</v>
      </c>
      <c r="AZ69" s="22">
        <v>28.5274</v>
      </c>
      <c r="BA69" s="22">
        <v>-1.3977099999999999E-2</v>
      </c>
      <c r="BB69" s="22">
        <v>59</v>
      </c>
      <c r="BC69" s="22">
        <v>0.19662499999999999</v>
      </c>
      <c r="BD69">
        <f t="shared" si="10"/>
        <v>17.255679012345677</v>
      </c>
      <c r="BE69">
        <f t="shared" si="11"/>
        <v>3.4018535832098764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1.5179400000000001</v>
      </c>
      <c r="H70" s="22">
        <v>5.9285899999999998</v>
      </c>
      <c r="I70" s="22">
        <v>-1.27197E-2</v>
      </c>
      <c r="J70" s="22">
        <v>60</v>
      </c>
      <c r="K70" s="22">
        <v>1.5167200000000001</v>
      </c>
      <c r="L70">
        <f t="shared" si="0"/>
        <v>15.703333333333333</v>
      </c>
      <c r="M70">
        <f t="shared" si="1"/>
        <v>23.836717800000002</v>
      </c>
      <c r="N70" s="9"/>
      <c r="O70" s="22">
        <v>0.202179</v>
      </c>
      <c r="P70" s="22">
        <v>9.7880599999999998</v>
      </c>
      <c r="Q70" s="22">
        <v>-1.39618E-2</v>
      </c>
      <c r="R70" s="22">
        <v>60</v>
      </c>
      <c r="S70" s="22">
        <v>0.201599</v>
      </c>
      <c r="T70">
        <f t="shared" si="2"/>
        <v>17.236790123456789</v>
      </c>
      <c r="U70">
        <f t="shared" si="3"/>
        <v>3.4849169903703703</v>
      </c>
      <c r="X70" s="9"/>
      <c r="Y70" s="22">
        <v>1.5179400000000001</v>
      </c>
      <c r="Z70" s="22">
        <v>15.3728</v>
      </c>
      <c r="AA70" s="22">
        <v>-1.2805199999999999E-2</v>
      </c>
      <c r="AB70" s="22">
        <v>60</v>
      </c>
      <c r="AC70" s="22">
        <v>1.5170300000000001</v>
      </c>
      <c r="AD70">
        <f t="shared" si="4"/>
        <v>15.808888888888886</v>
      </c>
      <c r="AE70">
        <f t="shared" si="5"/>
        <v>23.996944799999998</v>
      </c>
      <c r="AF70" s="9"/>
      <c r="AG70" s="22">
        <v>0.202179</v>
      </c>
      <c r="AH70" s="22">
        <v>19.232299999999999</v>
      </c>
      <c r="AI70" s="22">
        <v>-1.40137E-2</v>
      </c>
      <c r="AJ70" s="22">
        <v>60</v>
      </c>
      <c r="AK70" s="22">
        <v>0.20153799999999999</v>
      </c>
      <c r="AL70">
        <f t="shared" si="6"/>
        <v>17.300864197530863</v>
      </c>
      <c r="AM70">
        <f t="shared" si="7"/>
        <v>3.4978714225925924</v>
      </c>
      <c r="AP70" s="9"/>
      <c r="AQ70" s="22">
        <v>1.5179400000000001</v>
      </c>
      <c r="AR70" s="22">
        <v>24.678000000000001</v>
      </c>
      <c r="AS70" s="22">
        <v>-1.2722799999999999E-2</v>
      </c>
      <c r="AT70" s="22">
        <v>60</v>
      </c>
      <c r="AU70" s="22">
        <v>1.5173300000000001</v>
      </c>
      <c r="AV70">
        <f t="shared" si="8"/>
        <v>15.707160493827157</v>
      </c>
      <c r="AW70">
        <f t="shared" si="9"/>
        <v>23.842527199999996</v>
      </c>
      <c r="AX70" s="9"/>
      <c r="AY70" s="22">
        <v>0.202179</v>
      </c>
      <c r="AZ70" s="22">
        <v>28.537500000000001</v>
      </c>
      <c r="BA70" s="22">
        <v>-1.3983199999999999E-2</v>
      </c>
      <c r="BB70" s="22">
        <v>60</v>
      </c>
      <c r="BC70" s="22">
        <v>0.20163</v>
      </c>
      <c r="BD70">
        <f t="shared" si="10"/>
        <v>17.263209876543208</v>
      </c>
      <c r="BE70">
        <f t="shared" si="11"/>
        <v>3.490258509629629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1.51291</v>
      </c>
      <c r="H71" s="22">
        <v>5.9386599999999996</v>
      </c>
      <c r="I71" s="22">
        <v>-1.27533E-2</v>
      </c>
      <c r="J71" s="22">
        <v>61</v>
      </c>
      <c r="K71" s="22">
        <v>1.5121500000000001</v>
      </c>
      <c r="L71">
        <f t="shared" si="0"/>
        <v>15.744814814814816</v>
      </c>
      <c r="M71">
        <f t="shared" si="1"/>
        <v>23.820487781481482</v>
      </c>
      <c r="N71" s="9"/>
      <c r="O71" s="22">
        <v>0.20721400000000001</v>
      </c>
      <c r="P71" s="22">
        <v>9.7981300000000005</v>
      </c>
      <c r="Q71" s="22">
        <v>-1.3964799999999999E-2</v>
      </c>
      <c r="R71" s="22">
        <v>61</v>
      </c>
      <c r="S71" s="22">
        <v>0.20660400000000001</v>
      </c>
      <c r="T71">
        <f t="shared" si="2"/>
        <v>17.240493827160492</v>
      </c>
      <c r="U71">
        <f t="shared" si="3"/>
        <v>3.5724716879012344</v>
      </c>
      <c r="X71" s="9"/>
      <c r="Y71" s="22">
        <v>1.51291</v>
      </c>
      <c r="Z71" s="22">
        <v>15.382899999999999</v>
      </c>
      <c r="AA71" s="22">
        <v>-1.2826499999999999E-2</v>
      </c>
      <c r="AB71" s="22">
        <v>61</v>
      </c>
      <c r="AC71" s="22">
        <v>1.5121500000000001</v>
      </c>
      <c r="AD71">
        <f t="shared" si="4"/>
        <v>15.835185185185185</v>
      </c>
      <c r="AE71">
        <f t="shared" si="5"/>
        <v>23.95721001851852</v>
      </c>
      <c r="AF71" s="9"/>
      <c r="AG71" s="22">
        <v>0.20721400000000001</v>
      </c>
      <c r="AH71" s="22">
        <v>19.2423</v>
      </c>
      <c r="AI71" s="22">
        <v>-1.40137E-2</v>
      </c>
      <c r="AJ71" s="22">
        <v>61</v>
      </c>
      <c r="AK71" s="22">
        <v>0.20663500000000001</v>
      </c>
      <c r="AL71">
        <f t="shared" si="6"/>
        <v>17.300864197530863</v>
      </c>
      <c r="AM71">
        <f t="shared" si="7"/>
        <v>3.5849812738271605</v>
      </c>
      <c r="AP71" s="9"/>
      <c r="AQ71" s="22">
        <v>1.51291</v>
      </c>
      <c r="AR71" s="22">
        <v>24.688099999999999</v>
      </c>
      <c r="AS71" s="22">
        <v>-1.27533E-2</v>
      </c>
      <c r="AT71" s="22">
        <v>61</v>
      </c>
      <c r="AU71" s="22">
        <v>1.5121500000000001</v>
      </c>
      <c r="AV71">
        <f t="shared" si="8"/>
        <v>15.744814814814816</v>
      </c>
      <c r="AW71">
        <f t="shared" si="9"/>
        <v>23.820487781481482</v>
      </c>
      <c r="AX71" s="9"/>
      <c r="AY71" s="22">
        <v>0.20721400000000001</v>
      </c>
      <c r="AZ71" s="22">
        <v>28.547599999999999</v>
      </c>
      <c r="BA71" s="22">
        <v>-1.3983199999999999E-2</v>
      </c>
      <c r="BB71" s="22">
        <v>61</v>
      </c>
      <c r="BC71" s="22">
        <v>0.20669599999999999</v>
      </c>
      <c r="BD71">
        <f t="shared" si="10"/>
        <v>17.263209876543208</v>
      </c>
      <c r="BE71">
        <f t="shared" si="11"/>
        <v>3.5771787713580245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1.50787</v>
      </c>
      <c r="H72" s="22">
        <v>5.9487300000000003</v>
      </c>
      <c r="I72" s="22">
        <v>-1.27869E-2</v>
      </c>
      <c r="J72" s="22">
        <v>62</v>
      </c>
      <c r="K72" s="22">
        <v>1.5069600000000001</v>
      </c>
      <c r="L72">
        <f t="shared" si="0"/>
        <v>15.786296296296294</v>
      </c>
      <c r="M72">
        <f t="shared" si="1"/>
        <v>23.803682596296294</v>
      </c>
      <c r="N72" s="9"/>
      <c r="O72" s="22">
        <v>0.21224999999999999</v>
      </c>
      <c r="P72" s="22">
        <v>9.8082100000000008</v>
      </c>
      <c r="Q72" s="22">
        <v>-1.3977099999999999E-2</v>
      </c>
      <c r="R72" s="22">
        <v>62</v>
      </c>
      <c r="S72" s="22">
        <v>0.211731</v>
      </c>
      <c r="T72">
        <f t="shared" si="2"/>
        <v>17.255679012345677</v>
      </c>
      <c r="U72">
        <f t="shared" si="3"/>
        <v>3.6625178703703698</v>
      </c>
      <c r="X72" s="9"/>
      <c r="Y72" s="22">
        <v>1.50787</v>
      </c>
      <c r="Z72" s="22">
        <v>15.392899999999999</v>
      </c>
      <c r="AA72" s="22">
        <v>-1.2847900000000001E-2</v>
      </c>
      <c r="AB72" s="22">
        <v>62</v>
      </c>
      <c r="AC72" s="22">
        <v>1.5069600000000001</v>
      </c>
      <c r="AD72">
        <f t="shared" si="4"/>
        <v>15.861604938271604</v>
      </c>
      <c r="AE72">
        <f t="shared" si="5"/>
        <v>23.917238238271604</v>
      </c>
      <c r="AF72" s="9"/>
      <c r="AG72" s="22">
        <v>0.21224999999999999</v>
      </c>
      <c r="AH72" s="22">
        <v>19.252400000000002</v>
      </c>
      <c r="AI72" s="22">
        <v>-1.40076E-2</v>
      </c>
      <c r="AJ72" s="22">
        <v>62</v>
      </c>
      <c r="AK72" s="22">
        <v>0.211731</v>
      </c>
      <c r="AL72">
        <f t="shared" si="6"/>
        <v>17.293333333333333</v>
      </c>
      <c r="AM72">
        <f t="shared" si="7"/>
        <v>3.6705099999999997</v>
      </c>
      <c r="AP72" s="9"/>
      <c r="AQ72" s="22">
        <v>1.50787</v>
      </c>
      <c r="AR72" s="22">
        <v>24.6982</v>
      </c>
      <c r="AS72" s="22">
        <v>-1.27869E-2</v>
      </c>
      <c r="AT72" s="22">
        <v>62</v>
      </c>
      <c r="AU72" s="22">
        <v>1.50665</v>
      </c>
      <c r="AV72">
        <f t="shared" si="8"/>
        <v>15.786296296296294</v>
      </c>
      <c r="AW72">
        <f t="shared" si="9"/>
        <v>23.803682596296294</v>
      </c>
      <c r="AX72" s="9"/>
      <c r="AY72" s="22">
        <v>0.21224999999999999</v>
      </c>
      <c r="AZ72" s="22">
        <v>28.557600000000001</v>
      </c>
      <c r="BA72" s="22">
        <v>-1.3974E-2</v>
      </c>
      <c r="BB72" s="22">
        <v>62</v>
      </c>
      <c r="BC72" s="22">
        <v>0.21179200000000001</v>
      </c>
      <c r="BD72">
        <f t="shared" si="10"/>
        <v>17.251851851851853</v>
      </c>
      <c r="BE72">
        <f t="shared" si="11"/>
        <v>3.6617055555555558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1.50284</v>
      </c>
      <c r="H73" s="22">
        <v>5.9588000000000001</v>
      </c>
      <c r="I73" s="22">
        <v>-1.2814300000000001E-2</v>
      </c>
      <c r="J73" s="22">
        <v>63</v>
      </c>
      <c r="K73" s="22">
        <v>1.5020800000000001</v>
      </c>
      <c r="L73">
        <f t="shared" si="0"/>
        <v>15.820123456790125</v>
      </c>
      <c r="M73">
        <f t="shared" si="1"/>
        <v>23.775114335802471</v>
      </c>
      <c r="N73" s="9"/>
      <c r="O73" s="22">
        <v>0.21728500000000001</v>
      </c>
      <c r="P73" s="22">
        <v>9.8182799999999997</v>
      </c>
      <c r="Q73" s="22">
        <v>-1.3980100000000001E-2</v>
      </c>
      <c r="R73" s="22">
        <v>63</v>
      </c>
      <c r="S73" s="22">
        <v>0.21676599999999999</v>
      </c>
      <c r="T73">
        <f t="shared" si="2"/>
        <v>17.259382716049384</v>
      </c>
      <c r="U73">
        <f t="shared" si="3"/>
        <v>3.7502049734567904</v>
      </c>
      <c r="X73" s="9"/>
      <c r="Y73" s="22">
        <v>1.50284</v>
      </c>
      <c r="Z73" s="22">
        <v>15.403</v>
      </c>
      <c r="AA73" s="22">
        <v>-1.2881500000000001E-2</v>
      </c>
      <c r="AB73" s="22">
        <v>63</v>
      </c>
      <c r="AC73" s="22">
        <v>1.50177</v>
      </c>
      <c r="AD73">
        <f t="shared" si="4"/>
        <v>15.903086419753087</v>
      </c>
      <c r="AE73">
        <f t="shared" si="5"/>
        <v>23.899794395061729</v>
      </c>
      <c r="AF73" s="9"/>
      <c r="AG73" s="22">
        <v>0.21728500000000001</v>
      </c>
      <c r="AH73" s="22">
        <v>19.262499999999999</v>
      </c>
      <c r="AI73" s="22">
        <v>-1.40045E-2</v>
      </c>
      <c r="AJ73" s="22">
        <v>63</v>
      </c>
      <c r="AK73" s="22">
        <v>0.21676599999999999</v>
      </c>
      <c r="AL73">
        <f t="shared" si="6"/>
        <v>17.289506172839506</v>
      </c>
      <c r="AM73">
        <f t="shared" si="7"/>
        <v>3.7567503487654319</v>
      </c>
      <c r="AP73" s="9"/>
      <c r="AQ73" s="22">
        <v>1.50284</v>
      </c>
      <c r="AR73" s="22">
        <v>24.708200000000001</v>
      </c>
      <c r="AS73" s="22">
        <v>-1.2820399999999999E-2</v>
      </c>
      <c r="AT73" s="22">
        <v>63</v>
      </c>
      <c r="AU73" s="22">
        <v>1.50238</v>
      </c>
      <c r="AV73">
        <f t="shared" si="8"/>
        <v>15.827654320987653</v>
      </c>
      <c r="AW73">
        <f t="shared" si="9"/>
        <v>23.786432019753082</v>
      </c>
      <c r="AX73" s="9"/>
      <c r="AY73" s="22">
        <v>0.21728500000000001</v>
      </c>
      <c r="AZ73" s="22">
        <v>28.567699999999999</v>
      </c>
      <c r="BA73" s="22">
        <v>-1.39709E-2</v>
      </c>
      <c r="BB73" s="22">
        <v>63</v>
      </c>
      <c r="BC73" s="22">
        <v>0.21676599999999999</v>
      </c>
      <c r="BD73">
        <f t="shared" si="10"/>
        <v>17.248024691358022</v>
      </c>
      <c r="BE73">
        <f t="shared" si="11"/>
        <v>3.747737045061728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1.4978</v>
      </c>
      <c r="H74" s="22">
        <v>5.9688699999999999</v>
      </c>
      <c r="I74" s="22">
        <v>-1.28418E-2</v>
      </c>
      <c r="J74" s="22">
        <v>64</v>
      </c>
      <c r="K74" s="22">
        <v>1.4968900000000001</v>
      </c>
      <c r="L74">
        <f t="shared" si="0"/>
        <v>15.854074074074072</v>
      </c>
      <c r="M74">
        <f t="shared" si="1"/>
        <v>23.746232148148145</v>
      </c>
      <c r="N74" s="9"/>
      <c r="O74" s="22">
        <v>0.22232099999999999</v>
      </c>
      <c r="P74" s="22">
        <v>9.8283500000000004</v>
      </c>
      <c r="Q74" s="22">
        <v>-1.3983199999999999E-2</v>
      </c>
      <c r="R74" s="22">
        <v>64</v>
      </c>
      <c r="S74" s="22">
        <v>0.22174099999999999</v>
      </c>
      <c r="T74">
        <f t="shared" si="2"/>
        <v>17.263209876543208</v>
      </c>
      <c r="U74">
        <f t="shared" si="3"/>
        <v>3.8379740829629623</v>
      </c>
      <c r="X74" s="9"/>
      <c r="Y74" s="22">
        <v>1.4978</v>
      </c>
      <c r="Z74" s="22">
        <v>15.4131</v>
      </c>
      <c r="AA74" s="22">
        <v>-1.29059E-2</v>
      </c>
      <c r="AB74" s="22">
        <v>64</v>
      </c>
      <c r="AC74" s="22">
        <v>1.4968900000000001</v>
      </c>
      <c r="AD74">
        <f t="shared" si="4"/>
        <v>15.933209876543209</v>
      </c>
      <c r="AE74">
        <f t="shared" si="5"/>
        <v>23.86476175308642</v>
      </c>
      <c r="AF74" s="9"/>
      <c r="AG74" s="22">
        <v>0.22232099999999999</v>
      </c>
      <c r="AH74" s="22">
        <v>19.272600000000001</v>
      </c>
      <c r="AI74" s="22">
        <v>-1.39954E-2</v>
      </c>
      <c r="AJ74" s="22">
        <v>64</v>
      </c>
      <c r="AK74" s="22">
        <v>0.221802</v>
      </c>
      <c r="AL74">
        <f t="shared" si="6"/>
        <v>17.278271604938272</v>
      </c>
      <c r="AM74">
        <f t="shared" si="7"/>
        <v>3.8413226214814813</v>
      </c>
      <c r="AP74" s="9"/>
      <c r="AQ74" s="22">
        <v>1.4978</v>
      </c>
      <c r="AR74" s="22">
        <v>24.718299999999999</v>
      </c>
      <c r="AS74" s="22">
        <v>-1.28571E-2</v>
      </c>
      <c r="AT74" s="22">
        <v>64</v>
      </c>
      <c r="AU74" s="22">
        <v>1.49658</v>
      </c>
      <c r="AV74">
        <f t="shared" si="8"/>
        <v>15.87296296296296</v>
      </c>
      <c r="AW74">
        <f t="shared" si="9"/>
        <v>23.774523925925923</v>
      </c>
      <c r="AX74" s="9"/>
      <c r="AY74" s="22">
        <v>0.22232099999999999</v>
      </c>
      <c r="AZ74" s="22">
        <v>28.5778</v>
      </c>
      <c r="BA74" s="22">
        <v>-1.3974E-2</v>
      </c>
      <c r="BB74" s="22">
        <v>64</v>
      </c>
      <c r="BC74" s="22">
        <v>0.22174099999999999</v>
      </c>
      <c r="BD74">
        <f t="shared" si="10"/>
        <v>17.251851851851853</v>
      </c>
      <c r="BE74">
        <f t="shared" si="11"/>
        <v>3.8354489555555555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1.4927699999999999</v>
      </c>
      <c r="H75" s="22">
        <v>5.9789399999999997</v>
      </c>
      <c r="I75" s="22">
        <v>-1.28693E-2</v>
      </c>
      <c r="J75" s="22">
        <v>65</v>
      </c>
      <c r="K75" s="22">
        <v>1.492</v>
      </c>
      <c r="L75">
        <f t="shared" si="0"/>
        <v>15.888024691358023</v>
      </c>
      <c r="M75">
        <f t="shared" si="1"/>
        <v>23.717166618518515</v>
      </c>
      <c r="N75" s="9"/>
      <c r="O75" s="22">
        <v>0.227356</v>
      </c>
      <c r="P75" s="22">
        <v>9.8384199999999993</v>
      </c>
      <c r="Q75" s="22">
        <v>-1.3986200000000001E-2</v>
      </c>
      <c r="R75" s="22">
        <v>65</v>
      </c>
      <c r="S75" s="22">
        <v>0.22683700000000001</v>
      </c>
      <c r="T75">
        <f t="shared" si="2"/>
        <v>17.266913580246914</v>
      </c>
      <c r="U75">
        <f t="shared" si="3"/>
        <v>3.9257364039506175</v>
      </c>
      <c r="X75" s="9"/>
      <c r="Y75" s="22">
        <v>1.4927699999999999</v>
      </c>
      <c r="Z75" s="22">
        <v>15.4232</v>
      </c>
      <c r="AA75" s="22">
        <v>-1.29211E-2</v>
      </c>
      <c r="AB75" s="22">
        <v>65</v>
      </c>
      <c r="AC75" s="22">
        <v>1.49139</v>
      </c>
      <c r="AD75">
        <f t="shared" si="4"/>
        <v>15.951975308641973</v>
      </c>
      <c r="AE75">
        <f t="shared" si="5"/>
        <v>23.812630181481477</v>
      </c>
      <c r="AF75" s="9"/>
      <c r="AG75" s="22">
        <v>0.227356</v>
      </c>
      <c r="AH75" s="22">
        <v>19.282599999999999</v>
      </c>
      <c r="AI75" s="22">
        <v>-1.40045E-2</v>
      </c>
      <c r="AJ75" s="22">
        <v>65</v>
      </c>
      <c r="AK75" s="22">
        <v>0.22680700000000001</v>
      </c>
      <c r="AL75">
        <f t="shared" si="6"/>
        <v>17.289506172839506</v>
      </c>
      <c r="AM75">
        <f t="shared" si="7"/>
        <v>3.9308729654320986</v>
      </c>
      <c r="AP75" s="9"/>
      <c r="AQ75" s="22">
        <v>1.4927699999999999</v>
      </c>
      <c r="AR75" s="22">
        <v>24.728400000000001</v>
      </c>
      <c r="AS75" s="22">
        <v>-1.28906E-2</v>
      </c>
      <c r="AT75" s="22">
        <v>65</v>
      </c>
      <c r="AU75" s="22">
        <v>1.4917</v>
      </c>
      <c r="AV75">
        <f t="shared" si="8"/>
        <v>15.914320987654323</v>
      </c>
      <c r="AW75">
        <f t="shared" si="9"/>
        <v>23.756420940740743</v>
      </c>
      <c r="AX75" s="9"/>
      <c r="AY75" s="22">
        <v>0.227356</v>
      </c>
      <c r="AZ75" s="22">
        <v>28.587900000000001</v>
      </c>
      <c r="BA75" s="22">
        <v>-1.3980100000000001E-2</v>
      </c>
      <c r="BB75" s="22">
        <v>65</v>
      </c>
      <c r="BC75" s="22">
        <v>0.22686799999999999</v>
      </c>
      <c r="BD75">
        <f t="shared" si="10"/>
        <v>17.259382716049384</v>
      </c>
      <c r="BE75">
        <f t="shared" si="11"/>
        <v>3.9240242167901238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1.48773</v>
      </c>
      <c r="H76" s="22">
        <v>5.98902</v>
      </c>
      <c r="I76" s="22">
        <v>-1.2896700000000001E-2</v>
      </c>
      <c r="J76" s="22">
        <v>66</v>
      </c>
      <c r="K76" s="22">
        <v>1.48651</v>
      </c>
      <c r="L76">
        <f t="shared" ref="L76:L139" si="12">-I76/$F$2*1000</f>
        <v>15.92185185185185</v>
      </c>
      <c r="M76">
        <f t="shared" ref="M76:M139" si="13">L76*G76</f>
        <v>23.687416655555552</v>
      </c>
      <c r="N76" s="9"/>
      <c r="O76" s="22">
        <v>0.23239099999999999</v>
      </c>
      <c r="P76" s="22">
        <v>9.84849</v>
      </c>
      <c r="Q76" s="22">
        <v>-1.3980100000000001E-2</v>
      </c>
      <c r="R76" s="22">
        <v>66</v>
      </c>
      <c r="S76" s="22">
        <v>0.231873</v>
      </c>
      <c r="T76">
        <f t="shared" ref="T76:T139" si="14">-Q76/$F$2*1000</f>
        <v>17.259382716049384</v>
      </c>
      <c r="U76">
        <f t="shared" ref="U76:U139" si="15">T76*O76</f>
        <v>4.0109252087654319</v>
      </c>
      <c r="X76" s="9"/>
      <c r="Y76" s="22">
        <v>1.48773</v>
      </c>
      <c r="Z76" s="22">
        <v>15.433199999999999</v>
      </c>
      <c r="AA76" s="22">
        <v>-1.29395E-2</v>
      </c>
      <c r="AB76" s="22">
        <v>66</v>
      </c>
      <c r="AC76" s="22">
        <v>1.48712</v>
      </c>
      <c r="AD76">
        <f t="shared" ref="AD76:AD139" si="16">-AA76/$F$2*1000</f>
        <v>15.974691358024689</v>
      </c>
      <c r="AE76">
        <f t="shared" ref="AE76:AE139" si="17">AD76*Y76</f>
        <v>23.766027574074069</v>
      </c>
      <c r="AF76" s="9"/>
      <c r="AG76" s="22">
        <v>0.23239099999999999</v>
      </c>
      <c r="AH76" s="22">
        <v>19.2927</v>
      </c>
      <c r="AI76" s="22">
        <v>-1.40137E-2</v>
      </c>
      <c r="AJ76" s="22">
        <v>66</v>
      </c>
      <c r="AK76" s="22">
        <v>0.23184199999999999</v>
      </c>
      <c r="AL76">
        <f t="shared" ref="AL76:AL139" si="18">-AI76/$F$2*1000</f>
        <v>17.300864197530863</v>
      </c>
      <c r="AM76">
        <f t="shared" ref="AM76:AM139" si="19">AL76*AG76</f>
        <v>4.0205651317283948</v>
      </c>
      <c r="AP76" s="9"/>
      <c r="AQ76" s="22">
        <v>1.48773</v>
      </c>
      <c r="AR76" s="22">
        <v>24.738499999999998</v>
      </c>
      <c r="AS76" s="22">
        <v>-1.29181E-2</v>
      </c>
      <c r="AT76" s="22">
        <v>66</v>
      </c>
      <c r="AU76" s="22">
        <v>1.48621</v>
      </c>
      <c r="AV76">
        <f t="shared" ref="AV76:AV139" si="20">-AS76/$F$2*1000</f>
        <v>15.94827160493827</v>
      </c>
      <c r="AW76">
        <f t="shared" ref="AW76:AW139" si="21">AV76*AQ76</f>
        <v>23.726722114814812</v>
      </c>
      <c r="AX76" s="9"/>
      <c r="AY76" s="22">
        <v>0.23239099999999999</v>
      </c>
      <c r="AZ76" s="22">
        <v>28.597899999999999</v>
      </c>
      <c r="BA76" s="22">
        <v>-1.3974E-2</v>
      </c>
      <c r="BB76" s="22">
        <v>66</v>
      </c>
      <c r="BC76" s="22">
        <v>0.231873</v>
      </c>
      <c r="BD76">
        <f t="shared" ref="BD76:BD139" si="22">-BA76/$F$2*1000</f>
        <v>17.251851851851853</v>
      </c>
      <c r="BE76">
        <f t="shared" ref="BE76:BE139" si="23">BD76*AY76</f>
        <v>4.0091751037037042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1.4826999999999999</v>
      </c>
      <c r="H77" s="22">
        <v>5.9990899999999998</v>
      </c>
      <c r="I77" s="22">
        <v>-1.29211E-2</v>
      </c>
      <c r="J77" s="22">
        <v>67</v>
      </c>
      <c r="K77" s="22">
        <v>1.48193</v>
      </c>
      <c r="L77">
        <f t="shared" si="12"/>
        <v>15.951975308641973</v>
      </c>
      <c r="M77">
        <f t="shared" si="13"/>
        <v>23.651993790123452</v>
      </c>
      <c r="N77" s="9"/>
      <c r="O77" s="22">
        <v>0.237427</v>
      </c>
      <c r="P77" s="22">
        <v>9.8585600000000007</v>
      </c>
      <c r="Q77" s="22">
        <v>-1.39679E-2</v>
      </c>
      <c r="R77" s="22">
        <v>67</v>
      </c>
      <c r="S77" s="22">
        <v>0.23693800000000001</v>
      </c>
      <c r="T77">
        <f t="shared" si="14"/>
        <v>17.244320987654319</v>
      </c>
      <c r="U77">
        <f t="shared" si="15"/>
        <v>4.0942673991358021</v>
      </c>
      <c r="X77" s="9"/>
      <c r="Y77" s="22">
        <v>1.4826999999999999</v>
      </c>
      <c r="Z77" s="22">
        <v>15.443300000000001</v>
      </c>
      <c r="AA77" s="22">
        <v>-1.29608E-2</v>
      </c>
      <c r="AB77" s="22">
        <v>67</v>
      </c>
      <c r="AC77" s="22">
        <v>1.48193</v>
      </c>
      <c r="AD77">
        <f t="shared" si="16"/>
        <v>16.000987654320987</v>
      </c>
      <c r="AE77">
        <f t="shared" si="17"/>
        <v>23.724664395061726</v>
      </c>
      <c r="AF77" s="9"/>
      <c r="AG77" s="22">
        <v>0.237427</v>
      </c>
      <c r="AH77" s="22">
        <v>19.302800000000001</v>
      </c>
      <c r="AI77" s="22">
        <v>-1.40106E-2</v>
      </c>
      <c r="AJ77" s="22">
        <v>67</v>
      </c>
      <c r="AK77" s="22">
        <v>0.23693800000000001</v>
      </c>
      <c r="AL77">
        <f t="shared" si="18"/>
        <v>17.297037037037036</v>
      </c>
      <c r="AM77">
        <f t="shared" si="19"/>
        <v>4.1067836125925927</v>
      </c>
      <c r="AP77" s="9"/>
      <c r="AQ77" s="22">
        <v>1.4826999999999999</v>
      </c>
      <c r="AR77" s="22">
        <v>24.7485</v>
      </c>
      <c r="AS77" s="22">
        <v>-1.2942499999999999E-2</v>
      </c>
      <c r="AT77" s="22">
        <v>67</v>
      </c>
      <c r="AU77" s="22">
        <v>1.48163</v>
      </c>
      <c r="AV77">
        <f t="shared" si="20"/>
        <v>15.978395061728392</v>
      </c>
      <c r="AW77">
        <f t="shared" si="21"/>
        <v>23.691166358024685</v>
      </c>
      <c r="AX77" s="9"/>
      <c r="AY77" s="22">
        <v>0.237427</v>
      </c>
      <c r="AZ77" s="22">
        <v>28.608000000000001</v>
      </c>
      <c r="BA77" s="22">
        <v>-1.3980100000000001E-2</v>
      </c>
      <c r="BB77" s="22">
        <v>67</v>
      </c>
      <c r="BC77" s="22">
        <v>0.23696900000000001</v>
      </c>
      <c r="BD77">
        <f t="shared" si="22"/>
        <v>17.259382716049384</v>
      </c>
      <c r="BE77">
        <f t="shared" si="23"/>
        <v>4.0978434601234568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1.47766</v>
      </c>
      <c r="H78" s="22">
        <v>6.0091599999999996</v>
      </c>
      <c r="I78" s="22">
        <v>-1.2936400000000001E-2</v>
      </c>
      <c r="J78" s="22">
        <v>68</v>
      </c>
      <c r="K78" s="22">
        <v>1.47675</v>
      </c>
      <c r="L78">
        <f t="shared" si="12"/>
        <v>15.970864197530865</v>
      </c>
      <c r="M78">
        <f t="shared" si="13"/>
        <v>23.599507190123457</v>
      </c>
      <c r="N78" s="9"/>
      <c r="O78" s="22">
        <v>0.24246200000000001</v>
      </c>
      <c r="P78" s="22">
        <v>9.8686299999999996</v>
      </c>
      <c r="Q78" s="22">
        <v>-1.3952600000000001E-2</v>
      </c>
      <c r="R78" s="22">
        <v>68</v>
      </c>
      <c r="S78" s="22">
        <v>0.24194299999999999</v>
      </c>
      <c r="T78">
        <f t="shared" si="14"/>
        <v>17.225432098765431</v>
      </c>
      <c r="U78">
        <f t="shared" si="15"/>
        <v>4.1765127175308638</v>
      </c>
      <c r="X78" s="9"/>
      <c r="Y78" s="22">
        <v>1.47766</v>
      </c>
      <c r="Z78" s="22">
        <v>15.4534</v>
      </c>
      <c r="AA78" s="22">
        <v>-1.2985200000000001E-2</v>
      </c>
      <c r="AB78" s="22">
        <v>68</v>
      </c>
      <c r="AC78" s="22">
        <v>1.47644</v>
      </c>
      <c r="AD78">
        <f t="shared" si="16"/>
        <v>16.031111111111109</v>
      </c>
      <c r="AE78">
        <f t="shared" si="17"/>
        <v>23.688531644444442</v>
      </c>
      <c r="AF78" s="9"/>
      <c r="AG78" s="22">
        <v>0.24246200000000001</v>
      </c>
      <c r="AH78" s="22">
        <v>19.312799999999999</v>
      </c>
      <c r="AI78" s="22">
        <v>-1.40137E-2</v>
      </c>
      <c r="AJ78" s="22">
        <v>68</v>
      </c>
      <c r="AK78" s="22">
        <v>0.24191299999999999</v>
      </c>
      <c r="AL78">
        <f t="shared" si="18"/>
        <v>17.300864197530863</v>
      </c>
      <c r="AM78">
        <f t="shared" si="19"/>
        <v>4.1948021350617282</v>
      </c>
      <c r="AP78" s="9"/>
      <c r="AQ78" s="22">
        <v>1.47766</v>
      </c>
      <c r="AR78" s="22">
        <v>24.758600000000001</v>
      </c>
      <c r="AS78" s="22">
        <v>-1.29669E-2</v>
      </c>
      <c r="AT78" s="22">
        <v>68</v>
      </c>
      <c r="AU78" s="22">
        <v>1.47675</v>
      </c>
      <c r="AV78">
        <f t="shared" si="20"/>
        <v>16.008518518518514</v>
      </c>
      <c r="AW78">
        <f t="shared" si="21"/>
        <v>23.655147474074067</v>
      </c>
      <c r="AX78" s="9"/>
      <c r="AY78" s="22">
        <v>0.24246200000000001</v>
      </c>
      <c r="AZ78" s="22">
        <v>28.618099999999998</v>
      </c>
      <c r="BA78" s="22">
        <v>-1.3980100000000001E-2</v>
      </c>
      <c r="BB78" s="22">
        <v>68</v>
      </c>
      <c r="BC78" s="22">
        <v>0.24194299999999999</v>
      </c>
      <c r="BD78">
        <f t="shared" si="22"/>
        <v>17.259382716049384</v>
      </c>
      <c r="BE78">
        <f t="shared" si="23"/>
        <v>4.1847444520987658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1.4726300000000001</v>
      </c>
      <c r="H79" s="22">
        <v>6.0192300000000003</v>
      </c>
      <c r="I79" s="22">
        <v>-1.29517E-2</v>
      </c>
      <c r="J79" s="22">
        <v>69</v>
      </c>
      <c r="K79" s="22">
        <v>1.4718599999999999</v>
      </c>
      <c r="L79">
        <f t="shared" si="12"/>
        <v>15.989753086419752</v>
      </c>
      <c r="M79">
        <f t="shared" si="13"/>
        <v>23.546990087654322</v>
      </c>
      <c r="N79" s="9"/>
      <c r="O79" s="22">
        <v>0.247498</v>
      </c>
      <c r="P79" s="22">
        <v>9.8787000000000003</v>
      </c>
      <c r="Q79" s="22">
        <v>-1.39496E-2</v>
      </c>
      <c r="R79" s="22">
        <v>69</v>
      </c>
      <c r="S79" s="22">
        <v>0.246948</v>
      </c>
      <c r="T79">
        <f t="shared" si="14"/>
        <v>17.221728395061724</v>
      </c>
      <c r="U79">
        <f t="shared" si="15"/>
        <v>4.2623433343209864</v>
      </c>
      <c r="X79" s="9"/>
      <c r="Y79" s="22">
        <v>1.4726300000000001</v>
      </c>
      <c r="Z79" s="22">
        <v>15.4634</v>
      </c>
      <c r="AA79" s="22">
        <v>-1.30066E-2</v>
      </c>
      <c r="AB79" s="22">
        <v>69</v>
      </c>
      <c r="AC79" s="22">
        <v>1.47156</v>
      </c>
      <c r="AD79">
        <f t="shared" si="16"/>
        <v>16.057530864197531</v>
      </c>
      <c r="AE79">
        <f t="shared" si="17"/>
        <v>23.646801676543213</v>
      </c>
      <c r="AF79" s="9"/>
      <c r="AG79" s="22">
        <v>0.247498</v>
      </c>
      <c r="AH79" s="22">
        <v>19.322900000000001</v>
      </c>
      <c r="AI79" s="22">
        <v>-1.40106E-2</v>
      </c>
      <c r="AJ79" s="22">
        <v>69</v>
      </c>
      <c r="AK79" s="22">
        <v>0.246948</v>
      </c>
      <c r="AL79">
        <f t="shared" si="18"/>
        <v>17.297037037037036</v>
      </c>
      <c r="AM79">
        <f t="shared" si="19"/>
        <v>4.2809820725925922</v>
      </c>
      <c r="AP79" s="9"/>
      <c r="AQ79" s="22">
        <v>1.4726300000000001</v>
      </c>
      <c r="AR79" s="22">
        <v>24.768699999999999</v>
      </c>
      <c r="AS79" s="22">
        <v>-1.2982199999999999E-2</v>
      </c>
      <c r="AT79" s="22">
        <v>69</v>
      </c>
      <c r="AU79" s="22">
        <v>1.47217</v>
      </c>
      <c r="AV79">
        <f t="shared" si="20"/>
        <v>16.027407407407406</v>
      </c>
      <c r="AW79">
        <f t="shared" si="21"/>
        <v>23.60244097037037</v>
      </c>
      <c r="AX79" s="9"/>
      <c r="AY79" s="22">
        <v>0.247498</v>
      </c>
      <c r="AZ79" s="22">
        <v>28.6281</v>
      </c>
      <c r="BA79" s="22">
        <v>-1.3974E-2</v>
      </c>
      <c r="BB79" s="22">
        <v>69</v>
      </c>
      <c r="BC79" s="22">
        <v>0.246948</v>
      </c>
      <c r="BD79">
        <f t="shared" si="22"/>
        <v>17.251851851851853</v>
      </c>
      <c r="BE79">
        <f t="shared" si="23"/>
        <v>4.2697988296296296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1.46759</v>
      </c>
      <c r="H80" s="22">
        <v>6.0293000000000001</v>
      </c>
      <c r="I80" s="22">
        <v>-1.2973E-2</v>
      </c>
      <c r="J80" s="22">
        <v>70</v>
      </c>
      <c r="K80" s="22">
        <v>1.4666699999999999</v>
      </c>
      <c r="L80">
        <f t="shared" si="12"/>
        <v>16.016049382716048</v>
      </c>
      <c r="M80">
        <f t="shared" si="13"/>
        <v>23.504993913580243</v>
      </c>
      <c r="N80" s="9"/>
      <c r="O80" s="22">
        <v>0.25253300000000001</v>
      </c>
      <c r="P80" s="22">
        <v>9.8887699999999992</v>
      </c>
      <c r="Q80" s="22">
        <v>-1.39496E-2</v>
      </c>
      <c r="R80" s="22">
        <v>70</v>
      </c>
      <c r="S80" s="22">
        <v>0.25195299999999998</v>
      </c>
      <c r="T80">
        <f t="shared" si="14"/>
        <v>17.221728395061724</v>
      </c>
      <c r="U80">
        <f t="shared" si="15"/>
        <v>4.3490547367901229</v>
      </c>
      <c r="X80" s="9"/>
      <c r="Y80" s="22">
        <v>1.46759</v>
      </c>
      <c r="Z80" s="22">
        <v>15.4735</v>
      </c>
      <c r="AA80" s="22">
        <v>-1.3021899999999999E-2</v>
      </c>
      <c r="AB80" s="22">
        <v>70</v>
      </c>
      <c r="AC80" s="22">
        <v>1.46729</v>
      </c>
      <c r="AD80">
        <f t="shared" si="16"/>
        <v>16.076419753086416</v>
      </c>
      <c r="AE80">
        <f t="shared" si="17"/>
        <v>23.593592865432093</v>
      </c>
      <c r="AF80" s="9"/>
      <c r="AG80" s="22">
        <v>0.25253300000000001</v>
      </c>
      <c r="AH80" s="22">
        <v>19.332999999999998</v>
      </c>
      <c r="AI80" s="22">
        <v>-1.40045E-2</v>
      </c>
      <c r="AJ80" s="22">
        <v>70</v>
      </c>
      <c r="AK80" s="22">
        <v>0.25192300000000001</v>
      </c>
      <c r="AL80">
        <f t="shared" si="18"/>
        <v>17.289506172839506</v>
      </c>
      <c r="AM80">
        <f t="shared" si="19"/>
        <v>4.3661708623456787</v>
      </c>
      <c r="AP80" s="9"/>
      <c r="AQ80" s="22">
        <v>1.46759</v>
      </c>
      <c r="AR80" s="22">
        <v>24.778700000000001</v>
      </c>
      <c r="AS80" s="22">
        <v>-1.30096E-2</v>
      </c>
      <c r="AT80" s="22">
        <v>70</v>
      </c>
      <c r="AU80" s="22">
        <v>1.46637</v>
      </c>
      <c r="AV80">
        <f t="shared" si="20"/>
        <v>16.061234567901234</v>
      </c>
      <c r="AW80">
        <f t="shared" si="21"/>
        <v>23.571307239506172</v>
      </c>
      <c r="AX80" s="9"/>
      <c r="AY80" s="22">
        <v>0.25253300000000001</v>
      </c>
      <c r="AZ80" s="22">
        <v>28.638200000000001</v>
      </c>
      <c r="BA80" s="22">
        <v>-1.39709E-2</v>
      </c>
      <c r="BB80" s="22">
        <v>70</v>
      </c>
      <c r="BC80" s="22">
        <v>0.25195299999999998</v>
      </c>
      <c r="BD80">
        <f t="shared" si="22"/>
        <v>17.248024691358022</v>
      </c>
      <c r="BE80">
        <f t="shared" si="23"/>
        <v>4.355695419382716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1.46255</v>
      </c>
      <c r="H81" s="22">
        <v>6.0393699999999999</v>
      </c>
      <c r="I81" s="22">
        <v>-1.30005E-2</v>
      </c>
      <c r="J81" s="22">
        <v>71</v>
      </c>
      <c r="K81" s="22">
        <v>1.4617899999999999</v>
      </c>
      <c r="L81">
        <f t="shared" si="12"/>
        <v>16.049999999999997</v>
      </c>
      <c r="M81">
        <f t="shared" si="13"/>
        <v>23.473927499999995</v>
      </c>
      <c r="N81" s="9"/>
      <c r="O81" s="22">
        <v>0.25756800000000002</v>
      </c>
      <c r="P81" s="22">
        <v>9.8988399999999999</v>
      </c>
      <c r="Q81" s="22">
        <v>-1.3952600000000001E-2</v>
      </c>
      <c r="R81" s="22">
        <v>71</v>
      </c>
      <c r="S81" s="22">
        <v>0.25698900000000002</v>
      </c>
      <c r="T81">
        <f t="shared" si="14"/>
        <v>17.225432098765431</v>
      </c>
      <c r="U81">
        <f t="shared" si="15"/>
        <v>4.4367200948148149</v>
      </c>
      <c r="X81" s="9"/>
      <c r="Y81" s="22">
        <v>1.46255</v>
      </c>
      <c r="Z81" s="22">
        <v>15.483599999999999</v>
      </c>
      <c r="AA81" s="22">
        <v>-1.3037099999999999E-2</v>
      </c>
      <c r="AB81" s="22">
        <v>71</v>
      </c>
      <c r="AC81" s="22">
        <v>1.4617899999999999</v>
      </c>
      <c r="AD81">
        <f t="shared" si="16"/>
        <v>16.095185185185183</v>
      </c>
      <c r="AE81">
        <f t="shared" si="17"/>
        <v>23.540013092592591</v>
      </c>
      <c r="AF81" s="9"/>
      <c r="AG81" s="22">
        <v>0.25756800000000002</v>
      </c>
      <c r="AH81" s="22">
        <v>19.343</v>
      </c>
      <c r="AI81" s="22">
        <v>-1.40015E-2</v>
      </c>
      <c r="AJ81" s="22">
        <v>71</v>
      </c>
      <c r="AK81" s="22">
        <v>0.25698900000000002</v>
      </c>
      <c r="AL81">
        <f t="shared" si="18"/>
        <v>17.285802469135803</v>
      </c>
      <c r="AM81">
        <f t="shared" si="19"/>
        <v>4.4522695703703707</v>
      </c>
      <c r="AP81" s="9"/>
      <c r="AQ81" s="22">
        <v>1.46255</v>
      </c>
      <c r="AR81" s="22">
        <v>24.788799999999998</v>
      </c>
      <c r="AS81" s="22">
        <v>-1.30432E-2</v>
      </c>
      <c r="AT81" s="22">
        <v>71</v>
      </c>
      <c r="AU81" s="22">
        <v>1.46149</v>
      </c>
      <c r="AV81">
        <f t="shared" si="20"/>
        <v>16.102716049382714</v>
      </c>
      <c r="AW81">
        <f t="shared" si="21"/>
        <v>23.55102735802469</v>
      </c>
      <c r="AX81" s="9"/>
      <c r="AY81" s="22">
        <v>0.25756800000000002</v>
      </c>
      <c r="AZ81" s="22">
        <v>28.648299999999999</v>
      </c>
      <c r="BA81" s="22">
        <v>-1.39709E-2</v>
      </c>
      <c r="BB81" s="22">
        <v>71</v>
      </c>
      <c r="BC81" s="22">
        <v>0.257019</v>
      </c>
      <c r="BD81">
        <f t="shared" si="22"/>
        <v>17.248024691358022</v>
      </c>
      <c r="BE81">
        <f t="shared" si="23"/>
        <v>4.4425392237037036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1.4575199999999999</v>
      </c>
      <c r="H82" s="22">
        <v>6.0494399999999997</v>
      </c>
      <c r="I82" s="22">
        <v>-1.3018800000000001E-2</v>
      </c>
      <c r="J82" s="22">
        <v>72</v>
      </c>
      <c r="K82" s="22">
        <v>1.4572099999999999</v>
      </c>
      <c r="L82">
        <f t="shared" si="12"/>
        <v>16.072592592592592</v>
      </c>
      <c r="M82">
        <f t="shared" si="13"/>
        <v>23.426125155555553</v>
      </c>
      <c r="N82" s="9"/>
      <c r="O82" s="22">
        <v>0.262604</v>
      </c>
      <c r="P82" s="22">
        <v>9.9089200000000002</v>
      </c>
      <c r="Q82" s="22">
        <v>-1.3964799999999999E-2</v>
      </c>
      <c r="R82" s="22">
        <v>72</v>
      </c>
      <c r="S82" s="22">
        <v>0.26208500000000001</v>
      </c>
      <c r="T82">
        <f t="shared" si="14"/>
        <v>17.240493827160492</v>
      </c>
      <c r="U82">
        <f t="shared" si="15"/>
        <v>4.5274226409876537</v>
      </c>
      <c r="X82" s="9"/>
      <c r="Y82" s="22">
        <v>1.4575199999999999</v>
      </c>
      <c r="Z82" s="22">
        <v>15.493600000000001</v>
      </c>
      <c r="AA82" s="22">
        <v>-1.3058500000000001E-2</v>
      </c>
      <c r="AB82" s="22">
        <v>72</v>
      </c>
      <c r="AC82" s="22">
        <v>1.4562999999999999</v>
      </c>
      <c r="AD82">
        <f t="shared" si="16"/>
        <v>16.121604938271602</v>
      </c>
      <c r="AE82">
        <f t="shared" si="17"/>
        <v>23.497561629629626</v>
      </c>
      <c r="AF82" s="9"/>
      <c r="AG82" s="22">
        <v>0.262604</v>
      </c>
      <c r="AH82" s="22">
        <v>19.353100000000001</v>
      </c>
      <c r="AI82" s="22">
        <v>-1.39954E-2</v>
      </c>
      <c r="AJ82" s="22">
        <v>72</v>
      </c>
      <c r="AK82" s="22">
        <v>0.26208500000000001</v>
      </c>
      <c r="AL82">
        <f t="shared" si="18"/>
        <v>17.278271604938272</v>
      </c>
      <c r="AM82">
        <f t="shared" si="19"/>
        <v>4.5373432365432098</v>
      </c>
      <c r="AP82" s="9"/>
      <c r="AQ82" s="22">
        <v>1.4575199999999999</v>
      </c>
      <c r="AR82" s="22">
        <v>24.7989</v>
      </c>
      <c r="AS82" s="22">
        <v>-1.3070699999999999E-2</v>
      </c>
      <c r="AT82" s="22">
        <v>72</v>
      </c>
      <c r="AU82" s="22">
        <v>1.4569099999999999</v>
      </c>
      <c r="AV82">
        <f t="shared" si="20"/>
        <v>16.136666666666663</v>
      </c>
      <c r="AW82">
        <f t="shared" si="21"/>
        <v>23.519514399999995</v>
      </c>
      <c r="AX82" s="9"/>
      <c r="AY82" s="22">
        <v>0.262604</v>
      </c>
      <c r="AZ82" s="22">
        <v>28.6584</v>
      </c>
      <c r="BA82" s="22">
        <v>-1.39709E-2</v>
      </c>
      <c r="BB82" s="22">
        <v>72</v>
      </c>
      <c r="BC82" s="22">
        <v>0.26202399999999998</v>
      </c>
      <c r="BD82">
        <f t="shared" si="22"/>
        <v>17.248024691358022</v>
      </c>
      <c r="BE82">
        <f t="shared" si="23"/>
        <v>4.5294002760493823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1.45248</v>
      </c>
      <c r="H83" s="22">
        <v>6.0595100000000004</v>
      </c>
      <c r="I83" s="22">
        <v>-1.30402E-2</v>
      </c>
      <c r="J83" s="22">
        <v>73</v>
      </c>
      <c r="K83" s="22">
        <v>1.4520299999999999</v>
      </c>
      <c r="L83">
        <f t="shared" si="12"/>
        <v>16.099012345679011</v>
      </c>
      <c r="M83">
        <f t="shared" si="13"/>
        <v>23.383493451851848</v>
      </c>
      <c r="N83" s="9"/>
      <c r="O83" s="22">
        <v>0.26763900000000002</v>
      </c>
      <c r="P83" s="22">
        <v>9.9189900000000009</v>
      </c>
      <c r="Q83" s="22">
        <v>-1.39709E-2</v>
      </c>
      <c r="R83" s="22">
        <v>73</v>
      </c>
      <c r="S83" s="22">
        <v>0.26705899999999999</v>
      </c>
      <c r="T83">
        <f t="shared" si="14"/>
        <v>17.248024691358022</v>
      </c>
      <c r="U83">
        <f t="shared" si="15"/>
        <v>4.6162440803703699</v>
      </c>
      <c r="X83" s="9"/>
      <c r="Y83" s="22">
        <v>1.45248</v>
      </c>
      <c r="Z83" s="22">
        <v>15.5037</v>
      </c>
      <c r="AA83" s="22">
        <v>-1.30676E-2</v>
      </c>
      <c r="AB83" s="22">
        <v>73</v>
      </c>
      <c r="AC83" s="22">
        <v>1.4520299999999999</v>
      </c>
      <c r="AD83">
        <f t="shared" si="16"/>
        <v>16.132839506172839</v>
      </c>
      <c r="AE83">
        <f t="shared" si="17"/>
        <v>23.432626725925925</v>
      </c>
      <c r="AF83" s="9"/>
      <c r="AG83" s="22">
        <v>0.26763900000000002</v>
      </c>
      <c r="AH83" s="22">
        <v>19.363199999999999</v>
      </c>
      <c r="AI83" s="22">
        <v>-1.40045E-2</v>
      </c>
      <c r="AJ83" s="22">
        <v>73</v>
      </c>
      <c r="AK83" s="22">
        <v>0.26705899999999999</v>
      </c>
      <c r="AL83">
        <f t="shared" si="18"/>
        <v>17.289506172839506</v>
      </c>
      <c r="AM83">
        <f t="shared" si="19"/>
        <v>4.627346142592593</v>
      </c>
      <c r="AP83" s="9"/>
      <c r="AQ83" s="22">
        <v>1.45248</v>
      </c>
      <c r="AR83" s="22">
        <v>24.808900000000001</v>
      </c>
      <c r="AS83" s="22">
        <v>-1.31012E-2</v>
      </c>
      <c r="AT83" s="22">
        <v>73</v>
      </c>
      <c r="AU83" s="22">
        <v>1.4517199999999999</v>
      </c>
      <c r="AV83">
        <f t="shared" si="20"/>
        <v>16.174320987654323</v>
      </c>
      <c r="AW83">
        <f t="shared" si="21"/>
        <v>23.49287774814815</v>
      </c>
      <c r="AX83" s="9"/>
      <c r="AY83" s="22">
        <v>0.26763900000000002</v>
      </c>
      <c r="AZ83" s="22">
        <v>28.668399999999998</v>
      </c>
      <c r="BA83" s="22">
        <v>-1.3964799999999999E-2</v>
      </c>
      <c r="BB83" s="22">
        <v>73</v>
      </c>
      <c r="BC83" s="22">
        <v>0.26712000000000002</v>
      </c>
      <c r="BD83">
        <f t="shared" si="22"/>
        <v>17.240493827160492</v>
      </c>
      <c r="BE83">
        <f t="shared" si="23"/>
        <v>4.6142285274074073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1.4474499999999999</v>
      </c>
      <c r="H84" s="22">
        <v>6.0695800000000002</v>
      </c>
      <c r="I84" s="22">
        <v>-1.30524E-2</v>
      </c>
      <c r="J84" s="22">
        <v>74</v>
      </c>
      <c r="K84" s="22">
        <v>1.4462299999999999</v>
      </c>
      <c r="L84">
        <f t="shared" si="12"/>
        <v>16.114074074074072</v>
      </c>
      <c r="M84">
        <f t="shared" si="13"/>
        <v>23.324316518518515</v>
      </c>
      <c r="N84" s="9"/>
      <c r="O84" s="22">
        <v>0.272675</v>
      </c>
      <c r="P84" s="22">
        <v>9.9290599999999998</v>
      </c>
      <c r="Q84" s="22">
        <v>-1.3974E-2</v>
      </c>
      <c r="R84" s="22">
        <v>74</v>
      </c>
      <c r="S84" s="22">
        <v>0.27209499999999998</v>
      </c>
      <c r="T84">
        <f t="shared" si="14"/>
        <v>17.251851851851853</v>
      </c>
      <c r="U84">
        <f t="shared" si="15"/>
        <v>4.7041487037037042</v>
      </c>
      <c r="X84" s="9"/>
      <c r="Y84" s="22">
        <v>1.4474499999999999</v>
      </c>
      <c r="Z84" s="22">
        <v>15.5138</v>
      </c>
      <c r="AA84" s="22">
        <v>-1.3085899999999999E-2</v>
      </c>
      <c r="AB84" s="22">
        <v>74</v>
      </c>
      <c r="AC84" s="22">
        <v>1.4468399999999999</v>
      </c>
      <c r="AD84">
        <f t="shared" si="16"/>
        <v>16.155432098765431</v>
      </c>
      <c r="AE84">
        <f t="shared" si="17"/>
        <v>23.38418019135802</v>
      </c>
      <c r="AF84" s="9"/>
      <c r="AG84" s="22">
        <v>0.272675</v>
      </c>
      <c r="AH84" s="22">
        <v>19.3733</v>
      </c>
      <c r="AI84" s="22">
        <v>-1.40015E-2</v>
      </c>
      <c r="AJ84" s="22">
        <v>74</v>
      </c>
      <c r="AK84" s="22">
        <v>0.27215600000000001</v>
      </c>
      <c r="AL84">
        <f t="shared" si="18"/>
        <v>17.285802469135803</v>
      </c>
      <c r="AM84">
        <f t="shared" si="19"/>
        <v>4.7134061882716054</v>
      </c>
      <c r="AP84" s="9"/>
      <c r="AQ84" s="22">
        <v>1.4474499999999999</v>
      </c>
      <c r="AR84" s="22">
        <v>24.818999999999999</v>
      </c>
      <c r="AS84" s="22">
        <v>-1.3119499999999999E-2</v>
      </c>
      <c r="AT84" s="22">
        <v>74</v>
      </c>
      <c r="AU84" s="22">
        <v>1.4462299999999999</v>
      </c>
      <c r="AV84">
        <f t="shared" si="20"/>
        <v>16.19691358024691</v>
      </c>
      <c r="AW84">
        <f t="shared" si="21"/>
        <v>23.444222561728388</v>
      </c>
      <c r="AX84" s="9"/>
      <c r="AY84" s="22">
        <v>0.272675</v>
      </c>
      <c r="AZ84" s="22">
        <v>28.6785</v>
      </c>
      <c r="BA84" s="22">
        <v>-1.39618E-2</v>
      </c>
      <c r="BB84" s="22">
        <v>74</v>
      </c>
      <c r="BC84" s="22">
        <v>0.27209499999999998</v>
      </c>
      <c r="BD84">
        <f t="shared" si="22"/>
        <v>17.236790123456789</v>
      </c>
      <c r="BE84">
        <f t="shared" si="23"/>
        <v>4.7000417469135796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1.44241</v>
      </c>
      <c r="H85" s="22">
        <v>6.07965</v>
      </c>
      <c r="I85" s="22">
        <v>-1.3064600000000001E-2</v>
      </c>
      <c r="J85" s="22">
        <v>75</v>
      </c>
      <c r="K85" s="22">
        <v>1.4413499999999999</v>
      </c>
      <c r="L85">
        <f t="shared" si="12"/>
        <v>16.129135802469136</v>
      </c>
      <c r="M85">
        <f t="shared" si="13"/>
        <v>23.264826772839506</v>
      </c>
      <c r="N85" s="9"/>
      <c r="O85" s="22">
        <v>0.27771000000000001</v>
      </c>
      <c r="P85" s="22">
        <v>9.9391300000000005</v>
      </c>
      <c r="Q85" s="22">
        <v>-1.39709E-2</v>
      </c>
      <c r="R85" s="22">
        <v>75</v>
      </c>
      <c r="S85" s="22">
        <v>0.27712999999999999</v>
      </c>
      <c r="T85">
        <f t="shared" si="14"/>
        <v>17.248024691358022</v>
      </c>
      <c r="U85">
        <f t="shared" si="15"/>
        <v>4.7899489370370363</v>
      </c>
      <c r="X85" s="9"/>
      <c r="Y85" s="22">
        <v>1.44241</v>
      </c>
      <c r="Z85" s="22">
        <v>15.523899999999999</v>
      </c>
      <c r="AA85" s="22">
        <v>-1.31012E-2</v>
      </c>
      <c r="AB85" s="22">
        <v>75</v>
      </c>
      <c r="AC85" s="22">
        <v>1.4416500000000001</v>
      </c>
      <c r="AD85">
        <f t="shared" si="16"/>
        <v>16.174320987654323</v>
      </c>
      <c r="AE85">
        <f t="shared" si="17"/>
        <v>23.330002335802472</v>
      </c>
      <c r="AF85" s="9"/>
      <c r="AG85" s="22">
        <v>0.27771000000000001</v>
      </c>
      <c r="AH85" s="22">
        <v>19.383299999999998</v>
      </c>
      <c r="AI85" s="22">
        <v>-1.3998399999999999E-2</v>
      </c>
      <c r="AJ85" s="22">
        <v>75</v>
      </c>
      <c r="AK85" s="22">
        <v>0.27712999999999999</v>
      </c>
      <c r="AL85">
        <f t="shared" si="18"/>
        <v>17.281975308641975</v>
      </c>
      <c r="AM85">
        <f t="shared" si="19"/>
        <v>4.7993773629629635</v>
      </c>
      <c r="AP85" s="9"/>
      <c r="AQ85" s="22">
        <v>1.44241</v>
      </c>
      <c r="AR85" s="22">
        <v>24.8291</v>
      </c>
      <c r="AS85" s="22">
        <v>-1.3125599999999999E-2</v>
      </c>
      <c r="AT85" s="22">
        <v>75</v>
      </c>
      <c r="AU85" s="22">
        <v>1.4416500000000001</v>
      </c>
      <c r="AV85">
        <f t="shared" si="20"/>
        <v>16.204444444444441</v>
      </c>
      <c r="AW85">
        <f t="shared" si="21"/>
        <v>23.373452711111106</v>
      </c>
      <c r="AX85" s="9"/>
      <c r="AY85" s="22">
        <v>0.27771000000000001</v>
      </c>
      <c r="AZ85" s="22">
        <v>28.688600000000001</v>
      </c>
      <c r="BA85" s="22">
        <v>-1.39618E-2</v>
      </c>
      <c r="BB85" s="22">
        <v>75</v>
      </c>
      <c r="BC85" s="22">
        <v>0.27712999999999999</v>
      </c>
      <c r="BD85">
        <f t="shared" si="22"/>
        <v>17.236790123456789</v>
      </c>
      <c r="BE85">
        <f t="shared" si="23"/>
        <v>4.7868289851851848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1.4373800000000001</v>
      </c>
      <c r="H86" s="22">
        <v>6.0897300000000003</v>
      </c>
      <c r="I86" s="22">
        <v>-1.30768E-2</v>
      </c>
      <c r="J86" s="22">
        <v>76</v>
      </c>
      <c r="K86" s="22">
        <v>1.4361600000000001</v>
      </c>
      <c r="L86">
        <f t="shared" si="12"/>
        <v>16.144197530864194</v>
      </c>
      <c r="M86">
        <f t="shared" si="13"/>
        <v>23.205346646913576</v>
      </c>
      <c r="N86" s="9"/>
      <c r="O86" s="22">
        <v>0.28274500000000002</v>
      </c>
      <c r="P86" s="22">
        <v>9.9491999999999994</v>
      </c>
      <c r="Q86" s="22">
        <v>-1.39618E-2</v>
      </c>
      <c r="R86" s="22">
        <v>76</v>
      </c>
      <c r="S86" s="22">
        <v>0.28213500000000002</v>
      </c>
      <c r="T86">
        <f t="shared" si="14"/>
        <v>17.236790123456789</v>
      </c>
      <c r="U86">
        <f t="shared" si="15"/>
        <v>4.8736162234567901</v>
      </c>
      <c r="X86" s="9"/>
      <c r="Y86" s="22">
        <v>1.4373800000000001</v>
      </c>
      <c r="Z86" s="22">
        <v>15.533899999999999</v>
      </c>
      <c r="AA86" s="22">
        <v>-1.3110399999999999E-2</v>
      </c>
      <c r="AB86" s="22">
        <v>76</v>
      </c>
      <c r="AC86" s="22">
        <v>1.4364600000000001</v>
      </c>
      <c r="AD86">
        <f t="shared" si="16"/>
        <v>16.185679012345677</v>
      </c>
      <c r="AE86">
        <f t="shared" si="17"/>
        <v>23.264971298765431</v>
      </c>
      <c r="AF86" s="9"/>
      <c r="AG86" s="22">
        <v>0.28274500000000002</v>
      </c>
      <c r="AH86" s="22">
        <v>19.3934</v>
      </c>
      <c r="AI86" s="22">
        <v>-1.40015E-2</v>
      </c>
      <c r="AJ86" s="22">
        <v>76</v>
      </c>
      <c r="AK86" s="22">
        <v>0.28213500000000002</v>
      </c>
      <c r="AL86">
        <f t="shared" si="18"/>
        <v>17.285802469135803</v>
      </c>
      <c r="AM86">
        <f t="shared" si="19"/>
        <v>4.8874742191358029</v>
      </c>
      <c r="AP86" s="9"/>
      <c r="AQ86" s="22">
        <v>1.4373800000000001</v>
      </c>
      <c r="AR86" s="22">
        <v>24.839200000000002</v>
      </c>
      <c r="AS86" s="22">
        <v>-1.31317E-2</v>
      </c>
      <c r="AT86" s="22">
        <v>76</v>
      </c>
      <c r="AU86" s="22">
        <v>1.4367700000000001</v>
      </c>
      <c r="AV86">
        <f t="shared" si="20"/>
        <v>16.211975308641971</v>
      </c>
      <c r="AW86">
        <f t="shared" si="21"/>
        <v>23.302769069135799</v>
      </c>
      <c r="AX86" s="9"/>
      <c r="AY86" s="22">
        <v>0.28274500000000002</v>
      </c>
      <c r="AZ86" s="22">
        <v>28.698599999999999</v>
      </c>
      <c r="BA86" s="22">
        <v>-1.39557E-2</v>
      </c>
      <c r="BB86" s="22">
        <v>76</v>
      </c>
      <c r="BC86" s="22">
        <v>0.28210400000000002</v>
      </c>
      <c r="BD86">
        <f t="shared" si="22"/>
        <v>17.229259259259258</v>
      </c>
      <c r="BE86">
        <f t="shared" si="23"/>
        <v>4.8714869092592599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1.4323399999999999</v>
      </c>
      <c r="H87" s="22">
        <v>6.0998000000000001</v>
      </c>
      <c r="I87" s="22">
        <v>-1.3091999999999999E-2</v>
      </c>
      <c r="J87" s="22">
        <v>77</v>
      </c>
      <c r="K87" s="22">
        <v>1.4315800000000001</v>
      </c>
      <c r="L87">
        <f t="shared" si="12"/>
        <v>16.162962962962961</v>
      </c>
      <c r="M87">
        <f t="shared" si="13"/>
        <v>23.150858370370369</v>
      </c>
      <c r="N87" s="9"/>
      <c r="O87" s="22">
        <v>0.28778100000000001</v>
      </c>
      <c r="P87" s="22">
        <v>9.9592700000000001</v>
      </c>
      <c r="Q87" s="22">
        <v>-1.39618E-2</v>
      </c>
      <c r="R87" s="22">
        <v>77</v>
      </c>
      <c r="S87" s="22">
        <v>0.28723100000000001</v>
      </c>
      <c r="T87">
        <f t="shared" si="14"/>
        <v>17.236790123456789</v>
      </c>
      <c r="U87">
        <f t="shared" si="15"/>
        <v>4.9604206985185186</v>
      </c>
      <c r="X87" s="9"/>
      <c r="Y87" s="22">
        <v>1.4323399999999999</v>
      </c>
      <c r="Z87" s="22">
        <v>15.544</v>
      </c>
      <c r="AA87" s="22">
        <v>-1.31317E-2</v>
      </c>
      <c r="AB87" s="22">
        <v>77</v>
      </c>
      <c r="AC87" s="22">
        <v>1.43127</v>
      </c>
      <c r="AD87">
        <f t="shared" si="16"/>
        <v>16.211975308641971</v>
      </c>
      <c r="AE87">
        <f t="shared" si="17"/>
        <v>23.22106071358024</v>
      </c>
      <c r="AF87" s="9"/>
      <c r="AG87" s="22">
        <v>0.28778100000000001</v>
      </c>
      <c r="AH87" s="22">
        <v>19.403500000000001</v>
      </c>
      <c r="AI87" s="22">
        <v>-1.40106E-2</v>
      </c>
      <c r="AJ87" s="22">
        <v>77</v>
      </c>
      <c r="AK87" s="22">
        <v>0.28720099999999998</v>
      </c>
      <c r="AL87">
        <f t="shared" si="18"/>
        <v>17.297037037037036</v>
      </c>
      <c r="AM87">
        <f t="shared" si="19"/>
        <v>4.9777586155555555</v>
      </c>
      <c r="AP87" s="9"/>
      <c r="AQ87" s="22">
        <v>1.4323399999999999</v>
      </c>
      <c r="AR87" s="22">
        <v>24.8492</v>
      </c>
      <c r="AS87" s="22">
        <v>-1.31317E-2</v>
      </c>
      <c r="AT87" s="22">
        <v>77</v>
      </c>
      <c r="AU87" s="22">
        <v>1.4315800000000001</v>
      </c>
      <c r="AV87">
        <f t="shared" si="20"/>
        <v>16.211975308641971</v>
      </c>
      <c r="AW87">
        <f t="shared" si="21"/>
        <v>23.22106071358024</v>
      </c>
      <c r="AX87" s="9"/>
      <c r="AY87" s="22">
        <v>0.28778100000000001</v>
      </c>
      <c r="AZ87" s="22">
        <v>28.7087</v>
      </c>
      <c r="BA87" s="22">
        <v>-1.3946500000000001E-2</v>
      </c>
      <c r="BB87" s="22">
        <v>77</v>
      </c>
      <c r="BC87" s="22">
        <v>0.28720099999999998</v>
      </c>
      <c r="BD87">
        <f t="shared" si="22"/>
        <v>17.217901234567901</v>
      </c>
      <c r="BE87">
        <f t="shared" si="23"/>
        <v>4.9549848351851855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1.4273100000000001</v>
      </c>
      <c r="H88" s="22">
        <v>6.1098699999999999</v>
      </c>
      <c r="I88" s="22">
        <v>-1.31042E-2</v>
      </c>
      <c r="J88" s="22">
        <v>78</v>
      </c>
      <c r="K88" s="22">
        <v>1.4260900000000001</v>
      </c>
      <c r="L88">
        <f t="shared" si="12"/>
        <v>16.178024691358022</v>
      </c>
      <c r="M88">
        <f t="shared" si="13"/>
        <v>23.09105642222222</v>
      </c>
      <c r="N88" s="9"/>
      <c r="O88" s="22">
        <v>0.29281600000000002</v>
      </c>
      <c r="P88" s="22">
        <v>9.9693400000000008</v>
      </c>
      <c r="Q88" s="22">
        <v>-1.39618E-2</v>
      </c>
      <c r="R88" s="22">
        <v>78</v>
      </c>
      <c r="S88" s="22">
        <v>0.292267</v>
      </c>
      <c r="T88">
        <f t="shared" si="14"/>
        <v>17.236790123456789</v>
      </c>
      <c r="U88">
        <f t="shared" si="15"/>
        <v>5.047207936790123</v>
      </c>
      <c r="X88" s="9"/>
      <c r="Y88" s="22">
        <v>1.4273100000000001</v>
      </c>
      <c r="Z88" s="22">
        <v>15.5541</v>
      </c>
      <c r="AA88" s="22">
        <v>-1.315E-2</v>
      </c>
      <c r="AB88" s="22">
        <v>78</v>
      </c>
      <c r="AC88" s="22">
        <v>1.4260900000000001</v>
      </c>
      <c r="AD88">
        <f t="shared" si="16"/>
        <v>16.234567901234566</v>
      </c>
      <c r="AE88">
        <f t="shared" si="17"/>
        <v>23.17176111111111</v>
      </c>
      <c r="AF88" s="9"/>
      <c r="AG88" s="22">
        <v>0.29281600000000002</v>
      </c>
      <c r="AH88" s="22">
        <v>19.413499999999999</v>
      </c>
      <c r="AI88" s="22">
        <v>-1.40015E-2</v>
      </c>
      <c r="AJ88" s="22">
        <v>78</v>
      </c>
      <c r="AK88" s="22">
        <v>0.292236</v>
      </c>
      <c r="AL88">
        <f t="shared" si="18"/>
        <v>17.285802469135803</v>
      </c>
      <c r="AM88">
        <f t="shared" si="19"/>
        <v>5.0615595358024699</v>
      </c>
      <c r="AP88" s="9"/>
      <c r="AQ88" s="22">
        <v>1.4273100000000001</v>
      </c>
      <c r="AR88" s="22">
        <v>24.859300000000001</v>
      </c>
      <c r="AS88" s="22">
        <v>-1.3147000000000001E-2</v>
      </c>
      <c r="AT88" s="22">
        <v>78</v>
      </c>
      <c r="AU88" s="22">
        <v>1.4267000000000001</v>
      </c>
      <c r="AV88">
        <f t="shared" si="20"/>
        <v>16.230864197530863</v>
      </c>
      <c r="AW88">
        <f t="shared" si="21"/>
        <v>23.166474777777779</v>
      </c>
      <c r="AX88" s="9"/>
      <c r="AY88" s="22">
        <v>0.29281600000000002</v>
      </c>
      <c r="AZ88" s="22">
        <v>28.718800000000002</v>
      </c>
      <c r="BA88" s="22">
        <v>-1.3946500000000001E-2</v>
      </c>
      <c r="BB88" s="22">
        <v>78</v>
      </c>
      <c r="BC88" s="22">
        <v>0.292267</v>
      </c>
      <c r="BD88">
        <f t="shared" si="22"/>
        <v>17.217901234567901</v>
      </c>
      <c r="BE88">
        <f t="shared" si="23"/>
        <v>5.0416769679012345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1.4222699999999999</v>
      </c>
      <c r="H89" s="22">
        <v>6.1199399999999997</v>
      </c>
      <c r="I89" s="22">
        <v>-1.31042E-2</v>
      </c>
      <c r="J89" s="22">
        <v>79</v>
      </c>
      <c r="K89" s="22">
        <v>1.4212</v>
      </c>
      <c r="L89">
        <f t="shared" si="12"/>
        <v>16.178024691358022</v>
      </c>
      <c r="M89">
        <f t="shared" si="13"/>
        <v>23.009519177777772</v>
      </c>
      <c r="N89" s="9"/>
      <c r="O89" s="22">
        <v>0.29785200000000001</v>
      </c>
      <c r="P89" s="22">
        <v>9.9794099999999997</v>
      </c>
      <c r="Q89" s="22">
        <v>-1.3958699999999999E-2</v>
      </c>
      <c r="R89" s="22">
        <v>79</v>
      </c>
      <c r="S89" s="22">
        <v>0.29724099999999998</v>
      </c>
      <c r="T89">
        <f t="shared" si="14"/>
        <v>17.232962962962961</v>
      </c>
      <c r="U89">
        <f t="shared" si="15"/>
        <v>5.1328724844444444</v>
      </c>
      <c r="X89" s="9"/>
      <c r="Y89" s="22">
        <v>1.4222699999999999</v>
      </c>
      <c r="Z89" s="22">
        <v>15.5641</v>
      </c>
      <c r="AA89" s="22">
        <v>-1.31714E-2</v>
      </c>
      <c r="AB89" s="22">
        <v>79</v>
      </c>
      <c r="AC89" s="22">
        <v>1.4215100000000001</v>
      </c>
      <c r="AD89">
        <f t="shared" si="16"/>
        <v>16.260987654320989</v>
      </c>
      <c r="AE89">
        <f t="shared" si="17"/>
        <v>23.12751491111111</v>
      </c>
      <c r="AF89" s="9"/>
      <c r="AG89" s="22">
        <v>0.29785200000000001</v>
      </c>
      <c r="AH89" s="22">
        <v>19.4236</v>
      </c>
      <c r="AI89" s="22">
        <v>-1.39954E-2</v>
      </c>
      <c r="AJ89" s="22">
        <v>79</v>
      </c>
      <c r="AK89" s="22">
        <v>0.29736299999999999</v>
      </c>
      <c r="AL89">
        <f t="shared" si="18"/>
        <v>17.278271604938272</v>
      </c>
      <c r="AM89">
        <f t="shared" si="19"/>
        <v>5.146367754074074</v>
      </c>
      <c r="AP89" s="9"/>
      <c r="AQ89" s="22">
        <v>1.4222699999999999</v>
      </c>
      <c r="AR89" s="22">
        <v>24.869399999999999</v>
      </c>
      <c r="AS89" s="22">
        <v>-1.3159199999999999E-2</v>
      </c>
      <c r="AT89" s="22">
        <v>79</v>
      </c>
      <c r="AU89" s="22">
        <v>1.4215100000000001</v>
      </c>
      <c r="AV89">
        <f t="shared" si="20"/>
        <v>16.245925925925924</v>
      </c>
      <c r="AW89">
        <f t="shared" si="21"/>
        <v>23.106093066666663</v>
      </c>
      <c r="AX89" s="9"/>
      <c r="AY89" s="22">
        <v>0.29785200000000001</v>
      </c>
      <c r="AZ89" s="22">
        <v>28.7288</v>
      </c>
      <c r="BA89" s="22">
        <v>-1.39343E-2</v>
      </c>
      <c r="BB89" s="22">
        <v>79</v>
      </c>
      <c r="BC89" s="22">
        <v>0.29730200000000001</v>
      </c>
      <c r="BD89">
        <f t="shared" si="22"/>
        <v>17.202839506172836</v>
      </c>
      <c r="BE89">
        <f t="shared" si="23"/>
        <v>5.1239001525925918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1.4172400000000001</v>
      </c>
      <c r="H90" s="22">
        <v>6.1300100000000004</v>
      </c>
      <c r="I90" s="22">
        <v>-1.3107300000000001E-2</v>
      </c>
      <c r="J90" s="22">
        <v>80</v>
      </c>
      <c r="K90" s="22">
        <v>1.41632</v>
      </c>
      <c r="L90">
        <f t="shared" si="12"/>
        <v>16.181851851851849</v>
      </c>
      <c r="M90">
        <f t="shared" si="13"/>
        <v>22.933567718518518</v>
      </c>
      <c r="N90" s="9"/>
      <c r="O90" s="22">
        <v>0.30288700000000002</v>
      </c>
      <c r="P90" s="22">
        <v>9.9894800000000004</v>
      </c>
      <c r="Q90" s="22">
        <v>-1.39496E-2</v>
      </c>
      <c r="R90" s="22">
        <v>80</v>
      </c>
      <c r="S90" s="22">
        <v>0.30236800000000003</v>
      </c>
      <c r="T90">
        <f t="shared" si="14"/>
        <v>17.221728395061724</v>
      </c>
      <c r="U90">
        <f t="shared" si="15"/>
        <v>5.2162376483950608</v>
      </c>
      <c r="X90" s="9"/>
      <c r="Y90" s="22">
        <v>1.4172400000000001</v>
      </c>
      <c r="Z90" s="22">
        <v>15.574199999999999</v>
      </c>
      <c r="AA90" s="22">
        <v>-1.31927E-2</v>
      </c>
      <c r="AB90" s="22">
        <v>80</v>
      </c>
      <c r="AC90" s="22">
        <v>1.41693</v>
      </c>
      <c r="AD90">
        <f t="shared" si="16"/>
        <v>16.287283950617283</v>
      </c>
      <c r="AE90">
        <f t="shared" si="17"/>
        <v>23.082990306172839</v>
      </c>
      <c r="AF90" s="9"/>
      <c r="AG90" s="22">
        <v>0.30288700000000002</v>
      </c>
      <c r="AH90" s="22">
        <v>19.433700000000002</v>
      </c>
      <c r="AI90" s="22">
        <v>-1.40076E-2</v>
      </c>
      <c r="AJ90" s="22">
        <v>80</v>
      </c>
      <c r="AK90" s="22">
        <v>0.30230699999999999</v>
      </c>
      <c r="AL90">
        <f t="shared" si="18"/>
        <v>17.293333333333333</v>
      </c>
      <c r="AM90">
        <f t="shared" si="19"/>
        <v>5.2379258533333335</v>
      </c>
      <c r="AP90" s="9"/>
      <c r="AQ90" s="22">
        <v>1.4172400000000001</v>
      </c>
      <c r="AR90" s="22">
        <v>24.8794</v>
      </c>
      <c r="AS90" s="22">
        <v>-1.31653E-2</v>
      </c>
      <c r="AT90" s="22">
        <v>80</v>
      </c>
      <c r="AU90" s="22">
        <v>1.41632</v>
      </c>
      <c r="AV90">
        <f t="shared" si="20"/>
        <v>16.253456790123455</v>
      </c>
      <c r="AW90">
        <f t="shared" si="21"/>
        <v>23.035049101234566</v>
      </c>
      <c r="AX90" s="9"/>
      <c r="AY90" s="22">
        <v>0.30288700000000002</v>
      </c>
      <c r="AZ90" s="22">
        <v>28.738900000000001</v>
      </c>
      <c r="BA90" s="22">
        <v>-1.39282E-2</v>
      </c>
      <c r="BB90" s="22">
        <v>80</v>
      </c>
      <c r="BC90" s="22">
        <v>0.302338</v>
      </c>
      <c r="BD90">
        <f t="shared" si="22"/>
        <v>17.195308641975309</v>
      </c>
      <c r="BE90">
        <f t="shared" si="23"/>
        <v>5.2082354486419762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1.4121999999999999</v>
      </c>
      <c r="H91" s="22">
        <v>6.1400800000000002</v>
      </c>
      <c r="I91" s="22">
        <v>-1.3113400000000001E-2</v>
      </c>
      <c r="J91" s="22">
        <v>81</v>
      </c>
      <c r="K91" s="22">
        <v>1.41113</v>
      </c>
      <c r="L91">
        <f t="shared" si="12"/>
        <v>16.18938271604938</v>
      </c>
      <c r="M91">
        <f t="shared" si="13"/>
        <v>22.862646271604934</v>
      </c>
      <c r="N91" s="9"/>
      <c r="O91" s="22">
        <v>0.30792199999999997</v>
      </c>
      <c r="P91" s="22">
        <v>9.9995499999999993</v>
      </c>
      <c r="Q91" s="22">
        <v>-1.3943499999999999E-2</v>
      </c>
      <c r="R91" s="22">
        <v>81</v>
      </c>
      <c r="S91" s="22">
        <v>0.30734299999999998</v>
      </c>
      <c r="T91">
        <f t="shared" si="14"/>
        <v>17.214197530864197</v>
      </c>
      <c r="U91">
        <f t="shared" si="15"/>
        <v>5.3006301320987648</v>
      </c>
      <c r="X91" s="9"/>
      <c r="Y91" s="22">
        <v>1.4121999999999999</v>
      </c>
      <c r="Z91" s="22">
        <v>15.584300000000001</v>
      </c>
      <c r="AA91" s="22">
        <v>-1.32111E-2</v>
      </c>
      <c r="AB91" s="22">
        <v>81</v>
      </c>
      <c r="AC91" s="22">
        <v>1.41144</v>
      </c>
      <c r="AD91">
        <f t="shared" si="16"/>
        <v>16.309999999999999</v>
      </c>
      <c r="AE91">
        <f t="shared" si="17"/>
        <v>23.032981999999997</v>
      </c>
      <c r="AF91" s="9"/>
      <c r="AG91" s="22">
        <v>0.30792199999999997</v>
      </c>
      <c r="AH91" s="22">
        <v>19.4438</v>
      </c>
      <c r="AI91" s="22">
        <v>-1.40137E-2</v>
      </c>
      <c r="AJ91" s="22">
        <v>81</v>
      </c>
      <c r="AK91" s="22">
        <v>0.30731199999999997</v>
      </c>
      <c r="AL91">
        <f t="shared" si="18"/>
        <v>17.300864197530863</v>
      </c>
      <c r="AM91">
        <f t="shared" si="19"/>
        <v>5.3273167054320982</v>
      </c>
      <c r="AP91" s="9"/>
      <c r="AQ91" s="22">
        <v>1.4121999999999999</v>
      </c>
      <c r="AR91" s="22">
        <v>24.889500000000002</v>
      </c>
      <c r="AS91" s="22">
        <v>-1.3168300000000001E-2</v>
      </c>
      <c r="AT91" s="22">
        <v>81</v>
      </c>
      <c r="AU91" s="22">
        <v>1.41144</v>
      </c>
      <c r="AV91">
        <f t="shared" si="20"/>
        <v>16.257160493827158</v>
      </c>
      <c r="AW91">
        <f t="shared" si="21"/>
        <v>22.958362049382711</v>
      </c>
      <c r="AX91" s="9"/>
      <c r="AY91" s="22">
        <v>0.30792199999999997</v>
      </c>
      <c r="AZ91" s="22">
        <v>28.748999999999999</v>
      </c>
      <c r="BA91" s="22">
        <v>-1.39343E-2</v>
      </c>
      <c r="BB91" s="22">
        <v>81</v>
      </c>
      <c r="BC91" s="22">
        <v>0.30731199999999997</v>
      </c>
      <c r="BD91">
        <f t="shared" si="22"/>
        <v>17.202839506172836</v>
      </c>
      <c r="BE91">
        <f t="shared" si="23"/>
        <v>5.2971327464197513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1.40717</v>
      </c>
      <c r="H92" s="22">
        <v>6.15015</v>
      </c>
      <c r="I92" s="22">
        <v>-1.31287E-2</v>
      </c>
      <c r="J92" s="22">
        <v>82</v>
      </c>
      <c r="K92" s="22">
        <v>1.40686</v>
      </c>
      <c r="L92">
        <f t="shared" si="12"/>
        <v>16.208271604938268</v>
      </c>
      <c r="M92">
        <f t="shared" si="13"/>
        <v>22.807793554320984</v>
      </c>
      <c r="N92" s="9"/>
      <c r="O92" s="22">
        <v>0.31295800000000001</v>
      </c>
      <c r="P92" s="22">
        <v>10.009600000000001</v>
      </c>
      <c r="Q92" s="22">
        <v>-1.39404E-2</v>
      </c>
      <c r="R92" s="22">
        <v>82</v>
      </c>
      <c r="S92" s="22">
        <v>0.31234699999999999</v>
      </c>
      <c r="T92">
        <f t="shared" si="14"/>
        <v>17.21037037037037</v>
      </c>
      <c r="U92">
        <f t="shared" si="15"/>
        <v>5.3861230903703703</v>
      </c>
      <c r="X92" s="9"/>
      <c r="Y92" s="22">
        <v>1.40717</v>
      </c>
      <c r="Z92" s="22">
        <v>15.5944</v>
      </c>
      <c r="AA92" s="22">
        <v>-1.32233E-2</v>
      </c>
      <c r="AB92" s="22">
        <v>82</v>
      </c>
      <c r="AC92" s="22">
        <v>1.40594</v>
      </c>
      <c r="AD92">
        <f t="shared" si="16"/>
        <v>16.32506172839506</v>
      </c>
      <c r="AE92">
        <f t="shared" si="17"/>
        <v>22.972137112345678</v>
      </c>
      <c r="AF92" s="9"/>
      <c r="AG92" s="22">
        <v>0.31295800000000001</v>
      </c>
      <c r="AH92" s="22">
        <v>19.453800000000001</v>
      </c>
      <c r="AI92" s="22">
        <v>-1.40167E-2</v>
      </c>
      <c r="AJ92" s="22">
        <v>82</v>
      </c>
      <c r="AK92" s="22">
        <v>0.31234699999999999</v>
      </c>
      <c r="AL92">
        <f t="shared" si="18"/>
        <v>17.304567901234567</v>
      </c>
      <c r="AM92">
        <f t="shared" si="19"/>
        <v>5.4156029612345673</v>
      </c>
      <c r="AP92" s="9"/>
      <c r="AQ92" s="22">
        <v>1.40717</v>
      </c>
      <c r="AR92" s="22">
        <v>24.8996</v>
      </c>
      <c r="AS92" s="22">
        <v>-1.31775E-2</v>
      </c>
      <c r="AT92" s="22">
        <v>82</v>
      </c>
      <c r="AU92" s="22">
        <v>1.40594</v>
      </c>
      <c r="AV92">
        <f t="shared" si="20"/>
        <v>16.268518518518519</v>
      </c>
      <c r="AW92">
        <f t="shared" si="21"/>
        <v>22.892571203703707</v>
      </c>
      <c r="AX92" s="9"/>
      <c r="AY92" s="22">
        <v>0.31295800000000001</v>
      </c>
      <c r="AZ92" s="22">
        <v>28.7591</v>
      </c>
      <c r="BA92" s="22">
        <v>-1.3937400000000001E-2</v>
      </c>
      <c r="BB92" s="22">
        <v>82</v>
      </c>
      <c r="BC92" s="22">
        <v>0.31237799999999999</v>
      </c>
      <c r="BD92">
        <f t="shared" si="22"/>
        <v>17.206666666666667</v>
      </c>
      <c r="BE92">
        <f t="shared" si="23"/>
        <v>5.3849639866666674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1.4021300000000001</v>
      </c>
      <c r="H93" s="22">
        <v>6.1602199999999998</v>
      </c>
      <c r="I93" s="22">
        <v>-1.31561E-2</v>
      </c>
      <c r="J93" s="22">
        <v>83</v>
      </c>
      <c r="K93" s="22">
        <v>1.40167</v>
      </c>
      <c r="L93">
        <f t="shared" si="12"/>
        <v>16.2420987654321</v>
      </c>
      <c r="M93">
        <f t="shared" si="13"/>
        <v>22.773533941975312</v>
      </c>
      <c r="N93" s="9"/>
      <c r="O93" s="22">
        <v>0.31799300000000003</v>
      </c>
      <c r="P93" s="22">
        <v>10.0197</v>
      </c>
      <c r="Q93" s="22">
        <v>-1.39404E-2</v>
      </c>
      <c r="R93" s="22">
        <v>83</v>
      </c>
      <c r="S93" s="22">
        <v>0.31738300000000003</v>
      </c>
      <c r="T93">
        <f t="shared" si="14"/>
        <v>17.21037037037037</v>
      </c>
      <c r="U93">
        <f t="shared" si="15"/>
        <v>5.4727773051851853</v>
      </c>
      <c r="X93" s="9"/>
      <c r="Y93" s="22">
        <v>1.4021300000000001</v>
      </c>
      <c r="Z93" s="22">
        <v>15.6044</v>
      </c>
      <c r="AA93" s="22">
        <v>-1.3235500000000001E-2</v>
      </c>
      <c r="AB93" s="22">
        <v>83</v>
      </c>
      <c r="AC93" s="22">
        <v>1.40106</v>
      </c>
      <c r="AD93">
        <f t="shared" si="16"/>
        <v>16.340123456790124</v>
      </c>
      <c r="AE93">
        <f t="shared" si="17"/>
        <v>22.910977302469139</v>
      </c>
      <c r="AF93" s="9"/>
      <c r="AG93" s="22">
        <v>0.31799300000000003</v>
      </c>
      <c r="AH93" s="22">
        <v>19.463899999999999</v>
      </c>
      <c r="AI93" s="22">
        <v>-1.40137E-2</v>
      </c>
      <c r="AJ93" s="22">
        <v>83</v>
      </c>
      <c r="AK93" s="22">
        <v>0.317413</v>
      </c>
      <c r="AL93">
        <f t="shared" si="18"/>
        <v>17.300864197530863</v>
      </c>
      <c r="AM93">
        <f t="shared" si="19"/>
        <v>5.5015537087654325</v>
      </c>
      <c r="AP93" s="9"/>
      <c r="AQ93" s="22">
        <v>1.4021300000000001</v>
      </c>
      <c r="AR93" s="22">
        <v>24.909700000000001</v>
      </c>
      <c r="AS93" s="22">
        <v>-1.31775E-2</v>
      </c>
      <c r="AT93" s="22">
        <v>83</v>
      </c>
      <c r="AU93" s="22">
        <v>1.40106</v>
      </c>
      <c r="AV93">
        <f t="shared" si="20"/>
        <v>16.268518518518519</v>
      </c>
      <c r="AW93">
        <f t="shared" si="21"/>
        <v>22.810577870370373</v>
      </c>
      <c r="AX93" s="9"/>
      <c r="AY93" s="22">
        <v>0.31799300000000003</v>
      </c>
      <c r="AZ93" s="22">
        <v>28.769100000000002</v>
      </c>
      <c r="BA93" s="22">
        <v>-1.3943499999999999E-2</v>
      </c>
      <c r="BB93" s="22">
        <v>83</v>
      </c>
      <c r="BC93" s="22">
        <v>0.31738300000000003</v>
      </c>
      <c r="BD93">
        <f t="shared" si="22"/>
        <v>17.214197530864197</v>
      </c>
      <c r="BE93">
        <f t="shared" si="23"/>
        <v>5.4739943154320994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1.3970899999999999</v>
      </c>
      <c r="H94" s="22">
        <v>6.1702899999999996</v>
      </c>
      <c r="I94" s="22">
        <v>-1.3174399999999999E-2</v>
      </c>
      <c r="J94" s="22">
        <v>84</v>
      </c>
      <c r="K94" s="22">
        <v>1.3964799999999999</v>
      </c>
      <c r="L94">
        <f t="shared" si="12"/>
        <v>16.264691358024692</v>
      </c>
      <c r="M94">
        <f t="shared" si="13"/>
        <v>22.723237649382714</v>
      </c>
      <c r="N94" s="9"/>
      <c r="O94" s="22">
        <v>0.32302900000000001</v>
      </c>
      <c r="P94" s="22">
        <v>10.0298</v>
      </c>
      <c r="Q94" s="22">
        <v>-1.39496E-2</v>
      </c>
      <c r="R94" s="22">
        <v>84</v>
      </c>
      <c r="S94" s="22">
        <v>0.32244899999999999</v>
      </c>
      <c r="T94">
        <f t="shared" si="14"/>
        <v>17.221728395061724</v>
      </c>
      <c r="U94">
        <f t="shared" si="15"/>
        <v>5.5631177017283937</v>
      </c>
      <c r="X94" s="9"/>
      <c r="Y94" s="22">
        <v>1.3970899999999999</v>
      </c>
      <c r="Z94" s="22">
        <v>15.6145</v>
      </c>
      <c r="AA94" s="22">
        <v>-1.32446E-2</v>
      </c>
      <c r="AB94" s="22">
        <v>84</v>
      </c>
      <c r="AC94" s="22">
        <v>1.3958699999999999</v>
      </c>
      <c r="AD94">
        <f t="shared" si="16"/>
        <v>16.351358024691358</v>
      </c>
      <c r="AE94">
        <f t="shared" si="17"/>
        <v>22.844318782716048</v>
      </c>
      <c r="AF94" s="9"/>
      <c r="AG94" s="22">
        <v>0.32302900000000001</v>
      </c>
      <c r="AH94" s="22">
        <v>19.474</v>
      </c>
      <c r="AI94" s="22">
        <v>-1.40015E-2</v>
      </c>
      <c r="AJ94" s="22">
        <v>84</v>
      </c>
      <c r="AK94" s="22">
        <v>0.32244899999999999</v>
      </c>
      <c r="AL94">
        <f t="shared" si="18"/>
        <v>17.285802469135803</v>
      </c>
      <c r="AM94">
        <f t="shared" si="19"/>
        <v>5.5838154858024698</v>
      </c>
      <c r="AP94" s="9"/>
      <c r="AQ94" s="22">
        <v>1.3970899999999999</v>
      </c>
      <c r="AR94" s="22">
        <v>24.919699999999999</v>
      </c>
      <c r="AS94" s="22">
        <v>-1.31805E-2</v>
      </c>
      <c r="AT94" s="22">
        <v>84</v>
      </c>
      <c r="AU94" s="22">
        <v>1.3958699999999999</v>
      </c>
      <c r="AV94">
        <f t="shared" si="20"/>
        <v>16.272222222222219</v>
      </c>
      <c r="AW94">
        <f t="shared" si="21"/>
        <v>22.733758944444439</v>
      </c>
      <c r="AX94" s="9"/>
      <c r="AY94" s="22">
        <v>0.32302900000000001</v>
      </c>
      <c r="AZ94" s="22">
        <v>28.779199999999999</v>
      </c>
      <c r="BA94" s="22">
        <v>-1.3952600000000001E-2</v>
      </c>
      <c r="BB94" s="22">
        <v>84</v>
      </c>
      <c r="BC94" s="22">
        <v>0.32253999999999999</v>
      </c>
      <c r="BD94">
        <f t="shared" si="22"/>
        <v>17.225432098765431</v>
      </c>
      <c r="BE94">
        <f t="shared" si="23"/>
        <v>5.564314105432099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1.3920600000000001</v>
      </c>
      <c r="H95" s="22">
        <v>6.1803600000000003</v>
      </c>
      <c r="I95" s="22">
        <v>-1.31866E-2</v>
      </c>
      <c r="J95" s="22">
        <v>85</v>
      </c>
      <c r="K95" s="22">
        <v>1.3913</v>
      </c>
      <c r="L95">
        <f t="shared" si="12"/>
        <v>16.279753086419749</v>
      </c>
      <c r="M95">
        <f t="shared" si="13"/>
        <v>22.662393081481476</v>
      </c>
      <c r="N95" s="9"/>
      <c r="O95" s="22">
        <v>0.32806400000000002</v>
      </c>
      <c r="P95" s="22">
        <v>10.0398</v>
      </c>
      <c r="Q95" s="22">
        <v>-1.39557E-2</v>
      </c>
      <c r="R95" s="22">
        <v>85</v>
      </c>
      <c r="S95" s="22">
        <v>0.32739299999999999</v>
      </c>
      <c r="T95">
        <f t="shared" si="14"/>
        <v>17.229259259259258</v>
      </c>
      <c r="U95">
        <f t="shared" si="15"/>
        <v>5.6522997096296299</v>
      </c>
      <c r="X95" s="9"/>
      <c r="Y95" s="22">
        <v>1.3920600000000001</v>
      </c>
      <c r="Z95" s="22">
        <v>15.624599999999999</v>
      </c>
      <c r="AA95" s="22">
        <v>-1.32538E-2</v>
      </c>
      <c r="AB95" s="22">
        <v>85</v>
      </c>
      <c r="AC95" s="22">
        <v>1.39069</v>
      </c>
      <c r="AD95">
        <f t="shared" si="16"/>
        <v>16.362716049382716</v>
      </c>
      <c r="AE95">
        <f t="shared" si="17"/>
        <v>22.777882503703704</v>
      </c>
      <c r="AF95" s="9"/>
      <c r="AG95" s="22">
        <v>0.32806400000000002</v>
      </c>
      <c r="AH95" s="22">
        <v>19.484000000000002</v>
      </c>
      <c r="AI95" s="22">
        <v>-1.40015E-2</v>
      </c>
      <c r="AJ95" s="22">
        <v>85</v>
      </c>
      <c r="AK95" s="22">
        <v>0.327484</v>
      </c>
      <c r="AL95">
        <f t="shared" si="18"/>
        <v>17.285802469135803</v>
      </c>
      <c r="AM95">
        <f t="shared" si="19"/>
        <v>5.6708495012345681</v>
      </c>
      <c r="AP95" s="9"/>
      <c r="AQ95" s="22">
        <v>1.3920600000000001</v>
      </c>
      <c r="AR95" s="22">
        <v>24.9298</v>
      </c>
      <c r="AS95" s="22">
        <v>-1.31866E-2</v>
      </c>
      <c r="AT95" s="22">
        <v>85</v>
      </c>
      <c r="AU95" s="22">
        <v>1.39069</v>
      </c>
      <c r="AV95">
        <f t="shared" si="20"/>
        <v>16.279753086419749</v>
      </c>
      <c r="AW95">
        <f t="shared" si="21"/>
        <v>22.662393081481476</v>
      </c>
      <c r="AX95" s="9"/>
      <c r="AY95" s="22">
        <v>0.32806400000000002</v>
      </c>
      <c r="AZ95" s="22">
        <v>28.789300000000001</v>
      </c>
      <c r="BA95" s="22">
        <v>-1.39557E-2</v>
      </c>
      <c r="BB95" s="22">
        <v>85</v>
      </c>
      <c r="BC95" s="22">
        <v>0.327484</v>
      </c>
      <c r="BD95">
        <f t="shared" si="22"/>
        <v>17.229259259259258</v>
      </c>
      <c r="BE95">
        <f t="shared" si="23"/>
        <v>5.6522997096296299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1.3870199999999999</v>
      </c>
      <c r="H96" s="22">
        <v>6.1904399999999997</v>
      </c>
      <c r="I96" s="22">
        <v>-1.31989E-2</v>
      </c>
      <c r="J96" s="22">
        <v>86</v>
      </c>
      <c r="K96" s="22">
        <v>1.38611</v>
      </c>
      <c r="L96">
        <f t="shared" si="12"/>
        <v>16.294938271604938</v>
      </c>
      <c r="M96">
        <f t="shared" si="13"/>
        <v>22.60140528148148</v>
      </c>
      <c r="N96" s="9"/>
      <c r="O96" s="22">
        <v>0.33309899999999998</v>
      </c>
      <c r="P96" s="22">
        <v>10.049899999999999</v>
      </c>
      <c r="Q96" s="22">
        <v>-1.39496E-2</v>
      </c>
      <c r="R96" s="22">
        <v>86</v>
      </c>
      <c r="S96" s="22">
        <v>0.33251999999999998</v>
      </c>
      <c r="T96">
        <f t="shared" si="14"/>
        <v>17.221728395061724</v>
      </c>
      <c r="U96">
        <f t="shared" si="15"/>
        <v>5.7365405066666648</v>
      </c>
      <c r="X96" s="9"/>
      <c r="Y96" s="22">
        <v>1.3870199999999999</v>
      </c>
      <c r="Z96" s="22">
        <v>15.634600000000001</v>
      </c>
      <c r="AA96" s="22">
        <v>-1.32721E-2</v>
      </c>
      <c r="AB96" s="22">
        <v>86</v>
      </c>
      <c r="AC96" s="22">
        <v>1.3864099999999999</v>
      </c>
      <c r="AD96">
        <f t="shared" si="16"/>
        <v>16.385308641975307</v>
      </c>
      <c r="AE96">
        <f t="shared" si="17"/>
        <v>22.72675079259259</v>
      </c>
      <c r="AF96" s="9"/>
      <c r="AG96" s="22">
        <v>0.33309899999999998</v>
      </c>
      <c r="AH96" s="22">
        <v>19.4941</v>
      </c>
      <c r="AI96" s="22">
        <v>-1.3998399999999999E-2</v>
      </c>
      <c r="AJ96" s="22">
        <v>86</v>
      </c>
      <c r="AK96" s="22">
        <v>0.33245799999999998</v>
      </c>
      <c r="AL96">
        <f t="shared" si="18"/>
        <v>17.281975308641975</v>
      </c>
      <c r="AM96">
        <f t="shared" si="19"/>
        <v>5.7566086933333329</v>
      </c>
      <c r="AP96" s="9"/>
      <c r="AQ96" s="22">
        <v>1.3870199999999999</v>
      </c>
      <c r="AR96" s="22">
        <v>24.939900000000002</v>
      </c>
      <c r="AS96" s="22">
        <v>-1.3201900000000001E-2</v>
      </c>
      <c r="AT96" s="22">
        <v>86</v>
      </c>
      <c r="AU96" s="22">
        <v>1.3870199999999999</v>
      </c>
      <c r="AV96">
        <f t="shared" si="20"/>
        <v>16.298641975308641</v>
      </c>
      <c r="AW96">
        <f t="shared" si="21"/>
        <v>22.606542392592591</v>
      </c>
      <c r="AX96" s="9"/>
      <c r="AY96" s="22">
        <v>0.33309899999999998</v>
      </c>
      <c r="AZ96" s="22">
        <v>28.799299999999999</v>
      </c>
      <c r="BA96" s="22">
        <v>-1.3952600000000001E-2</v>
      </c>
      <c r="BB96" s="22">
        <v>86</v>
      </c>
      <c r="BC96" s="22">
        <v>0.33245799999999998</v>
      </c>
      <c r="BD96">
        <f t="shared" si="22"/>
        <v>17.225432098765431</v>
      </c>
      <c r="BE96">
        <f t="shared" si="23"/>
        <v>5.7377742066666659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1.3819900000000001</v>
      </c>
      <c r="H97" s="22">
        <v>6.2005100000000004</v>
      </c>
      <c r="I97" s="22">
        <v>-1.3201900000000001E-2</v>
      </c>
      <c r="J97" s="22">
        <v>87</v>
      </c>
      <c r="K97" s="22">
        <v>1.38123</v>
      </c>
      <c r="L97">
        <f t="shared" si="12"/>
        <v>16.298641975308641</v>
      </c>
      <c r="M97">
        <f t="shared" si="13"/>
        <v>22.524560223456788</v>
      </c>
      <c r="N97" s="9"/>
      <c r="O97" s="22">
        <v>0.33813500000000002</v>
      </c>
      <c r="P97" s="22">
        <v>10.06</v>
      </c>
      <c r="Q97" s="22">
        <v>-1.3937400000000001E-2</v>
      </c>
      <c r="R97" s="22">
        <v>87</v>
      </c>
      <c r="S97" s="22">
        <v>0.33755499999999999</v>
      </c>
      <c r="T97">
        <f t="shared" si="14"/>
        <v>17.206666666666667</v>
      </c>
      <c r="U97">
        <f t="shared" si="15"/>
        <v>5.8181762333333333</v>
      </c>
      <c r="X97" s="9"/>
      <c r="Y97" s="22">
        <v>1.3819900000000001</v>
      </c>
      <c r="Z97" s="22">
        <v>15.6447</v>
      </c>
      <c r="AA97" s="22">
        <v>-1.32935E-2</v>
      </c>
      <c r="AB97" s="22">
        <v>87</v>
      </c>
      <c r="AC97" s="22">
        <v>1.3809199999999999</v>
      </c>
      <c r="AD97">
        <f t="shared" si="16"/>
        <v>16.411728395061726</v>
      </c>
      <c r="AE97">
        <f t="shared" si="17"/>
        <v>22.680844524691356</v>
      </c>
      <c r="AF97" s="9"/>
      <c r="AG97" s="22">
        <v>0.33813500000000002</v>
      </c>
      <c r="AH97" s="22">
        <v>19.504200000000001</v>
      </c>
      <c r="AI97" s="22">
        <v>-1.3998399999999999E-2</v>
      </c>
      <c r="AJ97" s="22">
        <v>87</v>
      </c>
      <c r="AK97" s="22">
        <v>0.33752399999999999</v>
      </c>
      <c r="AL97">
        <f t="shared" si="18"/>
        <v>17.281975308641975</v>
      </c>
      <c r="AM97">
        <f t="shared" si="19"/>
        <v>5.8436407209876542</v>
      </c>
      <c r="AP97" s="9"/>
      <c r="AQ97" s="22">
        <v>1.3819900000000001</v>
      </c>
      <c r="AR97" s="22">
        <v>24.9499</v>
      </c>
      <c r="AS97" s="22">
        <v>-1.32263E-2</v>
      </c>
      <c r="AT97" s="22">
        <v>87</v>
      </c>
      <c r="AU97" s="22">
        <v>1.38123</v>
      </c>
      <c r="AV97">
        <f t="shared" si="20"/>
        <v>16.328765432098766</v>
      </c>
      <c r="AW97">
        <f t="shared" si="21"/>
        <v>22.566190539506174</v>
      </c>
      <c r="AX97" s="9"/>
      <c r="AY97" s="22">
        <v>0.33813500000000002</v>
      </c>
      <c r="AZ97" s="22">
        <v>28.8094</v>
      </c>
      <c r="BA97" s="22">
        <v>-1.3946500000000001E-2</v>
      </c>
      <c r="BB97" s="22">
        <v>87</v>
      </c>
      <c r="BC97" s="22">
        <v>0.33749400000000002</v>
      </c>
      <c r="BD97">
        <f t="shared" si="22"/>
        <v>17.217901234567901</v>
      </c>
      <c r="BE97">
        <f t="shared" si="23"/>
        <v>5.8219750339506176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1.3769499999999999</v>
      </c>
      <c r="H98" s="22">
        <v>6.2105800000000002</v>
      </c>
      <c r="I98" s="22">
        <v>-1.32172E-2</v>
      </c>
      <c r="J98" s="22">
        <v>88</v>
      </c>
      <c r="K98" s="22">
        <v>1.3763399999999999</v>
      </c>
      <c r="L98">
        <f t="shared" si="12"/>
        <v>16.317530864197529</v>
      </c>
      <c r="M98">
        <f t="shared" si="13"/>
        <v>22.468424123456785</v>
      </c>
      <c r="N98" s="9"/>
      <c r="O98" s="22">
        <v>0.34316999999999998</v>
      </c>
      <c r="P98" s="22">
        <v>10.0701</v>
      </c>
      <c r="Q98" s="22">
        <v>-1.3937400000000001E-2</v>
      </c>
      <c r="R98" s="22">
        <v>88</v>
      </c>
      <c r="S98" s="22">
        <v>0.34255999999999998</v>
      </c>
      <c r="T98">
        <f t="shared" si="14"/>
        <v>17.206666666666667</v>
      </c>
      <c r="U98">
        <f t="shared" si="15"/>
        <v>5.9048118000000001</v>
      </c>
      <c r="X98" s="9"/>
      <c r="Y98" s="22">
        <v>1.3769499999999999</v>
      </c>
      <c r="Z98" s="22">
        <v>15.6548</v>
      </c>
      <c r="AA98" s="22">
        <v>-1.33118E-2</v>
      </c>
      <c r="AB98" s="22">
        <v>88</v>
      </c>
      <c r="AC98" s="22">
        <v>1.3766499999999999</v>
      </c>
      <c r="AD98">
        <f t="shared" si="16"/>
        <v>16.434320987654321</v>
      </c>
      <c r="AE98">
        <f t="shared" si="17"/>
        <v>22.629238283950617</v>
      </c>
      <c r="AF98" s="9"/>
      <c r="AG98" s="22">
        <v>0.34316999999999998</v>
      </c>
      <c r="AH98" s="22">
        <v>19.514299999999999</v>
      </c>
      <c r="AI98" s="22">
        <v>-1.3992299999999999E-2</v>
      </c>
      <c r="AJ98" s="22">
        <v>88</v>
      </c>
      <c r="AK98" s="22">
        <v>0.34252899999999997</v>
      </c>
      <c r="AL98">
        <f t="shared" si="18"/>
        <v>17.274444444444445</v>
      </c>
      <c r="AM98">
        <f t="shared" si="19"/>
        <v>5.9280710999999995</v>
      </c>
      <c r="AP98" s="9"/>
      <c r="AQ98" s="22">
        <v>1.3769499999999999</v>
      </c>
      <c r="AR98" s="22">
        <v>24.96</v>
      </c>
      <c r="AS98" s="22">
        <v>-1.32385E-2</v>
      </c>
      <c r="AT98" s="22">
        <v>88</v>
      </c>
      <c r="AU98" s="22">
        <v>1.3757299999999999</v>
      </c>
      <c r="AV98">
        <f t="shared" si="20"/>
        <v>16.343827160493824</v>
      </c>
      <c r="AW98">
        <f t="shared" si="21"/>
        <v>22.504632808641968</v>
      </c>
      <c r="AX98" s="9"/>
      <c r="AY98" s="22">
        <v>0.34316999999999998</v>
      </c>
      <c r="AZ98" s="22">
        <v>28.819500000000001</v>
      </c>
      <c r="BA98" s="22">
        <v>-1.3946500000000001E-2</v>
      </c>
      <c r="BB98" s="22">
        <v>88</v>
      </c>
      <c r="BC98" s="22">
        <v>0.34252899999999997</v>
      </c>
      <c r="BD98">
        <f t="shared" si="22"/>
        <v>17.217901234567901</v>
      </c>
      <c r="BE98">
        <f t="shared" si="23"/>
        <v>5.9086671666666657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1.37192</v>
      </c>
      <c r="H99" s="22">
        <v>6.22065</v>
      </c>
      <c r="I99" s="22">
        <v>-1.3229400000000001E-2</v>
      </c>
      <c r="J99" s="22">
        <v>89</v>
      </c>
      <c r="K99" s="22">
        <v>1.3708499999999999</v>
      </c>
      <c r="L99">
        <f t="shared" si="12"/>
        <v>16.332592592592594</v>
      </c>
      <c r="M99">
        <f t="shared" si="13"/>
        <v>22.407010429629633</v>
      </c>
      <c r="N99" s="9"/>
      <c r="O99" s="22">
        <v>0.34820600000000002</v>
      </c>
      <c r="P99" s="22">
        <v>10.0801</v>
      </c>
      <c r="Q99" s="22">
        <v>-1.39282E-2</v>
      </c>
      <c r="R99" s="22">
        <v>89</v>
      </c>
      <c r="S99" s="22">
        <v>0.34756500000000001</v>
      </c>
      <c r="T99">
        <f t="shared" si="14"/>
        <v>17.195308641975309</v>
      </c>
      <c r="U99">
        <f t="shared" si="15"/>
        <v>5.9875096409876551</v>
      </c>
      <c r="X99" s="9"/>
      <c r="Y99" s="22">
        <v>1.37192</v>
      </c>
      <c r="Z99" s="22">
        <v>15.664899999999999</v>
      </c>
      <c r="AA99" s="22">
        <v>-1.33209E-2</v>
      </c>
      <c r="AB99" s="22">
        <v>89</v>
      </c>
      <c r="AC99" s="22">
        <v>1.3711500000000001</v>
      </c>
      <c r="AD99">
        <f t="shared" si="16"/>
        <v>16.445555555555554</v>
      </c>
      <c r="AE99">
        <f t="shared" si="17"/>
        <v>22.561986577777777</v>
      </c>
      <c r="AF99" s="9"/>
      <c r="AG99" s="22">
        <v>0.34820600000000002</v>
      </c>
      <c r="AH99" s="22">
        <v>19.5243</v>
      </c>
      <c r="AI99" s="22">
        <v>-1.39893E-2</v>
      </c>
      <c r="AJ99" s="22">
        <v>89</v>
      </c>
      <c r="AK99" s="22">
        <v>0.34762599999999999</v>
      </c>
      <c r="AL99">
        <f t="shared" si="18"/>
        <v>17.270740740740738</v>
      </c>
      <c r="AM99">
        <f t="shared" si="19"/>
        <v>6.0137755503703696</v>
      </c>
      <c r="AP99" s="9"/>
      <c r="AQ99" s="22">
        <v>1.37192</v>
      </c>
      <c r="AR99" s="22">
        <v>24.970099999999999</v>
      </c>
      <c r="AS99" s="22">
        <v>-1.32538E-2</v>
      </c>
      <c r="AT99" s="22">
        <v>89</v>
      </c>
      <c r="AU99" s="22">
        <v>1.3711500000000001</v>
      </c>
      <c r="AV99">
        <f t="shared" si="20"/>
        <v>16.362716049382716</v>
      </c>
      <c r="AW99">
        <f t="shared" si="21"/>
        <v>22.448337402469136</v>
      </c>
      <c r="AX99" s="9"/>
      <c r="AY99" s="22">
        <v>0.34820600000000002</v>
      </c>
      <c r="AZ99" s="22">
        <v>28.829599999999999</v>
      </c>
      <c r="BA99" s="22">
        <v>-1.3943499999999999E-2</v>
      </c>
      <c r="BB99" s="22">
        <v>89</v>
      </c>
      <c r="BC99" s="22">
        <v>0.34759499999999999</v>
      </c>
      <c r="BD99">
        <f t="shared" si="22"/>
        <v>17.214197530864197</v>
      </c>
      <c r="BE99">
        <f t="shared" si="23"/>
        <v>5.9940868654320987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1.3668800000000001</v>
      </c>
      <c r="H100" s="22">
        <v>6.2307199999999998</v>
      </c>
      <c r="I100" s="22">
        <v>-1.3241599999999999E-2</v>
      </c>
      <c r="J100" s="22">
        <v>90</v>
      </c>
      <c r="K100" s="22">
        <v>1.3656600000000001</v>
      </c>
      <c r="L100">
        <f t="shared" si="12"/>
        <v>16.347654320987651</v>
      </c>
      <c r="M100">
        <f t="shared" si="13"/>
        <v>22.345281738271602</v>
      </c>
      <c r="N100" s="9"/>
      <c r="O100" s="22">
        <v>0.35324100000000003</v>
      </c>
      <c r="P100" s="22">
        <v>10.090199999999999</v>
      </c>
      <c r="Q100" s="22">
        <v>-1.39221E-2</v>
      </c>
      <c r="R100" s="22">
        <v>90</v>
      </c>
      <c r="S100" s="22">
        <v>0.352661</v>
      </c>
      <c r="T100">
        <f t="shared" si="14"/>
        <v>17.187777777777779</v>
      </c>
      <c r="U100">
        <f t="shared" si="15"/>
        <v>6.0714278100000012</v>
      </c>
      <c r="X100" s="9"/>
      <c r="Y100" s="22">
        <v>1.3668800000000001</v>
      </c>
      <c r="Z100" s="22">
        <v>15.674899999999999</v>
      </c>
      <c r="AA100" s="22">
        <v>-1.3317900000000001E-2</v>
      </c>
      <c r="AB100" s="22">
        <v>90</v>
      </c>
      <c r="AC100" s="22">
        <v>1.3662700000000001</v>
      </c>
      <c r="AD100">
        <f t="shared" si="16"/>
        <v>16.441851851851851</v>
      </c>
      <c r="AE100">
        <f t="shared" si="17"/>
        <v>22.474038459259258</v>
      </c>
      <c r="AF100" s="9"/>
      <c r="AG100" s="22">
        <v>0.35324100000000003</v>
      </c>
      <c r="AH100" s="22">
        <v>19.534400000000002</v>
      </c>
      <c r="AI100" s="22">
        <v>-1.3980100000000001E-2</v>
      </c>
      <c r="AJ100" s="22">
        <v>90</v>
      </c>
      <c r="AK100" s="22">
        <v>0.35263100000000003</v>
      </c>
      <c r="AL100">
        <f t="shared" si="18"/>
        <v>17.259382716049384</v>
      </c>
      <c r="AM100">
        <f t="shared" si="19"/>
        <v>6.0967216100000012</v>
      </c>
      <c r="AP100" s="9"/>
      <c r="AQ100" s="22">
        <v>1.3668800000000001</v>
      </c>
      <c r="AR100" s="22">
        <v>24.9802</v>
      </c>
      <c r="AS100" s="22">
        <v>-1.3266E-2</v>
      </c>
      <c r="AT100" s="22">
        <v>90</v>
      </c>
      <c r="AU100" s="22">
        <v>1.3659699999999999</v>
      </c>
      <c r="AV100">
        <f t="shared" si="20"/>
        <v>16.377777777777776</v>
      </c>
      <c r="AW100">
        <f t="shared" si="21"/>
        <v>22.386456888888887</v>
      </c>
      <c r="AX100" s="9"/>
      <c r="AY100" s="22">
        <v>0.35324100000000003</v>
      </c>
      <c r="AZ100" s="22">
        <v>28.839600000000001</v>
      </c>
      <c r="BA100" s="22">
        <v>-1.3937400000000001E-2</v>
      </c>
      <c r="BB100" s="22">
        <v>90</v>
      </c>
      <c r="BC100" s="22">
        <v>0.35263100000000003</v>
      </c>
      <c r="BD100">
        <f t="shared" si="22"/>
        <v>17.206666666666667</v>
      </c>
      <c r="BE100">
        <f t="shared" si="23"/>
        <v>6.078100140000001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1.36185</v>
      </c>
      <c r="H101" s="22">
        <v>6.2407899999999996</v>
      </c>
      <c r="I101" s="22">
        <v>-1.32538E-2</v>
      </c>
      <c r="J101" s="22">
        <v>91</v>
      </c>
      <c r="K101" s="22">
        <v>1.3610800000000001</v>
      </c>
      <c r="L101">
        <f t="shared" si="12"/>
        <v>16.362716049382716</v>
      </c>
      <c r="M101">
        <f t="shared" si="13"/>
        <v>22.28356485185185</v>
      </c>
      <c r="N101" s="9"/>
      <c r="O101" s="22">
        <v>0.35827599999999998</v>
      </c>
      <c r="P101" s="22">
        <v>10.100300000000001</v>
      </c>
      <c r="Q101" s="22">
        <v>-1.3909899999999999E-2</v>
      </c>
      <c r="R101" s="22">
        <v>91</v>
      </c>
      <c r="S101" s="22">
        <v>0.35763499999999998</v>
      </c>
      <c r="T101">
        <f t="shared" si="14"/>
        <v>17.172716049382714</v>
      </c>
      <c r="U101">
        <f t="shared" si="15"/>
        <v>6.1525720153086407</v>
      </c>
      <c r="X101" s="9"/>
      <c r="Y101" s="22">
        <v>1.36185</v>
      </c>
      <c r="Z101" s="22">
        <v>15.685</v>
      </c>
      <c r="AA101" s="22">
        <v>-1.3317900000000001E-2</v>
      </c>
      <c r="AB101" s="22">
        <v>91</v>
      </c>
      <c r="AC101" s="22">
        <v>1.3604700000000001</v>
      </c>
      <c r="AD101">
        <f t="shared" si="16"/>
        <v>16.441851851851851</v>
      </c>
      <c r="AE101">
        <f t="shared" si="17"/>
        <v>22.391335944444442</v>
      </c>
      <c r="AF101" s="9"/>
      <c r="AG101" s="22">
        <v>0.35827599999999998</v>
      </c>
      <c r="AH101" s="22">
        <v>19.544499999999999</v>
      </c>
      <c r="AI101" s="22">
        <v>-1.39893E-2</v>
      </c>
      <c r="AJ101" s="22">
        <v>91</v>
      </c>
      <c r="AK101" s="22">
        <v>0.35763499999999998</v>
      </c>
      <c r="AL101">
        <f t="shared" si="18"/>
        <v>17.270740740740738</v>
      </c>
      <c r="AM101">
        <f t="shared" si="19"/>
        <v>6.1876919096296286</v>
      </c>
      <c r="AP101" s="9"/>
      <c r="AQ101" s="22">
        <v>1.36185</v>
      </c>
      <c r="AR101" s="22">
        <v>24.990200000000002</v>
      </c>
      <c r="AS101" s="22">
        <v>-1.32751E-2</v>
      </c>
      <c r="AT101" s="22">
        <v>91</v>
      </c>
      <c r="AU101" s="22">
        <v>1.3610800000000001</v>
      </c>
      <c r="AV101">
        <f t="shared" si="20"/>
        <v>16.38901234567901</v>
      </c>
      <c r="AW101">
        <f t="shared" si="21"/>
        <v>22.319376462962961</v>
      </c>
      <c r="AX101" s="9"/>
      <c r="AY101" s="22">
        <v>0.35827599999999998</v>
      </c>
      <c r="AZ101" s="22">
        <v>28.849699999999999</v>
      </c>
      <c r="BA101" s="22">
        <v>-1.39343E-2</v>
      </c>
      <c r="BB101" s="22">
        <v>91</v>
      </c>
      <c r="BC101" s="22">
        <v>0.35760500000000001</v>
      </c>
      <c r="BD101">
        <f t="shared" si="22"/>
        <v>17.202839506172836</v>
      </c>
      <c r="BE101">
        <f t="shared" si="23"/>
        <v>6.1633645269135791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1.3568100000000001</v>
      </c>
      <c r="H102" s="22">
        <v>6.2508600000000003</v>
      </c>
      <c r="I102" s="22">
        <v>-1.32599E-2</v>
      </c>
      <c r="J102" s="22">
        <v>92</v>
      </c>
      <c r="K102" s="22">
        <v>1.3562000000000001</v>
      </c>
      <c r="L102">
        <f t="shared" si="12"/>
        <v>16.370246913580246</v>
      </c>
      <c r="M102">
        <f t="shared" si="13"/>
        <v>22.211314714814815</v>
      </c>
      <c r="N102" s="9"/>
      <c r="O102" s="22">
        <v>0.36331200000000002</v>
      </c>
      <c r="P102" s="22">
        <v>10.110300000000001</v>
      </c>
      <c r="Q102" s="22">
        <v>-1.39008E-2</v>
      </c>
      <c r="R102" s="22">
        <v>92</v>
      </c>
      <c r="S102" s="22">
        <v>0.362701</v>
      </c>
      <c r="T102">
        <f t="shared" si="14"/>
        <v>17.161481481481481</v>
      </c>
      <c r="U102">
        <f t="shared" si="15"/>
        <v>6.2349721599999999</v>
      </c>
      <c r="X102" s="9"/>
      <c r="Y102" s="22">
        <v>1.3568100000000001</v>
      </c>
      <c r="Z102" s="22">
        <v>15.6951</v>
      </c>
      <c r="AA102" s="22">
        <v>-1.3317900000000001E-2</v>
      </c>
      <c r="AB102" s="22">
        <v>92</v>
      </c>
      <c r="AC102" s="22">
        <v>1.3555900000000001</v>
      </c>
      <c r="AD102">
        <f t="shared" si="16"/>
        <v>16.441851851851851</v>
      </c>
      <c r="AE102">
        <f t="shared" si="17"/>
        <v>22.308469011111111</v>
      </c>
      <c r="AF102" s="9"/>
      <c r="AG102" s="22">
        <v>0.36331200000000002</v>
      </c>
      <c r="AH102" s="22">
        <v>19.554500000000001</v>
      </c>
      <c r="AI102" s="22">
        <v>-1.39954E-2</v>
      </c>
      <c r="AJ102" s="22">
        <v>92</v>
      </c>
      <c r="AK102" s="22">
        <v>0.36276199999999997</v>
      </c>
      <c r="AL102">
        <f t="shared" si="18"/>
        <v>17.278271604938272</v>
      </c>
      <c r="AM102">
        <f t="shared" si="19"/>
        <v>6.2774034133333343</v>
      </c>
      <c r="AP102" s="9"/>
      <c r="AQ102" s="22">
        <v>1.3568100000000001</v>
      </c>
      <c r="AR102" s="22">
        <v>25.000299999999999</v>
      </c>
      <c r="AS102" s="22">
        <v>-1.3284300000000001E-2</v>
      </c>
      <c r="AT102" s="22">
        <v>92</v>
      </c>
      <c r="AU102" s="22">
        <v>1.3552900000000001</v>
      </c>
      <c r="AV102">
        <f t="shared" si="20"/>
        <v>16.400370370370371</v>
      </c>
      <c r="AW102">
        <f t="shared" si="21"/>
        <v>22.252186522222225</v>
      </c>
      <c r="AX102" s="9"/>
      <c r="AY102" s="22">
        <v>0.36331200000000002</v>
      </c>
      <c r="AZ102" s="22">
        <v>28.8598</v>
      </c>
      <c r="BA102" s="22">
        <v>-1.3931300000000001E-2</v>
      </c>
      <c r="BB102" s="22">
        <v>92</v>
      </c>
      <c r="BC102" s="22">
        <v>0.362701</v>
      </c>
      <c r="BD102">
        <f t="shared" si="22"/>
        <v>17.199135802469137</v>
      </c>
      <c r="BE102">
        <f t="shared" si="23"/>
        <v>6.2486524266666672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1.35178</v>
      </c>
      <c r="H103" s="22">
        <v>6.2609300000000001</v>
      </c>
      <c r="I103" s="22">
        <v>-1.3269E-2</v>
      </c>
      <c r="J103" s="22">
        <v>93</v>
      </c>
      <c r="K103" s="22">
        <v>1.3507100000000001</v>
      </c>
      <c r="L103">
        <f t="shared" si="12"/>
        <v>16.38148148148148</v>
      </c>
      <c r="M103">
        <f t="shared" si="13"/>
        <v>22.144159037037035</v>
      </c>
      <c r="N103" s="9"/>
      <c r="O103" s="22">
        <v>0.36834699999999998</v>
      </c>
      <c r="P103" s="22">
        <v>10.1204</v>
      </c>
      <c r="Q103" s="22">
        <v>-1.38916E-2</v>
      </c>
      <c r="R103" s="22">
        <v>93</v>
      </c>
      <c r="S103" s="22">
        <v>0.36773699999999998</v>
      </c>
      <c r="T103">
        <f t="shared" si="14"/>
        <v>17.150123456790123</v>
      </c>
      <c r="U103">
        <f t="shared" si="15"/>
        <v>6.3171965249382707</v>
      </c>
      <c r="X103" s="9"/>
      <c r="Y103" s="22">
        <v>1.35178</v>
      </c>
      <c r="Z103" s="22">
        <v>15.7051</v>
      </c>
      <c r="AA103" s="22">
        <v>-1.3324000000000001E-2</v>
      </c>
      <c r="AB103" s="22">
        <v>93</v>
      </c>
      <c r="AC103" s="22">
        <v>1.3507100000000001</v>
      </c>
      <c r="AD103">
        <f t="shared" si="16"/>
        <v>16.449382716049382</v>
      </c>
      <c r="AE103">
        <f t="shared" si="17"/>
        <v>22.235946567901234</v>
      </c>
      <c r="AF103" s="9"/>
      <c r="AG103" s="22">
        <v>0.36834699999999998</v>
      </c>
      <c r="AH103" s="22">
        <v>19.564599999999999</v>
      </c>
      <c r="AI103" s="22">
        <v>-1.3998399999999999E-2</v>
      </c>
      <c r="AJ103" s="22">
        <v>93</v>
      </c>
      <c r="AK103" s="22">
        <v>0.36782799999999999</v>
      </c>
      <c r="AL103">
        <f t="shared" si="18"/>
        <v>17.281975308641975</v>
      </c>
      <c r="AM103">
        <f t="shared" si="19"/>
        <v>6.3657637590123457</v>
      </c>
      <c r="AP103" s="9"/>
      <c r="AQ103" s="22">
        <v>1.35178</v>
      </c>
      <c r="AR103" s="22">
        <v>25.010400000000001</v>
      </c>
      <c r="AS103" s="22">
        <v>-1.3290400000000001E-2</v>
      </c>
      <c r="AT103" s="22">
        <v>93</v>
      </c>
      <c r="AU103" s="22">
        <v>1.3507100000000001</v>
      </c>
      <c r="AV103">
        <f t="shared" si="20"/>
        <v>16.407901234567902</v>
      </c>
      <c r="AW103">
        <f t="shared" si="21"/>
        <v>22.179872730864197</v>
      </c>
      <c r="AX103" s="9"/>
      <c r="AY103" s="22">
        <v>0.36834699999999998</v>
      </c>
      <c r="AZ103" s="22">
        <v>28.869800000000001</v>
      </c>
      <c r="BA103" s="22">
        <v>-1.39221E-2</v>
      </c>
      <c r="BB103" s="22">
        <v>93</v>
      </c>
      <c r="BC103" s="22">
        <v>0.36776700000000001</v>
      </c>
      <c r="BD103">
        <f t="shared" si="22"/>
        <v>17.187777777777779</v>
      </c>
      <c r="BE103">
        <f t="shared" si="23"/>
        <v>6.3310663811111114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1.34674</v>
      </c>
      <c r="H104" s="22">
        <v>6.2709999999999999</v>
      </c>
      <c r="I104" s="22">
        <v>-1.3281299999999999E-2</v>
      </c>
      <c r="J104" s="22">
        <v>94</v>
      </c>
      <c r="K104" s="22">
        <v>1.3458300000000001</v>
      </c>
      <c r="L104">
        <f t="shared" si="12"/>
        <v>16.396666666666665</v>
      </c>
      <c r="M104">
        <f t="shared" si="13"/>
        <v>22.082046866666666</v>
      </c>
      <c r="N104" s="9"/>
      <c r="O104" s="22">
        <v>0.37338300000000002</v>
      </c>
      <c r="P104" s="22">
        <v>10.1305</v>
      </c>
      <c r="Q104" s="22">
        <v>-1.38916E-2</v>
      </c>
      <c r="R104" s="22">
        <v>94</v>
      </c>
      <c r="S104" s="22">
        <v>0.37277199999999999</v>
      </c>
      <c r="T104">
        <f t="shared" si="14"/>
        <v>17.150123456790123</v>
      </c>
      <c r="U104">
        <f t="shared" si="15"/>
        <v>6.4035645466666669</v>
      </c>
      <c r="X104" s="9"/>
      <c r="Y104" s="22">
        <v>1.34674</v>
      </c>
      <c r="Z104" s="22">
        <v>15.715199999999999</v>
      </c>
      <c r="AA104" s="22">
        <v>-1.3333100000000001E-2</v>
      </c>
      <c r="AB104" s="22">
        <v>94</v>
      </c>
      <c r="AC104" s="22">
        <v>1.34613</v>
      </c>
      <c r="AD104">
        <f t="shared" si="16"/>
        <v>16.460617283950615</v>
      </c>
      <c r="AE104">
        <f t="shared" si="17"/>
        <v>22.168171720987651</v>
      </c>
      <c r="AF104" s="9"/>
      <c r="AG104" s="22">
        <v>0.37338300000000002</v>
      </c>
      <c r="AH104" s="22">
        <v>19.5747</v>
      </c>
      <c r="AI104" s="22">
        <v>-1.40015E-2</v>
      </c>
      <c r="AJ104" s="22">
        <v>94</v>
      </c>
      <c r="AK104" s="22">
        <v>0.37277199999999999</v>
      </c>
      <c r="AL104">
        <f t="shared" si="18"/>
        <v>17.285802469135803</v>
      </c>
      <c r="AM104">
        <f t="shared" si="19"/>
        <v>6.4542247833333333</v>
      </c>
      <c r="AP104" s="9"/>
      <c r="AQ104" s="22">
        <v>1.34674</v>
      </c>
      <c r="AR104" s="22">
        <v>25.020399999999999</v>
      </c>
      <c r="AS104" s="22">
        <v>-1.32935E-2</v>
      </c>
      <c r="AT104" s="22">
        <v>94</v>
      </c>
      <c r="AU104" s="22">
        <v>1.3458300000000001</v>
      </c>
      <c r="AV104">
        <f t="shared" si="20"/>
        <v>16.411728395061726</v>
      </c>
      <c r="AW104">
        <f t="shared" si="21"/>
        <v>22.102331098765429</v>
      </c>
      <c r="AX104" s="9"/>
      <c r="AY104" s="22">
        <v>0.37338300000000002</v>
      </c>
      <c r="AZ104" s="22">
        <v>28.879899999999999</v>
      </c>
      <c r="BA104" s="22">
        <v>-1.39191E-2</v>
      </c>
      <c r="BB104" s="22">
        <v>94</v>
      </c>
      <c r="BC104" s="22">
        <v>0.372803</v>
      </c>
      <c r="BD104">
        <f t="shared" si="22"/>
        <v>17.184074074074076</v>
      </c>
      <c r="BE104">
        <f t="shared" si="23"/>
        <v>6.4162411300000013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1.34171</v>
      </c>
      <c r="H105" s="22">
        <v>6.2810699999999997</v>
      </c>
      <c r="I105" s="22">
        <v>-1.3290400000000001E-2</v>
      </c>
      <c r="J105" s="22">
        <v>95</v>
      </c>
      <c r="K105" s="22">
        <v>1.3406400000000001</v>
      </c>
      <c r="L105">
        <f t="shared" si="12"/>
        <v>16.407901234567902</v>
      </c>
      <c r="M105">
        <f t="shared" si="13"/>
        <v>22.0146451654321</v>
      </c>
      <c r="N105" s="9"/>
      <c r="O105" s="22">
        <v>0.37841799999999998</v>
      </c>
      <c r="P105" s="22">
        <v>10.140499999999999</v>
      </c>
      <c r="Q105" s="22">
        <v>-1.3897700000000001E-2</v>
      </c>
      <c r="R105" s="22">
        <v>95</v>
      </c>
      <c r="S105" s="22">
        <v>0.37786900000000001</v>
      </c>
      <c r="T105">
        <f t="shared" si="14"/>
        <v>17.157654320987653</v>
      </c>
      <c r="U105">
        <f t="shared" si="15"/>
        <v>6.4927652328395054</v>
      </c>
      <c r="X105" s="9"/>
      <c r="Y105" s="22">
        <v>1.34171</v>
      </c>
      <c r="Z105" s="22">
        <v>15.725300000000001</v>
      </c>
      <c r="AA105" s="22">
        <v>-1.33484E-2</v>
      </c>
      <c r="AB105" s="22">
        <v>95</v>
      </c>
      <c r="AC105" s="22">
        <v>1.3412500000000001</v>
      </c>
      <c r="AD105">
        <f t="shared" si="16"/>
        <v>16.479506172839503</v>
      </c>
      <c r="AE105">
        <f t="shared" si="17"/>
        <v>22.11071822716049</v>
      </c>
      <c r="AF105" s="9"/>
      <c r="AG105" s="22">
        <v>0.37841799999999998</v>
      </c>
      <c r="AH105" s="22">
        <v>19.584800000000001</v>
      </c>
      <c r="AI105" s="22">
        <v>-1.3998399999999999E-2</v>
      </c>
      <c r="AJ105" s="22">
        <v>95</v>
      </c>
      <c r="AK105" s="22">
        <v>0.37783800000000001</v>
      </c>
      <c r="AL105">
        <f t="shared" si="18"/>
        <v>17.281975308641975</v>
      </c>
      <c r="AM105">
        <f t="shared" si="19"/>
        <v>6.5398105323456788</v>
      </c>
      <c r="AP105" s="9"/>
      <c r="AQ105" s="22">
        <v>1.34171</v>
      </c>
      <c r="AR105" s="22">
        <v>25.0305</v>
      </c>
      <c r="AS105" s="22">
        <v>-1.33118E-2</v>
      </c>
      <c r="AT105" s="22">
        <v>95</v>
      </c>
      <c r="AU105" s="22">
        <v>1.34094</v>
      </c>
      <c r="AV105">
        <f t="shared" si="20"/>
        <v>16.434320987654321</v>
      </c>
      <c r="AW105">
        <f t="shared" si="21"/>
        <v>22.050092812345678</v>
      </c>
      <c r="AX105" s="9"/>
      <c r="AY105" s="22">
        <v>0.37841799999999998</v>
      </c>
      <c r="AZ105" s="22">
        <v>28.89</v>
      </c>
      <c r="BA105" s="22">
        <v>-1.39008E-2</v>
      </c>
      <c r="BB105" s="22">
        <v>95</v>
      </c>
      <c r="BC105" s="22">
        <v>0.37780799999999998</v>
      </c>
      <c r="BD105">
        <f t="shared" si="22"/>
        <v>17.161481481481481</v>
      </c>
      <c r="BE105">
        <f t="shared" si="23"/>
        <v>6.4942134992592582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1.33667</v>
      </c>
      <c r="H106" s="22">
        <v>6.29115</v>
      </c>
      <c r="I106" s="22">
        <v>-1.3317900000000001E-2</v>
      </c>
      <c r="J106" s="22">
        <v>96</v>
      </c>
      <c r="K106" s="22">
        <v>1.33606</v>
      </c>
      <c r="L106">
        <f t="shared" si="12"/>
        <v>16.441851851851851</v>
      </c>
      <c r="M106">
        <f t="shared" si="13"/>
        <v>21.977330114814816</v>
      </c>
      <c r="N106" s="9"/>
      <c r="O106" s="22">
        <v>0.38345299999999999</v>
      </c>
      <c r="P106" s="22">
        <v>10.150600000000001</v>
      </c>
      <c r="Q106" s="22">
        <v>-1.3903799999999999E-2</v>
      </c>
      <c r="R106" s="22">
        <v>96</v>
      </c>
      <c r="S106" s="22">
        <v>0.38284299999999999</v>
      </c>
      <c r="T106">
        <f t="shared" si="14"/>
        <v>17.165185185185184</v>
      </c>
      <c r="U106">
        <f t="shared" si="15"/>
        <v>6.5820417548148145</v>
      </c>
      <c r="X106" s="9"/>
      <c r="Y106" s="22">
        <v>1.33667</v>
      </c>
      <c r="Z106" s="22">
        <v>15.7354</v>
      </c>
      <c r="AA106" s="22">
        <v>-1.3351399999999999E-2</v>
      </c>
      <c r="AB106" s="22">
        <v>96</v>
      </c>
      <c r="AC106" s="22">
        <v>1.33575</v>
      </c>
      <c r="AD106">
        <f t="shared" si="16"/>
        <v>16.483209876543206</v>
      </c>
      <c r="AE106">
        <f t="shared" si="17"/>
        <v>22.032612145679007</v>
      </c>
      <c r="AF106" s="9"/>
      <c r="AG106" s="22">
        <v>0.38345299999999999</v>
      </c>
      <c r="AH106" s="22">
        <v>19.594799999999999</v>
      </c>
      <c r="AI106" s="22">
        <v>-1.39954E-2</v>
      </c>
      <c r="AJ106" s="22">
        <v>96</v>
      </c>
      <c r="AK106" s="22">
        <v>0.38284299999999999</v>
      </c>
      <c r="AL106">
        <f t="shared" si="18"/>
        <v>17.278271604938272</v>
      </c>
      <c r="AM106">
        <f t="shared" si="19"/>
        <v>6.6254050817283954</v>
      </c>
      <c r="AP106" s="9"/>
      <c r="AQ106" s="22">
        <v>1.33667</v>
      </c>
      <c r="AR106" s="22">
        <v>25.040600000000001</v>
      </c>
      <c r="AS106" s="22">
        <v>-1.3324000000000001E-2</v>
      </c>
      <c r="AT106" s="22">
        <v>96</v>
      </c>
      <c r="AU106" s="22">
        <v>1.33545</v>
      </c>
      <c r="AV106">
        <f t="shared" si="20"/>
        <v>16.449382716049382</v>
      </c>
      <c r="AW106">
        <f t="shared" si="21"/>
        <v>21.987396395061726</v>
      </c>
      <c r="AX106" s="9"/>
      <c r="AY106" s="22">
        <v>0.38345299999999999</v>
      </c>
      <c r="AZ106" s="22">
        <v>28.900099999999998</v>
      </c>
      <c r="BA106" s="22">
        <v>-1.3897700000000001E-2</v>
      </c>
      <c r="BB106" s="22">
        <v>96</v>
      </c>
      <c r="BC106" s="22">
        <v>0.38281300000000001</v>
      </c>
      <c r="BD106">
        <f t="shared" si="22"/>
        <v>17.157654320987653</v>
      </c>
      <c r="BE106">
        <f t="shared" si="23"/>
        <v>6.5791540223456781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1.3316300000000001</v>
      </c>
      <c r="H107" s="22">
        <v>6.3012199999999998</v>
      </c>
      <c r="I107" s="22">
        <v>-1.3327E-2</v>
      </c>
      <c r="J107" s="22">
        <v>97</v>
      </c>
      <c r="K107" s="22">
        <v>1.33087</v>
      </c>
      <c r="L107">
        <f t="shared" si="12"/>
        <v>16.453086419753085</v>
      </c>
      <c r="M107">
        <f t="shared" si="13"/>
        <v>21.909423469135803</v>
      </c>
      <c r="N107" s="9"/>
      <c r="O107" s="22">
        <v>0.38848899999999997</v>
      </c>
      <c r="P107" s="22">
        <v>10.1607</v>
      </c>
      <c r="Q107" s="22">
        <v>-1.39069E-2</v>
      </c>
      <c r="R107" s="22">
        <v>97</v>
      </c>
      <c r="S107" s="22">
        <v>0.387909</v>
      </c>
      <c r="T107">
        <f t="shared" si="14"/>
        <v>17.169012345679011</v>
      </c>
      <c r="U107">
        <f t="shared" si="15"/>
        <v>6.6699724371604932</v>
      </c>
      <c r="X107" s="9"/>
      <c r="Y107" s="22">
        <v>1.3316300000000001</v>
      </c>
      <c r="Z107" s="22">
        <v>15.7454</v>
      </c>
      <c r="AA107" s="22">
        <v>-1.33545E-2</v>
      </c>
      <c r="AB107" s="22">
        <v>97</v>
      </c>
      <c r="AC107" s="22">
        <v>1.33057</v>
      </c>
      <c r="AD107">
        <f t="shared" si="16"/>
        <v>16.487037037037037</v>
      </c>
      <c r="AE107">
        <f t="shared" si="17"/>
        <v>21.954633129629631</v>
      </c>
      <c r="AF107" s="9"/>
      <c r="AG107" s="22">
        <v>0.38848899999999997</v>
      </c>
      <c r="AH107" s="22">
        <v>19.604900000000001</v>
      </c>
      <c r="AI107" s="22">
        <v>-1.40015E-2</v>
      </c>
      <c r="AJ107" s="22">
        <v>97</v>
      </c>
      <c r="AK107" s="22">
        <v>0.387909</v>
      </c>
      <c r="AL107">
        <f t="shared" si="18"/>
        <v>17.285802469135803</v>
      </c>
      <c r="AM107">
        <f t="shared" si="19"/>
        <v>6.7153441154320985</v>
      </c>
      <c r="AP107" s="9"/>
      <c r="AQ107" s="22">
        <v>1.3316300000000001</v>
      </c>
      <c r="AR107" s="22">
        <v>25.050699999999999</v>
      </c>
      <c r="AS107" s="22">
        <v>-1.3330099999999999E-2</v>
      </c>
      <c r="AT107" s="22">
        <v>97</v>
      </c>
      <c r="AU107" s="22">
        <v>1.33118</v>
      </c>
      <c r="AV107">
        <f t="shared" si="20"/>
        <v>16.456913580246912</v>
      </c>
      <c r="AW107">
        <f t="shared" si="21"/>
        <v>21.914519830864197</v>
      </c>
      <c r="AX107" s="9"/>
      <c r="AY107" s="22">
        <v>0.38848899999999997</v>
      </c>
      <c r="AZ107" s="22">
        <v>28.9101</v>
      </c>
      <c r="BA107" s="22">
        <v>-1.3894699999999999E-2</v>
      </c>
      <c r="BB107" s="22">
        <v>97</v>
      </c>
      <c r="BC107" s="22">
        <v>0.38781700000000002</v>
      </c>
      <c r="BD107">
        <f t="shared" si="22"/>
        <v>17.153950617283947</v>
      </c>
      <c r="BE107">
        <f t="shared" si="23"/>
        <v>6.6641211213580229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1.3266</v>
      </c>
      <c r="H108" s="22">
        <v>6.3112899999999996</v>
      </c>
      <c r="I108" s="22">
        <v>-1.3339200000000001E-2</v>
      </c>
      <c r="J108" s="22">
        <v>98</v>
      </c>
      <c r="K108" s="22">
        <v>1.32599</v>
      </c>
      <c r="L108">
        <f t="shared" si="12"/>
        <v>16.468148148148149</v>
      </c>
      <c r="M108">
        <f t="shared" si="13"/>
        <v>21.846645333333335</v>
      </c>
      <c r="N108" s="9"/>
      <c r="O108" s="22">
        <v>0.39352399999999998</v>
      </c>
      <c r="P108" s="22">
        <v>10.1708</v>
      </c>
      <c r="Q108" s="22">
        <v>-1.3909899999999999E-2</v>
      </c>
      <c r="R108" s="22">
        <v>98</v>
      </c>
      <c r="S108" s="22">
        <v>0.39294400000000002</v>
      </c>
      <c r="T108">
        <f t="shared" si="14"/>
        <v>17.172716049382714</v>
      </c>
      <c r="U108">
        <f t="shared" si="15"/>
        <v>6.7578759106172832</v>
      </c>
      <c r="X108" s="9"/>
      <c r="Y108" s="22">
        <v>1.3266</v>
      </c>
      <c r="Z108" s="22">
        <v>15.7555</v>
      </c>
      <c r="AA108" s="22">
        <v>-1.33636E-2</v>
      </c>
      <c r="AB108" s="22">
        <v>98</v>
      </c>
      <c r="AC108" s="22">
        <v>1.32568</v>
      </c>
      <c r="AD108">
        <f t="shared" si="16"/>
        <v>16.498271604938271</v>
      </c>
      <c r="AE108">
        <f t="shared" si="17"/>
        <v>21.886607111111111</v>
      </c>
      <c r="AF108" s="9"/>
      <c r="AG108" s="22">
        <v>0.39352399999999998</v>
      </c>
      <c r="AH108" s="22">
        <v>19.614999999999998</v>
      </c>
      <c r="AI108" s="22">
        <v>-1.40106E-2</v>
      </c>
      <c r="AJ108" s="22">
        <v>98</v>
      </c>
      <c r="AK108" s="22">
        <v>0.39297500000000002</v>
      </c>
      <c r="AL108">
        <f t="shared" si="18"/>
        <v>17.297037037037036</v>
      </c>
      <c r="AM108">
        <f t="shared" si="19"/>
        <v>6.8067992029629627</v>
      </c>
      <c r="AP108" s="9"/>
      <c r="AQ108" s="22">
        <v>1.3266</v>
      </c>
      <c r="AR108" s="22">
        <v>25.060700000000001</v>
      </c>
      <c r="AS108" s="22">
        <v>-1.33423E-2</v>
      </c>
      <c r="AT108" s="22">
        <v>98</v>
      </c>
      <c r="AU108" s="22">
        <v>1.32629</v>
      </c>
      <c r="AV108">
        <f t="shared" si="20"/>
        <v>16.471975308641973</v>
      </c>
      <c r="AW108">
        <f t="shared" si="21"/>
        <v>21.851722444444441</v>
      </c>
      <c r="AX108" s="9"/>
      <c r="AY108" s="22">
        <v>0.39352399999999998</v>
      </c>
      <c r="AZ108" s="22">
        <v>28.920200000000001</v>
      </c>
      <c r="BA108" s="22">
        <v>-1.39008E-2</v>
      </c>
      <c r="BB108" s="22">
        <v>98</v>
      </c>
      <c r="BC108" s="22">
        <v>0.39294400000000002</v>
      </c>
      <c r="BD108">
        <f t="shared" si="22"/>
        <v>17.161481481481481</v>
      </c>
      <c r="BE108">
        <f t="shared" si="23"/>
        <v>6.7534548385185182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1.3215600000000001</v>
      </c>
      <c r="H109" s="22">
        <v>6.3213600000000003</v>
      </c>
      <c r="I109" s="22">
        <v>-1.3339200000000001E-2</v>
      </c>
      <c r="J109" s="22">
        <v>99</v>
      </c>
      <c r="K109" s="22">
        <v>1.32111</v>
      </c>
      <c r="L109">
        <f t="shared" si="12"/>
        <v>16.468148148148149</v>
      </c>
      <c r="M109">
        <f t="shared" si="13"/>
        <v>21.763645866666668</v>
      </c>
      <c r="N109" s="9"/>
      <c r="O109" s="22">
        <v>0.39856000000000003</v>
      </c>
      <c r="P109" s="22">
        <v>10.1808</v>
      </c>
      <c r="Q109" s="22">
        <v>-1.3913E-2</v>
      </c>
      <c r="R109" s="22">
        <v>99</v>
      </c>
      <c r="S109" s="22">
        <v>0.39798</v>
      </c>
      <c r="T109">
        <f t="shared" si="14"/>
        <v>17.176543209876542</v>
      </c>
      <c r="U109">
        <f t="shared" si="15"/>
        <v>6.8458830617283946</v>
      </c>
      <c r="X109" s="9"/>
      <c r="Y109" s="22">
        <v>1.3215600000000001</v>
      </c>
      <c r="Z109" s="22">
        <v>15.765599999999999</v>
      </c>
      <c r="AA109" s="22">
        <v>-1.3369799999999999E-2</v>
      </c>
      <c r="AB109" s="22">
        <v>99</v>
      </c>
      <c r="AC109" s="22">
        <v>1.3205</v>
      </c>
      <c r="AD109">
        <f t="shared" si="16"/>
        <v>16.505925925925922</v>
      </c>
      <c r="AE109">
        <f t="shared" si="17"/>
        <v>21.813571466666662</v>
      </c>
      <c r="AF109" s="9"/>
      <c r="AG109" s="22">
        <v>0.39856000000000003</v>
      </c>
      <c r="AH109" s="22">
        <v>19.625</v>
      </c>
      <c r="AI109" s="22">
        <v>-1.40106E-2</v>
      </c>
      <c r="AJ109" s="22">
        <v>99</v>
      </c>
      <c r="AK109" s="22">
        <v>0.39800999999999997</v>
      </c>
      <c r="AL109">
        <f t="shared" si="18"/>
        <v>17.297037037037036</v>
      </c>
      <c r="AM109">
        <f t="shared" si="19"/>
        <v>6.8939070814814816</v>
      </c>
      <c r="AP109" s="9"/>
      <c r="AQ109" s="22">
        <v>1.3215600000000001</v>
      </c>
      <c r="AR109" s="22">
        <v>25.070799999999998</v>
      </c>
      <c r="AS109" s="22">
        <v>-1.33606E-2</v>
      </c>
      <c r="AT109" s="22">
        <v>99</v>
      </c>
      <c r="AU109" s="22">
        <v>1.32111</v>
      </c>
      <c r="AV109">
        <f t="shared" si="20"/>
        <v>16.494567901234568</v>
      </c>
      <c r="AW109">
        <f t="shared" si="21"/>
        <v>21.798561155555557</v>
      </c>
      <c r="AX109" s="9"/>
      <c r="AY109" s="22">
        <v>0.39856000000000003</v>
      </c>
      <c r="AZ109" s="22">
        <v>28.930299999999999</v>
      </c>
      <c r="BA109" s="22">
        <v>-1.39008E-2</v>
      </c>
      <c r="BB109" s="22">
        <v>99</v>
      </c>
      <c r="BC109" s="22">
        <v>0.39798</v>
      </c>
      <c r="BD109">
        <f t="shared" si="22"/>
        <v>17.161481481481481</v>
      </c>
      <c r="BE109">
        <f t="shared" si="23"/>
        <v>6.8398800592592597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1.31653</v>
      </c>
      <c r="H110" s="22">
        <v>6.3314300000000001</v>
      </c>
      <c r="I110" s="22">
        <v>-1.3351399999999999E-2</v>
      </c>
      <c r="J110" s="22">
        <v>100</v>
      </c>
      <c r="K110" s="22">
        <v>1.3156099999999999</v>
      </c>
      <c r="L110">
        <f t="shared" si="12"/>
        <v>16.483209876543206</v>
      </c>
      <c r="M110">
        <f t="shared" si="13"/>
        <v>21.700640298765428</v>
      </c>
      <c r="N110" s="9"/>
      <c r="O110" s="22">
        <v>0.40359499999999998</v>
      </c>
      <c r="P110" s="22">
        <v>10.190899999999999</v>
      </c>
      <c r="Q110" s="22">
        <v>-1.3909899999999999E-2</v>
      </c>
      <c r="R110" s="22">
        <v>100</v>
      </c>
      <c r="S110" s="22">
        <v>0.40298499999999998</v>
      </c>
      <c r="T110">
        <f t="shared" si="14"/>
        <v>17.172716049382714</v>
      </c>
      <c r="U110">
        <f t="shared" si="15"/>
        <v>6.9308223339506165</v>
      </c>
      <c r="X110" s="9"/>
      <c r="Y110" s="22">
        <v>1.31653</v>
      </c>
      <c r="Z110" s="22">
        <v>15.775600000000001</v>
      </c>
      <c r="AA110" s="22">
        <v>-1.33759E-2</v>
      </c>
      <c r="AB110" s="22">
        <v>100</v>
      </c>
      <c r="AC110" s="22">
        <v>1.31531</v>
      </c>
      <c r="AD110">
        <f t="shared" si="16"/>
        <v>16.513456790123456</v>
      </c>
      <c r="AE110">
        <f t="shared" si="17"/>
        <v>21.740461267901232</v>
      </c>
      <c r="AF110" s="9"/>
      <c r="AG110" s="22">
        <v>0.40359499999999998</v>
      </c>
      <c r="AH110" s="22">
        <v>19.635100000000001</v>
      </c>
      <c r="AI110" s="22">
        <v>-1.40045E-2</v>
      </c>
      <c r="AJ110" s="22">
        <v>100</v>
      </c>
      <c r="AK110" s="22">
        <v>0.40304600000000002</v>
      </c>
      <c r="AL110">
        <f t="shared" si="18"/>
        <v>17.289506172839506</v>
      </c>
      <c r="AM110">
        <f t="shared" si="19"/>
        <v>6.9779582438271603</v>
      </c>
      <c r="AP110" s="9"/>
      <c r="AQ110" s="22">
        <v>1.31653</v>
      </c>
      <c r="AR110" s="22">
        <v>25.0809</v>
      </c>
      <c r="AS110" s="22">
        <v>-1.3372800000000001E-2</v>
      </c>
      <c r="AT110" s="22">
        <v>100</v>
      </c>
      <c r="AU110" s="22">
        <v>1.3156099999999999</v>
      </c>
      <c r="AV110">
        <f t="shared" si="20"/>
        <v>16.509629629629632</v>
      </c>
      <c r="AW110">
        <f t="shared" si="21"/>
        <v>21.7354226962963</v>
      </c>
      <c r="AX110" s="9"/>
      <c r="AY110" s="22">
        <v>0.40359499999999998</v>
      </c>
      <c r="AZ110" s="22">
        <v>28.940300000000001</v>
      </c>
      <c r="BA110" s="22">
        <v>-1.39008E-2</v>
      </c>
      <c r="BB110" s="22">
        <v>100</v>
      </c>
      <c r="BC110" s="22">
        <v>0.40316800000000003</v>
      </c>
      <c r="BD110">
        <f t="shared" si="22"/>
        <v>17.161481481481481</v>
      </c>
      <c r="BE110">
        <f t="shared" si="23"/>
        <v>6.9262881185185181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1.31149</v>
      </c>
      <c r="H111" s="22">
        <v>6.3414999999999999</v>
      </c>
      <c r="I111" s="22">
        <v>-1.33575E-2</v>
      </c>
      <c r="J111" s="22">
        <v>101</v>
      </c>
      <c r="K111" s="22">
        <v>1.31073</v>
      </c>
      <c r="L111">
        <f t="shared" si="12"/>
        <v>16.49074074074074</v>
      </c>
      <c r="M111">
        <f t="shared" si="13"/>
        <v>21.627441574074073</v>
      </c>
      <c r="N111" s="9"/>
      <c r="O111" s="22">
        <v>0.40862999999999999</v>
      </c>
      <c r="P111" s="22">
        <v>10.201000000000001</v>
      </c>
      <c r="Q111" s="22">
        <v>-1.3903799999999999E-2</v>
      </c>
      <c r="R111" s="22">
        <v>101</v>
      </c>
      <c r="S111" s="22">
        <v>0.40811199999999997</v>
      </c>
      <c r="T111">
        <f t="shared" si="14"/>
        <v>17.165185185185184</v>
      </c>
      <c r="U111">
        <f t="shared" si="15"/>
        <v>7.0142096222222214</v>
      </c>
      <c r="X111" s="9"/>
      <c r="Y111" s="22">
        <v>1.31149</v>
      </c>
      <c r="Z111" s="22">
        <v>15.7857</v>
      </c>
      <c r="AA111" s="22">
        <v>-1.3384999999999999E-2</v>
      </c>
      <c r="AB111" s="22">
        <v>101</v>
      </c>
      <c r="AC111" s="22">
        <v>1.31134</v>
      </c>
      <c r="AD111">
        <f t="shared" si="16"/>
        <v>16.52469135802469</v>
      </c>
      <c r="AE111">
        <f t="shared" si="17"/>
        <v>21.671967469135801</v>
      </c>
      <c r="AF111" s="9"/>
      <c r="AG111" s="22">
        <v>0.40862999999999999</v>
      </c>
      <c r="AH111" s="22">
        <v>19.645199999999999</v>
      </c>
      <c r="AI111" s="22">
        <v>-1.40076E-2</v>
      </c>
      <c r="AJ111" s="22">
        <v>101</v>
      </c>
      <c r="AK111" s="22">
        <v>0.40799000000000002</v>
      </c>
      <c r="AL111">
        <f t="shared" si="18"/>
        <v>17.293333333333333</v>
      </c>
      <c r="AM111">
        <f t="shared" si="19"/>
        <v>7.0665747999999997</v>
      </c>
      <c r="AP111" s="9"/>
      <c r="AQ111" s="22">
        <v>1.31149</v>
      </c>
      <c r="AR111" s="22">
        <v>25.090900000000001</v>
      </c>
      <c r="AS111" s="22">
        <v>-1.33972E-2</v>
      </c>
      <c r="AT111" s="22">
        <v>101</v>
      </c>
      <c r="AU111" s="22">
        <v>1.3104199999999999</v>
      </c>
      <c r="AV111">
        <f t="shared" si="20"/>
        <v>16.539753086419751</v>
      </c>
      <c r="AW111">
        <f t="shared" si="21"/>
        <v>21.691720775308639</v>
      </c>
      <c r="AX111" s="9"/>
      <c r="AY111" s="22">
        <v>0.40862999999999999</v>
      </c>
      <c r="AZ111" s="22">
        <v>28.950399999999998</v>
      </c>
      <c r="BA111" s="22">
        <v>-1.39069E-2</v>
      </c>
      <c r="BB111" s="22">
        <v>101</v>
      </c>
      <c r="BC111" s="22">
        <v>0.408051</v>
      </c>
      <c r="BD111">
        <f t="shared" si="22"/>
        <v>17.169012345679011</v>
      </c>
      <c r="BE111">
        <f t="shared" si="23"/>
        <v>7.0157735148148141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1.30646</v>
      </c>
      <c r="H112" s="22">
        <v>6.3515699999999997</v>
      </c>
      <c r="I112" s="22">
        <v>-1.33636E-2</v>
      </c>
      <c r="J112" s="22">
        <v>102</v>
      </c>
      <c r="K112" s="22">
        <v>1.3055399999999999</v>
      </c>
      <c r="L112">
        <f t="shared" si="12"/>
        <v>16.498271604938271</v>
      </c>
      <c r="M112">
        <f t="shared" si="13"/>
        <v>21.554331920987654</v>
      </c>
      <c r="N112" s="9"/>
      <c r="O112" s="22">
        <v>0.41366599999999998</v>
      </c>
      <c r="P112" s="22">
        <v>10.211</v>
      </c>
      <c r="Q112" s="22">
        <v>-1.3894699999999999E-2</v>
      </c>
      <c r="R112" s="22">
        <v>102</v>
      </c>
      <c r="S112" s="22">
        <v>0.41305500000000001</v>
      </c>
      <c r="T112">
        <f t="shared" si="14"/>
        <v>17.153950617283947</v>
      </c>
      <c r="U112">
        <f t="shared" si="15"/>
        <v>7.0960061360493807</v>
      </c>
      <c r="X112" s="9"/>
      <c r="Y112" s="22">
        <v>1.30646</v>
      </c>
      <c r="Z112" s="22">
        <v>15.7958</v>
      </c>
      <c r="AA112" s="22">
        <v>-1.33881E-2</v>
      </c>
      <c r="AB112" s="22">
        <v>102</v>
      </c>
      <c r="AC112" s="22">
        <v>1.3055399999999999</v>
      </c>
      <c r="AD112">
        <f t="shared" si="16"/>
        <v>16.528518518518517</v>
      </c>
      <c r="AE112">
        <f t="shared" si="17"/>
        <v>21.593848303703702</v>
      </c>
      <c r="AF112" s="9"/>
      <c r="AG112" s="22">
        <v>0.41366599999999998</v>
      </c>
      <c r="AH112" s="22">
        <v>19.6553</v>
      </c>
      <c r="AI112" s="22">
        <v>-1.40076E-2</v>
      </c>
      <c r="AJ112" s="22">
        <v>102</v>
      </c>
      <c r="AK112" s="22">
        <v>0.41305500000000001</v>
      </c>
      <c r="AL112">
        <f t="shared" si="18"/>
        <v>17.293333333333333</v>
      </c>
      <c r="AM112">
        <f t="shared" si="19"/>
        <v>7.1536640266666662</v>
      </c>
      <c r="AP112" s="9"/>
      <c r="AQ112" s="22">
        <v>1.30646</v>
      </c>
      <c r="AR112" s="22">
        <v>25.100999999999999</v>
      </c>
      <c r="AS112" s="22">
        <v>-1.3406400000000001E-2</v>
      </c>
      <c r="AT112" s="22">
        <v>102</v>
      </c>
      <c r="AU112" s="22">
        <v>1.30585</v>
      </c>
      <c r="AV112">
        <f t="shared" si="20"/>
        <v>16.551111111111108</v>
      </c>
      <c r="AW112">
        <f t="shared" si="21"/>
        <v>21.623364622222219</v>
      </c>
      <c r="AX112" s="9"/>
      <c r="AY112" s="22">
        <v>0.41366599999999998</v>
      </c>
      <c r="AZ112" s="22">
        <v>28.9605</v>
      </c>
      <c r="BA112" s="22">
        <v>-1.39221E-2</v>
      </c>
      <c r="BB112" s="22">
        <v>102</v>
      </c>
      <c r="BC112" s="22">
        <v>0.41299400000000003</v>
      </c>
      <c r="BD112">
        <f t="shared" si="22"/>
        <v>17.187777777777779</v>
      </c>
      <c r="BE112">
        <f t="shared" si="23"/>
        <v>7.1099992822222227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1.30142</v>
      </c>
      <c r="H113" s="22">
        <v>6.3616400000000004</v>
      </c>
      <c r="I113" s="22">
        <v>-1.33636E-2</v>
      </c>
      <c r="J113" s="22">
        <v>103</v>
      </c>
      <c r="K113" s="22">
        <v>1.3006599999999999</v>
      </c>
      <c r="L113">
        <f t="shared" si="12"/>
        <v>16.498271604938271</v>
      </c>
      <c r="M113">
        <f t="shared" si="13"/>
        <v>21.471180632098765</v>
      </c>
      <c r="N113" s="9"/>
      <c r="O113" s="22">
        <v>0.41870099999999999</v>
      </c>
      <c r="P113" s="22">
        <v>10.2211</v>
      </c>
      <c r="Q113" s="22">
        <v>-1.3894699999999999E-2</v>
      </c>
      <c r="R113" s="22">
        <v>103</v>
      </c>
      <c r="S113" s="22">
        <v>0.41812100000000002</v>
      </c>
      <c r="T113">
        <f t="shared" si="14"/>
        <v>17.153950617283947</v>
      </c>
      <c r="U113">
        <f t="shared" si="15"/>
        <v>7.1823762774074051</v>
      </c>
      <c r="X113" s="9"/>
      <c r="Y113" s="22">
        <v>1.30142</v>
      </c>
      <c r="Z113" s="22">
        <v>15.8058</v>
      </c>
      <c r="AA113" s="22">
        <v>-1.34003E-2</v>
      </c>
      <c r="AB113" s="22">
        <v>103</v>
      </c>
      <c r="AC113" s="22">
        <v>1.3006599999999999</v>
      </c>
      <c r="AD113">
        <f t="shared" si="16"/>
        <v>16.543580246913578</v>
      </c>
      <c r="AE113">
        <f t="shared" si="17"/>
        <v>21.530146204938269</v>
      </c>
      <c r="AF113" s="9"/>
      <c r="AG113" s="22">
        <v>0.41870099999999999</v>
      </c>
      <c r="AH113" s="22">
        <v>19.665299999999998</v>
      </c>
      <c r="AI113" s="22">
        <v>-1.40076E-2</v>
      </c>
      <c r="AJ113" s="22">
        <v>103</v>
      </c>
      <c r="AK113" s="22">
        <v>0.41809099999999999</v>
      </c>
      <c r="AL113">
        <f t="shared" si="18"/>
        <v>17.293333333333333</v>
      </c>
      <c r="AM113">
        <f t="shared" si="19"/>
        <v>7.2407359599999994</v>
      </c>
      <c r="AP113" s="9"/>
      <c r="AQ113" s="22">
        <v>1.30142</v>
      </c>
      <c r="AR113" s="22">
        <v>25.1111</v>
      </c>
      <c r="AS113" s="22">
        <v>-1.3412500000000001E-2</v>
      </c>
      <c r="AT113" s="22">
        <v>103</v>
      </c>
      <c r="AU113" s="22">
        <v>1.3006599999999999</v>
      </c>
      <c r="AV113">
        <f t="shared" si="20"/>
        <v>16.558641975308642</v>
      </c>
      <c r="AW113">
        <f t="shared" si="21"/>
        <v>21.549747839506175</v>
      </c>
      <c r="AX113" s="9"/>
      <c r="AY113" s="22">
        <v>0.41870099999999999</v>
      </c>
      <c r="AZ113" s="22">
        <v>28.970600000000001</v>
      </c>
      <c r="BA113" s="22">
        <v>-1.39343E-2</v>
      </c>
      <c r="BB113" s="22">
        <v>103</v>
      </c>
      <c r="BC113" s="22">
        <v>0.41815200000000002</v>
      </c>
      <c r="BD113">
        <f t="shared" si="22"/>
        <v>17.202839506172836</v>
      </c>
      <c r="BE113">
        <f t="shared" si="23"/>
        <v>7.2028461040740721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1.2963899999999999</v>
      </c>
      <c r="H114" s="22">
        <v>6.3717100000000002</v>
      </c>
      <c r="I114" s="22">
        <v>-1.33759E-2</v>
      </c>
      <c r="J114" s="22">
        <v>104</v>
      </c>
      <c r="K114" s="22">
        <v>1.2954699999999999</v>
      </c>
      <c r="L114">
        <f t="shared" si="12"/>
        <v>16.513456790123456</v>
      </c>
      <c r="M114">
        <f t="shared" si="13"/>
        <v>21.407880248148146</v>
      </c>
      <c r="N114" s="9"/>
      <c r="O114" s="22">
        <v>0.42373699999999997</v>
      </c>
      <c r="P114" s="22">
        <v>10.231199999999999</v>
      </c>
      <c r="Q114" s="22">
        <v>-1.3894699999999999E-2</v>
      </c>
      <c r="R114" s="22">
        <v>104</v>
      </c>
      <c r="S114" s="22">
        <v>0.423126</v>
      </c>
      <c r="T114">
        <f t="shared" si="14"/>
        <v>17.153950617283947</v>
      </c>
      <c r="U114">
        <f t="shared" si="15"/>
        <v>7.2687635727160469</v>
      </c>
      <c r="X114" s="9"/>
      <c r="Y114" s="22">
        <v>1.2963899999999999</v>
      </c>
      <c r="Z114" s="22">
        <v>15.815899999999999</v>
      </c>
      <c r="AA114" s="22">
        <v>-1.34094E-2</v>
      </c>
      <c r="AB114" s="22">
        <v>104</v>
      </c>
      <c r="AC114" s="22">
        <v>1.2954699999999999</v>
      </c>
      <c r="AD114">
        <f t="shared" si="16"/>
        <v>16.554814814814815</v>
      </c>
      <c r="AE114">
        <f t="shared" si="17"/>
        <v>21.461496377777777</v>
      </c>
      <c r="AF114" s="9"/>
      <c r="AG114" s="22">
        <v>0.42373699999999997</v>
      </c>
      <c r="AH114" s="22">
        <v>19.6754</v>
      </c>
      <c r="AI114" s="22">
        <v>-1.3998399999999999E-2</v>
      </c>
      <c r="AJ114" s="22">
        <v>104</v>
      </c>
      <c r="AK114" s="22">
        <v>0.42306500000000002</v>
      </c>
      <c r="AL114">
        <f t="shared" si="18"/>
        <v>17.281975308641975</v>
      </c>
      <c r="AM114">
        <f t="shared" si="19"/>
        <v>7.3230123713580246</v>
      </c>
      <c r="AP114" s="9"/>
      <c r="AQ114" s="22">
        <v>1.2963899999999999</v>
      </c>
      <c r="AR114" s="22">
        <v>25.121099999999998</v>
      </c>
      <c r="AS114" s="22">
        <v>-1.3418599999999999E-2</v>
      </c>
      <c r="AT114" s="22">
        <v>104</v>
      </c>
      <c r="AU114" s="22">
        <v>1.2954699999999999</v>
      </c>
      <c r="AV114">
        <f t="shared" si="20"/>
        <v>16.566172839506169</v>
      </c>
      <c r="AW114">
        <f t="shared" si="21"/>
        <v>21.476220807407401</v>
      </c>
      <c r="AX114" s="9"/>
      <c r="AY114" s="22">
        <v>0.42373699999999997</v>
      </c>
      <c r="AZ114" s="22">
        <v>28.980599999999999</v>
      </c>
      <c r="BA114" s="22">
        <v>-1.3937400000000001E-2</v>
      </c>
      <c r="BB114" s="22">
        <v>104</v>
      </c>
      <c r="BC114" s="22">
        <v>0.42309600000000003</v>
      </c>
      <c r="BD114">
        <f t="shared" si="22"/>
        <v>17.206666666666667</v>
      </c>
      <c r="BE114">
        <f t="shared" si="23"/>
        <v>7.2911013133333329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1.29135</v>
      </c>
      <c r="H115" s="22">
        <v>6.38178</v>
      </c>
      <c r="I115" s="22">
        <v>-1.3384999999999999E-2</v>
      </c>
      <c r="J115" s="22">
        <v>105</v>
      </c>
      <c r="K115" s="22">
        <v>1.2905899999999999</v>
      </c>
      <c r="L115">
        <f t="shared" si="12"/>
        <v>16.52469135802469</v>
      </c>
      <c r="M115">
        <f t="shared" si="13"/>
        <v>21.339160185185182</v>
      </c>
      <c r="N115" s="9"/>
      <c r="O115" s="22">
        <v>0.42877199999999999</v>
      </c>
      <c r="P115" s="22">
        <v>10.241300000000001</v>
      </c>
      <c r="Q115" s="22">
        <v>-1.3897700000000001E-2</v>
      </c>
      <c r="R115" s="22">
        <v>105</v>
      </c>
      <c r="S115" s="22">
        <v>0.42819200000000002</v>
      </c>
      <c r="T115">
        <f t="shared" si="14"/>
        <v>17.157654320987653</v>
      </c>
      <c r="U115">
        <f t="shared" si="15"/>
        <v>7.3567217585185176</v>
      </c>
      <c r="X115" s="9"/>
      <c r="Y115" s="22">
        <v>1.29135</v>
      </c>
      <c r="Z115" s="22">
        <v>15.826000000000001</v>
      </c>
      <c r="AA115" s="22">
        <v>-1.3424699999999999E-2</v>
      </c>
      <c r="AB115" s="22">
        <v>105</v>
      </c>
      <c r="AC115" s="22">
        <v>1.2902800000000001</v>
      </c>
      <c r="AD115">
        <f t="shared" si="16"/>
        <v>16.5737037037037</v>
      </c>
      <c r="AE115">
        <f t="shared" si="17"/>
        <v>21.402452277777773</v>
      </c>
      <c r="AF115" s="9"/>
      <c r="AG115" s="22">
        <v>0.42877199999999999</v>
      </c>
      <c r="AH115" s="22">
        <v>19.685500000000001</v>
      </c>
      <c r="AI115" s="22">
        <v>-1.39954E-2</v>
      </c>
      <c r="AJ115" s="22">
        <v>105</v>
      </c>
      <c r="AK115" s="22">
        <v>0.42816199999999999</v>
      </c>
      <c r="AL115">
        <f t="shared" si="18"/>
        <v>17.278271604938272</v>
      </c>
      <c r="AM115">
        <f t="shared" si="19"/>
        <v>7.4084390725925928</v>
      </c>
      <c r="AP115" s="9"/>
      <c r="AQ115" s="22">
        <v>1.29135</v>
      </c>
      <c r="AR115" s="22">
        <v>25.1312</v>
      </c>
      <c r="AS115" s="22">
        <v>-1.3421600000000001E-2</v>
      </c>
      <c r="AT115" s="22">
        <v>105</v>
      </c>
      <c r="AU115" s="22">
        <v>1.2902800000000001</v>
      </c>
      <c r="AV115">
        <f t="shared" si="20"/>
        <v>16.569876543209876</v>
      </c>
      <c r="AW115">
        <f t="shared" si="21"/>
        <v>21.397510074074074</v>
      </c>
      <c r="AX115" s="9"/>
      <c r="AY115" s="22">
        <v>0.42877199999999999</v>
      </c>
      <c r="AZ115" s="22">
        <v>28.9907</v>
      </c>
      <c r="BA115" s="22">
        <v>-1.39282E-2</v>
      </c>
      <c r="BB115" s="22">
        <v>105</v>
      </c>
      <c r="BC115" s="22">
        <v>0.42816199999999999</v>
      </c>
      <c r="BD115">
        <f t="shared" si="22"/>
        <v>17.195308641975309</v>
      </c>
      <c r="BE115">
        <f t="shared" si="23"/>
        <v>7.3728668770370369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1.2863199999999999</v>
      </c>
      <c r="H116" s="22">
        <v>6.3918600000000003</v>
      </c>
      <c r="I116" s="22">
        <v>-1.33942E-2</v>
      </c>
      <c r="J116" s="22">
        <v>106</v>
      </c>
      <c r="K116" s="22">
        <v>1.2854000000000001</v>
      </c>
      <c r="L116">
        <f t="shared" si="12"/>
        <v>16.536049382716048</v>
      </c>
      <c r="M116">
        <f t="shared" si="13"/>
        <v>21.270651041975306</v>
      </c>
      <c r="N116" s="9"/>
      <c r="O116" s="22">
        <v>0.433807</v>
      </c>
      <c r="P116" s="22">
        <v>10.251300000000001</v>
      </c>
      <c r="Q116" s="22">
        <v>-1.39008E-2</v>
      </c>
      <c r="R116" s="22">
        <v>106</v>
      </c>
      <c r="S116" s="22">
        <v>0.43325799999999998</v>
      </c>
      <c r="T116">
        <f t="shared" si="14"/>
        <v>17.161481481481481</v>
      </c>
      <c r="U116">
        <f t="shared" si="15"/>
        <v>7.4447707970370365</v>
      </c>
      <c r="X116" s="9"/>
      <c r="Y116" s="22">
        <v>1.2863199999999999</v>
      </c>
      <c r="Z116" s="22">
        <v>15.8361</v>
      </c>
      <c r="AA116" s="22">
        <v>-1.3446E-2</v>
      </c>
      <c r="AB116" s="22">
        <v>106</v>
      </c>
      <c r="AC116" s="22">
        <v>1.2847900000000001</v>
      </c>
      <c r="AD116">
        <f t="shared" si="16"/>
        <v>16.599999999999998</v>
      </c>
      <c r="AE116">
        <f t="shared" si="17"/>
        <v>21.352911999999996</v>
      </c>
      <c r="AF116" s="9"/>
      <c r="AG116" s="22">
        <v>0.433807</v>
      </c>
      <c r="AH116" s="22">
        <v>19.695499999999999</v>
      </c>
      <c r="AI116" s="22">
        <v>-1.39954E-2</v>
      </c>
      <c r="AJ116" s="22">
        <v>106</v>
      </c>
      <c r="AK116" s="22">
        <v>0.43328899999999998</v>
      </c>
      <c r="AL116">
        <f t="shared" si="18"/>
        <v>17.278271604938272</v>
      </c>
      <c r="AM116">
        <f t="shared" si="19"/>
        <v>7.4954351701234572</v>
      </c>
      <c r="AP116" s="9"/>
      <c r="AQ116" s="22">
        <v>1.2863199999999999</v>
      </c>
      <c r="AR116" s="22">
        <v>25.141300000000001</v>
      </c>
      <c r="AS116" s="22">
        <v>-1.3427700000000001E-2</v>
      </c>
      <c r="AT116" s="22">
        <v>106</v>
      </c>
      <c r="AU116" s="22">
        <v>1.2857099999999999</v>
      </c>
      <c r="AV116">
        <f t="shared" si="20"/>
        <v>16.57740740740741</v>
      </c>
      <c r="AW116">
        <f t="shared" si="21"/>
        <v>21.323850696296297</v>
      </c>
      <c r="AX116" s="9"/>
      <c r="AY116" s="22">
        <v>0.433807</v>
      </c>
      <c r="AZ116" s="22">
        <v>29.000800000000002</v>
      </c>
      <c r="BA116" s="22">
        <v>-1.39221E-2</v>
      </c>
      <c r="BB116" s="22">
        <v>106</v>
      </c>
      <c r="BC116" s="22">
        <v>0.43325799999999998</v>
      </c>
      <c r="BD116">
        <f t="shared" si="22"/>
        <v>17.187777777777779</v>
      </c>
      <c r="BE116">
        <f t="shared" si="23"/>
        <v>7.4561783144444451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1.28128</v>
      </c>
      <c r="H117" s="22">
        <v>6.4019300000000001</v>
      </c>
      <c r="I117" s="22">
        <v>-1.3406400000000001E-2</v>
      </c>
      <c r="J117" s="22">
        <v>107</v>
      </c>
      <c r="K117" s="22">
        <v>1.2802100000000001</v>
      </c>
      <c r="L117">
        <f t="shared" si="12"/>
        <v>16.551111111111108</v>
      </c>
      <c r="M117">
        <f t="shared" si="13"/>
        <v>21.206607644444439</v>
      </c>
      <c r="N117" s="9"/>
      <c r="O117" s="22">
        <v>0.43884299999999998</v>
      </c>
      <c r="P117" s="22">
        <v>10.2614</v>
      </c>
      <c r="Q117" s="22">
        <v>-1.39008E-2</v>
      </c>
      <c r="R117" s="22">
        <v>107</v>
      </c>
      <c r="S117" s="22">
        <v>0.43823200000000001</v>
      </c>
      <c r="T117">
        <f t="shared" si="14"/>
        <v>17.161481481481481</v>
      </c>
      <c r="U117">
        <f t="shared" si="15"/>
        <v>7.531196017777777</v>
      </c>
      <c r="X117" s="9"/>
      <c r="Y117" s="22">
        <v>1.28128</v>
      </c>
      <c r="Z117" s="22">
        <v>15.8461</v>
      </c>
      <c r="AA117" s="22">
        <v>-1.3467399999999999E-2</v>
      </c>
      <c r="AB117" s="22">
        <v>107</v>
      </c>
      <c r="AC117" s="22">
        <v>1.2802100000000001</v>
      </c>
      <c r="AD117">
        <f t="shared" si="16"/>
        <v>16.626419753086417</v>
      </c>
      <c r="AE117">
        <f t="shared" si="17"/>
        <v>21.303099101234565</v>
      </c>
      <c r="AF117" s="9"/>
      <c r="AG117" s="22">
        <v>0.43884299999999998</v>
      </c>
      <c r="AH117" s="22">
        <v>19.7056</v>
      </c>
      <c r="AI117" s="22">
        <v>-1.39893E-2</v>
      </c>
      <c r="AJ117" s="22">
        <v>107</v>
      </c>
      <c r="AK117" s="22">
        <v>0.43823200000000001</v>
      </c>
      <c r="AL117">
        <f t="shared" si="18"/>
        <v>17.270740740740738</v>
      </c>
      <c r="AM117">
        <f t="shared" si="19"/>
        <v>7.5791436788888875</v>
      </c>
      <c r="AP117" s="9"/>
      <c r="AQ117" s="22">
        <v>1.28128</v>
      </c>
      <c r="AR117" s="22">
        <v>25.151399999999999</v>
      </c>
      <c r="AS117" s="22">
        <v>-1.34369E-2</v>
      </c>
      <c r="AT117" s="22">
        <v>107</v>
      </c>
      <c r="AU117" s="22">
        <v>1.2805200000000001</v>
      </c>
      <c r="AV117">
        <f t="shared" si="20"/>
        <v>16.588765432098764</v>
      </c>
      <c r="AW117">
        <f t="shared" si="21"/>
        <v>21.254853372839506</v>
      </c>
      <c r="AX117" s="9"/>
      <c r="AY117" s="22">
        <v>0.43884299999999998</v>
      </c>
      <c r="AZ117" s="22">
        <v>29.0108</v>
      </c>
      <c r="BA117" s="22">
        <v>-1.39282E-2</v>
      </c>
      <c r="BB117" s="22">
        <v>107</v>
      </c>
      <c r="BC117" s="22">
        <v>0.43829299999999999</v>
      </c>
      <c r="BD117">
        <f t="shared" si="22"/>
        <v>17.195308641975309</v>
      </c>
      <c r="BE117">
        <f t="shared" si="23"/>
        <v>7.5460408303703703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1.2762500000000001</v>
      </c>
      <c r="H118" s="22">
        <v>6.4119999999999999</v>
      </c>
      <c r="I118" s="22">
        <v>-1.3427700000000001E-2</v>
      </c>
      <c r="J118" s="22">
        <v>108</v>
      </c>
      <c r="K118" s="22">
        <v>1.2747200000000001</v>
      </c>
      <c r="L118">
        <f t="shared" si="12"/>
        <v>16.57740740740741</v>
      </c>
      <c r="M118">
        <f t="shared" si="13"/>
        <v>21.156916203703709</v>
      </c>
      <c r="N118" s="9"/>
      <c r="O118" s="22">
        <v>0.44387799999999999</v>
      </c>
      <c r="P118" s="22">
        <v>10.2715</v>
      </c>
      <c r="Q118" s="22">
        <v>-1.39069E-2</v>
      </c>
      <c r="R118" s="22">
        <v>108</v>
      </c>
      <c r="S118" s="22">
        <v>0.44332899999999997</v>
      </c>
      <c r="T118">
        <f t="shared" si="14"/>
        <v>17.169012345679011</v>
      </c>
      <c r="U118">
        <f t="shared" si="15"/>
        <v>7.620946861975308</v>
      </c>
      <c r="X118" s="9"/>
      <c r="Y118" s="22">
        <v>1.2762500000000001</v>
      </c>
      <c r="Z118" s="22">
        <v>15.856199999999999</v>
      </c>
      <c r="AA118" s="22">
        <v>-1.34796E-2</v>
      </c>
      <c r="AB118" s="22">
        <v>108</v>
      </c>
      <c r="AC118" s="22">
        <v>1.2762500000000001</v>
      </c>
      <c r="AD118">
        <f t="shared" si="16"/>
        <v>16.641481481481478</v>
      </c>
      <c r="AE118">
        <f t="shared" si="17"/>
        <v>21.238690740740736</v>
      </c>
      <c r="AF118" s="9"/>
      <c r="AG118" s="22">
        <v>0.44387799999999999</v>
      </c>
      <c r="AH118" s="22">
        <v>19.715699999999998</v>
      </c>
      <c r="AI118" s="22">
        <v>-1.3986200000000001E-2</v>
      </c>
      <c r="AJ118" s="22">
        <v>108</v>
      </c>
      <c r="AK118" s="22">
        <v>0.44329800000000003</v>
      </c>
      <c r="AL118">
        <f t="shared" si="18"/>
        <v>17.266913580246914</v>
      </c>
      <c r="AM118">
        <f t="shared" si="19"/>
        <v>7.6644030661728397</v>
      </c>
      <c r="AP118" s="9"/>
      <c r="AQ118" s="22">
        <v>1.2762500000000001</v>
      </c>
      <c r="AR118" s="22">
        <v>25.1614</v>
      </c>
      <c r="AS118" s="22">
        <v>-1.34521E-2</v>
      </c>
      <c r="AT118" s="22">
        <v>108</v>
      </c>
      <c r="AU118" s="22">
        <v>1.2759400000000001</v>
      </c>
      <c r="AV118">
        <f t="shared" si="20"/>
        <v>16.607530864197528</v>
      </c>
      <c r="AW118">
        <f t="shared" si="21"/>
        <v>21.195361265432098</v>
      </c>
      <c r="AX118" s="9"/>
      <c r="AY118" s="22">
        <v>0.44387799999999999</v>
      </c>
      <c r="AZ118" s="22">
        <v>29.020900000000001</v>
      </c>
      <c r="BA118" s="22">
        <v>-1.39343E-2</v>
      </c>
      <c r="BB118" s="22">
        <v>108</v>
      </c>
      <c r="BC118" s="22">
        <v>0.44332899999999997</v>
      </c>
      <c r="BD118">
        <f t="shared" si="22"/>
        <v>17.202839506172836</v>
      </c>
      <c r="BE118">
        <f t="shared" si="23"/>
        <v>7.6359619943209864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1.27121</v>
      </c>
      <c r="H119" s="22">
        <v>6.4220699999999997</v>
      </c>
      <c r="I119" s="22">
        <v>-1.34369E-2</v>
      </c>
      <c r="J119" s="22">
        <v>109</v>
      </c>
      <c r="K119" s="22">
        <v>1.27075</v>
      </c>
      <c r="L119">
        <f t="shared" si="12"/>
        <v>16.588765432098764</v>
      </c>
      <c r="M119">
        <f t="shared" si="13"/>
        <v>21.087804504938269</v>
      </c>
      <c r="N119" s="9"/>
      <c r="O119" s="22">
        <v>0.44891399999999998</v>
      </c>
      <c r="P119" s="22">
        <v>10.281499999999999</v>
      </c>
      <c r="Q119" s="22">
        <v>-1.3913E-2</v>
      </c>
      <c r="R119" s="22">
        <v>109</v>
      </c>
      <c r="S119" s="22">
        <v>0.44824199999999997</v>
      </c>
      <c r="T119">
        <f t="shared" si="14"/>
        <v>17.176543209876542</v>
      </c>
      <c r="U119">
        <f t="shared" si="15"/>
        <v>7.7107907185185178</v>
      </c>
      <c r="X119" s="9"/>
      <c r="Y119" s="22">
        <v>1.27121</v>
      </c>
      <c r="Z119" s="22">
        <v>15.866300000000001</v>
      </c>
      <c r="AA119" s="22">
        <v>-1.34857E-2</v>
      </c>
      <c r="AB119" s="22">
        <v>109</v>
      </c>
      <c r="AC119" s="22">
        <v>1.2704500000000001</v>
      </c>
      <c r="AD119">
        <f t="shared" si="16"/>
        <v>16.649012345679012</v>
      </c>
      <c r="AE119">
        <f t="shared" si="17"/>
        <v>21.164390983950614</v>
      </c>
      <c r="AF119" s="9"/>
      <c r="AG119" s="22">
        <v>0.44891399999999998</v>
      </c>
      <c r="AH119" s="22">
        <v>19.7257</v>
      </c>
      <c r="AI119" s="22">
        <v>-1.39893E-2</v>
      </c>
      <c r="AJ119" s="22">
        <v>109</v>
      </c>
      <c r="AK119" s="22">
        <v>0.44827299999999998</v>
      </c>
      <c r="AL119">
        <f t="shared" si="18"/>
        <v>17.270740740740738</v>
      </c>
      <c r="AM119">
        <f t="shared" si="19"/>
        <v>7.7530773088888871</v>
      </c>
      <c r="AP119" s="9"/>
      <c r="AQ119" s="22">
        <v>1.27121</v>
      </c>
      <c r="AR119" s="22">
        <v>25.171500000000002</v>
      </c>
      <c r="AS119" s="22">
        <v>-1.3473499999999999E-2</v>
      </c>
      <c r="AT119" s="22">
        <v>109</v>
      </c>
      <c r="AU119" s="22">
        <v>1.27014</v>
      </c>
      <c r="AV119">
        <f t="shared" si="20"/>
        <v>16.633950617283947</v>
      </c>
      <c r="AW119">
        <f t="shared" si="21"/>
        <v>21.145244364197527</v>
      </c>
      <c r="AX119" s="9"/>
      <c r="AY119" s="22">
        <v>0.44891399999999998</v>
      </c>
      <c r="AZ119" s="22">
        <v>29.030999999999999</v>
      </c>
      <c r="BA119" s="22">
        <v>-1.3937400000000001E-2</v>
      </c>
      <c r="BB119" s="22">
        <v>109</v>
      </c>
      <c r="BC119" s="22">
        <v>0.44830300000000001</v>
      </c>
      <c r="BD119">
        <f t="shared" si="22"/>
        <v>17.206666666666667</v>
      </c>
      <c r="BE119">
        <f t="shared" si="23"/>
        <v>7.7243135599999997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1.26617</v>
      </c>
      <c r="H120" s="22">
        <v>6.4321400000000004</v>
      </c>
      <c r="I120" s="22">
        <v>-1.3446E-2</v>
      </c>
      <c r="J120" s="22">
        <v>110</v>
      </c>
      <c r="K120" s="22">
        <v>1.26495</v>
      </c>
      <c r="L120">
        <f t="shared" si="12"/>
        <v>16.599999999999998</v>
      </c>
      <c r="M120">
        <f t="shared" si="13"/>
        <v>21.018421999999997</v>
      </c>
      <c r="N120" s="9"/>
      <c r="O120" s="22">
        <v>0.45394899999999999</v>
      </c>
      <c r="P120" s="22">
        <v>10.291600000000001</v>
      </c>
      <c r="Q120" s="22">
        <v>-1.3913E-2</v>
      </c>
      <c r="R120" s="22">
        <v>110</v>
      </c>
      <c r="S120" s="22">
        <v>0.45336900000000002</v>
      </c>
      <c r="T120">
        <f t="shared" si="14"/>
        <v>17.176543209876542</v>
      </c>
      <c r="U120">
        <f t="shared" si="15"/>
        <v>7.797274613580246</v>
      </c>
      <c r="X120" s="9"/>
      <c r="Y120" s="22">
        <v>1.26617</v>
      </c>
      <c r="Z120" s="22">
        <v>15.876300000000001</v>
      </c>
      <c r="AA120" s="22">
        <v>-1.3501000000000001E-2</v>
      </c>
      <c r="AB120" s="22">
        <v>110</v>
      </c>
      <c r="AC120" s="22">
        <v>1.26556</v>
      </c>
      <c r="AD120">
        <f t="shared" si="16"/>
        <v>16.667901234567903</v>
      </c>
      <c r="AE120">
        <f t="shared" si="17"/>
        <v>21.104396506172844</v>
      </c>
      <c r="AF120" s="9"/>
      <c r="AG120" s="22">
        <v>0.45394899999999999</v>
      </c>
      <c r="AH120" s="22">
        <v>19.735800000000001</v>
      </c>
      <c r="AI120" s="22">
        <v>-1.3998399999999999E-2</v>
      </c>
      <c r="AJ120" s="22">
        <v>110</v>
      </c>
      <c r="AK120" s="22">
        <v>0.45333899999999999</v>
      </c>
      <c r="AL120">
        <f t="shared" si="18"/>
        <v>17.281975308641975</v>
      </c>
      <c r="AM120">
        <f t="shared" si="19"/>
        <v>7.8451354093827161</v>
      </c>
      <c r="AP120" s="9"/>
      <c r="AQ120" s="22">
        <v>1.26617</v>
      </c>
      <c r="AR120" s="22">
        <v>25.1816</v>
      </c>
      <c r="AS120" s="22">
        <v>-1.34918E-2</v>
      </c>
      <c r="AT120" s="22">
        <v>110</v>
      </c>
      <c r="AU120" s="22">
        <v>1.2652600000000001</v>
      </c>
      <c r="AV120">
        <f t="shared" si="20"/>
        <v>16.656543209876542</v>
      </c>
      <c r="AW120">
        <f t="shared" si="21"/>
        <v>21.090015316049382</v>
      </c>
      <c r="AX120" s="9"/>
      <c r="AY120" s="22">
        <v>0.45394899999999999</v>
      </c>
      <c r="AZ120" s="22">
        <v>29.041</v>
      </c>
      <c r="BA120" s="22">
        <v>-1.3946500000000001E-2</v>
      </c>
      <c r="BB120" s="22">
        <v>110</v>
      </c>
      <c r="BC120" s="22">
        <v>0.45333899999999999</v>
      </c>
      <c r="BD120">
        <f t="shared" si="22"/>
        <v>17.217901234567901</v>
      </c>
      <c r="BE120">
        <f t="shared" si="23"/>
        <v>7.8160490475308642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1.2611399999999999</v>
      </c>
      <c r="H121" s="22">
        <v>6.4422100000000002</v>
      </c>
      <c r="I121" s="22">
        <v>-1.34552E-2</v>
      </c>
      <c r="J121" s="22">
        <v>111</v>
      </c>
      <c r="K121" s="22">
        <v>1.2603800000000001</v>
      </c>
      <c r="L121">
        <f t="shared" si="12"/>
        <v>16.611358024691356</v>
      </c>
      <c r="M121">
        <f t="shared" si="13"/>
        <v>20.949248059259254</v>
      </c>
      <c r="N121" s="9"/>
      <c r="O121" s="22">
        <v>0.458984</v>
      </c>
      <c r="P121" s="22">
        <v>10.3017</v>
      </c>
      <c r="Q121" s="22">
        <v>-1.39069E-2</v>
      </c>
      <c r="R121" s="22">
        <v>111</v>
      </c>
      <c r="S121" s="22">
        <v>0.45840500000000001</v>
      </c>
      <c r="T121">
        <f t="shared" si="14"/>
        <v>17.169012345679011</v>
      </c>
      <c r="U121">
        <f t="shared" si="15"/>
        <v>7.8803019624691357</v>
      </c>
      <c r="X121" s="9"/>
      <c r="Y121" s="22">
        <v>1.2611399999999999</v>
      </c>
      <c r="Z121" s="22">
        <v>15.8864</v>
      </c>
      <c r="AA121" s="22">
        <v>-1.3504E-2</v>
      </c>
      <c r="AB121" s="22">
        <v>111</v>
      </c>
      <c r="AC121" s="22">
        <v>1.2597700000000001</v>
      </c>
      <c r="AD121">
        <f t="shared" si="16"/>
        <v>16.671604938271606</v>
      </c>
      <c r="AE121">
        <f t="shared" si="17"/>
        <v>21.025227851851852</v>
      </c>
      <c r="AF121" s="9"/>
      <c r="AG121" s="22">
        <v>0.458984</v>
      </c>
      <c r="AH121" s="22">
        <v>19.745899999999999</v>
      </c>
      <c r="AI121" s="22">
        <v>-1.40076E-2</v>
      </c>
      <c r="AJ121" s="22">
        <v>111</v>
      </c>
      <c r="AK121" s="22">
        <v>0.45840500000000001</v>
      </c>
      <c r="AL121">
        <f t="shared" si="18"/>
        <v>17.293333333333333</v>
      </c>
      <c r="AM121">
        <f t="shared" si="19"/>
        <v>7.9373633066666667</v>
      </c>
      <c r="AP121" s="9"/>
      <c r="AQ121" s="22">
        <v>1.2611399999999999</v>
      </c>
      <c r="AR121" s="22">
        <v>25.191600000000001</v>
      </c>
      <c r="AS121" s="22">
        <v>-1.3494900000000001E-2</v>
      </c>
      <c r="AT121" s="22">
        <v>111</v>
      </c>
      <c r="AU121" s="22">
        <v>1.26068</v>
      </c>
      <c r="AV121">
        <f t="shared" si="20"/>
        <v>16.660370370370369</v>
      </c>
      <c r="AW121">
        <f t="shared" si="21"/>
        <v>21.011059488888886</v>
      </c>
      <c r="AX121" s="9"/>
      <c r="AY121" s="22">
        <v>0.458984</v>
      </c>
      <c r="AZ121" s="22">
        <v>29.051100000000002</v>
      </c>
      <c r="BA121" s="22">
        <v>-1.39496E-2</v>
      </c>
      <c r="BB121" s="22">
        <v>111</v>
      </c>
      <c r="BC121" s="22">
        <v>0.45834399999999997</v>
      </c>
      <c r="BD121">
        <f t="shared" si="22"/>
        <v>17.221728395061724</v>
      </c>
      <c r="BE121">
        <f t="shared" si="23"/>
        <v>7.9044977856790108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1.2561</v>
      </c>
      <c r="H122" s="22">
        <v>6.45228</v>
      </c>
      <c r="I122" s="22">
        <v>-1.34705E-2</v>
      </c>
      <c r="J122" s="22">
        <v>112</v>
      </c>
      <c r="K122" s="22">
        <v>1.25519</v>
      </c>
      <c r="L122">
        <f t="shared" si="12"/>
        <v>16.630246913580244</v>
      </c>
      <c r="M122">
        <f t="shared" si="13"/>
        <v>20.889253148148143</v>
      </c>
      <c r="N122" s="9"/>
      <c r="O122" s="22">
        <v>0.46401999999999999</v>
      </c>
      <c r="P122" s="22">
        <v>10.3118</v>
      </c>
      <c r="Q122" s="22">
        <v>-1.3903799999999999E-2</v>
      </c>
      <c r="R122" s="22">
        <v>112</v>
      </c>
      <c r="S122" s="22">
        <v>0.46337899999999999</v>
      </c>
      <c r="T122">
        <f t="shared" si="14"/>
        <v>17.165185185185184</v>
      </c>
      <c r="U122">
        <f t="shared" si="15"/>
        <v>7.9649892296296292</v>
      </c>
      <c r="X122" s="9"/>
      <c r="Y122" s="22">
        <v>1.2561</v>
      </c>
      <c r="Z122" s="22">
        <v>15.8965</v>
      </c>
      <c r="AA122" s="22">
        <v>-1.3501000000000001E-2</v>
      </c>
      <c r="AB122" s="22">
        <v>112</v>
      </c>
      <c r="AC122" s="22">
        <v>1.25519</v>
      </c>
      <c r="AD122">
        <f t="shared" si="16"/>
        <v>16.667901234567903</v>
      </c>
      <c r="AE122">
        <f t="shared" si="17"/>
        <v>20.936550740740742</v>
      </c>
      <c r="AF122" s="9"/>
      <c r="AG122" s="22">
        <v>0.46401999999999999</v>
      </c>
      <c r="AH122" s="22">
        <v>19.756</v>
      </c>
      <c r="AI122" s="22">
        <v>-1.40015E-2</v>
      </c>
      <c r="AJ122" s="22">
        <v>112</v>
      </c>
      <c r="AK122" s="22">
        <v>0.46337899999999999</v>
      </c>
      <c r="AL122">
        <f t="shared" si="18"/>
        <v>17.285802469135803</v>
      </c>
      <c r="AM122">
        <f t="shared" si="19"/>
        <v>8.0209580617283951</v>
      </c>
      <c r="AP122" s="9"/>
      <c r="AQ122" s="22">
        <v>1.2561</v>
      </c>
      <c r="AR122" s="22">
        <v>25.201699999999999</v>
      </c>
      <c r="AS122" s="22">
        <v>-1.34918E-2</v>
      </c>
      <c r="AT122" s="22">
        <v>112</v>
      </c>
      <c r="AU122" s="22">
        <v>1.25519</v>
      </c>
      <c r="AV122">
        <f t="shared" si="20"/>
        <v>16.656543209876542</v>
      </c>
      <c r="AW122">
        <f t="shared" si="21"/>
        <v>20.922283925925925</v>
      </c>
      <c r="AX122" s="9"/>
      <c r="AY122" s="22">
        <v>0.46401999999999999</v>
      </c>
      <c r="AZ122" s="22">
        <v>29.061199999999999</v>
      </c>
      <c r="BA122" s="22">
        <v>-1.3946500000000001E-2</v>
      </c>
      <c r="BB122" s="22">
        <v>112</v>
      </c>
      <c r="BC122" s="22">
        <v>0.46334799999999998</v>
      </c>
      <c r="BD122">
        <f t="shared" si="22"/>
        <v>17.217901234567901</v>
      </c>
      <c r="BE122">
        <f t="shared" si="23"/>
        <v>7.9894505308641968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1.2510699999999999</v>
      </c>
      <c r="H123" s="22">
        <v>6.4623499999999998</v>
      </c>
      <c r="I123" s="22">
        <v>-1.34796E-2</v>
      </c>
      <c r="J123" s="22">
        <v>113</v>
      </c>
      <c r="K123" s="22">
        <v>1.25031</v>
      </c>
      <c r="L123">
        <f t="shared" si="12"/>
        <v>16.641481481481478</v>
      </c>
      <c r="M123">
        <f t="shared" si="13"/>
        <v>20.819658237037032</v>
      </c>
      <c r="N123" s="9"/>
      <c r="O123" s="22">
        <v>0.469055</v>
      </c>
      <c r="P123" s="22">
        <v>10.3218</v>
      </c>
      <c r="Q123" s="22">
        <v>-1.3913E-2</v>
      </c>
      <c r="R123" s="22">
        <v>113</v>
      </c>
      <c r="S123" s="22">
        <v>0.468445</v>
      </c>
      <c r="T123">
        <f t="shared" si="14"/>
        <v>17.176543209876542</v>
      </c>
      <c r="U123">
        <f t="shared" si="15"/>
        <v>8.0567434753086413</v>
      </c>
      <c r="X123" s="9"/>
      <c r="Y123" s="22">
        <v>1.2510699999999999</v>
      </c>
      <c r="Z123" s="22">
        <v>15.906599999999999</v>
      </c>
      <c r="AA123" s="22">
        <v>-1.34979E-2</v>
      </c>
      <c r="AB123" s="22">
        <v>113</v>
      </c>
      <c r="AC123" s="22">
        <v>1.24969</v>
      </c>
      <c r="AD123">
        <f t="shared" si="16"/>
        <v>16.664074074074072</v>
      </c>
      <c r="AE123">
        <f t="shared" si="17"/>
        <v>20.847923151851848</v>
      </c>
      <c r="AF123" s="9"/>
      <c r="AG123" s="22">
        <v>0.469055</v>
      </c>
      <c r="AH123" s="22">
        <v>19.765999999999998</v>
      </c>
      <c r="AI123" s="22">
        <v>-1.39893E-2</v>
      </c>
      <c r="AJ123" s="22">
        <v>113</v>
      </c>
      <c r="AK123" s="22">
        <v>0.468445</v>
      </c>
      <c r="AL123">
        <f t="shared" si="18"/>
        <v>17.270740740740738</v>
      </c>
      <c r="AM123">
        <f t="shared" si="19"/>
        <v>8.1009272981481466</v>
      </c>
      <c r="AP123" s="9"/>
      <c r="AQ123" s="22">
        <v>1.2510699999999999</v>
      </c>
      <c r="AR123" s="22">
        <v>25.2118</v>
      </c>
      <c r="AS123" s="22">
        <v>-1.34979E-2</v>
      </c>
      <c r="AT123" s="22">
        <v>113</v>
      </c>
      <c r="AU123" s="22">
        <v>1.25031</v>
      </c>
      <c r="AV123">
        <f t="shared" si="20"/>
        <v>16.664074074074072</v>
      </c>
      <c r="AW123">
        <f t="shared" si="21"/>
        <v>20.847923151851848</v>
      </c>
      <c r="AX123" s="9"/>
      <c r="AY123" s="22">
        <v>0.469055</v>
      </c>
      <c r="AZ123" s="22">
        <v>29.071300000000001</v>
      </c>
      <c r="BA123" s="22">
        <v>-1.3952600000000001E-2</v>
      </c>
      <c r="BB123" s="22">
        <v>113</v>
      </c>
      <c r="BC123" s="22">
        <v>0.468445</v>
      </c>
      <c r="BD123">
        <f t="shared" si="22"/>
        <v>17.225432098765431</v>
      </c>
      <c r="BE123">
        <f t="shared" si="23"/>
        <v>8.0796750530864188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1.24603</v>
      </c>
      <c r="H124" s="22">
        <v>6.4724199999999996</v>
      </c>
      <c r="I124" s="22">
        <v>-1.34827E-2</v>
      </c>
      <c r="J124" s="22">
        <v>114</v>
      </c>
      <c r="K124" s="22">
        <v>1.24481</v>
      </c>
      <c r="L124">
        <f t="shared" si="12"/>
        <v>16.645308641975308</v>
      </c>
      <c r="M124">
        <f t="shared" si="13"/>
        <v>20.740553927160494</v>
      </c>
      <c r="N124" s="9"/>
      <c r="O124" s="22">
        <v>0.47409099999999998</v>
      </c>
      <c r="P124" s="22">
        <v>10.331899999999999</v>
      </c>
      <c r="Q124" s="22">
        <v>-1.3916E-2</v>
      </c>
      <c r="R124" s="22">
        <v>114</v>
      </c>
      <c r="S124" s="22">
        <v>0.47344999999999998</v>
      </c>
      <c r="T124">
        <f t="shared" si="14"/>
        <v>17.180246913580245</v>
      </c>
      <c r="U124">
        <f t="shared" si="15"/>
        <v>8.1450004395061715</v>
      </c>
      <c r="X124" s="9"/>
      <c r="Y124" s="22">
        <v>1.24603</v>
      </c>
      <c r="Z124" s="22">
        <v>15.916600000000001</v>
      </c>
      <c r="AA124" s="22">
        <v>-1.34918E-2</v>
      </c>
      <c r="AB124" s="22">
        <v>114</v>
      </c>
      <c r="AC124" s="22">
        <v>1.24512</v>
      </c>
      <c r="AD124">
        <f t="shared" si="16"/>
        <v>16.656543209876542</v>
      </c>
      <c r="AE124">
        <f t="shared" si="17"/>
        <v>20.754552535802468</v>
      </c>
      <c r="AF124" s="9"/>
      <c r="AG124" s="22">
        <v>0.47409099999999998</v>
      </c>
      <c r="AH124" s="22">
        <v>19.7761</v>
      </c>
      <c r="AI124" s="22">
        <v>-1.3977099999999999E-2</v>
      </c>
      <c r="AJ124" s="22">
        <v>114</v>
      </c>
      <c r="AK124" s="22">
        <v>0.47341899999999998</v>
      </c>
      <c r="AL124">
        <f t="shared" si="18"/>
        <v>17.255679012345677</v>
      </c>
      <c r="AM124">
        <f t="shared" si="19"/>
        <v>8.1807621186419741</v>
      </c>
      <c r="AP124" s="9"/>
      <c r="AQ124" s="22">
        <v>1.24603</v>
      </c>
      <c r="AR124" s="22">
        <v>25.221900000000002</v>
      </c>
      <c r="AS124" s="22">
        <v>-1.3501000000000001E-2</v>
      </c>
      <c r="AT124" s="22">
        <v>114</v>
      </c>
      <c r="AU124" s="22">
        <v>1.24512</v>
      </c>
      <c r="AV124">
        <f t="shared" si="20"/>
        <v>16.667901234567903</v>
      </c>
      <c r="AW124">
        <f t="shared" si="21"/>
        <v>20.768704975308644</v>
      </c>
      <c r="AX124" s="9"/>
      <c r="AY124" s="22">
        <v>0.47409099999999998</v>
      </c>
      <c r="AZ124" s="22">
        <v>29.081299999999999</v>
      </c>
      <c r="BA124" s="22">
        <v>-1.39557E-2</v>
      </c>
      <c r="BB124" s="22">
        <v>114</v>
      </c>
      <c r="BC124" s="22">
        <v>0.47344999999999998</v>
      </c>
      <c r="BD124">
        <f t="shared" si="22"/>
        <v>17.229259259259258</v>
      </c>
      <c r="BE124">
        <f t="shared" si="23"/>
        <v>8.16823675148148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1.2410000000000001</v>
      </c>
      <c r="H125" s="22">
        <v>6.4824900000000003</v>
      </c>
      <c r="I125" s="22">
        <v>-1.34918E-2</v>
      </c>
      <c r="J125" s="22">
        <v>115</v>
      </c>
      <c r="K125" s="22">
        <v>1.2402299999999999</v>
      </c>
      <c r="L125">
        <f t="shared" si="12"/>
        <v>16.656543209876542</v>
      </c>
      <c r="M125">
        <f t="shared" si="13"/>
        <v>20.670770123456791</v>
      </c>
      <c r="N125" s="9"/>
      <c r="O125" s="22">
        <v>0.479126</v>
      </c>
      <c r="P125" s="22">
        <v>10.342000000000001</v>
      </c>
      <c r="Q125" s="22">
        <v>-1.3916E-2</v>
      </c>
      <c r="R125" s="22">
        <v>115</v>
      </c>
      <c r="S125" s="22">
        <v>0.47842400000000002</v>
      </c>
      <c r="T125">
        <f t="shared" si="14"/>
        <v>17.180246913580245</v>
      </c>
      <c r="U125">
        <f t="shared" si="15"/>
        <v>8.231502982716048</v>
      </c>
      <c r="X125" s="9"/>
      <c r="Y125" s="22">
        <v>1.2410000000000001</v>
      </c>
      <c r="Z125" s="22">
        <v>15.9267</v>
      </c>
      <c r="AA125" s="22">
        <v>-1.34979E-2</v>
      </c>
      <c r="AB125" s="22">
        <v>115</v>
      </c>
      <c r="AC125" s="22">
        <v>1.23993</v>
      </c>
      <c r="AD125">
        <f t="shared" si="16"/>
        <v>16.664074074074072</v>
      </c>
      <c r="AE125">
        <f t="shared" si="17"/>
        <v>20.680115925925925</v>
      </c>
      <c r="AF125" s="9"/>
      <c r="AG125" s="22">
        <v>0.479126</v>
      </c>
      <c r="AH125" s="22">
        <v>19.786200000000001</v>
      </c>
      <c r="AI125" s="22">
        <v>-1.3952600000000001E-2</v>
      </c>
      <c r="AJ125" s="22">
        <v>115</v>
      </c>
      <c r="AK125" s="22">
        <v>0.478516</v>
      </c>
      <c r="AL125">
        <f t="shared" si="18"/>
        <v>17.225432098765431</v>
      </c>
      <c r="AM125">
        <f t="shared" si="19"/>
        <v>8.2531523797530859</v>
      </c>
      <c r="AP125" s="9"/>
      <c r="AQ125" s="22">
        <v>1.2410000000000001</v>
      </c>
      <c r="AR125" s="22">
        <v>25.2319</v>
      </c>
      <c r="AS125" s="22">
        <v>-1.35132E-2</v>
      </c>
      <c r="AT125" s="22">
        <v>115</v>
      </c>
      <c r="AU125" s="22">
        <v>1.23993</v>
      </c>
      <c r="AV125">
        <f t="shared" si="20"/>
        <v>16.682962962962961</v>
      </c>
      <c r="AW125">
        <f t="shared" si="21"/>
        <v>20.703557037037037</v>
      </c>
      <c r="AX125" s="9"/>
      <c r="AY125" s="22">
        <v>0.479126</v>
      </c>
      <c r="AZ125" s="22">
        <v>29.0914</v>
      </c>
      <c r="BA125" s="22">
        <v>-1.39496E-2</v>
      </c>
      <c r="BB125" s="22">
        <v>115</v>
      </c>
      <c r="BC125" s="22">
        <v>0.47848499999999999</v>
      </c>
      <c r="BD125">
        <f t="shared" si="22"/>
        <v>17.221728395061724</v>
      </c>
      <c r="BE125">
        <f t="shared" si="23"/>
        <v>8.2513778390123438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1.2359599999999999</v>
      </c>
      <c r="H126" s="22">
        <v>6.4925699999999997</v>
      </c>
      <c r="I126" s="22">
        <v>-1.3494900000000001E-2</v>
      </c>
      <c r="J126" s="22">
        <v>116</v>
      </c>
      <c r="K126" s="22">
        <v>1.2353499999999999</v>
      </c>
      <c r="L126">
        <f t="shared" si="12"/>
        <v>16.660370370370369</v>
      </c>
      <c r="M126">
        <f t="shared" si="13"/>
        <v>20.59155136296296</v>
      </c>
      <c r="N126" s="9"/>
      <c r="O126" s="22">
        <v>0.48416100000000001</v>
      </c>
      <c r="P126" s="22">
        <v>10.352</v>
      </c>
      <c r="Q126" s="22">
        <v>-1.39221E-2</v>
      </c>
      <c r="R126" s="22">
        <v>116</v>
      </c>
      <c r="S126" s="22">
        <v>0.48355100000000001</v>
      </c>
      <c r="T126">
        <f t="shared" si="14"/>
        <v>17.187777777777779</v>
      </c>
      <c r="U126">
        <f t="shared" si="15"/>
        <v>8.3216516766666668</v>
      </c>
      <c r="X126" s="9"/>
      <c r="Y126" s="22">
        <v>1.2359599999999999</v>
      </c>
      <c r="Z126" s="22">
        <v>15.9368</v>
      </c>
      <c r="AA126" s="22">
        <v>-1.3510100000000001E-2</v>
      </c>
      <c r="AB126" s="22">
        <v>116</v>
      </c>
      <c r="AC126" s="22">
        <v>1.23505</v>
      </c>
      <c r="AD126">
        <f t="shared" si="16"/>
        <v>16.679135802469133</v>
      </c>
      <c r="AE126">
        <f t="shared" si="17"/>
        <v>20.614744686419748</v>
      </c>
      <c r="AF126" s="9"/>
      <c r="AG126" s="22">
        <v>0.48416100000000001</v>
      </c>
      <c r="AH126" s="22">
        <v>19.796199999999999</v>
      </c>
      <c r="AI126" s="22">
        <v>-1.3937400000000001E-2</v>
      </c>
      <c r="AJ126" s="22">
        <v>116</v>
      </c>
      <c r="AK126" s="22">
        <v>0.48358200000000001</v>
      </c>
      <c r="AL126">
        <f t="shared" si="18"/>
        <v>17.206666666666667</v>
      </c>
      <c r="AM126">
        <f t="shared" si="19"/>
        <v>8.3307969400000008</v>
      </c>
      <c r="AP126" s="9"/>
      <c r="AQ126" s="22">
        <v>1.2359599999999999</v>
      </c>
      <c r="AR126" s="22">
        <v>25.242000000000001</v>
      </c>
      <c r="AS126" s="22">
        <v>-1.3522299999999999E-2</v>
      </c>
      <c r="AT126" s="22">
        <v>116</v>
      </c>
      <c r="AU126" s="22">
        <v>1.2353499999999999</v>
      </c>
      <c r="AV126">
        <f t="shared" si="20"/>
        <v>16.694197530864194</v>
      </c>
      <c r="AW126">
        <f t="shared" si="21"/>
        <v>20.633360380246909</v>
      </c>
      <c r="AX126" s="9"/>
      <c r="AY126" s="22">
        <v>0.48416100000000001</v>
      </c>
      <c r="AZ126" s="22">
        <v>29.101500000000001</v>
      </c>
      <c r="BA126" s="22">
        <v>-1.3943499999999999E-2</v>
      </c>
      <c r="BB126" s="22">
        <v>116</v>
      </c>
      <c r="BC126" s="22">
        <v>0.48352099999999998</v>
      </c>
      <c r="BD126">
        <f t="shared" si="22"/>
        <v>17.214197530864197</v>
      </c>
      <c r="BE126">
        <f t="shared" si="23"/>
        <v>8.3344430907407414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1.2309300000000001</v>
      </c>
      <c r="H127" s="22">
        <v>6.5026400000000004</v>
      </c>
      <c r="I127" s="22">
        <v>-1.34979E-2</v>
      </c>
      <c r="J127" s="22">
        <v>117</v>
      </c>
      <c r="K127" s="22">
        <v>1.2301599999999999</v>
      </c>
      <c r="L127">
        <f t="shared" si="12"/>
        <v>16.664074074074072</v>
      </c>
      <c r="M127">
        <f t="shared" si="13"/>
        <v>20.512308699999998</v>
      </c>
      <c r="N127" s="9"/>
      <c r="O127" s="22">
        <v>0.48919699999999999</v>
      </c>
      <c r="P127" s="22">
        <v>10.3621</v>
      </c>
      <c r="Q127" s="22">
        <v>-1.39252E-2</v>
      </c>
      <c r="R127" s="22">
        <v>117</v>
      </c>
      <c r="S127" s="22">
        <v>0.48852499999999999</v>
      </c>
      <c r="T127">
        <f t="shared" si="14"/>
        <v>17.191604938271606</v>
      </c>
      <c r="U127">
        <f t="shared" si="15"/>
        <v>8.4100815609876545</v>
      </c>
      <c r="X127" s="9"/>
      <c r="Y127" s="22">
        <v>1.2309300000000001</v>
      </c>
      <c r="Z127" s="22">
        <v>15.9468</v>
      </c>
      <c r="AA127" s="22">
        <v>-1.3528399999999999E-2</v>
      </c>
      <c r="AB127" s="22">
        <v>117</v>
      </c>
      <c r="AC127" s="22">
        <v>1.2307699999999999</v>
      </c>
      <c r="AD127">
        <f t="shared" si="16"/>
        <v>16.701728395061725</v>
      </c>
      <c r="AE127">
        <f t="shared" si="17"/>
        <v>20.558658533333329</v>
      </c>
      <c r="AF127" s="9"/>
      <c r="AG127" s="22">
        <v>0.48919699999999999</v>
      </c>
      <c r="AH127" s="22">
        <v>19.8063</v>
      </c>
      <c r="AI127" s="22">
        <v>-1.39252E-2</v>
      </c>
      <c r="AJ127" s="22">
        <v>117</v>
      </c>
      <c r="AK127" s="22">
        <v>0.48861700000000002</v>
      </c>
      <c r="AL127">
        <f t="shared" si="18"/>
        <v>17.191604938271606</v>
      </c>
      <c r="AM127">
        <f t="shared" si="19"/>
        <v>8.4100815609876545</v>
      </c>
      <c r="AP127" s="9"/>
      <c r="AQ127" s="22">
        <v>1.2309300000000001</v>
      </c>
      <c r="AR127" s="22">
        <v>25.252099999999999</v>
      </c>
      <c r="AS127" s="22">
        <v>-1.35254E-2</v>
      </c>
      <c r="AT127" s="22">
        <v>117</v>
      </c>
      <c r="AU127" s="22">
        <v>1.22986</v>
      </c>
      <c r="AV127">
        <f t="shared" si="20"/>
        <v>16.698024691358025</v>
      </c>
      <c r="AW127">
        <f t="shared" si="21"/>
        <v>20.554099533333336</v>
      </c>
      <c r="AX127" s="9"/>
      <c r="AY127" s="22">
        <v>0.48919699999999999</v>
      </c>
      <c r="AZ127" s="22">
        <v>29.111499999999999</v>
      </c>
      <c r="BA127" s="22">
        <v>-1.39404E-2</v>
      </c>
      <c r="BB127" s="22">
        <v>117</v>
      </c>
      <c r="BC127" s="22">
        <v>0.48852499999999999</v>
      </c>
      <c r="BD127">
        <f t="shared" si="22"/>
        <v>17.21037037037037</v>
      </c>
      <c r="BE127">
        <f t="shared" si="23"/>
        <v>8.4192615540740743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1.2258899999999999</v>
      </c>
      <c r="H128" s="22">
        <v>6.5127100000000002</v>
      </c>
      <c r="I128" s="22">
        <v>-1.34979E-2</v>
      </c>
      <c r="J128" s="22">
        <v>118</v>
      </c>
      <c r="K128" s="22">
        <v>1.22437</v>
      </c>
      <c r="L128">
        <f t="shared" si="12"/>
        <v>16.664074074074072</v>
      </c>
      <c r="M128">
        <f t="shared" si="13"/>
        <v>20.428321766666663</v>
      </c>
      <c r="N128" s="9"/>
      <c r="O128" s="22">
        <v>0.494232</v>
      </c>
      <c r="P128" s="22">
        <v>10.372199999999999</v>
      </c>
      <c r="Q128" s="22">
        <v>-1.39282E-2</v>
      </c>
      <c r="R128" s="22">
        <v>118</v>
      </c>
      <c r="S128" s="22">
        <v>0.49365199999999998</v>
      </c>
      <c r="T128">
        <f t="shared" si="14"/>
        <v>17.195308641975309</v>
      </c>
      <c r="U128">
        <f t="shared" si="15"/>
        <v>8.4984717807407417</v>
      </c>
      <c r="X128" s="9"/>
      <c r="Y128" s="22">
        <v>1.2258899999999999</v>
      </c>
      <c r="Z128" s="22">
        <v>15.956899999999999</v>
      </c>
      <c r="AA128" s="22">
        <v>-1.35376E-2</v>
      </c>
      <c r="AB128" s="22">
        <v>118</v>
      </c>
      <c r="AC128" s="22">
        <v>1.2246699999999999</v>
      </c>
      <c r="AD128">
        <f t="shared" si="16"/>
        <v>16.713086419753086</v>
      </c>
      <c r="AE128">
        <f t="shared" si="17"/>
        <v>20.488405511111111</v>
      </c>
      <c r="AF128" s="9"/>
      <c r="AG128" s="22">
        <v>0.494232</v>
      </c>
      <c r="AH128" s="22">
        <v>19.816400000000002</v>
      </c>
      <c r="AI128" s="22">
        <v>-1.3913E-2</v>
      </c>
      <c r="AJ128" s="22">
        <v>118</v>
      </c>
      <c r="AK128" s="22">
        <v>0.493591</v>
      </c>
      <c r="AL128">
        <f t="shared" si="18"/>
        <v>17.176543209876542</v>
      </c>
      <c r="AM128">
        <f t="shared" si="19"/>
        <v>8.489197303703703</v>
      </c>
      <c r="AP128" s="9"/>
      <c r="AQ128" s="22">
        <v>1.2258899999999999</v>
      </c>
      <c r="AR128" s="22">
        <v>25.2621</v>
      </c>
      <c r="AS128" s="22">
        <v>-1.35376E-2</v>
      </c>
      <c r="AT128" s="22">
        <v>118</v>
      </c>
      <c r="AU128" s="22">
        <v>1.22559</v>
      </c>
      <c r="AV128">
        <f t="shared" si="20"/>
        <v>16.713086419753086</v>
      </c>
      <c r="AW128">
        <f t="shared" si="21"/>
        <v>20.488405511111111</v>
      </c>
      <c r="AX128" s="9"/>
      <c r="AY128" s="22">
        <v>0.494232</v>
      </c>
      <c r="AZ128" s="22">
        <v>29.121600000000001</v>
      </c>
      <c r="BA128" s="22">
        <v>-1.3937400000000001E-2</v>
      </c>
      <c r="BB128" s="22">
        <v>118</v>
      </c>
      <c r="BC128" s="22">
        <v>0.49356100000000003</v>
      </c>
      <c r="BD128">
        <f t="shared" si="22"/>
        <v>17.206666666666667</v>
      </c>
      <c r="BE128">
        <f t="shared" si="23"/>
        <v>8.50408528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1.2208600000000001</v>
      </c>
      <c r="H129" s="22">
        <v>6.52278</v>
      </c>
      <c r="I129" s="22">
        <v>-1.3510100000000001E-2</v>
      </c>
      <c r="J129" s="22">
        <v>119</v>
      </c>
      <c r="K129" s="22">
        <v>1.2197899999999999</v>
      </c>
      <c r="L129">
        <f t="shared" si="12"/>
        <v>16.679135802469133</v>
      </c>
      <c r="M129">
        <f t="shared" si="13"/>
        <v>20.362889735802469</v>
      </c>
      <c r="N129" s="9"/>
      <c r="O129" s="22">
        <v>0.49926799999999999</v>
      </c>
      <c r="P129" s="22">
        <v>10.382300000000001</v>
      </c>
      <c r="Q129" s="22">
        <v>-1.3937400000000001E-2</v>
      </c>
      <c r="R129" s="22">
        <v>119</v>
      </c>
      <c r="S129" s="22">
        <v>0.49877899999999997</v>
      </c>
      <c r="T129">
        <f t="shared" si="14"/>
        <v>17.206666666666667</v>
      </c>
      <c r="U129">
        <f t="shared" si="15"/>
        <v>8.5907380533333342</v>
      </c>
      <c r="X129" s="9"/>
      <c r="Y129" s="22">
        <v>1.2208600000000001</v>
      </c>
      <c r="Z129" s="22">
        <v>15.967000000000001</v>
      </c>
      <c r="AA129" s="22">
        <v>-1.3549800000000001E-2</v>
      </c>
      <c r="AB129" s="22">
        <v>119</v>
      </c>
      <c r="AC129" s="22">
        <v>1.2197899999999999</v>
      </c>
      <c r="AD129">
        <f t="shared" si="16"/>
        <v>16.728148148148147</v>
      </c>
      <c r="AE129">
        <f t="shared" si="17"/>
        <v>20.422726948148149</v>
      </c>
      <c r="AF129" s="9"/>
      <c r="AG129" s="22">
        <v>0.49926799999999999</v>
      </c>
      <c r="AH129" s="22">
        <v>19.826499999999999</v>
      </c>
      <c r="AI129" s="22">
        <v>-1.3913E-2</v>
      </c>
      <c r="AJ129" s="22">
        <v>119</v>
      </c>
      <c r="AK129" s="22">
        <v>0.49862699999999999</v>
      </c>
      <c r="AL129">
        <f t="shared" si="18"/>
        <v>17.176543209876542</v>
      </c>
      <c r="AM129">
        <f t="shared" si="19"/>
        <v>8.5756983753086402</v>
      </c>
      <c r="AP129" s="9"/>
      <c r="AQ129" s="22">
        <v>1.2208600000000001</v>
      </c>
      <c r="AR129" s="22">
        <v>25.272200000000002</v>
      </c>
      <c r="AS129" s="22">
        <v>-1.3559E-2</v>
      </c>
      <c r="AT129" s="22">
        <v>119</v>
      </c>
      <c r="AU129" s="22">
        <v>1.2197899999999999</v>
      </c>
      <c r="AV129">
        <f t="shared" si="20"/>
        <v>16.739506172839505</v>
      </c>
      <c r="AW129">
        <f t="shared" si="21"/>
        <v>20.436593506172837</v>
      </c>
      <c r="AX129" s="9"/>
      <c r="AY129" s="22">
        <v>0.49926799999999999</v>
      </c>
      <c r="AZ129" s="22">
        <v>29.131699999999999</v>
      </c>
      <c r="BA129" s="22">
        <v>-1.3931300000000001E-2</v>
      </c>
      <c r="BB129" s="22">
        <v>119</v>
      </c>
      <c r="BC129" s="22">
        <v>0.49868800000000002</v>
      </c>
      <c r="BD129">
        <f t="shared" si="22"/>
        <v>17.199135802469137</v>
      </c>
      <c r="BE129">
        <f t="shared" si="23"/>
        <v>8.5869781338271611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1.2158199999999999</v>
      </c>
      <c r="H130" s="22">
        <v>6.5328499999999998</v>
      </c>
      <c r="I130" s="22">
        <v>-1.3516200000000001E-2</v>
      </c>
      <c r="J130" s="22">
        <v>120</v>
      </c>
      <c r="K130" s="22">
        <v>1.2149000000000001</v>
      </c>
      <c r="L130">
        <f t="shared" si="12"/>
        <v>16.686666666666664</v>
      </c>
      <c r="M130">
        <f t="shared" si="13"/>
        <v>20.287983066666662</v>
      </c>
      <c r="N130" s="9"/>
      <c r="O130" s="22">
        <v>0.50430299999999995</v>
      </c>
      <c r="P130" s="22">
        <v>10.392300000000001</v>
      </c>
      <c r="Q130" s="22">
        <v>-1.3937400000000001E-2</v>
      </c>
      <c r="R130" s="22">
        <v>120</v>
      </c>
      <c r="S130" s="22">
        <v>0.50369299999999995</v>
      </c>
      <c r="T130">
        <f t="shared" si="14"/>
        <v>17.206666666666667</v>
      </c>
      <c r="U130">
        <f t="shared" si="15"/>
        <v>8.6773736199999991</v>
      </c>
      <c r="X130" s="9"/>
      <c r="Y130" s="22">
        <v>1.2158199999999999</v>
      </c>
      <c r="Z130" s="22">
        <v>15.9771</v>
      </c>
      <c r="AA130" s="22">
        <v>-1.3559E-2</v>
      </c>
      <c r="AB130" s="22">
        <v>120</v>
      </c>
      <c r="AC130" s="22">
        <v>1.2149000000000001</v>
      </c>
      <c r="AD130">
        <f t="shared" si="16"/>
        <v>16.739506172839505</v>
      </c>
      <c r="AE130">
        <f t="shared" si="17"/>
        <v>20.352226395061724</v>
      </c>
      <c r="AF130" s="9"/>
      <c r="AG130" s="22">
        <v>0.50430299999999995</v>
      </c>
      <c r="AH130" s="22">
        <v>19.836500000000001</v>
      </c>
      <c r="AI130" s="22">
        <v>-1.3913E-2</v>
      </c>
      <c r="AJ130" s="22">
        <v>120</v>
      </c>
      <c r="AK130" s="22">
        <v>0.50366200000000005</v>
      </c>
      <c r="AL130">
        <f t="shared" si="18"/>
        <v>17.176543209876542</v>
      </c>
      <c r="AM130">
        <f t="shared" si="19"/>
        <v>8.6621822703703693</v>
      </c>
      <c r="AP130" s="9"/>
      <c r="AQ130" s="22">
        <v>1.2158199999999999</v>
      </c>
      <c r="AR130" s="22">
        <v>25.282299999999999</v>
      </c>
      <c r="AS130" s="22">
        <v>-1.35742E-2</v>
      </c>
      <c r="AT130" s="22">
        <v>120</v>
      </c>
      <c r="AU130" s="22">
        <v>1.2142900000000001</v>
      </c>
      <c r="AV130">
        <f t="shared" si="20"/>
        <v>16.758271604938273</v>
      </c>
      <c r="AW130">
        <f t="shared" si="21"/>
        <v>20.37504178271605</v>
      </c>
      <c r="AX130" s="9"/>
      <c r="AY130" s="22">
        <v>0.50430299999999995</v>
      </c>
      <c r="AZ130" s="22">
        <v>29.1418</v>
      </c>
      <c r="BA130" s="22">
        <v>-1.39404E-2</v>
      </c>
      <c r="BB130" s="22">
        <v>120</v>
      </c>
      <c r="BC130" s="22">
        <v>0.50366200000000005</v>
      </c>
      <c r="BD130">
        <f t="shared" si="22"/>
        <v>17.21037037037037</v>
      </c>
      <c r="BE130">
        <f t="shared" si="23"/>
        <v>8.6792414088888883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1.21078</v>
      </c>
      <c r="H131" s="22">
        <v>6.5429199999999996</v>
      </c>
      <c r="I131" s="22">
        <v>-1.3522299999999999E-2</v>
      </c>
      <c r="J131" s="22">
        <v>121</v>
      </c>
      <c r="K131" s="22">
        <v>1.2094100000000001</v>
      </c>
      <c r="L131">
        <f t="shared" si="12"/>
        <v>16.694197530864194</v>
      </c>
      <c r="M131">
        <f t="shared" si="13"/>
        <v>20.213000486419748</v>
      </c>
      <c r="N131" s="9"/>
      <c r="O131" s="22">
        <v>0.50933799999999996</v>
      </c>
      <c r="P131" s="22">
        <v>10.4024</v>
      </c>
      <c r="Q131" s="22">
        <v>-1.39343E-2</v>
      </c>
      <c r="R131" s="22">
        <v>121</v>
      </c>
      <c r="S131" s="22">
        <v>0.50863599999999998</v>
      </c>
      <c r="T131">
        <f t="shared" si="14"/>
        <v>17.202839506172836</v>
      </c>
      <c r="U131">
        <f t="shared" si="15"/>
        <v>8.7620598683950597</v>
      </c>
      <c r="X131" s="9"/>
      <c r="Y131" s="22">
        <v>1.21078</v>
      </c>
      <c r="Z131" s="22">
        <v>15.9871</v>
      </c>
      <c r="AA131" s="22">
        <v>-1.35651E-2</v>
      </c>
      <c r="AB131" s="22">
        <v>121</v>
      </c>
      <c r="AC131" s="22">
        <v>1.2091099999999999</v>
      </c>
      <c r="AD131">
        <f t="shared" si="16"/>
        <v>16.747037037037035</v>
      </c>
      <c r="AE131">
        <f t="shared" si="17"/>
        <v>20.276977503703701</v>
      </c>
      <c r="AF131" s="9"/>
      <c r="AG131" s="22">
        <v>0.50933799999999996</v>
      </c>
      <c r="AH131" s="22">
        <v>19.846599999999999</v>
      </c>
      <c r="AI131" s="22">
        <v>-1.39191E-2</v>
      </c>
      <c r="AJ131" s="22">
        <v>121</v>
      </c>
      <c r="AK131" s="22">
        <v>0.50872799999999996</v>
      </c>
      <c r="AL131">
        <f t="shared" si="18"/>
        <v>17.184074074074076</v>
      </c>
      <c r="AM131">
        <f t="shared" si="19"/>
        <v>8.7525019207407411</v>
      </c>
      <c r="AP131" s="9"/>
      <c r="AQ131" s="22">
        <v>1.21078</v>
      </c>
      <c r="AR131" s="22">
        <v>25.292400000000001</v>
      </c>
      <c r="AS131" s="22">
        <v>-1.3583400000000001E-2</v>
      </c>
      <c r="AT131" s="22">
        <v>121</v>
      </c>
      <c r="AU131" s="22">
        <v>1.2094100000000001</v>
      </c>
      <c r="AV131">
        <f t="shared" si="20"/>
        <v>16.76962962962963</v>
      </c>
      <c r="AW131">
        <f t="shared" si="21"/>
        <v>20.304332162962965</v>
      </c>
      <c r="AX131" s="9"/>
      <c r="AY131" s="22">
        <v>0.50933799999999996</v>
      </c>
      <c r="AZ131" s="22">
        <v>29.151800000000001</v>
      </c>
      <c r="BA131" s="22">
        <v>-1.39404E-2</v>
      </c>
      <c r="BB131" s="22">
        <v>121</v>
      </c>
      <c r="BC131" s="22">
        <v>0.50872799999999996</v>
      </c>
      <c r="BD131">
        <f t="shared" si="22"/>
        <v>17.21037037037037</v>
      </c>
      <c r="BE131">
        <f t="shared" si="23"/>
        <v>8.7658956237037025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1.2057500000000001</v>
      </c>
      <c r="H132" s="22">
        <v>6.5529900000000003</v>
      </c>
      <c r="I132" s="22">
        <v>-1.3528399999999999E-2</v>
      </c>
      <c r="J132" s="22">
        <v>122</v>
      </c>
      <c r="K132" s="22">
        <v>1.2045300000000001</v>
      </c>
      <c r="L132">
        <f t="shared" si="12"/>
        <v>16.701728395061725</v>
      </c>
      <c r="M132">
        <f t="shared" si="13"/>
        <v>20.138109012345677</v>
      </c>
      <c r="N132" s="9"/>
      <c r="O132" s="22">
        <v>0.514374</v>
      </c>
      <c r="P132" s="22">
        <v>10.4125</v>
      </c>
      <c r="Q132" s="22">
        <v>-1.39282E-2</v>
      </c>
      <c r="R132" s="22">
        <v>122</v>
      </c>
      <c r="S132" s="22">
        <v>0.51370199999999999</v>
      </c>
      <c r="T132">
        <f t="shared" si="14"/>
        <v>17.195308641975309</v>
      </c>
      <c r="U132">
        <f t="shared" si="15"/>
        <v>8.8448196874074068</v>
      </c>
      <c r="X132" s="9"/>
      <c r="Y132" s="22">
        <v>1.2057500000000001</v>
      </c>
      <c r="Z132" s="22">
        <v>15.997199999999999</v>
      </c>
      <c r="AA132" s="22">
        <v>-1.3559E-2</v>
      </c>
      <c r="AB132" s="22">
        <v>122</v>
      </c>
      <c r="AC132" s="22">
        <v>1.2039200000000001</v>
      </c>
      <c r="AD132">
        <f t="shared" si="16"/>
        <v>16.739506172839505</v>
      </c>
      <c r="AE132">
        <f t="shared" si="17"/>
        <v>20.183659567901234</v>
      </c>
      <c r="AF132" s="9"/>
      <c r="AG132" s="22">
        <v>0.514374</v>
      </c>
      <c r="AH132" s="22">
        <v>19.8567</v>
      </c>
      <c r="AI132" s="22">
        <v>-1.39191E-2</v>
      </c>
      <c r="AJ132" s="22">
        <v>122</v>
      </c>
      <c r="AK132" s="22">
        <v>0.51370199999999999</v>
      </c>
      <c r="AL132">
        <f t="shared" si="18"/>
        <v>17.184074074074076</v>
      </c>
      <c r="AM132">
        <f t="shared" si="19"/>
        <v>8.839040917777778</v>
      </c>
      <c r="AP132" s="9"/>
      <c r="AQ132" s="22">
        <v>1.2057500000000001</v>
      </c>
      <c r="AR132" s="22">
        <v>25.302399999999999</v>
      </c>
      <c r="AS132" s="22">
        <v>-1.35864E-2</v>
      </c>
      <c r="AT132" s="22">
        <v>122</v>
      </c>
      <c r="AU132" s="22">
        <v>1.2045300000000001</v>
      </c>
      <c r="AV132">
        <f t="shared" si="20"/>
        <v>16.77333333333333</v>
      </c>
      <c r="AW132">
        <f t="shared" si="21"/>
        <v>20.224446666666665</v>
      </c>
      <c r="AX132" s="9"/>
      <c r="AY132" s="22">
        <v>0.514374</v>
      </c>
      <c r="AZ132" s="22">
        <v>29.161899999999999</v>
      </c>
      <c r="BA132" s="22">
        <v>-1.3943499999999999E-2</v>
      </c>
      <c r="BB132" s="22">
        <v>122</v>
      </c>
      <c r="BC132" s="22">
        <v>0.51376299999999997</v>
      </c>
      <c r="BD132">
        <f t="shared" si="22"/>
        <v>17.214197530864197</v>
      </c>
      <c r="BE132">
        <f t="shared" si="23"/>
        <v>8.8545356407407407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1.2007099999999999</v>
      </c>
      <c r="H133" s="22">
        <v>6.5630600000000001</v>
      </c>
      <c r="I133" s="22">
        <v>-1.35345E-2</v>
      </c>
      <c r="J133" s="22">
        <v>123</v>
      </c>
      <c r="K133" s="22">
        <v>1.1990400000000001</v>
      </c>
      <c r="L133">
        <f t="shared" si="12"/>
        <v>16.709259259259255</v>
      </c>
      <c r="M133">
        <f t="shared" si="13"/>
        <v>20.062974685185178</v>
      </c>
      <c r="N133" s="9"/>
      <c r="O133" s="22">
        <v>0.51940900000000001</v>
      </c>
      <c r="P133" s="22">
        <v>10.422499999999999</v>
      </c>
      <c r="Q133" s="22">
        <v>-1.39252E-2</v>
      </c>
      <c r="R133" s="22">
        <v>123</v>
      </c>
      <c r="S133" s="22">
        <v>0.51870700000000003</v>
      </c>
      <c r="T133">
        <f t="shared" si="14"/>
        <v>17.191604938271606</v>
      </c>
      <c r="U133">
        <f t="shared" si="15"/>
        <v>8.9294743293827175</v>
      </c>
      <c r="X133" s="9"/>
      <c r="Y133" s="22">
        <v>1.2007099999999999</v>
      </c>
      <c r="Z133" s="22">
        <v>16.007300000000001</v>
      </c>
      <c r="AA133" s="22">
        <v>-1.3555899999999999E-2</v>
      </c>
      <c r="AB133" s="22">
        <v>123</v>
      </c>
      <c r="AC133" s="22">
        <v>1.1993400000000001</v>
      </c>
      <c r="AD133">
        <f t="shared" si="16"/>
        <v>16.735679012345678</v>
      </c>
      <c r="AE133">
        <f t="shared" si="17"/>
        <v>20.094697146913578</v>
      </c>
      <c r="AF133" s="9"/>
      <c r="AG133" s="22">
        <v>0.51940900000000001</v>
      </c>
      <c r="AH133" s="22">
        <v>19.866700000000002</v>
      </c>
      <c r="AI133" s="22">
        <v>-1.39221E-2</v>
      </c>
      <c r="AJ133" s="22">
        <v>123</v>
      </c>
      <c r="AK133" s="22">
        <v>0.51873800000000003</v>
      </c>
      <c r="AL133">
        <f t="shared" si="18"/>
        <v>17.187777777777779</v>
      </c>
      <c r="AM133">
        <f t="shared" si="19"/>
        <v>8.9274864677777792</v>
      </c>
      <c r="AP133" s="9"/>
      <c r="AQ133" s="22">
        <v>1.2007099999999999</v>
      </c>
      <c r="AR133" s="22">
        <v>25.3125</v>
      </c>
      <c r="AS133" s="22">
        <v>-1.35803E-2</v>
      </c>
      <c r="AT133" s="22">
        <v>123</v>
      </c>
      <c r="AU133" s="22">
        <v>1.1999500000000001</v>
      </c>
      <c r="AV133">
        <f t="shared" si="20"/>
        <v>16.765802469135803</v>
      </c>
      <c r="AW133">
        <f t="shared" si="21"/>
        <v>20.13086668271605</v>
      </c>
      <c r="AX133" s="9"/>
      <c r="AY133" s="22">
        <v>0.51940900000000001</v>
      </c>
      <c r="AZ133" s="22">
        <v>29.172000000000001</v>
      </c>
      <c r="BA133" s="22">
        <v>-1.39496E-2</v>
      </c>
      <c r="BB133" s="22">
        <v>123</v>
      </c>
      <c r="BC133" s="22">
        <v>0.51873800000000003</v>
      </c>
      <c r="BD133">
        <f t="shared" si="22"/>
        <v>17.221728395061724</v>
      </c>
      <c r="BE133">
        <f t="shared" si="23"/>
        <v>8.9451207239506161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1.1956800000000001</v>
      </c>
      <c r="H134" s="22">
        <v>6.5731299999999999</v>
      </c>
      <c r="I134" s="22">
        <v>-1.3543700000000001E-2</v>
      </c>
      <c r="J134" s="22">
        <v>124</v>
      </c>
      <c r="K134" s="22">
        <v>1.19476</v>
      </c>
      <c r="L134">
        <f t="shared" si="12"/>
        <v>16.720617283950617</v>
      </c>
      <c r="M134">
        <f t="shared" si="13"/>
        <v>19.992507674074073</v>
      </c>
      <c r="N134" s="9"/>
      <c r="O134" s="22">
        <v>0.52444500000000005</v>
      </c>
      <c r="P134" s="22">
        <v>10.432600000000001</v>
      </c>
      <c r="Q134" s="22">
        <v>-1.39191E-2</v>
      </c>
      <c r="R134" s="22">
        <v>124</v>
      </c>
      <c r="S134" s="22">
        <v>0.52380400000000005</v>
      </c>
      <c r="T134">
        <f t="shared" si="14"/>
        <v>17.184074074074076</v>
      </c>
      <c r="U134">
        <f t="shared" si="15"/>
        <v>9.0121017277777788</v>
      </c>
      <c r="X134" s="9"/>
      <c r="Y134" s="22">
        <v>1.1956800000000001</v>
      </c>
      <c r="Z134" s="22">
        <v>16.017299999999999</v>
      </c>
      <c r="AA134" s="22">
        <v>-1.35681E-2</v>
      </c>
      <c r="AB134" s="22">
        <v>124</v>
      </c>
      <c r="AC134" s="22">
        <v>1.1950700000000001</v>
      </c>
      <c r="AD134">
        <f t="shared" si="16"/>
        <v>16.750740740740738</v>
      </c>
      <c r="AE134">
        <f t="shared" si="17"/>
        <v>20.028525688888887</v>
      </c>
      <c r="AF134" s="9"/>
      <c r="AG134" s="22">
        <v>0.52444500000000005</v>
      </c>
      <c r="AH134" s="22">
        <v>19.876799999999999</v>
      </c>
      <c r="AI134" s="22">
        <v>-1.3916E-2</v>
      </c>
      <c r="AJ134" s="22">
        <v>124</v>
      </c>
      <c r="AK134" s="22">
        <v>0.52371199999999996</v>
      </c>
      <c r="AL134">
        <f t="shared" si="18"/>
        <v>17.180246913580245</v>
      </c>
      <c r="AM134">
        <f t="shared" si="19"/>
        <v>9.0100945925925924</v>
      </c>
      <c r="AP134" s="9"/>
      <c r="AQ134" s="22">
        <v>1.1956800000000001</v>
      </c>
      <c r="AR134" s="22">
        <v>25.322600000000001</v>
      </c>
      <c r="AS134" s="22">
        <v>-1.35712E-2</v>
      </c>
      <c r="AT134" s="22">
        <v>124</v>
      </c>
      <c r="AU134" s="22">
        <v>1.1944600000000001</v>
      </c>
      <c r="AV134">
        <f t="shared" si="20"/>
        <v>16.754567901234566</v>
      </c>
      <c r="AW134">
        <f t="shared" si="21"/>
        <v>20.033101748148148</v>
      </c>
      <c r="AX134" s="9"/>
      <c r="AY134" s="22">
        <v>0.52444500000000005</v>
      </c>
      <c r="AZ134" s="22">
        <v>29.181999999999999</v>
      </c>
      <c r="BA134" s="22">
        <v>-1.3952600000000001E-2</v>
      </c>
      <c r="BB134" s="22">
        <v>124</v>
      </c>
      <c r="BC134" s="22">
        <v>0.52380400000000005</v>
      </c>
      <c r="BD134">
        <f t="shared" si="22"/>
        <v>17.225432098765431</v>
      </c>
      <c r="BE134">
        <f t="shared" si="23"/>
        <v>9.0337917370370366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1.1906399999999999</v>
      </c>
      <c r="H135" s="22">
        <v>6.5831999999999997</v>
      </c>
      <c r="I135" s="22">
        <v>-1.3546799999999999E-2</v>
      </c>
      <c r="J135" s="22">
        <v>125</v>
      </c>
      <c r="K135" s="22">
        <v>1.1895800000000001</v>
      </c>
      <c r="L135">
        <f t="shared" si="12"/>
        <v>16.72444444444444</v>
      </c>
      <c r="M135">
        <f t="shared" si="13"/>
        <v>19.912792533333327</v>
      </c>
      <c r="N135" s="9"/>
      <c r="O135" s="22">
        <v>0.52947999999999995</v>
      </c>
      <c r="P135" s="22">
        <v>10.4427</v>
      </c>
      <c r="Q135" s="22">
        <v>-1.39221E-2</v>
      </c>
      <c r="R135" s="22">
        <v>125</v>
      </c>
      <c r="S135" s="22">
        <v>0.52880899999999997</v>
      </c>
      <c r="T135">
        <f t="shared" si="14"/>
        <v>17.187777777777779</v>
      </c>
      <c r="U135">
        <f t="shared" si="15"/>
        <v>9.1005845777777772</v>
      </c>
      <c r="X135" s="9"/>
      <c r="Y135" s="22">
        <v>1.1906399999999999</v>
      </c>
      <c r="Z135" s="22">
        <v>16.0274</v>
      </c>
      <c r="AA135" s="22">
        <v>-1.3583400000000001E-2</v>
      </c>
      <c r="AB135" s="22">
        <v>125</v>
      </c>
      <c r="AC135" s="22">
        <v>1.1895800000000001</v>
      </c>
      <c r="AD135">
        <f t="shared" si="16"/>
        <v>16.76962962962963</v>
      </c>
      <c r="AE135">
        <f t="shared" si="17"/>
        <v>19.96659182222222</v>
      </c>
      <c r="AF135" s="9"/>
      <c r="AG135" s="22">
        <v>0.52947999999999995</v>
      </c>
      <c r="AH135" s="22">
        <v>19.886900000000001</v>
      </c>
      <c r="AI135" s="22">
        <v>-1.3913E-2</v>
      </c>
      <c r="AJ135" s="22">
        <v>125</v>
      </c>
      <c r="AK135" s="22">
        <v>0.52886999999999995</v>
      </c>
      <c r="AL135">
        <f t="shared" si="18"/>
        <v>17.176543209876542</v>
      </c>
      <c r="AM135">
        <f t="shared" si="19"/>
        <v>9.0946360987654309</v>
      </c>
      <c r="AP135" s="9"/>
      <c r="AQ135" s="22">
        <v>1.1906399999999999</v>
      </c>
      <c r="AR135" s="22">
        <v>25.332599999999999</v>
      </c>
      <c r="AS135" s="22">
        <v>-1.35681E-2</v>
      </c>
      <c r="AT135" s="22">
        <v>125</v>
      </c>
      <c r="AU135" s="22">
        <v>1.18927</v>
      </c>
      <c r="AV135">
        <f t="shared" si="20"/>
        <v>16.750740740740738</v>
      </c>
      <c r="AW135">
        <f t="shared" si="21"/>
        <v>19.944101955555553</v>
      </c>
      <c r="AX135" s="9"/>
      <c r="AY135" s="22">
        <v>0.52947999999999995</v>
      </c>
      <c r="AZ135" s="22">
        <v>29.1921</v>
      </c>
      <c r="BA135" s="22">
        <v>-1.3958699999999999E-2</v>
      </c>
      <c r="BB135" s="22">
        <v>125</v>
      </c>
      <c r="BC135" s="22">
        <v>0.52883899999999995</v>
      </c>
      <c r="BD135">
        <f t="shared" si="22"/>
        <v>17.232962962962961</v>
      </c>
      <c r="BE135">
        <f t="shared" si="23"/>
        <v>9.1245092296296288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1.1856100000000001</v>
      </c>
      <c r="H136" s="22">
        <v>6.59328</v>
      </c>
      <c r="I136" s="22">
        <v>-1.3546799999999999E-2</v>
      </c>
      <c r="J136" s="22">
        <v>126</v>
      </c>
      <c r="K136" s="22">
        <v>1.18469</v>
      </c>
      <c r="L136">
        <f t="shared" si="12"/>
        <v>16.72444444444444</v>
      </c>
      <c r="M136">
        <f t="shared" si="13"/>
        <v>19.828668577777773</v>
      </c>
      <c r="N136" s="9"/>
      <c r="O136" s="22">
        <v>0.53451499999999996</v>
      </c>
      <c r="P136" s="22">
        <v>10.4527</v>
      </c>
      <c r="Q136" s="22">
        <v>-1.39221E-2</v>
      </c>
      <c r="R136" s="22">
        <v>126</v>
      </c>
      <c r="S136" s="22">
        <v>0.53381299999999998</v>
      </c>
      <c r="T136">
        <f t="shared" si="14"/>
        <v>17.187777777777779</v>
      </c>
      <c r="U136">
        <f t="shared" si="15"/>
        <v>9.1871250388888885</v>
      </c>
      <c r="X136" s="9"/>
      <c r="Y136" s="22">
        <v>1.1856100000000001</v>
      </c>
      <c r="Z136" s="22">
        <v>16.037500000000001</v>
      </c>
      <c r="AA136" s="22">
        <v>-1.3595599999999999E-2</v>
      </c>
      <c r="AB136" s="22">
        <v>126</v>
      </c>
      <c r="AC136" s="22">
        <v>1.1850000000000001</v>
      </c>
      <c r="AD136">
        <f t="shared" si="16"/>
        <v>16.784691358024691</v>
      </c>
      <c r="AE136">
        <f t="shared" si="17"/>
        <v>19.900097920987655</v>
      </c>
      <c r="AF136" s="9"/>
      <c r="AG136" s="22">
        <v>0.53451499999999996</v>
      </c>
      <c r="AH136" s="22">
        <v>19.896999999999998</v>
      </c>
      <c r="AI136" s="22">
        <v>-1.3916E-2</v>
      </c>
      <c r="AJ136" s="22">
        <v>126</v>
      </c>
      <c r="AK136" s="22">
        <v>0.53384399999999999</v>
      </c>
      <c r="AL136">
        <f t="shared" si="18"/>
        <v>17.180246913580245</v>
      </c>
      <c r="AM136">
        <f t="shared" si="19"/>
        <v>9.1830996790123436</v>
      </c>
      <c r="AP136" s="9"/>
      <c r="AQ136" s="22">
        <v>1.1856100000000001</v>
      </c>
      <c r="AR136" s="22">
        <v>25.342700000000001</v>
      </c>
      <c r="AS136" s="22">
        <v>-1.35712E-2</v>
      </c>
      <c r="AT136" s="22">
        <v>126</v>
      </c>
      <c r="AU136" s="22">
        <v>1.1843900000000001</v>
      </c>
      <c r="AV136">
        <f t="shared" si="20"/>
        <v>16.754567901234566</v>
      </c>
      <c r="AW136">
        <f t="shared" si="21"/>
        <v>19.864383249382715</v>
      </c>
      <c r="AX136" s="9"/>
      <c r="AY136" s="22">
        <v>0.53451499999999996</v>
      </c>
      <c r="AZ136" s="22">
        <v>29.202200000000001</v>
      </c>
      <c r="BA136" s="22">
        <v>-1.3952600000000001E-2</v>
      </c>
      <c r="BB136" s="22">
        <v>126</v>
      </c>
      <c r="BC136" s="22">
        <v>0.53387499999999999</v>
      </c>
      <c r="BD136">
        <f t="shared" si="22"/>
        <v>17.225432098765431</v>
      </c>
      <c r="BE136">
        <f t="shared" si="23"/>
        <v>9.2072518382716044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1.1805699999999999</v>
      </c>
      <c r="H137" s="22">
        <v>6.6033499999999998</v>
      </c>
      <c r="I137" s="22">
        <v>-1.35529E-2</v>
      </c>
      <c r="J137" s="22">
        <v>127</v>
      </c>
      <c r="K137" s="22">
        <v>1.1792</v>
      </c>
      <c r="L137">
        <f t="shared" si="12"/>
        <v>16.731975308641974</v>
      </c>
      <c r="M137">
        <f t="shared" si="13"/>
        <v>19.753268090123456</v>
      </c>
      <c r="N137" s="9"/>
      <c r="O137" s="22">
        <v>0.539551</v>
      </c>
      <c r="P137" s="22">
        <v>10.4628</v>
      </c>
      <c r="Q137" s="22">
        <v>-1.3913E-2</v>
      </c>
      <c r="R137" s="22">
        <v>127</v>
      </c>
      <c r="S137" s="22">
        <v>0.53893999999999997</v>
      </c>
      <c r="T137">
        <f t="shared" si="14"/>
        <v>17.176543209876542</v>
      </c>
      <c r="U137">
        <f t="shared" si="15"/>
        <v>9.2676210654320972</v>
      </c>
      <c r="X137" s="9"/>
      <c r="Y137" s="22">
        <v>1.1805699999999999</v>
      </c>
      <c r="Z137" s="22">
        <v>16.047599999999999</v>
      </c>
      <c r="AA137" s="22">
        <v>-1.36078E-2</v>
      </c>
      <c r="AB137" s="22">
        <v>127</v>
      </c>
      <c r="AC137" s="22">
        <v>1.1795</v>
      </c>
      <c r="AD137">
        <f t="shared" si="16"/>
        <v>16.799753086419752</v>
      </c>
      <c r="AE137">
        <f t="shared" si="17"/>
        <v>19.833284501234566</v>
      </c>
      <c r="AF137" s="9"/>
      <c r="AG137" s="22">
        <v>0.539551</v>
      </c>
      <c r="AH137" s="22">
        <v>19.907</v>
      </c>
      <c r="AI137" s="22">
        <v>-1.3916E-2</v>
      </c>
      <c r="AJ137" s="22">
        <v>127</v>
      </c>
      <c r="AK137" s="22">
        <v>0.53884900000000002</v>
      </c>
      <c r="AL137">
        <f t="shared" si="18"/>
        <v>17.180246913580245</v>
      </c>
      <c r="AM137">
        <f t="shared" si="19"/>
        <v>9.2696194024691341</v>
      </c>
      <c r="AP137" s="9"/>
      <c r="AQ137" s="22">
        <v>1.1805699999999999</v>
      </c>
      <c r="AR137" s="22">
        <v>25.352799999999998</v>
      </c>
      <c r="AS137" s="22">
        <v>-1.3583400000000001E-2</v>
      </c>
      <c r="AT137" s="22">
        <v>127</v>
      </c>
      <c r="AU137" s="22">
        <v>1.1795</v>
      </c>
      <c r="AV137">
        <f t="shared" si="20"/>
        <v>16.76962962962963</v>
      </c>
      <c r="AW137">
        <f t="shared" si="21"/>
        <v>19.797721651851852</v>
      </c>
      <c r="AX137" s="9"/>
      <c r="AY137" s="22">
        <v>0.539551</v>
      </c>
      <c r="AZ137" s="22">
        <v>29.212299999999999</v>
      </c>
      <c r="BA137" s="22">
        <v>-1.3946500000000001E-2</v>
      </c>
      <c r="BB137" s="22">
        <v>127</v>
      </c>
      <c r="BC137" s="22">
        <v>0.53884900000000002</v>
      </c>
      <c r="BD137">
        <f t="shared" si="22"/>
        <v>17.217901234567901</v>
      </c>
      <c r="BE137">
        <f t="shared" si="23"/>
        <v>9.2899358290123448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1.17554</v>
      </c>
      <c r="H138" s="22">
        <v>6.6134199999999996</v>
      </c>
      <c r="I138" s="22">
        <v>-1.3546799999999999E-2</v>
      </c>
      <c r="J138" s="22">
        <v>128</v>
      </c>
      <c r="K138" s="22">
        <v>1.17493</v>
      </c>
      <c r="L138">
        <f t="shared" si="12"/>
        <v>16.72444444444444</v>
      </c>
      <c r="M138">
        <f t="shared" si="13"/>
        <v>19.660253422222219</v>
      </c>
      <c r="N138" s="9"/>
      <c r="O138" s="22">
        <v>0.54458600000000001</v>
      </c>
      <c r="P138" s="22">
        <v>10.472899999999999</v>
      </c>
      <c r="Q138" s="22">
        <v>-1.3909899999999999E-2</v>
      </c>
      <c r="R138" s="22">
        <v>128</v>
      </c>
      <c r="S138" s="22">
        <v>0.54397600000000002</v>
      </c>
      <c r="T138">
        <f t="shared" si="14"/>
        <v>17.172716049382714</v>
      </c>
      <c r="U138">
        <f t="shared" si="15"/>
        <v>9.3520207424691346</v>
      </c>
      <c r="X138" s="9"/>
      <c r="Y138" s="22">
        <v>1.17554</v>
      </c>
      <c r="Z138" s="22">
        <v>16.057600000000001</v>
      </c>
      <c r="AA138" s="22">
        <v>-1.36139E-2</v>
      </c>
      <c r="AB138" s="22">
        <v>128</v>
      </c>
      <c r="AC138" s="22">
        <v>1.17462</v>
      </c>
      <c r="AD138">
        <f t="shared" si="16"/>
        <v>16.807283950617283</v>
      </c>
      <c r="AE138">
        <f t="shared" si="17"/>
        <v>19.757634575308639</v>
      </c>
      <c r="AF138" s="9"/>
      <c r="AG138" s="22">
        <v>0.54458600000000001</v>
      </c>
      <c r="AH138" s="22">
        <v>19.917100000000001</v>
      </c>
      <c r="AI138" s="22">
        <v>-1.39191E-2</v>
      </c>
      <c r="AJ138" s="22">
        <v>128</v>
      </c>
      <c r="AK138" s="22">
        <v>0.54397600000000002</v>
      </c>
      <c r="AL138">
        <f t="shared" si="18"/>
        <v>17.184074074074076</v>
      </c>
      <c r="AM138">
        <f t="shared" si="19"/>
        <v>9.358206163703704</v>
      </c>
      <c r="AP138" s="9"/>
      <c r="AQ138" s="22">
        <v>1.17554</v>
      </c>
      <c r="AR138" s="22">
        <v>25.3629</v>
      </c>
      <c r="AS138" s="22">
        <v>-1.3589499999999999E-2</v>
      </c>
      <c r="AT138" s="22">
        <v>128</v>
      </c>
      <c r="AU138" s="22">
        <v>1.17462</v>
      </c>
      <c r="AV138">
        <f t="shared" si="20"/>
        <v>16.777160493827161</v>
      </c>
      <c r="AW138">
        <f t="shared" si="21"/>
        <v>19.722223246913583</v>
      </c>
      <c r="AX138" s="9"/>
      <c r="AY138" s="22">
        <v>0.54458600000000001</v>
      </c>
      <c r="AZ138" s="22">
        <v>29.222300000000001</v>
      </c>
      <c r="BA138" s="22">
        <v>-1.39496E-2</v>
      </c>
      <c r="BB138" s="22">
        <v>128</v>
      </c>
      <c r="BC138" s="22">
        <v>0.54385399999999995</v>
      </c>
      <c r="BD138">
        <f t="shared" si="22"/>
        <v>17.221728395061724</v>
      </c>
      <c r="BE138">
        <f t="shared" si="23"/>
        <v>9.3787121797530837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1.1705000000000001</v>
      </c>
      <c r="H139" s="22">
        <v>6.6234900000000003</v>
      </c>
      <c r="I139" s="22">
        <v>-1.35529E-2</v>
      </c>
      <c r="J139" s="22">
        <v>129</v>
      </c>
      <c r="K139" s="22">
        <v>1.16974</v>
      </c>
      <c r="L139">
        <f t="shared" si="12"/>
        <v>16.731975308641974</v>
      </c>
      <c r="M139">
        <f t="shared" si="13"/>
        <v>19.584777098765432</v>
      </c>
      <c r="N139" s="9"/>
      <c r="O139" s="22">
        <v>0.54962200000000005</v>
      </c>
      <c r="P139" s="22">
        <v>10.483000000000001</v>
      </c>
      <c r="Q139" s="22">
        <v>-1.3916E-2</v>
      </c>
      <c r="R139" s="22">
        <v>129</v>
      </c>
      <c r="S139" s="22">
        <v>0.54891999999999996</v>
      </c>
      <c r="T139">
        <f t="shared" si="14"/>
        <v>17.180246913580245</v>
      </c>
      <c r="U139">
        <f t="shared" si="15"/>
        <v>9.4426416691358028</v>
      </c>
      <c r="X139" s="9"/>
      <c r="Y139" s="22">
        <v>1.1705000000000001</v>
      </c>
      <c r="Z139" s="22">
        <v>16.067699999999999</v>
      </c>
      <c r="AA139" s="22">
        <v>-1.362E-2</v>
      </c>
      <c r="AB139" s="22">
        <v>129</v>
      </c>
      <c r="AC139" s="22">
        <v>1.16943</v>
      </c>
      <c r="AD139">
        <f t="shared" si="16"/>
        <v>16.814814814814813</v>
      </c>
      <c r="AE139">
        <f t="shared" si="17"/>
        <v>19.681740740740739</v>
      </c>
      <c r="AF139" s="9"/>
      <c r="AG139" s="22">
        <v>0.54962200000000005</v>
      </c>
      <c r="AH139" s="22">
        <v>19.927199999999999</v>
      </c>
      <c r="AI139" s="22">
        <v>-1.39221E-2</v>
      </c>
      <c r="AJ139" s="22">
        <v>129</v>
      </c>
      <c r="AK139" s="22">
        <v>0.54904200000000003</v>
      </c>
      <c r="AL139">
        <f t="shared" si="18"/>
        <v>17.187777777777779</v>
      </c>
      <c r="AM139">
        <f t="shared" si="19"/>
        <v>9.4467807977777785</v>
      </c>
      <c r="AP139" s="9"/>
      <c r="AQ139" s="22">
        <v>1.1705000000000001</v>
      </c>
      <c r="AR139" s="22">
        <v>25.372900000000001</v>
      </c>
      <c r="AS139" s="22">
        <v>-1.35925E-2</v>
      </c>
      <c r="AT139" s="22">
        <v>129</v>
      </c>
      <c r="AU139" s="22">
        <v>1.16943</v>
      </c>
      <c r="AV139">
        <f t="shared" si="20"/>
        <v>16.780864197530864</v>
      </c>
      <c r="AW139">
        <f t="shared" si="21"/>
        <v>19.642001543209879</v>
      </c>
      <c r="AX139" s="9"/>
      <c r="AY139" s="22">
        <v>0.54962200000000005</v>
      </c>
      <c r="AZ139" s="22">
        <v>29.232399999999998</v>
      </c>
      <c r="BA139" s="22">
        <v>-1.3943499999999999E-2</v>
      </c>
      <c r="BB139" s="22">
        <v>129</v>
      </c>
      <c r="BC139" s="22">
        <v>0.54898100000000005</v>
      </c>
      <c r="BD139">
        <f t="shared" si="22"/>
        <v>17.214197530864197</v>
      </c>
      <c r="BE139">
        <f t="shared" si="23"/>
        <v>9.4613016753086434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1.16547</v>
      </c>
      <c r="H140" s="22">
        <v>6.6335600000000001</v>
      </c>
      <c r="I140" s="22">
        <v>-1.35529E-2</v>
      </c>
      <c r="J140" s="22">
        <v>130</v>
      </c>
      <c r="K140" s="22">
        <v>1.16425</v>
      </c>
      <c r="L140">
        <f t="shared" ref="L140:L203" si="24">-I140/$F$2*1000</f>
        <v>16.731975308641974</v>
      </c>
      <c r="M140">
        <f t="shared" ref="M140:M203" si="25">L140*G140</f>
        <v>19.500615262962963</v>
      </c>
      <c r="N140" s="9"/>
      <c r="O140" s="22">
        <v>0.55465699999999996</v>
      </c>
      <c r="P140" s="22">
        <v>10.493</v>
      </c>
      <c r="Q140" s="22">
        <v>-1.39191E-2</v>
      </c>
      <c r="R140" s="22">
        <v>130</v>
      </c>
      <c r="S140" s="22">
        <v>0.55395499999999998</v>
      </c>
      <c r="T140">
        <f t="shared" ref="T140:T203" si="26">-Q140/$F$2*1000</f>
        <v>17.184074074074076</v>
      </c>
      <c r="U140">
        <f t="shared" ref="U140:U203" si="27">T140*O140</f>
        <v>9.531266973703703</v>
      </c>
      <c r="X140" s="9"/>
      <c r="Y140" s="22">
        <v>1.16547</v>
      </c>
      <c r="Z140" s="22">
        <v>16.0778</v>
      </c>
      <c r="AA140" s="22">
        <v>-1.3623E-2</v>
      </c>
      <c r="AB140" s="22">
        <v>130</v>
      </c>
      <c r="AC140" s="22">
        <v>1.16455</v>
      </c>
      <c r="AD140">
        <f t="shared" ref="AD140:AD203" si="28">-AA140/$F$2*1000</f>
        <v>16.818518518518516</v>
      </c>
      <c r="AE140">
        <f t="shared" ref="AE140:AE203" si="29">AD140*Y140</f>
        <v>19.601478777777775</v>
      </c>
      <c r="AF140" s="9"/>
      <c r="AG140" s="22">
        <v>0.55465699999999996</v>
      </c>
      <c r="AH140" s="22">
        <v>19.937200000000001</v>
      </c>
      <c r="AI140" s="22">
        <v>-1.39191E-2</v>
      </c>
      <c r="AJ140" s="22">
        <v>130</v>
      </c>
      <c r="AK140" s="22">
        <v>0.55395499999999998</v>
      </c>
      <c r="AL140">
        <f t="shared" ref="AL140:AL203" si="30">-AI140/$F$2*1000</f>
        <v>17.184074074074076</v>
      </c>
      <c r="AM140">
        <f t="shared" ref="AM140:AM203" si="31">AL140*AG140</f>
        <v>9.531266973703703</v>
      </c>
      <c r="AP140" s="9"/>
      <c r="AQ140" s="22">
        <v>1.16547</v>
      </c>
      <c r="AR140" s="22">
        <v>25.382999999999999</v>
      </c>
      <c r="AS140" s="22">
        <v>-1.36017E-2</v>
      </c>
      <c r="AT140" s="22">
        <v>130</v>
      </c>
      <c r="AU140" s="22">
        <v>1.16486</v>
      </c>
      <c r="AV140">
        <f t="shared" ref="AV140:AV203" si="32">-AS140/$F$2*1000</f>
        <v>16.792222222222222</v>
      </c>
      <c r="AW140">
        <f t="shared" ref="AW140:AW203" si="33">AV140*AQ140</f>
        <v>19.570831233333333</v>
      </c>
      <c r="AX140" s="9"/>
      <c r="AY140" s="22">
        <v>0.55465699999999996</v>
      </c>
      <c r="AZ140" s="22">
        <v>29.2425</v>
      </c>
      <c r="BA140" s="22">
        <v>-1.3931300000000001E-2</v>
      </c>
      <c r="BB140" s="22">
        <v>130</v>
      </c>
      <c r="BC140" s="22">
        <v>0.55395499999999998</v>
      </c>
      <c r="BD140">
        <f t="shared" ref="BD140:BD203" si="34">-BA140/$F$2*1000</f>
        <v>17.199135802469137</v>
      </c>
      <c r="BE140">
        <f t="shared" ref="BE140:BE203" si="35">BD140*AY140</f>
        <v>9.5396210667901222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1.1604300000000001</v>
      </c>
      <c r="H141" s="22">
        <v>6.6436299999999999</v>
      </c>
      <c r="I141" s="22">
        <v>-1.3555899999999999E-2</v>
      </c>
      <c r="J141" s="22">
        <v>131</v>
      </c>
      <c r="K141" s="22">
        <v>1.15967</v>
      </c>
      <c r="L141">
        <f t="shared" si="24"/>
        <v>16.735679012345678</v>
      </c>
      <c r="M141">
        <f t="shared" si="25"/>
        <v>19.420583996296294</v>
      </c>
      <c r="N141" s="9"/>
      <c r="O141" s="22">
        <v>0.55969199999999997</v>
      </c>
      <c r="P141" s="22">
        <v>10.5031</v>
      </c>
      <c r="Q141" s="22">
        <v>-1.3909899999999999E-2</v>
      </c>
      <c r="R141" s="22">
        <v>131</v>
      </c>
      <c r="S141" s="22">
        <v>0.55898999999999999</v>
      </c>
      <c r="T141">
        <f t="shared" si="26"/>
        <v>17.172716049382714</v>
      </c>
      <c r="U141">
        <f t="shared" si="27"/>
        <v>9.6114317911111087</v>
      </c>
      <c r="X141" s="9"/>
      <c r="Y141" s="22">
        <v>1.1604300000000001</v>
      </c>
      <c r="Z141" s="22">
        <v>16.087800000000001</v>
      </c>
      <c r="AA141" s="22">
        <v>-1.3638300000000001E-2</v>
      </c>
      <c r="AB141" s="22">
        <v>131</v>
      </c>
      <c r="AC141" s="22">
        <v>1.15967</v>
      </c>
      <c r="AD141">
        <f t="shared" si="28"/>
        <v>16.837407407407408</v>
      </c>
      <c r="AE141">
        <f t="shared" si="29"/>
        <v>19.53863267777778</v>
      </c>
      <c r="AF141" s="9"/>
      <c r="AG141" s="22">
        <v>0.55969199999999997</v>
      </c>
      <c r="AH141" s="22">
        <v>19.947299999999998</v>
      </c>
      <c r="AI141" s="22">
        <v>-1.3903799999999999E-2</v>
      </c>
      <c r="AJ141" s="22">
        <v>131</v>
      </c>
      <c r="AK141" s="22">
        <v>0.55911299999999997</v>
      </c>
      <c r="AL141">
        <f t="shared" si="30"/>
        <v>17.165185185185184</v>
      </c>
      <c r="AM141">
        <f t="shared" si="31"/>
        <v>9.6072168266666651</v>
      </c>
      <c r="AP141" s="9"/>
      <c r="AQ141" s="22">
        <v>1.1604300000000001</v>
      </c>
      <c r="AR141" s="22">
        <v>25.3931</v>
      </c>
      <c r="AS141" s="22">
        <v>-1.3616899999999999E-2</v>
      </c>
      <c r="AT141" s="22">
        <v>131</v>
      </c>
      <c r="AU141" s="22">
        <v>1.15906</v>
      </c>
      <c r="AV141">
        <f t="shared" si="32"/>
        <v>16.810987654320986</v>
      </c>
      <c r="AW141">
        <f t="shared" si="33"/>
        <v>19.507974403703702</v>
      </c>
      <c r="AX141" s="9"/>
      <c r="AY141" s="22">
        <v>0.55969199999999997</v>
      </c>
      <c r="AZ141" s="22">
        <v>29.252500000000001</v>
      </c>
      <c r="BA141" s="22">
        <v>-1.39252E-2</v>
      </c>
      <c r="BB141" s="22">
        <v>131</v>
      </c>
      <c r="BC141" s="22">
        <v>0.55905199999999999</v>
      </c>
      <c r="BD141">
        <f t="shared" si="34"/>
        <v>17.191604938271606</v>
      </c>
      <c r="BE141">
        <f t="shared" si="35"/>
        <v>9.6220037511111105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1.1554</v>
      </c>
      <c r="H142" s="22">
        <v>6.6536999999999997</v>
      </c>
      <c r="I142" s="22">
        <v>-1.35681E-2</v>
      </c>
      <c r="J142" s="22">
        <v>132</v>
      </c>
      <c r="K142" s="22">
        <v>1.15479</v>
      </c>
      <c r="L142">
        <f t="shared" si="24"/>
        <v>16.750740740740738</v>
      </c>
      <c r="M142">
        <f t="shared" si="25"/>
        <v>19.353805851851849</v>
      </c>
      <c r="N142" s="9"/>
      <c r="O142" s="22">
        <v>0.56472800000000001</v>
      </c>
      <c r="P142" s="22">
        <v>10.513199999999999</v>
      </c>
      <c r="Q142" s="22">
        <v>-1.3913E-2</v>
      </c>
      <c r="R142" s="22">
        <v>132</v>
      </c>
      <c r="S142" s="22">
        <v>0.56402600000000003</v>
      </c>
      <c r="T142">
        <f t="shared" si="26"/>
        <v>17.176543209876542</v>
      </c>
      <c r="U142">
        <f t="shared" si="27"/>
        <v>9.7000748938271606</v>
      </c>
      <c r="X142" s="9"/>
      <c r="Y142" s="22">
        <v>1.1554</v>
      </c>
      <c r="Z142" s="22">
        <v>16.097899999999999</v>
      </c>
      <c r="AA142" s="22">
        <v>-1.3644399999999999E-2</v>
      </c>
      <c r="AB142" s="22">
        <v>132</v>
      </c>
      <c r="AC142" s="22">
        <v>1.15448</v>
      </c>
      <c r="AD142">
        <f t="shared" si="28"/>
        <v>16.844938271604939</v>
      </c>
      <c r="AE142">
        <f t="shared" si="29"/>
        <v>19.462641679012346</v>
      </c>
      <c r="AF142" s="9"/>
      <c r="AG142" s="22">
        <v>0.56472800000000001</v>
      </c>
      <c r="AH142" s="22">
        <v>19.9574</v>
      </c>
      <c r="AI142" s="22">
        <v>-1.3897700000000001E-2</v>
      </c>
      <c r="AJ142" s="22">
        <v>132</v>
      </c>
      <c r="AK142" s="22">
        <v>0.56408700000000001</v>
      </c>
      <c r="AL142">
        <f t="shared" si="30"/>
        <v>17.157654320987653</v>
      </c>
      <c r="AM142">
        <f t="shared" si="31"/>
        <v>9.6894078093827147</v>
      </c>
      <c r="AP142" s="9"/>
      <c r="AQ142" s="22">
        <v>1.1554</v>
      </c>
      <c r="AR142" s="22">
        <v>25.403099999999998</v>
      </c>
      <c r="AS142" s="22">
        <v>-1.36261E-2</v>
      </c>
      <c r="AT142" s="22">
        <v>132</v>
      </c>
      <c r="AU142" s="22">
        <v>1.1541699999999999</v>
      </c>
      <c r="AV142">
        <f t="shared" si="32"/>
        <v>16.822345679012344</v>
      </c>
      <c r="AW142">
        <f t="shared" si="33"/>
        <v>19.436538197530862</v>
      </c>
      <c r="AX142" s="9"/>
      <c r="AY142" s="22">
        <v>0.56472800000000001</v>
      </c>
      <c r="AZ142" s="22">
        <v>29.262599999999999</v>
      </c>
      <c r="BA142" s="22">
        <v>-1.39221E-2</v>
      </c>
      <c r="BB142" s="22">
        <v>132</v>
      </c>
      <c r="BC142" s="22">
        <v>0.56393400000000005</v>
      </c>
      <c r="BD142">
        <f t="shared" si="34"/>
        <v>17.187777777777779</v>
      </c>
      <c r="BE142">
        <f t="shared" si="35"/>
        <v>9.7064193688888896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1.15036</v>
      </c>
      <c r="H143" s="22">
        <v>6.6637700000000004</v>
      </c>
      <c r="I143" s="22">
        <v>-1.35712E-2</v>
      </c>
      <c r="J143" s="22">
        <v>133</v>
      </c>
      <c r="K143" s="22">
        <v>1.1492899999999999</v>
      </c>
      <c r="L143">
        <f t="shared" si="24"/>
        <v>16.754567901234566</v>
      </c>
      <c r="M143">
        <f t="shared" si="25"/>
        <v>19.273784730864197</v>
      </c>
      <c r="N143" s="9"/>
      <c r="O143" s="22">
        <v>0.56976300000000002</v>
      </c>
      <c r="P143" s="22">
        <v>10.523199999999999</v>
      </c>
      <c r="Q143" s="22">
        <v>-1.39069E-2</v>
      </c>
      <c r="R143" s="22">
        <v>133</v>
      </c>
      <c r="S143" s="22">
        <v>0.56909200000000004</v>
      </c>
      <c r="T143">
        <f t="shared" si="26"/>
        <v>17.169012345679011</v>
      </c>
      <c r="U143">
        <f t="shared" si="27"/>
        <v>9.7822679811111115</v>
      </c>
      <c r="X143" s="9"/>
      <c r="Y143" s="22">
        <v>1.15036</v>
      </c>
      <c r="Z143" s="22">
        <v>16.108000000000001</v>
      </c>
      <c r="AA143" s="22">
        <v>-1.36475E-2</v>
      </c>
      <c r="AB143" s="22">
        <v>133</v>
      </c>
      <c r="AC143" s="22">
        <v>1.14899</v>
      </c>
      <c r="AD143">
        <f t="shared" si="28"/>
        <v>16.848765432098766</v>
      </c>
      <c r="AE143">
        <f t="shared" si="29"/>
        <v>19.382145802469136</v>
      </c>
      <c r="AF143" s="9"/>
      <c r="AG143" s="22">
        <v>0.56976300000000002</v>
      </c>
      <c r="AH143" s="22">
        <v>19.967500000000001</v>
      </c>
      <c r="AI143" s="22">
        <v>-1.3903799999999999E-2</v>
      </c>
      <c r="AJ143" s="22">
        <v>133</v>
      </c>
      <c r="AK143" s="22">
        <v>0.56912200000000002</v>
      </c>
      <c r="AL143">
        <f t="shared" si="30"/>
        <v>17.165185185185184</v>
      </c>
      <c r="AM143">
        <f t="shared" si="31"/>
        <v>9.7800874066666665</v>
      </c>
      <c r="AP143" s="9"/>
      <c r="AQ143" s="22">
        <v>1.15036</v>
      </c>
      <c r="AR143" s="22">
        <v>25.4132</v>
      </c>
      <c r="AS143" s="22">
        <v>-1.3629199999999999E-2</v>
      </c>
      <c r="AT143" s="22">
        <v>133</v>
      </c>
      <c r="AU143" s="22">
        <v>1.1492899999999999</v>
      </c>
      <c r="AV143">
        <f t="shared" si="32"/>
        <v>16.826172839506171</v>
      </c>
      <c r="AW143">
        <f t="shared" si="33"/>
        <v>19.356156187654321</v>
      </c>
      <c r="AX143" s="9"/>
      <c r="AY143" s="22">
        <v>0.56976300000000002</v>
      </c>
      <c r="AZ143" s="22">
        <v>29.2727</v>
      </c>
      <c r="BA143" s="22">
        <v>-1.39221E-2</v>
      </c>
      <c r="BB143" s="22">
        <v>133</v>
      </c>
      <c r="BC143" s="22">
        <v>0.56906100000000004</v>
      </c>
      <c r="BD143">
        <f t="shared" si="34"/>
        <v>17.187777777777779</v>
      </c>
      <c r="BE143">
        <f t="shared" si="35"/>
        <v>9.7929598300000009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1.1453199999999999</v>
      </c>
      <c r="H144" s="22">
        <v>6.6738400000000002</v>
      </c>
      <c r="I144" s="22">
        <v>-1.35773E-2</v>
      </c>
      <c r="J144" s="22">
        <v>134</v>
      </c>
      <c r="K144" s="22">
        <v>1.1447099999999999</v>
      </c>
      <c r="L144">
        <f t="shared" si="24"/>
        <v>16.7620987654321</v>
      </c>
      <c r="M144">
        <f t="shared" si="25"/>
        <v>19.19796695802469</v>
      </c>
      <c r="N144" s="9"/>
      <c r="O144" s="22">
        <v>0.57479899999999995</v>
      </c>
      <c r="P144" s="22">
        <v>10.533300000000001</v>
      </c>
      <c r="Q144" s="22">
        <v>-1.39008E-2</v>
      </c>
      <c r="R144" s="22">
        <v>134</v>
      </c>
      <c r="S144" s="22">
        <v>0.57415799999999995</v>
      </c>
      <c r="T144">
        <f t="shared" si="26"/>
        <v>17.161481481481481</v>
      </c>
      <c r="U144">
        <f t="shared" si="27"/>
        <v>9.864402394074073</v>
      </c>
      <c r="X144" s="9"/>
      <c r="Y144" s="22">
        <v>1.1453199999999999</v>
      </c>
      <c r="Z144" s="22">
        <v>16.118099999999998</v>
      </c>
      <c r="AA144" s="22">
        <v>-1.36536E-2</v>
      </c>
      <c r="AB144" s="22">
        <v>134</v>
      </c>
      <c r="AC144" s="22">
        <v>1.1444099999999999</v>
      </c>
      <c r="AD144">
        <f t="shared" si="28"/>
        <v>16.856296296296296</v>
      </c>
      <c r="AE144">
        <f t="shared" si="29"/>
        <v>19.305853274074071</v>
      </c>
      <c r="AF144" s="9"/>
      <c r="AG144" s="22">
        <v>0.57479899999999995</v>
      </c>
      <c r="AH144" s="22">
        <v>19.977499999999999</v>
      </c>
      <c r="AI144" s="22">
        <v>-1.3903799999999999E-2</v>
      </c>
      <c r="AJ144" s="22">
        <v>134</v>
      </c>
      <c r="AK144" s="22">
        <v>0.57415799999999995</v>
      </c>
      <c r="AL144">
        <f t="shared" si="30"/>
        <v>17.165185185185184</v>
      </c>
      <c r="AM144">
        <f t="shared" si="31"/>
        <v>9.8665312792592577</v>
      </c>
      <c r="AP144" s="9"/>
      <c r="AQ144" s="22">
        <v>1.1453199999999999</v>
      </c>
      <c r="AR144" s="22">
        <v>25.423300000000001</v>
      </c>
      <c r="AS144" s="22">
        <v>-1.36353E-2</v>
      </c>
      <c r="AT144" s="22">
        <v>134</v>
      </c>
      <c r="AU144" s="22">
        <v>1.1447099999999999</v>
      </c>
      <c r="AV144">
        <f t="shared" si="32"/>
        <v>16.833703703703701</v>
      </c>
      <c r="AW144">
        <f t="shared" si="33"/>
        <v>19.279977525925922</v>
      </c>
      <c r="AX144" s="9"/>
      <c r="AY144" s="22">
        <v>0.57479899999999995</v>
      </c>
      <c r="AZ144" s="22">
        <v>29.282800000000002</v>
      </c>
      <c r="BA144" s="22">
        <v>-1.3913E-2</v>
      </c>
      <c r="BB144" s="22">
        <v>134</v>
      </c>
      <c r="BC144" s="22">
        <v>0.57409699999999997</v>
      </c>
      <c r="BD144">
        <f t="shared" si="34"/>
        <v>17.176543209876542</v>
      </c>
      <c r="BE144">
        <f t="shared" si="35"/>
        <v>9.8730598604938251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1.14029</v>
      </c>
      <c r="H145" s="22">
        <v>6.68391</v>
      </c>
      <c r="I145" s="22">
        <v>-1.3583400000000001E-2</v>
      </c>
      <c r="J145" s="22">
        <v>135</v>
      </c>
      <c r="K145" s="22">
        <v>1.1395299999999999</v>
      </c>
      <c r="L145">
        <f t="shared" si="24"/>
        <v>16.76962962962963</v>
      </c>
      <c r="M145">
        <f t="shared" si="25"/>
        <v>19.12224097037037</v>
      </c>
      <c r="N145" s="9"/>
      <c r="O145" s="22">
        <v>0.57983399999999996</v>
      </c>
      <c r="P145" s="22">
        <v>10.5434</v>
      </c>
      <c r="Q145" s="22">
        <v>-1.3897700000000001E-2</v>
      </c>
      <c r="R145" s="22">
        <v>135</v>
      </c>
      <c r="S145" s="22">
        <v>0.57919299999999996</v>
      </c>
      <c r="T145">
        <f t="shared" si="26"/>
        <v>17.157654320987653</v>
      </c>
      <c r="U145">
        <f t="shared" si="27"/>
        <v>9.9485913355555535</v>
      </c>
      <c r="X145" s="9"/>
      <c r="Y145" s="22">
        <v>1.14029</v>
      </c>
      <c r="Z145" s="22">
        <v>16.1281</v>
      </c>
      <c r="AA145" s="22">
        <v>-1.36475E-2</v>
      </c>
      <c r="AB145" s="22">
        <v>135</v>
      </c>
      <c r="AC145" s="22">
        <v>1.1398299999999999</v>
      </c>
      <c r="AD145">
        <f t="shared" si="28"/>
        <v>16.848765432098766</v>
      </c>
      <c r="AE145">
        <f t="shared" si="29"/>
        <v>19.212478734567902</v>
      </c>
      <c r="AF145" s="9"/>
      <c r="AG145" s="22">
        <v>0.57983399999999996</v>
      </c>
      <c r="AH145" s="22">
        <v>19.9876</v>
      </c>
      <c r="AI145" s="22">
        <v>-1.3903799999999999E-2</v>
      </c>
      <c r="AJ145" s="22">
        <v>135</v>
      </c>
      <c r="AK145" s="22">
        <v>0.57922399999999996</v>
      </c>
      <c r="AL145">
        <f t="shared" si="30"/>
        <v>17.165185185185184</v>
      </c>
      <c r="AM145">
        <f t="shared" si="31"/>
        <v>9.9529579866666644</v>
      </c>
      <c r="AP145" s="9"/>
      <c r="AQ145" s="22">
        <v>1.14029</v>
      </c>
      <c r="AR145" s="22">
        <v>25.433399999999999</v>
      </c>
      <c r="AS145" s="22">
        <v>-1.3638300000000001E-2</v>
      </c>
      <c r="AT145" s="22">
        <v>135</v>
      </c>
      <c r="AU145" s="22">
        <v>1.1395299999999999</v>
      </c>
      <c r="AV145">
        <f t="shared" si="32"/>
        <v>16.837407407407408</v>
      </c>
      <c r="AW145">
        <f t="shared" si="33"/>
        <v>19.199527292592595</v>
      </c>
      <c r="AX145" s="9"/>
      <c r="AY145" s="22">
        <v>0.57983399999999996</v>
      </c>
      <c r="AZ145" s="22">
        <v>29.2928</v>
      </c>
      <c r="BA145" s="22">
        <v>-1.39008E-2</v>
      </c>
      <c r="BB145" s="22">
        <v>135</v>
      </c>
      <c r="BC145" s="22">
        <v>0.579071</v>
      </c>
      <c r="BD145">
        <f t="shared" si="34"/>
        <v>17.161481481481481</v>
      </c>
      <c r="BE145">
        <f t="shared" si="35"/>
        <v>9.9508104533333324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1.1352500000000001</v>
      </c>
      <c r="H146" s="22">
        <v>6.6939900000000003</v>
      </c>
      <c r="I146" s="22">
        <v>-1.3604700000000001E-2</v>
      </c>
      <c r="J146" s="22">
        <v>136</v>
      </c>
      <c r="K146" s="22">
        <v>1.1346400000000001</v>
      </c>
      <c r="L146">
        <f t="shared" si="24"/>
        <v>16.795925925925925</v>
      </c>
      <c r="M146">
        <f t="shared" si="25"/>
        <v>19.067574907407408</v>
      </c>
      <c r="N146" s="9"/>
      <c r="O146" s="22">
        <v>0.58486899999999997</v>
      </c>
      <c r="P146" s="22">
        <v>10.5535</v>
      </c>
      <c r="Q146" s="22">
        <v>-1.38916E-2</v>
      </c>
      <c r="R146" s="22">
        <v>136</v>
      </c>
      <c r="S146" s="22">
        <v>0.58425899999999997</v>
      </c>
      <c r="T146">
        <f t="shared" si="26"/>
        <v>17.150123456790123</v>
      </c>
      <c r="U146">
        <f t="shared" si="27"/>
        <v>10.030575556049381</v>
      </c>
      <c r="X146" s="9"/>
      <c r="Y146" s="22">
        <v>1.1352500000000001</v>
      </c>
      <c r="Z146" s="22">
        <v>16.138200000000001</v>
      </c>
      <c r="AA146" s="22">
        <v>-1.36414E-2</v>
      </c>
      <c r="AB146" s="22">
        <v>136</v>
      </c>
      <c r="AC146" s="22">
        <v>1.1343399999999999</v>
      </c>
      <c r="AD146">
        <f t="shared" si="28"/>
        <v>16.841234567901232</v>
      </c>
      <c r="AE146">
        <f t="shared" si="29"/>
        <v>19.119011543209876</v>
      </c>
      <c r="AF146" s="9"/>
      <c r="AG146" s="22">
        <v>0.58486899999999997</v>
      </c>
      <c r="AH146" s="22">
        <v>19.997699999999998</v>
      </c>
      <c r="AI146" s="22">
        <v>-1.3897700000000001E-2</v>
      </c>
      <c r="AJ146" s="22">
        <v>136</v>
      </c>
      <c r="AK146" s="22">
        <v>0.58425899999999997</v>
      </c>
      <c r="AL146">
        <f t="shared" si="30"/>
        <v>17.157654320987653</v>
      </c>
      <c r="AM146">
        <f t="shared" si="31"/>
        <v>10.034980125061727</v>
      </c>
      <c r="AP146" s="9"/>
      <c r="AQ146" s="22">
        <v>1.1352500000000001</v>
      </c>
      <c r="AR146" s="22">
        <v>25.4434</v>
      </c>
      <c r="AS146" s="22">
        <v>-1.36475E-2</v>
      </c>
      <c r="AT146" s="22">
        <v>136</v>
      </c>
      <c r="AU146" s="22">
        <v>1.1343399999999999</v>
      </c>
      <c r="AV146">
        <f t="shared" si="32"/>
        <v>16.848765432098766</v>
      </c>
      <c r="AW146">
        <f t="shared" si="33"/>
        <v>19.127560956790127</v>
      </c>
      <c r="AX146" s="9"/>
      <c r="AY146" s="22">
        <v>0.58486899999999997</v>
      </c>
      <c r="AZ146" s="22">
        <v>29.302900000000001</v>
      </c>
      <c r="BA146" s="22">
        <v>-1.3894699999999999E-2</v>
      </c>
      <c r="BB146" s="22">
        <v>136</v>
      </c>
      <c r="BC146" s="22">
        <v>0.58425899999999997</v>
      </c>
      <c r="BD146">
        <f t="shared" si="34"/>
        <v>17.153950617283947</v>
      </c>
      <c r="BE146">
        <f t="shared" si="35"/>
        <v>10.032813943580244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1.13022</v>
      </c>
      <c r="H147" s="22">
        <v>6.7040600000000001</v>
      </c>
      <c r="I147" s="22">
        <v>-1.3610799999999999E-2</v>
      </c>
      <c r="J147" s="22">
        <v>137</v>
      </c>
      <c r="K147" s="22">
        <v>1.1291500000000001</v>
      </c>
      <c r="L147">
        <f t="shared" si="24"/>
        <v>16.803456790123455</v>
      </c>
      <c r="M147">
        <f t="shared" si="25"/>
        <v>18.991602933333333</v>
      </c>
      <c r="N147" s="9"/>
      <c r="O147" s="22">
        <v>0.58990500000000001</v>
      </c>
      <c r="P147" s="22">
        <v>10.563499999999999</v>
      </c>
      <c r="Q147" s="22">
        <v>-1.38855E-2</v>
      </c>
      <c r="R147" s="22">
        <v>137</v>
      </c>
      <c r="S147" s="22">
        <v>0.58929399999999998</v>
      </c>
      <c r="T147">
        <f t="shared" si="26"/>
        <v>17.142592592592592</v>
      </c>
      <c r="U147">
        <f t="shared" si="27"/>
        <v>10.112501083333333</v>
      </c>
      <c r="X147" s="9"/>
      <c r="Y147" s="22">
        <v>1.13022</v>
      </c>
      <c r="Z147" s="22">
        <v>16.148299999999999</v>
      </c>
      <c r="AA147" s="22">
        <v>-1.36414E-2</v>
      </c>
      <c r="AB147" s="22">
        <v>137</v>
      </c>
      <c r="AC147" s="22">
        <v>1.1291500000000001</v>
      </c>
      <c r="AD147">
        <f t="shared" si="28"/>
        <v>16.841234567901232</v>
      </c>
      <c r="AE147">
        <f t="shared" si="29"/>
        <v>19.034300133333332</v>
      </c>
      <c r="AF147" s="9"/>
      <c r="AG147" s="22">
        <v>0.58990500000000001</v>
      </c>
      <c r="AH147" s="22">
        <v>20.0077</v>
      </c>
      <c r="AI147" s="22">
        <v>-1.3897700000000001E-2</v>
      </c>
      <c r="AJ147" s="22">
        <v>137</v>
      </c>
      <c r="AK147" s="22">
        <v>0.58932499999999999</v>
      </c>
      <c r="AL147">
        <f t="shared" si="30"/>
        <v>17.157654320987653</v>
      </c>
      <c r="AM147">
        <f t="shared" si="31"/>
        <v>10.121386072222222</v>
      </c>
      <c r="AP147" s="9"/>
      <c r="AQ147" s="22">
        <v>1.13022</v>
      </c>
      <c r="AR147" s="22">
        <v>25.453499999999998</v>
      </c>
      <c r="AS147" s="22">
        <v>-1.36536E-2</v>
      </c>
      <c r="AT147" s="22">
        <v>137</v>
      </c>
      <c r="AU147" s="22">
        <v>1.1291500000000001</v>
      </c>
      <c r="AV147">
        <f t="shared" si="32"/>
        <v>16.856296296296296</v>
      </c>
      <c r="AW147">
        <f t="shared" si="33"/>
        <v>19.051323199999999</v>
      </c>
      <c r="AX147" s="9"/>
      <c r="AY147" s="22">
        <v>0.58990500000000001</v>
      </c>
      <c r="AZ147" s="22">
        <v>29.312999999999999</v>
      </c>
      <c r="BA147" s="22">
        <v>-1.3876299999999999E-2</v>
      </c>
      <c r="BB147" s="22">
        <v>137</v>
      </c>
      <c r="BC147" s="22">
        <v>0.58926400000000001</v>
      </c>
      <c r="BD147">
        <f t="shared" si="34"/>
        <v>17.131234567901231</v>
      </c>
      <c r="BE147">
        <f t="shared" si="35"/>
        <v>10.105800927777777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1.1251800000000001</v>
      </c>
      <c r="H148" s="22">
        <v>6.7141299999999999</v>
      </c>
      <c r="I148" s="22">
        <v>-1.362E-2</v>
      </c>
      <c r="J148" s="22">
        <v>138</v>
      </c>
      <c r="K148" s="22">
        <v>1.1242700000000001</v>
      </c>
      <c r="L148">
        <f t="shared" si="24"/>
        <v>16.814814814814813</v>
      </c>
      <c r="M148">
        <f t="shared" si="25"/>
        <v>18.919693333333331</v>
      </c>
      <c r="N148" s="9"/>
      <c r="O148" s="22">
        <v>0.59494000000000002</v>
      </c>
      <c r="P148" s="22">
        <v>10.573600000000001</v>
      </c>
      <c r="Q148" s="22">
        <v>-1.38824E-2</v>
      </c>
      <c r="R148" s="22">
        <v>138</v>
      </c>
      <c r="S148" s="22">
        <v>0.59420799999999996</v>
      </c>
      <c r="T148">
        <f t="shared" si="26"/>
        <v>17.138765432098765</v>
      </c>
      <c r="U148">
        <f t="shared" si="27"/>
        <v>10.19653710617284</v>
      </c>
      <c r="X148" s="9"/>
      <c r="Y148" s="22">
        <v>1.1251800000000001</v>
      </c>
      <c r="Z148" s="22">
        <v>16.158300000000001</v>
      </c>
      <c r="AA148" s="22">
        <v>-1.3638300000000001E-2</v>
      </c>
      <c r="AB148" s="22">
        <v>138</v>
      </c>
      <c r="AC148" s="22">
        <v>1.1242700000000001</v>
      </c>
      <c r="AD148">
        <f t="shared" si="28"/>
        <v>16.837407407407408</v>
      </c>
      <c r="AE148">
        <f t="shared" si="29"/>
        <v>18.945114066666669</v>
      </c>
      <c r="AF148" s="9"/>
      <c r="AG148" s="22">
        <v>0.59494000000000002</v>
      </c>
      <c r="AH148" s="22">
        <v>20.017800000000001</v>
      </c>
      <c r="AI148" s="22">
        <v>-1.39008E-2</v>
      </c>
      <c r="AJ148" s="22">
        <v>138</v>
      </c>
      <c r="AK148" s="22">
        <v>0.59423800000000004</v>
      </c>
      <c r="AL148">
        <f t="shared" si="30"/>
        <v>17.161481481481481</v>
      </c>
      <c r="AM148">
        <f t="shared" si="31"/>
        <v>10.210051792592592</v>
      </c>
      <c r="AP148" s="9"/>
      <c r="AQ148" s="22">
        <v>1.1251800000000001</v>
      </c>
      <c r="AR148" s="22">
        <v>25.4636</v>
      </c>
      <c r="AS148" s="22">
        <v>-1.3650499999999999E-2</v>
      </c>
      <c r="AT148" s="22">
        <v>138</v>
      </c>
      <c r="AU148" s="22">
        <v>1.1236600000000001</v>
      </c>
      <c r="AV148">
        <f t="shared" si="32"/>
        <v>16.852469135802469</v>
      </c>
      <c r="AW148">
        <f t="shared" si="33"/>
        <v>18.962061222222225</v>
      </c>
      <c r="AX148" s="9"/>
      <c r="AY148" s="22">
        <v>0.59494000000000002</v>
      </c>
      <c r="AZ148" s="22">
        <v>29.323</v>
      </c>
      <c r="BA148" s="22">
        <v>-1.38672E-2</v>
      </c>
      <c r="BB148" s="22">
        <v>138</v>
      </c>
      <c r="BC148" s="22">
        <v>0.59433000000000002</v>
      </c>
      <c r="BD148">
        <f t="shared" si="34"/>
        <v>17.12</v>
      </c>
      <c r="BE148">
        <f t="shared" si="35"/>
        <v>10.185372800000001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1.12015</v>
      </c>
      <c r="H149" s="22">
        <v>6.7241999999999997</v>
      </c>
      <c r="I149" s="22">
        <v>-1.36353E-2</v>
      </c>
      <c r="J149" s="22">
        <v>139</v>
      </c>
      <c r="K149" s="22">
        <v>1.1190800000000001</v>
      </c>
      <c r="L149">
        <f t="shared" si="24"/>
        <v>16.833703703703701</v>
      </c>
      <c r="M149">
        <f t="shared" si="25"/>
        <v>18.856273203703701</v>
      </c>
      <c r="N149" s="9"/>
      <c r="O149" s="22">
        <v>0.59997599999999995</v>
      </c>
      <c r="P149" s="22">
        <v>10.5837</v>
      </c>
      <c r="Q149" s="22">
        <v>-1.3876299999999999E-2</v>
      </c>
      <c r="R149" s="22">
        <v>139</v>
      </c>
      <c r="S149" s="22">
        <v>0.59933499999999995</v>
      </c>
      <c r="T149">
        <f t="shared" si="26"/>
        <v>17.131234567901231</v>
      </c>
      <c r="U149">
        <f t="shared" si="27"/>
        <v>10.278329591111108</v>
      </c>
      <c r="X149" s="9"/>
      <c r="Y149" s="22">
        <v>1.12015</v>
      </c>
      <c r="Z149" s="22">
        <v>16.168399999999998</v>
      </c>
      <c r="AA149" s="22">
        <v>-1.3644399999999999E-2</v>
      </c>
      <c r="AB149" s="22">
        <v>139</v>
      </c>
      <c r="AC149" s="22">
        <v>1.1196900000000001</v>
      </c>
      <c r="AD149">
        <f t="shared" si="28"/>
        <v>16.844938271604939</v>
      </c>
      <c r="AE149">
        <f t="shared" si="29"/>
        <v>18.86885760493827</v>
      </c>
      <c r="AF149" s="9"/>
      <c r="AG149" s="22">
        <v>0.59997599999999995</v>
      </c>
      <c r="AH149" s="22">
        <v>20.027899999999999</v>
      </c>
      <c r="AI149" s="22">
        <v>-1.3894699999999999E-2</v>
      </c>
      <c r="AJ149" s="22">
        <v>139</v>
      </c>
      <c r="AK149" s="22">
        <v>0.59927399999999997</v>
      </c>
      <c r="AL149">
        <f t="shared" si="30"/>
        <v>17.153950617283947</v>
      </c>
      <c r="AM149">
        <f t="shared" si="31"/>
        <v>10.291958675555552</v>
      </c>
      <c r="AP149" s="9"/>
      <c r="AQ149" s="22">
        <v>1.12015</v>
      </c>
      <c r="AR149" s="22">
        <v>25.473600000000001</v>
      </c>
      <c r="AS149" s="22">
        <v>-1.3644399999999999E-2</v>
      </c>
      <c r="AT149" s="22">
        <v>139</v>
      </c>
      <c r="AU149" s="22">
        <v>1.11938</v>
      </c>
      <c r="AV149">
        <f t="shared" si="32"/>
        <v>16.844938271604939</v>
      </c>
      <c r="AW149">
        <f t="shared" si="33"/>
        <v>18.86885760493827</v>
      </c>
      <c r="AX149" s="9"/>
      <c r="AY149" s="22">
        <v>0.59997599999999995</v>
      </c>
      <c r="AZ149" s="22">
        <v>29.333100000000002</v>
      </c>
      <c r="BA149" s="22">
        <v>-1.3864100000000001E-2</v>
      </c>
      <c r="BB149" s="22">
        <v>139</v>
      </c>
      <c r="BC149" s="22">
        <v>0.59933499999999995</v>
      </c>
      <c r="BD149">
        <f t="shared" si="34"/>
        <v>17.11617283950617</v>
      </c>
      <c r="BE149">
        <f t="shared" si="35"/>
        <v>10.269292915555553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1.11511</v>
      </c>
      <c r="H150" s="22">
        <v>6.7342700000000004</v>
      </c>
      <c r="I150" s="22">
        <v>-1.36475E-2</v>
      </c>
      <c r="J150" s="22">
        <v>140</v>
      </c>
      <c r="K150" s="22">
        <v>1.1142000000000001</v>
      </c>
      <c r="L150">
        <f t="shared" si="24"/>
        <v>16.848765432098766</v>
      </c>
      <c r="M150">
        <f t="shared" si="25"/>
        <v>18.788226820987656</v>
      </c>
      <c r="N150" s="9"/>
      <c r="O150" s="22">
        <v>0.60501099999999997</v>
      </c>
      <c r="P150" s="22">
        <v>10.5937</v>
      </c>
      <c r="Q150" s="22">
        <v>-1.38672E-2</v>
      </c>
      <c r="R150" s="22">
        <v>140</v>
      </c>
      <c r="S150" s="22">
        <v>0.60430899999999999</v>
      </c>
      <c r="T150">
        <f t="shared" si="26"/>
        <v>17.12</v>
      </c>
      <c r="U150">
        <f t="shared" si="27"/>
        <v>10.357788319999999</v>
      </c>
      <c r="X150" s="9"/>
      <c r="Y150" s="22">
        <v>1.11511</v>
      </c>
      <c r="Z150" s="22">
        <v>16.1785</v>
      </c>
      <c r="AA150" s="22">
        <v>-1.36475E-2</v>
      </c>
      <c r="AB150" s="22">
        <v>140</v>
      </c>
      <c r="AC150" s="22">
        <v>1.1145</v>
      </c>
      <c r="AD150">
        <f t="shared" si="28"/>
        <v>16.848765432098766</v>
      </c>
      <c r="AE150">
        <f t="shared" si="29"/>
        <v>18.788226820987656</v>
      </c>
      <c r="AF150" s="9"/>
      <c r="AG150" s="22">
        <v>0.60501099999999997</v>
      </c>
      <c r="AH150" s="22">
        <v>20.0379</v>
      </c>
      <c r="AI150" s="22">
        <v>-1.38916E-2</v>
      </c>
      <c r="AJ150" s="22">
        <v>140</v>
      </c>
      <c r="AK150" s="22">
        <v>0.60440099999999997</v>
      </c>
      <c r="AL150">
        <f t="shared" si="30"/>
        <v>17.150123456790123</v>
      </c>
      <c r="AM150">
        <f t="shared" si="31"/>
        <v>10.376013342716048</v>
      </c>
      <c r="AP150" s="9"/>
      <c r="AQ150" s="22">
        <v>1.11511</v>
      </c>
      <c r="AR150" s="22">
        <v>25.483699999999999</v>
      </c>
      <c r="AS150" s="22">
        <v>-1.36353E-2</v>
      </c>
      <c r="AT150" s="22">
        <v>140</v>
      </c>
      <c r="AU150" s="22">
        <v>1.1145</v>
      </c>
      <c r="AV150">
        <f t="shared" si="32"/>
        <v>16.833703703703701</v>
      </c>
      <c r="AW150">
        <f t="shared" si="33"/>
        <v>18.771431337037036</v>
      </c>
      <c r="AX150" s="9"/>
      <c r="AY150" s="22">
        <v>0.60501099999999997</v>
      </c>
      <c r="AZ150" s="22">
        <v>29.3432</v>
      </c>
      <c r="BA150" s="22">
        <v>-1.3864100000000001E-2</v>
      </c>
      <c r="BB150" s="22">
        <v>140</v>
      </c>
      <c r="BC150" s="22">
        <v>0.60433999999999999</v>
      </c>
      <c r="BD150">
        <f t="shared" si="34"/>
        <v>17.11617283950617</v>
      </c>
      <c r="BE150">
        <f t="shared" si="35"/>
        <v>10.355472845802467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1.11008</v>
      </c>
      <c r="H151" s="22">
        <v>6.7443400000000002</v>
      </c>
      <c r="I151" s="22">
        <v>-1.36566E-2</v>
      </c>
      <c r="J151" s="22">
        <v>141</v>
      </c>
      <c r="K151" s="22">
        <v>1.1084000000000001</v>
      </c>
      <c r="L151">
        <f t="shared" si="24"/>
        <v>16.86</v>
      </c>
      <c r="M151">
        <f t="shared" si="25"/>
        <v>18.7159488</v>
      </c>
      <c r="N151" s="9"/>
      <c r="O151" s="22">
        <v>0.61004599999999998</v>
      </c>
      <c r="P151" s="22">
        <v>10.6038</v>
      </c>
      <c r="Q151" s="22">
        <v>-1.38733E-2</v>
      </c>
      <c r="R151" s="22">
        <v>141</v>
      </c>
      <c r="S151" s="22">
        <v>0.609406</v>
      </c>
      <c r="T151">
        <f t="shared" si="26"/>
        <v>17.127530864197528</v>
      </c>
      <c r="U151">
        <f t="shared" si="27"/>
        <v>10.448581693580245</v>
      </c>
      <c r="X151" s="9"/>
      <c r="Y151" s="22">
        <v>1.11008</v>
      </c>
      <c r="Z151" s="22">
        <v>16.188500000000001</v>
      </c>
      <c r="AA151" s="22">
        <v>-1.36566E-2</v>
      </c>
      <c r="AB151" s="22">
        <v>141</v>
      </c>
      <c r="AC151" s="22">
        <v>1.1090100000000001</v>
      </c>
      <c r="AD151">
        <f t="shared" si="28"/>
        <v>16.86</v>
      </c>
      <c r="AE151">
        <f t="shared" si="29"/>
        <v>18.7159488</v>
      </c>
      <c r="AF151" s="9"/>
      <c r="AG151" s="22">
        <v>0.61004599999999998</v>
      </c>
      <c r="AH151" s="22">
        <v>20.047999999999998</v>
      </c>
      <c r="AI151" s="22">
        <v>-1.3870199999999999E-2</v>
      </c>
      <c r="AJ151" s="22">
        <v>141</v>
      </c>
      <c r="AK151" s="22">
        <v>0.609406</v>
      </c>
      <c r="AL151">
        <f t="shared" si="30"/>
        <v>17.123703703703701</v>
      </c>
      <c r="AM151">
        <f t="shared" si="31"/>
        <v>10.446246949629627</v>
      </c>
      <c r="AP151" s="9"/>
      <c r="AQ151" s="22">
        <v>1.11008</v>
      </c>
      <c r="AR151" s="22">
        <v>25.4938</v>
      </c>
      <c r="AS151" s="22">
        <v>-1.3632200000000001E-2</v>
      </c>
      <c r="AT151" s="22">
        <v>141</v>
      </c>
      <c r="AU151" s="22">
        <v>1.1090100000000001</v>
      </c>
      <c r="AV151">
        <f t="shared" si="32"/>
        <v>16.829876543209878</v>
      </c>
      <c r="AW151">
        <f t="shared" si="33"/>
        <v>18.68250935308642</v>
      </c>
      <c r="AX151" s="9"/>
      <c r="AY151" s="22">
        <v>0.61004599999999998</v>
      </c>
      <c r="AZ151" s="22">
        <v>29.353300000000001</v>
      </c>
      <c r="BA151" s="22">
        <v>-1.3861099999999999E-2</v>
      </c>
      <c r="BB151" s="22">
        <v>141</v>
      </c>
      <c r="BC151" s="22">
        <v>0.609406</v>
      </c>
      <c r="BD151">
        <f t="shared" si="34"/>
        <v>17.112469135802467</v>
      </c>
      <c r="BE151">
        <f t="shared" si="35"/>
        <v>10.439393346419751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1.10504</v>
      </c>
      <c r="H152" s="22">
        <v>6.75441</v>
      </c>
      <c r="I152" s="22">
        <v>-1.36597E-2</v>
      </c>
      <c r="J152" s="22">
        <v>142</v>
      </c>
      <c r="K152" s="22">
        <v>1.10382</v>
      </c>
      <c r="L152">
        <f t="shared" si="24"/>
        <v>16.863827160493827</v>
      </c>
      <c r="M152">
        <f t="shared" si="25"/>
        <v>18.6352035654321</v>
      </c>
      <c r="N152" s="9"/>
      <c r="O152" s="22">
        <v>0.61508200000000002</v>
      </c>
      <c r="P152" s="22">
        <v>10.613899999999999</v>
      </c>
      <c r="Q152" s="22">
        <v>-1.38885E-2</v>
      </c>
      <c r="R152" s="22">
        <v>142</v>
      </c>
      <c r="S152" s="22">
        <v>0.61444100000000001</v>
      </c>
      <c r="T152">
        <f t="shared" si="26"/>
        <v>17.146296296296295</v>
      </c>
      <c r="U152">
        <f t="shared" si="27"/>
        <v>10.546378218518518</v>
      </c>
      <c r="X152" s="9"/>
      <c r="Y152" s="22">
        <v>1.10504</v>
      </c>
      <c r="Z152" s="22">
        <v>16.198599999999999</v>
      </c>
      <c r="AA152" s="22">
        <v>-1.3650499999999999E-2</v>
      </c>
      <c r="AB152" s="22">
        <v>142</v>
      </c>
      <c r="AC152" s="22">
        <v>1.10382</v>
      </c>
      <c r="AD152">
        <f t="shared" si="28"/>
        <v>16.852469135802469</v>
      </c>
      <c r="AE152">
        <f t="shared" si="29"/>
        <v>18.622652493827161</v>
      </c>
      <c r="AF152" s="9"/>
      <c r="AG152" s="22">
        <v>0.61508200000000002</v>
      </c>
      <c r="AH152" s="22">
        <v>20.0581</v>
      </c>
      <c r="AI152" s="22">
        <v>-1.3864100000000001E-2</v>
      </c>
      <c r="AJ152" s="22">
        <v>142</v>
      </c>
      <c r="AK152" s="22">
        <v>0.61444100000000001</v>
      </c>
      <c r="AL152">
        <f t="shared" si="30"/>
        <v>17.11617283950617</v>
      </c>
      <c r="AM152">
        <f t="shared" si="31"/>
        <v>10.527849822469134</v>
      </c>
      <c r="AP152" s="9"/>
      <c r="AQ152" s="22">
        <v>1.10504</v>
      </c>
      <c r="AR152" s="22">
        <v>25.503799999999998</v>
      </c>
      <c r="AS152" s="22">
        <v>-1.36414E-2</v>
      </c>
      <c r="AT152" s="22">
        <v>142</v>
      </c>
      <c r="AU152" s="22">
        <v>1.10382</v>
      </c>
      <c r="AV152">
        <f t="shared" si="32"/>
        <v>16.841234567901232</v>
      </c>
      <c r="AW152">
        <f t="shared" si="33"/>
        <v>18.610237846913577</v>
      </c>
      <c r="AX152" s="9"/>
      <c r="AY152" s="22">
        <v>0.61508200000000002</v>
      </c>
      <c r="AZ152" s="22">
        <v>29.363299999999999</v>
      </c>
      <c r="BA152" s="22">
        <v>-1.3864100000000001E-2</v>
      </c>
      <c r="BB152" s="22">
        <v>142</v>
      </c>
      <c r="BC152" s="22">
        <v>0.61438000000000004</v>
      </c>
      <c r="BD152">
        <f t="shared" si="34"/>
        <v>17.11617283950617</v>
      </c>
      <c r="BE152">
        <f t="shared" si="35"/>
        <v>10.527849822469134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1.1000099999999999</v>
      </c>
      <c r="H153" s="22">
        <v>6.7644799999999998</v>
      </c>
      <c r="I153" s="22">
        <v>-1.3671900000000001E-2</v>
      </c>
      <c r="J153" s="22">
        <v>143</v>
      </c>
      <c r="K153" s="22">
        <v>1.09894</v>
      </c>
      <c r="L153">
        <f t="shared" si="24"/>
        <v>16.878888888888888</v>
      </c>
      <c r="M153">
        <f t="shared" si="25"/>
        <v>18.566946566666665</v>
      </c>
      <c r="N153" s="9"/>
      <c r="O153" s="22">
        <v>0.62011700000000003</v>
      </c>
      <c r="P153" s="22">
        <v>10.624000000000001</v>
      </c>
      <c r="Q153" s="22">
        <v>-1.3894699999999999E-2</v>
      </c>
      <c r="R153" s="22">
        <v>143</v>
      </c>
      <c r="S153" s="22">
        <v>0.61947600000000003</v>
      </c>
      <c r="T153">
        <f t="shared" si="26"/>
        <v>17.153950617283947</v>
      </c>
      <c r="U153">
        <f t="shared" si="27"/>
        <v>10.637456394938269</v>
      </c>
      <c r="X153" s="9"/>
      <c r="Y153" s="22">
        <v>1.1000099999999999</v>
      </c>
      <c r="Z153" s="22">
        <v>16.2087</v>
      </c>
      <c r="AA153" s="22">
        <v>-1.3644399999999999E-2</v>
      </c>
      <c r="AB153" s="22">
        <v>143</v>
      </c>
      <c r="AC153" s="22">
        <v>1.09863</v>
      </c>
      <c r="AD153">
        <f t="shared" si="28"/>
        <v>16.844938271604939</v>
      </c>
      <c r="AE153">
        <f t="shared" si="29"/>
        <v>18.529600548148146</v>
      </c>
      <c r="AF153" s="9"/>
      <c r="AG153" s="22">
        <v>0.62011700000000003</v>
      </c>
      <c r="AH153" s="22">
        <v>20.068200000000001</v>
      </c>
      <c r="AI153" s="22">
        <v>-1.3858000000000001E-2</v>
      </c>
      <c r="AJ153" s="22">
        <v>143</v>
      </c>
      <c r="AK153" s="22">
        <v>0.61956800000000001</v>
      </c>
      <c r="AL153">
        <f t="shared" si="30"/>
        <v>17.10864197530864</v>
      </c>
      <c r="AM153">
        <f t="shared" si="31"/>
        <v>10.609359735802467</v>
      </c>
      <c r="AP153" s="9"/>
      <c r="AQ153" s="22">
        <v>1.1000099999999999</v>
      </c>
      <c r="AR153" s="22">
        <v>25.5139</v>
      </c>
      <c r="AS153" s="22">
        <v>-1.36536E-2</v>
      </c>
      <c r="AT153" s="22">
        <v>143</v>
      </c>
      <c r="AU153" s="22">
        <v>1.09863</v>
      </c>
      <c r="AV153">
        <f t="shared" si="32"/>
        <v>16.856296296296296</v>
      </c>
      <c r="AW153">
        <f t="shared" si="33"/>
        <v>18.542094488888889</v>
      </c>
      <c r="AX153" s="9"/>
      <c r="AY153" s="22">
        <v>0.62011700000000003</v>
      </c>
      <c r="AZ153" s="22">
        <v>29.3734</v>
      </c>
      <c r="BA153" s="22">
        <v>-1.38733E-2</v>
      </c>
      <c r="BB153" s="22">
        <v>143</v>
      </c>
      <c r="BC153" s="22">
        <v>0.61935399999999996</v>
      </c>
      <c r="BD153">
        <f t="shared" si="34"/>
        <v>17.127530864197528</v>
      </c>
      <c r="BE153">
        <f t="shared" si="35"/>
        <v>10.621073056913579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1.09497</v>
      </c>
      <c r="H154" s="22">
        <v>6.7745499999999996</v>
      </c>
      <c r="I154" s="22">
        <v>-1.3681E-2</v>
      </c>
      <c r="J154" s="22">
        <v>144</v>
      </c>
      <c r="K154" s="22">
        <v>1.09344</v>
      </c>
      <c r="L154">
        <f t="shared" si="24"/>
        <v>16.890123456790121</v>
      </c>
      <c r="M154">
        <f t="shared" si="25"/>
        <v>18.49417848148148</v>
      </c>
      <c r="N154" s="9"/>
      <c r="O154" s="22">
        <v>0.62515299999999996</v>
      </c>
      <c r="P154" s="22">
        <v>10.634</v>
      </c>
      <c r="Q154" s="22">
        <v>-1.39069E-2</v>
      </c>
      <c r="R154" s="22">
        <v>144</v>
      </c>
      <c r="S154" s="22">
        <v>0.62454200000000004</v>
      </c>
      <c r="T154">
        <f t="shared" si="26"/>
        <v>17.169012345679011</v>
      </c>
      <c r="U154">
        <f t="shared" si="27"/>
        <v>10.73325957493827</v>
      </c>
      <c r="X154" s="9"/>
      <c r="Y154" s="22">
        <v>1.09497</v>
      </c>
      <c r="Z154" s="22">
        <v>16.218800000000002</v>
      </c>
      <c r="AA154" s="22">
        <v>-1.36475E-2</v>
      </c>
      <c r="AB154" s="22">
        <v>144</v>
      </c>
      <c r="AC154" s="22">
        <v>1.09406</v>
      </c>
      <c r="AD154">
        <f t="shared" si="28"/>
        <v>16.848765432098766</v>
      </c>
      <c r="AE154">
        <f t="shared" si="29"/>
        <v>18.448892685185186</v>
      </c>
      <c r="AF154" s="9"/>
      <c r="AG154" s="22">
        <v>0.62515299999999996</v>
      </c>
      <c r="AH154" s="22">
        <v>20.078199999999999</v>
      </c>
      <c r="AI154" s="22">
        <v>-1.3858000000000001E-2</v>
      </c>
      <c r="AJ154" s="22">
        <v>144</v>
      </c>
      <c r="AK154" s="22">
        <v>0.62445099999999998</v>
      </c>
      <c r="AL154">
        <f t="shared" si="30"/>
        <v>17.10864197530864</v>
      </c>
      <c r="AM154">
        <f t="shared" si="31"/>
        <v>10.695518856790121</v>
      </c>
      <c r="AP154" s="9"/>
      <c r="AQ154" s="22">
        <v>1.09497</v>
      </c>
      <c r="AR154" s="22">
        <v>25.524000000000001</v>
      </c>
      <c r="AS154" s="22">
        <v>-1.36688E-2</v>
      </c>
      <c r="AT154" s="22">
        <v>144</v>
      </c>
      <c r="AU154" s="22">
        <v>1.09344</v>
      </c>
      <c r="AV154">
        <f t="shared" si="32"/>
        <v>16.87506172839506</v>
      </c>
      <c r="AW154">
        <f t="shared" si="33"/>
        <v>18.477686340740739</v>
      </c>
      <c r="AX154" s="9"/>
      <c r="AY154" s="22">
        <v>0.62515299999999996</v>
      </c>
      <c r="AZ154" s="22">
        <v>29.383500000000002</v>
      </c>
      <c r="BA154" s="22">
        <v>-1.3876299999999999E-2</v>
      </c>
      <c r="BB154" s="22">
        <v>144</v>
      </c>
      <c r="BC154" s="22">
        <v>0.62448099999999995</v>
      </c>
      <c r="BD154">
        <f t="shared" si="34"/>
        <v>17.131234567901231</v>
      </c>
      <c r="BE154">
        <f t="shared" si="35"/>
        <v>10.709642683827157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1.0899399999999999</v>
      </c>
      <c r="H155" s="22">
        <v>6.7846200000000003</v>
      </c>
      <c r="I155" s="22">
        <v>-1.36902E-2</v>
      </c>
      <c r="J155" s="22">
        <v>145</v>
      </c>
      <c r="K155" s="22">
        <v>1.08887</v>
      </c>
      <c r="L155">
        <f t="shared" si="24"/>
        <v>16.901481481481479</v>
      </c>
      <c r="M155">
        <f t="shared" si="25"/>
        <v>18.421600725925924</v>
      </c>
      <c r="N155" s="9"/>
      <c r="O155" s="22">
        <v>0.63018799999999997</v>
      </c>
      <c r="P155" s="22">
        <v>10.6441</v>
      </c>
      <c r="Q155" s="22">
        <v>-1.39069E-2</v>
      </c>
      <c r="R155" s="22">
        <v>145</v>
      </c>
      <c r="S155" s="22">
        <v>0.62951699999999999</v>
      </c>
      <c r="T155">
        <f t="shared" si="26"/>
        <v>17.169012345679011</v>
      </c>
      <c r="U155">
        <f t="shared" si="27"/>
        <v>10.819705552098764</v>
      </c>
      <c r="X155" s="9"/>
      <c r="Y155" s="22">
        <v>1.0899399999999999</v>
      </c>
      <c r="Z155" s="22">
        <v>16.2288</v>
      </c>
      <c r="AA155" s="22">
        <v>-1.36475E-2</v>
      </c>
      <c r="AB155" s="22">
        <v>145</v>
      </c>
      <c r="AC155" s="22">
        <v>1.08917</v>
      </c>
      <c r="AD155">
        <f t="shared" si="28"/>
        <v>16.848765432098766</v>
      </c>
      <c r="AE155">
        <f t="shared" si="29"/>
        <v>18.364143395061728</v>
      </c>
      <c r="AF155" s="9"/>
      <c r="AG155" s="22">
        <v>0.63018799999999997</v>
      </c>
      <c r="AH155" s="22">
        <v>20.0883</v>
      </c>
      <c r="AI155" s="22">
        <v>-1.3864100000000001E-2</v>
      </c>
      <c r="AJ155" s="22">
        <v>145</v>
      </c>
      <c r="AK155" s="22">
        <v>0.62951699999999999</v>
      </c>
      <c r="AL155">
        <f t="shared" si="30"/>
        <v>17.11617283950617</v>
      </c>
      <c r="AM155">
        <f t="shared" si="31"/>
        <v>10.786406729382714</v>
      </c>
      <c r="AP155" s="9"/>
      <c r="AQ155" s="22">
        <v>1.0899399999999999</v>
      </c>
      <c r="AR155" s="22">
        <v>25.534099999999999</v>
      </c>
      <c r="AS155" s="22">
        <v>-1.3684099999999999E-2</v>
      </c>
      <c r="AT155" s="22">
        <v>145</v>
      </c>
      <c r="AU155" s="22">
        <v>1.08856</v>
      </c>
      <c r="AV155">
        <f t="shared" si="32"/>
        <v>16.893950617283949</v>
      </c>
      <c r="AW155">
        <f t="shared" si="33"/>
        <v>18.413392535802465</v>
      </c>
      <c r="AX155" s="9"/>
      <c r="AY155" s="22">
        <v>0.63018799999999997</v>
      </c>
      <c r="AZ155" s="22">
        <v>29.3935</v>
      </c>
      <c r="BA155" s="22">
        <v>-1.38855E-2</v>
      </c>
      <c r="BB155" s="22">
        <v>145</v>
      </c>
      <c r="BC155" s="22">
        <v>0.62957799999999997</v>
      </c>
      <c r="BD155">
        <f t="shared" si="34"/>
        <v>17.142592592592592</v>
      </c>
      <c r="BE155">
        <f t="shared" si="35"/>
        <v>10.80305614074074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1.0849</v>
      </c>
      <c r="H156" s="22">
        <v>6.7946999999999997</v>
      </c>
      <c r="I156" s="22">
        <v>-1.36902E-2</v>
      </c>
      <c r="J156" s="22">
        <v>146</v>
      </c>
      <c r="K156" s="22">
        <v>1.08429</v>
      </c>
      <c r="L156">
        <f t="shared" si="24"/>
        <v>16.901481481481479</v>
      </c>
      <c r="M156">
        <f t="shared" si="25"/>
        <v>18.336417259259257</v>
      </c>
      <c r="N156" s="9"/>
      <c r="O156" s="22">
        <v>0.63522299999999998</v>
      </c>
      <c r="P156" s="22">
        <v>10.654199999999999</v>
      </c>
      <c r="Q156" s="22">
        <v>-1.39069E-2</v>
      </c>
      <c r="R156" s="22">
        <v>146</v>
      </c>
      <c r="S156" s="22">
        <v>0.634552</v>
      </c>
      <c r="T156">
        <f t="shared" si="26"/>
        <v>17.169012345679011</v>
      </c>
      <c r="U156">
        <f t="shared" si="27"/>
        <v>10.906151529259258</v>
      </c>
      <c r="X156" s="9"/>
      <c r="Y156" s="22">
        <v>1.0849</v>
      </c>
      <c r="Z156" s="22">
        <v>16.238900000000001</v>
      </c>
      <c r="AA156" s="22">
        <v>-1.36627E-2</v>
      </c>
      <c r="AB156" s="22">
        <v>146</v>
      </c>
      <c r="AC156" s="22">
        <v>1.0839799999999999</v>
      </c>
      <c r="AD156">
        <f t="shared" si="28"/>
        <v>16.86753086419753</v>
      </c>
      <c r="AE156">
        <f t="shared" si="29"/>
        <v>18.299584234567899</v>
      </c>
      <c r="AF156" s="9"/>
      <c r="AG156" s="22">
        <v>0.63522299999999998</v>
      </c>
      <c r="AH156" s="22">
        <v>20.098400000000002</v>
      </c>
      <c r="AI156" s="22">
        <v>-1.3864100000000001E-2</v>
      </c>
      <c r="AJ156" s="22">
        <v>146</v>
      </c>
      <c r="AK156" s="22">
        <v>0.63446000000000002</v>
      </c>
      <c r="AL156">
        <f t="shared" si="30"/>
        <v>17.11617283950617</v>
      </c>
      <c r="AM156">
        <f t="shared" si="31"/>
        <v>10.872586659629627</v>
      </c>
      <c r="AP156" s="9"/>
      <c r="AQ156" s="22">
        <v>1.0849</v>
      </c>
      <c r="AR156" s="22">
        <v>25.5441</v>
      </c>
      <c r="AS156" s="22">
        <v>-1.36963E-2</v>
      </c>
      <c r="AT156" s="22">
        <v>146</v>
      </c>
      <c r="AU156" s="22">
        <v>1.08368</v>
      </c>
      <c r="AV156">
        <f t="shared" si="32"/>
        <v>16.90901234567901</v>
      </c>
      <c r="AW156">
        <f t="shared" si="33"/>
        <v>18.344587493827156</v>
      </c>
      <c r="AX156" s="9"/>
      <c r="AY156" s="22">
        <v>0.63522299999999998</v>
      </c>
      <c r="AZ156" s="22">
        <v>29.403600000000001</v>
      </c>
      <c r="BA156" s="22">
        <v>-1.38916E-2</v>
      </c>
      <c r="BB156" s="22">
        <v>146</v>
      </c>
      <c r="BC156" s="22">
        <v>0.63458300000000001</v>
      </c>
      <c r="BD156">
        <f t="shared" si="34"/>
        <v>17.150123456790123</v>
      </c>
      <c r="BE156">
        <f t="shared" si="35"/>
        <v>10.894152872592592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1.07986</v>
      </c>
      <c r="H157" s="22">
        <v>6.8047700000000004</v>
      </c>
      <c r="I157" s="22">
        <v>-1.3687100000000001E-2</v>
      </c>
      <c r="J157" s="22">
        <v>147</v>
      </c>
      <c r="K157" s="22">
        <v>1.0788</v>
      </c>
      <c r="L157">
        <f t="shared" si="24"/>
        <v>16.897654320987655</v>
      </c>
      <c r="M157">
        <f t="shared" si="25"/>
        <v>18.247100995061729</v>
      </c>
      <c r="N157" s="9"/>
      <c r="O157" s="22">
        <v>0.64025900000000002</v>
      </c>
      <c r="P157" s="22">
        <v>10.664199999999999</v>
      </c>
      <c r="Q157" s="22">
        <v>-1.38885E-2</v>
      </c>
      <c r="R157" s="22">
        <v>147</v>
      </c>
      <c r="S157" s="22">
        <v>0.63952600000000004</v>
      </c>
      <c r="T157">
        <f t="shared" si="26"/>
        <v>17.146296296296295</v>
      </c>
      <c r="U157">
        <f t="shared" si="27"/>
        <v>10.97807052037037</v>
      </c>
      <c r="X157" s="9"/>
      <c r="Y157" s="22">
        <v>1.07986</v>
      </c>
      <c r="Z157" s="22">
        <v>16.248999999999999</v>
      </c>
      <c r="AA157" s="22">
        <v>-1.36749E-2</v>
      </c>
      <c r="AB157" s="22">
        <v>147</v>
      </c>
      <c r="AC157" s="22">
        <v>1.0788</v>
      </c>
      <c r="AD157">
        <f t="shared" si="28"/>
        <v>16.882592592592591</v>
      </c>
      <c r="AE157">
        <f t="shared" si="29"/>
        <v>18.230836437037034</v>
      </c>
      <c r="AF157" s="9"/>
      <c r="AG157" s="22">
        <v>0.64025900000000002</v>
      </c>
      <c r="AH157" s="22">
        <v>20.1084</v>
      </c>
      <c r="AI157" s="22">
        <v>-1.3861099999999999E-2</v>
      </c>
      <c r="AJ157" s="22">
        <v>147</v>
      </c>
      <c r="AK157" s="22">
        <v>0.63958700000000002</v>
      </c>
      <c r="AL157">
        <f t="shared" si="30"/>
        <v>17.112469135802467</v>
      </c>
      <c r="AM157">
        <f t="shared" si="31"/>
        <v>10.956412376419753</v>
      </c>
      <c r="AP157" s="9"/>
      <c r="AQ157" s="22">
        <v>1.07986</v>
      </c>
      <c r="AR157" s="22">
        <v>25.554200000000002</v>
      </c>
      <c r="AS157" s="22">
        <v>-1.37024E-2</v>
      </c>
      <c r="AT157" s="22">
        <v>147</v>
      </c>
      <c r="AU157" s="22">
        <v>1.0788</v>
      </c>
      <c r="AV157">
        <f t="shared" si="32"/>
        <v>16.916543209876544</v>
      </c>
      <c r="AW157">
        <f t="shared" si="33"/>
        <v>18.267498350617284</v>
      </c>
      <c r="AX157" s="9"/>
      <c r="AY157" s="22">
        <v>0.64025900000000002</v>
      </c>
      <c r="AZ157" s="22">
        <v>29.413699999999999</v>
      </c>
      <c r="BA157" s="22">
        <v>-1.38916E-2</v>
      </c>
      <c r="BB157" s="22">
        <v>147</v>
      </c>
      <c r="BC157" s="22">
        <v>0.63961800000000002</v>
      </c>
      <c r="BD157">
        <f t="shared" si="34"/>
        <v>17.150123456790123</v>
      </c>
      <c r="BE157">
        <f t="shared" si="35"/>
        <v>10.980520894320987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1.07483</v>
      </c>
      <c r="H158" s="22">
        <v>6.8148400000000002</v>
      </c>
      <c r="I158" s="22">
        <v>-1.3687100000000001E-2</v>
      </c>
      <c r="J158" s="22">
        <v>148</v>
      </c>
      <c r="K158" s="22">
        <v>1.0732999999999999</v>
      </c>
      <c r="L158">
        <f t="shared" si="24"/>
        <v>16.897654320987655</v>
      </c>
      <c r="M158">
        <f t="shared" si="25"/>
        <v>18.162105793827159</v>
      </c>
      <c r="N158" s="9"/>
      <c r="O158" s="22">
        <v>0.64529400000000003</v>
      </c>
      <c r="P158" s="22">
        <v>10.674300000000001</v>
      </c>
      <c r="Q158" s="22">
        <v>-1.38824E-2</v>
      </c>
      <c r="R158" s="22">
        <v>148</v>
      </c>
      <c r="S158" s="22">
        <v>0.64465300000000003</v>
      </c>
      <c r="T158">
        <f t="shared" si="26"/>
        <v>17.138765432098765</v>
      </c>
      <c r="U158">
        <f t="shared" si="27"/>
        <v>11.059542500740742</v>
      </c>
      <c r="X158" s="9"/>
      <c r="Y158" s="22">
        <v>1.07483</v>
      </c>
      <c r="Z158" s="22">
        <v>16.259</v>
      </c>
      <c r="AA158" s="22">
        <v>-1.3671900000000001E-2</v>
      </c>
      <c r="AB158" s="22">
        <v>148</v>
      </c>
      <c r="AC158" s="22">
        <v>1.0739099999999999</v>
      </c>
      <c r="AD158">
        <f t="shared" si="28"/>
        <v>16.878888888888888</v>
      </c>
      <c r="AE158">
        <f t="shared" si="29"/>
        <v>18.141936144444443</v>
      </c>
      <c r="AF158" s="9"/>
      <c r="AG158" s="22">
        <v>0.64529400000000003</v>
      </c>
      <c r="AH158" s="22">
        <v>20.118500000000001</v>
      </c>
      <c r="AI158" s="22">
        <v>-1.3864100000000001E-2</v>
      </c>
      <c r="AJ158" s="22">
        <v>148</v>
      </c>
      <c r="AK158" s="22">
        <v>0.64468400000000003</v>
      </c>
      <c r="AL158">
        <f t="shared" si="30"/>
        <v>17.11617283950617</v>
      </c>
      <c r="AM158">
        <f t="shared" si="31"/>
        <v>11.044963636296295</v>
      </c>
      <c r="AP158" s="9"/>
      <c r="AQ158" s="22">
        <v>1.07483</v>
      </c>
      <c r="AR158" s="22">
        <v>25.564299999999999</v>
      </c>
      <c r="AS158" s="22">
        <v>-1.37146E-2</v>
      </c>
      <c r="AT158" s="22">
        <v>148</v>
      </c>
      <c r="AU158" s="22">
        <v>1.0732999999999999</v>
      </c>
      <c r="AV158">
        <f t="shared" si="32"/>
        <v>16.931604938271605</v>
      </c>
      <c r="AW158">
        <f t="shared" si="33"/>
        <v>18.198596935802467</v>
      </c>
      <c r="AX158" s="9"/>
      <c r="AY158" s="22">
        <v>0.64529400000000003</v>
      </c>
      <c r="AZ158" s="22">
        <v>29.4237</v>
      </c>
      <c r="BA158" s="22">
        <v>-1.38824E-2</v>
      </c>
      <c r="BB158" s="22">
        <v>148</v>
      </c>
      <c r="BC158" s="22">
        <v>0.64456199999999997</v>
      </c>
      <c r="BD158">
        <f t="shared" si="34"/>
        <v>17.138765432098765</v>
      </c>
      <c r="BE158">
        <f t="shared" si="35"/>
        <v>11.059542500740742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1.06979</v>
      </c>
      <c r="H159" s="22">
        <v>6.82491</v>
      </c>
      <c r="I159" s="22">
        <v>-1.36902E-2</v>
      </c>
      <c r="J159" s="22">
        <v>149</v>
      </c>
      <c r="K159" s="22">
        <v>1.06873</v>
      </c>
      <c r="L159">
        <f t="shared" si="24"/>
        <v>16.901481481481479</v>
      </c>
      <c r="M159">
        <f t="shared" si="25"/>
        <v>18.081035874074072</v>
      </c>
      <c r="N159" s="9"/>
      <c r="O159" s="22">
        <v>0.65032999999999996</v>
      </c>
      <c r="P159" s="22">
        <v>10.6844</v>
      </c>
      <c r="Q159" s="22">
        <v>-1.38794E-2</v>
      </c>
      <c r="R159" s="22">
        <v>149</v>
      </c>
      <c r="S159" s="22">
        <v>0.64965799999999996</v>
      </c>
      <c r="T159">
        <f t="shared" si="26"/>
        <v>17.135061728395058</v>
      </c>
      <c r="U159">
        <f t="shared" si="27"/>
        <v>11.143444693827158</v>
      </c>
      <c r="X159" s="9"/>
      <c r="Y159" s="22">
        <v>1.06979</v>
      </c>
      <c r="Z159" s="22">
        <v>16.269100000000002</v>
      </c>
      <c r="AA159" s="22">
        <v>-1.36688E-2</v>
      </c>
      <c r="AB159" s="22">
        <v>149</v>
      </c>
      <c r="AC159" s="22">
        <v>1.06873</v>
      </c>
      <c r="AD159">
        <f t="shared" si="28"/>
        <v>16.87506172839506</v>
      </c>
      <c r="AE159">
        <f t="shared" si="29"/>
        <v>18.052772286419753</v>
      </c>
      <c r="AF159" s="9"/>
      <c r="AG159" s="22">
        <v>0.65032999999999996</v>
      </c>
      <c r="AH159" s="22">
        <v>20.128599999999999</v>
      </c>
      <c r="AI159" s="22">
        <v>-1.3870199999999999E-2</v>
      </c>
      <c r="AJ159" s="22">
        <v>149</v>
      </c>
      <c r="AK159" s="22">
        <v>0.64975000000000005</v>
      </c>
      <c r="AL159">
        <f t="shared" si="30"/>
        <v>17.123703703703701</v>
      </c>
      <c r="AM159">
        <f t="shared" si="31"/>
        <v>11.136058229629628</v>
      </c>
      <c r="AP159" s="9"/>
      <c r="AQ159" s="22">
        <v>1.06979</v>
      </c>
      <c r="AR159" s="22">
        <v>25.574300000000001</v>
      </c>
      <c r="AS159" s="22">
        <v>-1.3720700000000001E-2</v>
      </c>
      <c r="AT159" s="22">
        <v>149</v>
      </c>
      <c r="AU159" s="22">
        <v>1.06873</v>
      </c>
      <c r="AV159">
        <f t="shared" si="32"/>
        <v>16.939135802469135</v>
      </c>
      <c r="AW159">
        <f t="shared" si="33"/>
        <v>18.121318090123456</v>
      </c>
      <c r="AX159" s="9"/>
      <c r="AY159" s="22">
        <v>0.65032999999999996</v>
      </c>
      <c r="AZ159" s="22">
        <v>29.433800000000002</v>
      </c>
      <c r="BA159" s="22">
        <v>-1.38916E-2</v>
      </c>
      <c r="BB159" s="22">
        <v>149</v>
      </c>
      <c r="BC159" s="22">
        <v>0.64962799999999998</v>
      </c>
      <c r="BD159">
        <f t="shared" si="34"/>
        <v>17.150123456790123</v>
      </c>
      <c r="BE159">
        <f t="shared" si="35"/>
        <v>11.15323978765432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1.0647599999999999</v>
      </c>
      <c r="H160" s="22">
        <v>6.8349799999999998</v>
      </c>
      <c r="I160" s="22">
        <v>-1.3693200000000001E-2</v>
      </c>
      <c r="J160" s="22">
        <v>150</v>
      </c>
      <c r="K160" s="22">
        <v>1.0635399999999999</v>
      </c>
      <c r="L160">
        <f t="shared" si="24"/>
        <v>16.905185185185186</v>
      </c>
      <c r="M160">
        <f t="shared" si="25"/>
        <v>17.999964977777775</v>
      </c>
      <c r="N160" s="9"/>
      <c r="O160" s="22">
        <v>0.65536499999999998</v>
      </c>
      <c r="P160" s="22">
        <v>10.6945</v>
      </c>
      <c r="Q160" s="22">
        <v>-1.3876299999999999E-2</v>
      </c>
      <c r="R160" s="22">
        <v>150</v>
      </c>
      <c r="S160" s="22">
        <v>0.65472399999999997</v>
      </c>
      <c r="T160">
        <f t="shared" si="26"/>
        <v>17.131234567901231</v>
      </c>
      <c r="U160">
        <f t="shared" si="27"/>
        <v>11.22721154259259</v>
      </c>
      <c r="X160" s="9"/>
      <c r="Y160" s="22">
        <v>1.0647599999999999</v>
      </c>
      <c r="Z160" s="22">
        <v>16.279199999999999</v>
      </c>
      <c r="AA160" s="22">
        <v>-1.3671900000000001E-2</v>
      </c>
      <c r="AB160" s="22">
        <v>150</v>
      </c>
      <c r="AC160" s="22">
        <v>1.0638399999999999</v>
      </c>
      <c r="AD160">
        <f t="shared" si="28"/>
        <v>16.878888888888888</v>
      </c>
      <c r="AE160">
        <f t="shared" si="29"/>
        <v>17.971965733333331</v>
      </c>
      <c r="AF160" s="9"/>
      <c r="AG160" s="22">
        <v>0.65536499999999998</v>
      </c>
      <c r="AH160" s="22">
        <v>20.1387</v>
      </c>
      <c r="AI160" s="22">
        <v>-1.3870199999999999E-2</v>
      </c>
      <c r="AJ160" s="22">
        <v>150</v>
      </c>
      <c r="AK160" s="22">
        <v>0.65475499999999998</v>
      </c>
      <c r="AL160">
        <f t="shared" si="30"/>
        <v>17.123703703703701</v>
      </c>
      <c r="AM160">
        <f t="shared" si="31"/>
        <v>11.222276077777776</v>
      </c>
      <c r="AP160" s="9"/>
      <c r="AQ160" s="22">
        <v>1.0647599999999999</v>
      </c>
      <c r="AR160" s="22">
        <v>25.584399999999999</v>
      </c>
      <c r="AS160" s="22">
        <v>-1.37238E-2</v>
      </c>
      <c r="AT160" s="22">
        <v>150</v>
      </c>
      <c r="AU160" s="22">
        <v>1.0638399999999999</v>
      </c>
      <c r="AV160">
        <f t="shared" si="32"/>
        <v>16.942962962962962</v>
      </c>
      <c r="AW160">
        <f t="shared" si="33"/>
        <v>18.040189244444441</v>
      </c>
      <c r="AX160" s="9"/>
      <c r="AY160" s="22">
        <v>0.65536499999999998</v>
      </c>
      <c r="AZ160" s="22">
        <v>29.443899999999999</v>
      </c>
      <c r="BA160" s="22">
        <v>-1.38885E-2</v>
      </c>
      <c r="BB160" s="22">
        <v>150</v>
      </c>
      <c r="BC160" s="22">
        <v>0.65475499999999998</v>
      </c>
      <c r="BD160">
        <f t="shared" si="34"/>
        <v>17.146296296296295</v>
      </c>
      <c r="BE160">
        <f t="shared" si="35"/>
        <v>11.237082472222221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1.05972</v>
      </c>
      <c r="H161" s="22">
        <v>6.8450499999999996</v>
      </c>
      <c r="I161" s="22">
        <v>-1.36963E-2</v>
      </c>
      <c r="J161" s="22">
        <v>151</v>
      </c>
      <c r="K161" s="22">
        <v>1.0583499999999999</v>
      </c>
      <c r="L161">
        <f t="shared" si="24"/>
        <v>16.90901234567901</v>
      </c>
      <c r="M161">
        <f t="shared" si="25"/>
        <v>17.918818562962961</v>
      </c>
      <c r="N161" s="9"/>
      <c r="O161" s="22">
        <v>0.66039999999999999</v>
      </c>
      <c r="P161" s="22">
        <v>10.704499999999999</v>
      </c>
      <c r="Q161" s="22">
        <v>-1.38824E-2</v>
      </c>
      <c r="R161" s="22">
        <v>151</v>
      </c>
      <c r="S161" s="22">
        <v>0.65976000000000001</v>
      </c>
      <c r="T161">
        <f t="shared" si="26"/>
        <v>17.138765432098765</v>
      </c>
      <c r="U161">
        <f t="shared" si="27"/>
        <v>11.318440691358024</v>
      </c>
      <c r="X161" s="9"/>
      <c r="Y161" s="22">
        <v>1.05972</v>
      </c>
      <c r="Z161" s="22">
        <v>16.289300000000001</v>
      </c>
      <c r="AA161" s="22">
        <v>-1.3684099999999999E-2</v>
      </c>
      <c r="AB161" s="22">
        <v>151</v>
      </c>
      <c r="AC161" s="22">
        <v>1.0589599999999999</v>
      </c>
      <c r="AD161">
        <f t="shared" si="28"/>
        <v>16.893950617283949</v>
      </c>
      <c r="AE161">
        <f t="shared" si="29"/>
        <v>17.902857348148146</v>
      </c>
      <c r="AF161" s="9"/>
      <c r="AG161" s="22">
        <v>0.66039999999999999</v>
      </c>
      <c r="AH161" s="22">
        <v>20.148700000000002</v>
      </c>
      <c r="AI161" s="22">
        <v>-1.3858000000000001E-2</v>
      </c>
      <c r="AJ161" s="22">
        <v>151</v>
      </c>
      <c r="AK161" s="22">
        <v>0.65976000000000001</v>
      </c>
      <c r="AL161">
        <f t="shared" si="30"/>
        <v>17.10864197530864</v>
      </c>
      <c r="AM161">
        <f t="shared" si="31"/>
        <v>11.298547160493825</v>
      </c>
      <c r="AP161" s="9"/>
      <c r="AQ161" s="22">
        <v>1.05972</v>
      </c>
      <c r="AR161" s="22">
        <v>25.5945</v>
      </c>
      <c r="AS161" s="22">
        <v>-1.3732899999999999E-2</v>
      </c>
      <c r="AT161" s="22">
        <v>151</v>
      </c>
      <c r="AU161" s="22">
        <v>1.0586500000000001</v>
      </c>
      <c r="AV161">
        <f t="shared" si="32"/>
        <v>16.954197530864196</v>
      </c>
      <c r="AW161">
        <f t="shared" si="33"/>
        <v>17.966702207407405</v>
      </c>
      <c r="AX161" s="9"/>
      <c r="AY161" s="22">
        <v>0.66039999999999999</v>
      </c>
      <c r="AZ161" s="22">
        <v>29.454000000000001</v>
      </c>
      <c r="BA161" s="22">
        <v>-1.38855E-2</v>
      </c>
      <c r="BB161" s="22">
        <v>151</v>
      </c>
      <c r="BC161" s="22">
        <v>0.65972900000000001</v>
      </c>
      <c r="BD161">
        <f t="shared" si="34"/>
        <v>17.142592592592592</v>
      </c>
      <c r="BE161">
        <f t="shared" si="35"/>
        <v>11.320968148148149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1.0546899999999999</v>
      </c>
      <c r="H162" s="22">
        <v>6.8551200000000003</v>
      </c>
      <c r="I162" s="22">
        <v>-1.37054E-2</v>
      </c>
      <c r="J162" s="22">
        <v>152</v>
      </c>
      <c r="K162" s="22">
        <v>1.0534699999999999</v>
      </c>
      <c r="L162">
        <f t="shared" si="24"/>
        <v>16.920246913580247</v>
      </c>
      <c r="M162">
        <f t="shared" si="25"/>
        <v>17.84561521728395</v>
      </c>
      <c r="N162" s="9"/>
      <c r="O162" s="22">
        <v>0.66543600000000003</v>
      </c>
      <c r="P162" s="22">
        <v>10.714600000000001</v>
      </c>
      <c r="Q162" s="22">
        <v>-1.38824E-2</v>
      </c>
      <c r="R162" s="22">
        <v>152</v>
      </c>
      <c r="S162" s="22">
        <v>0.66473400000000005</v>
      </c>
      <c r="T162">
        <f t="shared" si="26"/>
        <v>17.138765432098765</v>
      </c>
      <c r="U162">
        <f t="shared" si="27"/>
        <v>11.404751514074075</v>
      </c>
      <c r="X162" s="9"/>
      <c r="Y162" s="22">
        <v>1.0546899999999999</v>
      </c>
      <c r="Z162" s="22">
        <v>16.299299999999999</v>
      </c>
      <c r="AA162" s="22">
        <v>-1.36902E-2</v>
      </c>
      <c r="AB162" s="22">
        <v>152</v>
      </c>
      <c r="AC162" s="22">
        <v>1.0534699999999999</v>
      </c>
      <c r="AD162">
        <f t="shared" si="28"/>
        <v>16.901481481481479</v>
      </c>
      <c r="AE162">
        <f t="shared" si="29"/>
        <v>17.825823503703699</v>
      </c>
      <c r="AF162" s="9"/>
      <c r="AG162" s="22">
        <v>0.66543600000000003</v>
      </c>
      <c r="AH162" s="22">
        <v>20.158799999999999</v>
      </c>
      <c r="AI162" s="22">
        <v>-1.38336E-2</v>
      </c>
      <c r="AJ162" s="22">
        <v>152</v>
      </c>
      <c r="AK162" s="22">
        <v>0.66473400000000005</v>
      </c>
      <c r="AL162">
        <f t="shared" si="30"/>
        <v>17.078518518518518</v>
      </c>
      <c r="AM162">
        <f t="shared" si="31"/>
        <v>11.364661048888889</v>
      </c>
      <c r="AP162" s="9"/>
      <c r="AQ162" s="22">
        <v>1.0546899999999999</v>
      </c>
      <c r="AR162" s="22">
        <v>25.604600000000001</v>
      </c>
      <c r="AS162" s="22">
        <v>-1.3738999999999999E-2</v>
      </c>
      <c r="AT162" s="22">
        <v>152</v>
      </c>
      <c r="AU162" s="22">
        <v>1.0528599999999999</v>
      </c>
      <c r="AV162">
        <f t="shared" si="32"/>
        <v>16.961728395061726</v>
      </c>
      <c r="AW162">
        <f t="shared" si="33"/>
        <v>17.88936532098765</v>
      </c>
      <c r="AX162" s="9"/>
      <c r="AY162" s="22">
        <v>0.66543600000000003</v>
      </c>
      <c r="AZ162" s="22">
        <v>29.463999999999999</v>
      </c>
      <c r="BA162" s="22">
        <v>-1.38794E-2</v>
      </c>
      <c r="BB162" s="22">
        <v>152</v>
      </c>
      <c r="BC162" s="22">
        <v>0.66467299999999996</v>
      </c>
      <c r="BD162">
        <f t="shared" si="34"/>
        <v>17.135061728395058</v>
      </c>
      <c r="BE162">
        <f t="shared" si="35"/>
        <v>11.402286936296294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1.04965</v>
      </c>
      <c r="H163" s="22">
        <v>6.8651900000000001</v>
      </c>
      <c r="I163" s="22">
        <v>-1.37146E-2</v>
      </c>
      <c r="J163" s="22">
        <v>153</v>
      </c>
      <c r="K163" s="22">
        <v>1.0488900000000001</v>
      </c>
      <c r="L163">
        <f t="shared" si="24"/>
        <v>16.931604938271605</v>
      </c>
      <c r="M163">
        <f t="shared" si="25"/>
        <v>17.772259123456788</v>
      </c>
      <c r="N163" s="9"/>
      <c r="O163" s="22">
        <v>0.67047100000000004</v>
      </c>
      <c r="P163" s="22">
        <v>10.7247</v>
      </c>
      <c r="Q163" s="22">
        <v>-1.3876299999999999E-2</v>
      </c>
      <c r="R163" s="22">
        <v>153</v>
      </c>
      <c r="S163" s="22">
        <v>0.66983000000000004</v>
      </c>
      <c r="T163">
        <f t="shared" si="26"/>
        <v>17.131234567901231</v>
      </c>
      <c r="U163">
        <f t="shared" si="27"/>
        <v>11.485995971975306</v>
      </c>
      <c r="X163" s="9"/>
      <c r="Y163" s="22">
        <v>1.04965</v>
      </c>
      <c r="Z163" s="22">
        <v>16.3094</v>
      </c>
      <c r="AA163" s="22">
        <v>-1.36963E-2</v>
      </c>
      <c r="AB163" s="22">
        <v>153</v>
      </c>
      <c r="AC163" s="22">
        <v>1.0485800000000001</v>
      </c>
      <c r="AD163">
        <f t="shared" si="28"/>
        <v>16.90901234567901</v>
      </c>
      <c r="AE163">
        <f t="shared" si="29"/>
        <v>17.74854480864197</v>
      </c>
      <c r="AF163" s="9"/>
      <c r="AG163" s="22">
        <v>0.67047100000000004</v>
      </c>
      <c r="AH163" s="22">
        <v>20.168900000000001</v>
      </c>
      <c r="AI163" s="22">
        <v>-1.3815300000000001E-2</v>
      </c>
      <c r="AJ163" s="22">
        <v>153</v>
      </c>
      <c r="AK163" s="22">
        <v>0.66976899999999995</v>
      </c>
      <c r="AL163">
        <f t="shared" si="30"/>
        <v>17.055925925925926</v>
      </c>
      <c r="AM163">
        <f t="shared" si="31"/>
        <v>11.435503711481482</v>
      </c>
      <c r="AP163" s="9"/>
      <c r="AQ163" s="22">
        <v>1.04965</v>
      </c>
      <c r="AR163" s="22">
        <v>25.614599999999999</v>
      </c>
      <c r="AS163" s="22">
        <v>-1.37451E-2</v>
      </c>
      <c r="AT163" s="22">
        <v>153</v>
      </c>
      <c r="AU163" s="22">
        <v>1.0485800000000001</v>
      </c>
      <c r="AV163">
        <f t="shared" si="32"/>
        <v>16.969259259259257</v>
      </c>
      <c r="AW163">
        <f t="shared" si="33"/>
        <v>17.811782981481478</v>
      </c>
      <c r="AX163" s="9"/>
      <c r="AY163" s="22">
        <v>0.67047100000000004</v>
      </c>
      <c r="AZ163" s="22">
        <v>29.4741</v>
      </c>
      <c r="BA163" s="22">
        <v>-1.38794E-2</v>
      </c>
      <c r="BB163" s="22">
        <v>153</v>
      </c>
      <c r="BC163" s="22">
        <v>0.66970799999999997</v>
      </c>
      <c r="BD163">
        <f t="shared" si="34"/>
        <v>17.135061728395058</v>
      </c>
      <c r="BE163">
        <f t="shared" si="35"/>
        <v>11.488561972098763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1.0446200000000001</v>
      </c>
      <c r="H164" s="22">
        <v>6.8752599999999999</v>
      </c>
      <c r="I164" s="22">
        <v>-1.37085E-2</v>
      </c>
      <c r="J164" s="22">
        <v>154</v>
      </c>
      <c r="K164" s="22">
        <v>1.0440100000000001</v>
      </c>
      <c r="L164">
        <f t="shared" si="24"/>
        <v>16.924074074074074</v>
      </c>
      <c r="M164">
        <f t="shared" si="25"/>
        <v>17.679226259259259</v>
      </c>
      <c r="N164" s="9"/>
      <c r="O164" s="22">
        <v>0.67550699999999997</v>
      </c>
      <c r="P164" s="22">
        <v>10.7347</v>
      </c>
      <c r="Q164" s="22">
        <v>-1.38672E-2</v>
      </c>
      <c r="R164" s="22">
        <v>154</v>
      </c>
      <c r="S164" s="22">
        <v>0.67480499999999999</v>
      </c>
      <c r="T164">
        <f t="shared" si="26"/>
        <v>17.12</v>
      </c>
      <c r="U164">
        <f t="shared" si="27"/>
        <v>11.56467984</v>
      </c>
      <c r="X164" s="9"/>
      <c r="Y164" s="22">
        <v>1.0446200000000001</v>
      </c>
      <c r="Z164" s="22">
        <v>16.319500000000001</v>
      </c>
      <c r="AA164" s="22">
        <v>-1.3693200000000001E-2</v>
      </c>
      <c r="AB164" s="22">
        <v>154</v>
      </c>
      <c r="AC164" s="22">
        <v>1.0434000000000001</v>
      </c>
      <c r="AD164">
        <f t="shared" si="28"/>
        <v>16.905185185185186</v>
      </c>
      <c r="AE164">
        <f t="shared" si="29"/>
        <v>17.65949454814815</v>
      </c>
      <c r="AF164" s="9"/>
      <c r="AG164" s="22">
        <v>0.67550699999999997</v>
      </c>
      <c r="AH164" s="22">
        <v>20.178899999999999</v>
      </c>
      <c r="AI164" s="22">
        <v>-1.38184E-2</v>
      </c>
      <c r="AJ164" s="22">
        <v>154</v>
      </c>
      <c r="AK164" s="22">
        <v>0.67486599999999997</v>
      </c>
      <c r="AL164">
        <f t="shared" si="30"/>
        <v>17.05975308641975</v>
      </c>
      <c r="AM164">
        <f t="shared" si="31"/>
        <v>11.523982628148145</v>
      </c>
      <c r="AP164" s="9"/>
      <c r="AQ164" s="22">
        <v>1.0446200000000001</v>
      </c>
      <c r="AR164" s="22">
        <v>25.624700000000001</v>
      </c>
      <c r="AS164" s="22">
        <v>-1.37482E-2</v>
      </c>
      <c r="AT164" s="22">
        <v>154</v>
      </c>
      <c r="AU164" s="22">
        <v>1.0437000000000001</v>
      </c>
      <c r="AV164">
        <f t="shared" si="32"/>
        <v>16.973086419753084</v>
      </c>
      <c r="AW164">
        <f t="shared" si="33"/>
        <v>17.730425535802468</v>
      </c>
      <c r="AX164" s="9"/>
      <c r="AY164" s="22">
        <v>0.67550699999999997</v>
      </c>
      <c r="AZ164" s="22">
        <v>29.484200000000001</v>
      </c>
      <c r="BA164" s="22">
        <v>-1.38824E-2</v>
      </c>
      <c r="BB164" s="22">
        <v>154</v>
      </c>
      <c r="BC164" s="22">
        <v>0.67489600000000005</v>
      </c>
      <c r="BD164">
        <f t="shared" si="34"/>
        <v>17.138765432098765</v>
      </c>
      <c r="BE164">
        <f t="shared" si="35"/>
        <v>11.577356020740741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1.0395799999999999</v>
      </c>
      <c r="H165" s="22">
        <v>6.8853299999999997</v>
      </c>
      <c r="I165" s="22">
        <v>-1.37054E-2</v>
      </c>
      <c r="J165" s="22">
        <v>155</v>
      </c>
      <c r="K165" s="22">
        <v>1.0382100000000001</v>
      </c>
      <c r="L165">
        <f t="shared" si="24"/>
        <v>16.920246913580247</v>
      </c>
      <c r="M165">
        <f t="shared" si="25"/>
        <v>17.589950286419754</v>
      </c>
      <c r="N165" s="9"/>
      <c r="O165" s="22">
        <v>0.68054199999999998</v>
      </c>
      <c r="P165" s="22">
        <v>10.7448</v>
      </c>
      <c r="Q165" s="22">
        <v>-1.38519E-2</v>
      </c>
      <c r="R165" s="22">
        <v>155</v>
      </c>
      <c r="S165" s="22">
        <v>0.679871</v>
      </c>
      <c r="T165">
        <f t="shared" si="26"/>
        <v>17.101111111111113</v>
      </c>
      <c r="U165">
        <f t="shared" si="27"/>
        <v>11.638024357777779</v>
      </c>
      <c r="X165" s="9"/>
      <c r="Y165" s="22">
        <v>1.0395799999999999</v>
      </c>
      <c r="Z165" s="22">
        <v>16.329499999999999</v>
      </c>
      <c r="AA165" s="22">
        <v>-1.36902E-2</v>
      </c>
      <c r="AB165" s="22">
        <v>155</v>
      </c>
      <c r="AC165" s="22">
        <v>1.0379</v>
      </c>
      <c r="AD165">
        <f t="shared" si="28"/>
        <v>16.901481481481479</v>
      </c>
      <c r="AE165">
        <f t="shared" si="29"/>
        <v>17.570442118518514</v>
      </c>
      <c r="AF165" s="9"/>
      <c r="AG165" s="22">
        <v>0.68054199999999998</v>
      </c>
      <c r="AH165" s="22">
        <v>20.189</v>
      </c>
      <c r="AI165" s="22">
        <v>-1.3815300000000001E-2</v>
      </c>
      <c r="AJ165" s="22">
        <v>155</v>
      </c>
      <c r="AK165" s="22">
        <v>0.67981000000000003</v>
      </c>
      <c r="AL165">
        <f t="shared" si="30"/>
        <v>17.055925925925926</v>
      </c>
      <c r="AM165">
        <f t="shared" si="31"/>
        <v>11.607273941481482</v>
      </c>
      <c r="AP165" s="9"/>
      <c r="AQ165" s="22">
        <v>1.0395799999999999</v>
      </c>
      <c r="AR165" s="22">
        <v>25.634799999999998</v>
      </c>
      <c r="AS165" s="22">
        <v>-1.37482E-2</v>
      </c>
      <c r="AT165" s="22">
        <v>155</v>
      </c>
      <c r="AU165" s="22">
        <v>1.03851</v>
      </c>
      <c r="AV165">
        <f t="shared" si="32"/>
        <v>16.973086419753084</v>
      </c>
      <c r="AW165">
        <f t="shared" si="33"/>
        <v>17.644881180246909</v>
      </c>
      <c r="AX165" s="9"/>
      <c r="AY165" s="22">
        <v>0.68054199999999998</v>
      </c>
      <c r="AZ165" s="22">
        <v>29.494199999999999</v>
      </c>
      <c r="BA165" s="22">
        <v>-1.38916E-2</v>
      </c>
      <c r="BB165" s="22">
        <v>155</v>
      </c>
      <c r="BC165" s="22">
        <v>0.679871</v>
      </c>
      <c r="BD165">
        <f t="shared" si="34"/>
        <v>17.150123456790123</v>
      </c>
      <c r="BE165">
        <f t="shared" si="35"/>
        <v>11.671379317530864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1.0345500000000001</v>
      </c>
      <c r="H166" s="22">
        <v>6.89541</v>
      </c>
      <c r="I166" s="22">
        <v>-1.37054E-2</v>
      </c>
      <c r="J166" s="22">
        <v>156</v>
      </c>
      <c r="K166" s="22">
        <v>1.0333300000000001</v>
      </c>
      <c r="L166">
        <f t="shared" si="24"/>
        <v>16.920246913580247</v>
      </c>
      <c r="M166">
        <f t="shared" si="25"/>
        <v>17.504841444444445</v>
      </c>
      <c r="N166" s="9"/>
      <c r="O166" s="22">
        <v>0.68557699999999999</v>
      </c>
      <c r="P166" s="22">
        <v>10.754899999999999</v>
      </c>
      <c r="Q166" s="22">
        <v>-1.38458E-2</v>
      </c>
      <c r="R166" s="22">
        <v>156</v>
      </c>
      <c r="S166" s="22">
        <v>0.68493700000000002</v>
      </c>
      <c r="T166">
        <f t="shared" si="26"/>
        <v>17.093580246913579</v>
      </c>
      <c r="U166">
        <f t="shared" si="27"/>
        <v>11.71896546493827</v>
      </c>
      <c r="X166" s="9"/>
      <c r="Y166" s="22">
        <v>1.0345500000000001</v>
      </c>
      <c r="Z166" s="22">
        <v>16.339600000000001</v>
      </c>
      <c r="AA166" s="22">
        <v>-1.3693200000000001E-2</v>
      </c>
      <c r="AB166" s="22">
        <v>156</v>
      </c>
      <c r="AC166" s="22">
        <v>1.0339400000000001</v>
      </c>
      <c r="AD166">
        <f t="shared" si="28"/>
        <v>16.905185185185186</v>
      </c>
      <c r="AE166">
        <f t="shared" si="29"/>
        <v>17.489259333333337</v>
      </c>
      <c r="AF166" s="9"/>
      <c r="AG166" s="22">
        <v>0.68557699999999999</v>
      </c>
      <c r="AH166" s="22">
        <v>20.199100000000001</v>
      </c>
      <c r="AI166" s="22">
        <v>-1.3815300000000001E-2</v>
      </c>
      <c r="AJ166" s="22">
        <v>156</v>
      </c>
      <c r="AK166" s="22">
        <v>0.68484500000000004</v>
      </c>
      <c r="AL166">
        <f t="shared" si="30"/>
        <v>17.055925925925926</v>
      </c>
      <c r="AM166">
        <f t="shared" si="31"/>
        <v>11.693150528518519</v>
      </c>
      <c r="AP166" s="9"/>
      <c r="AQ166" s="22">
        <v>1.0345500000000001</v>
      </c>
      <c r="AR166" s="22">
        <v>25.6448</v>
      </c>
      <c r="AS166" s="22">
        <v>-1.37573E-2</v>
      </c>
      <c r="AT166" s="22">
        <v>156</v>
      </c>
      <c r="AU166" s="22">
        <v>1.03363</v>
      </c>
      <c r="AV166">
        <f t="shared" si="32"/>
        <v>16.984320987654321</v>
      </c>
      <c r="AW166">
        <f t="shared" si="33"/>
        <v>17.571129277777779</v>
      </c>
      <c r="AX166" s="9"/>
      <c r="AY166" s="22">
        <v>0.68557699999999999</v>
      </c>
      <c r="AZ166" s="22">
        <v>29.504300000000001</v>
      </c>
      <c r="BA166" s="22">
        <v>-1.38885E-2</v>
      </c>
      <c r="BB166" s="22">
        <v>156</v>
      </c>
      <c r="BC166" s="22">
        <v>0.68490600000000001</v>
      </c>
      <c r="BD166">
        <f t="shared" si="34"/>
        <v>17.146296296296295</v>
      </c>
      <c r="BE166">
        <f t="shared" si="35"/>
        <v>11.755106375925925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1.0295099999999999</v>
      </c>
      <c r="H167" s="22">
        <v>6.9054799999999998</v>
      </c>
      <c r="I167" s="22">
        <v>-1.37054E-2</v>
      </c>
      <c r="J167" s="22">
        <v>157</v>
      </c>
      <c r="K167" s="22">
        <v>1.0281400000000001</v>
      </c>
      <c r="L167">
        <f t="shared" si="24"/>
        <v>16.920246913580247</v>
      </c>
      <c r="M167">
        <f t="shared" si="25"/>
        <v>17.419563399999998</v>
      </c>
      <c r="N167" s="9"/>
      <c r="O167" s="22">
        <v>0.69061300000000003</v>
      </c>
      <c r="P167" s="22">
        <v>10.765000000000001</v>
      </c>
      <c r="Q167" s="22">
        <v>-1.38367E-2</v>
      </c>
      <c r="R167" s="22">
        <v>157</v>
      </c>
      <c r="S167" s="22">
        <v>0.68997200000000003</v>
      </c>
      <c r="T167">
        <f t="shared" si="26"/>
        <v>17.082345679012345</v>
      </c>
      <c r="U167">
        <f t="shared" si="27"/>
        <v>11.797289996419753</v>
      </c>
      <c r="X167" s="9"/>
      <c r="Y167" s="22">
        <v>1.0295099999999999</v>
      </c>
      <c r="Z167" s="22">
        <v>16.349699999999999</v>
      </c>
      <c r="AA167" s="22">
        <v>-1.3693200000000001E-2</v>
      </c>
      <c r="AB167" s="22">
        <v>157</v>
      </c>
      <c r="AC167" s="22">
        <v>1.02844</v>
      </c>
      <c r="AD167">
        <f t="shared" si="28"/>
        <v>16.905185185185186</v>
      </c>
      <c r="AE167">
        <f t="shared" si="29"/>
        <v>17.4040572</v>
      </c>
      <c r="AF167" s="9"/>
      <c r="AG167" s="22">
        <v>0.69061300000000003</v>
      </c>
      <c r="AH167" s="22">
        <v>20.209199999999999</v>
      </c>
      <c r="AI167" s="22">
        <v>-1.3821399999999999E-2</v>
      </c>
      <c r="AJ167" s="22">
        <v>157</v>
      </c>
      <c r="AK167" s="22">
        <v>0.68997200000000003</v>
      </c>
      <c r="AL167">
        <f t="shared" si="30"/>
        <v>17.063456790123453</v>
      </c>
      <c r="AM167">
        <f t="shared" si="31"/>
        <v>11.784245084197529</v>
      </c>
      <c r="AP167" s="9"/>
      <c r="AQ167" s="22">
        <v>1.0295099999999999</v>
      </c>
      <c r="AR167" s="22">
        <v>25.654900000000001</v>
      </c>
      <c r="AS167" s="22">
        <v>-1.37634E-2</v>
      </c>
      <c r="AT167" s="22">
        <v>157</v>
      </c>
      <c r="AU167" s="22">
        <v>1.0281400000000001</v>
      </c>
      <c r="AV167">
        <f t="shared" si="32"/>
        <v>16.991851851851852</v>
      </c>
      <c r="AW167">
        <f t="shared" si="33"/>
        <v>17.493281399999997</v>
      </c>
      <c r="AX167" s="9"/>
      <c r="AY167" s="22">
        <v>0.69061300000000003</v>
      </c>
      <c r="AZ167" s="22">
        <v>29.514399999999998</v>
      </c>
      <c r="BA167" s="22">
        <v>-1.38855E-2</v>
      </c>
      <c r="BB167" s="22">
        <v>157</v>
      </c>
      <c r="BC167" s="22">
        <v>0.690002</v>
      </c>
      <c r="BD167">
        <f t="shared" si="34"/>
        <v>17.142592592592592</v>
      </c>
      <c r="BE167">
        <f t="shared" si="35"/>
        <v>11.838897298148149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1.0244800000000001</v>
      </c>
      <c r="H168" s="22">
        <v>6.9155499999999996</v>
      </c>
      <c r="I168" s="22">
        <v>-1.37085E-2</v>
      </c>
      <c r="J168" s="22">
        <v>158</v>
      </c>
      <c r="K168" s="22">
        <v>1.02386</v>
      </c>
      <c r="L168">
        <f t="shared" si="24"/>
        <v>16.924074074074074</v>
      </c>
      <c r="M168">
        <f t="shared" si="25"/>
        <v>17.338375407407408</v>
      </c>
      <c r="N168" s="9"/>
      <c r="O168" s="22">
        <v>0.69564800000000004</v>
      </c>
      <c r="P168" s="22">
        <v>10.775</v>
      </c>
      <c r="Q168" s="22">
        <v>-1.3815300000000001E-2</v>
      </c>
      <c r="R168" s="22">
        <v>158</v>
      </c>
      <c r="S168" s="22">
        <v>0.69497699999999996</v>
      </c>
      <c r="T168">
        <f t="shared" si="26"/>
        <v>17.055925925925926</v>
      </c>
      <c r="U168">
        <f t="shared" si="27"/>
        <v>11.864920758518519</v>
      </c>
      <c r="X168" s="9"/>
      <c r="Y168" s="22">
        <v>1.0244800000000001</v>
      </c>
      <c r="Z168" s="22">
        <v>16.3598</v>
      </c>
      <c r="AA168" s="22">
        <v>-1.3687100000000001E-2</v>
      </c>
      <c r="AB168" s="22">
        <v>158</v>
      </c>
      <c r="AC168" s="22">
        <v>1.02325</v>
      </c>
      <c r="AD168">
        <f t="shared" si="28"/>
        <v>16.897654320987655</v>
      </c>
      <c r="AE168">
        <f t="shared" si="29"/>
        <v>17.311308898765436</v>
      </c>
      <c r="AF168" s="9"/>
      <c r="AG168" s="22">
        <v>0.69564800000000004</v>
      </c>
      <c r="AH168" s="22">
        <v>20.219200000000001</v>
      </c>
      <c r="AI168" s="22">
        <v>-1.38184E-2</v>
      </c>
      <c r="AJ168" s="22">
        <v>158</v>
      </c>
      <c r="AK168" s="22">
        <v>0.69500700000000004</v>
      </c>
      <c r="AL168">
        <f t="shared" si="30"/>
        <v>17.05975308641975</v>
      </c>
      <c r="AM168">
        <f t="shared" si="31"/>
        <v>11.867583115061727</v>
      </c>
      <c r="AP168" s="9"/>
      <c r="AQ168" s="22">
        <v>1.0244800000000001</v>
      </c>
      <c r="AR168" s="22">
        <v>25.664999999999999</v>
      </c>
      <c r="AS168" s="22">
        <v>-1.37695E-2</v>
      </c>
      <c r="AT168" s="22">
        <v>158</v>
      </c>
      <c r="AU168" s="22">
        <v>1.02325</v>
      </c>
      <c r="AV168">
        <f t="shared" si="32"/>
        <v>16.999382716049382</v>
      </c>
      <c r="AW168">
        <f t="shared" si="33"/>
        <v>17.415527604938273</v>
      </c>
      <c r="AX168" s="9"/>
      <c r="AY168" s="22">
        <v>0.69564800000000004</v>
      </c>
      <c r="AZ168" s="22">
        <v>29.5245</v>
      </c>
      <c r="BA168" s="22">
        <v>-1.3876299999999999E-2</v>
      </c>
      <c r="BB168" s="22">
        <v>158</v>
      </c>
      <c r="BC168" s="22">
        <v>0.69497699999999996</v>
      </c>
      <c r="BD168">
        <f t="shared" si="34"/>
        <v>17.131234567901231</v>
      </c>
      <c r="BE168">
        <f t="shared" si="35"/>
        <v>11.917309064691356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1.0194399999999999</v>
      </c>
      <c r="H169" s="22">
        <v>6.9256200000000003</v>
      </c>
      <c r="I169" s="22">
        <v>-1.37146E-2</v>
      </c>
      <c r="J169" s="22">
        <v>159</v>
      </c>
      <c r="K169" s="22">
        <v>1.01837</v>
      </c>
      <c r="L169">
        <f t="shared" si="24"/>
        <v>16.931604938271605</v>
      </c>
      <c r="M169">
        <f t="shared" si="25"/>
        <v>17.260755338271604</v>
      </c>
      <c r="N169" s="9"/>
      <c r="O169" s="22">
        <v>0.70068399999999997</v>
      </c>
      <c r="P169" s="22">
        <v>10.7851</v>
      </c>
      <c r="Q169" s="22">
        <v>-1.38E-2</v>
      </c>
      <c r="R169" s="22">
        <v>159</v>
      </c>
      <c r="S169" s="22">
        <v>0.70007299999999995</v>
      </c>
      <c r="T169">
        <f t="shared" si="26"/>
        <v>17.037037037037035</v>
      </c>
      <c r="U169">
        <f t="shared" si="27"/>
        <v>11.937579259259257</v>
      </c>
      <c r="X169" s="9"/>
      <c r="Y169" s="22">
        <v>1.0194399999999999</v>
      </c>
      <c r="Z169" s="22">
        <v>16.369800000000001</v>
      </c>
      <c r="AA169" s="22">
        <v>-1.3684099999999999E-2</v>
      </c>
      <c r="AB169" s="22">
        <v>159</v>
      </c>
      <c r="AC169" s="22">
        <v>1.01868</v>
      </c>
      <c r="AD169">
        <f t="shared" si="28"/>
        <v>16.893950617283949</v>
      </c>
      <c r="AE169">
        <f t="shared" si="29"/>
        <v>17.222369017283945</v>
      </c>
      <c r="AF169" s="9"/>
      <c r="AG169" s="22">
        <v>0.70068399999999997</v>
      </c>
      <c r="AH169" s="22">
        <v>20.229299999999999</v>
      </c>
      <c r="AI169" s="22">
        <v>-1.3821399999999999E-2</v>
      </c>
      <c r="AJ169" s="22">
        <v>159</v>
      </c>
      <c r="AK169" s="22">
        <v>0.70004299999999997</v>
      </c>
      <c r="AL169">
        <f t="shared" si="30"/>
        <v>17.063456790123453</v>
      </c>
      <c r="AM169">
        <f t="shared" si="31"/>
        <v>11.956091157530862</v>
      </c>
      <c r="AP169" s="9"/>
      <c r="AQ169" s="22">
        <v>1.0194399999999999</v>
      </c>
      <c r="AR169" s="22">
        <v>25.6751</v>
      </c>
      <c r="AS169" s="22">
        <v>-1.3760400000000001E-2</v>
      </c>
      <c r="AT169" s="22">
        <v>159</v>
      </c>
      <c r="AU169" s="22">
        <v>1.01837</v>
      </c>
      <c r="AV169">
        <f t="shared" si="32"/>
        <v>16.988148148148149</v>
      </c>
      <c r="AW169">
        <f t="shared" si="33"/>
        <v>17.318397748148147</v>
      </c>
      <c r="AX169" s="9"/>
      <c r="AY169" s="22">
        <v>0.70068399999999997</v>
      </c>
      <c r="AZ169" s="22">
        <v>29.534500000000001</v>
      </c>
      <c r="BA169" s="22">
        <v>-1.3870199999999999E-2</v>
      </c>
      <c r="BB169" s="22">
        <v>159</v>
      </c>
      <c r="BC169" s="22">
        <v>0.70001199999999997</v>
      </c>
      <c r="BD169">
        <f t="shared" si="34"/>
        <v>17.123703703703701</v>
      </c>
      <c r="BE169">
        <f t="shared" si="35"/>
        <v>11.998305205925924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1.0144</v>
      </c>
      <c r="H170" s="22">
        <v>6.9356900000000001</v>
      </c>
      <c r="I170" s="22">
        <v>-1.3732899999999999E-2</v>
      </c>
      <c r="J170" s="22">
        <v>160</v>
      </c>
      <c r="K170" s="22">
        <v>1.01379</v>
      </c>
      <c r="L170">
        <f t="shared" si="24"/>
        <v>16.954197530864196</v>
      </c>
      <c r="M170">
        <f t="shared" si="25"/>
        <v>17.19833797530864</v>
      </c>
      <c r="N170" s="9"/>
      <c r="O170" s="22">
        <v>0.70571899999999999</v>
      </c>
      <c r="P170" s="22">
        <v>10.795199999999999</v>
      </c>
      <c r="Q170" s="22">
        <v>-1.38E-2</v>
      </c>
      <c r="R170" s="22">
        <v>160</v>
      </c>
      <c r="S170" s="22">
        <v>0.70507799999999998</v>
      </c>
      <c r="T170">
        <f t="shared" si="26"/>
        <v>17.037037037037035</v>
      </c>
      <c r="U170">
        <f t="shared" si="27"/>
        <v>12.023360740740738</v>
      </c>
      <c r="X170" s="9"/>
      <c r="Y170" s="22">
        <v>1.0144</v>
      </c>
      <c r="Z170" s="22">
        <v>16.379899999999999</v>
      </c>
      <c r="AA170" s="22">
        <v>-1.3677999999999999E-2</v>
      </c>
      <c r="AB170" s="22">
        <v>160</v>
      </c>
      <c r="AC170" s="22">
        <v>1.01318</v>
      </c>
      <c r="AD170">
        <f t="shared" si="28"/>
        <v>16.886419753086418</v>
      </c>
      <c r="AE170">
        <f t="shared" si="29"/>
        <v>17.12958419753086</v>
      </c>
      <c r="AF170" s="9"/>
      <c r="AG170" s="22">
        <v>0.70571899999999999</v>
      </c>
      <c r="AH170" s="22">
        <v>20.2394</v>
      </c>
      <c r="AI170" s="22">
        <v>-1.38245E-2</v>
      </c>
      <c r="AJ170" s="22">
        <v>160</v>
      </c>
      <c r="AK170" s="22">
        <v>0.70504800000000001</v>
      </c>
      <c r="AL170">
        <f t="shared" si="30"/>
        <v>17.067283950617281</v>
      </c>
      <c r="AM170">
        <f t="shared" si="31"/>
        <v>12.044706562345677</v>
      </c>
      <c r="AP170" s="9"/>
      <c r="AQ170" s="22">
        <v>1.0144</v>
      </c>
      <c r="AR170" s="22">
        <v>25.685099999999998</v>
      </c>
      <c r="AS170" s="22">
        <v>-1.3754300000000001E-2</v>
      </c>
      <c r="AT170" s="22">
        <v>160</v>
      </c>
      <c r="AU170" s="22">
        <v>1.01349</v>
      </c>
      <c r="AV170">
        <f t="shared" si="32"/>
        <v>16.980617283950615</v>
      </c>
      <c r="AW170">
        <f t="shared" si="33"/>
        <v>17.225138172839504</v>
      </c>
      <c r="AX170" s="9"/>
      <c r="AY170" s="22">
        <v>0.70571899999999999</v>
      </c>
      <c r="AZ170" s="22">
        <v>29.544599999999999</v>
      </c>
      <c r="BA170" s="22">
        <v>-1.3864100000000001E-2</v>
      </c>
      <c r="BB170" s="22">
        <v>160</v>
      </c>
      <c r="BC170" s="22">
        <v>0.70504800000000001</v>
      </c>
      <c r="BD170">
        <f t="shared" si="34"/>
        <v>17.11617283950617</v>
      </c>
      <c r="BE170">
        <f t="shared" si="35"/>
        <v>12.079208380123454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1.0093700000000001</v>
      </c>
      <c r="H171" s="22">
        <v>6.9457599999999999</v>
      </c>
      <c r="I171" s="22">
        <v>-1.37421E-2</v>
      </c>
      <c r="J171" s="22">
        <v>161</v>
      </c>
      <c r="K171" s="22">
        <v>1.00861</v>
      </c>
      <c r="L171">
        <f t="shared" si="24"/>
        <v>16.965555555555554</v>
      </c>
      <c r="M171">
        <f t="shared" si="25"/>
        <v>17.12452281111111</v>
      </c>
      <c r="N171" s="9"/>
      <c r="O171" s="22">
        <v>0.710754</v>
      </c>
      <c r="P171" s="22">
        <v>10.805199999999999</v>
      </c>
      <c r="Q171" s="22">
        <v>-1.3809200000000001E-2</v>
      </c>
      <c r="R171" s="22">
        <v>161</v>
      </c>
      <c r="S171" s="22">
        <v>0.710144</v>
      </c>
      <c r="T171">
        <f t="shared" si="26"/>
        <v>17.048395061728392</v>
      </c>
      <c r="U171">
        <f t="shared" si="27"/>
        <v>12.117214983703702</v>
      </c>
      <c r="X171" s="9"/>
      <c r="Y171" s="22">
        <v>1.0093700000000001</v>
      </c>
      <c r="Z171" s="22">
        <v>16.39</v>
      </c>
      <c r="AA171" s="22">
        <v>-1.3684099999999999E-2</v>
      </c>
      <c r="AB171" s="22">
        <v>161</v>
      </c>
      <c r="AC171" s="22">
        <v>1.008</v>
      </c>
      <c r="AD171">
        <f t="shared" si="28"/>
        <v>16.893950617283949</v>
      </c>
      <c r="AE171">
        <f t="shared" si="29"/>
        <v>17.052246934567901</v>
      </c>
      <c r="AF171" s="9"/>
      <c r="AG171" s="22">
        <v>0.710754</v>
      </c>
      <c r="AH171" s="22">
        <v>20.249400000000001</v>
      </c>
      <c r="AI171" s="22">
        <v>-1.38306E-2</v>
      </c>
      <c r="AJ171" s="22">
        <v>161</v>
      </c>
      <c r="AK171" s="22">
        <v>0.71011400000000002</v>
      </c>
      <c r="AL171">
        <f t="shared" si="30"/>
        <v>17.074814814814815</v>
      </c>
      <c r="AM171">
        <f t="shared" si="31"/>
        <v>12.135992928888889</v>
      </c>
      <c r="AP171" s="9"/>
      <c r="AQ171" s="22">
        <v>1.0093700000000001</v>
      </c>
      <c r="AR171" s="22">
        <v>25.6952</v>
      </c>
      <c r="AS171" s="22">
        <v>-1.37634E-2</v>
      </c>
      <c r="AT171" s="22">
        <v>161</v>
      </c>
      <c r="AU171" s="22">
        <v>1.00891</v>
      </c>
      <c r="AV171">
        <f t="shared" si="32"/>
        <v>16.991851851851852</v>
      </c>
      <c r="AW171">
        <f t="shared" si="33"/>
        <v>17.151065503703705</v>
      </c>
      <c r="AX171" s="9"/>
      <c r="AY171" s="22">
        <v>0.710754</v>
      </c>
      <c r="AZ171" s="22">
        <v>29.5547</v>
      </c>
      <c r="BA171" s="22">
        <v>-1.3861099999999999E-2</v>
      </c>
      <c r="BB171" s="22">
        <v>161</v>
      </c>
      <c r="BC171" s="22">
        <v>0.71011400000000002</v>
      </c>
      <c r="BD171">
        <f t="shared" si="34"/>
        <v>17.112469135802467</v>
      </c>
      <c r="BE171">
        <f t="shared" si="35"/>
        <v>12.162755888148146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1.0043299999999999</v>
      </c>
      <c r="H172" s="22">
        <v>6.9558299999999997</v>
      </c>
      <c r="I172" s="22">
        <v>-1.37573E-2</v>
      </c>
      <c r="J172" s="22">
        <v>162</v>
      </c>
      <c r="K172" s="22">
        <v>1.00281</v>
      </c>
      <c r="L172">
        <f t="shared" si="24"/>
        <v>16.984320987654321</v>
      </c>
      <c r="M172">
        <f t="shared" si="25"/>
        <v>17.057863097530863</v>
      </c>
      <c r="N172" s="9"/>
      <c r="O172" s="22">
        <v>0.71579000000000004</v>
      </c>
      <c r="P172" s="22">
        <v>10.815300000000001</v>
      </c>
      <c r="Q172" s="22">
        <v>-1.3809200000000001E-2</v>
      </c>
      <c r="R172" s="22">
        <v>162</v>
      </c>
      <c r="S172" s="22">
        <v>0.71517900000000001</v>
      </c>
      <c r="T172">
        <f t="shared" si="26"/>
        <v>17.048395061728392</v>
      </c>
      <c r="U172">
        <f t="shared" si="27"/>
        <v>12.203070701234566</v>
      </c>
      <c r="X172" s="9"/>
      <c r="Y172" s="22">
        <v>1.0043299999999999</v>
      </c>
      <c r="Z172" s="22">
        <v>16.399999999999999</v>
      </c>
      <c r="AA172" s="22">
        <v>-1.36963E-2</v>
      </c>
      <c r="AB172" s="22">
        <v>162</v>
      </c>
      <c r="AC172" s="22">
        <v>1.0037199999999999</v>
      </c>
      <c r="AD172">
        <f t="shared" si="28"/>
        <v>16.90901234567901</v>
      </c>
      <c r="AE172">
        <f t="shared" si="29"/>
        <v>16.9822283691358</v>
      </c>
      <c r="AF172" s="9"/>
      <c r="AG172" s="22">
        <v>0.71579000000000004</v>
      </c>
      <c r="AH172" s="22">
        <v>20.259499999999999</v>
      </c>
      <c r="AI172" s="22">
        <v>-1.38336E-2</v>
      </c>
      <c r="AJ172" s="22">
        <v>162</v>
      </c>
      <c r="AK172" s="22">
        <v>0.71517900000000001</v>
      </c>
      <c r="AL172">
        <f t="shared" si="30"/>
        <v>17.078518518518518</v>
      </c>
      <c r="AM172">
        <f t="shared" si="31"/>
        <v>12.22463277037037</v>
      </c>
      <c r="AP172" s="9"/>
      <c r="AQ172" s="22">
        <v>1.0043299999999999</v>
      </c>
      <c r="AR172" s="22">
        <v>25.705300000000001</v>
      </c>
      <c r="AS172" s="22">
        <v>-1.37573E-2</v>
      </c>
      <c r="AT172" s="22">
        <v>162</v>
      </c>
      <c r="AU172" s="22">
        <v>1.00342</v>
      </c>
      <c r="AV172">
        <f t="shared" si="32"/>
        <v>16.984320987654321</v>
      </c>
      <c r="AW172">
        <f t="shared" si="33"/>
        <v>17.057863097530863</v>
      </c>
      <c r="AX172" s="9"/>
      <c r="AY172" s="22">
        <v>0.71579000000000004</v>
      </c>
      <c r="AZ172" s="22">
        <v>29.564699999999998</v>
      </c>
      <c r="BA172" s="22">
        <v>-1.38733E-2</v>
      </c>
      <c r="BB172" s="22">
        <v>162</v>
      </c>
      <c r="BC172" s="22">
        <v>0.71517900000000001</v>
      </c>
      <c r="BD172">
        <f t="shared" si="34"/>
        <v>17.127530864197528</v>
      </c>
      <c r="BE172">
        <f t="shared" si="35"/>
        <v>12.259715317283948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0.99929800000000002</v>
      </c>
      <c r="H173" s="22">
        <v>6.9659000000000004</v>
      </c>
      <c r="I173" s="22">
        <v>-1.37634E-2</v>
      </c>
      <c r="J173" s="22">
        <v>163</v>
      </c>
      <c r="K173" s="22">
        <v>0.99792499999999995</v>
      </c>
      <c r="L173">
        <f t="shared" si="24"/>
        <v>16.991851851851852</v>
      </c>
      <c r="M173">
        <f t="shared" si="25"/>
        <v>16.979923571851852</v>
      </c>
      <c r="N173" s="9"/>
      <c r="O173" s="22">
        <v>0.72082500000000005</v>
      </c>
      <c r="P173" s="22">
        <v>10.8254</v>
      </c>
      <c r="Q173" s="22">
        <v>-1.38123E-2</v>
      </c>
      <c r="R173" s="22">
        <v>163</v>
      </c>
      <c r="S173" s="22">
        <v>0.72015399999999996</v>
      </c>
      <c r="T173">
        <f t="shared" si="26"/>
        <v>17.052222222222223</v>
      </c>
      <c r="U173">
        <f t="shared" si="27"/>
        <v>12.291668083333334</v>
      </c>
      <c r="X173" s="9"/>
      <c r="Y173" s="22">
        <v>0.99929800000000002</v>
      </c>
      <c r="Z173" s="22">
        <v>16.4101</v>
      </c>
      <c r="AA173" s="22">
        <v>-1.37024E-2</v>
      </c>
      <c r="AB173" s="22">
        <v>163</v>
      </c>
      <c r="AC173" s="22">
        <v>0.99822999999999995</v>
      </c>
      <c r="AD173">
        <f t="shared" si="28"/>
        <v>16.916543209876544</v>
      </c>
      <c r="AE173">
        <f t="shared" si="29"/>
        <v>16.904667796543212</v>
      </c>
      <c r="AF173" s="9"/>
      <c r="AG173" s="22">
        <v>0.72082500000000005</v>
      </c>
      <c r="AH173" s="22">
        <v>20.269600000000001</v>
      </c>
      <c r="AI173" s="22">
        <v>-1.38367E-2</v>
      </c>
      <c r="AJ173" s="22">
        <v>163</v>
      </c>
      <c r="AK173" s="22">
        <v>0.72012299999999996</v>
      </c>
      <c r="AL173">
        <f t="shared" si="30"/>
        <v>17.082345679012345</v>
      </c>
      <c r="AM173">
        <f t="shared" si="31"/>
        <v>12.313381824074074</v>
      </c>
      <c r="AP173" s="9"/>
      <c r="AQ173" s="22">
        <v>0.99929800000000002</v>
      </c>
      <c r="AR173" s="22">
        <v>25.715299999999999</v>
      </c>
      <c r="AS173" s="22">
        <v>-1.37482E-2</v>
      </c>
      <c r="AT173" s="22">
        <v>163</v>
      </c>
      <c r="AU173" s="22">
        <v>0.99853499999999995</v>
      </c>
      <c r="AV173">
        <f t="shared" si="32"/>
        <v>16.973086419753084</v>
      </c>
      <c r="AW173">
        <f t="shared" si="33"/>
        <v>16.961171313086417</v>
      </c>
      <c r="AX173" s="9"/>
      <c r="AY173" s="22">
        <v>0.72082500000000005</v>
      </c>
      <c r="AZ173" s="22">
        <v>29.5748</v>
      </c>
      <c r="BA173" s="22">
        <v>-1.38733E-2</v>
      </c>
      <c r="BB173" s="22">
        <v>163</v>
      </c>
      <c r="BC173" s="22">
        <v>0.72018400000000005</v>
      </c>
      <c r="BD173">
        <f t="shared" si="34"/>
        <v>17.127530864197528</v>
      </c>
      <c r="BE173">
        <f t="shared" si="35"/>
        <v>12.345952435185184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0.99426300000000001</v>
      </c>
      <c r="H174" s="22">
        <v>6.9759700000000002</v>
      </c>
      <c r="I174" s="22">
        <v>-1.3766499999999999E-2</v>
      </c>
      <c r="J174" s="22">
        <v>164</v>
      </c>
      <c r="K174" s="22">
        <v>0.99304199999999998</v>
      </c>
      <c r="L174">
        <f t="shared" si="24"/>
        <v>16.995679012345676</v>
      </c>
      <c r="M174">
        <f t="shared" si="25"/>
        <v>16.898174801851848</v>
      </c>
      <c r="N174" s="9"/>
      <c r="O174" s="22">
        <v>0.72586099999999998</v>
      </c>
      <c r="P174" s="22">
        <v>10.8354</v>
      </c>
      <c r="Q174" s="22">
        <v>-1.3815300000000001E-2</v>
      </c>
      <c r="R174" s="22">
        <v>164</v>
      </c>
      <c r="S174" s="22">
        <v>0.72509800000000002</v>
      </c>
      <c r="T174">
        <f t="shared" si="26"/>
        <v>17.055925925925926</v>
      </c>
      <c r="U174">
        <f t="shared" si="27"/>
        <v>12.380231448518519</v>
      </c>
      <c r="X174" s="9"/>
      <c r="Y174" s="22">
        <v>0.99426300000000001</v>
      </c>
      <c r="Z174" s="22">
        <v>16.420200000000001</v>
      </c>
      <c r="AA174" s="22">
        <v>-1.37024E-2</v>
      </c>
      <c r="AB174" s="22">
        <v>164</v>
      </c>
      <c r="AC174" s="22">
        <v>0.99304199999999998</v>
      </c>
      <c r="AD174">
        <f t="shared" si="28"/>
        <v>16.916543209876544</v>
      </c>
      <c r="AE174">
        <f t="shared" si="29"/>
        <v>16.819493001481483</v>
      </c>
      <c r="AF174" s="9"/>
      <c r="AG174" s="22">
        <v>0.72586099999999998</v>
      </c>
      <c r="AH174" s="22">
        <v>20.279699999999998</v>
      </c>
      <c r="AI174" s="22">
        <v>-1.38336E-2</v>
      </c>
      <c r="AJ174" s="22">
        <v>164</v>
      </c>
      <c r="AK174" s="22">
        <v>0.72524999999999995</v>
      </c>
      <c r="AL174">
        <f t="shared" si="30"/>
        <v>17.078518518518518</v>
      </c>
      <c r="AM174">
        <f t="shared" si="31"/>
        <v>12.39663053037037</v>
      </c>
      <c r="AP174" s="9"/>
      <c r="AQ174" s="22">
        <v>0.99426300000000001</v>
      </c>
      <c r="AR174" s="22">
        <v>25.7254</v>
      </c>
      <c r="AS174" s="22">
        <v>-1.3738999999999999E-2</v>
      </c>
      <c r="AT174" s="22">
        <v>164</v>
      </c>
      <c r="AU174" s="22">
        <v>0.99334699999999998</v>
      </c>
      <c r="AV174">
        <f t="shared" si="32"/>
        <v>16.961728395061726</v>
      </c>
      <c r="AW174">
        <f t="shared" si="33"/>
        <v>16.864418959259257</v>
      </c>
      <c r="AX174" s="9"/>
      <c r="AY174" s="22">
        <v>0.72586099999999998</v>
      </c>
      <c r="AZ174" s="22">
        <v>29.584900000000001</v>
      </c>
      <c r="BA174" s="22">
        <v>-1.38824E-2</v>
      </c>
      <c r="BB174" s="22">
        <v>164</v>
      </c>
      <c r="BC174" s="22">
        <v>0.72518899999999997</v>
      </c>
      <c r="BD174">
        <f t="shared" si="34"/>
        <v>17.138765432098765</v>
      </c>
      <c r="BE174">
        <f t="shared" si="35"/>
        <v>12.440361415308642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0.98922699999999997</v>
      </c>
      <c r="H175" s="22">
        <v>6.98604</v>
      </c>
      <c r="I175" s="22">
        <v>-1.3772599999999999E-2</v>
      </c>
      <c r="J175" s="22">
        <v>165</v>
      </c>
      <c r="K175" s="22">
        <v>0.98815900000000001</v>
      </c>
      <c r="L175">
        <f t="shared" si="24"/>
        <v>17.00320987654321</v>
      </c>
      <c r="M175">
        <f t="shared" si="25"/>
        <v>16.820034296543209</v>
      </c>
      <c r="N175" s="9"/>
      <c r="O175" s="22">
        <v>0.73089599999999999</v>
      </c>
      <c r="P175" s="22">
        <v>10.845499999999999</v>
      </c>
      <c r="Q175" s="22">
        <v>-1.3815300000000001E-2</v>
      </c>
      <c r="R175" s="22">
        <v>165</v>
      </c>
      <c r="S175" s="22">
        <v>0.73013300000000003</v>
      </c>
      <c r="T175">
        <f t="shared" si="26"/>
        <v>17.055925925925926</v>
      </c>
      <c r="U175">
        <f t="shared" si="27"/>
        <v>12.466108035555555</v>
      </c>
      <c r="X175" s="9"/>
      <c r="Y175" s="22">
        <v>0.98922699999999997</v>
      </c>
      <c r="Z175" s="22">
        <v>16.430299999999999</v>
      </c>
      <c r="AA175" s="22">
        <v>-1.3693200000000001E-2</v>
      </c>
      <c r="AB175" s="22">
        <v>165</v>
      </c>
      <c r="AC175" s="22">
        <v>0.98846400000000001</v>
      </c>
      <c r="AD175">
        <f t="shared" si="28"/>
        <v>16.905185185185186</v>
      </c>
      <c r="AE175">
        <f t="shared" si="29"/>
        <v>16.723065625185185</v>
      </c>
      <c r="AF175" s="9"/>
      <c r="AG175" s="22">
        <v>0.73089599999999999</v>
      </c>
      <c r="AH175" s="22">
        <v>20.2897</v>
      </c>
      <c r="AI175" s="22">
        <v>-1.38245E-2</v>
      </c>
      <c r="AJ175" s="22">
        <v>165</v>
      </c>
      <c r="AK175" s="22">
        <v>0.73016400000000004</v>
      </c>
      <c r="AL175">
        <f t="shared" si="30"/>
        <v>17.067283950617281</v>
      </c>
      <c r="AM175">
        <f t="shared" si="31"/>
        <v>12.474409570370367</v>
      </c>
      <c r="AP175" s="9"/>
      <c r="AQ175" s="22">
        <v>0.98922699999999997</v>
      </c>
      <c r="AR175" s="22">
        <v>25.735499999999998</v>
      </c>
      <c r="AS175" s="22">
        <v>-1.37421E-2</v>
      </c>
      <c r="AT175" s="22">
        <v>165</v>
      </c>
      <c r="AU175" s="22">
        <v>0.98785400000000001</v>
      </c>
      <c r="AV175">
        <f t="shared" si="32"/>
        <v>16.965555555555554</v>
      </c>
      <c r="AW175">
        <f t="shared" si="33"/>
        <v>16.782785625555555</v>
      </c>
      <c r="AX175" s="9"/>
      <c r="AY175" s="22">
        <v>0.73089599999999999</v>
      </c>
      <c r="AZ175" s="22">
        <v>29.594999999999999</v>
      </c>
      <c r="BA175" s="22">
        <v>-1.38824E-2</v>
      </c>
      <c r="BB175" s="22">
        <v>165</v>
      </c>
      <c r="BC175" s="22">
        <v>0.73028599999999999</v>
      </c>
      <c r="BD175">
        <f t="shared" si="34"/>
        <v>17.138765432098765</v>
      </c>
      <c r="BE175">
        <f t="shared" si="35"/>
        <v>12.526655099259258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0.98419199999999996</v>
      </c>
      <c r="H176" s="22">
        <v>6.9961200000000003</v>
      </c>
      <c r="I176" s="22">
        <v>-1.3775600000000001E-2</v>
      </c>
      <c r="J176" s="22">
        <v>166</v>
      </c>
      <c r="K176" s="22">
        <v>0.98358199999999996</v>
      </c>
      <c r="L176">
        <f t="shared" si="24"/>
        <v>17.006913580246916</v>
      </c>
      <c r="M176">
        <f t="shared" si="25"/>
        <v>16.738068290370371</v>
      </c>
      <c r="N176" s="9"/>
      <c r="O176" s="22">
        <v>0.735931</v>
      </c>
      <c r="P176" s="22">
        <v>10.855600000000001</v>
      </c>
      <c r="Q176" s="22">
        <v>-1.38245E-2</v>
      </c>
      <c r="R176" s="22">
        <v>166</v>
      </c>
      <c r="S176" s="22">
        <v>0.73526000000000002</v>
      </c>
      <c r="T176">
        <f t="shared" si="26"/>
        <v>17.067283950617281</v>
      </c>
      <c r="U176">
        <f t="shared" si="27"/>
        <v>12.560343345061726</v>
      </c>
      <c r="X176" s="9"/>
      <c r="Y176" s="22">
        <v>0.98419199999999996</v>
      </c>
      <c r="Z176" s="22">
        <v>16.440300000000001</v>
      </c>
      <c r="AA176" s="22">
        <v>-1.3693200000000001E-2</v>
      </c>
      <c r="AB176" s="22">
        <v>166</v>
      </c>
      <c r="AC176" s="22">
        <v>0.98236100000000004</v>
      </c>
      <c r="AD176">
        <f t="shared" si="28"/>
        <v>16.905185185185186</v>
      </c>
      <c r="AE176">
        <f t="shared" si="29"/>
        <v>16.637948017777777</v>
      </c>
      <c r="AF176" s="9"/>
      <c r="AG176" s="22">
        <v>0.735931</v>
      </c>
      <c r="AH176" s="22">
        <v>20.299800000000001</v>
      </c>
      <c r="AI176" s="22">
        <v>-1.3809200000000001E-2</v>
      </c>
      <c r="AJ176" s="22">
        <v>166</v>
      </c>
      <c r="AK176" s="22">
        <v>0.73522900000000002</v>
      </c>
      <c r="AL176">
        <f t="shared" si="30"/>
        <v>17.048395061728392</v>
      </c>
      <c r="AM176">
        <f t="shared" si="31"/>
        <v>12.546442426172838</v>
      </c>
      <c r="AP176" s="9"/>
      <c r="AQ176" s="22">
        <v>0.98419199999999996</v>
      </c>
      <c r="AR176" s="22">
        <v>25.7456</v>
      </c>
      <c r="AS176" s="22">
        <v>-1.37451E-2</v>
      </c>
      <c r="AT176" s="22">
        <v>166</v>
      </c>
      <c r="AU176" s="22">
        <v>0.98327600000000004</v>
      </c>
      <c r="AV176">
        <f t="shared" si="32"/>
        <v>16.969259259259257</v>
      </c>
      <c r="AW176">
        <f t="shared" si="33"/>
        <v>16.701009208888888</v>
      </c>
      <c r="AX176" s="9"/>
      <c r="AY176" s="22">
        <v>0.735931</v>
      </c>
      <c r="AZ176" s="22">
        <v>29.605</v>
      </c>
      <c r="BA176" s="22">
        <v>-1.38794E-2</v>
      </c>
      <c r="BB176" s="22">
        <v>166</v>
      </c>
      <c r="BC176" s="22">
        <v>0.73526000000000002</v>
      </c>
      <c r="BD176">
        <f t="shared" si="34"/>
        <v>17.135061728395058</v>
      </c>
      <c r="BE176">
        <f t="shared" si="35"/>
        <v>12.610223112839504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0.97915600000000003</v>
      </c>
      <c r="H177" s="22">
        <v>7.0061900000000001</v>
      </c>
      <c r="I177" s="22">
        <v>-1.37909E-2</v>
      </c>
      <c r="J177" s="22">
        <v>167</v>
      </c>
      <c r="K177" s="22">
        <v>0.97808799999999996</v>
      </c>
      <c r="L177">
        <f t="shared" si="24"/>
        <v>17.025802469135801</v>
      </c>
      <c r="M177">
        <f t="shared" si="25"/>
        <v>16.670916642469134</v>
      </c>
      <c r="N177" s="9"/>
      <c r="O177" s="22">
        <v>0.74096700000000004</v>
      </c>
      <c r="P177" s="22">
        <v>10.8657</v>
      </c>
      <c r="Q177" s="22">
        <v>-1.38275E-2</v>
      </c>
      <c r="R177" s="22">
        <v>167</v>
      </c>
      <c r="S177" s="22">
        <v>0.74029500000000004</v>
      </c>
      <c r="T177">
        <f t="shared" si="26"/>
        <v>17.070987654320987</v>
      </c>
      <c r="U177">
        <f t="shared" si="27"/>
        <v>12.64903850925926</v>
      </c>
      <c r="X177" s="9"/>
      <c r="Y177" s="22">
        <v>0.97915600000000003</v>
      </c>
      <c r="Z177" s="22">
        <v>16.450399999999998</v>
      </c>
      <c r="AA177" s="22">
        <v>-1.36902E-2</v>
      </c>
      <c r="AB177" s="22">
        <v>167</v>
      </c>
      <c r="AC177" s="22">
        <v>0.97808799999999996</v>
      </c>
      <c r="AD177">
        <f t="shared" si="28"/>
        <v>16.901481481481479</v>
      </c>
      <c r="AE177">
        <f t="shared" si="29"/>
        <v>16.549187001481478</v>
      </c>
      <c r="AF177" s="9"/>
      <c r="AG177" s="22">
        <v>0.74096700000000004</v>
      </c>
      <c r="AH177" s="22">
        <v>20.309899999999999</v>
      </c>
      <c r="AI177" s="22">
        <v>-1.3797E-2</v>
      </c>
      <c r="AJ177" s="22">
        <v>167</v>
      </c>
      <c r="AK177" s="22">
        <v>0.74032600000000004</v>
      </c>
      <c r="AL177">
        <f t="shared" si="30"/>
        <v>17.033333333333331</v>
      </c>
      <c r="AM177">
        <f t="shared" si="31"/>
        <v>12.621137899999999</v>
      </c>
      <c r="AP177" s="9"/>
      <c r="AQ177" s="22">
        <v>0.97915600000000003</v>
      </c>
      <c r="AR177" s="22">
        <v>25.755600000000001</v>
      </c>
      <c r="AS177" s="22">
        <v>-1.3754300000000001E-2</v>
      </c>
      <c r="AT177" s="22">
        <v>167</v>
      </c>
      <c r="AU177" s="22">
        <v>0.97839399999999999</v>
      </c>
      <c r="AV177">
        <f t="shared" si="32"/>
        <v>16.980617283950615</v>
      </c>
      <c r="AW177">
        <f t="shared" si="33"/>
        <v>16.626673297283947</v>
      </c>
      <c r="AX177" s="9"/>
      <c r="AY177" s="22">
        <v>0.74096700000000004</v>
      </c>
      <c r="AZ177" s="22">
        <v>29.615100000000002</v>
      </c>
      <c r="BA177" s="22">
        <v>-1.3870199999999999E-2</v>
      </c>
      <c r="BB177" s="22">
        <v>167</v>
      </c>
      <c r="BC177" s="22">
        <v>0.74032600000000004</v>
      </c>
      <c r="BD177">
        <f t="shared" si="34"/>
        <v>17.123703703703701</v>
      </c>
      <c r="BE177">
        <f t="shared" si="35"/>
        <v>12.688099362222221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0.97412100000000001</v>
      </c>
      <c r="H178" s="22">
        <v>7.0162599999999999</v>
      </c>
      <c r="I178" s="22">
        <v>-1.3797E-2</v>
      </c>
      <c r="J178" s="22">
        <v>168</v>
      </c>
      <c r="K178" s="22">
        <v>0.97351100000000002</v>
      </c>
      <c r="L178">
        <f t="shared" si="24"/>
        <v>17.033333333333331</v>
      </c>
      <c r="M178">
        <f t="shared" si="25"/>
        <v>16.592527699999998</v>
      </c>
      <c r="N178" s="9"/>
      <c r="O178" s="22">
        <v>0.74600200000000005</v>
      </c>
      <c r="P178" s="22">
        <v>10.8757</v>
      </c>
      <c r="Q178" s="22">
        <v>-1.38336E-2</v>
      </c>
      <c r="R178" s="22">
        <v>168</v>
      </c>
      <c r="S178" s="22">
        <v>0.74533099999999997</v>
      </c>
      <c r="T178">
        <f t="shared" si="26"/>
        <v>17.078518518518518</v>
      </c>
      <c r="U178">
        <f t="shared" si="27"/>
        <v>12.740608971851852</v>
      </c>
      <c r="X178" s="9"/>
      <c r="Y178" s="22">
        <v>0.97412100000000001</v>
      </c>
      <c r="Z178" s="22">
        <v>16.4605</v>
      </c>
      <c r="AA178" s="22">
        <v>-1.3693200000000001E-2</v>
      </c>
      <c r="AB178" s="22">
        <v>168</v>
      </c>
      <c r="AC178" s="22">
        <v>0.97320600000000002</v>
      </c>
      <c r="AD178">
        <f t="shared" si="28"/>
        <v>16.905185185185186</v>
      </c>
      <c r="AE178">
        <f t="shared" si="29"/>
        <v>16.46769589777778</v>
      </c>
      <c r="AF178" s="9"/>
      <c r="AG178" s="22">
        <v>0.74600200000000005</v>
      </c>
      <c r="AH178" s="22">
        <v>20.319900000000001</v>
      </c>
      <c r="AI178" s="22">
        <v>-1.3787799999999999E-2</v>
      </c>
      <c r="AJ178" s="22">
        <v>168</v>
      </c>
      <c r="AK178" s="22">
        <v>0.74533099999999997</v>
      </c>
      <c r="AL178">
        <f t="shared" si="30"/>
        <v>17.021975308641974</v>
      </c>
      <c r="AM178">
        <f t="shared" si="31"/>
        <v>12.69842762419753</v>
      </c>
      <c r="AP178" s="9"/>
      <c r="AQ178" s="22">
        <v>0.97412100000000001</v>
      </c>
      <c r="AR178" s="22">
        <v>25.765699999999999</v>
      </c>
      <c r="AS178" s="22">
        <v>-1.3760400000000001E-2</v>
      </c>
      <c r="AT178" s="22">
        <v>168</v>
      </c>
      <c r="AU178" s="22">
        <v>0.97289999999999999</v>
      </c>
      <c r="AV178">
        <f t="shared" si="32"/>
        <v>16.988148148148149</v>
      </c>
      <c r="AW178">
        <f t="shared" si="33"/>
        <v>16.548511862222224</v>
      </c>
      <c r="AX178" s="9"/>
      <c r="AY178" s="22">
        <v>0.74600200000000005</v>
      </c>
      <c r="AZ178" s="22">
        <v>29.6252</v>
      </c>
      <c r="BA178" s="22">
        <v>-1.3870199999999999E-2</v>
      </c>
      <c r="BB178" s="22">
        <v>168</v>
      </c>
      <c r="BC178" s="22">
        <v>0.74533099999999997</v>
      </c>
      <c r="BD178">
        <f t="shared" si="34"/>
        <v>17.123703703703701</v>
      </c>
      <c r="BE178">
        <f t="shared" si="35"/>
        <v>12.774317210370368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0.969086</v>
      </c>
      <c r="H179" s="22">
        <v>7.0263299999999997</v>
      </c>
      <c r="I179" s="22">
        <v>-1.3797E-2</v>
      </c>
      <c r="J179" s="22">
        <v>169</v>
      </c>
      <c r="K179" s="22">
        <v>0.96801800000000005</v>
      </c>
      <c r="L179">
        <f t="shared" si="24"/>
        <v>17.033333333333331</v>
      </c>
      <c r="M179">
        <f t="shared" si="25"/>
        <v>16.506764866666664</v>
      </c>
      <c r="N179" s="9"/>
      <c r="O179" s="22">
        <v>0.75103799999999998</v>
      </c>
      <c r="P179" s="22">
        <v>10.8858</v>
      </c>
      <c r="Q179" s="22">
        <v>-1.3842800000000001E-2</v>
      </c>
      <c r="R179" s="22">
        <v>169</v>
      </c>
      <c r="S179" s="22">
        <v>0.75039699999999998</v>
      </c>
      <c r="T179">
        <f t="shared" si="26"/>
        <v>17.089876543209876</v>
      </c>
      <c r="U179">
        <f t="shared" si="27"/>
        <v>12.835146699259258</v>
      </c>
      <c r="X179" s="9"/>
      <c r="Y179" s="22">
        <v>0.969086</v>
      </c>
      <c r="Z179" s="22">
        <v>16.470500000000001</v>
      </c>
      <c r="AA179" s="22">
        <v>-1.3699299999999999E-2</v>
      </c>
      <c r="AB179" s="22">
        <v>169</v>
      </c>
      <c r="AC179" s="22">
        <v>0.96832300000000004</v>
      </c>
      <c r="AD179">
        <f t="shared" si="28"/>
        <v>16.912716049382716</v>
      </c>
      <c r="AE179">
        <f t="shared" si="29"/>
        <v>16.3898763454321</v>
      </c>
      <c r="AF179" s="9"/>
      <c r="AG179" s="22">
        <v>0.75103799999999998</v>
      </c>
      <c r="AH179" s="22">
        <v>20.329999999999998</v>
      </c>
      <c r="AI179" s="22">
        <v>-1.37939E-2</v>
      </c>
      <c r="AJ179" s="22">
        <v>169</v>
      </c>
      <c r="AK179" s="22">
        <v>0.750305</v>
      </c>
      <c r="AL179">
        <f t="shared" si="30"/>
        <v>17.029506172839504</v>
      </c>
      <c r="AM179">
        <f t="shared" si="31"/>
        <v>12.789806257037036</v>
      </c>
      <c r="AP179" s="9"/>
      <c r="AQ179" s="22">
        <v>0.969086</v>
      </c>
      <c r="AR179" s="22">
        <v>25.7758</v>
      </c>
      <c r="AS179" s="22">
        <v>-1.37695E-2</v>
      </c>
      <c r="AT179" s="22">
        <v>169</v>
      </c>
      <c r="AU179" s="22">
        <v>0.96740700000000002</v>
      </c>
      <c r="AV179">
        <f t="shared" si="32"/>
        <v>16.999382716049382</v>
      </c>
      <c r="AW179">
        <f t="shared" si="33"/>
        <v>16.473863798765432</v>
      </c>
      <c r="AX179" s="9"/>
      <c r="AY179" s="22">
        <v>0.75103799999999998</v>
      </c>
      <c r="AZ179" s="22">
        <v>29.635200000000001</v>
      </c>
      <c r="BA179" s="22">
        <v>-1.3870199999999999E-2</v>
      </c>
      <c r="BB179" s="22">
        <v>169</v>
      </c>
      <c r="BC179" s="22">
        <v>0.75036599999999998</v>
      </c>
      <c r="BD179">
        <f t="shared" si="34"/>
        <v>17.123703703703701</v>
      </c>
      <c r="BE179">
        <f t="shared" si="35"/>
        <v>12.86055218222222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0.96404999999999996</v>
      </c>
      <c r="H180" s="22">
        <v>7.0364000000000004</v>
      </c>
      <c r="I180" s="22">
        <v>-1.3797E-2</v>
      </c>
      <c r="J180" s="22">
        <v>170</v>
      </c>
      <c r="K180" s="22">
        <v>0.96313499999999996</v>
      </c>
      <c r="L180">
        <f t="shared" si="24"/>
        <v>17.033333333333331</v>
      </c>
      <c r="M180">
        <f t="shared" si="25"/>
        <v>16.420984999999998</v>
      </c>
      <c r="N180" s="9"/>
      <c r="O180" s="22">
        <v>0.756073</v>
      </c>
      <c r="P180" s="22">
        <v>10.895899999999999</v>
      </c>
      <c r="Q180" s="22">
        <v>-1.38397E-2</v>
      </c>
      <c r="R180" s="22">
        <v>170</v>
      </c>
      <c r="S180" s="22">
        <v>0.75500500000000004</v>
      </c>
      <c r="T180">
        <f t="shared" si="26"/>
        <v>17.086049382716048</v>
      </c>
      <c r="U180">
        <f t="shared" si="27"/>
        <v>12.918300614938271</v>
      </c>
      <c r="X180" s="9"/>
      <c r="Y180" s="22">
        <v>0.96404999999999996</v>
      </c>
      <c r="Z180" s="22">
        <v>16.480599999999999</v>
      </c>
      <c r="AA180" s="22">
        <v>-1.37146E-2</v>
      </c>
      <c r="AB180" s="22">
        <v>170</v>
      </c>
      <c r="AC180" s="22">
        <v>0.96282999999999996</v>
      </c>
      <c r="AD180">
        <f t="shared" si="28"/>
        <v>16.931604938271605</v>
      </c>
      <c r="AE180">
        <f t="shared" si="29"/>
        <v>16.322913740740741</v>
      </c>
      <c r="AF180" s="9"/>
      <c r="AG180" s="22">
        <v>0.756073</v>
      </c>
      <c r="AH180" s="22">
        <v>20.3401</v>
      </c>
      <c r="AI180" s="22">
        <v>-1.38E-2</v>
      </c>
      <c r="AJ180" s="22">
        <v>170</v>
      </c>
      <c r="AK180" s="22">
        <v>0.75561500000000004</v>
      </c>
      <c r="AL180">
        <f t="shared" si="30"/>
        <v>17.037037037037035</v>
      </c>
      <c r="AM180">
        <f t="shared" si="31"/>
        <v>12.881243703703701</v>
      </c>
      <c r="AP180" s="9"/>
      <c r="AQ180" s="22">
        <v>0.96404999999999996</v>
      </c>
      <c r="AR180" s="22">
        <v>25.785799999999998</v>
      </c>
      <c r="AS180" s="22">
        <v>-1.3772599999999999E-2</v>
      </c>
      <c r="AT180" s="22">
        <v>170</v>
      </c>
      <c r="AU180" s="22">
        <v>0.96313499999999996</v>
      </c>
      <c r="AV180">
        <f t="shared" si="32"/>
        <v>17.00320987654321</v>
      </c>
      <c r="AW180">
        <f t="shared" si="33"/>
        <v>16.391944481481481</v>
      </c>
      <c r="AX180" s="9"/>
      <c r="AY180" s="22">
        <v>0.756073</v>
      </c>
      <c r="AZ180" s="22">
        <v>29.645299999999999</v>
      </c>
      <c r="BA180" s="22">
        <v>-1.38672E-2</v>
      </c>
      <c r="BB180" s="22">
        <v>170</v>
      </c>
      <c r="BC180" s="22">
        <v>0.75561500000000004</v>
      </c>
      <c r="BD180">
        <f t="shared" si="34"/>
        <v>17.12</v>
      </c>
      <c r="BE180">
        <f t="shared" si="35"/>
        <v>12.94396976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0.95901499999999995</v>
      </c>
      <c r="H181" s="22">
        <v>7.0464700000000002</v>
      </c>
      <c r="I181" s="22">
        <v>-1.37909E-2</v>
      </c>
      <c r="J181" s="22">
        <v>171</v>
      </c>
      <c r="K181" s="22">
        <v>0.95855699999999999</v>
      </c>
      <c r="L181">
        <f t="shared" si="24"/>
        <v>17.025802469135801</v>
      </c>
      <c r="M181">
        <f t="shared" si="25"/>
        <v>16.327999954938271</v>
      </c>
      <c r="N181" s="9"/>
      <c r="O181" s="22">
        <v>0.76110800000000001</v>
      </c>
      <c r="P181" s="22">
        <v>10.905900000000001</v>
      </c>
      <c r="Q181" s="22">
        <v>-1.38397E-2</v>
      </c>
      <c r="R181" s="22">
        <v>171</v>
      </c>
      <c r="S181" s="22">
        <v>0.76019300000000001</v>
      </c>
      <c r="T181">
        <f t="shared" si="26"/>
        <v>17.086049382716048</v>
      </c>
      <c r="U181">
        <f t="shared" si="27"/>
        <v>13.004328873580246</v>
      </c>
      <c r="X181" s="9"/>
      <c r="Y181" s="22">
        <v>0.95901499999999995</v>
      </c>
      <c r="Z181" s="22">
        <v>16.4907</v>
      </c>
      <c r="AA181" s="22">
        <v>-1.37299E-2</v>
      </c>
      <c r="AB181" s="22">
        <v>171</v>
      </c>
      <c r="AC181" s="22">
        <v>0.95855699999999999</v>
      </c>
      <c r="AD181">
        <f t="shared" si="28"/>
        <v>16.950493827160493</v>
      </c>
      <c r="AE181">
        <f t="shared" si="29"/>
        <v>16.255777837654318</v>
      </c>
      <c r="AF181" s="9"/>
      <c r="AG181" s="22">
        <v>0.76110800000000001</v>
      </c>
      <c r="AH181" s="22">
        <v>20.350100000000001</v>
      </c>
      <c r="AI181" s="22">
        <v>-1.38E-2</v>
      </c>
      <c r="AJ181" s="22">
        <v>171</v>
      </c>
      <c r="AK181" s="22">
        <v>0.75988800000000001</v>
      </c>
      <c r="AL181">
        <f t="shared" si="30"/>
        <v>17.037037037037035</v>
      </c>
      <c r="AM181">
        <f t="shared" si="31"/>
        <v>12.967025185185184</v>
      </c>
      <c r="AP181" s="9"/>
      <c r="AQ181" s="22">
        <v>0.95901499999999995</v>
      </c>
      <c r="AR181" s="22">
        <v>25.7959</v>
      </c>
      <c r="AS181" s="22">
        <v>-1.3781699999999999E-2</v>
      </c>
      <c r="AT181" s="22">
        <v>171</v>
      </c>
      <c r="AU181" s="22">
        <v>0.95764199999999999</v>
      </c>
      <c r="AV181">
        <f t="shared" si="32"/>
        <v>17.014444444444443</v>
      </c>
      <c r="AW181">
        <f t="shared" si="33"/>
        <v>16.317107438888886</v>
      </c>
      <c r="AX181" s="9"/>
      <c r="AY181" s="22">
        <v>0.76110800000000001</v>
      </c>
      <c r="AZ181" s="22">
        <v>29.6554</v>
      </c>
      <c r="BA181" s="22">
        <v>-1.38672E-2</v>
      </c>
      <c r="BB181" s="22">
        <v>171</v>
      </c>
      <c r="BC181" s="22">
        <v>0.76080300000000001</v>
      </c>
      <c r="BD181">
        <f t="shared" si="34"/>
        <v>17.12</v>
      </c>
      <c r="BE181">
        <f t="shared" si="35"/>
        <v>13.030168960000001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0.95397900000000002</v>
      </c>
      <c r="H182" s="22">
        <v>7.05654</v>
      </c>
      <c r="I182" s="22">
        <v>-1.38E-2</v>
      </c>
      <c r="J182" s="22">
        <v>172</v>
      </c>
      <c r="K182" s="22">
        <v>0.95275900000000002</v>
      </c>
      <c r="L182">
        <f t="shared" si="24"/>
        <v>17.037037037037035</v>
      </c>
      <c r="M182">
        <f t="shared" si="25"/>
        <v>16.252975555555555</v>
      </c>
      <c r="N182" s="9"/>
      <c r="O182" s="22">
        <v>0.76614400000000005</v>
      </c>
      <c r="P182" s="22">
        <v>10.916</v>
      </c>
      <c r="Q182" s="22">
        <v>-1.38397E-2</v>
      </c>
      <c r="R182" s="22">
        <v>172</v>
      </c>
      <c r="S182" s="22">
        <v>0.76507599999999998</v>
      </c>
      <c r="T182">
        <f t="shared" si="26"/>
        <v>17.086049382716048</v>
      </c>
      <c r="U182">
        <f t="shared" si="27"/>
        <v>13.090374218271604</v>
      </c>
      <c r="X182" s="9"/>
      <c r="Y182" s="22">
        <v>0.95397900000000002</v>
      </c>
      <c r="Z182" s="22">
        <v>16.500699999999998</v>
      </c>
      <c r="AA182" s="22">
        <v>-1.37451E-2</v>
      </c>
      <c r="AB182" s="22">
        <v>172</v>
      </c>
      <c r="AC182" s="22">
        <v>0.95275900000000002</v>
      </c>
      <c r="AD182">
        <f t="shared" si="28"/>
        <v>16.969259259259257</v>
      </c>
      <c r="AE182">
        <f t="shared" si="29"/>
        <v>16.188316978888889</v>
      </c>
      <c r="AF182" s="9"/>
      <c r="AG182" s="22">
        <v>0.76614400000000005</v>
      </c>
      <c r="AH182" s="22">
        <v>20.360199999999999</v>
      </c>
      <c r="AI182" s="22">
        <v>-1.38E-2</v>
      </c>
      <c r="AJ182" s="22">
        <v>172</v>
      </c>
      <c r="AK182" s="22">
        <v>0.76538099999999998</v>
      </c>
      <c r="AL182">
        <f t="shared" si="30"/>
        <v>17.037037037037035</v>
      </c>
      <c r="AM182">
        <f t="shared" si="31"/>
        <v>13.052823703703703</v>
      </c>
      <c r="AP182" s="9"/>
      <c r="AQ182" s="22">
        <v>0.95397900000000002</v>
      </c>
      <c r="AR182" s="22">
        <v>25.806000000000001</v>
      </c>
      <c r="AS182" s="22">
        <v>-1.3787799999999999E-2</v>
      </c>
      <c r="AT182" s="22">
        <v>172</v>
      </c>
      <c r="AU182" s="22">
        <v>0.95306400000000002</v>
      </c>
      <c r="AV182">
        <f t="shared" si="32"/>
        <v>17.021975308641974</v>
      </c>
      <c r="AW182">
        <f t="shared" si="33"/>
        <v>16.238606982962963</v>
      </c>
      <c r="AX182" s="9"/>
      <c r="AY182" s="22">
        <v>0.76614400000000005</v>
      </c>
      <c r="AZ182" s="22">
        <v>29.665500000000002</v>
      </c>
      <c r="BA182" s="22">
        <v>-1.3858000000000001E-2</v>
      </c>
      <c r="BB182" s="22">
        <v>172</v>
      </c>
      <c r="BC182" s="22">
        <v>0.76477099999999998</v>
      </c>
      <c r="BD182">
        <f t="shared" si="34"/>
        <v>17.10864197530864</v>
      </c>
      <c r="BE182">
        <f t="shared" si="35"/>
        <v>13.107683397530863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0.94894400000000001</v>
      </c>
      <c r="H183" s="22">
        <v>7.0666099999999998</v>
      </c>
      <c r="I183" s="22">
        <v>-1.3806199999999999E-2</v>
      </c>
      <c r="J183" s="22">
        <v>173</v>
      </c>
      <c r="K183" s="22">
        <v>0.94787600000000005</v>
      </c>
      <c r="L183">
        <f t="shared" si="24"/>
        <v>17.044691358024689</v>
      </c>
      <c r="M183">
        <f t="shared" si="25"/>
        <v>16.174457596049383</v>
      </c>
      <c r="N183" s="9"/>
      <c r="O183" s="22">
        <v>0.77117899999999995</v>
      </c>
      <c r="P183" s="22">
        <v>10.9261</v>
      </c>
      <c r="Q183" s="22">
        <v>-1.3842800000000001E-2</v>
      </c>
      <c r="R183" s="22">
        <v>173</v>
      </c>
      <c r="S183" s="22">
        <v>0.77056899999999995</v>
      </c>
      <c r="T183">
        <f t="shared" si="26"/>
        <v>17.089876543209876</v>
      </c>
      <c r="U183">
        <f t="shared" si="27"/>
        <v>13.179353902716048</v>
      </c>
      <c r="X183" s="9"/>
      <c r="Y183" s="22">
        <v>0.94894400000000001</v>
      </c>
      <c r="Z183" s="22">
        <v>16.5108</v>
      </c>
      <c r="AA183" s="22">
        <v>-1.37573E-2</v>
      </c>
      <c r="AB183" s="22">
        <v>173</v>
      </c>
      <c r="AC183" s="22">
        <v>0.94818100000000005</v>
      </c>
      <c r="AD183">
        <f t="shared" si="28"/>
        <v>16.984320987654321</v>
      </c>
      <c r="AE183">
        <f t="shared" si="29"/>
        <v>16.117169495308641</v>
      </c>
      <c r="AF183" s="9"/>
      <c r="AG183" s="22">
        <v>0.77117899999999995</v>
      </c>
      <c r="AH183" s="22">
        <v>20.3703</v>
      </c>
      <c r="AI183" s="22">
        <v>-1.3806199999999999E-2</v>
      </c>
      <c r="AJ183" s="22">
        <v>173</v>
      </c>
      <c r="AK183" s="22">
        <v>0.77026399999999995</v>
      </c>
      <c r="AL183">
        <f t="shared" si="30"/>
        <v>17.044691358024689</v>
      </c>
      <c r="AM183">
        <f t="shared" si="31"/>
        <v>13.144508036790121</v>
      </c>
      <c r="AP183" s="9"/>
      <c r="AQ183" s="22">
        <v>0.94894400000000001</v>
      </c>
      <c r="AR183" s="22">
        <v>25.815999999999999</v>
      </c>
      <c r="AS183" s="22">
        <v>-1.37909E-2</v>
      </c>
      <c r="AT183" s="22">
        <v>173</v>
      </c>
      <c r="AU183" s="22">
        <v>0.94787600000000005</v>
      </c>
      <c r="AV183">
        <f t="shared" si="32"/>
        <v>17.025802469135801</v>
      </c>
      <c r="AW183">
        <f t="shared" si="33"/>
        <v>16.156533098271602</v>
      </c>
      <c r="AX183" s="9"/>
      <c r="AY183" s="22">
        <v>0.77117899999999995</v>
      </c>
      <c r="AZ183" s="22">
        <v>29.6755</v>
      </c>
      <c r="BA183" s="22">
        <v>-1.38672E-2</v>
      </c>
      <c r="BB183" s="22">
        <v>173</v>
      </c>
      <c r="BC183" s="22">
        <v>0.77026399999999995</v>
      </c>
      <c r="BD183">
        <f t="shared" si="34"/>
        <v>17.12</v>
      </c>
      <c r="BE183">
        <f t="shared" si="35"/>
        <v>13.202584480000001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0.943909</v>
      </c>
      <c r="H184" s="22">
        <v>7.0766799999999996</v>
      </c>
      <c r="I184" s="22">
        <v>-1.38E-2</v>
      </c>
      <c r="J184" s="22">
        <v>174</v>
      </c>
      <c r="K184" s="22">
        <v>0.94238299999999997</v>
      </c>
      <c r="L184">
        <f t="shared" si="24"/>
        <v>17.037037037037035</v>
      </c>
      <c r="M184">
        <f t="shared" si="25"/>
        <v>16.081412592592589</v>
      </c>
      <c r="N184" s="9"/>
      <c r="O184" s="22">
        <v>0.77621499999999999</v>
      </c>
      <c r="P184" s="22">
        <v>10.936199999999999</v>
      </c>
      <c r="Q184" s="22">
        <v>-1.3848900000000001E-2</v>
      </c>
      <c r="R184" s="22">
        <v>174</v>
      </c>
      <c r="S184" s="22">
        <v>0.775146</v>
      </c>
      <c r="T184">
        <f t="shared" si="26"/>
        <v>17.09740740740741</v>
      </c>
      <c r="U184">
        <f t="shared" si="27"/>
        <v>13.271264090740742</v>
      </c>
      <c r="X184" s="9"/>
      <c r="Y184" s="22">
        <v>0.943909</v>
      </c>
      <c r="Z184" s="22">
        <v>16.520900000000001</v>
      </c>
      <c r="AA184" s="22">
        <v>-1.3760400000000001E-2</v>
      </c>
      <c r="AB184" s="22">
        <v>174</v>
      </c>
      <c r="AC184" s="22">
        <v>0.94329799999999997</v>
      </c>
      <c r="AD184">
        <f t="shared" si="28"/>
        <v>16.988148148148149</v>
      </c>
      <c r="AE184">
        <f t="shared" si="29"/>
        <v>16.035265930370372</v>
      </c>
      <c r="AF184" s="9"/>
      <c r="AG184" s="22">
        <v>0.77621499999999999</v>
      </c>
      <c r="AH184" s="22">
        <v>20.380400000000002</v>
      </c>
      <c r="AI184" s="22">
        <v>-1.38031E-2</v>
      </c>
      <c r="AJ184" s="22">
        <v>174</v>
      </c>
      <c r="AK184" s="22">
        <v>0.775146</v>
      </c>
      <c r="AL184">
        <f t="shared" si="30"/>
        <v>17.040864197530862</v>
      </c>
      <c r="AM184">
        <f t="shared" si="31"/>
        <v>13.227374403086419</v>
      </c>
      <c r="AP184" s="9"/>
      <c r="AQ184" s="22">
        <v>0.943909</v>
      </c>
      <c r="AR184" s="22">
        <v>25.8261</v>
      </c>
      <c r="AS184" s="22">
        <v>-1.37939E-2</v>
      </c>
      <c r="AT184" s="22">
        <v>174</v>
      </c>
      <c r="AU184" s="22">
        <v>0.94299299999999997</v>
      </c>
      <c r="AV184">
        <f t="shared" si="32"/>
        <v>17.029506172839504</v>
      </c>
      <c r="AW184">
        <f t="shared" si="33"/>
        <v>16.074304142098764</v>
      </c>
      <c r="AX184" s="9"/>
      <c r="AY184" s="22">
        <v>0.77621499999999999</v>
      </c>
      <c r="AZ184" s="22">
        <v>29.685600000000001</v>
      </c>
      <c r="BA184" s="22">
        <v>-1.38733E-2</v>
      </c>
      <c r="BB184" s="22">
        <v>174</v>
      </c>
      <c r="BC184" s="22">
        <v>0.77545200000000003</v>
      </c>
      <c r="BD184">
        <f t="shared" si="34"/>
        <v>17.127530864197528</v>
      </c>
      <c r="BE184">
        <f t="shared" si="35"/>
        <v>13.294646369753083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0.93887299999999996</v>
      </c>
      <c r="H185" s="22">
        <v>7.0867500000000003</v>
      </c>
      <c r="I185" s="22">
        <v>-1.3797E-2</v>
      </c>
      <c r="J185" s="22">
        <v>175</v>
      </c>
      <c r="K185" s="22">
        <v>0.9375</v>
      </c>
      <c r="L185">
        <f t="shared" si="24"/>
        <v>17.033333333333331</v>
      </c>
      <c r="M185">
        <f t="shared" si="25"/>
        <v>15.992136766666665</v>
      </c>
      <c r="N185" s="9"/>
      <c r="O185" s="22">
        <v>0.78125</v>
      </c>
      <c r="P185" s="22">
        <v>10.946199999999999</v>
      </c>
      <c r="Q185" s="22">
        <v>-1.3848900000000001E-2</v>
      </c>
      <c r="R185" s="22">
        <v>175</v>
      </c>
      <c r="S185" s="22">
        <v>0.78033399999999997</v>
      </c>
      <c r="T185">
        <f t="shared" si="26"/>
        <v>17.09740740740741</v>
      </c>
      <c r="U185">
        <f t="shared" si="27"/>
        <v>13.357349537037038</v>
      </c>
      <c r="X185" s="9"/>
      <c r="Y185" s="22">
        <v>0.93887299999999996</v>
      </c>
      <c r="Z185" s="22">
        <v>16.530999999999999</v>
      </c>
      <c r="AA185" s="22">
        <v>-1.3766499999999999E-2</v>
      </c>
      <c r="AB185" s="22">
        <v>175</v>
      </c>
      <c r="AC185" s="22">
        <v>0.937805</v>
      </c>
      <c r="AD185">
        <f t="shared" si="28"/>
        <v>16.995679012345676</v>
      </c>
      <c r="AE185">
        <f t="shared" si="29"/>
        <v>15.956784141358021</v>
      </c>
      <c r="AF185" s="9"/>
      <c r="AG185" s="22">
        <v>0.78125</v>
      </c>
      <c r="AH185" s="22">
        <v>20.3904</v>
      </c>
      <c r="AI185" s="22">
        <v>-1.3797E-2</v>
      </c>
      <c r="AJ185" s="22">
        <v>175</v>
      </c>
      <c r="AK185" s="22">
        <v>0.78064</v>
      </c>
      <c r="AL185">
        <f t="shared" si="30"/>
        <v>17.033333333333331</v>
      </c>
      <c r="AM185">
        <f t="shared" si="31"/>
        <v>13.307291666666664</v>
      </c>
      <c r="AP185" s="9"/>
      <c r="AQ185" s="22">
        <v>0.93887299999999996</v>
      </c>
      <c r="AR185" s="22">
        <v>25.836200000000002</v>
      </c>
      <c r="AS185" s="22">
        <v>-1.38031E-2</v>
      </c>
      <c r="AT185" s="22">
        <v>175</v>
      </c>
      <c r="AU185" s="22">
        <v>0.937805</v>
      </c>
      <c r="AV185">
        <f t="shared" si="32"/>
        <v>17.040864197530862</v>
      </c>
      <c r="AW185">
        <f t="shared" si="33"/>
        <v>15.999207291728393</v>
      </c>
      <c r="AX185" s="9"/>
      <c r="AY185" s="22">
        <v>0.78125</v>
      </c>
      <c r="AZ185" s="22">
        <v>29.695699999999999</v>
      </c>
      <c r="BA185" s="22">
        <v>-1.38733E-2</v>
      </c>
      <c r="BB185" s="22">
        <v>175</v>
      </c>
      <c r="BC185" s="22">
        <v>0.78033399999999997</v>
      </c>
      <c r="BD185">
        <f t="shared" si="34"/>
        <v>17.127530864197528</v>
      </c>
      <c r="BE185">
        <f t="shared" si="35"/>
        <v>13.380883487654319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0.93383799999999995</v>
      </c>
      <c r="H186" s="22">
        <v>7.0968299999999997</v>
      </c>
      <c r="I186" s="22">
        <v>-1.37909E-2</v>
      </c>
      <c r="J186" s="22">
        <v>176</v>
      </c>
      <c r="K186" s="22">
        <v>0.93292200000000003</v>
      </c>
      <c r="L186">
        <f t="shared" si="24"/>
        <v>17.025802469135801</v>
      </c>
      <c r="M186">
        <f t="shared" si="25"/>
        <v>15.899341326172838</v>
      </c>
      <c r="N186" s="9"/>
      <c r="O186" s="22">
        <v>0.78628500000000001</v>
      </c>
      <c r="P186" s="22">
        <v>10.956300000000001</v>
      </c>
      <c r="Q186" s="22">
        <v>-1.38306E-2</v>
      </c>
      <c r="R186" s="22">
        <v>176</v>
      </c>
      <c r="S186" s="22">
        <v>0.78552200000000005</v>
      </c>
      <c r="T186">
        <f t="shared" si="26"/>
        <v>17.074814814814815</v>
      </c>
      <c r="U186">
        <f t="shared" si="27"/>
        <v>13.425670766666666</v>
      </c>
      <c r="X186" s="9"/>
      <c r="Y186" s="22">
        <v>0.93383799999999995</v>
      </c>
      <c r="Z186" s="22">
        <v>16.541</v>
      </c>
      <c r="AA186" s="22">
        <v>-1.3781699999999999E-2</v>
      </c>
      <c r="AB186" s="22">
        <v>176</v>
      </c>
      <c r="AC186" s="22">
        <v>0.93261700000000003</v>
      </c>
      <c r="AD186">
        <f t="shared" si="28"/>
        <v>17.014444444444443</v>
      </c>
      <c r="AE186">
        <f t="shared" si="29"/>
        <v>15.888734771111109</v>
      </c>
      <c r="AF186" s="9"/>
      <c r="AG186" s="22">
        <v>0.78628500000000001</v>
      </c>
      <c r="AH186" s="22">
        <v>20.400500000000001</v>
      </c>
      <c r="AI186" s="22">
        <v>-1.3787799999999999E-2</v>
      </c>
      <c r="AJ186" s="22">
        <v>176</v>
      </c>
      <c r="AK186" s="22">
        <v>0.78552200000000005</v>
      </c>
      <c r="AL186">
        <f t="shared" si="30"/>
        <v>17.021975308641974</v>
      </c>
      <c r="AM186">
        <f t="shared" si="31"/>
        <v>13.384123855555554</v>
      </c>
      <c r="AP186" s="9"/>
      <c r="AQ186" s="22">
        <v>0.93383799999999995</v>
      </c>
      <c r="AR186" s="22">
        <v>25.846299999999999</v>
      </c>
      <c r="AS186" s="22">
        <v>-1.38031E-2</v>
      </c>
      <c r="AT186" s="22">
        <v>176</v>
      </c>
      <c r="AU186" s="22">
        <v>0.93322799999999995</v>
      </c>
      <c r="AV186">
        <f t="shared" si="32"/>
        <v>17.040864197530862</v>
      </c>
      <c r="AW186">
        <f t="shared" si="33"/>
        <v>15.913406540493824</v>
      </c>
      <c r="AX186" s="9"/>
      <c r="AY186" s="22">
        <v>0.78628500000000001</v>
      </c>
      <c r="AZ186" s="22">
        <v>29.7057</v>
      </c>
      <c r="BA186" s="22">
        <v>-1.3870199999999999E-2</v>
      </c>
      <c r="BB186" s="22">
        <v>176</v>
      </c>
      <c r="BC186" s="22">
        <v>0.78552200000000005</v>
      </c>
      <c r="BD186">
        <f t="shared" si="34"/>
        <v>17.123703703703701</v>
      </c>
      <c r="BE186">
        <f t="shared" si="35"/>
        <v>13.464111366666664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0.92880200000000002</v>
      </c>
      <c r="H187" s="22">
        <v>7.1069000000000004</v>
      </c>
      <c r="I187" s="22">
        <v>-1.3787799999999999E-2</v>
      </c>
      <c r="J187" s="22">
        <v>177</v>
      </c>
      <c r="K187" s="22">
        <v>0.92864999999999998</v>
      </c>
      <c r="L187">
        <f t="shared" si="24"/>
        <v>17.021975308641974</v>
      </c>
      <c r="M187">
        <f t="shared" si="25"/>
        <v>15.810044710617282</v>
      </c>
      <c r="N187" s="9"/>
      <c r="O187" s="22">
        <v>0.79132100000000005</v>
      </c>
      <c r="P187" s="22">
        <v>10.9664</v>
      </c>
      <c r="Q187" s="22">
        <v>-1.38123E-2</v>
      </c>
      <c r="R187" s="22">
        <v>177</v>
      </c>
      <c r="S187" s="22">
        <v>0.79040500000000002</v>
      </c>
      <c r="T187">
        <f t="shared" si="26"/>
        <v>17.052222222222223</v>
      </c>
      <c r="U187">
        <f t="shared" si="27"/>
        <v>13.493781541111113</v>
      </c>
      <c r="X187" s="9"/>
      <c r="Y187" s="22">
        <v>0.92880200000000002</v>
      </c>
      <c r="Z187" s="22">
        <v>16.551100000000002</v>
      </c>
      <c r="AA187" s="22">
        <v>-1.37939E-2</v>
      </c>
      <c r="AB187" s="22">
        <v>177</v>
      </c>
      <c r="AC187" s="22">
        <v>0.92803999999999998</v>
      </c>
      <c r="AD187">
        <f t="shared" si="28"/>
        <v>17.029506172839504</v>
      </c>
      <c r="AE187">
        <f t="shared" si="29"/>
        <v>15.817039392345677</v>
      </c>
      <c r="AF187" s="9"/>
      <c r="AG187" s="22">
        <v>0.79132100000000005</v>
      </c>
      <c r="AH187" s="22">
        <v>20.410599999999999</v>
      </c>
      <c r="AI187" s="22">
        <v>-1.3781699999999999E-2</v>
      </c>
      <c r="AJ187" s="22">
        <v>177</v>
      </c>
      <c r="AK187" s="22">
        <v>0.79010000000000002</v>
      </c>
      <c r="AL187">
        <f t="shared" si="30"/>
        <v>17.014444444444443</v>
      </c>
      <c r="AM187">
        <f t="shared" si="31"/>
        <v>13.463887192222222</v>
      </c>
      <c r="AP187" s="9"/>
      <c r="AQ187" s="22">
        <v>0.92880200000000002</v>
      </c>
      <c r="AR187" s="22">
        <v>25.856300000000001</v>
      </c>
      <c r="AS187" s="22">
        <v>-1.38031E-2</v>
      </c>
      <c r="AT187" s="22">
        <v>177</v>
      </c>
      <c r="AU187" s="22">
        <v>0.92773399999999995</v>
      </c>
      <c r="AV187">
        <f t="shared" si="32"/>
        <v>17.040864197530862</v>
      </c>
      <c r="AW187">
        <f t="shared" si="33"/>
        <v>15.82758874839506</v>
      </c>
      <c r="AX187" s="9"/>
      <c r="AY187" s="22">
        <v>0.79132100000000005</v>
      </c>
      <c r="AZ187" s="22">
        <v>29.715800000000002</v>
      </c>
      <c r="BA187" s="22">
        <v>-1.3858000000000001E-2</v>
      </c>
      <c r="BB187" s="22">
        <v>177</v>
      </c>
      <c r="BC187" s="22">
        <v>0.79040500000000002</v>
      </c>
      <c r="BD187">
        <f t="shared" si="34"/>
        <v>17.10864197530864</v>
      </c>
      <c r="BE187">
        <f t="shared" si="35"/>
        <v>13.538427676543209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0.923767</v>
      </c>
      <c r="H188" s="22">
        <v>7.1169700000000002</v>
      </c>
      <c r="I188" s="22">
        <v>-1.3787799999999999E-2</v>
      </c>
      <c r="J188" s="22">
        <v>178</v>
      </c>
      <c r="K188" s="22">
        <v>0.92285200000000001</v>
      </c>
      <c r="L188">
        <f t="shared" si="24"/>
        <v>17.021975308641974</v>
      </c>
      <c r="M188">
        <f t="shared" si="25"/>
        <v>15.72433906493827</v>
      </c>
      <c r="N188" s="9"/>
      <c r="O188" s="22">
        <v>0.79635599999999995</v>
      </c>
      <c r="P188" s="22">
        <v>10.9764</v>
      </c>
      <c r="Q188" s="22">
        <v>-1.3806199999999999E-2</v>
      </c>
      <c r="R188" s="22">
        <v>178</v>
      </c>
      <c r="S188" s="22">
        <v>0.794983</v>
      </c>
      <c r="T188">
        <f t="shared" si="26"/>
        <v>17.044691358024689</v>
      </c>
      <c r="U188">
        <f t="shared" si="27"/>
        <v>13.573642231111108</v>
      </c>
      <c r="X188" s="9"/>
      <c r="Y188" s="22">
        <v>0.923767</v>
      </c>
      <c r="Z188" s="22">
        <v>16.561199999999999</v>
      </c>
      <c r="AA188" s="22">
        <v>-1.3806199999999999E-2</v>
      </c>
      <c r="AB188" s="22">
        <v>178</v>
      </c>
      <c r="AC188" s="22">
        <v>0.92285200000000001</v>
      </c>
      <c r="AD188">
        <f t="shared" si="28"/>
        <v>17.044691358024689</v>
      </c>
      <c r="AE188">
        <f t="shared" si="29"/>
        <v>15.745323401728394</v>
      </c>
      <c r="AF188" s="9"/>
      <c r="AG188" s="22">
        <v>0.79635599999999995</v>
      </c>
      <c r="AH188" s="22">
        <v>20.4206</v>
      </c>
      <c r="AI188" s="22">
        <v>-1.37787E-2</v>
      </c>
      <c r="AJ188" s="22">
        <v>178</v>
      </c>
      <c r="AK188" s="22">
        <v>0.79620400000000002</v>
      </c>
      <c r="AL188">
        <f t="shared" si="30"/>
        <v>17.01074074074074</v>
      </c>
      <c r="AM188">
        <f t="shared" si="31"/>
        <v>13.546605453333331</v>
      </c>
      <c r="AP188" s="9"/>
      <c r="AQ188" s="22">
        <v>0.923767</v>
      </c>
      <c r="AR188" s="22">
        <v>25.866399999999999</v>
      </c>
      <c r="AS188" s="22">
        <v>-1.38E-2</v>
      </c>
      <c r="AT188" s="22">
        <v>178</v>
      </c>
      <c r="AU188" s="22">
        <v>0.92315700000000001</v>
      </c>
      <c r="AV188">
        <f t="shared" si="32"/>
        <v>17.037037037037035</v>
      </c>
      <c r="AW188">
        <f t="shared" si="33"/>
        <v>15.738252592592591</v>
      </c>
      <c r="AX188" s="9"/>
      <c r="AY188" s="22">
        <v>0.79635599999999995</v>
      </c>
      <c r="AZ188" s="22">
        <v>29.725899999999999</v>
      </c>
      <c r="BA188" s="22">
        <v>-1.3858000000000001E-2</v>
      </c>
      <c r="BB188" s="22">
        <v>178</v>
      </c>
      <c r="BC188" s="22">
        <v>0.79589799999999999</v>
      </c>
      <c r="BD188">
        <f t="shared" si="34"/>
        <v>17.10864197530864</v>
      </c>
      <c r="BE188">
        <f t="shared" si="35"/>
        <v>13.624569688888887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0.91873199999999999</v>
      </c>
      <c r="H189" s="22">
        <v>7.12704</v>
      </c>
      <c r="I189" s="22">
        <v>-1.37909E-2</v>
      </c>
      <c r="J189" s="22">
        <v>179</v>
      </c>
      <c r="K189" s="22">
        <v>0.91766400000000004</v>
      </c>
      <c r="L189">
        <f t="shared" si="24"/>
        <v>17.025802469135801</v>
      </c>
      <c r="M189">
        <f t="shared" si="25"/>
        <v>15.642149554074072</v>
      </c>
      <c r="N189" s="9"/>
      <c r="O189" s="22">
        <v>0.80139199999999999</v>
      </c>
      <c r="P189" s="22">
        <v>10.986499999999999</v>
      </c>
      <c r="Q189" s="22">
        <v>-1.3806199999999999E-2</v>
      </c>
      <c r="R189" s="22">
        <v>179</v>
      </c>
      <c r="S189" s="22">
        <v>0.80017099999999997</v>
      </c>
      <c r="T189">
        <f t="shared" si="26"/>
        <v>17.044691358024689</v>
      </c>
      <c r="U189">
        <f t="shared" si="27"/>
        <v>13.659479296790122</v>
      </c>
      <c r="X189" s="9"/>
      <c r="Y189" s="22">
        <v>0.91873199999999999</v>
      </c>
      <c r="Z189" s="22">
        <v>16.571200000000001</v>
      </c>
      <c r="AA189" s="22">
        <v>-1.38123E-2</v>
      </c>
      <c r="AB189" s="22">
        <v>179</v>
      </c>
      <c r="AC189" s="22">
        <v>0.91735800000000001</v>
      </c>
      <c r="AD189">
        <f t="shared" si="28"/>
        <v>17.052222222222223</v>
      </c>
      <c r="AE189">
        <f t="shared" si="29"/>
        <v>15.666422226666668</v>
      </c>
      <c r="AF189" s="9"/>
      <c r="AG189" s="22">
        <v>0.80139199999999999</v>
      </c>
      <c r="AH189" s="22">
        <v>20.430700000000002</v>
      </c>
      <c r="AI189" s="22">
        <v>-1.3772599999999999E-2</v>
      </c>
      <c r="AJ189" s="22">
        <v>179</v>
      </c>
      <c r="AK189" s="22">
        <v>0.80078099999999997</v>
      </c>
      <c r="AL189">
        <f t="shared" si="30"/>
        <v>17.00320987654321</v>
      </c>
      <c r="AM189">
        <f t="shared" si="31"/>
        <v>13.626236369382715</v>
      </c>
      <c r="AP189" s="9"/>
      <c r="AQ189" s="22">
        <v>0.91873199999999999</v>
      </c>
      <c r="AR189" s="22">
        <v>25.8765</v>
      </c>
      <c r="AS189" s="22">
        <v>-1.38E-2</v>
      </c>
      <c r="AT189" s="22">
        <v>179</v>
      </c>
      <c r="AU189" s="22">
        <v>0.91735800000000001</v>
      </c>
      <c r="AV189">
        <f t="shared" si="32"/>
        <v>17.037037037037035</v>
      </c>
      <c r="AW189">
        <f t="shared" si="33"/>
        <v>15.652471111111108</v>
      </c>
      <c r="AX189" s="9"/>
      <c r="AY189" s="22">
        <v>0.80139199999999999</v>
      </c>
      <c r="AZ189" s="22">
        <v>29.735900000000001</v>
      </c>
      <c r="BA189" s="22">
        <v>-1.3854999999999999E-2</v>
      </c>
      <c r="BB189" s="22">
        <v>179</v>
      </c>
      <c r="BC189" s="22">
        <v>0.80047599999999997</v>
      </c>
      <c r="BD189">
        <f t="shared" si="34"/>
        <v>17.104938271604937</v>
      </c>
      <c r="BE189">
        <f t="shared" si="35"/>
        <v>13.707760691358024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0.91369599999999995</v>
      </c>
      <c r="H190" s="22">
        <v>7.1371099999999998</v>
      </c>
      <c r="I190" s="22">
        <v>-1.37909E-2</v>
      </c>
      <c r="J190" s="22">
        <v>180</v>
      </c>
      <c r="K190" s="22">
        <v>0.91339099999999995</v>
      </c>
      <c r="L190">
        <f t="shared" si="24"/>
        <v>17.025802469135801</v>
      </c>
      <c r="M190">
        <f t="shared" si="25"/>
        <v>15.556407612839504</v>
      </c>
      <c r="N190" s="9"/>
      <c r="O190" s="22">
        <v>0.806427</v>
      </c>
      <c r="P190" s="22">
        <v>10.996600000000001</v>
      </c>
      <c r="Q190" s="22">
        <v>-1.3806199999999999E-2</v>
      </c>
      <c r="R190" s="22">
        <v>180</v>
      </c>
      <c r="S190" s="22">
        <v>0.80535900000000005</v>
      </c>
      <c r="T190">
        <f t="shared" si="26"/>
        <v>17.044691358024689</v>
      </c>
      <c r="U190">
        <f t="shared" si="27"/>
        <v>13.745299317777777</v>
      </c>
      <c r="X190" s="9"/>
      <c r="Y190" s="22">
        <v>0.91369599999999995</v>
      </c>
      <c r="Z190" s="22">
        <v>16.581299999999999</v>
      </c>
      <c r="AA190" s="22">
        <v>-1.38245E-2</v>
      </c>
      <c r="AB190" s="22">
        <v>180</v>
      </c>
      <c r="AC190" s="22">
        <v>0.91217000000000004</v>
      </c>
      <c r="AD190">
        <f t="shared" si="28"/>
        <v>17.067283950617281</v>
      </c>
      <c r="AE190">
        <f t="shared" si="29"/>
        <v>15.594309076543206</v>
      </c>
      <c r="AF190" s="9"/>
      <c r="AG190" s="22">
        <v>0.806427</v>
      </c>
      <c r="AH190" s="22">
        <v>20.440799999999999</v>
      </c>
      <c r="AI190" s="22">
        <v>-1.37787E-2</v>
      </c>
      <c r="AJ190" s="22">
        <v>180</v>
      </c>
      <c r="AK190" s="22">
        <v>0.80535900000000005</v>
      </c>
      <c r="AL190">
        <f t="shared" si="30"/>
        <v>17.01074074074074</v>
      </c>
      <c r="AM190">
        <f t="shared" si="31"/>
        <v>13.717920623333333</v>
      </c>
      <c r="AP190" s="9"/>
      <c r="AQ190" s="22">
        <v>0.91369599999999995</v>
      </c>
      <c r="AR190" s="22">
        <v>25.886500000000002</v>
      </c>
      <c r="AS190" s="22">
        <v>-1.38031E-2</v>
      </c>
      <c r="AT190" s="22">
        <v>180</v>
      </c>
      <c r="AU190" s="22">
        <v>0.91278099999999995</v>
      </c>
      <c r="AV190">
        <f t="shared" si="32"/>
        <v>17.040864197530862</v>
      </c>
      <c r="AW190">
        <f t="shared" si="33"/>
        <v>15.570169453827157</v>
      </c>
      <c r="AX190" s="9"/>
      <c r="AY190" s="22">
        <v>0.806427</v>
      </c>
      <c r="AZ190" s="22">
        <v>29.745999999999999</v>
      </c>
      <c r="BA190" s="22">
        <v>-1.3854999999999999E-2</v>
      </c>
      <c r="BB190" s="22">
        <v>180</v>
      </c>
      <c r="BC190" s="22">
        <v>0.80474900000000005</v>
      </c>
      <c r="BD190">
        <f t="shared" si="34"/>
        <v>17.104938271604937</v>
      </c>
      <c r="BE190">
        <f t="shared" si="35"/>
        <v>13.793884055555555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0.90866100000000005</v>
      </c>
      <c r="H191" s="22">
        <v>7.1471799999999996</v>
      </c>
      <c r="I191" s="22">
        <v>-1.3787799999999999E-2</v>
      </c>
      <c r="J191" s="22">
        <v>181</v>
      </c>
      <c r="K191" s="22">
        <v>0.90759299999999998</v>
      </c>
      <c r="L191">
        <f t="shared" si="24"/>
        <v>17.021975308641974</v>
      </c>
      <c r="M191">
        <f t="shared" si="25"/>
        <v>15.467205105925926</v>
      </c>
      <c r="N191" s="9"/>
      <c r="O191" s="22">
        <v>0.81146200000000002</v>
      </c>
      <c r="P191" s="22">
        <v>11.0067</v>
      </c>
      <c r="Q191" s="22">
        <v>-1.38031E-2</v>
      </c>
      <c r="R191" s="22">
        <v>181</v>
      </c>
      <c r="S191" s="22">
        <v>0.81024200000000002</v>
      </c>
      <c r="T191">
        <f t="shared" si="26"/>
        <v>17.040864197530862</v>
      </c>
      <c r="U191">
        <f t="shared" si="27"/>
        <v>13.828013743456788</v>
      </c>
      <c r="X191" s="9"/>
      <c r="Y191" s="22">
        <v>0.90866100000000005</v>
      </c>
      <c r="Z191" s="22">
        <v>16.5914</v>
      </c>
      <c r="AA191" s="22">
        <v>-1.38367E-2</v>
      </c>
      <c r="AB191" s="22">
        <v>181</v>
      </c>
      <c r="AC191" s="22">
        <v>0.90789799999999998</v>
      </c>
      <c r="AD191">
        <f t="shared" si="28"/>
        <v>17.082345679012345</v>
      </c>
      <c r="AE191">
        <f t="shared" si="29"/>
        <v>15.522061307037037</v>
      </c>
      <c r="AF191" s="9"/>
      <c r="AG191" s="22">
        <v>0.81146200000000002</v>
      </c>
      <c r="AH191" s="22">
        <v>20.450900000000001</v>
      </c>
      <c r="AI191" s="22">
        <v>-1.3787799999999999E-2</v>
      </c>
      <c r="AJ191" s="22">
        <v>181</v>
      </c>
      <c r="AK191" s="22">
        <v>0.81024200000000002</v>
      </c>
      <c r="AL191">
        <f t="shared" si="30"/>
        <v>17.021975308641974</v>
      </c>
      <c r="AM191">
        <f t="shared" si="31"/>
        <v>13.812686127901234</v>
      </c>
      <c r="AP191" s="9"/>
      <c r="AQ191" s="22">
        <v>0.90866100000000005</v>
      </c>
      <c r="AR191" s="22">
        <v>25.896599999999999</v>
      </c>
      <c r="AS191" s="22">
        <v>-1.3809200000000001E-2</v>
      </c>
      <c r="AT191" s="22">
        <v>181</v>
      </c>
      <c r="AU191" s="22">
        <v>0.90759299999999998</v>
      </c>
      <c r="AV191">
        <f t="shared" si="32"/>
        <v>17.048395061728392</v>
      </c>
      <c r="AW191">
        <f t="shared" si="33"/>
        <v>15.491211705185183</v>
      </c>
      <c r="AX191" s="9"/>
      <c r="AY191" s="22">
        <v>0.81146200000000002</v>
      </c>
      <c r="AZ191" s="22">
        <v>29.7561</v>
      </c>
      <c r="BA191" s="22">
        <v>-1.3854999999999999E-2</v>
      </c>
      <c r="BB191" s="22">
        <v>181</v>
      </c>
      <c r="BC191" s="22">
        <v>0.81024200000000002</v>
      </c>
      <c r="BD191">
        <f t="shared" si="34"/>
        <v>17.104938271604937</v>
      </c>
      <c r="BE191">
        <f t="shared" si="35"/>
        <v>13.880007419753085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0.90362500000000001</v>
      </c>
      <c r="H192" s="22">
        <v>7.1572500000000003</v>
      </c>
      <c r="I192" s="22">
        <v>-1.37939E-2</v>
      </c>
      <c r="J192" s="22">
        <v>182</v>
      </c>
      <c r="K192" s="22">
        <v>0.90271000000000001</v>
      </c>
      <c r="L192">
        <f t="shared" si="24"/>
        <v>17.029506172839504</v>
      </c>
      <c r="M192">
        <f t="shared" si="25"/>
        <v>15.388287515432097</v>
      </c>
      <c r="N192" s="9"/>
      <c r="O192" s="22">
        <v>0.81649799999999995</v>
      </c>
      <c r="P192" s="22">
        <v>11.0167</v>
      </c>
      <c r="Q192" s="22">
        <v>-1.38031E-2</v>
      </c>
      <c r="R192" s="22">
        <v>182</v>
      </c>
      <c r="S192" s="22">
        <v>0.81603999999999999</v>
      </c>
      <c r="T192">
        <f t="shared" si="26"/>
        <v>17.040864197530862</v>
      </c>
      <c r="U192">
        <f t="shared" si="27"/>
        <v>13.913831535555552</v>
      </c>
      <c r="X192" s="9"/>
      <c r="Y192" s="22">
        <v>0.90362500000000001</v>
      </c>
      <c r="Z192" s="22">
        <v>16.601500000000001</v>
      </c>
      <c r="AA192" s="22">
        <v>-1.3848900000000001E-2</v>
      </c>
      <c r="AB192" s="22">
        <v>182</v>
      </c>
      <c r="AC192" s="22">
        <v>0.90332000000000001</v>
      </c>
      <c r="AD192">
        <f t="shared" si="28"/>
        <v>17.09740740740741</v>
      </c>
      <c r="AE192">
        <f t="shared" si="29"/>
        <v>15.449644768518521</v>
      </c>
      <c r="AF192" s="9"/>
      <c r="AG192" s="22">
        <v>0.81649799999999995</v>
      </c>
      <c r="AH192" s="22">
        <v>20.460899999999999</v>
      </c>
      <c r="AI192" s="22">
        <v>-1.37939E-2</v>
      </c>
      <c r="AJ192" s="22">
        <v>182</v>
      </c>
      <c r="AK192" s="22">
        <v>0.81603999999999999</v>
      </c>
      <c r="AL192">
        <f t="shared" si="30"/>
        <v>17.029506172839504</v>
      </c>
      <c r="AM192">
        <f t="shared" si="31"/>
        <v>13.904557731111108</v>
      </c>
      <c r="AP192" s="9"/>
      <c r="AQ192" s="22">
        <v>0.90362500000000001</v>
      </c>
      <c r="AR192" s="22">
        <v>25.906700000000001</v>
      </c>
      <c r="AS192" s="22">
        <v>-1.38245E-2</v>
      </c>
      <c r="AT192" s="22">
        <v>182</v>
      </c>
      <c r="AU192" s="22">
        <v>0.90271000000000001</v>
      </c>
      <c r="AV192">
        <f t="shared" si="32"/>
        <v>17.067283950617281</v>
      </c>
      <c r="AW192">
        <f t="shared" si="33"/>
        <v>15.42242445987654</v>
      </c>
      <c r="AX192" s="9"/>
      <c r="AY192" s="22">
        <v>0.81649799999999995</v>
      </c>
      <c r="AZ192" s="22">
        <v>29.766200000000001</v>
      </c>
      <c r="BA192" s="22">
        <v>-1.3854999999999999E-2</v>
      </c>
      <c r="BB192" s="22">
        <v>182</v>
      </c>
      <c r="BC192" s="22">
        <v>0.81573499999999999</v>
      </c>
      <c r="BD192">
        <f t="shared" si="34"/>
        <v>17.104938271604937</v>
      </c>
      <c r="BE192">
        <f t="shared" si="35"/>
        <v>13.966147888888887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0.89859</v>
      </c>
      <c r="H193" s="22">
        <v>7.1673200000000001</v>
      </c>
      <c r="I193" s="22">
        <v>-1.3797E-2</v>
      </c>
      <c r="J193" s="22">
        <v>183</v>
      </c>
      <c r="K193" s="22">
        <v>0.89752200000000004</v>
      </c>
      <c r="L193">
        <f t="shared" si="24"/>
        <v>17.033333333333331</v>
      </c>
      <c r="M193">
        <f t="shared" si="25"/>
        <v>15.305982999999998</v>
      </c>
      <c r="N193" s="9"/>
      <c r="O193" s="22">
        <v>0.82153299999999996</v>
      </c>
      <c r="P193" s="22">
        <v>11.0268</v>
      </c>
      <c r="Q193" s="22">
        <v>-1.38031E-2</v>
      </c>
      <c r="R193" s="22">
        <v>183</v>
      </c>
      <c r="S193" s="22">
        <v>0.82031299999999996</v>
      </c>
      <c r="T193">
        <f t="shared" si="26"/>
        <v>17.040864197530862</v>
      </c>
      <c r="U193">
        <f t="shared" si="27"/>
        <v>13.999632286790121</v>
      </c>
      <c r="X193" s="9"/>
      <c r="Y193" s="22">
        <v>0.89859</v>
      </c>
      <c r="Z193" s="22">
        <v>16.611499999999999</v>
      </c>
      <c r="AA193" s="22">
        <v>-1.3854999999999999E-2</v>
      </c>
      <c r="AB193" s="22">
        <v>183</v>
      </c>
      <c r="AC193" s="22">
        <v>0.89752200000000004</v>
      </c>
      <c r="AD193">
        <f t="shared" si="28"/>
        <v>17.104938271604937</v>
      </c>
      <c r="AE193">
        <f t="shared" si="29"/>
        <v>15.370326481481479</v>
      </c>
      <c r="AF193" s="9"/>
      <c r="AG193" s="22">
        <v>0.82153299999999996</v>
      </c>
      <c r="AH193" s="22">
        <v>20.471</v>
      </c>
      <c r="AI193" s="22">
        <v>-1.38E-2</v>
      </c>
      <c r="AJ193" s="22">
        <v>183</v>
      </c>
      <c r="AK193" s="22">
        <v>0.82061799999999996</v>
      </c>
      <c r="AL193">
        <f t="shared" si="30"/>
        <v>17.037037037037035</v>
      </c>
      <c r="AM193">
        <f t="shared" si="31"/>
        <v>13.996488148148146</v>
      </c>
      <c r="AP193" s="9"/>
      <c r="AQ193" s="22">
        <v>0.89859</v>
      </c>
      <c r="AR193" s="22">
        <v>25.916799999999999</v>
      </c>
      <c r="AS193" s="22">
        <v>-1.38336E-2</v>
      </c>
      <c r="AT193" s="22">
        <v>183</v>
      </c>
      <c r="AU193" s="22">
        <v>0.89721700000000004</v>
      </c>
      <c r="AV193">
        <f t="shared" si="32"/>
        <v>17.078518518518518</v>
      </c>
      <c r="AW193">
        <f t="shared" si="33"/>
        <v>15.346585955555556</v>
      </c>
      <c r="AX193" s="9"/>
      <c r="AY193" s="22">
        <v>0.82153299999999996</v>
      </c>
      <c r="AZ193" s="22">
        <v>29.776199999999999</v>
      </c>
      <c r="BA193" s="22">
        <v>-1.3858000000000001E-2</v>
      </c>
      <c r="BB193" s="22">
        <v>183</v>
      </c>
      <c r="BC193" s="22">
        <v>0.82092299999999996</v>
      </c>
      <c r="BD193">
        <f t="shared" si="34"/>
        <v>17.10864197530864</v>
      </c>
      <c r="BE193">
        <f t="shared" si="35"/>
        <v>14.055313967901231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0.89355499999999999</v>
      </c>
      <c r="H194" s="22">
        <v>7.1773899999999999</v>
      </c>
      <c r="I194" s="22">
        <v>-1.38031E-2</v>
      </c>
      <c r="J194" s="22">
        <v>184</v>
      </c>
      <c r="K194" s="22">
        <v>0.89233399999999996</v>
      </c>
      <c r="L194">
        <f t="shared" si="24"/>
        <v>17.040864197530862</v>
      </c>
      <c r="M194">
        <f t="shared" si="25"/>
        <v>15.226949408024689</v>
      </c>
      <c r="N194" s="9"/>
      <c r="O194" s="22">
        <v>0.826569</v>
      </c>
      <c r="P194" s="22">
        <v>11.036899999999999</v>
      </c>
      <c r="Q194" s="22">
        <v>-1.38123E-2</v>
      </c>
      <c r="R194" s="22">
        <v>184</v>
      </c>
      <c r="S194" s="22">
        <v>0.82580600000000004</v>
      </c>
      <c r="T194">
        <f t="shared" si="26"/>
        <v>17.052222222222223</v>
      </c>
      <c r="U194">
        <f t="shared" si="27"/>
        <v>14.09483827</v>
      </c>
      <c r="X194" s="9"/>
      <c r="Y194" s="22">
        <v>0.89355499999999999</v>
      </c>
      <c r="Z194" s="22">
        <v>16.621600000000001</v>
      </c>
      <c r="AA194" s="22">
        <v>-1.3858000000000001E-2</v>
      </c>
      <c r="AB194" s="22">
        <v>184</v>
      </c>
      <c r="AC194" s="22">
        <v>0.89294399999999996</v>
      </c>
      <c r="AD194">
        <f t="shared" si="28"/>
        <v>17.10864197530864</v>
      </c>
      <c r="AE194">
        <f t="shared" si="29"/>
        <v>15.287512580246911</v>
      </c>
      <c r="AF194" s="9"/>
      <c r="AG194" s="22">
        <v>0.826569</v>
      </c>
      <c r="AH194" s="22">
        <v>20.481100000000001</v>
      </c>
      <c r="AI194" s="22">
        <v>-1.38031E-2</v>
      </c>
      <c r="AJ194" s="22">
        <v>184</v>
      </c>
      <c r="AK194" s="22">
        <v>0.82580600000000004</v>
      </c>
      <c r="AL194">
        <f t="shared" si="30"/>
        <v>17.040864197530862</v>
      </c>
      <c r="AM194">
        <f t="shared" si="31"/>
        <v>14.085450078888886</v>
      </c>
      <c r="AP194" s="9"/>
      <c r="AQ194" s="22">
        <v>0.89355499999999999</v>
      </c>
      <c r="AR194" s="22">
        <v>25.9268</v>
      </c>
      <c r="AS194" s="22">
        <v>-1.38367E-2</v>
      </c>
      <c r="AT194" s="22">
        <v>184</v>
      </c>
      <c r="AU194" s="22">
        <v>0.89233399999999996</v>
      </c>
      <c r="AV194">
        <f t="shared" si="32"/>
        <v>17.082345679012345</v>
      </c>
      <c r="AW194">
        <f t="shared" si="33"/>
        <v>15.264015393209876</v>
      </c>
      <c r="AX194" s="9"/>
      <c r="AY194" s="22">
        <v>0.826569</v>
      </c>
      <c r="AZ194" s="22">
        <v>29.786300000000001</v>
      </c>
      <c r="BA194" s="22">
        <v>-1.3854999999999999E-2</v>
      </c>
      <c r="BB194" s="22">
        <v>184</v>
      </c>
      <c r="BC194" s="22">
        <v>0.82611100000000004</v>
      </c>
      <c r="BD194">
        <f t="shared" si="34"/>
        <v>17.104938271604937</v>
      </c>
      <c r="BE194">
        <f t="shared" si="35"/>
        <v>14.138411722222221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0.88851899999999995</v>
      </c>
      <c r="H195" s="22">
        <v>7.1874599999999997</v>
      </c>
      <c r="I195" s="22">
        <v>-1.3815300000000001E-2</v>
      </c>
      <c r="J195" s="22">
        <v>185</v>
      </c>
      <c r="K195" s="22">
        <v>0.88806200000000002</v>
      </c>
      <c r="L195">
        <f t="shared" si="24"/>
        <v>17.055925925925926</v>
      </c>
      <c r="M195">
        <f t="shared" si="25"/>
        <v>15.154514247777778</v>
      </c>
      <c r="N195" s="9"/>
      <c r="O195" s="22">
        <v>0.83160400000000001</v>
      </c>
      <c r="P195" s="22">
        <v>11.046900000000001</v>
      </c>
      <c r="Q195" s="22">
        <v>-1.38275E-2</v>
      </c>
      <c r="R195" s="22">
        <v>185</v>
      </c>
      <c r="S195" s="22">
        <v>0.83038299999999998</v>
      </c>
      <c r="T195">
        <f t="shared" si="26"/>
        <v>17.070987654320987</v>
      </c>
      <c r="U195">
        <f t="shared" si="27"/>
        <v>14.19630161728395</v>
      </c>
      <c r="X195" s="9"/>
      <c r="Y195" s="22">
        <v>0.88851899999999995</v>
      </c>
      <c r="Z195" s="22">
        <v>16.631699999999999</v>
      </c>
      <c r="AA195" s="22">
        <v>-1.3864100000000001E-2</v>
      </c>
      <c r="AB195" s="22">
        <v>185</v>
      </c>
      <c r="AC195" s="22">
        <v>0.88714599999999999</v>
      </c>
      <c r="AD195">
        <f t="shared" si="28"/>
        <v>17.11617283950617</v>
      </c>
      <c r="AE195">
        <f t="shared" si="29"/>
        <v>15.208044775185181</v>
      </c>
      <c r="AF195" s="9"/>
      <c r="AG195" s="22">
        <v>0.83160400000000001</v>
      </c>
      <c r="AH195" s="22">
        <v>20.491099999999999</v>
      </c>
      <c r="AI195" s="22">
        <v>-1.38031E-2</v>
      </c>
      <c r="AJ195" s="22">
        <v>185</v>
      </c>
      <c r="AK195" s="22">
        <v>0.83068799999999998</v>
      </c>
      <c r="AL195">
        <f t="shared" si="30"/>
        <v>17.040864197530862</v>
      </c>
      <c r="AM195">
        <f t="shared" si="31"/>
        <v>14.171250830123455</v>
      </c>
      <c r="AP195" s="9"/>
      <c r="AQ195" s="22">
        <v>0.88851899999999995</v>
      </c>
      <c r="AR195" s="22">
        <v>25.936900000000001</v>
      </c>
      <c r="AS195" s="22">
        <v>-1.3848900000000001E-2</v>
      </c>
      <c r="AT195" s="22">
        <v>185</v>
      </c>
      <c r="AU195" s="22">
        <v>0.88775599999999999</v>
      </c>
      <c r="AV195">
        <f t="shared" si="32"/>
        <v>17.09740740740741</v>
      </c>
      <c r="AW195">
        <f t="shared" si="33"/>
        <v>15.191371332222223</v>
      </c>
      <c r="AX195" s="9"/>
      <c r="AY195" s="22">
        <v>0.83160400000000001</v>
      </c>
      <c r="AZ195" s="22">
        <v>29.796399999999998</v>
      </c>
      <c r="BA195" s="22">
        <v>-1.3848900000000001E-2</v>
      </c>
      <c r="BB195" s="22">
        <v>185</v>
      </c>
      <c r="BC195" s="22">
        <v>0.83099400000000001</v>
      </c>
      <c r="BD195">
        <f t="shared" si="34"/>
        <v>17.09740740740741</v>
      </c>
      <c r="BE195">
        <f t="shared" si="35"/>
        <v>14.218272389629632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0.88348400000000005</v>
      </c>
      <c r="H196" s="22">
        <v>7.19754</v>
      </c>
      <c r="I196" s="22">
        <v>-1.3815300000000001E-2</v>
      </c>
      <c r="J196" s="22">
        <v>186</v>
      </c>
      <c r="K196" s="22">
        <v>0.88226300000000002</v>
      </c>
      <c r="L196">
        <f t="shared" si="24"/>
        <v>17.055925925925926</v>
      </c>
      <c r="M196">
        <f t="shared" si="25"/>
        <v>15.068637660740741</v>
      </c>
      <c r="N196" s="9"/>
      <c r="O196" s="22">
        <v>0.83663900000000002</v>
      </c>
      <c r="P196" s="22">
        <v>11.057</v>
      </c>
      <c r="Q196" s="22">
        <v>-1.38275E-2</v>
      </c>
      <c r="R196" s="22">
        <v>186</v>
      </c>
      <c r="S196" s="22">
        <v>0.83557099999999995</v>
      </c>
      <c r="T196">
        <f t="shared" si="26"/>
        <v>17.070987654320987</v>
      </c>
      <c r="U196">
        <f t="shared" si="27"/>
        <v>14.282254040123457</v>
      </c>
      <c r="X196" s="9"/>
      <c r="Y196" s="22">
        <v>0.88348400000000005</v>
      </c>
      <c r="Z196" s="22">
        <v>16.6417</v>
      </c>
      <c r="AA196" s="22">
        <v>-1.3864100000000001E-2</v>
      </c>
      <c r="AB196" s="22">
        <v>186</v>
      </c>
      <c r="AC196" s="22">
        <v>0.88287400000000005</v>
      </c>
      <c r="AD196">
        <f t="shared" si="28"/>
        <v>17.11617283950617</v>
      </c>
      <c r="AE196">
        <f t="shared" si="29"/>
        <v>15.121864844938269</v>
      </c>
      <c r="AF196" s="9"/>
      <c r="AG196" s="22">
        <v>0.83663900000000002</v>
      </c>
      <c r="AH196" s="22">
        <v>20.501200000000001</v>
      </c>
      <c r="AI196" s="22">
        <v>-1.3809200000000001E-2</v>
      </c>
      <c r="AJ196" s="22">
        <v>186</v>
      </c>
      <c r="AK196" s="22">
        <v>0.83587599999999995</v>
      </c>
      <c r="AL196">
        <f t="shared" si="30"/>
        <v>17.048395061728392</v>
      </c>
      <c r="AM196">
        <f t="shared" si="31"/>
        <v>14.263352196049381</v>
      </c>
      <c r="AP196" s="9"/>
      <c r="AQ196" s="22">
        <v>0.88348400000000005</v>
      </c>
      <c r="AR196" s="22">
        <v>25.946999999999999</v>
      </c>
      <c r="AS196" s="22">
        <v>-1.38519E-2</v>
      </c>
      <c r="AT196" s="22">
        <v>186</v>
      </c>
      <c r="AU196" s="22">
        <v>0.88226300000000002</v>
      </c>
      <c r="AV196">
        <f t="shared" si="32"/>
        <v>17.101111111111113</v>
      </c>
      <c r="AW196">
        <f t="shared" si="33"/>
        <v>15.108558048888892</v>
      </c>
      <c r="AX196" s="9"/>
      <c r="AY196" s="22">
        <v>0.83663900000000002</v>
      </c>
      <c r="AZ196" s="22">
        <v>29.8064</v>
      </c>
      <c r="BA196" s="22">
        <v>-1.38519E-2</v>
      </c>
      <c r="BB196" s="22">
        <v>186</v>
      </c>
      <c r="BC196" s="22">
        <v>0.83587599999999995</v>
      </c>
      <c r="BD196">
        <f t="shared" si="34"/>
        <v>17.101111111111113</v>
      </c>
      <c r="BE196">
        <f t="shared" si="35"/>
        <v>14.307456498888891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0.87844800000000001</v>
      </c>
      <c r="H197" s="22">
        <v>7.2076099999999999</v>
      </c>
      <c r="I197" s="22">
        <v>-1.3821399999999999E-2</v>
      </c>
      <c r="J197" s="22">
        <v>187</v>
      </c>
      <c r="K197" s="22">
        <v>0.87707500000000005</v>
      </c>
      <c r="L197">
        <f t="shared" si="24"/>
        <v>17.063456790123453</v>
      </c>
      <c r="M197">
        <f t="shared" si="25"/>
        <v>14.989359490370367</v>
      </c>
      <c r="N197" s="9"/>
      <c r="O197" s="22">
        <v>0.84167499999999995</v>
      </c>
      <c r="P197" s="22">
        <v>11.0671</v>
      </c>
      <c r="Q197" s="22">
        <v>-1.38336E-2</v>
      </c>
      <c r="R197" s="22">
        <v>187</v>
      </c>
      <c r="S197" s="22">
        <v>0.84106400000000003</v>
      </c>
      <c r="T197">
        <f t="shared" si="26"/>
        <v>17.078518518518518</v>
      </c>
      <c r="U197">
        <f t="shared" si="27"/>
        <v>14.374562074074072</v>
      </c>
      <c r="X197" s="9"/>
      <c r="Y197" s="22">
        <v>0.87844800000000001</v>
      </c>
      <c r="Z197" s="22">
        <v>16.651800000000001</v>
      </c>
      <c r="AA197" s="22">
        <v>-1.38672E-2</v>
      </c>
      <c r="AB197" s="22">
        <v>187</v>
      </c>
      <c r="AC197" s="22">
        <v>0.87799099999999997</v>
      </c>
      <c r="AD197">
        <f t="shared" si="28"/>
        <v>17.12</v>
      </c>
      <c r="AE197">
        <f t="shared" si="29"/>
        <v>15.039029760000002</v>
      </c>
      <c r="AF197" s="9"/>
      <c r="AG197" s="22">
        <v>0.84167499999999995</v>
      </c>
      <c r="AH197" s="22">
        <v>20.511299999999999</v>
      </c>
      <c r="AI197" s="22">
        <v>-1.38031E-2</v>
      </c>
      <c r="AJ197" s="22">
        <v>187</v>
      </c>
      <c r="AK197" s="22">
        <v>0.84075900000000003</v>
      </c>
      <c r="AL197">
        <f t="shared" si="30"/>
        <v>17.040864197530862</v>
      </c>
      <c r="AM197">
        <f t="shared" si="31"/>
        <v>14.342869373456788</v>
      </c>
      <c r="AP197" s="9"/>
      <c r="AQ197" s="22">
        <v>0.87844800000000001</v>
      </c>
      <c r="AR197" s="22">
        <v>25.957000000000001</v>
      </c>
      <c r="AS197" s="22">
        <v>-1.3858000000000001E-2</v>
      </c>
      <c r="AT197" s="22">
        <v>187</v>
      </c>
      <c r="AU197" s="22">
        <v>0.87738000000000005</v>
      </c>
      <c r="AV197">
        <f t="shared" si="32"/>
        <v>17.10864197530864</v>
      </c>
      <c r="AW197">
        <f t="shared" si="33"/>
        <v>15.029052325925925</v>
      </c>
      <c r="AX197" s="9"/>
      <c r="AY197" s="22">
        <v>0.84167499999999995</v>
      </c>
      <c r="AZ197" s="22">
        <v>29.816500000000001</v>
      </c>
      <c r="BA197" s="22">
        <v>-1.38458E-2</v>
      </c>
      <c r="BB197" s="22">
        <v>187</v>
      </c>
      <c r="BC197" s="22">
        <v>0.84106400000000003</v>
      </c>
      <c r="BD197">
        <f t="shared" si="34"/>
        <v>17.093580246913579</v>
      </c>
      <c r="BE197">
        <f t="shared" si="35"/>
        <v>14.387239154320985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0.87341299999999999</v>
      </c>
      <c r="H198" s="22">
        <v>7.2176799999999997</v>
      </c>
      <c r="I198" s="22">
        <v>-1.38336E-2</v>
      </c>
      <c r="J198" s="22">
        <v>188</v>
      </c>
      <c r="K198" s="22">
        <v>0.872498</v>
      </c>
      <c r="L198">
        <f t="shared" si="24"/>
        <v>17.078518518518518</v>
      </c>
      <c r="M198">
        <f t="shared" si="25"/>
        <v>14.916600094814815</v>
      </c>
      <c r="N198" s="9"/>
      <c r="O198" s="22">
        <v>0.84670999999999996</v>
      </c>
      <c r="P198" s="22">
        <v>11.077199999999999</v>
      </c>
      <c r="Q198" s="22">
        <v>-1.38336E-2</v>
      </c>
      <c r="R198" s="22">
        <v>188</v>
      </c>
      <c r="S198" s="22">
        <v>0.846252</v>
      </c>
      <c r="T198">
        <f t="shared" si="26"/>
        <v>17.078518518518518</v>
      </c>
      <c r="U198">
        <f t="shared" si="27"/>
        <v>14.460552414814813</v>
      </c>
      <c r="X198" s="9"/>
      <c r="Y198" s="22">
        <v>0.87341299999999999</v>
      </c>
      <c r="Z198" s="22">
        <v>16.661899999999999</v>
      </c>
      <c r="AA198" s="22">
        <v>-1.3876299999999999E-2</v>
      </c>
      <c r="AB198" s="22">
        <v>188</v>
      </c>
      <c r="AC198" s="22">
        <v>0.872803</v>
      </c>
      <c r="AD198">
        <f t="shared" si="28"/>
        <v>17.131234567901231</v>
      </c>
      <c r="AE198">
        <f t="shared" si="29"/>
        <v>14.962642977654317</v>
      </c>
      <c r="AF198" s="9"/>
      <c r="AG198" s="22">
        <v>0.84670999999999996</v>
      </c>
      <c r="AH198" s="22">
        <v>20.5214</v>
      </c>
      <c r="AI198" s="22">
        <v>-1.3806199999999999E-2</v>
      </c>
      <c r="AJ198" s="22">
        <v>188</v>
      </c>
      <c r="AK198" s="22">
        <v>0.845642</v>
      </c>
      <c r="AL198">
        <f t="shared" si="30"/>
        <v>17.044691358024689</v>
      </c>
      <c r="AM198">
        <f t="shared" si="31"/>
        <v>14.431910619753085</v>
      </c>
      <c r="AP198" s="9"/>
      <c r="AQ198" s="22">
        <v>0.87341299999999999</v>
      </c>
      <c r="AR198" s="22">
        <v>25.967099999999999</v>
      </c>
      <c r="AS198" s="22">
        <v>-1.38733E-2</v>
      </c>
      <c r="AT198" s="22">
        <v>188</v>
      </c>
      <c r="AU198" s="22">
        <v>0.872803</v>
      </c>
      <c r="AV198">
        <f t="shared" si="32"/>
        <v>17.127530864197528</v>
      </c>
      <c r="AW198">
        <f t="shared" si="33"/>
        <v>14.959408114691355</v>
      </c>
      <c r="AX198" s="9"/>
      <c r="AY198" s="22">
        <v>0.84670999999999996</v>
      </c>
      <c r="AZ198" s="22">
        <v>29.826599999999999</v>
      </c>
      <c r="BA198" s="22">
        <v>-1.38397E-2</v>
      </c>
      <c r="BB198" s="22">
        <v>188</v>
      </c>
      <c r="BC198" s="22">
        <v>0.846252</v>
      </c>
      <c r="BD198">
        <f t="shared" si="34"/>
        <v>17.086049382716048</v>
      </c>
      <c r="BE198">
        <f t="shared" si="35"/>
        <v>14.466928872839505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0.86837799999999998</v>
      </c>
      <c r="H199" s="22">
        <v>7.2277500000000003</v>
      </c>
      <c r="I199" s="22">
        <v>-1.38397E-2</v>
      </c>
      <c r="J199" s="22">
        <v>189</v>
      </c>
      <c r="K199" s="22">
        <v>0.86761500000000003</v>
      </c>
      <c r="L199">
        <f t="shared" si="24"/>
        <v>17.086049382716048</v>
      </c>
      <c r="M199">
        <f t="shared" si="25"/>
        <v>14.837149390864196</v>
      </c>
      <c r="N199" s="9"/>
      <c r="O199" s="22">
        <v>0.851746</v>
      </c>
      <c r="P199" s="22">
        <v>11.087199999999999</v>
      </c>
      <c r="Q199" s="22">
        <v>-1.38336E-2</v>
      </c>
      <c r="R199" s="22">
        <v>189</v>
      </c>
      <c r="S199" s="22">
        <v>0.85082999999999998</v>
      </c>
      <c r="T199">
        <f t="shared" si="26"/>
        <v>17.078518518518518</v>
      </c>
      <c r="U199">
        <f t="shared" si="27"/>
        <v>14.546559834074074</v>
      </c>
      <c r="X199" s="9"/>
      <c r="Y199" s="22">
        <v>0.86837799999999998</v>
      </c>
      <c r="Z199" s="22">
        <v>16.672000000000001</v>
      </c>
      <c r="AA199" s="22">
        <v>-1.3876299999999999E-2</v>
      </c>
      <c r="AB199" s="22">
        <v>189</v>
      </c>
      <c r="AC199" s="22">
        <v>0.86731000000000003</v>
      </c>
      <c r="AD199">
        <f t="shared" si="28"/>
        <v>17.131234567901231</v>
      </c>
      <c r="AE199">
        <f t="shared" si="29"/>
        <v>14.876387211604936</v>
      </c>
      <c r="AF199" s="9"/>
      <c r="AG199" s="22">
        <v>0.851746</v>
      </c>
      <c r="AH199" s="22">
        <v>20.531400000000001</v>
      </c>
      <c r="AI199" s="22">
        <v>-1.3806199999999999E-2</v>
      </c>
      <c r="AJ199" s="22">
        <v>189</v>
      </c>
      <c r="AK199" s="22">
        <v>0.85082999999999998</v>
      </c>
      <c r="AL199">
        <f t="shared" si="30"/>
        <v>17.044691358024689</v>
      </c>
      <c r="AM199">
        <f t="shared" si="31"/>
        <v>14.517747685432097</v>
      </c>
      <c r="AP199" s="9"/>
      <c r="AQ199" s="22">
        <v>0.86837799999999998</v>
      </c>
      <c r="AR199" s="22">
        <v>25.9772</v>
      </c>
      <c r="AS199" s="22">
        <v>-1.38794E-2</v>
      </c>
      <c r="AT199" s="22">
        <v>189</v>
      </c>
      <c r="AU199" s="22">
        <v>0.86731000000000003</v>
      </c>
      <c r="AV199">
        <f t="shared" si="32"/>
        <v>17.135061728395058</v>
      </c>
      <c r="AW199">
        <f t="shared" si="33"/>
        <v>14.879710633580244</v>
      </c>
      <c r="AX199" s="9"/>
      <c r="AY199" s="22">
        <v>0.851746</v>
      </c>
      <c r="AZ199" s="22">
        <v>29.8367</v>
      </c>
      <c r="BA199" s="22">
        <v>-1.38367E-2</v>
      </c>
      <c r="BB199" s="22">
        <v>189</v>
      </c>
      <c r="BC199" s="22">
        <v>0.85021999999999998</v>
      </c>
      <c r="BD199">
        <f t="shared" si="34"/>
        <v>17.082345679012345</v>
      </c>
      <c r="BE199">
        <f t="shared" si="35"/>
        <v>14.549819602716049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0.86334200000000005</v>
      </c>
      <c r="H200" s="22">
        <v>7.2378200000000001</v>
      </c>
      <c r="I200" s="22">
        <v>-1.38519E-2</v>
      </c>
      <c r="J200" s="22">
        <v>190</v>
      </c>
      <c r="K200" s="22">
        <v>0.86242700000000005</v>
      </c>
      <c r="L200">
        <f t="shared" si="24"/>
        <v>17.101111111111113</v>
      </c>
      <c r="M200">
        <f t="shared" si="25"/>
        <v>14.764107468888891</v>
      </c>
      <c r="N200" s="9"/>
      <c r="O200" s="22">
        <v>0.85678100000000001</v>
      </c>
      <c r="P200" s="22">
        <v>11.097300000000001</v>
      </c>
      <c r="Q200" s="22">
        <v>-1.38306E-2</v>
      </c>
      <c r="R200" s="22">
        <v>190</v>
      </c>
      <c r="S200" s="22">
        <v>0.85571299999999995</v>
      </c>
      <c r="T200">
        <f t="shared" si="26"/>
        <v>17.074814814814815</v>
      </c>
      <c r="U200">
        <f t="shared" si="27"/>
        <v>14.629376911851852</v>
      </c>
      <c r="X200" s="9"/>
      <c r="Y200" s="22">
        <v>0.86334200000000005</v>
      </c>
      <c r="Z200" s="22">
        <v>16.681999999999999</v>
      </c>
      <c r="AA200" s="22">
        <v>-1.3876299999999999E-2</v>
      </c>
      <c r="AB200" s="22">
        <v>190</v>
      </c>
      <c r="AC200" s="22">
        <v>0.86212200000000005</v>
      </c>
      <c r="AD200">
        <f t="shared" si="28"/>
        <v>17.131234567901231</v>
      </c>
      <c r="AE200">
        <f t="shared" si="29"/>
        <v>14.790114314320986</v>
      </c>
      <c r="AF200" s="9"/>
      <c r="AG200" s="22">
        <v>0.85678100000000001</v>
      </c>
      <c r="AH200" s="22">
        <v>20.541499999999999</v>
      </c>
      <c r="AI200" s="22">
        <v>-1.3797E-2</v>
      </c>
      <c r="AJ200" s="22">
        <v>190</v>
      </c>
      <c r="AK200" s="22">
        <v>0.85662799999999995</v>
      </c>
      <c r="AL200">
        <f t="shared" si="30"/>
        <v>17.033333333333331</v>
      </c>
      <c r="AM200">
        <f t="shared" si="31"/>
        <v>14.593836366666665</v>
      </c>
      <c r="AP200" s="9"/>
      <c r="AQ200" s="22">
        <v>0.86334200000000005</v>
      </c>
      <c r="AR200" s="22">
        <v>25.987300000000001</v>
      </c>
      <c r="AS200" s="22">
        <v>-1.3876299999999999E-2</v>
      </c>
      <c r="AT200" s="22">
        <v>190</v>
      </c>
      <c r="AU200" s="22">
        <v>0.86181600000000003</v>
      </c>
      <c r="AV200">
        <f t="shared" si="32"/>
        <v>17.131234567901231</v>
      </c>
      <c r="AW200">
        <f t="shared" si="33"/>
        <v>14.790114314320986</v>
      </c>
      <c r="AX200" s="9"/>
      <c r="AY200" s="22">
        <v>0.85678100000000001</v>
      </c>
      <c r="AZ200" s="22">
        <v>29.846699999999998</v>
      </c>
      <c r="BA200" s="22">
        <v>-1.38367E-2</v>
      </c>
      <c r="BB200" s="22">
        <v>190</v>
      </c>
      <c r="BC200" s="22">
        <v>0.85601799999999995</v>
      </c>
      <c r="BD200">
        <f t="shared" si="34"/>
        <v>17.082345679012345</v>
      </c>
      <c r="BE200">
        <f t="shared" si="35"/>
        <v>14.635829213209876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0.85830700000000004</v>
      </c>
      <c r="H201" s="22">
        <v>7.2478899999999999</v>
      </c>
      <c r="I201" s="22">
        <v>-1.3854999999999999E-2</v>
      </c>
      <c r="J201" s="22">
        <v>191</v>
      </c>
      <c r="K201" s="22">
        <v>0.85754399999999997</v>
      </c>
      <c r="L201">
        <f t="shared" si="24"/>
        <v>17.104938271604937</v>
      </c>
      <c r="M201">
        <f t="shared" si="25"/>
        <v>14.68128825308642</v>
      </c>
      <c r="N201" s="9"/>
      <c r="O201" s="22">
        <v>0.86181600000000003</v>
      </c>
      <c r="P201" s="22">
        <v>11.1074</v>
      </c>
      <c r="Q201" s="22">
        <v>-1.3821399999999999E-2</v>
      </c>
      <c r="R201" s="22">
        <v>191</v>
      </c>
      <c r="S201" s="22">
        <v>0.86090100000000003</v>
      </c>
      <c r="T201">
        <f t="shared" si="26"/>
        <v>17.063456790123453</v>
      </c>
      <c r="U201">
        <f t="shared" si="27"/>
        <v>14.705560077037035</v>
      </c>
      <c r="X201" s="9"/>
      <c r="Y201" s="22">
        <v>0.85830700000000004</v>
      </c>
      <c r="Z201" s="22">
        <v>16.6921</v>
      </c>
      <c r="AA201" s="22">
        <v>-1.3870199999999999E-2</v>
      </c>
      <c r="AB201" s="22">
        <v>191</v>
      </c>
      <c r="AC201" s="22">
        <v>0.85723899999999997</v>
      </c>
      <c r="AD201">
        <f t="shared" si="28"/>
        <v>17.123703703703701</v>
      </c>
      <c r="AE201">
        <f t="shared" si="29"/>
        <v>14.697394754814813</v>
      </c>
      <c r="AF201" s="9"/>
      <c r="AG201" s="22">
        <v>0.86181600000000003</v>
      </c>
      <c r="AH201" s="22">
        <v>20.551600000000001</v>
      </c>
      <c r="AI201" s="22">
        <v>-1.3787799999999999E-2</v>
      </c>
      <c r="AJ201" s="22">
        <v>191</v>
      </c>
      <c r="AK201" s="22">
        <v>0.86090100000000003</v>
      </c>
      <c r="AL201">
        <f t="shared" si="30"/>
        <v>17.021975308641974</v>
      </c>
      <c r="AM201">
        <f t="shared" si="31"/>
        <v>14.669810672592591</v>
      </c>
      <c r="AP201" s="9"/>
      <c r="AQ201" s="22">
        <v>0.85830700000000004</v>
      </c>
      <c r="AR201" s="22">
        <v>25.997299999999999</v>
      </c>
      <c r="AS201" s="22">
        <v>-1.38733E-2</v>
      </c>
      <c r="AT201" s="22">
        <v>191</v>
      </c>
      <c r="AU201" s="22">
        <v>0.85693399999999997</v>
      </c>
      <c r="AV201">
        <f t="shared" si="32"/>
        <v>17.127530864197528</v>
      </c>
      <c r="AW201">
        <f t="shared" si="33"/>
        <v>14.700679633456788</v>
      </c>
      <c r="AX201" s="9"/>
      <c r="AY201" s="22">
        <v>0.86181600000000003</v>
      </c>
      <c r="AZ201" s="22">
        <v>29.8568</v>
      </c>
      <c r="BA201" s="22">
        <v>-1.38306E-2</v>
      </c>
      <c r="BB201" s="22">
        <v>191</v>
      </c>
      <c r="BC201" s="22">
        <v>0.86120600000000003</v>
      </c>
      <c r="BD201">
        <f t="shared" si="34"/>
        <v>17.074814814814815</v>
      </c>
      <c r="BE201">
        <f t="shared" si="35"/>
        <v>14.715348604444445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0.853271</v>
      </c>
      <c r="H202" s="22">
        <v>7.2579599999999997</v>
      </c>
      <c r="I202" s="22">
        <v>-1.3861099999999999E-2</v>
      </c>
      <c r="J202" s="22">
        <v>192</v>
      </c>
      <c r="K202" s="22">
        <v>0.852966</v>
      </c>
      <c r="L202">
        <f t="shared" si="24"/>
        <v>17.112469135802467</v>
      </c>
      <c r="M202">
        <f t="shared" si="25"/>
        <v>14.601573651975308</v>
      </c>
      <c r="N202" s="9"/>
      <c r="O202" s="22">
        <v>0.86685199999999996</v>
      </c>
      <c r="P202" s="22">
        <v>11.1174</v>
      </c>
      <c r="Q202" s="22">
        <v>-1.38245E-2</v>
      </c>
      <c r="R202" s="22">
        <v>192</v>
      </c>
      <c r="S202" s="22">
        <v>0.865784</v>
      </c>
      <c r="T202">
        <f t="shared" si="26"/>
        <v>17.067283950617281</v>
      </c>
      <c r="U202">
        <f t="shared" si="27"/>
        <v>14.79480922716049</v>
      </c>
      <c r="X202" s="9"/>
      <c r="Y202" s="22">
        <v>0.853271</v>
      </c>
      <c r="Z202" s="22">
        <v>16.702200000000001</v>
      </c>
      <c r="AA202" s="22">
        <v>-1.38672E-2</v>
      </c>
      <c r="AB202" s="22">
        <v>192</v>
      </c>
      <c r="AC202" s="22">
        <v>0.852051</v>
      </c>
      <c r="AD202">
        <f t="shared" si="28"/>
        <v>17.12</v>
      </c>
      <c r="AE202">
        <f t="shared" si="29"/>
        <v>14.607999520000002</v>
      </c>
      <c r="AF202" s="9"/>
      <c r="AG202" s="22">
        <v>0.86685199999999996</v>
      </c>
      <c r="AH202" s="22">
        <v>20.561599999999999</v>
      </c>
      <c r="AI202" s="22">
        <v>-1.37787E-2</v>
      </c>
      <c r="AJ202" s="22">
        <v>192</v>
      </c>
      <c r="AK202" s="22">
        <v>0.865479</v>
      </c>
      <c r="AL202">
        <f t="shared" si="30"/>
        <v>17.01074074074074</v>
      </c>
      <c r="AM202">
        <f t="shared" si="31"/>
        <v>14.745794632592592</v>
      </c>
      <c r="AP202" s="9"/>
      <c r="AQ202" s="22">
        <v>0.853271</v>
      </c>
      <c r="AR202" s="22">
        <v>26.007400000000001</v>
      </c>
      <c r="AS202" s="22">
        <v>-1.3876299999999999E-2</v>
      </c>
      <c r="AT202" s="22">
        <v>192</v>
      </c>
      <c r="AU202" s="22">
        <v>0.852356</v>
      </c>
      <c r="AV202">
        <f t="shared" si="32"/>
        <v>17.131234567901231</v>
      </c>
      <c r="AW202">
        <f t="shared" si="33"/>
        <v>14.617585650987651</v>
      </c>
      <c r="AX202" s="9"/>
      <c r="AY202" s="22">
        <v>0.86685199999999996</v>
      </c>
      <c r="AZ202" s="22">
        <v>29.866900000000001</v>
      </c>
      <c r="BA202" s="22">
        <v>-1.38245E-2</v>
      </c>
      <c r="BB202" s="22">
        <v>192</v>
      </c>
      <c r="BC202" s="22">
        <v>0.866089</v>
      </c>
      <c r="BD202">
        <f t="shared" si="34"/>
        <v>17.067283950617281</v>
      </c>
      <c r="BE202">
        <f t="shared" si="35"/>
        <v>14.79480922716049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0.84823599999999999</v>
      </c>
      <c r="H203" s="22">
        <v>7.2680300000000004</v>
      </c>
      <c r="I203" s="22">
        <v>-1.3861099999999999E-2</v>
      </c>
      <c r="J203" s="22">
        <v>193</v>
      </c>
      <c r="K203" s="22">
        <v>0.84716800000000003</v>
      </c>
      <c r="L203">
        <f t="shared" si="24"/>
        <v>17.112469135802467</v>
      </c>
      <c r="M203">
        <f t="shared" si="25"/>
        <v>14.515412369876541</v>
      </c>
      <c r="N203" s="9"/>
      <c r="O203" s="22">
        <v>0.87188699999999997</v>
      </c>
      <c r="P203" s="22">
        <v>11.1275</v>
      </c>
      <c r="Q203" s="22">
        <v>-1.38336E-2</v>
      </c>
      <c r="R203" s="22">
        <v>193</v>
      </c>
      <c r="S203" s="22">
        <v>0.87097199999999997</v>
      </c>
      <c r="T203">
        <f t="shared" si="26"/>
        <v>17.078518518518518</v>
      </c>
      <c r="U203">
        <f t="shared" si="27"/>
        <v>14.890538275555555</v>
      </c>
      <c r="X203" s="9"/>
      <c r="Y203" s="22">
        <v>0.84823599999999999</v>
      </c>
      <c r="Z203" s="22">
        <v>16.712199999999999</v>
      </c>
      <c r="AA203" s="22">
        <v>-1.3861099999999999E-2</v>
      </c>
      <c r="AB203" s="22">
        <v>193</v>
      </c>
      <c r="AC203" s="22">
        <v>0.84686300000000003</v>
      </c>
      <c r="AD203">
        <f t="shared" si="28"/>
        <v>17.112469135802467</v>
      </c>
      <c r="AE203">
        <f t="shared" si="29"/>
        <v>14.515412369876541</v>
      </c>
      <c r="AF203" s="9"/>
      <c r="AG203" s="22">
        <v>0.87188699999999997</v>
      </c>
      <c r="AH203" s="22">
        <v>20.5717</v>
      </c>
      <c r="AI203" s="22">
        <v>-1.3775600000000001E-2</v>
      </c>
      <c r="AJ203" s="22">
        <v>193</v>
      </c>
      <c r="AK203" s="22">
        <v>0.87097199999999997</v>
      </c>
      <c r="AL203">
        <f t="shared" si="30"/>
        <v>17.006913580246916</v>
      </c>
      <c r="AM203">
        <f t="shared" si="31"/>
        <v>14.828106860740743</v>
      </c>
      <c r="AP203" s="9"/>
      <c r="AQ203" s="22">
        <v>0.84823599999999999</v>
      </c>
      <c r="AR203" s="22">
        <v>26.017499999999998</v>
      </c>
      <c r="AS203" s="22">
        <v>-1.3876299999999999E-2</v>
      </c>
      <c r="AT203" s="22">
        <v>193</v>
      </c>
      <c r="AU203" s="22">
        <v>0.84747300000000003</v>
      </c>
      <c r="AV203">
        <f t="shared" si="32"/>
        <v>17.131234567901231</v>
      </c>
      <c r="AW203">
        <f t="shared" si="33"/>
        <v>14.531329884938268</v>
      </c>
      <c r="AX203" s="9"/>
      <c r="AY203" s="22">
        <v>0.87188699999999997</v>
      </c>
      <c r="AZ203" s="22">
        <v>29.876899999999999</v>
      </c>
      <c r="BA203" s="22">
        <v>-1.3821399999999999E-2</v>
      </c>
      <c r="BB203" s="22">
        <v>193</v>
      </c>
      <c r="BC203" s="22">
        <v>0.87127699999999997</v>
      </c>
      <c r="BD203">
        <f t="shared" si="34"/>
        <v>17.063456790123453</v>
      </c>
      <c r="BE203">
        <f t="shared" si="35"/>
        <v>14.877406150370367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0.84320099999999998</v>
      </c>
      <c r="H204" s="22">
        <v>7.2781000000000002</v>
      </c>
      <c r="I204" s="22">
        <v>-1.3870199999999999E-2</v>
      </c>
      <c r="J204" s="22">
        <v>194</v>
      </c>
      <c r="K204" s="22">
        <v>0.84197999999999995</v>
      </c>
      <c r="L204">
        <f t="shared" ref="L204:L267" si="36">-I204/$F$2*1000</f>
        <v>17.123703703703701</v>
      </c>
      <c r="M204">
        <f t="shared" ref="M204:M267" si="37">L204*G204</f>
        <v>14.438724086666664</v>
      </c>
      <c r="N204" s="9"/>
      <c r="O204" s="22">
        <v>0.87692300000000001</v>
      </c>
      <c r="P204" s="22">
        <v>11.137600000000001</v>
      </c>
      <c r="Q204" s="22">
        <v>-1.38367E-2</v>
      </c>
      <c r="R204" s="22">
        <v>194</v>
      </c>
      <c r="S204" s="22">
        <v>0.87585400000000002</v>
      </c>
      <c r="T204">
        <f t="shared" ref="T204:T267" si="38">-Q204/$F$2*1000</f>
        <v>17.082345679012345</v>
      </c>
      <c r="U204">
        <f t="shared" ref="U204:U267" si="39">T204*O204</f>
        <v>14.979901819876543</v>
      </c>
      <c r="X204" s="9"/>
      <c r="Y204" s="22">
        <v>0.84320099999999998</v>
      </c>
      <c r="Z204" s="22">
        <v>16.722300000000001</v>
      </c>
      <c r="AA204" s="22">
        <v>-1.3864100000000001E-2</v>
      </c>
      <c r="AB204" s="22">
        <v>194</v>
      </c>
      <c r="AC204" s="22">
        <v>0.84197999999999995</v>
      </c>
      <c r="AD204">
        <f t="shared" ref="AD204:AD267" si="40">-AA204/$F$2*1000</f>
        <v>17.11617283950617</v>
      </c>
      <c r="AE204">
        <f t="shared" ref="AE204:AE267" si="41">AD204*Y204</f>
        <v>14.432374054444441</v>
      </c>
      <c r="AF204" s="9"/>
      <c r="AG204" s="22">
        <v>0.87692300000000001</v>
      </c>
      <c r="AH204" s="22">
        <v>20.581800000000001</v>
      </c>
      <c r="AI204" s="22">
        <v>-1.3772599999999999E-2</v>
      </c>
      <c r="AJ204" s="22">
        <v>194</v>
      </c>
      <c r="AK204" s="22">
        <v>0.87616000000000005</v>
      </c>
      <c r="AL204">
        <f t="shared" ref="AL204:AL267" si="42">-AI204/$F$2*1000</f>
        <v>17.00320987654321</v>
      </c>
      <c r="AM204">
        <f t="shared" ref="AM204:AM267" si="43">AL204*AG204</f>
        <v>14.910505814567902</v>
      </c>
      <c r="AP204" s="9"/>
      <c r="AQ204" s="22">
        <v>0.84320099999999998</v>
      </c>
      <c r="AR204" s="22">
        <v>26.0275</v>
      </c>
      <c r="AS204" s="22">
        <v>-1.3876299999999999E-2</v>
      </c>
      <c r="AT204" s="22">
        <v>194</v>
      </c>
      <c r="AU204" s="22">
        <v>0.84228499999999995</v>
      </c>
      <c r="AV204">
        <f t="shared" ref="AV204:AV267" si="44">-AS204/$F$2*1000</f>
        <v>17.131234567901231</v>
      </c>
      <c r="AW204">
        <f t="shared" ref="AW204:AW267" si="45">AV204*AQ204</f>
        <v>14.445074118888886</v>
      </c>
      <c r="AX204" s="9"/>
      <c r="AY204" s="22">
        <v>0.87692300000000001</v>
      </c>
      <c r="AZ204" s="22">
        <v>29.887</v>
      </c>
      <c r="BA204" s="22">
        <v>-1.3815300000000001E-2</v>
      </c>
      <c r="BB204" s="22">
        <v>194</v>
      </c>
      <c r="BC204" s="22">
        <v>0.87616000000000005</v>
      </c>
      <c r="BD204">
        <f t="shared" ref="BD204:BD267" si="46">-BA204/$F$2*1000</f>
        <v>17.055925925925926</v>
      </c>
      <c r="BE204">
        <f t="shared" ref="BE204:BE267" si="47">BD204*AY204</f>
        <v>14.956733730740741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0.83816500000000005</v>
      </c>
      <c r="H205" s="22">
        <v>7.28817</v>
      </c>
      <c r="I205" s="22">
        <v>-1.38672E-2</v>
      </c>
      <c r="J205" s="22">
        <v>195</v>
      </c>
      <c r="K205" s="22">
        <v>0.83740199999999998</v>
      </c>
      <c r="L205">
        <f t="shared" si="36"/>
        <v>17.12</v>
      </c>
      <c r="M205">
        <f t="shared" si="37"/>
        <v>14.349384800000001</v>
      </c>
      <c r="N205" s="9"/>
      <c r="O205" s="22">
        <v>0.88195800000000002</v>
      </c>
      <c r="P205" s="22">
        <v>11.147600000000001</v>
      </c>
      <c r="Q205" s="22">
        <v>-1.38336E-2</v>
      </c>
      <c r="R205" s="22">
        <v>195</v>
      </c>
      <c r="S205" s="22">
        <v>0.88104199999999999</v>
      </c>
      <c r="T205">
        <f t="shared" si="38"/>
        <v>17.078518518518518</v>
      </c>
      <c r="U205">
        <f t="shared" si="39"/>
        <v>15.062536035555555</v>
      </c>
      <c r="X205" s="9"/>
      <c r="Y205" s="22">
        <v>0.83816500000000005</v>
      </c>
      <c r="Z205" s="22">
        <v>16.732399999999998</v>
      </c>
      <c r="AA205" s="22">
        <v>-1.38672E-2</v>
      </c>
      <c r="AB205" s="22">
        <v>195</v>
      </c>
      <c r="AC205" s="22">
        <v>0.83770800000000001</v>
      </c>
      <c r="AD205">
        <f t="shared" si="40"/>
        <v>17.12</v>
      </c>
      <c r="AE205">
        <f t="shared" si="41"/>
        <v>14.349384800000001</v>
      </c>
      <c r="AF205" s="9"/>
      <c r="AG205" s="22">
        <v>0.88195800000000002</v>
      </c>
      <c r="AH205" s="22">
        <v>20.591899999999999</v>
      </c>
      <c r="AI205" s="22">
        <v>-1.3775600000000001E-2</v>
      </c>
      <c r="AJ205" s="22">
        <v>195</v>
      </c>
      <c r="AK205" s="22">
        <v>0.88134800000000002</v>
      </c>
      <c r="AL205">
        <f t="shared" si="42"/>
        <v>17.006913580246916</v>
      </c>
      <c r="AM205">
        <f t="shared" si="43"/>
        <v>14.99938348740741</v>
      </c>
      <c r="AP205" s="9"/>
      <c r="AQ205" s="22">
        <v>0.83816500000000005</v>
      </c>
      <c r="AR205" s="22">
        <v>26.037600000000001</v>
      </c>
      <c r="AS205" s="22">
        <v>-1.38672E-2</v>
      </c>
      <c r="AT205" s="22">
        <v>195</v>
      </c>
      <c r="AU205" s="22">
        <v>0.83740199999999998</v>
      </c>
      <c r="AV205">
        <f t="shared" si="44"/>
        <v>17.12</v>
      </c>
      <c r="AW205">
        <f t="shared" si="45"/>
        <v>14.349384800000001</v>
      </c>
      <c r="AX205" s="9"/>
      <c r="AY205" s="22">
        <v>0.88195800000000002</v>
      </c>
      <c r="AZ205" s="22">
        <v>29.897099999999998</v>
      </c>
      <c r="BA205" s="22">
        <v>-1.3815300000000001E-2</v>
      </c>
      <c r="BB205" s="22">
        <v>195</v>
      </c>
      <c r="BC205" s="22">
        <v>0.88073699999999999</v>
      </c>
      <c r="BD205">
        <f t="shared" si="46"/>
        <v>17.055925925925926</v>
      </c>
      <c r="BE205">
        <f t="shared" si="47"/>
        <v>15.042610317777779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0.83313000000000004</v>
      </c>
      <c r="H206" s="22">
        <v>7.2982500000000003</v>
      </c>
      <c r="I206" s="22">
        <v>-1.38672E-2</v>
      </c>
      <c r="J206" s="22">
        <v>196</v>
      </c>
      <c r="K206" s="22">
        <v>0.83221400000000001</v>
      </c>
      <c r="L206">
        <f t="shared" si="36"/>
        <v>17.12</v>
      </c>
      <c r="M206">
        <f t="shared" si="37"/>
        <v>14.263185600000002</v>
      </c>
      <c r="N206" s="9"/>
      <c r="O206" s="22">
        <v>0.88699300000000003</v>
      </c>
      <c r="P206" s="22">
        <v>11.1577</v>
      </c>
      <c r="Q206" s="22">
        <v>-1.38306E-2</v>
      </c>
      <c r="R206" s="22">
        <v>196</v>
      </c>
      <c r="S206" s="22">
        <v>0.88561999999999996</v>
      </c>
      <c r="T206">
        <f t="shared" si="38"/>
        <v>17.074814814814815</v>
      </c>
      <c r="U206">
        <f t="shared" si="39"/>
        <v>15.145241217037038</v>
      </c>
      <c r="X206" s="9"/>
      <c r="Y206" s="22">
        <v>0.83313000000000004</v>
      </c>
      <c r="Z206" s="22">
        <v>16.7425</v>
      </c>
      <c r="AA206" s="22">
        <v>-1.3861099999999999E-2</v>
      </c>
      <c r="AB206" s="22">
        <v>196</v>
      </c>
      <c r="AC206" s="22">
        <v>0.83252000000000004</v>
      </c>
      <c r="AD206">
        <f t="shared" si="40"/>
        <v>17.112469135802467</v>
      </c>
      <c r="AE206">
        <f t="shared" si="41"/>
        <v>14.25691141111111</v>
      </c>
      <c r="AF206" s="9"/>
      <c r="AG206" s="22">
        <v>0.88699300000000003</v>
      </c>
      <c r="AH206" s="22">
        <v>20.601900000000001</v>
      </c>
      <c r="AI206" s="22">
        <v>-1.37787E-2</v>
      </c>
      <c r="AJ206" s="22">
        <v>196</v>
      </c>
      <c r="AK206" s="22">
        <v>0.88531499999999996</v>
      </c>
      <c r="AL206">
        <f t="shared" si="42"/>
        <v>17.01074074074074</v>
      </c>
      <c r="AM206">
        <f t="shared" si="43"/>
        <v>15.088407961851852</v>
      </c>
      <c r="AP206" s="9"/>
      <c r="AQ206" s="22">
        <v>0.83313000000000004</v>
      </c>
      <c r="AR206" s="22">
        <v>26.047699999999999</v>
      </c>
      <c r="AS206" s="22">
        <v>-1.3858000000000001E-2</v>
      </c>
      <c r="AT206" s="22">
        <v>196</v>
      </c>
      <c r="AU206" s="22">
        <v>0.83221400000000001</v>
      </c>
      <c r="AV206">
        <f t="shared" si="44"/>
        <v>17.10864197530864</v>
      </c>
      <c r="AW206">
        <f t="shared" si="45"/>
        <v>14.253722888888888</v>
      </c>
      <c r="AX206" s="9"/>
      <c r="AY206" s="22">
        <v>0.88699300000000003</v>
      </c>
      <c r="AZ206" s="22">
        <v>29.9072</v>
      </c>
      <c r="BA206" s="22">
        <v>-1.3809200000000001E-2</v>
      </c>
      <c r="BB206" s="22">
        <v>196</v>
      </c>
      <c r="BC206" s="22">
        <v>0.88622999999999996</v>
      </c>
      <c r="BD206">
        <f t="shared" si="46"/>
        <v>17.048395061728392</v>
      </c>
      <c r="BE206">
        <f t="shared" si="47"/>
        <v>15.121807080987653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0.828094</v>
      </c>
      <c r="H207" s="22">
        <v>7.3083200000000001</v>
      </c>
      <c r="I207" s="22">
        <v>-1.38733E-2</v>
      </c>
      <c r="J207" s="22">
        <v>197</v>
      </c>
      <c r="K207" s="22">
        <v>0.82702600000000004</v>
      </c>
      <c r="L207">
        <f t="shared" si="36"/>
        <v>17.127530864197528</v>
      </c>
      <c r="M207">
        <f t="shared" si="37"/>
        <v>14.183205543456788</v>
      </c>
      <c r="N207" s="9"/>
      <c r="O207" s="22">
        <v>0.89202899999999996</v>
      </c>
      <c r="P207" s="22">
        <v>11.1678</v>
      </c>
      <c r="Q207" s="22">
        <v>-1.38275E-2</v>
      </c>
      <c r="R207" s="22">
        <v>197</v>
      </c>
      <c r="S207" s="22">
        <v>0.89080800000000004</v>
      </c>
      <c r="T207">
        <f t="shared" si="38"/>
        <v>17.070987654320987</v>
      </c>
      <c r="U207">
        <f t="shared" si="39"/>
        <v>15.227816046296295</v>
      </c>
      <c r="X207" s="9"/>
      <c r="Y207" s="22">
        <v>0.828094</v>
      </c>
      <c r="Z207" s="22">
        <v>16.752500000000001</v>
      </c>
      <c r="AA207" s="22">
        <v>-1.3861099999999999E-2</v>
      </c>
      <c r="AB207" s="22">
        <v>197</v>
      </c>
      <c r="AC207" s="22">
        <v>0.82733199999999996</v>
      </c>
      <c r="AD207">
        <f t="shared" si="40"/>
        <v>17.112469135802467</v>
      </c>
      <c r="AE207">
        <f t="shared" si="41"/>
        <v>14.170733016543208</v>
      </c>
      <c r="AF207" s="9"/>
      <c r="AG207" s="22">
        <v>0.89202899999999996</v>
      </c>
      <c r="AH207" s="22">
        <v>20.611999999999998</v>
      </c>
      <c r="AI207" s="22">
        <v>-1.37787E-2</v>
      </c>
      <c r="AJ207" s="22">
        <v>197</v>
      </c>
      <c r="AK207" s="22">
        <v>0.89111300000000004</v>
      </c>
      <c r="AL207">
        <f t="shared" si="42"/>
        <v>17.01074074074074</v>
      </c>
      <c r="AM207">
        <f t="shared" si="43"/>
        <v>15.17407405222222</v>
      </c>
      <c r="AP207" s="9"/>
      <c r="AQ207" s="22">
        <v>0.828094</v>
      </c>
      <c r="AR207" s="22">
        <v>26.0578</v>
      </c>
      <c r="AS207" s="22">
        <v>-1.3864100000000001E-2</v>
      </c>
      <c r="AT207" s="22">
        <v>197</v>
      </c>
      <c r="AU207" s="22">
        <v>0.82763699999999996</v>
      </c>
      <c r="AV207">
        <f t="shared" si="44"/>
        <v>17.11617283950617</v>
      </c>
      <c r="AW207">
        <f t="shared" si="45"/>
        <v>14.173800031358022</v>
      </c>
      <c r="AX207" s="9"/>
      <c r="AY207" s="22">
        <v>0.89202899999999996</v>
      </c>
      <c r="AZ207" s="22">
        <v>29.917200000000001</v>
      </c>
      <c r="BA207" s="22">
        <v>-1.38123E-2</v>
      </c>
      <c r="BB207" s="22">
        <v>197</v>
      </c>
      <c r="BC207" s="22">
        <v>0.89141800000000004</v>
      </c>
      <c r="BD207">
        <f t="shared" si="46"/>
        <v>17.052222222222223</v>
      </c>
      <c r="BE207">
        <f t="shared" si="47"/>
        <v>15.211076736666667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0.82305899999999999</v>
      </c>
      <c r="H208" s="22">
        <v>7.31839</v>
      </c>
      <c r="I208" s="22">
        <v>-1.3876299999999999E-2</v>
      </c>
      <c r="J208" s="22">
        <v>198</v>
      </c>
      <c r="K208" s="22">
        <v>0.82244899999999999</v>
      </c>
      <c r="L208">
        <f t="shared" si="36"/>
        <v>17.131234567901231</v>
      </c>
      <c r="M208">
        <f t="shared" si="37"/>
        <v>14.100016792222219</v>
      </c>
      <c r="N208" s="9"/>
      <c r="O208" s="22">
        <v>0.89706399999999997</v>
      </c>
      <c r="P208" s="22">
        <v>11.177899999999999</v>
      </c>
      <c r="Q208" s="22">
        <v>-1.38306E-2</v>
      </c>
      <c r="R208" s="22">
        <v>198</v>
      </c>
      <c r="S208" s="22">
        <v>0.89691200000000004</v>
      </c>
      <c r="T208">
        <f t="shared" si="38"/>
        <v>17.074814814814815</v>
      </c>
      <c r="U208">
        <f t="shared" si="39"/>
        <v>15.317201677037037</v>
      </c>
      <c r="X208" s="9"/>
      <c r="Y208" s="22">
        <v>0.82305899999999999</v>
      </c>
      <c r="Z208" s="22">
        <v>16.762599999999999</v>
      </c>
      <c r="AA208" s="22">
        <v>-1.3858000000000001E-2</v>
      </c>
      <c r="AB208" s="22">
        <v>198</v>
      </c>
      <c r="AC208" s="22">
        <v>0.82275399999999999</v>
      </c>
      <c r="AD208">
        <f t="shared" si="40"/>
        <v>17.10864197530864</v>
      </c>
      <c r="AE208">
        <f t="shared" si="41"/>
        <v>14.081421755555553</v>
      </c>
      <c r="AF208" s="9"/>
      <c r="AG208" s="22">
        <v>0.89706399999999997</v>
      </c>
      <c r="AH208" s="22">
        <v>20.6221</v>
      </c>
      <c r="AI208" s="22">
        <v>-1.3772599999999999E-2</v>
      </c>
      <c r="AJ208" s="22">
        <v>198</v>
      </c>
      <c r="AK208" s="22">
        <v>0.89630100000000001</v>
      </c>
      <c r="AL208">
        <f t="shared" si="42"/>
        <v>17.00320987654321</v>
      </c>
      <c r="AM208">
        <f t="shared" si="43"/>
        <v>15.252967464691357</v>
      </c>
      <c r="AP208" s="9"/>
      <c r="AQ208" s="22">
        <v>0.82305899999999999</v>
      </c>
      <c r="AR208" s="22">
        <v>26.067799999999998</v>
      </c>
      <c r="AS208" s="22">
        <v>-1.3870199999999999E-2</v>
      </c>
      <c r="AT208" s="22">
        <v>198</v>
      </c>
      <c r="AU208" s="22">
        <v>0.82244899999999999</v>
      </c>
      <c r="AV208">
        <f t="shared" si="44"/>
        <v>17.123703703703701</v>
      </c>
      <c r="AW208">
        <f t="shared" si="45"/>
        <v>14.093818446666663</v>
      </c>
      <c r="AX208" s="9"/>
      <c r="AY208" s="22">
        <v>0.89706399999999997</v>
      </c>
      <c r="AZ208" s="22">
        <v>29.927299999999999</v>
      </c>
      <c r="BA208" s="22">
        <v>-1.38184E-2</v>
      </c>
      <c r="BB208" s="22">
        <v>198</v>
      </c>
      <c r="BC208" s="22">
        <v>0.89630100000000001</v>
      </c>
      <c r="BD208">
        <f t="shared" si="46"/>
        <v>17.05975308641975</v>
      </c>
      <c r="BE208">
        <f t="shared" si="47"/>
        <v>15.303690342716047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0.81802399999999997</v>
      </c>
      <c r="H209" s="22">
        <v>7.3284599999999998</v>
      </c>
      <c r="I209" s="22">
        <v>-1.3876299999999999E-2</v>
      </c>
      <c r="J209" s="22">
        <v>199</v>
      </c>
      <c r="K209" s="22">
        <v>0.81726100000000002</v>
      </c>
      <c r="L209">
        <f t="shared" si="36"/>
        <v>17.131234567901231</v>
      </c>
      <c r="M209">
        <f t="shared" si="37"/>
        <v>14.013761026172837</v>
      </c>
      <c r="N209" s="9"/>
      <c r="O209" s="22">
        <v>0.90210000000000001</v>
      </c>
      <c r="P209" s="22">
        <v>11.187900000000001</v>
      </c>
      <c r="Q209" s="22">
        <v>-1.38275E-2</v>
      </c>
      <c r="R209" s="22">
        <v>199</v>
      </c>
      <c r="S209" s="22">
        <v>0.90087899999999999</v>
      </c>
      <c r="T209">
        <f t="shared" si="38"/>
        <v>17.070987654320987</v>
      </c>
      <c r="U209">
        <f t="shared" si="39"/>
        <v>15.399737962962963</v>
      </c>
      <c r="X209" s="9"/>
      <c r="Y209" s="22">
        <v>0.81802399999999997</v>
      </c>
      <c r="Z209" s="22">
        <v>16.7727</v>
      </c>
      <c r="AA209" s="22">
        <v>-1.3861099999999999E-2</v>
      </c>
      <c r="AB209" s="22">
        <v>199</v>
      </c>
      <c r="AC209" s="22">
        <v>0.81695600000000002</v>
      </c>
      <c r="AD209">
        <f t="shared" si="40"/>
        <v>17.112469135802467</v>
      </c>
      <c r="AE209">
        <f t="shared" si="41"/>
        <v>13.998410452345677</v>
      </c>
      <c r="AF209" s="9"/>
      <c r="AG209" s="22">
        <v>0.90210000000000001</v>
      </c>
      <c r="AH209" s="22">
        <v>20.632100000000001</v>
      </c>
      <c r="AI209" s="22">
        <v>-1.3754300000000001E-2</v>
      </c>
      <c r="AJ209" s="22">
        <v>199</v>
      </c>
      <c r="AK209" s="22">
        <v>0.90148899999999998</v>
      </c>
      <c r="AL209">
        <f t="shared" si="42"/>
        <v>16.980617283950615</v>
      </c>
      <c r="AM209">
        <f t="shared" si="43"/>
        <v>15.318214851851849</v>
      </c>
      <c r="AP209" s="9"/>
      <c r="AQ209" s="22">
        <v>0.81802399999999997</v>
      </c>
      <c r="AR209" s="22">
        <v>26.0779</v>
      </c>
      <c r="AS209" s="22">
        <v>-1.3876299999999999E-2</v>
      </c>
      <c r="AT209" s="22">
        <v>199</v>
      </c>
      <c r="AU209" s="22">
        <v>0.81726100000000002</v>
      </c>
      <c r="AV209">
        <f t="shared" si="44"/>
        <v>17.131234567901231</v>
      </c>
      <c r="AW209">
        <f t="shared" si="45"/>
        <v>14.013761026172837</v>
      </c>
      <c r="AX209" s="9"/>
      <c r="AY209" s="22">
        <v>0.90210000000000001</v>
      </c>
      <c r="AZ209" s="22">
        <v>29.9374</v>
      </c>
      <c r="BA209" s="22">
        <v>-1.3821399999999999E-2</v>
      </c>
      <c r="BB209" s="22">
        <v>199</v>
      </c>
      <c r="BC209" s="22">
        <v>0.90148899999999998</v>
      </c>
      <c r="BD209">
        <f t="shared" si="46"/>
        <v>17.063456790123453</v>
      </c>
      <c r="BE209">
        <f t="shared" si="47"/>
        <v>15.392944370370367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0.81298800000000004</v>
      </c>
      <c r="H210" s="22">
        <v>7.3385300000000004</v>
      </c>
      <c r="I210" s="22">
        <v>-1.3876299999999999E-2</v>
      </c>
      <c r="J210" s="22">
        <v>200</v>
      </c>
      <c r="K210" s="22">
        <v>0.81207300000000004</v>
      </c>
      <c r="L210">
        <f t="shared" si="36"/>
        <v>17.131234567901231</v>
      </c>
      <c r="M210">
        <f t="shared" si="37"/>
        <v>13.927488128888887</v>
      </c>
      <c r="N210" s="9"/>
      <c r="O210" s="22">
        <v>0.90713500000000002</v>
      </c>
      <c r="P210" s="22">
        <v>11.198</v>
      </c>
      <c r="Q210" s="22">
        <v>-1.38275E-2</v>
      </c>
      <c r="R210" s="22">
        <v>200</v>
      </c>
      <c r="S210" s="22">
        <v>0.90667699999999996</v>
      </c>
      <c r="T210">
        <f t="shared" si="38"/>
        <v>17.070987654320987</v>
      </c>
      <c r="U210">
        <f t="shared" si="39"/>
        <v>15.485690385802469</v>
      </c>
      <c r="X210" s="9"/>
      <c r="Y210" s="22">
        <v>0.81298800000000004</v>
      </c>
      <c r="Z210" s="22">
        <v>16.782699999999998</v>
      </c>
      <c r="AA210" s="22">
        <v>-1.3861099999999999E-2</v>
      </c>
      <c r="AB210" s="22">
        <v>200</v>
      </c>
      <c r="AC210" s="22">
        <v>0.81207300000000004</v>
      </c>
      <c r="AD210">
        <f t="shared" si="40"/>
        <v>17.112469135802467</v>
      </c>
      <c r="AE210">
        <f t="shared" si="41"/>
        <v>13.912232057777777</v>
      </c>
      <c r="AF210" s="9"/>
      <c r="AG210" s="22">
        <v>0.90713500000000002</v>
      </c>
      <c r="AH210" s="22">
        <v>20.642199999999999</v>
      </c>
      <c r="AI210" s="22">
        <v>-1.37482E-2</v>
      </c>
      <c r="AJ210" s="22">
        <v>200</v>
      </c>
      <c r="AK210" s="22">
        <v>0.90637199999999996</v>
      </c>
      <c r="AL210">
        <f t="shared" si="42"/>
        <v>16.973086419753084</v>
      </c>
      <c r="AM210">
        <f t="shared" si="43"/>
        <v>15.396880749382714</v>
      </c>
      <c r="AP210" s="9"/>
      <c r="AQ210" s="22">
        <v>0.81298800000000004</v>
      </c>
      <c r="AR210" s="22">
        <v>26.088000000000001</v>
      </c>
      <c r="AS210" s="22">
        <v>-1.38824E-2</v>
      </c>
      <c r="AT210" s="22">
        <v>200</v>
      </c>
      <c r="AU210" s="22">
        <v>0.81268300000000004</v>
      </c>
      <c r="AV210">
        <f t="shared" si="44"/>
        <v>17.138765432098765</v>
      </c>
      <c r="AW210">
        <f t="shared" si="45"/>
        <v>13.933610631111112</v>
      </c>
      <c r="AX210" s="9"/>
      <c r="AY210" s="22">
        <v>0.90713500000000002</v>
      </c>
      <c r="AZ210" s="22">
        <v>29.947399999999998</v>
      </c>
      <c r="BA210" s="22">
        <v>-1.38184E-2</v>
      </c>
      <c r="BB210" s="22">
        <v>200</v>
      </c>
      <c r="BC210" s="22">
        <v>0.90637199999999996</v>
      </c>
      <c r="BD210">
        <f t="shared" si="46"/>
        <v>17.05975308641975</v>
      </c>
      <c r="BE210">
        <f t="shared" si="47"/>
        <v>15.475499116049381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0.80795300000000003</v>
      </c>
      <c r="H211" s="22">
        <v>7.3486000000000002</v>
      </c>
      <c r="I211" s="22">
        <v>-1.3870199999999999E-2</v>
      </c>
      <c r="J211" s="22">
        <v>201</v>
      </c>
      <c r="K211" s="22">
        <v>0.80718999999999996</v>
      </c>
      <c r="L211">
        <f t="shared" si="36"/>
        <v>17.123703703703701</v>
      </c>
      <c r="M211">
        <f t="shared" si="37"/>
        <v>13.835147778518516</v>
      </c>
      <c r="N211" s="9"/>
      <c r="O211" s="22">
        <v>0.91217000000000004</v>
      </c>
      <c r="P211" s="22">
        <v>11.2081</v>
      </c>
      <c r="Q211" s="22">
        <v>-1.38245E-2</v>
      </c>
      <c r="R211" s="22">
        <v>201</v>
      </c>
      <c r="S211" s="22">
        <v>0.91125500000000004</v>
      </c>
      <c r="T211">
        <f t="shared" si="38"/>
        <v>17.067283950617281</v>
      </c>
      <c r="U211">
        <f t="shared" si="39"/>
        <v>15.568264401234565</v>
      </c>
      <c r="X211" s="9"/>
      <c r="Y211" s="22">
        <v>0.80795300000000003</v>
      </c>
      <c r="Z211" s="22">
        <v>16.7928</v>
      </c>
      <c r="AA211" s="22">
        <v>-1.3854999999999999E-2</v>
      </c>
      <c r="AB211" s="22">
        <v>201</v>
      </c>
      <c r="AC211" s="22">
        <v>0.80749499999999996</v>
      </c>
      <c r="AD211">
        <f t="shared" si="40"/>
        <v>17.104938271604937</v>
      </c>
      <c r="AE211">
        <f t="shared" si="41"/>
        <v>13.819986191358025</v>
      </c>
      <c r="AF211" s="9"/>
      <c r="AG211" s="22">
        <v>0.91217000000000004</v>
      </c>
      <c r="AH211" s="22">
        <v>20.6523</v>
      </c>
      <c r="AI211" s="22">
        <v>-1.3732899999999999E-2</v>
      </c>
      <c r="AJ211" s="22">
        <v>201</v>
      </c>
      <c r="AK211" s="22">
        <v>0.91095000000000004</v>
      </c>
      <c r="AL211">
        <f t="shared" si="42"/>
        <v>16.954197530864196</v>
      </c>
      <c r="AM211">
        <f t="shared" si="43"/>
        <v>15.465110361728394</v>
      </c>
      <c r="AP211" s="9"/>
      <c r="AQ211" s="22">
        <v>0.80795300000000003</v>
      </c>
      <c r="AR211" s="22">
        <v>26.097999999999999</v>
      </c>
      <c r="AS211" s="22">
        <v>-1.38794E-2</v>
      </c>
      <c r="AT211" s="22">
        <v>201</v>
      </c>
      <c r="AU211" s="22">
        <v>0.80627400000000005</v>
      </c>
      <c r="AV211">
        <f t="shared" si="44"/>
        <v>17.135061728395058</v>
      </c>
      <c r="AW211">
        <f t="shared" si="45"/>
        <v>13.844324528641973</v>
      </c>
      <c r="AX211" s="9"/>
      <c r="AY211" s="22">
        <v>0.91217000000000004</v>
      </c>
      <c r="AZ211" s="22">
        <v>29.9575</v>
      </c>
      <c r="BA211" s="22">
        <v>-1.38123E-2</v>
      </c>
      <c r="BB211" s="22">
        <v>201</v>
      </c>
      <c r="BC211" s="22">
        <v>0.91125500000000004</v>
      </c>
      <c r="BD211">
        <f t="shared" si="46"/>
        <v>17.052222222222223</v>
      </c>
      <c r="BE211">
        <f t="shared" si="47"/>
        <v>15.554525544444447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0.80291699999999999</v>
      </c>
      <c r="H212" s="22">
        <v>7.35867</v>
      </c>
      <c r="I212" s="22">
        <v>-1.3870199999999999E-2</v>
      </c>
      <c r="J212" s="22">
        <v>202</v>
      </c>
      <c r="K212" s="22">
        <v>0.80200199999999999</v>
      </c>
      <c r="L212">
        <f t="shared" si="36"/>
        <v>17.123703703703701</v>
      </c>
      <c r="M212">
        <f t="shared" si="37"/>
        <v>13.748912806666665</v>
      </c>
      <c r="N212" s="9"/>
      <c r="O212" s="22">
        <v>0.91720599999999997</v>
      </c>
      <c r="P212" s="22">
        <v>11.2181</v>
      </c>
      <c r="Q212" s="22">
        <v>-1.3821399999999999E-2</v>
      </c>
      <c r="R212" s="22">
        <v>202</v>
      </c>
      <c r="S212" s="22">
        <v>0.91613800000000001</v>
      </c>
      <c r="T212">
        <f t="shared" si="38"/>
        <v>17.063456790123453</v>
      </c>
      <c r="U212">
        <f t="shared" si="39"/>
        <v>15.650704948641971</v>
      </c>
      <c r="X212" s="9"/>
      <c r="Y212" s="22">
        <v>0.80291699999999999</v>
      </c>
      <c r="Z212" s="22">
        <v>16.802900000000001</v>
      </c>
      <c r="AA212" s="22">
        <v>-1.38519E-2</v>
      </c>
      <c r="AB212" s="22">
        <v>202</v>
      </c>
      <c r="AC212" s="22">
        <v>0.80200199999999999</v>
      </c>
      <c r="AD212">
        <f t="shared" si="40"/>
        <v>17.101111111111113</v>
      </c>
      <c r="AE212">
        <f t="shared" si="41"/>
        <v>13.730772830000001</v>
      </c>
      <c r="AF212" s="9"/>
      <c r="AG212" s="22">
        <v>0.91720599999999997</v>
      </c>
      <c r="AH212" s="22">
        <v>20.662400000000002</v>
      </c>
      <c r="AI212" s="22">
        <v>-1.37299E-2</v>
      </c>
      <c r="AJ212" s="22">
        <v>202</v>
      </c>
      <c r="AK212" s="22">
        <v>0.91613800000000001</v>
      </c>
      <c r="AL212">
        <f t="shared" si="42"/>
        <v>16.950493827160493</v>
      </c>
      <c r="AM212">
        <f t="shared" si="43"/>
        <v>15.547094641234567</v>
      </c>
      <c r="AP212" s="9"/>
      <c r="AQ212" s="22">
        <v>0.80291699999999999</v>
      </c>
      <c r="AR212" s="22">
        <v>26.1081</v>
      </c>
      <c r="AS212" s="22">
        <v>-1.3894699999999999E-2</v>
      </c>
      <c r="AT212" s="22">
        <v>202</v>
      </c>
      <c r="AU212" s="22">
        <v>0.80200199999999999</v>
      </c>
      <c r="AV212">
        <f t="shared" si="44"/>
        <v>17.153950617283947</v>
      </c>
      <c r="AW212">
        <f t="shared" si="45"/>
        <v>13.773198567777774</v>
      </c>
      <c r="AX212" s="9"/>
      <c r="AY212" s="22">
        <v>0.91720599999999997</v>
      </c>
      <c r="AZ212" s="22">
        <v>29.967600000000001</v>
      </c>
      <c r="BA212" s="22">
        <v>-1.3809200000000001E-2</v>
      </c>
      <c r="BB212" s="22">
        <v>202</v>
      </c>
      <c r="BC212" s="22">
        <v>0.91644300000000001</v>
      </c>
      <c r="BD212">
        <f t="shared" si="46"/>
        <v>17.048395061728392</v>
      </c>
      <c r="BE212">
        <f t="shared" si="47"/>
        <v>15.63689024098765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0.79788199999999998</v>
      </c>
      <c r="H213" s="22">
        <v>7.3687399999999998</v>
      </c>
      <c r="I213" s="22">
        <v>-1.38733E-2</v>
      </c>
      <c r="J213" s="22">
        <v>203</v>
      </c>
      <c r="K213" s="22">
        <v>0.79742400000000002</v>
      </c>
      <c r="L213">
        <f t="shared" si="36"/>
        <v>17.127530864197528</v>
      </c>
      <c r="M213">
        <f t="shared" si="37"/>
        <v>13.665748580987652</v>
      </c>
      <c r="N213" s="9"/>
      <c r="O213" s="22">
        <v>0.92224099999999998</v>
      </c>
      <c r="P213" s="22">
        <v>11.228199999999999</v>
      </c>
      <c r="Q213" s="22">
        <v>-1.38184E-2</v>
      </c>
      <c r="R213" s="22">
        <v>203</v>
      </c>
      <c r="S213" s="22">
        <v>0.92163099999999998</v>
      </c>
      <c r="T213">
        <f t="shared" si="38"/>
        <v>17.05975308641975</v>
      </c>
      <c r="U213">
        <f t="shared" si="39"/>
        <v>15.733203746172837</v>
      </c>
      <c r="X213" s="9"/>
      <c r="Y213" s="22">
        <v>0.79788199999999998</v>
      </c>
      <c r="Z213" s="22">
        <v>16.812899999999999</v>
      </c>
      <c r="AA213" s="22">
        <v>-1.3848900000000001E-2</v>
      </c>
      <c r="AB213" s="22">
        <v>203</v>
      </c>
      <c r="AC213" s="22">
        <v>0.79681400000000002</v>
      </c>
      <c r="AD213">
        <f t="shared" si="40"/>
        <v>17.09740740740741</v>
      </c>
      <c r="AE213">
        <f t="shared" si="41"/>
        <v>13.641713617037038</v>
      </c>
      <c r="AF213" s="9"/>
      <c r="AG213" s="22">
        <v>0.92224099999999998</v>
      </c>
      <c r="AH213" s="22">
        <v>20.6724</v>
      </c>
      <c r="AI213" s="22">
        <v>-1.3726800000000001E-2</v>
      </c>
      <c r="AJ213" s="22">
        <v>203</v>
      </c>
      <c r="AK213" s="22">
        <v>0.92163099999999998</v>
      </c>
      <c r="AL213">
        <f t="shared" si="42"/>
        <v>16.946666666666665</v>
      </c>
      <c r="AM213">
        <f t="shared" si="43"/>
        <v>15.628910813333333</v>
      </c>
      <c r="AP213" s="9"/>
      <c r="AQ213" s="22">
        <v>0.79788199999999998</v>
      </c>
      <c r="AR213" s="22">
        <v>26.118200000000002</v>
      </c>
      <c r="AS213" s="22">
        <v>-1.3897700000000001E-2</v>
      </c>
      <c r="AT213" s="22">
        <v>203</v>
      </c>
      <c r="AU213" s="22">
        <v>0.79711900000000002</v>
      </c>
      <c r="AV213">
        <f t="shared" si="44"/>
        <v>17.157654320987653</v>
      </c>
      <c r="AW213">
        <f t="shared" si="45"/>
        <v>13.689783544938271</v>
      </c>
      <c r="AX213" s="9"/>
      <c r="AY213" s="22">
        <v>0.92224099999999998</v>
      </c>
      <c r="AZ213" s="22">
        <v>29.977699999999999</v>
      </c>
      <c r="BA213" s="22">
        <v>-1.38031E-2</v>
      </c>
      <c r="BB213" s="22">
        <v>203</v>
      </c>
      <c r="BC213" s="22">
        <v>0.92132599999999998</v>
      </c>
      <c r="BD213">
        <f t="shared" si="46"/>
        <v>17.040864197530862</v>
      </c>
      <c r="BE213">
        <f t="shared" si="47"/>
        <v>15.71578363839506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0.79284699999999997</v>
      </c>
      <c r="H214" s="22">
        <v>7.3788099999999996</v>
      </c>
      <c r="I214" s="22">
        <v>-1.38824E-2</v>
      </c>
      <c r="J214" s="22">
        <v>204</v>
      </c>
      <c r="K214" s="22">
        <v>0.79193100000000005</v>
      </c>
      <c r="L214">
        <f t="shared" si="36"/>
        <v>17.138765432098765</v>
      </c>
      <c r="M214">
        <f t="shared" si="37"/>
        <v>13.588418756543209</v>
      </c>
      <c r="N214" s="9"/>
      <c r="O214" s="22">
        <v>0.92727700000000002</v>
      </c>
      <c r="P214" s="22">
        <v>11.238300000000001</v>
      </c>
      <c r="Q214" s="22">
        <v>-1.38123E-2</v>
      </c>
      <c r="R214" s="22">
        <v>204</v>
      </c>
      <c r="S214" s="22">
        <v>0.92620800000000003</v>
      </c>
      <c r="T214">
        <f t="shared" si="38"/>
        <v>17.052222222222223</v>
      </c>
      <c r="U214">
        <f t="shared" si="39"/>
        <v>15.812133465555556</v>
      </c>
      <c r="X214" s="9"/>
      <c r="Y214" s="22">
        <v>0.79284699999999997</v>
      </c>
      <c r="Z214" s="22">
        <v>16.823</v>
      </c>
      <c r="AA214" s="22">
        <v>-1.38519E-2</v>
      </c>
      <c r="AB214" s="22">
        <v>204</v>
      </c>
      <c r="AC214" s="22">
        <v>0.79193100000000005</v>
      </c>
      <c r="AD214">
        <f t="shared" si="40"/>
        <v>17.101111111111113</v>
      </c>
      <c r="AE214">
        <f t="shared" si="41"/>
        <v>13.558564641111111</v>
      </c>
      <c r="AF214" s="9"/>
      <c r="AG214" s="22">
        <v>0.92727700000000002</v>
      </c>
      <c r="AH214" s="22">
        <v>20.682500000000001</v>
      </c>
      <c r="AI214" s="22">
        <v>-1.3726800000000001E-2</v>
      </c>
      <c r="AJ214" s="22">
        <v>204</v>
      </c>
      <c r="AK214" s="22">
        <v>0.92651399999999995</v>
      </c>
      <c r="AL214">
        <f t="shared" si="42"/>
        <v>16.946666666666665</v>
      </c>
      <c r="AM214">
        <f t="shared" si="43"/>
        <v>15.714254226666666</v>
      </c>
      <c r="AP214" s="9"/>
      <c r="AQ214" s="22">
        <v>0.79284699999999997</v>
      </c>
      <c r="AR214" s="22">
        <v>26.1282</v>
      </c>
      <c r="AS214" s="22">
        <v>-1.3894699999999999E-2</v>
      </c>
      <c r="AT214" s="22">
        <v>204</v>
      </c>
      <c r="AU214" s="22">
        <v>0.79254199999999997</v>
      </c>
      <c r="AV214">
        <f t="shared" si="44"/>
        <v>17.153950617283947</v>
      </c>
      <c r="AW214">
        <f t="shared" si="45"/>
        <v>13.600458285061725</v>
      </c>
      <c r="AX214" s="9"/>
      <c r="AY214" s="22">
        <v>0.92727700000000002</v>
      </c>
      <c r="AZ214" s="22">
        <v>29.9877</v>
      </c>
      <c r="BA214" s="22">
        <v>-1.37939E-2</v>
      </c>
      <c r="BB214" s="22">
        <v>204</v>
      </c>
      <c r="BC214" s="22">
        <v>0.92620800000000003</v>
      </c>
      <c r="BD214">
        <f t="shared" si="46"/>
        <v>17.029506172839504</v>
      </c>
      <c r="BE214">
        <f t="shared" si="47"/>
        <v>15.791069395432098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0.78781100000000004</v>
      </c>
      <c r="H215" s="22">
        <v>7.3888800000000003</v>
      </c>
      <c r="I215" s="22">
        <v>-1.38916E-2</v>
      </c>
      <c r="J215" s="22">
        <v>205</v>
      </c>
      <c r="K215" s="22">
        <v>0.787354</v>
      </c>
      <c r="L215">
        <f t="shared" si="36"/>
        <v>17.150123456790123</v>
      </c>
      <c r="M215">
        <f t="shared" si="37"/>
        <v>13.511055910617284</v>
      </c>
      <c r="N215" s="9"/>
      <c r="O215" s="22">
        <v>0.93231200000000003</v>
      </c>
      <c r="P215" s="22">
        <v>11.2484</v>
      </c>
      <c r="Q215" s="22">
        <v>-1.3809200000000001E-2</v>
      </c>
      <c r="R215" s="22">
        <v>205</v>
      </c>
      <c r="S215" s="22">
        <v>0.931091</v>
      </c>
      <c r="T215">
        <f t="shared" si="38"/>
        <v>17.048395061728392</v>
      </c>
      <c r="U215">
        <f t="shared" si="39"/>
        <v>15.894423296790121</v>
      </c>
      <c r="X215" s="9"/>
      <c r="Y215" s="22">
        <v>0.78781100000000004</v>
      </c>
      <c r="Z215" s="22">
        <v>16.833100000000002</v>
      </c>
      <c r="AA215" s="22">
        <v>-1.3861099999999999E-2</v>
      </c>
      <c r="AB215" s="22">
        <v>205</v>
      </c>
      <c r="AC215" s="22">
        <v>0.78704799999999997</v>
      </c>
      <c r="AD215">
        <f t="shared" si="40"/>
        <v>17.112469135802467</v>
      </c>
      <c r="AE215">
        <f t="shared" si="41"/>
        <v>13.481391422345679</v>
      </c>
      <c r="AF215" s="9"/>
      <c r="AG215" s="22">
        <v>0.93231200000000003</v>
      </c>
      <c r="AH215" s="22">
        <v>20.692599999999999</v>
      </c>
      <c r="AI215" s="22">
        <v>-1.37238E-2</v>
      </c>
      <c r="AJ215" s="22">
        <v>205</v>
      </c>
      <c r="AK215" s="22">
        <v>0.930481</v>
      </c>
      <c r="AL215">
        <f t="shared" si="42"/>
        <v>16.942962962962962</v>
      </c>
      <c r="AM215">
        <f t="shared" si="43"/>
        <v>15.796127685925926</v>
      </c>
      <c r="AP215" s="9"/>
      <c r="AQ215" s="22">
        <v>0.78781100000000004</v>
      </c>
      <c r="AR215" s="22">
        <v>26.138300000000001</v>
      </c>
      <c r="AS215" s="22">
        <v>-1.3894699999999999E-2</v>
      </c>
      <c r="AT215" s="22">
        <v>205</v>
      </c>
      <c r="AU215" s="22">
        <v>0.787354</v>
      </c>
      <c r="AV215">
        <f t="shared" si="44"/>
        <v>17.153950617283947</v>
      </c>
      <c r="AW215">
        <f t="shared" si="45"/>
        <v>13.514070989753083</v>
      </c>
      <c r="AX215" s="9"/>
      <c r="AY215" s="22">
        <v>0.93231200000000003</v>
      </c>
      <c r="AZ215" s="22">
        <v>29.997800000000002</v>
      </c>
      <c r="BA215" s="22">
        <v>-1.3787799999999999E-2</v>
      </c>
      <c r="BB215" s="22">
        <v>205</v>
      </c>
      <c r="BC215" s="22">
        <v>0.93170200000000003</v>
      </c>
      <c r="BD215">
        <f t="shared" si="46"/>
        <v>17.021975308641974</v>
      </c>
      <c r="BE215">
        <f t="shared" si="47"/>
        <v>15.869791843950615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0.78277600000000003</v>
      </c>
      <c r="H216" s="22">
        <v>7.3989599999999998</v>
      </c>
      <c r="I216" s="22">
        <v>-1.39008E-2</v>
      </c>
      <c r="J216" s="22">
        <v>206</v>
      </c>
      <c r="K216" s="22">
        <v>0.781555</v>
      </c>
      <c r="L216">
        <f t="shared" si="36"/>
        <v>17.161481481481481</v>
      </c>
      <c r="M216">
        <f t="shared" si="37"/>
        <v>13.433595828148148</v>
      </c>
      <c r="N216" s="9"/>
      <c r="O216" s="22">
        <v>0.93734700000000004</v>
      </c>
      <c r="P216" s="22">
        <v>11.2584</v>
      </c>
      <c r="Q216" s="22">
        <v>-1.38031E-2</v>
      </c>
      <c r="R216" s="22">
        <v>206</v>
      </c>
      <c r="S216" s="22">
        <v>0.937195</v>
      </c>
      <c r="T216">
        <f t="shared" si="38"/>
        <v>17.040864197530862</v>
      </c>
      <c r="U216">
        <f t="shared" si="39"/>
        <v>15.973202932962961</v>
      </c>
      <c r="X216" s="9"/>
      <c r="Y216" s="22">
        <v>0.78277600000000003</v>
      </c>
      <c r="Z216" s="22">
        <v>16.8432</v>
      </c>
      <c r="AA216" s="22">
        <v>-1.3870199999999999E-2</v>
      </c>
      <c r="AB216" s="22">
        <v>206</v>
      </c>
      <c r="AC216" s="22">
        <v>0.781555</v>
      </c>
      <c r="AD216">
        <f t="shared" si="40"/>
        <v>17.123703703703701</v>
      </c>
      <c r="AE216">
        <f t="shared" si="41"/>
        <v>13.404024290370369</v>
      </c>
      <c r="AF216" s="9"/>
      <c r="AG216" s="22">
        <v>0.93734700000000004</v>
      </c>
      <c r="AH216" s="22">
        <v>20.7026</v>
      </c>
      <c r="AI216" s="22">
        <v>-1.3720700000000001E-2</v>
      </c>
      <c r="AJ216" s="22">
        <v>206</v>
      </c>
      <c r="AK216" s="22">
        <v>0.937195</v>
      </c>
      <c r="AL216">
        <f t="shared" si="42"/>
        <v>16.939135802469135</v>
      </c>
      <c r="AM216">
        <f t="shared" si="43"/>
        <v>15.877848127037037</v>
      </c>
      <c r="AP216" s="9"/>
      <c r="AQ216" s="22">
        <v>0.78277600000000003</v>
      </c>
      <c r="AR216" s="22">
        <v>26.148399999999999</v>
      </c>
      <c r="AS216" s="22">
        <v>-1.38916E-2</v>
      </c>
      <c r="AT216" s="22">
        <v>206</v>
      </c>
      <c r="AU216" s="22">
        <v>0.78186</v>
      </c>
      <c r="AV216">
        <f t="shared" si="44"/>
        <v>17.150123456790123</v>
      </c>
      <c r="AW216">
        <f t="shared" si="45"/>
        <v>13.424705039012345</v>
      </c>
      <c r="AX216" s="9"/>
      <c r="AY216" s="22">
        <v>0.93734700000000004</v>
      </c>
      <c r="AZ216" s="22">
        <v>30.007899999999999</v>
      </c>
      <c r="BA216" s="22">
        <v>-1.3775600000000001E-2</v>
      </c>
      <c r="BB216" s="22">
        <v>206</v>
      </c>
      <c r="BC216" s="22">
        <v>0.93627899999999997</v>
      </c>
      <c r="BD216">
        <f t="shared" si="46"/>
        <v>17.006913580246916</v>
      </c>
      <c r="BE216">
        <f t="shared" si="47"/>
        <v>15.941379423703706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0.77773999999999999</v>
      </c>
      <c r="H217" s="22">
        <v>7.4090299999999996</v>
      </c>
      <c r="I217" s="22">
        <v>-1.3903799999999999E-2</v>
      </c>
      <c r="J217" s="22">
        <v>207</v>
      </c>
      <c r="K217" s="22">
        <v>0.77667200000000003</v>
      </c>
      <c r="L217">
        <f t="shared" si="36"/>
        <v>17.165185185185184</v>
      </c>
      <c r="M217">
        <f t="shared" si="37"/>
        <v>13.350051125925924</v>
      </c>
      <c r="N217" s="9"/>
      <c r="O217" s="22">
        <v>0.94238299999999997</v>
      </c>
      <c r="P217" s="22">
        <v>11.2685</v>
      </c>
      <c r="Q217" s="22">
        <v>-1.3797E-2</v>
      </c>
      <c r="R217" s="22">
        <v>207</v>
      </c>
      <c r="S217" s="22">
        <v>0.94085700000000005</v>
      </c>
      <c r="T217">
        <f t="shared" si="38"/>
        <v>17.033333333333331</v>
      </c>
      <c r="U217">
        <f t="shared" si="39"/>
        <v>16.051923766666665</v>
      </c>
      <c r="X217" s="9"/>
      <c r="Y217" s="22">
        <v>0.77773999999999999</v>
      </c>
      <c r="Z217" s="22">
        <v>16.853200000000001</v>
      </c>
      <c r="AA217" s="22">
        <v>-1.3864100000000001E-2</v>
      </c>
      <c r="AB217" s="22">
        <v>207</v>
      </c>
      <c r="AC217" s="22">
        <v>0.77667200000000003</v>
      </c>
      <c r="AD217">
        <f t="shared" si="40"/>
        <v>17.11617283950617</v>
      </c>
      <c r="AE217">
        <f t="shared" si="41"/>
        <v>13.311932264197528</v>
      </c>
      <c r="AF217" s="9"/>
      <c r="AG217" s="22">
        <v>0.94238299999999997</v>
      </c>
      <c r="AH217" s="22">
        <v>20.712700000000002</v>
      </c>
      <c r="AI217" s="22">
        <v>-1.37146E-2</v>
      </c>
      <c r="AJ217" s="22">
        <v>207</v>
      </c>
      <c r="AK217" s="22">
        <v>0.94116200000000005</v>
      </c>
      <c r="AL217">
        <f t="shared" si="42"/>
        <v>16.931604938271605</v>
      </c>
      <c r="AM217">
        <f t="shared" si="43"/>
        <v>15.956056656543209</v>
      </c>
      <c r="AP217" s="9"/>
      <c r="AQ217" s="22">
        <v>0.77773999999999999</v>
      </c>
      <c r="AR217" s="22">
        <v>26.1585</v>
      </c>
      <c r="AS217" s="22">
        <v>-1.38885E-2</v>
      </c>
      <c r="AT217" s="22">
        <v>207</v>
      </c>
      <c r="AU217" s="22">
        <v>0.77636700000000003</v>
      </c>
      <c r="AV217">
        <f t="shared" si="44"/>
        <v>17.146296296296295</v>
      </c>
      <c r="AW217">
        <f t="shared" si="45"/>
        <v>13.33536048148148</v>
      </c>
      <c r="AX217" s="9"/>
      <c r="AY217" s="22">
        <v>0.94238299999999997</v>
      </c>
      <c r="AZ217" s="22">
        <v>30.017900000000001</v>
      </c>
      <c r="BA217" s="22">
        <v>-1.3766499999999999E-2</v>
      </c>
      <c r="BB217" s="22">
        <v>207</v>
      </c>
      <c r="BC217" s="22">
        <v>0.94116200000000005</v>
      </c>
      <c r="BD217">
        <f t="shared" si="46"/>
        <v>16.995679012345676</v>
      </c>
      <c r="BE217">
        <f t="shared" si="47"/>
        <v>16.016438974691354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0.77270499999999998</v>
      </c>
      <c r="H218" s="22">
        <v>7.4191000000000003</v>
      </c>
      <c r="I218" s="22">
        <v>-1.3903799999999999E-2</v>
      </c>
      <c r="J218" s="22">
        <v>208</v>
      </c>
      <c r="K218" s="22">
        <v>0.77178999999999998</v>
      </c>
      <c r="L218">
        <f t="shared" si="36"/>
        <v>17.165185185185184</v>
      </c>
      <c r="M218">
        <f t="shared" si="37"/>
        <v>13.263624418518518</v>
      </c>
      <c r="N218" s="9"/>
      <c r="O218" s="22">
        <v>0.94741799999999998</v>
      </c>
      <c r="P218" s="22">
        <v>11.278600000000001</v>
      </c>
      <c r="Q218" s="22">
        <v>-1.37939E-2</v>
      </c>
      <c r="R218" s="22">
        <v>208</v>
      </c>
      <c r="S218" s="22">
        <v>0.94604500000000002</v>
      </c>
      <c r="T218">
        <f t="shared" si="38"/>
        <v>17.029506172839504</v>
      </c>
      <c r="U218">
        <f t="shared" si="39"/>
        <v>16.134060679259257</v>
      </c>
      <c r="X218" s="9"/>
      <c r="Y218" s="22">
        <v>0.77270499999999998</v>
      </c>
      <c r="Z218" s="22">
        <v>16.863299999999999</v>
      </c>
      <c r="AA218" s="22">
        <v>-1.3864100000000001E-2</v>
      </c>
      <c r="AB218" s="22">
        <v>208</v>
      </c>
      <c r="AC218" s="22">
        <v>0.77178999999999998</v>
      </c>
      <c r="AD218">
        <f t="shared" si="40"/>
        <v>17.11617283950617</v>
      </c>
      <c r="AE218">
        <f t="shared" si="41"/>
        <v>13.225752333950615</v>
      </c>
      <c r="AF218" s="9"/>
      <c r="AG218" s="22">
        <v>0.94741799999999998</v>
      </c>
      <c r="AH218" s="22">
        <v>20.722799999999999</v>
      </c>
      <c r="AI218" s="22">
        <v>-1.37146E-2</v>
      </c>
      <c r="AJ218" s="22">
        <v>208</v>
      </c>
      <c r="AK218" s="22">
        <v>0.94635000000000002</v>
      </c>
      <c r="AL218">
        <f t="shared" si="42"/>
        <v>16.931604938271605</v>
      </c>
      <c r="AM218">
        <f t="shared" si="43"/>
        <v>16.041307287407406</v>
      </c>
      <c r="AP218" s="9"/>
      <c r="AQ218" s="22">
        <v>0.77270499999999998</v>
      </c>
      <c r="AR218" s="22">
        <v>26.168500000000002</v>
      </c>
      <c r="AS218" s="22">
        <v>-1.38916E-2</v>
      </c>
      <c r="AT218" s="22">
        <v>208</v>
      </c>
      <c r="AU218" s="22">
        <v>0.77209499999999998</v>
      </c>
      <c r="AV218">
        <f t="shared" si="44"/>
        <v>17.150123456790123</v>
      </c>
      <c r="AW218">
        <f t="shared" si="45"/>
        <v>13.251986145679011</v>
      </c>
      <c r="AX218" s="9"/>
      <c r="AY218" s="22">
        <v>0.94741799999999998</v>
      </c>
      <c r="AZ218" s="22">
        <v>30.027999999999999</v>
      </c>
      <c r="BA218" s="22">
        <v>-1.3775600000000001E-2</v>
      </c>
      <c r="BB218" s="22">
        <v>208</v>
      </c>
      <c r="BC218" s="22">
        <v>0.94696000000000002</v>
      </c>
      <c r="BD218">
        <f t="shared" si="46"/>
        <v>17.006913580246916</v>
      </c>
      <c r="BE218">
        <f t="shared" si="47"/>
        <v>16.112656050370372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0.76766999999999996</v>
      </c>
      <c r="H219" s="22">
        <v>7.4291700000000001</v>
      </c>
      <c r="I219" s="22">
        <v>-1.3894699999999999E-2</v>
      </c>
      <c r="J219" s="22">
        <v>209</v>
      </c>
      <c r="K219" s="22">
        <v>0.76690700000000001</v>
      </c>
      <c r="L219">
        <f t="shared" si="36"/>
        <v>17.153950617283947</v>
      </c>
      <c r="M219">
        <f t="shared" si="37"/>
        <v>13.168573270370366</v>
      </c>
      <c r="N219" s="9"/>
      <c r="O219" s="22">
        <v>0.95245400000000002</v>
      </c>
      <c r="P219" s="22">
        <v>11.288600000000001</v>
      </c>
      <c r="Q219" s="22">
        <v>-1.3797E-2</v>
      </c>
      <c r="R219" s="22">
        <v>209</v>
      </c>
      <c r="S219" s="22">
        <v>0.951233</v>
      </c>
      <c r="T219">
        <f t="shared" si="38"/>
        <v>17.033333333333331</v>
      </c>
      <c r="U219">
        <f t="shared" si="39"/>
        <v>16.223466466666665</v>
      </c>
      <c r="X219" s="9"/>
      <c r="Y219" s="22">
        <v>0.76766999999999996</v>
      </c>
      <c r="Z219" s="22">
        <v>16.8734</v>
      </c>
      <c r="AA219" s="22">
        <v>-1.3870199999999999E-2</v>
      </c>
      <c r="AB219" s="22">
        <v>209</v>
      </c>
      <c r="AC219" s="22">
        <v>0.76690700000000001</v>
      </c>
      <c r="AD219">
        <f t="shared" si="40"/>
        <v>17.123703703703701</v>
      </c>
      <c r="AE219">
        <f t="shared" si="41"/>
        <v>13.145353622222219</v>
      </c>
      <c r="AF219" s="9"/>
      <c r="AG219" s="22">
        <v>0.95245400000000002</v>
      </c>
      <c r="AH219" s="22">
        <v>20.732800000000001</v>
      </c>
      <c r="AI219" s="22">
        <v>-1.3717699999999999E-2</v>
      </c>
      <c r="AJ219" s="22">
        <v>209</v>
      </c>
      <c r="AK219" s="22">
        <v>0.951233</v>
      </c>
      <c r="AL219">
        <f t="shared" si="42"/>
        <v>16.935432098765432</v>
      </c>
      <c r="AM219">
        <f t="shared" si="43"/>
        <v>16.130220044197532</v>
      </c>
      <c r="AP219" s="9"/>
      <c r="AQ219" s="22">
        <v>0.76766999999999996</v>
      </c>
      <c r="AR219" s="22">
        <v>26.178599999999999</v>
      </c>
      <c r="AS219" s="22">
        <v>-1.38885E-2</v>
      </c>
      <c r="AT219" s="22">
        <v>209</v>
      </c>
      <c r="AU219" s="22">
        <v>0.76721200000000001</v>
      </c>
      <c r="AV219">
        <f t="shared" si="44"/>
        <v>17.146296296296295</v>
      </c>
      <c r="AW219">
        <f t="shared" si="45"/>
        <v>13.162697277777777</v>
      </c>
      <c r="AX219" s="9"/>
      <c r="AY219" s="22">
        <v>0.95245400000000002</v>
      </c>
      <c r="AZ219" s="22">
        <v>30.0381</v>
      </c>
      <c r="BA219" s="22">
        <v>-1.3787799999999999E-2</v>
      </c>
      <c r="BB219" s="22">
        <v>209</v>
      </c>
      <c r="BC219" s="22">
        <v>0.95184299999999999</v>
      </c>
      <c r="BD219">
        <f t="shared" si="46"/>
        <v>17.021975308641974</v>
      </c>
      <c r="BE219">
        <f t="shared" si="47"/>
        <v>16.212648470617282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0.76263400000000003</v>
      </c>
      <c r="H220" s="22">
        <v>7.4392399999999999</v>
      </c>
      <c r="I220" s="22">
        <v>-1.3894699999999999E-2</v>
      </c>
      <c r="J220" s="22">
        <v>210</v>
      </c>
      <c r="K220" s="22">
        <v>0.76141400000000004</v>
      </c>
      <c r="L220">
        <f t="shared" si="36"/>
        <v>17.153950617283947</v>
      </c>
      <c r="M220">
        <f t="shared" si="37"/>
        <v>13.082185975061726</v>
      </c>
      <c r="N220" s="9"/>
      <c r="O220" s="22">
        <v>0.95748900000000003</v>
      </c>
      <c r="P220" s="22">
        <v>11.2987</v>
      </c>
      <c r="Q220" s="22">
        <v>-1.38E-2</v>
      </c>
      <c r="R220" s="22">
        <v>210</v>
      </c>
      <c r="S220" s="22">
        <v>0.95611599999999997</v>
      </c>
      <c r="T220">
        <f t="shared" si="38"/>
        <v>17.037037037037035</v>
      </c>
      <c r="U220">
        <f t="shared" si="39"/>
        <v>16.312775555555554</v>
      </c>
      <c r="X220" s="9"/>
      <c r="Y220" s="22">
        <v>0.76263400000000003</v>
      </c>
      <c r="Z220" s="22">
        <v>16.883400000000002</v>
      </c>
      <c r="AA220" s="22">
        <v>-1.3864100000000001E-2</v>
      </c>
      <c r="AB220" s="22">
        <v>210</v>
      </c>
      <c r="AC220" s="22">
        <v>0.76141400000000004</v>
      </c>
      <c r="AD220">
        <f t="shared" si="40"/>
        <v>17.11617283950617</v>
      </c>
      <c r="AE220">
        <f t="shared" si="41"/>
        <v>13.053375357283949</v>
      </c>
      <c r="AF220" s="9"/>
      <c r="AG220" s="22">
        <v>0.95748900000000003</v>
      </c>
      <c r="AH220" s="22">
        <v>20.742899999999999</v>
      </c>
      <c r="AI220" s="22">
        <v>-1.3717699999999999E-2</v>
      </c>
      <c r="AJ220" s="22">
        <v>210</v>
      </c>
      <c r="AK220" s="22">
        <v>0.95611599999999997</v>
      </c>
      <c r="AL220">
        <f t="shared" si="42"/>
        <v>16.935432098765432</v>
      </c>
      <c r="AM220">
        <f t="shared" si="43"/>
        <v>16.215489944814816</v>
      </c>
      <c r="AP220" s="9"/>
      <c r="AQ220" s="22">
        <v>0.76263400000000003</v>
      </c>
      <c r="AR220" s="22">
        <v>26.188700000000001</v>
      </c>
      <c r="AS220" s="22">
        <v>-1.38855E-2</v>
      </c>
      <c r="AT220" s="22">
        <v>210</v>
      </c>
      <c r="AU220" s="22">
        <v>0.76202400000000003</v>
      </c>
      <c r="AV220">
        <f t="shared" si="44"/>
        <v>17.142592592592592</v>
      </c>
      <c r="AW220">
        <f t="shared" si="45"/>
        <v>13.07352395925926</v>
      </c>
      <c r="AX220" s="9"/>
      <c r="AY220" s="22">
        <v>0.95748900000000003</v>
      </c>
      <c r="AZ220" s="22">
        <v>30.048100000000002</v>
      </c>
      <c r="BA220" s="22">
        <v>-1.37848E-2</v>
      </c>
      <c r="BB220" s="22">
        <v>210</v>
      </c>
      <c r="BC220" s="22">
        <v>0.95642099999999997</v>
      </c>
      <c r="BD220">
        <f t="shared" si="46"/>
        <v>17.018271604938271</v>
      </c>
      <c r="BE220">
        <f t="shared" si="47"/>
        <v>16.29480786074074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0.75759900000000002</v>
      </c>
      <c r="H221" s="22">
        <v>7.4493099999999997</v>
      </c>
      <c r="I221" s="22">
        <v>-1.3897700000000001E-2</v>
      </c>
      <c r="J221" s="22">
        <v>211</v>
      </c>
      <c r="K221" s="22">
        <v>0.75653099999999995</v>
      </c>
      <c r="L221">
        <f t="shared" si="36"/>
        <v>17.157654320987653</v>
      </c>
      <c r="M221">
        <f t="shared" si="37"/>
        <v>12.998621755925926</v>
      </c>
      <c r="N221" s="9"/>
      <c r="O221" s="22">
        <v>0.96252400000000005</v>
      </c>
      <c r="P221" s="22">
        <v>11.3088</v>
      </c>
      <c r="Q221" s="22">
        <v>-1.38E-2</v>
      </c>
      <c r="R221" s="22">
        <v>211</v>
      </c>
      <c r="S221" s="22">
        <v>0.96160900000000005</v>
      </c>
      <c r="T221">
        <f t="shared" si="38"/>
        <v>17.037037037037035</v>
      </c>
      <c r="U221">
        <f t="shared" si="39"/>
        <v>16.398557037037037</v>
      </c>
      <c r="X221" s="9"/>
      <c r="Y221" s="22">
        <v>0.75759900000000002</v>
      </c>
      <c r="Z221" s="22">
        <v>16.8935</v>
      </c>
      <c r="AA221" s="22">
        <v>-1.3876299999999999E-2</v>
      </c>
      <c r="AB221" s="22">
        <v>211</v>
      </c>
      <c r="AC221" s="22">
        <v>0.75653099999999995</v>
      </c>
      <c r="AD221">
        <f t="shared" si="40"/>
        <v>17.131234567901231</v>
      </c>
      <c r="AE221">
        <f t="shared" si="41"/>
        <v>12.978606177407405</v>
      </c>
      <c r="AF221" s="9"/>
      <c r="AG221" s="22">
        <v>0.96252400000000005</v>
      </c>
      <c r="AH221" s="22">
        <v>20.753</v>
      </c>
      <c r="AI221" s="22">
        <v>-1.37115E-2</v>
      </c>
      <c r="AJ221" s="22">
        <v>211</v>
      </c>
      <c r="AK221" s="22">
        <v>0.96160900000000005</v>
      </c>
      <c r="AL221">
        <f t="shared" si="42"/>
        <v>16.927777777777777</v>
      </c>
      <c r="AM221">
        <f t="shared" si="43"/>
        <v>16.293392377777778</v>
      </c>
      <c r="AP221" s="9"/>
      <c r="AQ221" s="22">
        <v>0.75759900000000002</v>
      </c>
      <c r="AR221" s="22">
        <v>26.198699999999999</v>
      </c>
      <c r="AS221" s="22">
        <v>-1.38824E-2</v>
      </c>
      <c r="AT221" s="22">
        <v>211</v>
      </c>
      <c r="AU221" s="22">
        <v>0.75683599999999995</v>
      </c>
      <c r="AV221">
        <f t="shared" si="44"/>
        <v>17.138765432098765</v>
      </c>
      <c r="AW221">
        <f t="shared" si="45"/>
        <v>12.984311552592592</v>
      </c>
      <c r="AX221" s="9"/>
      <c r="AY221" s="22">
        <v>0.96252400000000005</v>
      </c>
      <c r="AZ221" s="22">
        <v>30.058199999999999</v>
      </c>
      <c r="BA221" s="22">
        <v>-1.3781699999999999E-2</v>
      </c>
      <c r="BB221" s="22">
        <v>211</v>
      </c>
      <c r="BC221" s="22">
        <v>0.96160900000000005</v>
      </c>
      <c r="BD221">
        <f t="shared" si="46"/>
        <v>17.014444444444443</v>
      </c>
      <c r="BE221">
        <f t="shared" si="47"/>
        <v>16.376811124444444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0.75256299999999998</v>
      </c>
      <c r="H222" s="22">
        <v>7.4593800000000003</v>
      </c>
      <c r="I222" s="22">
        <v>-1.3903799999999999E-2</v>
      </c>
      <c r="J222" s="22">
        <v>212</v>
      </c>
      <c r="K222" s="22">
        <v>0.75164799999999998</v>
      </c>
      <c r="L222">
        <f t="shared" si="36"/>
        <v>17.165185185185184</v>
      </c>
      <c r="M222">
        <f t="shared" si="37"/>
        <v>12.917883258518517</v>
      </c>
      <c r="N222" s="9"/>
      <c r="O222" s="22">
        <v>0.96755999999999998</v>
      </c>
      <c r="P222" s="22">
        <v>11.318899999999999</v>
      </c>
      <c r="Q222" s="22">
        <v>-1.37939E-2</v>
      </c>
      <c r="R222" s="22">
        <v>212</v>
      </c>
      <c r="S222" s="22">
        <v>0.96679700000000002</v>
      </c>
      <c r="T222">
        <f t="shared" si="38"/>
        <v>17.029506172839504</v>
      </c>
      <c r="U222">
        <f t="shared" si="39"/>
        <v>16.477068992592589</v>
      </c>
      <c r="X222" s="9"/>
      <c r="Y222" s="22">
        <v>0.75256299999999998</v>
      </c>
      <c r="Z222" s="22">
        <v>16.903600000000001</v>
      </c>
      <c r="AA222" s="22">
        <v>-1.38824E-2</v>
      </c>
      <c r="AB222" s="22">
        <v>212</v>
      </c>
      <c r="AC222" s="22">
        <v>0.75164799999999998</v>
      </c>
      <c r="AD222">
        <f t="shared" si="40"/>
        <v>17.138765432098765</v>
      </c>
      <c r="AE222">
        <f t="shared" si="41"/>
        <v>12.898000729876543</v>
      </c>
      <c r="AF222" s="9"/>
      <c r="AG222" s="22">
        <v>0.96755999999999998</v>
      </c>
      <c r="AH222" s="22">
        <v>20.763100000000001</v>
      </c>
      <c r="AI222" s="22">
        <v>-1.37054E-2</v>
      </c>
      <c r="AJ222" s="22">
        <v>212</v>
      </c>
      <c r="AK222" s="22">
        <v>0.96618700000000002</v>
      </c>
      <c r="AL222">
        <f t="shared" si="42"/>
        <v>16.920246913580247</v>
      </c>
      <c r="AM222">
        <f t="shared" si="43"/>
        <v>16.371354103703702</v>
      </c>
      <c r="AP222" s="9"/>
      <c r="AQ222" s="22">
        <v>0.75256299999999998</v>
      </c>
      <c r="AR222" s="22">
        <v>26.2088</v>
      </c>
      <c r="AS222" s="22">
        <v>-1.38916E-2</v>
      </c>
      <c r="AT222" s="22">
        <v>212</v>
      </c>
      <c r="AU222" s="22">
        <v>0.75103799999999998</v>
      </c>
      <c r="AV222">
        <f t="shared" si="44"/>
        <v>17.150123456790123</v>
      </c>
      <c r="AW222">
        <f t="shared" si="45"/>
        <v>12.906548359012344</v>
      </c>
      <c r="AX222" s="9"/>
      <c r="AY222" s="22">
        <v>0.96755999999999998</v>
      </c>
      <c r="AZ222" s="22">
        <v>30.068300000000001</v>
      </c>
      <c r="BA222" s="22">
        <v>-1.3787799999999999E-2</v>
      </c>
      <c r="BB222" s="22">
        <v>212</v>
      </c>
      <c r="BC222" s="22">
        <v>0.96649200000000002</v>
      </c>
      <c r="BD222">
        <f t="shared" si="46"/>
        <v>17.021975308641974</v>
      </c>
      <c r="BE222">
        <f t="shared" si="47"/>
        <v>16.469782429629628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0.74752799999999997</v>
      </c>
      <c r="H223" s="22">
        <v>7.4694500000000001</v>
      </c>
      <c r="I223" s="22">
        <v>-1.39008E-2</v>
      </c>
      <c r="J223" s="22">
        <v>213</v>
      </c>
      <c r="K223" s="22">
        <v>0.74682599999999999</v>
      </c>
      <c r="L223">
        <f t="shared" si="36"/>
        <v>17.161481481481481</v>
      </c>
      <c r="M223">
        <f t="shared" si="37"/>
        <v>12.828687928888888</v>
      </c>
      <c r="N223" s="9"/>
      <c r="O223" s="22">
        <v>0.97259499999999999</v>
      </c>
      <c r="P223" s="22">
        <v>11.328900000000001</v>
      </c>
      <c r="Q223" s="22">
        <v>-1.37939E-2</v>
      </c>
      <c r="R223" s="22">
        <v>213</v>
      </c>
      <c r="S223" s="22">
        <v>0.97106899999999996</v>
      </c>
      <c r="T223">
        <f t="shared" si="38"/>
        <v>17.029506172839504</v>
      </c>
      <c r="U223">
        <f t="shared" si="39"/>
        <v>16.562812556172837</v>
      </c>
      <c r="X223" s="9"/>
      <c r="Y223" s="22">
        <v>0.74752799999999997</v>
      </c>
      <c r="Z223" s="22">
        <v>16.913699999999999</v>
      </c>
      <c r="AA223" s="22">
        <v>-1.38824E-2</v>
      </c>
      <c r="AB223" s="22">
        <v>213</v>
      </c>
      <c r="AC223" s="22">
        <v>0.74688699999999997</v>
      </c>
      <c r="AD223">
        <f t="shared" si="40"/>
        <v>17.138765432098765</v>
      </c>
      <c r="AE223">
        <f t="shared" si="41"/>
        <v>12.811707045925925</v>
      </c>
      <c r="AF223" s="9"/>
      <c r="AG223" s="22">
        <v>0.97259499999999999</v>
      </c>
      <c r="AH223" s="22">
        <v>20.773099999999999</v>
      </c>
      <c r="AI223" s="22">
        <v>-1.3693200000000001E-2</v>
      </c>
      <c r="AJ223" s="22">
        <v>213</v>
      </c>
      <c r="AK223" s="22">
        <v>0.97198499999999999</v>
      </c>
      <c r="AL223">
        <f t="shared" si="42"/>
        <v>16.905185185185186</v>
      </c>
      <c r="AM223">
        <f t="shared" si="43"/>
        <v>16.441898585185186</v>
      </c>
      <c r="AP223" s="9"/>
      <c r="AQ223" s="22">
        <v>0.74752799999999997</v>
      </c>
      <c r="AR223" s="22">
        <v>26.218900000000001</v>
      </c>
      <c r="AS223" s="22">
        <v>-1.3894699999999999E-2</v>
      </c>
      <c r="AT223" s="22">
        <v>213</v>
      </c>
      <c r="AU223" s="22">
        <v>0.74688699999999997</v>
      </c>
      <c r="AV223">
        <f t="shared" si="44"/>
        <v>17.153950617283947</v>
      </c>
      <c r="AW223">
        <f t="shared" si="45"/>
        <v>12.823058397037034</v>
      </c>
      <c r="AX223" s="9"/>
      <c r="AY223" s="22">
        <v>0.97259499999999999</v>
      </c>
      <c r="AZ223" s="22">
        <v>30.078399999999998</v>
      </c>
      <c r="BA223" s="22">
        <v>-1.3787799999999999E-2</v>
      </c>
      <c r="BB223" s="22">
        <v>213</v>
      </c>
      <c r="BC223" s="22">
        <v>0.97167999999999999</v>
      </c>
      <c r="BD223">
        <f t="shared" si="46"/>
        <v>17.021975308641974</v>
      </c>
      <c r="BE223">
        <f t="shared" si="47"/>
        <v>16.555488075308642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0.74249299999999996</v>
      </c>
      <c r="H224" s="22">
        <v>7.4795199999999999</v>
      </c>
      <c r="I224" s="22">
        <v>-1.3897700000000001E-2</v>
      </c>
      <c r="J224" s="22">
        <v>214</v>
      </c>
      <c r="K224" s="22">
        <v>0.74182099999999995</v>
      </c>
      <c r="L224">
        <f t="shared" si="36"/>
        <v>17.157654320987653</v>
      </c>
      <c r="M224">
        <f t="shared" si="37"/>
        <v>12.739438229753086</v>
      </c>
      <c r="N224" s="9"/>
      <c r="O224" s="22">
        <v>0.97763100000000003</v>
      </c>
      <c r="P224" s="22">
        <v>11.339</v>
      </c>
      <c r="Q224" s="22">
        <v>-1.38031E-2</v>
      </c>
      <c r="R224" s="22">
        <v>214</v>
      </c>
      <c r="S224" s="22">
        <v>0.97656299999999996</v>
      </c>
      <c r="T224">
        <f t="shared" si="38"/>
        <v>17.040864197530862</v>
      </c>
      <c r="U224">
        <f t="shared" si="39"/>
        <v>16.659677106296293</v>
      </c>
      <c r="X224" s="9"/>
      <c r="Y224" s="22">
        <v>0.74249299999999996</v>
      </c>
      <c r="Z224" s="22">
        <v>16.9237</v>
      </c>
      <c r="AA224" s="22">
        <v>-1.38733E-2</v>
      </c>
      <c r="AB224" s="22">
        <v>214</v>
      </c>
      <c r="AC224" s="22">
        <v>0.74179099999999998</v>
      </c>
      <c r="AD224">
        <f t="shared" si="40"/>
        <v>17.127530864197528</v>
      </c>
      <c r="AE224">
        <f t="shared" si="41"/>
        <v>12.717071773950614</v>
      </c>
      <c r="AF224" s="9"/>
      <c r="AG224" s="22">
        <v>0.97763100000000003</v>
      </c>
      <c r="AH224" s="22">
        <v>20.783200000000001</v>
      </c>
      <c r="AI224" s="22">
        <v>-1.3693200000000001E-2</v>
      </c>
      <c r="AJ224" s="22">
        <v>214</v>
      </c>
      <c r="AK224" s="22">
        <v>0.97686799999999996</v>
      </c>
      <c r="AL224">
        <f t="shared" si="42"/>
        <v>16.905185185185186</v>
      </c>
      <c r="AM224">
        <f t="shared" si="43"/>
        <v>16.527033097777778</v>
      </c>
      <c r="AP224" s="9"/>
      <c r="AQ224" s="22">
        <v>0.74249299999999996</v>
      </c>
      <c r="AR224" s="22">
        <v>26.228999999999999</v>
      </c>
      <c r="AS224" s="22">
        <v>-1.38916E-2</v>
      </c>
      <c r="AT224" s="22">
        <v>214</v>
      </c>
      <c r="AU224" s="22">
        <v>0.74179099999999998</v>
      </c>
      <c r="AV224">
        <f t="shared" si="44"/>
        <v>17.150123456790123</v>
      </c>
      <c r="AW224">
        <f t="shared" si="45"/>
        <v>12.733846615802468</v>
      </c>
      <c r="AX224" s="9"/>
      <c r="AY224" s="22">
        <v>0.97763100000000003</v>
      </c>
      <c r="AZ224" s="22">
        <v>30.0884</v>
      </c>
      <c r="BA224" s="22">
        <v>-1.37939E-2</v>
      </c>
      <c r="BB224" s="22">
        <v>214</v>
      </c>
      <c r="BC224" s="22">
        <v>0.97625700000000004</v>
      </c>
      <c r="BD224">
        <f t="shared" si="46"/>
        <v>17.029506172839504</v>
      </c>
      <c r="BE224">
        <f t="shared" si="47"/>
        <v>16.648573149259256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0.73745700000000003</v>
      </c>
      <c r="H225" s="22">
        <v>7.4895899999999997</v>
      </c>
      <c r="I225" s="22">
        <v>-1.39069E-2</v>
      </c>
      <c r="J225" s="22">
        <v>215</v>
      </c>
      <c r="K225" s="22">
        <v>0.73678600000000005</v>
      </c>
      <c r="L225">
        <f t="shared" si="36"/>
        <v>17.169012345679011</v>
      </c>
      <c r="M225">
        <f t="shared" si="37"/>
        <v>12.661408337407407</v>
      </c>
      <c r="N225" s="9"/>
      <c r="O225" s="22">
        <v>0.98266600000000004</v>
      </c>
      <c r="P225" s="22">
        <v>11.3491</v>
      </c>
      <c r="Q225" s="22">
        <v>-1.38123E-2</v>
      </c>
      <c r="R225" s="22">
        <v>215</v>
      </c>
      <c r="S225" s="22">
        <v>0.98083500000000001</v>
      </c>
      <c r="T225">
        <f t="shared" si="38"/>
        <v>17.052222222222223</v>
      </c>
      <c r="U225">
        <f t="shared" si="39"/>
        <v>16.756639002222222</v>
      </c>
      <c r="X225" s="9"/>
      <c r="Y225" s="22">
        <v>0.73745700000000003</v>
      </c>
      <c r="Z225" s="22">
        <v>16.933800000000002</v>
      </c>
      <c r="AA225" s="22">
        <v>-1.3861099999999999E-2</v>
      </c>
      <c r="AB225" s="22">
        <v>215</v>
      </c>
      <c r="AC225" s="22">
        <v>0.73678600000000005</v>
      </c>
      <c r="AD225">
        <f t="shared" si="40"/>
        <v>17.112469135802467</v>
      </c>
      <c r="AE225">
        <f t="shared" si="41"/>
        <v>12.619710151481481</v>
      </c>
      <c r="AF225" s="9"/>
      <c r="AG225" s="22">
        <v>0.98266600000000004</v>
      </c>
      <c r="AH225" s="22">
        <v>20.793299999999999</v>
      </c>
      <c r="AI225" s="22">
        <v>-1.36963E-2</v>
      </c>
      <c r="AJ225" s="22">
        <v>215</v>
      </c>
      <c r="AK225" s="22">
        <v>0.98083500000000001</v>
      </c>
      <c r="AL225">
        <f t="shared" si="42"/>
        <v>16.90901234567901</v>
      </c>
      <c r="AM225">
        <f t="shared" si="43"/>
        <v>16.61591152567901</v>
      </c>
      <c r="AP225" s="9"/>
      <c r="AQ225" s="22">
        <v>0.73745700000000003</v>
      </c>
      <c r="AR225" s="22">
        <v>26.239000000000001</v>
      </c>
      <c r="AS225" s="22">
        <v>-1.3897700000000001E-2</v>
      </c>
      <c r="AT225" s="22">
        <v>215</v>
      </c>
      <c r="AU225" s="22">
        <v>0.73678600000000005</v>
      </c>
      <c r="AV225">
        <f t="shared" si="44"/>
        <v>17.157654320987653</v>
      </c>
      <c r="AW225">
        <f t="shared" si="45"/>
        <v>12.653032282592592</v>
      </c>
      <c r="AX225" s="9"/>
      <c r="AY225" s="22">
        <v>0.98266600000000004</v>
      </c>
      <c r="AZ225" s="22">
        <v>30.098500000000001</v>
      </c>
      <c r="BA225" s="22">
        <v>-1.37848E-2</v>
      </c>
      <c r="BB225" s="22">
        <v>215</v>
      </c>
      <c r="BC225" s="22">
        <v>0.98175000000000001</v>
      </c>
      <c r="BD225">
        <f t="shared" si="46"/>
        <v>17.018271604938271</v>
      </c>
      <c r="BE225">
        <f t="shared" si="47"/>
        <v>16.723276884938272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0.73242200000000002</v>
      </c>
      <c r="H226" s="22">
        <v>7.4996700000000001</v>
      </c>
      <c r="I226" s="22">
        <v>-1.39008E-2</v>
      </c>
      <c r="J226" s="22">
        <v>216</v>
      </c>
      <c r="K226" s="22">
        <v>0.73184199999999999</v>
      </c>
      <c r="L226">
        <f t="shared" si="36"/>
        <v>17.161481481481481</v>
      </c>
      <c r="M226">
        <f t="shared" si="37"/>
        <v>12.56944658962963</v>
      </c>
      <c r="N226" s="9"/>
      <c r="O226" s="22">
        <v>0.98770100000000005</v>
      </c>
      <c r="P226" s="22">
        <v>11.3591</v>
      </c>
      <c r="Q226" s="22">
        <v>-1.38275E-2</v>
      </c>
      <c r="R226" s="22">
        <v>216</v>
      </c>
      <c r="S226" s="22">
        <v>0.98693799999999998</v>
      </c>
      <c r="T226">
        <f t="shared" si="38"/>
        <v>17.070987654320987</v>
      </c>
      <c r="U226">
        <f t="shared" si="39"/>
        <v>16.861031577160496</v>
      </c>
      <c r="X226" s="9"/>
      <c r="Y226" s="22">
        <v>0.73242200000000002</v>
      </c>
      <c r="Z226" s="22">
        <v>16.943899999999999</v>
      </c>
      <c r="AA226" s="22">
        <v>-1.38672E-2</v>
      </c>
      <c r="AB226" s="22">
        <v>216</v>
      </c>
      <c r="AC226" s="22">
        <v>0.73168900000000003</v>
      </c>
      <c r="AD226">
        <f t="shared" si="40"/>
        <v>17.12</v>
      </c>
      <c r="AE226">
        <f t="shared" si="41"/>
        <v>12.539064640000001</v>
      </c>
      <c r="AF226" s="9"/>
      <c r="AG226" s="22">
        <v>0.98770100000000005</v>
      </c>
      <c r="AH226" s="22">
        <v>20.8033</v>
      </c>
      <c r="AI226" s="22">
        <v>-1.3693200000000001E-2</v>
      </c>
      <c r="AJ226" s="22">
        <v>216</v>
      </c>
      <c r="AK226" s="22">
        <v>0.98693799999999998</v>
      </c>
      <c r="AL226">
        <f t="shared" si="42"/>
        <v>16.905185185185186</v>
      </c>
      <c r="AM226">
        <f t="shared" si="43"/>
        <v>16.697268312592595</v>
      </c>
      <c r="AP226" s="9"/>
      <c r="AQ226" s="22">
        <v>0.73242200000000002</v>
      </c>
      <c r="AR226" s="22">
        <v>26.249099999999999</v>
      </c>
      <c r="AS226" s="22">
        <v>-1.39008E-2</v>
      </c>
      <c r="AT226" s="22">
        <v>216</v>
      </c>
      <c r="AU226" s="22">
        <v>0.73172000000000004</v>
      </c>
      <c r="AV226">
        <f t="shared" si="44"/>
        <v>17.161481481481481</v>
      </c>
      <c r="AW226">
        <f t="shared" si="45"/>
        <v>12.56944658962963</v>
      </c>
      <c r="AX226" s="9"/>
      <c r="AY226" s="22">
        <v>0.98770100000000005</v>
      </c>
      <c r="AZ226" s="22">
        <v>30.108599999999999</v>
      </c>
      <c r="BA226" s="22">
        <v>-1.3772599999999999E-2</v>
      </c>
      <c r="BB226" s="22">
        <v>216</v>
      </c>
      <c r="BC226" s="22">
        <v>0.98693799999999998</v>
      </c>
      <c r="BD226">
        <f t="shared" si="46"/>
        <v>17.00320987654321</v>
      </c>
      <c r="BE226">
        <f t="shared" si="47"/>
        <v>16.794087398271607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0.72738599999999998</v>
      </c>
      <c r="H227" s="22">
        <v>7.5097399999999999</v>
      </c>
      <c r="I227" s="22">
        <v>-1.3894699999999999E-2</v>
      </c>
      <c r="J227" s="22">
        <v>217</v>
      </c>
      <c r="K227" s="22">
        <v>0.72665400000000002</v>
      </c>
      <c r="L227">
        <f t="shared" si="36"/>
        <v>17.153950617283947</v>
      </c>
      <c r="M227">
        <f t="shared" si="37"/>
        <v>12.4775435237037</v>
      </c>
      <c r="N227" s="9"/>
      <c r="O227" s="22">
        <v>0.99273699999999998</v>
      </c>
      <c r="P227" s="22">
        <v>11.369199999999999</v>
      </c>
      <c r="Q227" s="22">
        <v>-1.38367E-2</v>
      </c>
      <c r="R227" s="22">
        <v>217</v>
      </c>
      <c r="S227" s="22">
        <v>0.99151599999999995</v>
      </c>
      <c r="T227">
        <f t="shared" si="38"/>
        <v>17.082345679012345</v>
      </c>
      <c r="U227">
        <f t="shared" si="39"/>
        <v>16.958276602345677</v>
      </c>
      <c r="X227" s="9"/>
      <c r="Y227" s="22">
        <v>0.72738599999999998</v>
      </c>
      <c r="Z227" s="22">
        <v>16.953900000000001</v>
      </c>
      <c r="AA227" s="22">
        <v>-1.38733E-2</v>
      </c>
      <c r="AB227" s="22">
        <v>217</v>
      </c>
      <c r="AC227" s="22">
        <v>0.72662400000000005</v>
      </c>
      <c r="AD227">
        <f t="shared" si="40"/>
        <v>17.127530864197528</v>
      </c>
      <c r="AE227">
        <f t="shared" si="41"/>
        <v>12.458326165185182</v>
      </c>
      <c r="AF227" s="9"/>
      <c r="AG227" s="22">
        <v>0.99273699999999998</v>
      </c>
      <c r="AH227" s="22">
        <v>20.813400000000001</v>
      </c>
      <c r="AI227" s="22">
        <v>-1.3699299999999999E-2</v>
      </c>
      <c r="AJ227" s="22">
        <v>217</v>
      </c>
      <c r="AK227" s="22">
        <v>0.99273699999999998</v>
      </c>
      <c r="AL227">
        <f t="shared" si="42"/>
        <v>16.912716049382716</v>
      </c>
      <c r="AM227">
        <f t="shared" si="43"/>
        <v>16.789878992716048</v>
      </c>
      <c r="AP227" s="9"/>
      <c r="AQ227" s="22">
        <v>0.72738599999999998</v>
      </c>
      <c r="AR227" s="22">
        <v>26.2592</v>
      </c>
      <c r="AS227" s="22">
        <v>-1.39008E-2</v>
      </c>
      <c r="AT227" s="22">
        <v>217</v>
      </c>
      <c r="AU227" s="22">
        <v>0.72668500000000003</v>
      </c>
      <c r="AV227">
        <f t="shared" si="44"/>
        <v>17.161481481481481</v>
      </c>
      <c r="AW227">
        <f t="shared" si="45"/>
        <v>12.483021368888888</v>
      </c>
      <c r="AX227" s="9"/>
      <c r="AY227" s="22">
        <v>0.99273699999999998</v>
      </c>
      <c r="AZ227" s="22">
        <v>30.118600000000001</v>
      </c>
      <c r="BA227" s="22">
        <v>-1.3754300000000001E-2</v>
      </c>
      <c r="BB227" s="22">
        <v>217</v>
      </c>
      <c r="BC227" s="22">
        <v>0.99182099999999995</v>
      </c>
      <c r="BD227">
        <f t="shared" si="46"/>
        <v>16.980617283950615</v>
      </c>
      <c r="BE227">
        <f t="shared" si="47"/>
        <v>16.857287060617281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0.72235099999999997</v>
      </c>
      <c r="H228" s="22">
        <v>7.5198099999999997</v>
      </c>
      <c r="I228" s="22">
        <v>-1.38916E-2</v>
      </c>
      <c r="J228" s="22">
        <v>218</v>
      </c>
      <c r="K228" s="22">
        <v>0.72164899999999998</v>
      </c>
      <c r="L228">
        <f t="shared" si="36"/>
        <v>17.150123456790123</v>
      </c>
      <c r="M228">
        <f t="shared" si="37"/>
        <v>12.388408829135802</v>
      </c>
      <c r="N228" s="9"/>
      <c r="O228" s="22">
        <v>0.99777199999999999</v>
      </c>
      <c r="P228" s="22">
        <v>11.379300000000001</v>
      </c>
      <c r="Q228" s="22">
        <v>-1.38397E-2</v>
      </c>
      <c r="R228" s="22">
        <v>218</v>
      </c>
      <c r="S228" s="22">
        <v>0.99639900000000003</v>
      </c>
      <c r="T228">
        <f t="shared" si="38"/>
        <v>17.086049382716048</v>
      </c>
      <c r="U228">
        <f t="shared" si="39"/>
        <v>17.047981664691356</v>
      </c>
      <c r="X228" s="9"/>
      <c r="Y228" s="22">
        <v>0.72235099999999997</v>
      </c>
      <c r="Z228" s="22">
        <v>16.963999999999999</v>
      </c>
      <c r="AA228" s="22">
        <v>-1.38824E-2</v>
      </c>
      <c r="AB228" s="22">
        <v>218</v>
      </c>
      <c r="AC228" s="22">
        <v>0.72164899999999998</v>
      </c>
      <c r="AD228">
        <f t="shared" si="40"/>
        <v>17.138765432098765</v>
      </c>
      <c r="AE228">
        <f t="shared" si="41"/>
        <v>12.380204348641975</v>
      </c>
      <c r="AF228" s="9"/>
      <c r="AG228" s="22">
        <v>0.99777199999999999</v>
      </c>
      <c r="AH228" s="22">
        <v>20.823499999999999</v>
      </c>
      <c r="AI228" s="22">
        <v>-1.3699299999999999E-2</v>
      </c>
      <c r="AJ228" s="22">
        <v>218</v>
      </c>
      <c r="AK228" s="22">
        <v>0.99700900000000003</v>
      </c>
      <c r="AL228">
        <f t="shared" si="42"/>
        <v>16.912716049382716</v>
      </c>
      <c r="AM228">
        <f t="shared" si="43"/>
        <v>16.875034518024691</v>
      </c>
      <c r="AP228" s="9"/>
      <c r="AQ228" s="22">
        <v>0.72235099999999997</v>
      </c>
      <c r="AR228" s="22">
        <v>26.269200000000001</v>
      </c>
      <c r="AS228" s="22">
        <v>-1.39069E-2</v>
      </c>
      <c r="AT228" s="22">
        <v>218</v>
      </c>
      <c r="AU228" s="22">
        <v>0.72161900000000001</v>
      </c>
      <c r="AV228">
        <f t="shared" si="44"/>
        <v>17.169012345679011</v>
      </c>
      <c r="AW228">
        <f t="shared" si="45"/>
        <v>12.402053236913579</v>
      </c>
      <c r="AX228" s="9"/>
      <c r="AY228" s="22">
        <v>0.99777199999999999</v>
      </c>
      <c r="AZ228" s="22">
        <v>30.128699999999998</v>
      </c>
      <c r="BA228" s="22">
        <v>-1.3732899999999999E-2</v>
      </c>
      <c r="BB228" s="22">
        <v>218</v>
      </c>
      <c r="BC228" s="22">
        <v>0.99700900000000003</v>
      </c>
      <c r="BD228">
        <f t="shared" si="46"/>
        <v>16.954197530864196</v>
      </c>
      <c r="BE228">
        <f t="shared" si="47"/>
        <v>16.916423578765432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0.71731599999999995</v>
      </c>
      <c r="H229" s="22">
        <v>7.5298800000000004</v>
      </c>
      <c r="I229" s="22">
        <v>-1.3897700000000001E-2</v>
      </c>
      <c r="J229" s="22">
        <v>219</v>
      </c>
      <c r="K229" s="22">
        <v>0.71670500000000004</v>
      </c>
      <c r="L229">
        <f t="shared" si="36"/>
        <v>17.157654320987653</v>
      </c>
      <c r="M229">
        <f t="shared" si="37"/>
        <v>12.307459966913578</v>
      </c>
      <c r="N229" s="9"/>
      <c r="O229" s="22">
        <v>1.00281</v>
      </c>
      <c r="P229" s="22">
        <v>11.3894</v>
      </c>
      <c r="Q229" s="22">
        <v>-1.38275E-2</v>
      </c>
      <c r="R229" s="22">
        <v>219</v>
      </c>
      <c r="S229" s="22">
        <v>1.0022</v>
      </c>
      <c r="T229">
        <f t="shared" si="38"/>
        <v>17.070987654320987</v>
      </c>
      <c r="U229">
        <f t="shared" si="39"/>
        <v>17.118957129629628</v>
      </c>
      <c r="X229" s="9"/>
      <c r="Y229" s="22">
        <v>0.71731599999999995</v>
      </c>
      <c r="Z229" s="22">
        <v>16.9741</v>
      </c>
      <c r="AA229" s="22">
        <v>-1.38916E-2</v>
      </c>
      <c r="AB229" s="22">
        <v>219</v>
      </c>
      <c r="AC229" s="22">
        <v>0.71661399999999997</v>
      </c>
      <c r="AD229">
        <f t="shared" si="40"/>
        <v>17.150123456790123</v>
      </c>
      <c r="AE229">
        <f t="shared" si="41"/>
        <v>12.302057957530863</v>
      </c>
      <c r="AF229" s="9"/>
      <c r="AG229" s="22">
        <v>1.00281</v>
      </c>
      <c r="AH229" s="22">
        <v>20.833600000000001</v>
      </c>
      <c r="AI229" s="22">
        <v>-1.37085E-2</v>
      </c>
      <c r="AJ229" s="22">
        <v>219</v>
      </c>
      <c r="AK229" s="22">
        <v>1.0018899999999999</v>
      </c>
      <c r="AL229">
        <f t="shared" si="42"/>
        <v>16.924074074074074</v>
      </c>
      <c r="AM229">
        <f t="shared" si="43"/>
        <v>16.971630722222223</v>
      </c>
      <c r="AP229" s="9"/>
      <c r="AQ229" s="22">
        <v>0.71731599999999995</v>
      </c>
      <c r="AR229" s="22">
        <v>26.279299999999999</v>
      </c>
      <c r="AS229" s="22">
        <v>-1.3909899999999999E-2</v>
      </c>
      <c r="AT229" s="22">
        <v>219</v>
      </c>
      <c r="AU229" s="22">
        <v>0.71667499999999995</v>
      </c>
      <c r="AV229">
        <f t="shared" si="44"/>
        <v>17.172716049382714</v>
      </c>
      <c r="AW229">
        <f t="shared" si="45"/>
        <v>12.31826398567901</v>
      </c>
      <c r="AX229" s="9"/>
      <c r="AY229" s="22">
        <v>1.00281</v>
      </c>
      <c r="AZ229" s="22">
        <v>30.1388</v>
      </c>
      <c r="BA229" s="22">
        <v>-1.3732899999999999E-2</v>
      </c>
      <c r="BB229" s="22">
        <v>219</v>
      </c>
      <c r="BC229" s="22">
        <v>1.00159</v>
      </c>
      <c r="BD229">
        <f t="shared" si="46"/>
        <v>16.954197530864196</v>
      </c>
      <c r="BE229">
        <f t="shared" si="47"/>
        <v>17.001838825925923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0.71228000000000002</v>
      </c>
      <c r="H230" s="22">
        <v>7.5399500000000002</v>
      </c>
      <c r="I230" s="22">
        <v>-1.39069E-2</v>
      </c>
      <c r="J230" s="22">
        <v>220</v>
      </c>
      <c r="K230" s="22">
        <v>0.71160900000000005</v>
      </c>
      <c r="L230">
        <f t="shared" si="36"/>
        <v>17.169012345679011</v>
      </c>
      <c r="M230">
        <f t="shared" si="37"/>
        <v>12.229144113580247</v>
      </c>
      <c r="N230" s="9"/>
      <c r="O230" s="22">
        <v>1.0078400000000001</v>
      </c>
      <c r="P230" s="22">
        <v>11.3994</v>
      </c>
      <c r="Q230" s="22">
        <v>-1.3821399999999999E-2</v>
      </c>
      <c r="R230" s="22">
        <v>220</v>
      </c>
      <c r="S230" s="22">
        <v>1.00647</v>
      </c>
      <c r="T230">
        <f t="shared" si="38"/>
        <v>17.063456790123453</v>
      </c>
      <c r="U230">
        <f t="shared" si="39"/>
        <v>17.197234291358022</v>
      </c>
      <c r="X230" s="9"/>
      <c r="Y230" s="22">
        <v>0.71228000000000002</v>
      </c>
      <c r="Z230" s="22">
        <v>16.984200000000001</v>
      </c>
      <c r="AA230" s="22">
        <v>-1.38916E-2</v>
      </c>
      <c r="AB230" s="22">
        <v>220</v>
      </c>
      <c r="AC230" s="22">
        <v>0.71160900000000005</v>
      </c>
      <c r="AD230">
        <f t="shared" si="40"/>
        <v>17.150123456790123</v>
      </c>
      <c r="AE230">
        <f t="shared" si="41"/>
        <v>12.21568993580247</v>
      </c>
      <c r="AF230" s="9"/>
      <c r="AG230" s="22">
        <v>1.0078400000000001</v>
      </c>
      <c r="AH230" s="22">
        <v>20.843599999999999</v>
      </c>
      <c r="AI230" s="22">
        <v>-1.3720700000000001E-2</v>
      </c>
      <c r="AJ230" s="22">
        <v>220</v>
      </c>
      <c r="AK230" s="22">
        <v>1.00647</v>
      </c>
      <c r="AL230">
        <f t="shared" si="42"/>
        <v>16.939135802469135</v>
      </c>
      <c r="AM230">
        <f t="shared" si="43"/>
        <v>17.071938627160495</v>
      </c>
      <c r="AP230" s="9"/>
      <c r="AQ230" s="22">
        <v>0.71228000000000002</v>
      </c>
      <c r="AR230" s="22">
        <v>26.289400000000001</v>
      </c>
      <c r="AS230" s="22">
        <v>-1.3916E-2</v>
      </c>
      <c r="AT230" s="22">
        <v>220</v>
      </c>
      <c r="AU230" s="22">
        <v>0.71154799999999996</v>
      </c>
      <c r="AV230">
        <f t="shared" si="44"/>
        <v>17.180246913580245</v>
      </c>
      <c r="AW230">
        <f t="shared" si="45"/>
        <v>12.237146271604937</v>
      </c>
      <c r="AX230" s="9"/>
      <c r="AY230" s="22">
        <v>1.0078400000000001</v>
      </c>
      <c r="AZ230" s="22">
        <v>30.148900000000001</v>
      </c>
      <c r="BA230" s="22">
        <v>-1.3732899999999999E-2</v>
      </c>
      <c r="BB230" s="22">
        <v>220</v>
      </c>
      <c r="BC230" s="22">
        <v>1.00708</v>
      </c>
      <c r="BD230">
        <f t="shared" si="46"/>
        <v>16.954197530864196</v>
      </c>
      <c r="BE230">
        <f t="shared" si="47"/>
        <v>17.087118439506174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0.70724500000000001</v>
      </c>
      <c r="H231" s="22">
        <v>7.55002</v>
      </c>
      <c r="I231" s="22">
        <v>-1.39069E-2</v>
      </c>
      <c r="J231" s="22">
        <v>221</v>
      </c>
      <c r="K231" s="22">
        <v>0.70657300000000001</v>
      </c>
      <c r="L231">
        <f t="shared" si="36"/>
        <v>17.169012345679011</v>
      </c>
      <c r="M231">
        <f t="shared" si="37"/>
        <v>12.142698136419753</v>
      </c>
      <c r="N231" s="9"/>
      <c r="O231" s="22">
        <v>1.01288</v>
      </c>
      <c r="P231" s="22">
        <v>11.4095</v>
      </c>
      <c r="Q231" s="22">
        <v>-1.3815300000000001E-2</v>
      </c>
      <c r="R231" s="22">
        <v>221</v>
      </c>
      <c r="S231" s="22">
        <v>1.01196</v>
      </c>
      <c r="T231">
        <f t="shared" si="38"/>
        <v>17.055925925925926</v>
      </c>
      <c r="U231">
        <f t="shared" si="39"/>
        <v>17.275606251851851</v>
      </c>
      <c r="X231" s="9"/>
      <c r="Y231" s="22">
        <v>0.70724500000000001</v>
      </c>
      <c r="Z231" s="22">
        <v>16.994199999999999</v>
      </c>
      <c r="AA231" s="22">
        <v>-1.38885E-2</v>
      </c>
      <c r="AB231" s="22">
        <v>221</v>
      </c>
      <c r="AC231" s="22">
        <v>0.70660400000000001</v>
      </c>
      <c r="AD231">
        <f t="shared" si="40"/>
        <v>17.146296296296295</v>
      </c>
      <c r="AE231">
        <f t="shared" si="41"/>
        <v>12.126632324074073</v>
      </c>
      <c r="AF231" s="9"/>
      <c r="AG231" s="22">
        <v>1.01288</v>
      </c>
      <c r="AH231" s="22">
        <v>20.8537</v>
      </c>
      <c r="AI231" s="22">
        <v>-1.3732899999999999E-2</v>
      </c>
      <c r="AJ231" s="22">
        <v>221</v>
      </c>
      <c r="AK231" s="22">
        <v>1.01227</v>
      </c>
      <c r="AL231">
        <f t="shared" si="42"/>
        <v>16.954197530864196</v>
      </c>
      <c r="AM231">
        <f t="shared" si="43"/>
        <v>17.172567595061725</v>
      </c>
      <c r="AP231" s="9"/>
      <c r="AQ231" s="22">
        <v>0.70724500000000001</v>
      </c>
      <c r="AR231" s="22">
        <v>26.299499999999998</v>
      </c>
      <c r="AS231" s="22">
        <v>-1.3913E-2</v>
      </c>
      <c r="AT231" s="22">
        <v>221</v>
      </c>
      <c r="AU231" s="22">
        <v>0.70663500000000001</v>
      </c>
      <c r="AV231">
        <f t="shared" si="44"/>
        <v>17.176543209876542</v>
      </c>
      <c r="AW231">
        <f t="shared" si="45"/>
        <v>12.148024302469135</v>
      </c>
      <c r="AX231" s="9"/>
      <c r="AY231" s="22">
        <v>1.01288</v>
      </c>
      <c r="AZ231" s="22">
        <v>30.158899999999999</v>
      </c>
      <c r="BA231" s="22">
        <v>-1.3736E-2</v>
      </c>
      <c r="BB231" s="22">
        <v>221</v>
      </c>
      <c r="BC231" s="22">
        <v>1.01196</v>
      </c>
      <c r="BD231">
        <f t="shared" si="46"/>
        <v>16.958024691358023</v>
      </c>
      <c r="BE231">
        <f t="shared" si="47"/>
        <v>17.176444049382713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0.70220899999999997</v>
      </c>
      <c r="H232" s="22">
        <v>7.5600899999999998</v>
      </c>
      <c r="I232" s="22">
        <v>-1.3897700000000001E-2</v>
      </c>
      <c r="J232" s="22">
        <v>222</v>
      </c>
      <c r="K232" s="22">
        <v>0.70153799999999999</v>
      </c>
      <c r="L232">
        <f t="shared" si="36"/>
        <v>17.157654320987653</v>
      </c>
      <c r="M232">
        <f t="shared" si="37"/>
        <v>12.048259283086418</v>
      </c>
      <c r="N232" s="9"/>
      <c r="O232" s="22">
        <v>1.0179100000000001</v>
      </c>
      <c r="P232" s="22">
        <v>11.419600000000001</v>
      </c>
      <c r="Q232" s="22">
        <v>-1.3809200000000001E-2</v>
      </c>
      <c r="R232" s="22">
        <v>222</v>
      </c>
      <c r="S232" s="22">
        <v>1.01746</v>
      </c>
      <c r="T232">
        <f t="shared" si="38"/>
        <v>17.048395061728392</v>
      </c>
      <c r="U232">
        <f t="shared" si="39"/>
        <v>17.353731817283951</v>
      </c>
      <c r="X232" s="9"/>
      <c r="Y232" s="22">
        <v>0.70220899999999997</v>
      </c>
      <c r="Z232" s="22">
        <v>17.004300000000001</v>
      </c>
      <c r="AA232" s="22">
        <v>-1.38855E-2</v>
      </c>
      <c r="AB232" s="22">
        <v>222</v>
      </c>
      <c r="AC232" s="22">
        <v>0.70150800000000002</v>
      </c>
      <c r="AD232">
        <f t="shared" si="40"/>
        <v>17.142592592592592</v>
      </c>
      <c r="AE232">
        <f t="shared" si="41"/>
        <v>12.037682801851851</v>
      </c>
      <c r="AF232" s="9"/>
      <c r="AG232" s="22">
        <v>1.0179100000000001</v>
      </c>
      <c r="AH232" s="22">
        <v>20.863800000000001</v>
      </c>
      <c r="AI232" s="22">
        <v>-1.37421E-2</v>
      </c>
      <c r="AJ232" s="22">
        <v>222</v>
      </c>
      <c r="AK232" s="22">
        <v>1.01654</v>
      </c>
      <c r="AL232">
        <f t="shared" si="42"/>
        <v>16.965555555555554</v>
      </c>
      <c r="AM232">
        <f t="shared" si="43"/>
        <v>17.269408655555555</v>
      </c>
      <c r="AP232" s="9"/>
      <c r="AQ232" s="22">
        <v>0.70220899999999997</v>
      </c>
      <c r="AR232" s="22">
        <v>26.3095</v>
      </c>
      <c r="AS232" s="22">
        <v>-1.3903799999999999E-2</v>
      </c>
      <c r="AT232" s="22">
        <v>222</v>
      </c>
      <c r="AU232" s="22">
        <v>0.70153799999999999</v>
      </c>
      <c r="AV232">
        <f t="shared" si="44"/>
        <v>17.165185185185184</v>
      </c>
      <c r="AW232">
        <f t="shared" si="45"/>
        <v>12.053547523703703</v>
      </c>
      <c r="AX232" s="9"/>
      <c r="AY232" s="22">
        <v>1.0179100000000001</v>
      </c>
      <c r="AZ232" s="22">
        <v>30.169</v>
      </c>
      <c r="BA232" s="22">
        <v>-1.3732899999999999E-2</v>
      </c>
      <c r="BB232" s="22">
        <v>222</v>
      </c>
      <c r="BC232" s="22">
        <v>1.01715</v>
      </c>
      <c r="BD232">
        <f t="shared" si="46"/>
        <v>16.954197530864196</v>
      </c>
      <c r="BE232">
        <f t="shared" si="47"/>
        <v>17.257847208641977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0.69717399999999996</v>
      </c>
      <c r="H233" s="22">
        <v>7.5701599999999996</v>
      </c>
      <c r="I233" s="22">
        <v>-1.3894699999999999E-2</v>
      </c>
      <c r="J233" s="22">
        <v>223</v>
      </c>
      <c r="K233" s="22">
        <v>0.69653299999999996</v>
      </c>
      <c r="L233">
        <f t="shared" si="36"/>
        <v>17.153950617283947</v>
      </c>
      <c r="M233">
        <f t="shared" si="37"/>
        <v>11.959288367654317</v>
      </c>
      <c r="N233" s="9"/>
      <c r="O233" s="22">
        <v>1.02295</v>
      </c>
      <c r="P233" s="22">
        <v>11.429600000000001</v>
      </c>
      <c r="Q233" s="22">
        <v>-1.3809200000000001E-2</v>
      </c>
      <c r="R233" s="22">
        <v>223</v>
      </c>
      <c r="S233" s="22">
        <v>1.02203</v>
      </c>
      <c r="T233">
        <f t="shared" si="38"/>
        <v>17.048395061728392</v>
      </c>
      <c r="U233">
        <f t="shared" si="39"/>
        <v>17.43965572839506</v>
      </c>
      <c r="X233" s="9"/>
      <c r="Y233" s="22">
        <v>0.69717399999999996</v>
      </c>
      <c r="Z233" s="22">
        <v>17.014399999999998</v>
      </c>
      <c r="AA233" s="22">
        <v>-1.3897700000000001E-2</v>
      </c>
      <c r="AB233" s="22">
        <v>223</v>
      </c>
      <c r="AC233" s="22">
        <v>0.69647199999999998</v>
      </c>
      <c r="AD233">
        <f t="shared" si="40"/>
        <v>17.157654320987653</v>
      </c>
      <c r="AE233">
        <f t="shared" si="41"/>
        <v>11.961870493580246</v>
      </c>
      <c r="AF233" s="9"/>
      <c r="AG233" s="22">
        <v>1.02295</v>
      </c>
      <c r="AH233" s="22">
        <v>20.873799999999999</v>
      </c>
      <c r="AI233" s="22">
        <v>-1.3736E-2</v>
      </c>
      <c r="AJ233" s="22">
        <v>223</v>
      </c>
      <c r="AK233" s="22">
        <v>1.02203</v>
      </c>
      <c r="AL233">
        <f t="shared" si="42"/>
        <v>16.958024691358023</v>
      </c>
      <c r="AM233">
        <f t="shared" si="43"/>
        <v>17.34721135802469</v>
      </c>
      <c r="AP233" s="9"/>
      <c r="AQ233" s="22">
        <v>0.69717399999999996</v>
      </c>
      <c r="AR233" s="22">
        <v>26.319600000000001</v>
      </c>
      <c r="AS233" s="22">
        <v>-1.3913E-2</v>
      </c>
      <c r="AT233" s="22">
        <v>223</v>
      </c>
      <c r="AU233" s="22">
        <v>0.69647199999999998</v>
      </c>
      <c r="AV233">
        <f t="shared" si="44"/>
        <v>17.176543209876542</v>
      </c>
      <c r="AW233">
        <f t="shared" si="45"/>
        <v>11.975039335802467</v>
      </c>
      <c r="AX233" s="9"/>
      <c r="AY233" s="22">
        <v>1.02295</v>
      </c>
      <c r="AZ233" s="22">
        <v>30.179099999999998</v>
      </c>
      <c r="BA233" s="22">
        <v>-1.37299E-2</v>
      </c>
      <c r="BB233" s="22">
        <v>223</v>
      </c>
      <c r="BC233" s="22">
        <v>1.02203</v>
      </c>
      <c r="BD233">
        <f t="shared" si="46"/>
        <v>16.950493827160493</v>
      </c>
      <c r="BE233">
        <f t="shared" si="47"/>
        <v>17.339507660493826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0.69213899999999995</v>
      </c>
      <c r="H234" s="22">
        <v>7.5802300000000002</v>
      </c>
      <c r="I234" s="22">
        <v>-1.3897700000000001E-2</v>
      </c>
      <c r="J234" s="22">
        <v>224</v>
      </c>
      <c r="K234" s="22">
        <v>0.69140599999999997</v>
      </c>
      <c r="L234">
        <f t="shared" si="36"/>
        <v>17.157654320987653</v>
      </c>
      <c r="M234">
        <f t="shared" si="37"/>
        <v>11.875481704074073</v>
      </c>
      <c r="N234" s="9"/>
      <c r="O234" s="22">
        <v>1.0279799999999999</v>
      </c>
      <c r="P234" s="22">
        <v>11.4397</v>
      </c>
      <c r="Q234" s="22">
        <v>-1.3797E-2</v>
      </c>
      <c r="R234" s="22">
        <v>224</v>
      </c>
      <c r="S234" s="22">
        <v>1.02661</v>
      </c>
      <c r="T234">
        <f t="shared" si="38"/>
        <v>17.033333333333331</v>
      </c>
      <c r="U234">
        <f t="shared" si="39"/>
        <v>17.509925999999997</v>
      </c>
      <c r="X234" s="9"/>
      <c r="Y234" s="22">
        <v>0.69213899999999995</v>
      </c>
      <c r="Z234" s="22">
        <v>17.0244</v>
      </c>
      <c r="AA234" s="22">
        <v>-1.3903799999999999E-2</v>
      </c>
      <c r="AB234" s="22">
        <v>224</v>
      </c>
      <c r="AC234" s="22">
        <v>0.69152800000000003</v>
      </c>
      <c r="AD234">
        <f t="shared" si="40"/>
        <v>17.165185185185184</v>
      </c>
      <c r="AE234">
        <f t="shared" si="41"/>
        <v>11.880694108888887</v>
      </c>
      <c r="AF234" s="9"/>
      <c r="AG234" s="22">
        <v>1.0279799999999999</v>
      </c>
      <c r="AH234" s="22">
        <v>20.883900000000001</v>
      </c>
      <c r="AI234" s="22">
        <v>-1.3726800000000001E-2</v>
      </c>
      <c r="AJ234" s="22">
        <v>224</v>
      </c>
      <c r="AK234" s="22">
        <v>1.02661</v>
      </c>
      <c r="AL234">
        <f t="shared" si="42"/>
        <v>16.946666666666665</v>
      </c>
      <c r="AM234">
        <f t="shared" si="43"/>
        <v>17.420834399999997</v>
      </c>
      <c r="AP234" s="9"/>
      <c r="AQ234" s="22">
        <v>0.69213899999999995</v>
      </c>
      <c r="AR234" s="22">
        <v>26.329699999999999</v>
      </c>
      <c r="AS234" s="22">
        <v>-1.3909899999999999E-2</v>
      </c>
      <c r="AT234" s="22">
        <v>224</v>
      </c>
      <c r="AU234" s="22">
        <v>0.69152800000000003</v>
      </c>
      <c r="AV234">
        <f t="shared" si="44"/>
        <v>17.172716049382714</v>
      </c>
      <c r="AW234">
        <f t="shared" si="45"/>
        <v>11.885906513703702</v>
      </c>
      <c r="AX234" s="9"/>
      <c r="AY234" s="22">
        <v>1.0279799999999999</v>
      </c>
      <c r="AZ234" s="22">
        <v>30.1891</v>
      </c>
      <c r="BA234" s="22">
        <v>-1.37299E-2</v>
      </c>
      <c r="BB234" s="22">
        <v>224</v>
      </c>
      <c r="BC234" s="22">
        <v>1.0269200000000001</v>
      </c>
      <c r="BD234">
        <f t="shared" si="46"/>
        <v>16.950493827160493</v>
      </c>
      <c r="BE234">
        <f t="shared" si="47"/>
        <v>17.424768644444441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0.68710300000000002</v>
      </c>
      <c r="H235" s="22">
        <v>7.5903</v>
      </c>
      <c r="I235" s="22">
        <v>-1.3903799999999999E-2</v>
      </c>
      <c r="J235" s="22">
        <v>225</v>
      </c>
      <c r="K235" s="22">
        <v>0.68637099999999995</v>
      </c>
      <c r="L235">
        <f t="shared" si="36"/>
        <v>17.165185185185184</v>
      </c>
      <c r="M235">
        <f t="shared" si="37"/>
        <v>11.794250236296296</v>
      </c>
      <c r="N235" s="9"/>
      <c r="O235" s="22">
        <v>1.03302</v>
      </c>
      <c r="P235" s="22">
        <v>11.4498</v>
      </c>
      <c r="Q235" s="22">
        <v>-1.3781699999999999E-2</v>
      </c>
      <c r="R235" s="22">
        <v>225</v>
      </c>
      <c r="S235" s="22">
        <v>1.0318000000000001</v>
      </c>
      <c r="T235">
        <f t="shared" si="38"/>
        <v>17.014444444444443</v>
      </c>
      <c r="U235">
        <f t="shared" si="39"/>
        <v>17.5762614</v>
      </c>
      <c r="X235" s="9"/>
      <c r="Y235" s="22">
        <v>0.68710300000000002</v>
      </c>
      <c r="Z235" s="22">
        <v>17.034500000000001</v>
      </c>
      <c r="AA235" s="22">
        <v>-1.3916E-2</v>
      </c>
      <c r="AB235" s="22">
        <v>225</v>
      </c>
      <c r="AC235" s="22">
        <v>0.68643200000000004</v>
      </c>
      <c r="AD235">
        <f t="shared" si="40"/>
        <v>17.180246913580245</v>
      </c>
      <c r="AE235">
        <f t="shared" si="41"/>
        <v>11.804599195061726</v>
      </c>
      <c r="AF235" s="9"/>
      <c r="AG235" s="22">
        <v>1.03302</v>
      </c>
      <c r="AH235" s="22">
        <v>20.893999999999998</v>
      </c>
      <c r="AI235" s="22">
        <v>-1.37299E-2</v>
      </c>
      <c r="AJ235" s="22">
        <v>225</v>
      </c>
      <c r="AK235" s="22">
        <v>1.0321</v>
      </c>
      <c r="AL235">
        <f t="shared" si="42"/>
        <v>16.950493827160493</v>
      </c>
      <c r="AM235">
        <f t="shared" si="43"/>
        <v>17.510199133333334</v>
      </c>
      <c r="AP235" s="9"/>
      <c r="AQ235" s="22">
        <v>0.68710300000000002</v>
      </c>
      <c r="AR235" s="22">
        <v>26.339700000000001</v>
      </c>
      <c r="AS235" s="22">
        <v>-1.3903799999999999E-2</v>
      </c>
      <c r="AT235" s="22">
        <v>225</v>
      </c>
      <c r="AU235" s="22">
        <v>0.68646200000000002</v>
      </c>
      <c r="AV235">
        <f t="shared" si="44"/>
        <v>17.165185185185184</v>
      </c>
      <c r="AW235">
        <f t="shared" si="45"/>
        <v>11.794250236296296</v>
      </c>
      <c r="AX235" s="9"/>
      <c r="AY235" s="22">
        <v>1.03302</v>
      </c>
      <c r="AZ235" s="22">
        <v>30.199200000000001</v>
      </c>
      <c r="BA235" s="22">
        <v>-1.37299E-2</v>
      </c>
      <c r="BB235" s="22">
        <v>225</v>
      </c>
      <c r="BC235" s="22">
        <v>1.0318000000000001</v>
      </c>
      <c r="BD235">
        <f t="shared" si="46"/>
        <v>16.950493827160493</v>
      </c>
      <c r="BE235">
        <f t="shared" si="47"/>
        <v>17.510199133333334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0.68206800000000001</v>
      </c>
      <c r="H236" s="22">
        <v>7.6003800000000004</v>
      </c>
      <c r="I236" s="22">
        <v>-1.3894699999999999E-2</v>
      </c>
      <c r="J236" s="22">
        <v>226</v>
      </c>
      <c r="K236" s="22">
        <v>0.681396</v>
      </c>
      <c r="L236">
        <f t="shared" si="36"/>
        <v>17.153950617283947</v>
      </c>
      <c r="M236">
        <f t="shared" si="37"/>
        <v>11.700160789629628</v>
      </c>
      <c r="N236" s="9"/>
      <c r="O236" s="22">
        <v>1.03806</v>
      </c>
      <c r="P236" s="22">
        <v>11.4598</v>
      </c>
      <c r="Q236" s="22">
        <v>-1.3772599999999999E-2</v>
      </c>
      <c r="R236" s="22">
        <v>226</v>
      </c>
      <c r="S236" s="22">
        <v>1.0369900000000001</v>
      </c>
      <c r="T236">
        <f t="shared" si="38"/>
        <v>17.00320987654321</v>
      </c>
      <c r="U236">
        <f t="shared" si="39"/>
        <v>17.650352044444443</v>
      </c>
      <c r="X236" s="9"/>
      <c r="Y236" s="22">
        <v>0.68206800000000001</v>
      </c>
      <c r="Z236" s="22">
        <v>17.044599999999999</v>
      </c>
      <c r="AA236" s="22">
        <v>-1.39221E-2</v>
      </c>
      <c r="AB236" s="22">
        <v>226</v>
      </c>
      <c r="AC236" s="22">
        <v>0.68133500000000002</v>
      </c>
      <c r="AD236">
        <f t="shared" si="40"/>
        <v>17.187777777777779</v>
      </c>
      <c r="AE236">
        <f t="shared" si="41"/>
        <v>11.723233213333334</v>
      </c>
      <c r="AF236" s="9"/>
      <c r="AG236" s="22">
        <v>1.03806</v>
      </c>
      <c r="AH236" s="22">
        <v>20.9041</v>
      </c>
      <c r="AI236" s="22">
        <v>-1.3736E-2</v>
      </c>
      <c r="AJ236" s="22">
        <v>226</v>
      </c>
      <c r="AK236" s="22">
        <v>1.0369900000000001</v>
      </c>
      <c r="AL236">
        <f t="shared" si="42"/>
        <v>16.958024691358023</v>
      </c>
      <c r="AM236">
        <f t="shared" si="43"/>
        <v>17.603447111111109</v>
      </c>
      <c r="AP236" s="9"/>
      <c r="AQ236" s="22">
        <v>0.68206800000000001</v>
      </c>
      <c r="AR236" s="22">
        <v>26.349799999999998</v>
      </c>
      <c r="AS236" s="22">
        <v>-1.3897700000000001E-2</v>
      </c>
      <c r="AT236" s="22">
        <v>226</v>
      </c>
      <c r="AU236" s="22">
        <v>0.68130500000000005</v>
      </c>
      <c r="AV236">
        <f t="shared" si="44"/>
        <v>17.157654320987653</v>
      </c>
      <c r="AW236">
        <f t="shared" si="45"/>
        <v>11.702686967407407</v>
      </c>
      <c r="AX236" s="9"/>
      <c r="AY236" s="22">
        <v>1.03806</v>
      </c>
      <c r="AZ236" s="22">
        <v>30.209299999999999</v>
      </c>
      <c r="BA236" s="22">
        <v>-1.37238E-2</v>
      </c>
      <c r="BB236" s="22">
        <v>226</v>
      </c>
      <c r="BC236" s="22">
        <v>1.03729</v>
      </c>
      <c r="BD236">
        <f t="shared" si="46"/>
        <v>16.942962962962962</v>
      </c>
      <c r="BE236">
        <f t="shared" si="47"/>
        <v>17.587812133333333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0.67703199999999997</v>
      </c>
      <c r="H237" s="22">
        <v>7.6104500000000002</v>
      </c>
      <c r="I237" s="22">
        <v>-1.3894699999999999E-2</v>
      </c>
      <c r="J237" s="22">
        <v>227</v>
      </c>
      <c r="K237" s="22">
        <v>0.67633100000000002</v>
      </c>
      <c r="L237">
        <f t="shared" si="36"/>
        <v>17.153950617283947</v>
      </c>
      <c r="M237">
        <f t="shared" si="37"/>
        <v>11.613773494320984</v>
      </c>
      <c r="N237" s="9"/>
      <c r="O237" s="22">
        <v>1.0430900000000001</v>
      </c>
      <c r="P237" s="22">
        <v>11.469900000000001</v>
      </c>
      <c r="Q237" s="22">
        <v>-1.3775600000000001E-2</v>
      </c>
      <c r="R237" s="22">
        <v>227</v>
      </c>
      <c r="S237" s="22">
        <v>1.0418700000000001</v>
      </c>
      <c r="T237">
        <f t="shared" si="38"/>
        <v>17.006913580246916</v>
      </c>
      <c r="U237">
        <f t="shared" si="39"/>
        <v>17.739741486419756</v>
      </c>
      <c r="X237" s="9"/>
      <c r="Y237" s="22">
        <v>0.67703199999999997</v>
      </c>
      <c r="Z237" s="22">
        <v>17.0547</v>
      </c>
      <c r="AA237" s="22">
        <v>-1.39221E-2</v>
      </c>
      <c r="AB237" s="22">
        <v>227</v>
      </c>
      <c r="AC237" s="22">
        <v>0.67639199999999999</v>
      </c>
      <c r="AD237">
        <f t="shared" si="40"/>
        <v>17.187777777777779</v>
      </c>
      <c r="AE237">
        <f t="shared" si="41"/>
        <v>11.636675564444445</v>
      </c>
      <c r="AF237" s="9"/>
      <c r="AG237" s="22">
        <v>1.0430900000000001</v>
      </c>
      <c r="AH237" s="22">
        <v>20.914100000000001</v>
      </c>
      <c r="AI237" s="22">
        <v>-1.3732899999999999E-2</v>
      </c>
      <c r="AJ237" s="22">
        <v>227</v>
      </c>
      <c r="AK237" s="22">
        <v>1.0421800000000001</v>
      </c>
      <c r="AL237">
        <f t="shared" si="42"/>
        <v>16.954197530864196</v>
      </c>
      <c r="AM237">
        <f t="shared" si="43"/>
        <v>17.684753902469136</v>
      </c>
      <c r="AP237" s="9"/>
      <c r="AQ237" s="22">
        <v>0.67703199999999997</v>
      </c>
      <c r="AR237" s="22">
        <v>26.3599</v>
      </c>
      <c r="AS237" s="22">
        <v>-1.3894699999999999E-2</v>
      </c>
      <c r="AT237" s="22">
        <v>227</v>
      </c>
      <c r="AU237" s="22">
        <v>0.67639199999999999</v>
      </c>
      <c r="AV237">
        <f t="shared" si="44"/>
        <v>17.153950617283947</v>
      </c>
      <c r="AW237">
        <f t="shared" si="45"/>
        <v>11.613773494320984</v>
      </c>
      <c r="AX237" s="9"/>
      <c r="AY237" s="22">
        <v>1.0430900000000001</v>
      </c>
      <c r="AZ237" s="22">
        <v>30.2194</v>
      </c>
      <c r="BA237" s="22">
        <v>-1.37146E-2</v>
      </c>
      <c r="BB237" s="22">
        <v>227</v>
      </c>
      <c r="BC237" s="22">
        <v>1.0418700000000001</v>
      </c>
      <c r="BD237">
        <f t="shared" si="46"/>
        <v>16.931604938271605</v>
      </c>
      <c r="BE237">
        <f t="shared" si="47"/>
        <v>17.661187795061728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0.67199699999999996</v>
      </c>
      <c r="H238" s="22">
        <v>7.62052</v>
      </c>
      <c r="I238" s="22">
        <v>-1.38916E-2</v>
      </c>
      <c r="J238" s="22">
        <v>228</v>
      </c>
      <c r="K238" s="22">
        <v>0.67138699999999996</v>
      </c>
      <c r="L238">
        <f t="shared" si="36"/>
        <v>17.150123456790123</v>
      </c>
      <c r="M238">
        <f t="shared" si="37"/>
        <v>11.524831512592591</v>
      </c>
      <c r="N238" s="9"/>
      <c r="O238" s="22">
        <v>1.04813</v>
      </c>
      <c r="P238" s="22">
        <v>11.48</v>
      </c>
      <c r="Q238" s="22">
        <v>-1.37848E-2</v>
      </c>
      <c r="R238" s="22">
        <v>228</v>
      </c>
      <c r="S238" s="22">
        <v>1.0470600000000001</v>
      </c>
      <c r="T238">
        <f t="shared" si="38"/>
        <v>17.018271604938271</v>
      </c>
      <c r="U238">
        <f t="shared" si="39"/>
        <v>17.83736101728395</v>
      </c>
      <c r="X238" s="9"/>
      <c r="Y238" s="22">
        <v>0.67199699999999996</v>
      </c>
      <c r="Z238" s="22">
        <v>17.064699999999998</v>
      </c>
      <c r="AA238" s="22">
        <v>-1.39221E-2</v>
      </c>
      <c r="AB238" s="22">
        <v>228</v>
      </c>
      <c r="AC238" s="22">
        <v>0.67132599999999998</v>
      </c>
      <c r="AD238">
        <f t="shared" si="40"/>
        <v>17.187777777777779</v>
      </c>
      <c r="AE238">
        <f t="shared" si="41"/>
        <v>11.550135103333334</v>
      </c>
      <c r="AF238" s="9"/>
      <c r="AG238" s="22">
        <v>1.04813</v>
      </c>
      <c r="AH238" s="22">
        <v>20.924199999999999</v>
      </c>
      <c r="AI238" s="22">
        <v>-1.37299E-2</v>
      </c>
      <c r="AJ238" s="22">
        <v>228</v>
      </c>
      <c r="AK238" s="22">
        <v>1.0473600000000001</v>
      </c>
      <c r="AL238">
        <f t="shared" si="42"/>
        <v>16.950493827160493</v>
      </c>
      <c r="AM238">
        <f t="shared" si="43"/>
        <v>17.766321095061727</v>
      </c>
      <c r="AP238" s="9"/>
      <c r="AQ238" s="22">
        <v>0.67199699999999996</v>
      </c>
      <c r="AR238" s="22">
        <v>26.37</v>
      </c>
      <c r="AS238" s="22">
        <v>-1.39008E-2</v>
      </c>
      <c r="AT238" s="22">
        <v>228</v>
      </c>
      <c r="AU238" s="22">
        <v>0.67129499999999998</v>
      </c>
      <c r="AV238">
        <f t="shared" si="44"/>
        <v>17.161481481481481</v>
      </c>
      <c r="AW238">
        <f t="shared" si="45"/>
        <v>11.532464071111109</v>
      </c>
      <c r="AX238" s="9"/>
      <c r="AY238" s="22">
        <v>1.04813</v>
      </c>
      <c r="AZ238" s="22">
        <v>30.229399999999998</v>
      </c>
      <c r="BA238" s="22">
        <v>-1.37054E-2</v>
      </c>
      <c r="BB238" s="22">
        <v>228</v>
      </c>
      <c r="BC238" s="22">
        <v>1.0467500000000001</v>
      </c>
      <c r="BD238">
        <f t="shared" si="46"/>
        <v>16.920246913580247</v>
      </c>
      <c r="BE238">
        <f t="shared" si="47"/>
        <v>17.734618397530863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0.66696200000000005</v>
      </c>
      <c r="H239" s="22">
        <v>7.6305899999999998</v>
      </c>
      <c r="I239" s="22">
        <v>-1.3903799999999999E-2</v>
      </c>
      <c r="J239" s="22">
        <v>229</v>
      </c>
      <c r="K239" s="22">
        <v>0.66625999999999996</v>
      </c>
      <c r="L239">
        <f t="shared" si="36"/>
        <v>17.165185185185184</v>
      </c>
      <c r="M239">
        <f t="shared" si="37"/>
        <v>11.448526241481481</v>
      </c>
      <c r="N239" s="9"/>
      <c r="O239" s="22">
        <v>1.0531600000000001</v>
      </c>
      <c r="P239" s="22">
        <v>11.4901</v>
      </c>
      <c r="Q239" s="22">
        <v>-1.3781699999999999E-2</v>
      </c>
      <c r="R239" s="22">
        <v>229</v>
      </c>
      <c r="S239" s="22">
        <v>1.0516399999999999</v>
      </c>
      <c r="T239">
        <f t="shared" si="38"/>
        <v>17.014444444444443</v>
      </c>
      <c r="U239">
        <f t="shared" si="39"/>
        <v>17.91893231111111</v>
      </c>
      <c r="X239" s="9"/>
      <c r="Y239" s="22">
        <v>0.66696200000000005</v>
      </c>
      <c r="Z239" s="22">
        <v>17.0748</v>
      </c>
      <c r="AA239" s="22">
        <v>-1.39252E-2</v>
      </c>
      <c r="AB239" s="22">
        <v>229</v>
      </c>
      <c r="AC239" s="22">
        <v>0.66635100000000003</v>
      </c>
      <c r="AD239">
        <f t="shared" si="40"/>
        <v>17.191604938271606</v>
      </c>
      <c r="AE239">
        <f t="shared" si="41"/>
        <v>11.466147212839507</v>
      </c>
      <c r="AF239" s="9"/>
      <c r="AG239" s="22">
        <v>1.0531600000000001</v>
      </c>
      <c r="AH239" s="22">
        <v>20.9343</v>
      </c>
      <c r="AI239" s="22">
        <v>-1.3720700000000001E-2</v>
      </c>
      <c r="AJ239" s="22">
        <v>229</v>
      </c>
      <c r="AK239" s="22">
        <v>1.0519400000000001</v>
      </c>
      <c r="AL239">
        <f t="shared" si="42"/>
        <v>16.939135802469135</v>
      </c>
      <c r="AM239">
        <f t="shared" si="43"/>
        <v>17.839620261728395</v>
      </c>
      <c r="AP239" s="9"/>
      <c r="AQ239" s="22">
        <v>0.66696200000000005</v>
      </c>
      <c r="AR239" s="22">
        <v>26.38</v>
      </c>
      <c r="AS239" s="22">
        <v>-1.39069E-2</v>
      </c>
      <c r="AT239" s="22">
        <v>229</v>
      </c>
      <c r="AU239" s="22">
        <v>0.66625999999999996</v>
      </c>
      <c r="AV239">
        <f t="shared" si="44"/>
        <v>17.169012345679011</v>
      </c>
      <c r="AW239">
        <f t="shared" si="45"/>
        <v>11.451078812098766</v>
      </c>
      <c r="AX239" s="9"/>
      <c r="AY239" s="22">
        <v>1.0531600000000001</v>
      </c>
      <c r="AZ239" s="22">
        <v>30.2395</v>
      </c>
      <c r="BA239" s="22">
        <v>-1.36963E-2</v>
      </c>
      <c r="BB239" s="22">
        <v>229</v>
      </c>
      <c r="BC239" s="22">
        <v>1.0525500000000001</v>
      </c>
      <c r="BD239">
        <f t="shared" si="46"/>
        <v>16.90901234567901</v>
      </c>
      <c r="BE239">
        <f t="shared" si="47"/>
        <v>17.807895441975308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0.66192600000000001</v>
      </c>
      <c r="H240" s="22">
        <v>7.6406599999999996</v>
      </c>
      <c r="I240" s="22">
        <v>-1.39069E-2</v>
      </c>
      <c r="J240" s="22">
        <v>230</v>
      </c>
      <c r="K240" s="22">
        <v>0.66122400000000003</v>
      </c>
      <c r="L240">
        <f t="shared" si="36"/>
        <v>17.169012345679011</v>
      </c>
      <c r="M240">
        <f t="shared" si="37"/>
        <v>11.364615665925925</v>
      </c>
      <c r="N240" s="9"/>
      <c r="O240" s="22">
        <v>1.0582</v>
      </c>
      <c r="P240" s="22">
        <v>11.5001</v>
      </c>
      <c r="Q240" s="22">
        <v>-1.3781699999999999E-2</v>
      </c>
      <c r="R240" s="22">
        <v>230</v>
      </c>
      <c r="S240" s="22">
        <v>1.0571299999999999</v>
      </c>
      <c r="T240">
        <f t="shared" si="38"/>
        <v>17.014444444444443</v>
      </c>
      <c r="U240">
        <f t="shared" si="39"/>
        <v>18.004685111111112</v>
      </c>
      <c r="X240" s="9"/>
      <c r="Y240" s="22">
        <v>0.66192600000000001</v>
      </c>
      <c r="Z240" s="22">
        <v>17.084900000000001</v>
      </c>
      <c r="AA240" s="22">
        <v>-1.39252E-2</v>
      </c>
      <c r="AB240" s="22">
        <v>230</v>
      </c>
      <c r="AC240" s="22">
        <v>0.66125500000000004</v>
      </c>
      <c r="AD240">
        <f t="shared" si="40"/>
        <v>17.191604938271606</v>
      </c>
      <c r="AE240">
        <f t="shared" si="41"/>
        <v>11.379570290370371</v>
      </c>
      <c r="AF240" s="9"/>
      <c r="AG240" s="22">
        <v>1.0582</v>
      </c>
      <c r="AH240" s="22">
        <v>20.944299999999998</v>
      </c>
      <c r="AI240" s="22">
        <v>-1.37115E-2</v>
      </c>
      <c r="AJ240" s="22">
        <v>230</v>
      </c>
      <c r="AK240" s="22">
        <v>1.0574300000000001</v>
      </c>
      <c r="AL240">
        <f t="shared" si="42"/>
        <v>16.927777777777777</v>
      </c>
      <c r="AM240">
        <f t="shared" si="43"/>
        <v>17.912974444444444</v>
      </c>
      <c r="AP240" s="9"/>
      <c r="AQ240" s="22">
        <v>0.66192600000000001</v>
      </c>
      <c r="AR240" s="22">
        <v>26.3901</v>
      </c>
      <c r="AS240" s="22">
        <v>-1.3913E-2</v>
      </c>
      <c r="AT240" s="22">
        <v>230</v>
      </c>
      <c r="AU240" s="22">
        <v>0.66125500000000004</v>
      </c>
      <c r="AV240">
        <f t="shared" si="44"/>
        <v>17.176543209876542</v>
      </c>
      <c r="AW240">
        <f t="shared" si="45"/>
        <v>11.369600540740739</v>
      </c>
      <c r="AX240" s="9"/>
      <c r="AY240" s="22">
        <v>1.0582</v>
      </c>
      <c r="AZ240" s="22">
        <v>30.249600000000001</v>
      </c>
      <c r="BA240" s="22">
        <v>-1.3687100000000001E-2</v>
      </c>
      <c r="BB240" s="22">
        <v>230</v>
      </c>
      <c r="BC240" s="22">
        <v>1.0577399999999999</v>
      </c>
      <c r="BD240">
        <f t="shared" si="46"/>
        <v>16.897654320987655</v>
      </c>
      <c r="BE240">
        <f t="shared" si="47"/>
        <v>17.881097802469139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0.656891</v>
      </c>
      <c r="H241" s="22">
        <v>7.6507300000000003</v>
      </c>
      <c r="I241" s="22">
        <v>-1.3909899999999999E-2</v>
      </c>
      <c r="J241" s="22">
        <v>231</v>
      </c>
      <c r="K241" s="22">
        <v>0.65625</v>
      </c>
      <c r="L241">
        <f t="shared" si="36"/>
        <v>17.172716049382714</v>
      </c>
      <c r="M241">
        <f t="shared" si="37"/>
        <v>11.280602618395061</v>
      </c>
      <c r="N241" s="9"/>
      <c r="O241" s="22">
        <v>1.0632299999999999</v>
      </c>
      <c r="P241" s="22">
        <v>11.510199999999999</v>
      </c>
      <c r="Q241" s="22">
        <v>-1.3766499999999999E-2</v>
      </c>
      <c r="R241" s="22">
        <v>231</v>
      </c>
      <c r="S241" s="22">
        <v>1.0617099999999999</v>
      </c>
      <c r="T241">
        <f t="shared" si="38"/>
        <v>16.995679012345676</v>
      </c>
      <c r="U241">
        <f t="shared" si="39"/>
        <v>18.070315796296292</v>
      </c>
      <c r="X241" s="9"/>
      <c r="Y241" s="22">
        <v>0.656891</v>
      </c>
      <c r="Z241" s="22">
        <v>17.094899999999999</v>
      </c>
      <c r="AA241" s="22">
        <v>-1.39221E-2</v>
      </c>
      <c r="AB241" s="22">
        <v>231</v>
      </c>
      <c r="AC241" s="22">
        <v>0.656281</v>
      </c>
      <c r="AD241">
        <f t="shared" si="40"/>
        <v>17.187777777777779</v>
      </c>
      <c r="AE241">
        <f t="shared" si="41"/>
        <v>11.290496532222223</v>
      </c>
      <c r="AF241" s="9"/>
      <c r="AG241" s="22">
        <v>1.0632299999999999</v>
      </c>
      <c r="AH241" s="22">
        <v>20.9544</v>
      </c>
      <c r="AI241" s="22">
        <v>-1.37085E-2</v>
      </c>
      <c r="AJ241" s="22">
        <v>231</v>
      </c>
      <c r="AK241" s="22">
        <v>1.0626199999999999</v>
      </c>
      <c r="AL241">
        <f t="shared" si="42"/>
        <v>16.924074074074074</v>
      </c>
      <c r="AM241">
        <f t="shared" si="43"/>
        <v>17.994183277777775</v>
      </c>
      <c r="AP241" s="9"/>
      <c r="AQ241" s="22">
        <v>0.656891</v>
      </c>
      <c r="AR241" s="22">
        <v>26.400200000000002</v>
      </c>
      <c r="AS241" s="22">
        <v>-1.3931300000000001E-2</v>
      </c>
      <c r="AT241" s="22">
        <v>231</v>
      </c>
      <c r="AU241" s="22">
        <v>0.656219</v>
      </c>
      <c r="AV241">
        <f t="shared" si="44"/>
        <v>17.199135802469137</v>
      </c>
      <c r="AW241">
        <f t="shared" si="45"/>
        <v>11.297957516419753</v>
      </c>
      <c r="AX241" s="9"/>
      <c r="AY241" s="22">
        <v>1.0632299999999999</v>
      </c>
      <c r="AZ241" s="22">
        <v>30.259599999999999</v>
      </c>
      <c r="BA241" s="22">
        <v>-1.3684099999999999E-2</v>
      </c>
      <c r="BB241" s="22">
        <v>231</v>
      </c>
      <c r="BC241" s="22">
        <v>1.0617099999999999</v>
      </c>
      <c r="BD241">
        <f t="shared" si="46"/>
        <v>16.893950617283949</v>
      </c>
      <c r="BE241">
        <f t="shared" si="47"/>
        <v>17.962155114814809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0.65185499999999996</v>
      </c>
      <c r="H242" s="22">
        <v>7.6608000000000001</v>
      </c>
      <c r="I242" s="22">
        <v>-1.3916E-2</v>
      </c>
      <c r="J242" s="22">
        <v>232</v>
      </c>
      <c r="K242" s="22">
        <v>0.65121499999999999</v>
      </c>
      <c r="L242">
        <f t="shared" si="36"/>
        <v>17.180246913580245</v>
      </c>
      <c r="M242">
        <f t="shared" si="37"/>
        <v>11.199029851851849</v>
      </c>
      <c r="N242" s="9"/>
      <c r="O242" s="22">
        <v>1.0682700000000001</v>
      </c>
      <c r="P242" s="22">
        <v>11.520300000000001</v>
      </c>
      <c r="Q242" s="22">
        <v>-1.3760400000000001E-2</v>
      </c>
      <c r="R242" s="22">
        <v>232</v>
      </c>
      <c r="S242" s="22">
        <v>1.0671999999999999</v>
      </c>
      <c r="T242">
        <f t="shared" si="38"/>
        <v>16.988148148148149</v>
      </c>
      <c r="U242">
        <f t="shared" si="39"/>
        <v>18.147929022222225</v>
      </c>
      <c r="X242" s="9"/>
      <c r="Y242" s="22">
        <v>0.65185499999999996</v>
      </c>
      <c r="Z242" s="22">
        <v>17.105</v>
      </c>
      <c r="AA242" s="22">
        <v>-1.39282E-2</v>
      </c>
      <c r="AB242" s="22">
        <v>232</v>
      </c>
      <c r="AC242" s="22">
        <v>0.65115400000000001</v>
      </c>
      <c r="AD242">
        <f t="shared" si="40"/>
        <v>17.195308641975309</v>
      </c>
      <c r="AE242">
        <f t="shared" si="41"/>
        <v>11.208847914814815</v>
      </c>
      <c r="AF242" s="9"/>
      <c r="AG242" s="22">
        <v>1.0682700000000001</v>
      </c>
      <c r="AH242" s="22">
        <v>20.964500000000001</v>
      </c>
      <c r="AI242" s="22">
        <v>-1.37024E-2</v>
      </c>
      <c r="AJ242" s="22">
        <v>232</v>
      </c>
      <c r="AK242" s="22">
        <v>1.0665899999999999</v>
      </c>
      <c r="AL242">
        <f t="shared" si="42"/>
        <v>16.916543209876544</v>
      </c>
      <c r="AM242">
        <f t="shared" si="43"/>
        <v>18.071435614814817</v>
      </c>
      <c r="AP242" s="9"/>
      <c r="AQ242" s="22">
        <v>0.65185499999999996</v>
      </c>
      <c r="AR242" s="22">
        <v>26.4102</v>
      </c>
      <c r="AS242" s="22">
        <v>-1.39282E-2</v>
      </c>
      <c r="AT242" s="22">
        <v>232</v>
      </c>
      <c r="AU242" s="22">
        <v>0.65118399999999999</v>
      </c>
      <c r="AV242">
        <f t="shared" si="44"/>
        <v>17.195308641975309</v>
      </c>
      <c r="AW242">
        <f t="shared" si="45"/>
        <v>11.208847914814815</v>
      </c>
      <c r="AX242" s="9"/>
      <c r="AY242" s="22">
        <v>1.0682700000000001</v>
      </c>
      <c r="AZ242" s="22">
        <v>30.2697</v>
      </c>
      <c r="BA242" s="22">
        <v>-1.36749E-2</v>
      </c>
      <c r="BB242" s="22">
        <v>232</v>
      </c>
      <c r="BC242" s="22">
        <v>1.0678099999999999</v>
      </c>
      <c r="BD242">
        <f t="shared" si="46"/>
        <v>16.882592592592591</v>
      </c>
      <c r="BE242">
        <f t="shared" si="47"/>
        <v>18.035167188888888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0.64681999999999995</v>
      </c>
      <c r="H243" s="22">
        <v>7.6708699999999999</v>
      </c>
      <c r="I243" s="22">
        <v>-1.3916E-2</v>
      </c>
      <c r="J243" s="22">
        <v>233</v>
      </c>
      <c r="K243" s="22">
        <v>0.64617899999999995</v>
      </c>
      <c r="L243">
        <f t="shared" si="36"/>
        <v>17.180246913580245</v>
      </c>
      <c r="M243">
        <f t="shared" si="37"/>
        <v>11.112527308641972</v>
      </c>
      <c r="N243" s="9"/>
      <c r="O243" s="22">
        <v>1.0732999999999999</v>
      </c>
      <c r="P243" s="22">
        <v>11.5303</v>
      </c>
      <c r="Q243" s="22">
        <v>-1.37573E-2</v>
      </c>
      <c r="R243" s="22">
        <v>233</v>
      </c>
      <c r="S243" s="22">
        <v>1.07178</v>
      </c>
      <c r="T243">
        <f t="shared" si="38"/>
        <v>16.984320987654321</v>
      </c>
      <c r="U243">
        <f t="shared" si="39"/>
        <v>18.229271716049382</v>
      </c>
      <c r="X243" s="9"/>
      <c r="Y243" s="22">
        <v>0.64681999999999995</v>
      </c>
      <c r="Z243" s="22">
        <v>17.115100000000002</v>
      </c>
      <c r="AA243" s="22">
        <v>-1.3931300000000001E-2</v>
      </c>
      <c r="AB243" s="22">
        <v>233</v>
      </c>
      <c r="AC243" s="22">
        <v>0.64620999999999995</v>
      </c>
      <c r="AD243">
        <f t="shared" si="40"/>
        <v>17.199135802469137</v>
      </c>
      <c r="AE243">
        <f t="shared" si="41"/>
        <v>11.124745019753085</v>
      </c>
      <c r="AF243" s="9"/>
      <c r="AG243" s="22">
        <v>1.0732999999999999</v>
      </c>
      <c r="AH243" s="22">
        <v>20.974599999999999</v>
      </c>
      <c r="AI243" s="22">
        <v>-1.3693200000000001E-2</v>
      </c>
      <c r="AJ243" s="22">
        <v>233</v>
      </c>
      <c r="AK243" s="22">
        <v>1.07239</v>
      </c>
      <c r="AL243">
        <f t="shared" si="42"/>
        <v>16.905185185185186</v>
      </c>
      <c r="AM243">
        <f t="shared" si="43"/>
        <v>18.144335259259257</v>
      </c>
      <c r="AP243" s="9"/>
      <c r="AQ243" s="22">
        <v>0.64681999999999995</v>
      </c>
      <c r="AR243" s="22">
        <v>26.420300000000001</v>
      </c>
      <c r="AS243" s="22">
        <v>-1.39252E-2</v>
      </c>
      <c r="AT243" s="22">
        <v>233</v>
      </c>
      <c r="AU243" s="22">
        <v>0.64620999999999995</v>
      </c>
      <c r="AV243">
        <f t="shared" si="44"/>
        <v>17.191604938271606</v>
      </c>
      <c r="AW243">
        <f t="shared" si="45"/>
        <v>11.11987390617284</v>
      </c>
      <c r="AX243" s="9"/>
      <c r="AY243" s="22">
        <v>1.0732999999999999</v>
      </c>
      <c r="AZ243" s="22">
        <v>30.279800000000002</v>
      </c>
      <c r="BA243" s="22">
        <v>-1.3681E-2</v>
      </c>
      <c r="BB243" s="22">
        <v>233</v>
      </c>
      <c r="BC243" s="22">
        <v>1.073</v>
      </c>
      <c r="BD243">
        <f t="shared" si="46"/>
        <v>16.890123456790121</v>
      </c>
      <c r="BE243">
        <f t="shared" si="47"/>
        <v>18.128169506172835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0.64178500000000005</v>
      </c>
      <c r="H244" s="22">
        <v>7.6809399999999997</v>
      </c>
      <c r="I244" s="22">
        <v>-1.39191E-2</v>
      </c>
      <c r="J244" s="22">
        <v>234</v>
      </c>
      <c r="K244" s="22">
        <v>0.64114400000000005</v>
      </c>
      <c r="L244">
        <f t="shared" si="36"/>
        <v>17.184074074074076</v>
      </c>
      <c r="M244">
        <f t="shared" si="37"/>
        <v>11.028480979629631</v>
      </c>
      <c r="N244" s="9"/>
      <c r="O244" s="22">
        <v>1.0783400000000001</v>
      </c>
      <c r="P244" s="22">
        <v>11.5404</v>
      </c>
      <c r="Q244" s="22">
        <v>-1.37512E-2</v>
      </c>
      <c r="R244" s="22">
        <v>234</v>
      </c>
      <c r="S244" s="22">
        <v>1.07758</v>
      </c>
      <c r="T244">
        <f t="shared" si="38"/>
        <v>16.976790123456787</v>
      </c>
      <c r="U244">
        <f t="shared" si="39"/>
        <v>18.306751861728394</v>
      </c>
      <c r="X244" s="9"/>
      <c r="Y244" s="22">
        <v>0.64178500000000005</v>
      </c>
      <c r="Z244" s="22">
        <v>17.1252</v>
      </c>
      <c r="AA244" s="22">
        <v>-1.39221E-2</v>
      </c>
      <c r="AB244" s="22">
        <v>234</v>
      </c>
      <c r="AC244" s="22">
        <v>0.64114400000000005</v>
      </c>
      <c r="AD244">
        <f t="shared" si="40"/>
        <v>17.187777777777779</v>
      </c>
      <c r="AE244">
        <f t="shared" si="41"/>
        <v>11.030857961111112</v>
      </c>
      <c r="AF244" s="9"/>
      <c r="AG244" s="22">
        <v>1.0783400000000001</v>
      </c>
      <c r="AH244" s="22">
        <v>20.9846</v>
      </c>
      <c r="AI244" s="22">
        <v>-1.36902E-2</v>
      </c>
      <c r="AJ244" s="22">
        <v>234</v>
      </c>
      <c r="AK244" s="22">
        <v>1.0772699999999999</v>
      </c>
      <c r="AL244">
        <f t="shared" si="42"/>
        <v>16.901481481481479</v>
      </c>
      <c r="AM244">
        <f t="shared" si="43"/>
        <v>18.225543540740741</v>
      </c>
      <c r="AP244" s="9"/>
      <c r="AQ244" s="22">
        <v>0.64178500000000005</v>
      </c>
      <c r="AR244" s="22">
        <v>26.430399999999999</v>
      </c>
      <c r="AS244" s="22">
        <v>-1.39282E-2</v>
      </c>
      <c r="AT244" s="22">
        <v>234</v>
      </c>
      <c r="AU244" s="22">
        <v>0.64111300000000004</v>
      </c>
      <c r="AV244">
        <f t="shared" si="44"/>
        <v>17.195308641975309</v>
      </c>
      <c r="AW244">
        <f t="shared" si="45"/>
        <v>11.035691156790124</v>
      </c>
      <c r="AX244" s="9"/>
      <c r="AY244" s="22">
        <v>1.0783400000000001</v>
      </c>
      <c r="AZ244" s="22">
        <v>30.289899999999999</v>
      </c>
      <c r="BA244" s="22">
        <v>-1.3677999999999999E-2</v>
      </c>
      <c r="BB244" s="22">
        <v>234</v>
      </c>
      <c r="BC244" s="22">
        <v>1.07758</v>
      </c>
      <c r="BD244">
        <f t="shared" si="46"/>
        <v>16.886419753086418</v>
      </c>
      <c r="BE244">
        <f t="shared" si="47"/>
        <v>18.209301876543208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0.63674900000000001</v>
      </c>
      <c r="H245" s="22">
        <v>7.6910100000000003</v>
      </c>
      <c r="I245" s="22">
        <v>-1.39191E-2</v>
      </c>
      <c r="J245" s="22">
        <v>235</v>
      </c>
      <c r="K245" s="22">
        <v>0.63604700000000003</v>
      </c>
      <c r="L245">
        <f t="shared" si="36"/>
        <v>17.184074074074076</v>
      </c>
      <c r="M245">
        <f t="shared" si="37"/>
        <v>10.941941982592594</v>
      </c>
      <c r="N245" s="9"/>
      <c r="O245" s="22">
        <v>1.0833699999999999</v>
      </c>
      <c r="P245" s="22">
        <v>11.5505</v>
      </c>
      <c r="Q245" s="22">
        <v>-1.37451E-2</v>
      </c>
      <c r="R245" s="22">
        <v>235</v>
      </c>
      <c r="S245" s="22">
        <v>1.08185</v>
      </c>
      <c r="T245">
        <f t="shared" si="38"/>
        <v>16.969259259259257</v>
      </c>
      <c r="U245">
        <f t="shared" si="39"/>
        <v>18.383986403703702</v>
      </c>
      <c r="X245" s="9"/>
      <c r="Y245" s="22">
        <v>0.63674900000000001</v>
      </c>
      <c r="Z245" s="22">
        <v>17.135200000000001</v>
      </c>
      <c r="AA245" s="22">
        <v>-1.3913E-2</v>
      </c>
      <c r="AB245" s="22">
        <v>235</v>
      </c>
      <c r="AC245" s="22">
        <v>0.63613900000000001</v>
      </c>
      <c r="AD245">
        <f t="shared" si="40"/>
        <v>17.176543209876542</v>
      </c>
      <c r="AE245">
        <f t="shared" si="41"/>
        <v>10.937146712345678</v>
      </c>
      <c r="AF245" s="9"/>
      <c r="AG245" s="22">
        <v>1.0833699999999999</v>
      </c>
      <c r="AH245" s="22">
        <v>20.994700000000002</v>
      </c>
      <c r="AI245" s="22">
        <v>-1.36749E-2</v>
      </c>
      <c r="AJ245" s="22">
        <v>235</v>
      </c>
      <c r="AK245" s="22">
        <v>1.08246</v>
      </c>
      <c r="AL245">
        <f t="shared" si="42"/>
        <v>16.882592592592591</v>
      </c>
      <c r="AM245">
        <f t="shared" si="43"/>
        <v>18.290094337037033</v>
      </c>
      <c r="AP245" s="9"/>
      <c r="AQ245" s="22">
        <v>0.63674900000000001</v>
      </c>
      <c r="AR245" s="22">
        <v>26.4405</v>
      </c>
      <c r="AS245" s="22">
        <v>-1.3931300000000001E-2</v>
      </c>
      <c r="AT245" s="22">
        <v>235</v>
      </c>
      <c r="AU245" s="22">
        <v>0.63601700000000005</v>
      </c>
      <c r="AV245">
        <f t="shared" si="44"/>
        <v>17.199135802469137</v>
      </c>
      <c r="AW245">
        <f t="shared" si="45"/>
        <v>10.951532523086421</v>
      </c>
      <c r="AX245" s="9"/>
      <c r="AY245" s="22">
        <v>1.0833699999999999</v>
      </c>
      <c r="AZ245" s="22">
        <v>30.299900000000001</v>
      </c>
      <c r="BA245" s="22">
        <v>-1.3677999999999999E-2</v>
      </c>
      <c r="BB245" s="22">
        <v>235</v>
      </c>
      <c r="BC245" s="22">
        <v>1.08246</v>
      </c>
      <c r="BD245">
        <f t="shared" si="46"/>
        <v>16.886419753086418</v>
      </c>
      <c r="BE245">
        <f t="shared" si="47"/>
        <v>18.29424056790123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0.631714</v>
      </c>
      <c r="H246" s="22">
        <v>7.7010899999999998</v>
      </c>
      <c r="I246" s="22">
        <v>-1.3916E-2</v>
      </c>
      <c r="J246" s="22">
        <v>236</v>
      </c>
      <c r="K246" s="22">
        <v>0.63098100000000001</v>
      </c>
      <c r="L246">
        <f t="shared" si="36"/>
        <v>17.180246913580245</v>
      </c>
      <c r="M246">
        <f t="shared" si="37"/>
        <v>10.853002498765431</v>
      </c>
      <c r="N246" s="9"/>
      <c r="O246" s="22">
        <v>1.0884100000000001</v>
      </c>
      <c r="P246" s="22">
        <v>11.560600000000001</v>
      </c>
      <c r="Q246" s="22">
        <v>-1.3738999999999999E-2</v>
      </c>
      <c r="R246" s="22">
        <v>236</v>
      </c>
      <c r="S246" s="22">
        <v>1.08765</v>
      </c>
      <c r="T246">
        <f t="shared" si="38"/>
        <v>16.961728395061726</v>
      </c>
      <c r="U246">
        <f t="shared" si="39"/>
        <v>18.461314802469136</v>
      </c>
      <c r="X246" s="9"/>
      <c r="Y246" s="22">
        <v>0.631714</v>
      </c>
      <c r="Z246" s="22">
        <v>17.145299999999999</v>
      </c>
      <c r="AA246" s="22">
        <v>-1.3909899999999999E-2</v>
      </c>
      <c r="AB246" s="22">
        <v>236</v>
      </c>
      <c r="AC246" s="22">
        <v>0.63104199999999999</v>
      </c>
      <c r="AD246">
        <f t="shared" si="40"/>
        <v>17.172716049382714</v>
      </c>
      <c r="AE246">
        <f t="shared" si="41"/>
        <v>10.848245146419751</v>
      </c>
      <c r="AF246" s="9"/>
      <c r="AG246" s="22">
        <v>1.0884100000000001</v>
      </c>
      <c r="AH246" s="22">
        <v>21.004799999999999</v>
      </c>
      <c r="AI246" s="22">
        <v>-1.36627E-2</v>
      </c>
      <c r="AJ246" s="22">
        <v>236</v>
      </c>
      <c r="AK246" s="22">
        <v>1.08765</v>
      </c>
      <c r="AL246">
        <f t="shared" si="42"/>
        <v>16.86753086419753</v>
      </c>
      <c r="AM246">
        <f t="shared" si="43"/>
        <v>18.358789267901233</v>
      </c>
      <c r="AP246" s="9"/>
      <c r="AQ246" s="22">
        <v>0.631714</v>
      </c>
      <c r="AR246" s="22">
        <v>26.450500000000002</v>
      </c>
      <c r="AS246" s="22">
        <v>-1.39282E-2</v>
      </c>
      <c r="AT246" s="22">
        <v>236</v>
      </c>
      <c r="AU246" s="22">
        <v>0.63101200000000002</v>
      </c>
      <c r="AV246">
        <f t="shared" si="44"/>
        <v>17.195308641975309</v>
      </c>
      <c r="AW246">
        <f t="shared" si="45"/>
        <v>10.86251720345679</v>
      </c>
      <c r="AX246" s="9"/>
      <c r="AY246" s="22">
        <v>1.0884100000000001</v>
      </c>
      <c r="AZ246" s="22">
        <v>30.31</v>
      </c>
      <c r="BA246" s="22">
        <v>-1.36749E-2</v>
      </c>
      <c r="BB246" s="22">
        <v>236</v>
      </c>
      <c r="BC246" s="22">
        <v>1.08734</v>
      </c>
      <c r="BD246">
        <f t="shared" si="46"/>
        <v>16.882592592592591</v>
      </c>
      <c r="BE246">
        <f t="shared" si="47"/>
        <v>18.375182603703703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0.62667799999999996</v>
      </c>
      <c r="H247" s="22">
        <v>7.7111599999999996</v>
      </c>
      <c r="I247" s="22">
        <v>-1.3909899999999999E-2</v>
      </c>
      <c r="J247" s="22">
        <v>237</v>
      </c>
      <c r="K247" s="22">
        <v>0.62606799999999996</v>
      </c>
      <c r="L247">
        <f t="shared" si="36"/>
        <v>17.172716049382714</v>
      </c>
      <c r="M247">
        <f t="shared" si="37"/>
        <v>10.761763348395061</v>
      </c>
      <c r="N247" s="9"/>
      <c r="O247" s="22">
        <v>1.09344</v>
      </c>
      <c r="P247" s="22">
        <v>11.570600000000001</v>
      </c>
      <c r="Q247" s="22">
        <v>-1.3738999999999999E-2</v>
      </c>
      <c r="R247" s="22">
        <v>237</v>
      </c>
      <c r="S247" s="22">
        <v>1.09222</v>
      </c>
      <c r="T247">
        <f t="shared" si="38"/>
        <v>16.961728395061726</v>
      </c>
      <c r="U247">
        <f t="shared" si="39"/>
        <v>18.546632296296295</v>
      </c>
      <c r="X247" s="9"/>
      <c r="Y247" s="22">
        <v>0.62667799999999996</v>
      </c>
      <c r="Z247" s="22">
        <v>17.1554</v>
      </c>
      <c r="AA247" s="22">
        <v>-1.39008E-2</v>
      </c>
      <c r="AB247" s="22">
        <v>237</v>
      </c>
      <c r="AC247" s="22">
        <v>0.62597700000000001</v>
      </c>
      <c r="AD247">
        <f t="shared" si="40"/>
        <v>17.161481481481481</v>
      </c>
      <c r="AE247">
        <f t="shared" si="41"/>
        <v>10.75472289185185</v>
      </c>
      <c r="AF247" s="9"/>
      <c r="AG247" s="22">
        <v>1.09344</v>
      </c>
      <c r="AH247" s="22">
        <v>21.014800000000001</v>
      </c>
      <c r="AI247" s="22">
        <v>-1.36536E-2</v>
      </c>
      <c r="AJ247" s="22">
        <v>237</v>
      </c>
      <c r="AK247" s="22">
        <v>1.09222</v>
      </c>
      <c r="AL247">
        <f t="shared" si="42"/>
        <v>16.856296296296296</v>
      </c>
      <c r="AM247">
        <f t="shared" si="43"/>
        <v>18.43134862222222</v>
      </c>
      <c r="AP247" s="9"/>
      <c r="AQ247" s="22">
        <v>0.62667799999999996</v>
      </c>
      <c r="AR247" s="22">
        <v>26.460599999999999</v>
      </c>
      <c r="AS247" s="22">
        <v>-1.39282E-2</v>
      </c>
      <c r="AT247" s="22">
        <v>237</v>
      </c>
      <c r="AU247" s="22">
        <v>0.62606799999999996</v>
      </c>
      <c r="AV247">
        <f t="shared" si="44"/>
        <v>17.195308641975309</v>
      </c>
      <c r="AW247">
        <f t="shared" si="45"/>
        <v>10.775921629135802</v>
      </c>
      <c r="AX247" s="9"/>
      <c r="AY247" s="22">
        <v>1.09344</v>
      </c>
      <c r="AZ247" s="22">
        <v>30.3201</v>
      </c>
      <c r="BA247" s="22">
        <v>-1.3671900000000001E-2</v>
      </c>
      <c r="BB247" s="22">
        <v>237</v>
      </c>
      <c r="BC247" s="22">
        <v>1.09222</v>
      </c>
      <c r="BD247">
        <f t="shared" si="46"/>
        <v>16.878888888888888</v>
      </c>
      <c r="BE247">
        <f t="shared" si="47"/>
        <v>18.456052266666664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0.62164299999999995</v>
      </c>
      <c r="H248" s="22">
        <v>7.7212300000000003</v>
      </c>
      <c r="I248" s="22">
        <v>-1.3903799999999999E-2</v>
      </c>
      <c r="J248" s="22">
        <v>238</v>
      </c>
      <c r="K248" s="22">
        <v>0.62100200000000005</v>
      </c>
      <c r="L248">
        <f t="shared" si="36"/>
        <v>17.165185185185184</v>
      </c>
      <c r="M248">
        <f t="shared" si="37"/>
        <v>10.670617214074072</v>
      </c>
      <c r="N248" s="9"/>
      <c r="O248" s="22">
        <v>1.0984799999999999</v>
      </c>
      <c r="P248" s="22">
        <v>11.5807</v>
      </c>
      <c r="Q248" s="22">
        <v>-1.3738999999999999E-2</v>
      </c>
      <c r="R248" s="22">
        <v>238</v>
      </c>
      <c r="S248" s="22">
        <v>1.09772</v>
      </c>
      <c r="T248">
        <f t="shared" si="38"/>
        <v>16.961728395061726</v>
      </c>
      <c r="U248">
        <f t="shared" si="39"/>
        <v>18.632119407407405</v>
      </c>
      <c r="X248" s="9"/>
      <c r="Y248" s="22">
        <v>0.62164299999999995</v>
      </c>
      <c r="Z248" s="22">
        <v>17.165400000000002</v>
      </c>
      <c r="AA248" s="22">
        <v>-1.39069E-2</v>
      </c>
      <c r="AB248" s="22">
        <v>238</v>
      </c>
      <c r="AC248" s="22">
        <v>0.62097199999999997</v>
      </c>
      <c r="AD248">
        <f t="shared" si="40"/>
        <v>17.169012345679011</v>
      </c>
      <c r="AE248">
        <f t="shared" si="41"/>
        <v>10.672996341604936</v>
      </c>
      <c r="AF248" s="9"/>
      <c r="AG248" s="22">
        <v>1.0984799999999999</v>
      </c>
      <c r="AH248" s="22">
        <v>21.024899999999999</v>
      </c>
      <c r="AI248" s="22">
        <v>-1.3644399999999999E-2</v>
      </c>
      <c r="AJ248" s="22">
        <v>238</v>
      </c>
      <c r="AK248" s="22">
        <v>1.09741</v>
      </c>
      <c r="AL248">
        <f t="shared" si="42"/>
        <v>16.844938271604939</v>
      </c>
      <c r="AM248">
        <f t="shared" si="43"/>
        <v>18.503827792592592</v>
      </c>
      <c r="AP248" s="9"/>
      <c r="AQ248" s="22">
        <v>0.62164299999999995</v>
      </c>
      <c r="AR248" s="22">
        <v>26.470700000000001</v>
      </c>
      <c r="AS248" s="22">
        <v>-1.3937400000000001E-2</v>
      </c>
      <c r="AT248" s="22">
        <v>238</v>
      </c>
      <c r="AU248" s="22">
        <v>0.62094099999999997</v>
      </c>
      <c r="AV248">
        <f t="shared" si="44"/>
        <v>17.206666666666667</v>
      </c>
      <c r="AW248">
        <f t="shared" si="45"/>
        <v>10.696403886666666</v>
      </c>
      <c r="AX248" s="9"/>
      <c r="AY248" s="22">
        <v>1.0984799999999999</v>
      </c>
      <c r="AZ248" s="22">
        <v>30.330100000000002</v>
      </c>
      <c r="BA248" s="22">
        <v>-1.3671900000000001E-2</v>
      </c>
      <c r="BB248" s="22">
        <v>238</v>
      </c>
      <c r="BC248" s="22">
        <v>1.09741</v>
      </c>
      <c r="BD248">
        <f t="shared" si="46"/>
        <v>16.878888888888888</v>
      </c>
      <c r="BE248">
        <f t="shared" si="47"/>
        <v>18.541121866666664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0.61660800000000004</v>
      </c>
      <c r="H249" s="22">
        <v>7.7313000000000001</v>
      </c>
      <c r="I249" s="22">
        <v>-1.39069E-2</v>
      </c>
      <c r="J249" s="22">
        <v>239</v>
      </c>
      <c r="K249" s="22">
        <v>0.61599700000000002</v>
      </c>
      <c r="L249">
        <f t="shared" si="36"/>
        <v>17.169012345679011</v>
      </c>
      <c r="M249">
        <f t="shared" si="37"/>
        <v>10.586550364444445</v>
      </c>
      <c r="N249" s="9"/>
      <c r="O249" s="22">
        <v>1.1035200000000001</v>
      </c>
      <c r="P249" s="22">
        <v>11.5908</v>
      </c>
      <c r="Q249" s="22">
        <v>-1.3732899999999999E-2</v>
      </c>
      <c r="R249" s="22">
        <v>239</v>
      </c>
      <c r="S249" s="22">
        <v>1.1026</v>
      </c>
      <c r="T249">
        <f t="shared" si="38"/>
        <v>16.954197530864196</v>
      </c>
      <c r="U249">
        <f t="shared" si="39"/>
        <v>18.709296059259259</v>
      </c>
      <c r="X249" s="9"/>
      <c r="Y249" s="22">
        <v>0.61660800000000004</v>
      </c>
      <c r="Z249" s="22">
        <v>17.1755</v>
      </c>
      <c r="AA249" s="22">
        <v>-1.3913E-2</v>
      </c>
      <c r="AB249" s="22">
        <v>239</v>
      </c>
      <c r="AC249" s="22">
        <v>0.61602800000000002</v>
      </c>
      <c r="AD249">
        <f t="shared" si="40"/>
        <v>17.176543209876542</v>
      </c>
      <c r="AE249">
        <f t="shared" si="41"/>
        <v>10.591193955555555</v>
      </c>
      <c r="AF249" s="9"/>
      <c r="AG249" s="22">
        <v>1.1035200000000001</v>
      </c>
      <c r="AH249" s="22">
        <v>21.035</v>
      </c>
      <c r="AI249" s="22">
        <v>-1.36353E-2</v>
      </c>
      <c r="AJ249" s="22">
        <v>239</v>
      </c>
      <c r="AK249" s="22">
        <v>1.10229</v>
      </c>
      <c r="AL249">
        <f t="shared" si="42"/>
        <v>16.833703703703701</v>
      </c>
      <c r="AM249">
        <f t="shared" si="43"/>
        <v>18.57632871111111</v>
      </c>
      <c r="AP249" s="9"/>
      <c r="AQ249" s="22">
        <v>0.61660800000000004</v>
      </c>
      <c r="AR249" s="22">
        <v>26.480699999999999</v>
      </c>
      <c r="AS249" s="22">
        <v>-1.3937400000000001E-2</v>
      </c>
      <c r="AT249" s="22">
        <v>239</v>
      </c>
      <c r="AU249" s="22">
        <v>0.61596700000000004</v>
      </c>
      <c r="AV249">
        <f t="shared" si="44"/>
        <v>17.206666666666667</v>
      </c>
      <c r="AW249">
        <f t="shared" si="45"/>
        <v>10.609768320000001</v>
      </c>
      <c r="AX249" s="9"/>
      <c r="AY249" s="22">
        <v>1.1035200000000001</v>
      </c>
      <c r="AZ249" s="22">
        <v>30.340199999999999</v>
      </c>
      <c r="BA249" s="22">
        <v>-1.3671900000000001E-2</v>
      </c>
      <c r="BB249" s="22">
        <v>239</v>
      </c>
      <c r="BC249" s="22">
        <v>1.1026</v>
      </c>
      <c r="BD249">
        <f t="shared" si="46"/>
        <v>16.878888888888888</v>
      </c>
      <c r="BE249">
        <f t="shared" si="47"/>
        <v>18.626191466666665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0.611572</v>
      </c>
      <c r="H250" s="22">
        <v>7.7413699999999999</v>
      </c>
      <c r="I250" s="22">
        <v>-1.3903799999999999E-2</v>
      </c>
      <c r="J250" s="22">
        <v>240</v>
      </c>
      <c r="K250" s="22">
        <v>0.61096200000000001</v>
      </c>
      <c r="L250">
        <f t="shared" si="36"/>
        <v>17.165185185185184</v>
      </c>
      <c r="M250">
        <f t="shared" si="37"/>
        <v>10.497746634074073</v>
      </c>
      <c r="N250" s="9"/>
      <c r="O250" s="22">
        <v>1.1085499999999999</v>
      </c>
      <c r="P250" s="22">
        <v>11.6008</v>
      </c>
      <c r="Q250" s="22">
        <v>-1.37451E-2</v>
      </c>
      <c r="R250" s="22">
        <v>240</v>
      </c>
      <c r="S250" s="22">
        <v>1.10748</v>
      </c>
      <c r="T250">
        <f t="shared" si="38"/>
        <v>16.969259259259257</v>
      </c>
      <c r="U250">
        <f t="shared" si="39"/>
        <v>18.811272351851848</v>
      </c>
      <c r="X250" s="9"/>
      <c r="Y250" s="22">
        <v>0.611572</v>
      </c>
      <c r="Z250" s="22">
        <v>17.185600000000001</v>
      </c>
      <c r="AA250" s="22">
        <v>-1.3909899999999999E-2</v>
      </c>
      <c r="AB250" s="22">
        <v>240</v>
      </c>
      <c r="AC250" s="22">
        <v>0.61080900000000005</v>
      </c>
      <c r="AD250">
        <f t="shared" si="40"/>
        <v>17.172716049382714</v>
      </c>
      <c r="AE250">
        <f t="shared" si="41"/>
        <v>10.502352299753085</v>
      </c>
      <c r="AF250" s="9"/>
      <c r="AG250" s="22">
        <v>1.1085499999999999</v>
      </c>
      <c r="AH250" s="22">
        <v>21.045000000000002</v>
      </c>
      <c r="AI250" s="22">
        <v>-1.36261E-2</v>
      </c>
      <c r="AJ250" s="22">
        <v>240</v>
      </c>
      <c r="AK250" s="22">
        <v>1.1071800000000001</v>
      </c>
      <c r="AL250">
        <f t="shared" si="42"/>
        <v>16.822345679012344</v>
      </c>
      <c r="AM250">
        <f t="shared" si="43"/>
        <v>18.648411302469132</v>
      </c>
      <c r="AP250" s="9"/>
      <c r="AQ250" s="22">
        <v>0.611572</v>
      </c>
      <c r="AR250" s="22">
        <v>26.4908</v>
      </c>
      <c r="AS250" s="22">
        <v>-1.39343E-2</v>
      </c>
      <c r="AT250" s="22">
        <v>240</v>
      </c>
      <c r="AU250" s="22">
        <v>0.61090100000000003</v>
      </c>
      <c r="AV250">
        <f t="shared" si="44"/>
        <v>17.202839506172836</v>
      </c>
      <c r="AW250">
        <f t="shared" si="45"/>
        <v>10.520774962469133</v>
      </c>
      <c r="AX250" s="9"/>
      <c r="AY250" s="22">
        <v>1.1085499999999999</v>
      </c>
      <c r="AZ250" s="22">
        <v>30.350300000000001</v>
      </c>
      <c r="BA250" s="22">
        <v>-1.3671900000000001E-2</v>
      </c>
      <c r="BB250" s="22">
        <v>240</v>
      </c>
      <c r="BC250" s="22">
        <v>1.10748</v>
      </c>
      <c r="BD250">
        <f t="shared" si="46"/>
        <v>16.878888888888888</v>
      </c>
      <c r="BE250">
        <f t="shared" si="47"/>
        <v>18.711092277777777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0.60653699999999999</v>
      </c>
      <c r="H251" s="22">
        <v>7.7514399999999997</v>
      </c>
      <c r="I251" s="22">
        <v>-1.38885E-2</v>
      </c>
      <c r="J251" s="22">
        <v>241</v>
      </c>
      <c r="K251" s="22">
        <v>0.60586499999999999</v>
      </c>
      <c r="L251">
        <f t="shared" si="36"/>
        <v>17.146296296296295</v>
      </c>
      <c r="M251">
        <f t="shared" si="37"/>
        <v>10.399863116666666</v>
      </c>
      <c r="N251" s="9"/>
      <c r="O251" s="22">
        <v>1.1135900000000001</v>
      </c>
      <c r="P251" s="22">
        <v>11.610900000000001</v>
      </c>
      <c r="Q251" s="22">
        <v>-1.37421E-2</v>
      </c>
      <c r="R251" s="22">
        <v>241</v>
      </c>
      <c r="S251" s="22">
        <v>1.11267</v>
      </c>
      <c r="T251">
        <f t="shared" si="38"/>
        <v>16.965555555555554</v>
      </c>
      <c r="U251">
        <f t="shared" si="39"/>
        <v>18.892673011111111</v>
      </c>
      <c r="X251" s="9"/>
      <c r="Y251" s="22">
        <v>0.60653699999999999</v>
      </c>
      <c r="Z251" s="22">
        <v>17.195599999999999</v>
      </c>
      <c r="AA251" s="22">
        <v>-1.3916E-2</v>
      </c>
      <c r="AB251" s="22">
        <v>241</v>
      </c>
      <c r="AC251" s="22">
        <v>0.60583500000000001</v>
      </c>
      <c r="AD251">
        <f t="shared" si="40"/>
        <v>17.180246913580245</v>
      </c>
      <c r="AE251">
        <f t="shared" si="41"/>
        <v>10.42045542222222</v>
      </c>
      <c r="AF251" s="9"/>
      <c r="AG251" s="22">
        <v>1.1135900000000001</v>
      </c>
      <c r="AH251" s="22">
        <v>21.055099999999999</v>
      </c>
      <c r="AI251" s="22">
        <v>-1.362E-2</v>
      </c>
      <c r="AJ251" s="22">
        <v>241</v>
      </c>
      <c r="AK251" s="22">
        <v>1.1129800000000001</v>
      </c>
      <c r="AL251">
        <f t="shared" si="42"/>
        <v>16.814814814814813</v>
      </c>
      <c r="AM251">
        <f t="shared" si="43"/>
        <v>18.724809629629629</v>
      </c>
      <c r="AP251" s="9"/>
      <c r="AQ251" s="22">
        <v>0.60653699999999999</v>
      </c>
      <c r="AR251" s="22">
        <v>26.500900000000001</v>
      </c>
      <c r="AS251" s="22">
        <v>-1.3931300000000001E-2</v>
      </c>
      <c r="AT251" s="22">
        <v>241</v>
      </c>
      <c r="AU251" s="22">
        <v>0.60583500000000001</v>
      </c>
      <c r="AV251">
        <f t="shared" si="44"/>
        <v>17.199135802469137</v>
      </c>
      <c r="AW251">
        <f t="shared" si="45"/>
        <v>10.431912232222222</v>
      </c>
      <c r="AX251" s="9"/>
      <c r="AY251" s="22">
        <v>1.1135900000000001</v>
      </c>
      <c r="AZ251" s="22">
        <v>30.360399999999998</v>
      </c>
      <c r="BA251" s="22">
        <v>-1.3665800000000001E-2</v>
      </c>
      <c r="BB251" s="22">
        <v>241</v>
      </c>
      <c r="BC251" s="22">
        <v>1.1129800000000001</v>
      </c>
      <c r="BD251">
        <f t="shared" si="46"/>
        <v>16.871358024691357</v>
      </c>
      <c r="BE251">
        <f t="shared" si="47"/>
        <v>18.787775582716051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0.60150099999999995</v>
      </c>
      <c r="H252" s="22">
        <v>7.7615100000000004</v>
      </c>
      <c r="I252" s="22">
        <v>-1.38794E-2</v>
      </c>
      <c r="J252" s="22">
        <v>242</v>
      </c>
      <c r="K252" s="22">
        <v>0.60082999999999998</v>
      </c>
      <c r="L252">
        <f t="shared" si="36"/>
        <v>17.135061728395058</v>
      </c>
      <c r="M252">
        <f t="shared" si="37"/>
        <v>10.306756764691356</v>
      </c>
      <c r="N252" s="9"/>
      <c r="O252" s="22">
        <v>1.1186199999999999</v>
      </c>
      <c r="P252" s="22">
        <v>11.621</v>
      </c>
      <c r="Q252" s="22">
        <v>-1.37299E-2</v>
      </c>
      <c r="R252" s="22">
        <v>242</v>
      </c>
      <c r="S252" s="22">
        <v>1.1178600000000001</v>
      </c>
      <c r="T252">
        <f t="shared" si="38"/>
        <v>16.950493827160493</v>
      </c>
      <c r="U252">
        <f t="shared" si="39"/>
        <v>18.96116140493827</v>
      </c>
      <c r="X252" s="9"/>
      <c r="Y252" s="22">
        <v>0.60150099999999995</v>
      </c>
      <c r="Z252" s="22">
        <v>17.2057</v>
      </c>
      <c r="AA252" s="22">
        <v>-1.3913E-2</v>
      </c>
      <c r="AB252" s="22">
        <v>242</v>
      </c>
      <c r="AC252" s="22">
        <v>0.60086099999999998</v>
      </c>
      <c r="AD252">
        <f t="shared" si="40"/>
        <v>17.176543209876542</v>
      </c>
      <c r="AE252">
        <f t="shared" si="41"/>
        <v>10.331707917283948</v>
      </c>
      <c r="AF252" s="9"/>
      <c r="AG252" s="22">
        <v>1.1186199999999999</v>
      </c>
      <c r="AH252" s="22">
        <v>21.065200000000001</v>
      </c>
      <c r="AI252" s="22">
        <v>-1.3616899999999999E-2</v>
      </c>
      <c r="AJ252" s="22">
        <v>242</v>
      </c>
      <c r="AK252" s="22">
        <v>1.11755</v>
      </c>
      <c r="AL252">
        <f t="shared" si="42"/>
        <v>16.810987654320986</v>
      </c>
      <c r="AM252">
        <f t="shared" si="43"/>
        <v>18.80510700987654</v>
      </c>
      <c r="AP252" s="9"/>
      <c r="AQ252" s="22">
        <v>0.60150099999999995</v>
      </c>
      <c r="AR252" s="22">
        <v>26.510899999999999</v>
      </c>
      <c r="AS252" s="22">
        <v>-1.39343E-2</v>
      </c>
      <c r="AT252" s="22">
        <v>242</v>
      </c>
      <c r="AU252" s="22">
        <v>0.60089099999999995</v>
      </c>
      <c r="AV252">
        <f t="shared" si="44"/>
        <v>17.202839506172836</v>
      </c>
      <c r="AW252">
        <f t="shared" si="45"/>
        <v>10.347525165802466</v>
      </c>
      <c r="AX252" s="9"/>
      <c r="AY252" s="22">
        <v>1.1186199999999999</v>
      </c>
      <c r="AZ252" s="22">
        <v>30.3704</v>
      </c>
      <c r="BA252" s="22">
        <v>-1.3644399999999999E-2</v>
      </c>
      <c r="BB252" s="22">
        <v>242</v>
      </c>
      <c r="BC252" s="22">
        <v>1.1178600000000001</v>
      </c>
      <c r="BD252">
        <f t="shared" si="46"/>
        <v>16.844938271604939</v>
      </c>
      <c r="BE252">
        <f t="shared" si="47"/>
        <v>18.843084849382716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0.59646600000000005</v>
      </c>
      <c r="H253" s="22">
        <v>7.7715800000000002</v>
      </c>
      <c r="I253" s="22">
        <v>-1.38794E-2</v>
      </c>
      <c r="J253" s="22">
        <v>243</v>
      </c>
      <c r="K253" s="22">
        <v>0.59582500000000005</v>
      </c>
      <c r="L253">
        <f t="shared" si="36"/>
        <v>17.135061728395058</v>
      </c>
      <c r="M253">
        <f t="shared" si="37"/>
        <v>10.220481728888888</v>
      </c>
      <c r="N253" s="9"/>
      <c r="O253" s="22">
        <v>1.1236600000000001</v>
      </c>
      <c r="P253" s="22">
        <v>11.6311</v>
      </c>
      <c r="Q253" s="22">
        <v>-1.37238E-2</v>
      </c>
      <c r="R253" s="22">
        <v>243</v>
      </c>
      <c r="S253" s="22">
        <v>1.1230500000000001</v>
      </c>
      <c r="T253">
        <f t="shared" si="38"/>
        <v>16.942962962962962</v>
      </c>
      <c r="U253">
        <f t="shared" si="39"/>
        <v>19.038129762962964</v>
      </c>
      <c r="X253" s="9"/>
      <c r="Y253" s="22">
        <v>0.59646600000000005</v>
      </c>
      <c r="Z253" s="22">
        <v>17.215800000000002</v>
      </c>
      <c r="AA253" s="22">
        <v>-1.3916E-2</v>
      </c>
      <c r="AB253" s="22">
        <v>243</v>
      </c>
      <c r="AC253" s="22">
        <v>0.59579499999999996</v>
      </c>
      <c r="AD253">
        <f t="shared" si="40"/>
        <v>17.180246913580245</v>
      </c>
      <c r="AE253">
        <f t="shared" si="41"/>
        <v>10.247433155555555</v>
      </c>
      <c r="AF253" s="9"/>
      <c r="AG253" s="22">
        <v>1.1236600000000001</v>
      </c>
      <c r="AH253" s="22">
        <v>21.075299999999999</v>
      </c>
      <c r="AI253" s="22">
        <v>-1.362E-2</v>
      </c>
      <c r="AJ253" s="22">
        <v>243</v>
      </c>
      <c r="AK253" s="22">
        <v>1.1227400000000001</v>
      </c>
      <c r="AL253">
        <f t="shared" si="42"/>
        <v>16.814814814814813</v>
      </c>
      <c r="AM253">
        <f t="shared" si="43"/>
        <v>18.894134814814816</v>
      </c>
      <c r="AP253" s="9"/>
      <c r="AQ253" s="22">
        <v>0.59646600000000005</v>
      </c>
      <c r="AR253" s="22">
        <v>26.521000000000001</v>
      </c>
      <c r="AS253" s="22">
        <v>-1.3931300000000001E-2</v>
      </c>
      <c r="AT253" s="22">
        <v>243</v>
      </c>
      <c r="AU253" s="22">
        <v>0.59588600000000003</v>
      </c>
      <c r="AV253">
        <f t="shared" si="44"/>
        <v>17.199135802469137</v>
      </c>
      <c r="AW253">
        <f t="shared" si="45"/>
        <v>10.258699735555556</v>
      </c>
      <c r="AX253" s="9"/>
      <c r="AY253" s="22">
        <v>1.1236600000000001</v>
      </c>
      <c r="AZ253" s="22">
        <v>30.380500000000001</v>
      </c>
      <c r="BA253" s="22">
        <v>-1.36261E-2</v>
      </c>
      <c r="BB253" s="22">
        <v>243</v>
      </c>
      <c r="BC253" s="22">
        <v>1.1224400000000001</v>
      </c>
      <c r="BD253">
        <f t="shared" si="46"/>
        <v>16.822345679012344</v>
      </c>
      <c r="BE253">
        <f t="shared" si="47"/>
        <v>18.902596945679011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0.59143100000000004</v>
      </c>
      <c r="H254" s="22">
        <v>7.78165</v>
      </c>
      <c r="I254" s="22">
        <v>-1.3876299999999999E-2</v>
      </c>
      <c r="J254" s="22">
        <v>244</v>
      </c>
      <c r="K254" s="22">
        <v>0.59085100000000002</v>
      </c>
      <c r="L254">
        <f t="shared" si="36"/>
        <v>17.131234567901231</v>
      </c>
      <c r="M254">
        <f t="shared" si="37"/>
        <v>10.131943191728393</v>
      </c>
      <c r="N254" s="9"/>
      <c r="O254" s="22">
        <v>1.12869</v>
      </c>
      <c r="P254" s="22">
        <v>11.6411</v>
      </c>
      <c r="Q254" s="22">
        <v>-1.3717699999999999E-2</v>
      </c>
      <c r="R254" s="22">
        <v>244</v>
      </c>
      <c r="S254" s="22">
        <v>1.1279300000000001</v>
      </c>
      <c r="T254">
        <f t="shared" si="38"/>
        <v>16.935432098765432</v>
      </c>
      <c r="U254">
        <f t="shared" si="39"/>
        <v>19.114852855555554</v>
      </c>
      <c r="X254" s="9"/>
      <c r="Y254" s="22">
        <v>0.59143100000000004</v>
      </c>
      <c r="Z254" s="22">
        <v>17.225899999999999</v>
      </c>
      <c r="AA254" s="22">
        <v>-1.39191E-2</v>
      </c>
      <c r="AB254" s="22">
        <v>244</v>
      </c>
      <c r="AC254" s="22">
        <v>0.59079000000000004</v>
      </c>
      <c r="AD254">
        <f t="shared" si="40"/>
        <v>17.184074074074076</v>
      </c>
      <c r="AE254">
        <f t="shared" si="41"/>
        <v>10.163194113703705</v>
      </c>
      <c r="AF254" s="9"/>
      <c r="AG254" s="22">
        <v>1.12869</v>
      </c>
      <c r="AH254" s="22">
        <v>21.0853</v>
      </c>
      <c r="AI254" s="22">
        <v>-1.3616899999999999E-2</v>
      </c>
      <c r="AJ254" s="22">
        <v>244</v>
      </c>
      <c r="AK254" s="22">
        <v>1.1273200000000001</v>
      </c>
      <c r="AL254">
        <f t="shared" si="42"/>
        <v>16.810987654320986</v>
      </c>
      <c r="AM254">
        <f t="shared" si="43"/>
        <v>18.974393655555552</v>
      </c>
      <c r="AP254" s="9"/>
      <c r="AQ254" s="22">
        <v>0.59143100000000004</v>
      </c>
      <c r="AR254" s="22">
        <v>26.531099999999999</v>
      </c>
      <c r="AS254" s="22">
        <v>-1.39191E-2</v>
      </c>
      <c r="AT254" s="22">
        <v>244</v>
      </c>
      <c r="AU254" s="22">
        <v>0.59085100000000002</v>
      </c>
      <c r="AV254">
        <f t="shared" si="44"/>
        <v>17.184074074074076</v>
      </c>
      <c r="AW254">
        <f t="shared" si="45"/>
        <v>10.163194113703705</v>
      </c>
      <c r="AX254" s="9"/>
      <c r="AY254" s="22">
        <v>1.12869</v>
      </c>
      <c r="AZ254" s="22">
        <v>30.390599999999999</v>
      </c>
      <c r="BA254" s="22">
        <v>-1.362E-2</v>
      </c>
      <c r="BB254" s="22">
        <v>244</v>
      </c>
      <c r="BC254" s="22">
        <v>1.1276200000000001</v>
      </c>
      <c r="BD254">
        <f t="shared" si="46"/>
        <v>16.814814814814813</v>
      </c>
      <c r="BE254">
        <f t="shared" si="47"/>
        <v>18.978713333333332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0.586395</v>
      </c>
      <c r="H255" s="22">
        <v>7.7917199999999998</v>
      </c>
      <c r="I255" s="22">
        <v>-1.38733E-2</v>
      </c>
      <c r="J255" s="22">
        <v>245</v>
      </c>
      <c r="K255" s="22">
        <v>0.585754</v>
      </c>
      <c r="L255">
        <f t="shared" si="36"/>
        <v>17.127530864197528</v>
      </c>
      <c r="M255">
        <f t="shared" si="37"/>
        <v>10.04349846111111</v>
      </c>
      <c r="N255" s="9"/>
      <c r="O255" s="22">
        <v>1.1337299999999999</v>
      </c>
      <c r="P255" s="22">
        <v>11.651199999999999</v>
      </c>
      <c r="Q255" s="22">
        <v>-1.3699299999999999E-2</v>
      </c>
      <c r="R255" s="22">
        <v>245</v>
      </c>
      <c r="S255" s="22">
        <v>1.1331199999999999</v>
      </c>
      <c r="T255">
        <f t="shared" si="38"/>
        <v>16.912716049382716</v>
      </c>
      <c r="U255">
        <f t="shared" si="39"/>
        <v>19.174453566666664</v>
      </c>
      <c r="X255" s="9"/>
      <c r="Y255" s="22">
        <v>0.586395</v>
      </c>
      <c r="Z255" s="22">
        <v>17.235900000000001</v>
      </c>
      <c r="AA255" s="22">
        <v>-1.39191E-2</v>
      </c>
      <c r="AB255" s="22">
        <v>245</v>
      </c>
      <c r="AC255" s="22">
        <v>0.585754</v>
      </c>
      <c r="AD255">
        <f t="shared" si="40"/>
        <v>17.184074074074076</v>
      </c>
      <c r="AE255">
        <f t="shared" si="41"/>
        <v>10.076655116666668</v>
      </c>
      <c r="AF255" s="9"/>
      <c r="AG255" s="22">
        <v>1.1337299999999999</v>
      </c>
      <c r="AH255" s="22">
        <v>21.095400000000001</v>
      </c>
      <c r="AI255" s="22">
        <v>-1.3616899999999999E-2</v>
      </c>
      <c r="AJ255" s="22">
        <v>245</v>
      </c>
      <c r="AK255" s="22">
        <v>1.1325099999999999</v>
      </c>
      <c r="AL255">
        <f t="shared" si="42"/>
        <v>16.810987654320986</v>
      </c>
      <c r="AM255">
        <f t="shared" si="43"/>
        <v>19.05912103333333</v>
      </c>
      <c r="AP255" s="9"/>
      <c r="AQ255" s="22">
        <v>0.586395</v>
      </c>
      <c r="AR255" s="22">
        <v>26.5412</v>
      </c>
      <c r="AS255" s="22">
        <v>-1.39069E-2</v>
      </c>
      <c r="AT255" s="22">
        <v>245</v>
      </c>
      <c r="AU255" s="22">
        <v>0.58572400000000002</v>
      </c>
      <c r="AV255">
        <f t="shared" si="44"/>
        <v>17.169012345679011</v>
      </c>
      <c r="AW255">
        <f t="shared" si="45"/>
        <v>10.067822994444443</v>
      </c>
      <c r="AX255" s="9"/>
      <c r="AY255" s="22">
        <v>1.1337299999999999</v>
      </c>
      <c r="AZ255" s="22">
        <v>30.400600000000001</v>
      </c>
      <c r="BA255" s="22">
        <v>-1.362E-2</v>
      </c>
      <c r="BB255" s="22">
        <v>245</v>
      </c>
      <c r="BC255" s="22">
        <v>1.1325099999999999</v>
      </c>
      <c r="BD255">
        <f t="shared" si="46"/>
        <v>16.814814814814813</v>
      </c>
      <c r="BE255">
        <f t="shared" si="47"/>
        <v>19.063459999999996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0.58135999999999999</v>
      </c>
      <c r="H256" s="22">
        <v>7.8018000000000001</v>
      </c>
      <c r="I256" s="22">
        <v>-1.3876299999999999E-2</v>
      </c>
      <c r="J256" s="22">
        <v>246</v>
      </c>
      <c r="K256" s="22">
        <v>0.58074999999999999</v>
      </c>
      <c r="L256">
        <f t="shared" si="36"/>
        <v>17.131234567901231</v>
      </c>
      <c r="M256">
        <f t="shared" si="37"/>
        <v>9.9594145283950599</v>
      </c>
      <c r="N256" s="9"/>
      <c r="O256" s="22">
        <v>1.13876</v>
      </c>
      <c r="P256" s="22">
        <v>11.661300000000001</v>
      </c>
      <c r="Q256" s="22">
        <v>-1.3681E-2</v>
      </c>
      <c r="R256" s="22">
        <v>246</v>
      </c>
      <c r="S256" s="22">
        <v>1.1379999999999999</v>
      </c>
      <c r="T256">
        <f t="shared" si="38"/>
        <v>16.890123456790121</v>
      </c>
      <c r="U256">
        <f t="shared" si="39"/>
        <v>19.233796987654319</v>
      </c>
      <c r="X256" s="9"/>
      <c r="Y256" s="22">
        <v>0.58135999999999999</v>
      </c>
      <c r="Z256" s="22">
        <v>17.245999999999999</v>
      </c>
      <c r="AA256" s="22">
        <v>-1.39191E-2</v>
      </c>
      <c r="AB256" s="22">
        <v>246</v>
      </c>
      <c r="AC256" s="22">
        <v>0.58065800000000001</v>
      </c>
      <c r="AD256">
        <f t="shared" si="40"/>
        <v>17.184074074074076</v>
      </c>
      <c r="AE256">
        <f t="shared" si="41"/>
        <v>9.9901333037037041</v>
      </c>
      <c r="AF256" s="9"/>
      <c r="AG256" s="22">
        <v>1.13876</v>
      </c>
      <c r="AH256" s="22">
        <v>21.105499999999999</v>
      </c>
      <c r="AI256" s="22">
        <v>-1.3610799999999999E-2</v>
      </c>
      <c r="AJ256" s="22">
        <v>246</v>
      </c>
      <c r="AK256" s="22">
        <v>1.1376999999999999</v>
      </c>
      <c r="AL256">
        <f t="shared" si="42"/>
        <v>16.803456790123455</v>
      </c>
      <c r="AM256">
        <f t="shared" si="43"/>
        <v>19.135104454320985</v>
      </c>
      <c r="AP256" s="9"/>
      <c r="AQ256" s="22">
        <v>0.58135999999999999</v>
      </c>
      <c r="AR256" s="22">
        <v>26.551200000000001</v>
      </c>
      <c r="AS256" s="22">
        <v>-1.39008E-2</v>
      </c>
      <c r="AT256" s="22">
        <v>246</v>
      </c>
      <c r="AU256" s="22">
        <v>0.58068799999999998</v>
      </c>
      <c r="AV256">
        <f t="shared" si="44"/>
        <v>17.161481481481481</v>
      </c>
      <c r="AW256">
        <f t="shared" si="45"/>
        <v>9.9769988740740736</v>
      </c>
      <c r="AX256" s="9"/>
      <c r="AY256" s="22">
        <v>1.13876</v>
      </c>
      <c r="AZ256" s="22">
        <v>30.410699999999999</v>
      </c>
      <c r="BA256" s="22">
        <v>-1.36139E-2</v>
      </c>
      <c r="BB256" s="22">
        <v>246</v>
      </c>
      <c r="BC256" s="22">
        <v>1.1379999999999999</v>
      </c>
      <c r="BD256">
        <f t="shared" si="46"/>
        <v>16.807283950617283</v>
      </c>
      <c r="BE256">
        <f t="shared" si="47"/>
        <v>19.139462671604935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0.57632399999999995</v>
      </c>
      <c r="H257" s="22">
        <v>7.8118699999999999</v>
      </c>
      <c r="I257" s="22">
        <v>-1.38916E-2</v>
      </c>
      <c r="J257" s="22">
        <v>247</v>
      </c>
      <c r="K257" s="22">
        <v>0.57565299999999997</v>
      </c>
      <c r="L257">
        <f t="shared" si="36"/>
        <v>17.150123456790123</v>
      </c>
      <c r="M257">
        <f t="shared" si="37"/>
        <v>9.884027751111109</v>
      </c>
      <c r="N257" s="9"/>
      <c r="O257" s="22">
        <v>1.1437999999999999</v>
      </c>
      <c r="P257" s="22">
        <v>11.6713</v>
      </c>
      <c r="Q257" s="22">
        <v>-1.36688E-2</v>
      </c>
      <c r="R257" s="22">
        <v>247</v>
      </c>
      <c r="S257" s="22">
        <v>1.1425799999999999</v>
      </c>
      <c r="T257">
        <f t="shared" si="38"/>
        <v>16.87506172839506</v>
      </c>
      <c r="U257">
        <f t="shared" si="39"/>
        <v>19.301695604938267</v>
      </c>
      <c r="X257" s="9"/>
      <c r="Y257" s="22">
        <v>0.57632399999999995</v>
      </c>
      <c r="Z257" s="22">
        <v>17.2561</v>
      </c>
      <c r="AA257" s="22">
        <v>-1.3913E-2</v>
      </c>
      <c r="AB257" s="22">
        <v>247</v>
      </c>
      <c r="AC257" s="22">
        <v>0.57565299999999997</v>
      </c>
      <c r="AD257">
        <f t="shared" si="40"/>
        <v>17.176543209876542</v>
      </c>
      <c r="AE257">
        <f t="shared" si="41"/>
        <v>9.8992540888888865</v>
      </c>
      <c r="AF257" s="9"/>
      <c r="AG257" s="22">
        <v>1.1437999999999999</v>
      </c>
      <c r="AH257" s="22">
        <v>21.115500000000001</v>
      </c>
      <c r="AI257" s="22">
        <v>-1.3604700000000001E-2</v>
      </c>
      <c r="AJ257" s="22">
        <v>247</v>
      </c>
      <c r="AK257" s="22">
        <v>1.1425799999999999</v>
      </c>
      <c r="AL257">
        <f t="shared" si="42"/>
        <v>16.795925925925925</v>
      </c>
      <c r="AM257">
        <f t="shared" si="43"/>
        <v>19.211180074074072</v>
      </c>
      <c r="AP257" s="9"/>
      <c r="AQ257" s="22">
        <v>0.57632399999999995</v>
      </c>
      <c r="AR257" s="22">
        <v>26.561299999999999</v>
      </c>
      <c r="AS257" s="22">
        <v>-1.39008E-2</v>
      </c>
      <c r="AT257" s="22">
        <v>247</v>
      </c>
      <c r="AU257" s="22">
        <v>0.57568399999999997</v>
      </c>
      <c r="AV257">
        <f t="shared" si="44"/>
        <v>17.161481481481481</v>
      </c>
      <c r="AW257">
        <f t="shared" si="45"/>
        <v>9.8905736533333322</v>
      </c>
      <c r="AX257" s="9"/>
      <c r="AY257" s="22">
        <v>1.1437999999999999</v>
      </c>
      <c r="AZ257" s="22">
        <v>30.4208</v>
      </c>
      <c r="BA257" s="22">
        <v>-1.3604700000000001E-2</v>
      </c>
      <c r="BB257" s="22">
        <v>247</v>
      </c>
      <c r="BC257" s="22">
        <v>1.1422699999999999</v>
      </c>
      <c r="BD257">
        <f t="shared" si="46"/>
        <v>16.795925925925925</v>
      </c>
      <c r="BE257">
        <f t="shared" si="47"/>
        <v>19.211180074074072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0.57128900000000005</v>
      </c>
      <c r="H258" s="22">
        <v>7.8219399999999997</v>
      </c>
      <c r="I258" s="22">
        <v>-1.3903799999999999E-2</v>
      </c>
      <c r="J258" s="22">
        <v>248</v>
      </c>
      <c r="K258" s="22">
        <v>0.57061799999999996</v>
      </c>
      <c r="L258">
        <f t="shared" si="36"/>
        <v>17.165185185185184</v>
      </c>
      <c r="M258">
        <f t="shared" si="37"/>
        <v>9.8062814792592601</v>
      </c>
      <c r="N258" s="9"/>
      <c r="O258" s="22">
        <v>1.14883</v>
      </c>
      <c r="P258" s="22">
        <v>11.6814</v>
      </c>
      <c r="Q258" s="22">
        <v>-1.36475E-2</v>
      </c>
      <c r="R258" s="22">
        <v>248</v>
      </c>
      <c r="S258" s="22">
        <v>1.1480699999999999</v>
      </c>
      <c r="T258">
        <f t="shared" si="38"/>
        <v>16.848765432098766</v>
      </c>
      <c r="U258">
        <f t="shared" si="39"/>
        <v>19.356367191358025</v>
      </c>
      <c r="X258" s="9"/>
      <c r="Y258" s="22">
        <v>0.57128900000000005</v>
      </c>
      <c r="Z258" s="22">
        <v>17.266100000000002</v>
      </c>
      <c r="AA258" s="22">
        <v>-1.3913E-2</v>
      </c>
      <c r="AB258" s="22">
        <v>248</v>
      </c>
      <c r="AC258" s="22">
        <v>0.57055699999999998</v>
      </c>
      <c r="AD258">
        <f t="shared" si="40"/>
        <v>17.176543209876542</v>
      </c>
      <c r="AE258">
        <f t="shared" si="41"/>
        <v>9.812770193827161</v>
      </c>
      <c r="AF258" s="9"/>
      <c r="AG258" s="22">
        <v>1.14883</v>
      </c>
      <c r="AH258" s="22">
        <v>21.125599999999999</v>
      </c>
      <c r="AI258" s="22">
        <v>-1.35925E-2</v>
      </c>
      <c r="AJ258" s="22">
        <v>248</v>
      </c>
      <c r="AK258" s="22">
        <v>1.1480699999999999</v>
      </c>
      <c r="AL258">
        <f t="shared" si="42"/>
        <v>16.780864197530864</v>
      </c>
      <c r="AM258">
        <f t="shared" si="43"/>
        <v>19.278360216049382</v>
      </c>
      <c r="AP258" s="9"/>
      <c r="AQ258" s="22">
        <v>0.57128900000000005</v>
      </c>
      <c r="AR258" s="22">
        <v>26.571400000000001</v>
      </c>
      <c r="AS258" s="22">
        <v>-1.3903799999999999E-2</v>
      </c>
      <c r="AT258" s="22">
        <v>248</v>
      </c>
      <c r="AU258" s="22">
        <v>0.57070900000000002</v>
      </c>
      <c r="AV258">
        <f t="shared" si="44"/>
        <v>17.165185185185184</v>
      </c>
      <c r="AW258">
        <f t="shared" si="45"/>
        <v>9.8062814792592601</v>
      </c>
      <c r="AX258" s="9"/>
      <c r="AY258" s="22">
        <v>1.14883</v>
      </c>
      <c r="AZ258" s="22">
        <v>30.430800000000001</v>
      </c>
      <c r="BA258" s="22">
        <v>-1.36078E-2</v>
      </c>
      <c r="BB258" s="22">
        <v>248</v>
      </c>
      <c r="BC258" s="22">
        <v>1.1480699999999999</v>
      </c>
      <c r="BD258">
        <f t="shared" si="46"/>
        <v>16.799753086419752</v>
      </c>
      <c r="BE258">
        <f t="shared" si="47"/>
        <v>19.300060338271603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0.56625400000000004</v>
      </c>
      <c r="H259" s="22">
        <v>7.8320100000000004</v>
      </c>
      <c r="I259" s="22">
        <v>-1.39008E-2</v>
      </c>
      <c r="J259" s="22">
        <v>249</v>
      </c>
      <c r="K259" s="22">
        <v>0.56558200000000003</v>
      </c>
      <c r="L259">
        <f t="shared" si="36"/>
        <v>17.161481481481481</v>
      </c>
      <c r="M259">
        <f t="shared" si="37"/>
        <v>9.7177575348148153</v>
      </c>
      <c r="N259" s="9"/>
      <c r="O259" s="22">
        <v>1.15387</v>
      </c>
      <c r="P259" s="22">
        <v>11.6915</v>
      </c>
      <c r="Q259" s="22">
        <v>-1.3644399999999999E-2</v>
      </c>
      <c r="R259" s="22">
        <v>249</v>
      </c>
      <c r="S259" s="22">
        <v>1.1529499999999999</v>
      </c>
      <c r="T259">
        <f t="shared" si="38"/>
        <v>16.844938271604939</v>
      </c>
      <c r="U259">
        <f t="shared" si="39"/>
        <v>19.436868923456789</v>
      </c>
      <c r="X259" s="9"/>
      <c r="Y259" s="22">
        <v>0.56625400000000004</v>
      </c>
      <c r="Z259" s="22">
        <v>17.276199999999999</v>
      </c>
      <c r="AA259" s="22">
        <v>-1.39191E-2</v>
      </c>
      <c r="AB259" s="22">
        <v>249</v>
      </c>
      <c r="AC259" s="22">
        <v>0.56555200000000005</v>
      </c>
      <c r="AD259">
        <f t="shared" si="40"/>
        <v>17.184074074074076</v>
      </c>
      <c r="AE259">
        <f t="shared" si="41"/>
        <v>9.7305506807407429</v>
      </c>
      <c r="AF259" s="9"/>
      <c r="AG259" s="22">
        <v>1.15387</v>
      </c>
      <c r="AH259" s="22">
        <v>21.1357</v>
      </c>
      <c r="AI259" s="22">
        <v>-1.35773E-2</v>
      </c>
      <c r="AJ259" s="22">
        <v>249</v>
      </c>
      <c r="AK259" s="22">
        <v>1.1523399999999999</v>
      </c>
      <c r="AL259">
        <f t="shared" si="42"/>
        <v>16.7620987654321</v>
      </c>
      <c r="AM259">
        <f t="shared" si="43"/>
        <v>19.341282902469136</v>
      </c>
      <c r="AP259" s="9"/>
      <c r="AQ259" s="22">
        <v>0.56625400000000004</v>
      </c>
      <c r="AR259" s="22">
        <v>26.581399999999999</v>
      </c>
      <c r="AS259" s="22">
        <v>-1.3903799999999999E-2</v>
      </c>
      <c r="AT259" s="22">
        <v>249</v>
      </c>
      <c r="AU259" s="22">
        <v>0.56555200000000005</v>
      </c>
      <c r="AV259">
        <f t="shared" si="44"/>
        <v>17.165185185185184</v>
      </c>
      <c r="AW259">
        <f t="shared" si="45"/>
        <v>9.7198547718518515</v>
      </c>
      <c r="AX259" s="9"/>
      <c r="AY259" s="22">
        <v>1.15387</v>
      </c>
      <c r="AZ259" s="22">
        <v>30.440899999999999</v>
      </c>
      <c r="BA259" s="22">
        <v>-1.3616899999999999E-2</v>
      </c>
      <c r="BB259" s="22">
        <v>249</v>
      </c>
      <c r="BC259" s="22">
        <v>1.15265</v>
      </c>
      <c r="BD259">
        <f t="shared" si="46"/>
        <v>16.810987654320986</v>
      </c>
      <c r="BE259">
        <f t="shared" si="47"/>
        <v>19.397694324691354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0.56121799999999999</v>
      </c>
      <c r="H260" s="22">
        <v>7.8420800000000002</v>
      </c>
      <c r="I260" s="22">
        <v>-1.39008E-2</v>
      </c>
      <c r="J260" s="22">
        <v>250</v>
      </c>
      <c r="K260" s="22">
        <v>0.560608</v>
      </c>
      <c r="L260">
        <f t="shared" si="36"/>
        <v>17.161481481481481</v>
      </c>
      <c r="M260">
        <f t="shared" si="37"/>
        <v>9.6313323140740739</v>
      </c>
      <c r="N260" s="9"/>
      <c r="O260" s="22">
        <v>1.1589100000000001</v>
      </c>
      <c r="P260" s="22">
        <v>11.701599999999999</v>
      </c>
      <c r="Q260" s="22">
        <v>-1.3644399999999999E-2</v>
      </c>
      <c r="R260" s="22">
        <v>250</v>
      </c>
      <c r="S260" s="22">
        <v>1.1581399999999999</v>
      </c>
      <c r="T260">
        <f t="shared" si="38"/>
        <v>16.844938271604939</v>
      </c>
      <c r="U260">
        <f t="shared" si="39"/>
        <v>19.521767412345682</v>
      </c>
      <c r="X260" s="9"/>
      <c r="Y260" s="22">
        <v>0.56121799999999999</v>
      </c>
      <c r="Z260" s="22">
        <v>17.286300000000001</v>
      </c>
      <c r="AA260" s="22">
        <v>-1.39191E-2</v>
      </c>
      <c r="AB260" s="22">
        <v>250</v>
      </c>
      <c r="AC260" s="22">
        <v>0.560608</v>
      </c>
      <c r="AD260">
        <f t="shared" si="40"/>
        <v>17.184074074074076</v>
      </c>
      <c r="AE260">
        <f t="shared" si="41"/>
        <v>9.6440116837037042</v>
      </c>
      <c r="AF260" s="9"/>
      <c r="AG260" s="22">
        <v>1.1589100000000001</v>
      </c>
      <c r="AH260" s="22">
        <v>21.145800000000001</v>
      </c>
      <c r="AI260" s="22">
        <v>-1.35712E-2</v>
      </c>
      <c r="AJ260" s="22">
        <v>250</v>
      </c>
      <c r="AK260" s="22">
        <v>1.15845</v>
      </c>
      <c r="AL260">
        <f t="shared" si="42"/>
        <v>16.754567901234566</v>
      </c>
      <c r="AM260">
        <f t="shared" si="43"/>
        <v>19.417036286419751</v>
      </c>
      <c r="AP260" s="9"/>
      <c r="AQ260" s="22">
        <v>0.56121799999999999</v>
      </c>
      <c r="AR260" s="22">
        <v>26.5915</v>
      </c>
      <c r="AS260" s="22">
        <v>-1.38885E-2</v>
      </c>
      <c r="AT260" s="22">
        <v>250</v>
      </c>
      <c r="AU260" s="22">
        <v>0.56057699999999999</v>
      </c>
      <c r="AV260">
        <f t="shared" si="44"/>
        <v>17.146296296296295</v>
      </c>
      <c r="AW260">
        <f t="shared" si="45"/>
        <v>9.6228101148148149</v>
      </c>
      <c r="AX260" s="9"/>
      <c r="AY260" s="22">
        <v>1.1589100000000001</v>
      </c>
      <c r="AZ260" s="22">
        <v>30.451000000000001</v>
      </c>
      <c r="BA260" s="22">
        <v>-1.362E-2</v>
      </c>
      <c r="BB260" s="22">
        <v>250</v>
      </c>
      <c r="BC260" s="22">
        <v>1.1575299999999999</v>
      </c>
      <c r="BD260">
        <f t="shared" si="46"/>
        <v>16.814814814814813</v>
      </c>
      <c r="BE260">
        <f t="shared" si="47"/>
        <v>19.486857037037037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0.55618299999999998</v>
      </c>
      <c r="H261" s="22">
        <v>7.85215</v>
      </c>
      <c r="I261" s="22">
        <v>-1.39069E-2</v>
      </c>
      <c r="J261" s="22">
        <v>251</v>
      </c>
      <c r="K261" s="22">
        <v>0.55538900000000002</v>
      </c>
      <c r="L261">
        <f t="shared" si="36"/>
        <v>17.169012345679011</v>
      </c>
      <c r="M261">
        <f t="shared" si="37"/>
        <v>9.5491127934567892</v>
      </c>
      <c r="N261" s="9"/>
      <c r="O261" s="22">
        <v>1.16394</v>
      </c>
      <c r="P261" s="22">
        <v>11.711600000000001</v>
      </c>
      <c r="Q261" s="22">
        <v>-1.3632200000000001E-2</v>
      </c>
      <c r="R261" s="22">
        <v>251</v>
      </c>
      <c r="S261" s="22">
        <v>1.1630199999999999</v>
      </c>
      <c r="T261">
        <f t="shared" si="38"/>
        <v>16.829876543209878</v>
      </c>
      <c r="U261">
        <f t="shared" si="39"/>
        <v>19.588966503703706</v>
      </c>
      <c r="X261" s="9"/>
      <c r="Y261" s="22">
        <v>0.55618299999999998</v>
      </c>
      <c r="Z261" s="22">
        <v>17.296399999999998</v>
      </c>
      <c r="AA261" s="22">
        <v>-1.39252E-2</v>
      </c>
      <c r="AB261" s="22">
        <v>251</v>
      </c>
      <c r="AC261" s="22">
        <v>0.55545</v>
      </c>
      <c r="AD261">
        <f t="shared" si="40"/>
        <v>17.191604938271606</v>
      </c>
      <c r="AE261">
        <f t="shared" si="41"/>
        <v>9.5616784093827167</v>
      </c>
      <c r="AF261" s="9"/>
      <c r="AG261" s="22">
        <v>1.16394</v>
      </c>
      <c r="AH261" s="22">
        <v>21.155799999999999</v>
      </c>
      <c r="AI261" s="22">
        <v>-1.35681E-2</v>
      </c>
      <c r="AJ261" s="22">
        <v>251</v>
      </c>
      <c r="AK261" s="22">
        <v>1.16364</v>
      </c>
      <c r="AL261">
        <f t="shared" si="42"/>
        <v>16.750740740740738</v>
      </c>
      <c r="AM261">
        <f t="shared" si="43"/>
        <v>19.496857177777773</v>
      </c>
      <c r="AP261" s="9"/>
      <c r="AQ261" s="22">
        <v>0.55618299999999998</v>
      </c>
      <c r="AR261" s="22">
        <v>26.601600000000001</v>
      </c>
      <c r="AS261" s="22">
        <v>-1.3894699999999999E-2</v>
      </c>
      <c r="AT261" s="22">
        <v>251</v>
      </c>
      <c r="AU261" s="22">
        <v>0.55560299999999996</v>
      </c>
      <c r="AV261">
        <f t="shared" si="44"/>
        <v>17.153950617283947</v>
      </c>
      <c r="AW261">
        <f t="shared" si="45"/>
        <v>9.5407357161728363</v>
      </c>
      <c r="AX261" s="9"/>
      <c r="AY261" s="22">
        <v>1.16394</v>
      </c>
      <c r="AZ261" s="22">
        <v>30.461099999999998</v>
      </c>
      <c r="BA261" s="22">
        <v>-1.3616899999999999E-2</v>
      </c>
      <c r="BB261" s="22">
        <v>251</v>
      </c>
      <c r="BC261" s="22">
        <v>1.1624099999999999</v>
      </c>
      <c r="BD261">
        <f t="shared" si="46"/>
        <v>16.810987654320986</v>
      </c>
      <c r="BE261">
        <f t="shared" si="47"/>
        <v>19.566980970370366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0.55114700000000005</v>
      </c>
      <c r="H262" s="22">
        <v>7.8622199999999998</v>
      </c>
      <c r="I262" s="22">
        <v>-1.3916E-2</v>
      </c>
      <c r="J262" s="22">
        <v>252</v>
      </c>
      <c r="K262" s="22">
        <v>0.55047599999999997</v>
      </c>
      <c r="L262">
        <f t="shared" si="36"/>
        <v>17.180246913580245</v>
      </c>
      <c r="M262">
        <f t="shared" si="37"/>
        <v>9.4688415456790125</v>
      </c>
      <c r="N262" s="9"/>
      <c r="O262" s="22">
        <v>1.1689799999999999</v>
      </c>
      <c r="P262" s="22">
        <v>11.7217</v>
      </c>
      <c r="Q262" s="22">
        <v>-1.36261E-2</v>
      </c>
      <c r="R262" s="22">
        <v>252</v>
      </c>
      <c r="S262" s="22">
        <v>1.16852</v>
      </c>
      <c r="T262">
        <f t="shared" si="38"/>
        <v>16.822345679012344</v>
      </c>
      <c r="U262">
        <f t="shared" si="39"/>
        <v>19.664985651851847</v>
      </c>
      <c r="X262" s="9"/>
      <c r="Y262" s="22">
        <v>0.55114700000000005</v>
      </c>
      <c r="Z262" s="22">
        <v>17.3064</v>
      </c>
      <c r="AA262" s="22">
        <v>-1.39252E-2</v>
      </c>
      <c r="AB262" s="22">
        <v>252</v>
      </c>
      <c r="AC262" s="22">
        <v>0.55050699999999997</v>
      </c>
      <c r="AD262">
        <f t="shared" si="40"/>
        <v>17.191604938271606</v>
      </c>
      <c r="AE262">
        <f t="shared" si="41"/>
        <v>9.4751014869135819</v>
      </c>
      <c r="AF262" s="9"/>
      <c r="AG262" s="22">
        <v>1.1689799999999999</v>
      </c>
      <c r="AH262" s="22">
        <v>21.165900000000001</v>
      </c>
      <c r="AI262" s="22">
        <v>-1.3559E-2</v>
      </c>
      <c r="AJ262" s="22">
        <v>252</v>
      </c>
      <c r="AK262" s="22">
        <v>1.16791</v>
      </c>
      <c r="AL262">
        <f t="shared" si="42"/>
        <v>16.739506172839505</v>
      </c>
      <c r="AM262">
        <f t="shared" si="43"/>
        <v>19.568147925925924</v>
      </c>
      <c r="AP262" s="9"/>
      <c r="AQ262" s="22">
        <v>0.55114700000000005</v>
      </c>
      <c r="AR262" s="22">
        <v>26.611699999999999</v>
      </c>
      <c r="AS262" s="22">
        <v>-1.3909899999999999E-2</v>
      </c>
      <c r="AT262" s="22">
        <v>252</v>
      </c>
      <c r="AU262" s="22">
        <v>0.55056799999999995</v>
      </c>
      <c r="AV262">
        <f t="shared" si="44"/>
        <v>17.172716049382714</v>
      </c>
      <c r="AW262">
        <f t="shared" si="45"/>
        <v>9.4646909324691357</v>
      </c>
      <c r="AX262" s="9"/>
      <c r="AY262" s="22">
        <v>1.1689799999999999</v>
      </c>
      <c r="AZ262" s="22">
        <v>30.4711</v>
      </c>
      <c r="BA262" s="22">
        <v>-1.36078E-2</v>
      </c>
      <c r="BB262" s="22">
        <v>252</v>
      </c>
      <c r="BC262" s="22">
        <v>1.16821</v>
      </c>
      <c r="BD262">
        <f t="shared" si="46"/>
        <v>16.799753086419752</v>
      </c>
      <c r="BE262">
        <f t="shared" si="47"/>
        <v>19.63857536296296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0.54611200000000004</v>
      </c>
      <c r="H263" s="22">
        <v>7.8722899999999996</v>
      </c>
      <c r="I263" s="22">
        <v>-1.3916E-2</v>
      </c>
      <c r="J263" s="22">
        <v>253</v>
      </c>
      <c r="K263" s="22">
        <v>0.54547100000000004</v>
      </c>
      <c r="L263">
        <f t="shared" si="36"/>
        <v>17.180246913580245</v>
      </c>
      <c r="M263">
        <f t="shared" si="37"/>
        <v>9.382339002469136</v>
      </c>
      <c r="N263" s="9"/>
      <c r="O263" s="22">
        <v>1.17401</v>
      </c>
      <c r="P263" s="22">
        <v>11.7318</v>
      </c>
      <c r="Q263" s="22">
        <v>-1.3632200000000001E-2</v>
      </c>
      <c r="R263" s="22">
        <v>253</v>
      </c>
      <c r="S263" s="22">
        <v>1.1734</v>
      </c>
      <c r="T263">
        <f t="shared" si="38"/>
        <v>16.829876543209878</v>
      </c>
      <c r="U263">
        <f t="shared" si="39"/>
        <v>19.758443360493828</v>
      </c>
      <c r="X263" s="9"/>
      <c r="Y263" s="22">
        <v>0.54611200000000004</v>
      </c>
      <c r="Z263" s="22">
        <v>17.316500000000001</v>
      </c>
      <c r="AA263" s="22">
        <v>-1.3916E-2</v>
      </c>
      <c r="AB263" s="22">
        <v>253</v>
      </c>
      <c r="AC263" s="22">
        <v>0.54540999999999995</v>
      </c>
      <c r="AD263">
        <f t="shared" si="40"/>
        <v>17.180246913580245</v>
      </c>
      <c r="AE263">
        <f t="shared" si="41"/>
        <v>9.382339002469136</v>
      </c>
      <c r="AF263" s="9"/>
      <c r="AG263" s="22">
        <v>1.17401</v>
      </c>
      <c r="AH263" s="22">
        <v>21.175999999999998</v>
      </c>
      <c r="AI263" s="22">
        <v>-1.3559E-2</v>
      </c>
      <c r="AJ263" s="22">
        <v>253</v>
      </c>
      <c r="AK263" s="22">
        <v>1.1731</v>
      </c>
      <c r="AL263">
        <f t="shared" si="42"/>
        <v>16.739506172839505</v>
      </c>
      <c r="AM263">
        <f t="shared" si="43"/>
        <v>19.652347641975307</v>
      </c>
      <c r="AP263" s="9"/>
      <c r="AQ263" s="22">
        <v>0.54611200000000004</v>
      </c>
      <c r="AR263" s="22">
        <v>26.621700000000001</v>
      </c>
      <c r="AS263" s="22">
        <v>-1.3913E-2</v>
      </c>
      <c r="AT263" s="22">
        <v>253</v>
      </c>
      <c r="AU263" s="22">
        <v>0.54544099999999995</v>
      </c>
      <c r="AV263">
        <f t="shared" si="44"/>
        <v>17.176543209876542</v>
      </c>
      <c r="AW263">
        <f t="shared" si="45"/>
        <v>9.3803163654320993</v>
      </c>
      <c r="AX263" s="9"/>
      <c r="AY263" s="22">
        <v>1.17401</v>
      </c>
      <c r="AZ263" s="22">
        <v>30.481200000000001</v>
      </c>
      <c r="BA263" s="22">
        <v>-1.36017E-2</v>
      </c>
      <c r="BB263" s="22">
        <v>253</v>
      </c>
      <c r="BC263" s="22">
        <v>1.17279</v>
      </c>
      <c r="BD263">
        <f t="shared" si="46"/>
        <v>16.792222222222222</v>
      </c>
      <c r="BE263">
        <f t="shared" si="47"/>
        <v>19.71423681111111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0.54107700000000003</v>
      </c>
      <c r="H264" s="22">
        <v>7.8823600000000003</v>
      </c>
      <c r="I264" s="22">
        <v>-1.39069E-2</v>
      </c>
      <c r="J264" s="22">
        <v>254</v>
      </c>
      <c r="K264" s="22">
        <v>0.54034400000000005</v>
      </c>
      <c r="L264">
        <f t="shared" si="36"/>
        <v>17.169012345679011</v>
      </c>
      <c r="M264">
        <f t="shared" si="37"/>
        <v>9.2897576929629633</v>
      </c>
      <c r="N264" s="9"/>
      <c r="O264" s="22">
        <v>1.1790499999999999</v>
      </c>
      <c r="P264" s="22">
        <v>11.7418</v>
      </c>
      <c r="Q264" s="22">
        <v>-1.3623E-2</v>
      </c>
      <c r="R264" s="22">
        <v>254</v>
      </c>
      <c r="S264" s="22">
        <v>1.17828</v>
      </c>
      <c r="T264">
        <f t="shared" si="38"/>
        <v>16.818518518518516</v>
      </c>
      <c r="U264">
        <f t="shared" si="39"/>
        <v>19.829874259259256</v>
      </c>
      <c r="X264" s="9"/>
      <c r="Y264" s="22">
        <v>0.54107700000000003</v>
      </c>
      <c r="Z264" s="22">
        <v>17.326599999999999</v>
      </c>
      <c r="AA264" s="22">
        <v>-1.39069E-2</v>
      </c>
      <c r="AB264" s="22">
        <v>254</v>
      </c>
      <c r="AC264" s="22">
        <v>0.54040500000000002</v>
      </c>
      <c r="AD264">
        <f t="shared" si="40"/>
        <v>17.169012345679011</v>
      </c>
      <c r="AE264">
        <f t="shared" si="41"/>
        <v>9.2897576929629633</v>
      </c>
      <c r="AF264" s="9"/>
      <c r="AG264" s="22">
        <v>1.1790499999999999</v>
      </c>
      <c r="AH264" s="22">
        <v>21.186</v>
      </c>
      <c r="AI264" s="22">
        <v>-1.3561999999999999E-2</v>
      </c>
      <c r="AJ264" s="22">
        <v>254</v>
      </c>
      <c r="AK264" s="22">
        <v>1.17828</v>
      </c>
      <c r="AL264">
        <f t="shared" si="42"/>
        <v>16.743209876543208</v>
      </c>
      <c r="AM264">
        <f t="shared" si="43"/>
        <v>19.74108160493827</v>
      </c>
      <c r="AP264" s="9"/>
      <c r="AQ264" s="22">
        <v>0.54107700000000003</v>
      </c>
      <c r="AR264" s="22">
        <v>26.631799999999998</v>
      </c>
      <c r="AS264" s="22">
        <v>-1.39191E-2</v>
      </c>
      <c r="AT264" s="22">
        <v>254</v>
      </c>
      <c r="AU264" s="22">
        <v>0.54037500000000005</v>
      </c>
      <c r="AV264">
        <f t="shared" si="44"/>
        <v>17.184074074074076</v>
      </c>
      <c r="AW264">
        <f t="shared" si="45"/>
        <v>9.2979072477777791</v>
      </c>
      <c r="AX264" s="9"/>
      <c r="AY264" s="22">
        <v>1.1790499999999999</v>
      </c>
      <c r="AZ264" s="22">
        <v>30.491299999999999</v>
      </c>
      <c r="BA264" s="22">
        <v>-1.35925E-2</v>
      </c>
      <c r="BB264" s="22">
        <v>254</v>
      </c>
      <c r="BC264" s="22">
        <v>1.17828</v>
      </c>
      <c r="BD264">
        <f t="shared" si="46"/>
        <v>16.780864197530864</v>
      </c>
      <c r="BE264">
        <f t="shared" si="47"/>
        <v>19.785477932098765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0.53604099999999999</v>
      </c>
      <c r="H265" s="22">
        <v>7.8924300000000001</v>
      </c>
      <c r="I265" s="22">
        <v>-1.3903799999999999E-2</v>
      </c>
      <c r="J265" s="22">
        <v>255</v>
      </c>
      <c r="K265" s="22">
        <v>0.53533900000000001</v>
      </c>
      <c r="L265">
        <f t="shared" si="36"/>
        <v>17.165185185185184</v>
      </c>
      <c r="M265">
        <f t="shared" si="37"/>
        <v>9.2012430318518508</v>
      </c>
      <c r="N265" s="9"/>
      <c r="O265" s="22">
        <v>1.18408</v>
      </c>
      <c r="P265" s="22">
        <v>11.751899999999999</v>
      </c>
      <c r="Q265" s="22">
        <v>-1.3616899999999999E-2</v>
      </c>
      <c r="R265" s="22">
        <v>255</v>
      </c>
      <c r="S265" s="22">
        <v>1.18286</v>
      </c>
      <c r="T265">
        <f t="shared" si="38"/>
        <v>16.810987654320986</v>
      </c>
      <c r="U265">
        <f t="shared" si="39"/>
        <v>19.905554261728394</v>
      </c>
      <c r="X265" s="9"/>
      <c r="Y265" s="22">
        <v>0.53604099999999999</v>
      </c>
      <c r="Z265" s="22">
        <v>17.336600000000001</v>
      </c>
      <c r="AA265" s="22">
        <v>-1.39008E-2</v>
      </c>
      <c r="AB265" s="22">
        <v>255</v>
      </c>
      <c r="AC265" s="22">
        <v>0.53543099999999999</v>
      </c>
      <c r="AD265">
        <f t="shared" si="40"/>
        <v>17.161481481481481</v>
      </c>
      <c r="AE265">
        <f t="shared" si="41"/>
        <v>9.1992576948148148</v>
      </c>
      <c r="AF265" s="9"/>
      <c r="AG265" s="22">
        <v>1.18408</v>
      </c>
      <c r="AH265" s="22">
        <v>21.196100000000001</v>
      </c>
      <c r="AI265" s="22">
        <v>-1.3559E-2</v>
      </c>
      <c r="AJ265" s="22">
        <v>255</v>
      </c>
      <c r="AK265" s="22">
        <v>1.1831700000000001</v>
      </c>
      <c r="AL265">
        <f t="shared" si="42"/>
        <v>16.739506172839505</v>
      </c>
      <c r="AM265">
        <f t="shared" si="43"/>
        <v>19.820914469135801</v>
      </c>
      <c r="AP265" s="9"/>
      <c r="AQ265" s="22">
        <v>0.53604099999999999</v>
      </c>
      <c r="AR265" s="22">
        <v>26.6419</v>
      </c>
      <c r="AS265" s="22">
        <v>-1.39221E-2</v>
      </c>
      <c r="AT265" s="22">
        <v>255</v>
      </c>
      <c r="AU265" s="22">
        <v>0.53537000000000001</v>
      </c>
      <c r="AV265">
        <f t="shared" si="44"/>
        <v>17.187777777777779</v>
      </c>
      <c r="AW265">
        <f t="shared" si="45"/>
        <v>9.2133535877777781</v>
      </c>
      <c r="AX265" s="9"/>
      <c r="AY265" s="22">
        <v>1.18408</v>
      </c>
      <c r="AZ265" s="22">
        <v>30.501300000000001</v>
      </c>
      <c r="BA265" s="22">
        <v>-1.3583400000000001E-2</v>
      </c>
      <c r="BB265" s="22">
        <v>255</v>
      </c>
      <c r="BC265" s="22">
        <v>1.18347</v>
      </c>
      <c r="BD265">
        <f t="shared" si="46"/>
        <v>16.76962962962963</v>
      </c>
      <c r="BE265">
        <f t="shared" si="47"/>
        <v>19.856583051851853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0.53100599999999998</v>
      </c>
      <c r="H266" s="22">
        <v>7.9025100000000004</v>
      </c>
      <c r="I266" s="22">
        <v>-1.3913E-2</v>
      </c>
      <c r="J266" s="22">
        <v>256</v>
      </c>
      <c r="K266" s="22">
        <v>0.53036499999999998</v>
      </c>
      <c r="L266">
        <f t="shared" si="36"/>
        <v>17.176543209876542</v>
      </c>
      <c r="M266">
        <f t="shared" si="37"/>
        <v>9.1208475037037022</v>
      </c>
      <c r="N266" s="9"/>
      <c r="O266" s="22">
        <v>1.18912</v>
      </c>
      <c r="P266" s="22">
        <v>11.762</v>
      </c>
      <c r="Q266" s="22">
        <v>-1.36078E-2</v>
      </c>
      <c r="R266" s="22">
        <v>256</v>
      </c>
      <c r="S266" s="22">
        <v>1.1880500000000001</v>
      </c>
      <c r="T266">
        <f t="shared" si="38"/>
        <v>16.799753086419752</v>
      </c>
      <c r="U266">
        <f t="shared" si="39"/>
        <v>19.976922390123455</v>
      </c>
      <c r="X266" s="9"/>
      <c r="Y266" s="22">
        <v>0.53100599999999998</v>
      </c>
      <c r="Z266" s="22">
        <v>17.346699999999998</v>
      </c>
      <c r="AA266" s="22">
        <v>-1.3897700000000001E-2</v>
      </c>
      <c r="AB266" s="22">
        <v>256</v>
      </c>
      <c r="AC266" s="22">
        <v>0.53036499999999998</v>
      </c>
      <c r="AD266">
        <f t="shared" si="40"/>
        <v>17.157654320987653</v>
      </c>
      <c r="AE266">
        <f t="shared" si="41"/>
        <v>9.1108173903703698</v>
      </c>
      <c r="AF266" s="9"/>
      <c r="AG266" s="22">
        <v>1.18912</v>
      </c>
      <c r="AH266" s="22">
        <v>21.206199999999999</v>
      </c>
      <c r="AI266" s="22">
        <v>-1.3546799999999999E-2</v>
      </c>
      <c r="AJ266" s="22">
        <v>256</v>
      </c>
      <c r="AK266" s="22">
        <v>1.18835</v>
      </c>
      <c r="AL266">
        <f t="shared" si="42"/>
        <v>16.72444444444444</v>
      </c>
      <c r="AM266">
        <f t="shared" si="43"/>
        <v>19.887371377777772</v>
      </c>
      <c r="AP266" s="9"/>
      <c r="AQ266" s="22">
        <v>0.53100599999999998</v>
      </c>
      <c r="AR266" s="22">
        <v>26.651900000000001</v>
      </c>
      <c r="AS266" s="22">
        <v>-1.39282E-2</v>
      </c>
      <c r="AT266" s="22">
        <v>256</v>
      </c>
      <c r="AU266" s="22">
        <v>0.53039599999999998</v>
      </c>
      <c r="AV266">
        <f t="shared" si="44"/>
        <v>17.195308641975309</v>
      </c>
      <c r="AW266">
        <f t="shared" si="45"/>
        <v>9.130812060740741</v>
      </c>
      <c r="AX266" s="9"/>
      <c r="AY266" s="22">
        <v>1.18912</v>
      </c>
      <c r="AZ266" s="22">
        <v>30.511399999999998</v>
      </c>
      <c r="BA266" s="22">
        <v>-1.35925E-2</v>
      </c>
      <c r="BB266" s="22">
        <v>256</v>
      </c>
      <c r="BC266" s="22">
        <v>1.18835</v>
      </c>
      <c r="BD266">
        <f t="shared" si="46"/>
        <v>16.780864197530864</v>
      </c>
      <c r="BE266">
        <f t="shared" si="47"/>
        <v>19.954461234567901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0.52597000000000005</v>
      </c>
      <c r="H267" s="22">
        <v>7.9125800000000002</v>
      </c>
      <c r="I267" s="22">
        <v>-1.3913E-2</v>
      </c>
      <c r="J267" s="22">
        <v>257</v>
      </c>
      <c r="K267" s="22">
        <v>0.52526899999999999</v>
      </c>
      <c r="L267">
        <f t="shared" si="36"/>
        <v>17.176543209876542</v>
      </c>
      <c r="M267">
        <f t="shared" si="37"/>
        <v>9.034346432098765</v>
      </c>
      <c r="N267" s="9"/>
      <c r="O267" s="22">
        <v>1.19415</v>
      </c>
      <c r="P267" s="22">
        <v>11.7721</v>
      </c>
      <c r="Q267" s="22">
        <v>-1.36017E-2</v>
      </c>
      <c r="R267" s="22">
        <v>257</v>
      </c>
      <c r="S267" s="22">
        <v>1.1926300000000001</v>
      </c>
      <c r="T267">
        <f t="shared" si="38"/>
        <v>16.792222222222222</v>
      </c>
      <c r="U267">
        <f t="shared" si="39"/>
        <v>20.052432166666666</v>
      </c>
      <c r="X267" s="9"/>
      <c r="Y267" s="22">
        <v>0.52597000000000005</v>
      </c>
      <c r="Z267" s="22">
        <v>17.3568</v>
      </c>
      <c r="AA267" s="22">
        <v>-1.39008E-2</v>
      </c>
      <c r="AB267" s="22">
        <v>257</v>
      </c>
      <c r="AC267" s="22">
        <v>0.52529899999999996</v>
      </c>
      <c r="AD267">
        <f t="shared" si="40"/>
        <v>17.161481481481481</v>
      </c>
      <c r="AE267">
        <f t="shared" si="41"/>
        <v>9.0264244148148158</v>
      </c>
      <c r="AF267" s="9"/>
      <c r="AG267" s="22">
        <v>1.19415</v>
      </c>
      <c r="AH267" s="22">
        <v>21.2163</v>
      </c>
      <c r="AI267" s="22">
        <v>-1.35345E-2</v>
      </c>
      <c r="AJ267" s="22">
        <v>257</v>
      </c>
      <c r="AK267" s="22">
        <v>1.19293</v>
      </c>
      <c r="AL267">
        <f t="shared" si="42"/>
        <v>16.709259259259255</v>
      </c>
      <c r="AM267">
        <f t="shared" si="43"/>
        <v>19.953361944444442</v>
      </c>
      <c r="AP267" s="9"/>
      <c r="AQ267" s="22">
        <v>0.52597000000000005</v>
      </c>
      <c r="AR267" s="22">
        <v>26.661999999999999</v>
      </c>
      <c r="AS267" s="22">
        <v>-1.39282E-2</v>
      </c>
      <c r="AT267" s="22">
        <v>257</v>
      </c>
      <c r="AU267" s="22">
        <v>0.52536000000000005</v>
      </c>
      <c r="AV267">
        <f t="shared" si="44"/>
        <v>17.195308641975309</v>
      </c>
      <c r="AW267">
        <f t="shared" si="45"/>
        <v>9.0442164864197547</v>
      </c>
      <c r="AX267" s="9"/>
      <c r="AY267" s="22">
        <v>1.19415</v>
      </c>
      <c r="AZ267" s="22">
        <v>30.5215</v>
      </c>
      <c r="BA267" s="22">
        <v>-1.3595599999999999E-2</v>
      </c>
      <c r="BB267" s="22">
        <v>257</v>
      </c>
      <c r="BC267" s="22">
        <v>1.19293</v>
      </c>
      <c r="BD267">
        <f t="shared" si="46"/>
        <v>16.784691358024691</v>
      </c>
      <c r="BE267">
        <f t="shared" si="47"/>
        <v>20.043439185185186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0.52093500000000004</v>
      </c>
      <c r="H268" s="22">
        <v>7.92265</v>
      </c>
      <c r="I268" s="22">
        <v>-1.3909899999999999E-2</v>
      </c>
      <c r="J268" s="22">
        <v>258</v>
      </c>
      <c r="K268" s="22">
        <v>0.52029400000000003</v>
      </c>
      <c r="L268">
        <f t="shared" ref="L268:L331" si="48">-I268/$F$2*1000</f>
        <v>17.172716049382714</v>
      </c>
      <c r="M268">
        <f t="shared" ref="M268:M331" si="49">L268*G268</f>
        <v>8.9458688351851841</v>
      </c>
      <c r="N268" s="9"/>
      <c r="O268" s="22">
        <v>1.19919</v>
      </c>
      <c r="P268" s="22">
        <v>11.7821</v>
      </c>
      <c r="Q268" s="22">
        <v>-1.36017E-2</v>
      </c>
      <c r="R268" s="22">
        <v>258</v>
      </c>
      <c r="S268" s="22">
        <v>1.19781</v>
      </c>
      <c r="T268">
        <f t="shared" ref="T268:T331" si="50">-Q268/$F$2*1000</f>
        <v>16.792222222222222</v>
      </c>
      <c r="U268">
        <f t="shared" ref="U268:U331" si="51">T268*O268</f>
        <v>20.137064966666667</v>
      </c>
      <c r="X268" s="9"/>
      <c r="Y268" s="22">
        <v>0.52093500000000004</v>
      </c>
      <c r="Z268" s="22">
        <v>17.366900000000001</v>
      </c>
      <c r="AA268" s="22">
        <v>-1.39008E-2</v>
      </c>
      <c r="AB268" s="22">
        <v>258</v>
      </c>
      <c r="AC268" s="22">
        <v>0.52029400000000003</v>
      </c>
      <c r="AD268">
        <f t="shared" ref="AD268:AD331" si="52">-AA268/$F$2*1000</f>
        <v>17.161481481481481</v>
      </c>
      <c r="AE268">
        <f t="shared" ref="AE268:AE331" si="53">AD268*Y268</f>
        <v>8.9400163555555565</v>
      </c>
      <c r="AF268" s="9"/>
      <c r="AG268" s="22">
        <v>1.19919</v>
      </c>
      <c r="AH268" s="22">
        <v>21.226299999999998</v>
      </c>
      <c r="AI268" s="22">
        <v>-1.35254E-2</v>
      </c>
      <c r="AJ268" s="22">
        <v>258</v>
      </c>
      <c r="AK268" s="22">
        <v>1.19781</v>
      </c>
      <c r="AL268">
        <f t="shared" ref="AL268:AL331" si="54">-AI268/$F$2*1000</f>
        <v>16.698024691358025</v>
      </c>
      <c r="AM268">
        <f t="shared" ref="AM268:AM331" si="55">AL268*AG268</f>
        <v>20.024104229629629</v>
      </c>
      <c r="AP268" s="9"/>
      <c r="AQ268" s="22">
        <v>0.52093500000000004</v>
      </c>
      <c r="AR268" s="22">
        <v>26.6721</v>
      </c>
      <c r="AS268" s="22">
        <v>-1.3931300000000001E-2</v>
      </c>
      <c r="AT268" s="22">
        <v>258</v>
      </c>
      <c r="AU268" s="22">
        <v>0.52029400000000003</v>
      </c>
      <c r="AV268">
        <f t="shared" ref="AV268:AV331" si="56">-AS268/$F$2*1000</f>
        <v>17.199135802469137</v>
      </c>
      <c r="AW268">
        <f t="shared" ref="AW268:AW331" si="57">AV268*AQ268</f>
        <v>8.9596318092592604</v>
      </c>
      <c r="AX268" s="9"/>
      <c r="AY268" s="22">
        <v>1.19919</v>
      </c>
      <c r="AZ268" s="22">
        <v>30.531600000000001</v>
      </c>
      <c r="BA268" s="22">
        <v>-1.3583400000000001E-2</v>
      </c>
      <c r="BB268" s="22">
        <v>258</v>
      </c>
      <c r="BC268" s="22">
        <v>1.1981200000000001</v>
      </c>
      <c r="BD268">
        <f t="shared" ref="BD268:BD331" si="58">-BA268/$F$2*1000</f>
        <v>16.76962962962963</v>
      </c>
      <c r="BE268">
        <f t="shared" ref="BE268:BE331" si="59">BD268*AY268</f>
        <v>20.109972155555557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0.51590000000000003</v>
      </c>
      <c r="H269" s="22">
        <v>7.9327199999999998</v>
      </c>
      <c r="I269" s="22">
        <v>-1.39069E-2</v>
      </c>
      <c r="J269" s="22">
        <v>259</v>
      </c>
      <c r="K269" s="22">
        <v>0.51516700000000004</v>
      </c>
      <c r="L269">
        <f t="shared" si="48"/>
        <v>17.169012345679011</v>
      </c>
      <c r="M269">
        <f t="shared" si="49"/>
        <v>8.857493469135802</v>
      </c>
      <c r="N269" s="9"/>
      <c r="O269" s="22">
        <v>1.2042200000000001</v>
      </c>
      <c r="P269" s="22">
        <v>11.792199999999999</v>
      </c>
      <c r="Q269" s="22">
        <v>-1.3598600000000001E-2</v>
      </c>
      <c r="R269" s="22">
        <v>259</v>
      </c>
      <c r="S269" s="22">
        <v>1.2027000000000001</v>
      </c>
      <c r="T269">
        <f t="shared" si="50"/>
        <v>16.788395061728394</v>
      </c>
      <c r="U269">
        <f t="shared" si="51"/>
        <v>20.216921101234568</v>
      </c>
      <c r="X269" s="9"/>
      <c r="Y269" s="22">
        <v>0.51590000000000003</v>
      </c>
      <c r="Z269" s="22">
        <v>17.376899999999999</v>
      </c>
      <c r="AA269" s="22">
        <v>-1.39008E-2</v>
      </c>
      <c r="AB269" s="22">
        <v>259</v>
      </c>
      <c r="AC269" s="22">
        <v>0.51525900000000002</v>
      </c>
      <c r="AD269">
        <f t="shared" si="52"/>
        <v>17.161481481481481</v>
      </c>
      <c r="AE269">
        <f t="shared" si="53"/>
        <v>8.8536082962962972</v>
      </c>
      <c r="AF269" s="9"/>
      <c r="AG269" s="22">
        <v>1.2042200000000001</v>
      </c>
      <c r="AH269" s="22">
        <v>21.2364</v>
      </c>
      <c r="AI269" s="22">
        <v>-1.3507099999999999E-2</v>
      </c>
      <c r="AJ269" s="22">
        <v>259</v>
      </c>
      <c r="AK269" s="22">
        <v>1.2030000000000001</v>
      </c>
      <c r="AL269">
        <f t="shared" si="54"/>
        <v>16.67543209876543</v>
      </c>
      <c r="AM269">
        <f t="shared" si="55"/>
        <v>20.080888841975309</v>
      </c>
      <c r="AP269" s="9"/>
      <c r="AQ269" s="22">
        <v>0.51590000000000003</v>
      </c>
      <c r="AR269" s="22">
        <v>26.682200000000002</v>
      </c>
      <c r="AS269" s="22">
        <v>-1.39252E-2</v>
      </c>
      <c r="AT269" s="22">
        <v>259</v>
      </c>
      <c r="AU269" s="22">
        <v>0.51516700000000004</v>
      </c>
      <c r="AV269">
        <f t="shared" si="56"/>
        <v>17.191604938271606</v>
      </c>
      <c r="AW269">
        <f t="shared" si="57"/>
        <v>8.8691489876543219</v>
      </c>
      <c r="AX269" s="9"/>
      <c r="AY269" s="22">
        <v>1.2042200000000001</v>
      </c>
      <c r="AZ269" s="22">
        <v>30.541599999999999</v>
      </c>
      <c r="BA269" s="22">
        <v>-1.35651E-2</v>
      </c>
      <c r="BB269" s="22">
        <v>259</v>
      </c>
      <c r="BC269" s="22">
        <v>1.2033100000000001</v>
      </c>
      <c r="BD269">
        <f t="shared" si="58"/>
        <v>16.747037037037035</v>
      </c>
      <c r="BE269">
        <f t="shared" si="59"/>
        <v>20.16711694074074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0.51086399999999998</v>
      </c>
      <c r="H270" s="22">
        <v>7.9427899999999996</v>
      </c>
      <c r="I270" s="22">
        <v>-1.39069E-2</v>
      </c>
      <c r="J270" s="22">
        <v>260</v>
      </c>
      <c r="K270" s="22">
        <v>0.51025399999999999</v>
      </c>
      <c r="L270">
        <f t="shared" si="48"/>
        <v>17.169012345679011</v>
      </c>
      <c r="M270">
        <f t="shared" si="49"/>
        <v>8.7710303229629627</v>
      </c>
      <c r="N270" s="9"/>
      <c r="O270" s="22">
        <v>1.20926</v>
      </c>
      <c r="P270" s="22">
        <v>11.802300000000001</v>
      </c>
      <c r="Q270" s="22">
        <v>-1.35925E-2</v>
      </c>
      <c r="R270" s="22">
        <v>260</v>
      </c>
      <c r="S270" s="22">
        <v>1.2081900000000001</v>
      </c>
      <c r="T270">
        <f t="shared" si="50"/>
        <v>16.780864197530864</v>
      </c>
      <c r="U270">
        <f t="shared" si="51"/>
        <v>20.292427839506171</v>
      </c>
      <c r="X270" s="9"/>
      <c r="Y270" s="22">
        <v>0.51086399999999998</v>
      </c>
      <c r="Z270" s="22">
        <v>17.387</v>
      </c>
      <c r="AA270" s="22">
        <v>-1.3909899999999999E-2</v>
      </c>
      <c r="AB270" s="22">
        <v>260</v>
      </c>
      <c r="AC270" s="22">
        <v>0.51022299999999998</v>
      </c>
      <c r="AD270">
        <f t="shared" si="52"/>
        <v>17.172716049382714</v>
      </c>
      <c r="AE270">
        <f t="shared" si="53"/>
        <v>8.7729224118518498</v>
      </c>
      <c r="AF270" s="9"/>
      <c r="AG270" s="22">
        <v>1.20926</v>
      </c>
      <c r="AH270" s="22">
        <v>21.246500000000001</v>
      </c>
      <c r="AI270" s="22">
        <v>-1.34979E-2</v>
      </c>
      <c r="AJ270" s="22">
        <v>260</v>
      </c>
      <c r="AK270" s="22">
        <v>1.2081900000000001</v>
      </c>
      <c r="AL270">
        <f t="shared" si="54"/>
        <v>16.664074074074072</v>
      </c>
      <c r="AM270">
        <f t="shared" si="55"/>
        <v>20.151198214814812</v>
      </c>
      <c r="AP270" s="9"/>
      <c r="AQ270" s="22">
        <v>0.51086399999999998</v>
      </c>
      <c r="AR270" s="22">
        <v>26.6922</v>
      </c>
      <c r="AS270" s="22">
        <v>-1.3916E-2</v>
      </c>
      <c r="AT270" s="22">
        <v>260</v>
      </c>
      <c r="AU270" s="22">
        <v>0.51022299999999998</v>
      </c>
      <c r="AV270">
        <f t="shared" si="56"/>
        <v>17.180246913580245</v>
      </c>
      <c r="AW270">
        <f t="shared" si="57"/>
        <v>8.7767696592592586</v>
      </c>
      <c r="AX270" s="9"/>
      <c r="AY270" s="22">
        <v>1.20926</v>
      </c>
      <c r="AZ270" s="22">
        <v>30.5517</v>
      </c>
      <c r="BA270" s="22">
        <v>-1.3555899999999999E-2</v>
      </c>
      <c r="BB270" s="22">
        <v>260</v>
      </c>
      <c r="BC270" s="22">
        <v>1.2069700000000001</v>
      </c>
      <c r="BD270">
        <f t="shared" si="58"/>
        <v>16.735679012345678</v>
      </c>
      <c r="BE270">
        <f t="shared" si="59"/>
        <v>20.237787202469136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0.50582899999999997</v>
      </c>
      <c r="H271" s="22">
        <v>7.9528600000000003</v>
      </c>
      <c r="I271" s="22">
        <v>-1.3903799999999999E-2</v>
      </c>
      <c r="J271" s="22">
        <v>261</v>
      </c>
      <c r="K271" s="22">
        <v>0.50515699999999997</v>
      </c>
      <c r="L271">
        <f t="shared" si="48"/>
        <v>17.165185185185184</v>
      </c>
      <c r="M271">
        <f t="shared" si="49"/>
        <v>8.6826484570370361</v>
      </c>
      <c r="N271" s="9"/>
      <c r="O271" s="22">
        <v>1.2142900000000001</v>
      </c>
      <c r="P271" s="22">
        <v>11.8123</v>
      </c>
      <c r="Q271" s="22">
        <v>-1.3589499999999999E-2</v>
      </c>
      <c r="R271" s="22">
        <v>261</v>
      </c>
      <c r="S271" s="22">
        <v>1.2130700000000001</v>
      </c>
      <c r="T271">
        <f t="shared" si="50"/>
        <v>16.777160493827161</v>
      </c>
      <c r="U271">
        <f t="shared" si="51"/>
        <v>20.372338216049386</v>
      </c>
      <c r="X271" s="9"/>
      <c r="Y271" s="22">
        <v>0.50582899999999997</v>
      </c>
      <c r="Z271" s="22">
        <v>17.397099999999998</v>
      </c>
      <c r="AA271" s="22">
        <v>-1.39069E-2</v>
      </c>
      <c r="AB271" s="22">
        <v>261</v>
      </c>
      <c r="AC271" s="22">
        <v>0.50518799999999997</v>
      </c>
      <c r="AD271">
        <f t="shared" si="52"/>
        <v>17.169012345679011</v>
      </c>
      <c r="AE271">
        <f t="shared" si="53"/>
        <v>8.6845843458024685</v>
      </c>
      <c r="AF271" s="9"/>
      <c r="AG271" s="22">
        <v>1.2142900000000001</v>
      </c>
      <c r="AH271" s="22">
        <v>21.256499999999999</v>
      </c>
      <c r="AI271" s="22">
        <v>-1.34857E-2</v>
      </c>
      <c r="AJ271" s="22">
        <v>261</v>
      </c>
      <c r="AK271" s="22">
        <v>1.2136800000000001</v>
      </c>
      <c r="AL271">
        <f t="shared" si="54"/>
        <v>16.649012345679012</v>
      </c>
      <c r="AM271">
        <f t="shared" si="55"/>
        <v>20.216729201234568</v>
      </c>
      <c r="AP271" s="9"/>
      <c r="AQ271" s="22">
        <v>0.50582899999999997</v>
      </c>
      <c r="AR271" s="22">
        <v>26.702300000000001</v>
      </c>
      <c r="AS271" s="22">
        <v>-1.39069E-2</v>
      </c>
      <c r="AT271" s="22">
        <v>261</v>
      </c>
      <c r="AU271" s="22">
        <v>0.50518799999999997</v>
      </c>
      <c r="AV271">
        <f t="shared" si="56"/>
        <v>17.169012345679011</v>
      </c>
      <c r="AW271">
        <f t="shared" si="57"/>
        <v>8.6845843458024685</v>
      </c>
      <c r="AX271" s="9"/>
      <c r="AY271" s="22">
        <v>1.2142900000000001</v>
      </c>
      <c r="AZ271" s="22">
        <v>30.561800000000002</v>
      </c>
      <c r="BA271" s="22">
        <v>-1.35406E-2</v>
      </c>
      <c r="BB271" s="22">
        <v>261</v>
      </c>
      <c r="BC271" s="22">
        <v>1.2127699999999999</v>
      </c>
      <c r="BD271">
        <f t="shared" si="58"/>
        <v>16.716790123456789</v>
      </c>
      <c r="BE271">
        <f t="shared" si="59"/>
        <v>20.299031079012344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0.50079300000000004</v>
      </c>
      <c r="H272" s="22">
        <v>7.9629300000000001</v>
      </c>
      <c r="I272" s="22">
        <v>-1.3894699999999999E-2</v>
      </c>
      <c r="J272" s="22">
        <v>262</v>
      </c>
      <c r="K272" s="22">
        <v>0.50021400000000005</v>
      </c>
      <c r="L272">
        <f t="shared" si="48"/>
        <v>17.153950617283947</v>
      </c>
      <c r="M272">
        <f t="shared" si="49"/>
        <v>8.5905783914814808</v>
      </c>
      <c r="N272" s="9"/>
      <c r="O272" s="22">
        <v>1.21933</v>
      </c>
      <c r="P272" s="22">
        <v>11.8224</v>
      </c>
      <c r="Q272" s="22">
        <v>-1.35773E-2</v>
      </c>
      <c r="R272" s="22">
        <v>262</v>
      </c>
      <c r="S272" s="22">
        <v>1.2182599999999999</v>
      </c>
      <c r="T272">
        <f t="shared" si="50"/>
        <v>16.7620987654321</v>
      </c>
      <c r="U272">
        <f t="shared" si="51"/>
        <v>20.438529887654322</v>
      </c>
      <c r="X272" s="9"/>
      <c r="Y272" s="22">
        <v>0.50079300000000004</v>
      </c>
      <c r="Z272" s="22">
        <v>17.4071</v>
      </c>
      <c r="AA272" s="22">
        <v>-1.3909899999999999E-2</v>
      </c>
      <c r="AB272" s="22">
        <v>262</v>
      </c>
      <c r="AC272" s="22">
        <v>0.50012199999999996</v>
      </c>
      <c r="AD272">
        <f t="shared" si="52"/>
        <v>17.172716049382714</v>
      </c>
      <c r="AE272">
        <f t="shared" si="53"/>
        <v>8.5999759885185192</v>
      </c>
      <c r="AF272" s="9"/>
      <c r="AG272" s="22">
        <v>1.21933</v>
      </c>
      <c r="AH272" s="22">
        <v>21.2666</v>
      </c>
      <c r="AI272" s="22">
        <v>-1.34644E-2</v>
      </c>
      <c r="AJ272" s="22">
        <v>262</v>
      </c>
      <c r="AK272" s="22">
        <v>1.2185699999999999</v>
      </c>
      <c r="AL272">
        <f t="shared" si="54"/>
        <v>16.622716049382717</v>
      </c>
      <c r="AM272">
        <f t="shared" si="55"/>
        <v>20.268576360493828</v>
      </c>
      <c r="AP272" s="9"/>
      <c r="AQ272" s="22">
        <v>0.50079300000000004</v>
      </c>
      <c r="AR272" s="22">
        <v>26.712399999999999</v>
      </c>
      <c r="AS272" s="22">
        <v>-1.3909899999999999E-2</v>
      </c>
      <c r="AT272" s="22">
        <v>262</v>
      </c>
      <c r="AU272" s="22">
        <v>0.50021400000000005</v>
      </c>
      <c r="AV272">
        <f t="shared" si="56"/>
        <v>17.172716049382714</v>
      </c>
      <c r="AW272">
        <f t="shared" si="57"/>
        <v>8.5999759885185192</v>
      </c>
      <c r="AX272" s="9"/>
      <c r="AY272" s="22">
        <v>1.21933</v>
      </c>
      <c r="AZ272" s="22">
        <v>30.5718</v>
      </c>
      <c r="BA272" s="22">
        <v>-1.3528399999999999E-2</v>
      </c>
      <c r="BB272" s="22">
        <v>262</v>
      </c>
      <c r="BC272" s="22">
        <v>1.2185699999999999</v>
      </c>
      <c r="BD272">
        <f t="shared" si="58"/>
        <v>16.701728395061725</v>
      </c>
      <c r="BE272">
        <f t="shared" si="59"/>
        <v>20.364918483950614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0.49575799999999998</v>
      </c>
      <c r="H273" s="22">
        <v>7.9729999999999999</v>
      </c>
      <c r="I273" s="22">
        <v>-1.3897700000000001E-2</v>
      </c>
      <c r="J273" s="22">
        <v>263</v>
      </c>
      <c r="K273" s="22">
        <v>0.495087</v>
      </c>
      <c r="L273">
        <f t="shared" si="48"/>
        <v>17.157654320987653</v>
      </c>
      <c r="M273">
        <f t="shared" si="49"/>
        <v>8.5060443908641972</v>
      </c>
      <c r="N273" s="9"/>
      <c r="O273" s="22">
        <v>1.22437</v>
      </c>
      <c r="P273" s="22">
        <v>11.8325</v>
      </c>
      <c r="Q273" s="22">
        <v>-1.3559E-2</v>
      </c>
      <c r="R273" s="22">
        <v>263</v>
      </c>
      <c r="S273" s="22">
        <v>1.2237499999999999</v>
      </c>
      <c r="T273">
        <f t="shared" si="50"/>
        <v>16.739506172839505</v>
      </c>
      <c r="U273">
        <f t="shared" si="51"/>
        <v>20.495349172839504</v>
      </c>
      <c r="X273" s="9"/>
      <c r="Y273" s="22">
        <v>0.49575799999999998</v>
      </c>
      <c r="Z273" s="22">
        <v>17.417200000000001</v>
      </c>
      <c r="AA273" s="22">
        <v>-1.3916E-2</v>
      </c>
      <c r="AB273" s="22">
        <v>263</v>
      </c>
      <c r="AC273" s="22">
        <v>0.49502600000000002</v>
      </c>
      <c r="AD273">
        <f t="shared" si="52"/>
        <v>17.180246913580245</v>
      </c>
      <c r="AE273">
        <f t="shared" si="53"/>
        <v>8.5172448493827151</v>
      </c>
      <c r="AF273" s="9"/>
      <c r="AG273" s="22">
        <v>1.22437</v>
      </c>
      <c r="AH273" s="22">
        <v>21.276700000000002</v>
      </c>
      <c r="AI273" s="22">
        <v>-1.34521E-2</v>
      </c>
      <c r="AJ273" s="22">
        <v>263</v>
      </c>
      <c r="AK273" s="22">
        <v>1.2237499999999999</v>
      </c>
      <c r="AL273">
        <f t="shared" si="54"/>
        <v>16.607530864197528</v>
      </c>
      <c r="AM273">
        <f t="shared" si="55"/>
        <v>20.333762564197528</v>
      </c>
      <c r="AP273" s="9"/>
      <c r="AQ273" s="22">
        <v>0.49575799999999998</v>
      </c>
      <c r="AR273" s="22">
        <v>26.7224</v>
      </c>
      <c r="AS273" s="22">
        <v>-1.3913E-2</v>
      </c>
      <c r="AT273" s="22">
        <v>263</v>
      </c>
      <c r="AU273" s="22">
        <v>0.495056</v>
      </c>
      <c r="AV273">
        <f t="shared" si="56"/>
        <v>17.176543209876542</v>
      </c>
      <c r="AW273">
        <f t="shared" si="57"/>
        <v>8.5154087086419743</v>
      </c>
      <c r="AX273" s="9"/>
      <c r="AY273" s="22">
        <v>1.22437</v>
      </c>
      <c r="AZ273" s="22">
        <v>30.581900000000001</v>
      </c>
      <c r="BA273" s="22">
        <v>-1.35132E-2</v>
      </c>
      <c r="BB273" s="22">
        <v>263</v>
      </c>
      <c r="BC273" s="22">
        <v>1.2234499999999999</v>
      </c>
      <c r="BD273">
        <f t="shared" si="58"/>
        <v>16.682962962962961</v>
      </c>
      <c r="BE273">
        <f t="shared" si="59"/>
        <v>20.426119362962961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0.49072300000000002</v>
      </c>
      <c r="H274" s="22">
        <v>7.9830699999999997</v>
      </c>
      <c r="I274" s="22">
        <v>-1.3894699999999999E-2</v>
      </c>
      <c r="J274" s="22">
        <v>264</v>
      </c>
      <c r="K274" s="22">
        <v>0.49008200000000002</v>
      </c>
      <c r="L274">
        <f t="shared" si="48"/>
        <v>17.153950617283947</v>
      </c>
      <c r="M274">
        <f t="shared" si="49"/>
        <v>8.4178381087654301</v>
      </c>
      <c r="N274" s="9"/>
      <c r="O274" s="22">
        <v>1.2294</v>
      </c>
      <c r="P274" s="22">
        <v>11.842499999999999</v>
      </c>
      <c r="Q274" s="22">
        <v>-1.35529E-2</v>
      </c>
      <c r="R274" s="22">
        <v>264</v>
      </c>
      <c r="S274" s="22">
        <v>1.2283299999999999</v>
      </c>
      <c r="T274">
        <f t="shared" si="50"/>
        <v>16.731975308641974</v>
      </c>
      <c r="U274">
        <f t="shared" si="51"/>
        <v>20.570290444444446</v>
      </c>
      <c r="X274" s="9"/>
      <c r="Y274" s="22">
        <v>0.49072300000000002</v>
      </c>
      <c r="Z274" s="22">
        <v>17.427299999999999</v>
      </c>
      <c r="AA274" s="22">
        <v>-1.39282E-2</v>
      </c>
      <c r="AB274" s="22">
        <v>264</v>
      </c>
      <c r="AC274" s="22">
        <v>0.490143</v>
      </c>
      <c r="AD274">
        <f t="shared" si="52"/>
        <v>17.195308641975309</v>
      </c>
      <c r="AE274">
        <f t="shared" si="53"/>
        <v>8.4381334427160493</v>
      </c>
      <c r="AF274" s="9"/>
      <c r="AG274" s="22">
        <v>1.2294</v>
      </c>
      <c r="AH274" s="22">
        <v>21.286799999999999</v>
      </c>
      <c r="AI274" s="22">
        <v>-1.3446E-2</v>
      </c>
      <c r="AJ274" s="22">
        <v>264</v>
      </c>
      <c r="AK274" s="22">
        <v>1.2283299999999999</v>
      </c>
      <c r="AL274">
        <f t="shared" si="54"/>
        <v>16.599999999999998</v>
      </c>
      <c r="AM274">
        <f t="shared" si="55"/>
        <v>20.40804</v>
      </c>
      <c r="AP274" s="9"/>
      <c r="AQ274" s="22">
        <v>0.49072300000000002</v>
      </c>
      <c r="AR274" s="22">
        <v>26.732500000000002</v>
      </c>
      <c r="AS274" s="22">
        <v>-1.3909899999999999E-2</v>
      </c>
      <c r="AT274" s="22">
        <v>264</v>
      </c>
      <c r="AU274" s="22">
        <v>0.49005100000000001</v>
      </c>
      <c r="AV274">
        <f t="shared" si="56"/>
        <v>17.172716049382714</v>
      </c>
      <c r="AW274">
        <f t="shared" si="57"/>
        <v>8.4270467379012342</v>
      </c>
      <c r="AX274" s="9"/>
      <c r="AY274" s="22">
        <v>1.2294</v>
      </c>
      <c r="AZ274" s="22">
        <v>30.591999999999999</v>
      </c>
      <c r="BA274" s="22">
        <v>-1.3507099999999999E-2</v>
      </c>
      <c r="BB274" s="22">
        <v>264</v>
      </c>
      <c r="BC274" s="22">
        <v>1.2283299999999999</v>
      </c>
      <c r="BD274">
        <f t="shared" si="58"/>
        <v>16.67543209876543</v>
      </c>
      <c r="BE274">
        <f t="shared" si="59"/>
        <v>20.500776222222221</v>
      </c>
    </row>
    <row r="275" spans="6:101">
      <c r="F275" s="9"/>
      <c r="G275" s="22">
        <v>0.48568699999999998</v>
      </c>
      <c r="H275" s="22">
        <v>7.9931400000000004</v>
      </c>
      <c r="I275" s="22">
        <v>-1.3894699999999999E-2</v>
      </c>
      <c r="J275" s="22">
        <v>265</v>
      </c>
      <c r="K275" s="22">
        <v>0.485016</v>
      </c>
      <c r="L275">
        <f t="shared" si="48"/>
        <v>17.153950617283947</v>
      </c>
      <c r="M275">
        <f t="shared" si="49"/>
        <v>8.3314508134567884</v>
      </c>
      <c r="N275" s="9"/>
      <c r="O275" s="22">
        <v>1.23444</v>
      </c>
      <c r="P275" s="22">
        <v>11.852600000000001</v>
      </c>
      <c r="Q275" s="22">
        <v>-1.3543700000000001E-2</v>
      </c>
      <c r="R275" s="22">
        <v>265</v>
      </c>
      <c r="S275" s="22">
        <v>1.23383</v>
      </c>
      <c r="T275">
        <f t="shared" si="50"/>
        <v>16.720617283950617</v>
      </c>
      <c r="U275">
        <f t="shared" si="51"/>
        <v>20.640598799999999</v>
      </c>
      <c r="X275" s="9"/>
      <c r="Y275" s="22">
        <v>0.48568699999999998</v>
      </c>
      <c r="Z275" s="22">
        <v>17.4374</v>
      </c>
      <c r="AA275" s="22">
        <v>-1.39343E-2</v>
      </c>
      <c r="AB275" s="22">
        <v>265</v>
      </c>
      <c r="AC275" s="22">
        <v>0.48507699999999998</v>
      </c>
      <c r="AD275">
        <f t="shared" si="52"/>
        <v>17.202839506172836</v>
      </c>
      <c r="AE275">
        <f t="shared" si="53"/>
        <v>8.3551955112345659</v>
      </c>
      <c r="AF275" s="9"/>
      <c r="AG275" s="22">
        <v>1.23444</v>
      </c>
      <c r="AH275" s="22">
        <v>21.296800000000001</v>
      </c>
      <c r="AI275" s="22">
        <v>-1.3439899999999999E-2</v>
      </c>
      <c r="AJ275" s="22">
        <v>265</v>
      </c>
      <c r="AK275" s="22">
        <v>1.23322</v>
      </c>
      <c r="AL275">
        <f t="shared" si="54"/>
        <v>16.592469135802467</v>
      </c>
      <c r="AM275">
        <f t="shared" si="55"/>
        <v>20.482407599999998</v>
      </c>
      <c r="AP275" s="9"/>
      <c r="AQ275" s="22">
        <v>0.48568699999999998</v>
      </c>
      <c r="AR275" s="22">
        <v>26.742599999999999</v>
      </c>
      <c r="AS275" s="22">
        <v>-1.3909899999999999E-2</v>
      </c>
      <c r="AT275" s="22">
        <v>265</v>
      </c>
      <c r="AU275" s="22">
        <v>0.48513800000000001</v>
      </c>
      <c r="AV275">
        <f t="shared" si="56"/>
        <v>17.172716049382714</v>
      </c>
      <c r="AW275">
        <f t="shared" si="57"/>
        <v>8.3405649398765416</v>
      </c>
      <c r="AX275" s="9"/>
      <c r="AY275" s="22">
        <v>1.23444</v>
      </c>
      <c r="AZ275" s="22">
        <v>30.6021</v>
      </c>
      <c r="BA275" s="22">
        <v>-1.3507099999999999E-2</v>
      </c>
      <c r="BB275" s="22">
        <v>265</v>
      </c>
      <c r="BC275" s="22">
        <v>1.2335199999999999</v>
      </c>
      <c r="BD275">
        <f t="shared" si="58"/>
        <v>16.67543209876543</v>
      </c>
      <c r="BE275">
        <f t="shared" si="59"/>
        <v>20.584820399999998</v>
      </c>
    </row>
    <row r="276" spans="6:101">
      <c r="F276" s="9"/>
      <c r="G276" s="22">
        <v>0.48065200000000002</v>
      </c>
      <c r="H276" s="22">
        <v>8.0032200000000007</v>
      </c>
      <c r="I276" s="22">
        <v>-1.38885E-2</v>
      </c>
      <c r="J276" s="22">
        <v>266</v>
      </c>
      <c r="K276" s="22">
        <v>0.47994999999999999</v>
      </c>
      <c r="L276">
        <f t="shared" si="48"/>
        <v>17.146296296296295</v>
      </c>
      <c r="M276">
        <f t="shared" si="49"/>
        <v>8.2414016074074077</v>
      </c>
      <c r="N276" s="9"/>
      <c r="O276" s="22">
        <v>1.2394700000000001</v>
      </c>
      <c r="P276" s="22">
        <v>11.8627</v>
      </c>
      <c r="Q276" s="22">
        <v>-1.35406E-2</v>
      </c>
      <c r="R276" s="22">
        <v>266</v>
      </c>
      <c r="S276" s="22">
        <v>1.2383999999999999</v>
      </c>
      <c r="T276">
        <f t="shared" si="50"/>
        <v>16.716790123456789</v>
      </c>
      <c r="U276">
        <f t="shared" si="51"/>
        <v>20.719959854320987</v>
      </c>
      <c r="X276" s="9"/>
      <c r="Y276" s="22">
        <v>0.48065200000000002</v>
      </c>
      <c r="Z276" s="22">
        <v>17.447399999999998</v>
      </c>
      <c r="AA276" s="22">
        <v>-1.39343E-2</v>
      </c>
      <c r="AB276" s="22">
        <v>266</v>
      </c>
      <c r="AC276" s="22">
        <v>0.48013299999999998</v>
      </c>
      <c r="AD276">
        <f t="shared" si="52"/>
        <v>17.202839506172836</v>
      </c>
      <c r="AE276">
        <f t="shared" si="53"/>
        <v>8.2685792143209866</v>
      </c>
      <c r="AF276" s="9"/>
      <c r="AG276" s="22">
        <v>1.2394700000000001</v>
      </c>
      <c r="AH276" s="22">
        <v>21.306899999999999</v>
      </c>
      <c r="AI276" s="22">
        <v>-1.34369E-2</v>
      </c>
      <c r="AJ276" s="22">
        <v>266</v>
      </c>
      <c r="AK276" s="22">
        <v>1.2390099999999999</v>
      </c>
      <c r="AL276">
        <f t="shared" si="54"/>
        <v>16.588765432098764</v>
      </c>
      <c r="AM276">
        <f t="shared" si="55"/>
        <v>20.561277090123458</v>
      </c>
      <c r="AP276" s="9"/>
      <c r="AQ276" s="22">
        <v>0.48065200000000002</v>
      </c>
      <c r="AR276" s="22">
        <v>26.752700000000001</v>
      </c>
      <c r="AS276" s="22">
        <v>-1.3909899999999999E-2</v>
      </c>
      <c r="AT276" s="22">
        <v>266</v>
      </c>
      <c r="AU276" s="22">
        <v>0.48004200000000002</v>
      </c>
      <c r="AV276">
        <f t="shared" si="56"/>
        <v>17.172716049382714</v>
      </c>
      <c r="AW276">
        <f t="shared" si="57"/>
        <v>8.2541003145678999</v>
      </c>
      <c r="AX276" s="9"/>
      <c r="AY276" s="22">
        <v>1.2394700000000001</v>
      </c>
      <c r="AZ276" s="22">
        <v>30.612100000000002</v>
      </c>
      <c r="BA276" s="22">
        <v>-1.34857E-2</v>
      </c>
      <c r="BB276" s="22">
        <v>266</v>
      </c>
      <c r="BC276" s="22">
        <v>1.2377899999999999</v>
      </c>
      <c r="BD276">
        <f t="shared" si="58"/>
        <v>16.649012345679012</v>
      </c>
      <c r="BE276">
        <f t="shared" si="59"/>
        <v>20.635951332098767</v>
      </c>
    </row>
    <row r="277" spans="6:101">
      <c r="F277" s="9"/>
      <c r="G277" s="22">
        <v>0.47561599999999998</v>
      </c>
      <c r="H277" s="22">
        <v>8.0132899999999996</v>
      </c>
      <c r="I277" s="22">
        <v>-1.38885E-2</v>
      </c>
      <c r="J277" s="22">
        <v>267</v>
      </c>
      <c r="K277" s="22">
        <v>0.47500599999999998</v>
      </c>
      <c r="L277">
        <f t="shared" si="48"/>
        <v>17.146296296296295</v>
      </c>
      <c r="M277">
        <f t="shared" si="49"/>
        <v>8.1550528592592588</v>
      </c>
      <c r="N277" s="9"/>
      <c r="O277" s="22">
        <v>1.24451</v>
      </c>
      <c r="P277" s="22">
        <v>11.8728</v>
      </c>
      <c r="Q277" s="22">
        <v>-1.3528399999999999E-2</v>
      </c>
      <c r="R277" s="22">
        <v>267</v>
      </c>
      <c r="S277" s="22">
        <v>1.24359</v>
      </c>
      <c r="T277">
        <f t="shared" si="50"/>
        <v>16.701728395061725</v>
      </c>
      <c r="U277">
        <f t="shared" si="51"/>
        <v>20.785468004938267</v>
      </c>
      <c r="X277" s="9"/>
      <c r="Y277" s="22">
        <v>0.47561599999999998</v>
      </c>
      <c r="Z277" s="22">
        <v>17.4575</v>
      </c>
      <c r="AA277" s="22">
        <v>-1.39282E-2</v>
      </c>
      <c r="AB277" s="22">
        <v>267</v>
      </c>
      <c r="AC277" s="22">
        <v>0.47500599999999998</v>
      </c>
      <c r="AD277">
        <f t="shared" si="52"/>
        <v>17.195308641975309</v>
      </c>
      <c r="AE277">
        <f t="shared" si="53"/>
        <v>8.1783639150617287</v>
      </c>
      <c r="AF277" s="9"/>
      <c r="AG277" s="22">
        <v>1.24451</v>
      </c>
      <c r="AH277" s="22">
        <v>21.317</v>
      </c>
      <c r="AI277" s="22">
        <v>-1.3439899999999999E-2</v>
      </c>
      <c r="AJ277" s="22">
        <v>267</v>
      </c>
      <c r="AK277" s="22">
        <v>1.24359</v>
      </c>
      <c r="AL277">
        <f t="shared" si="54"/>
        <v>16.592469135802467</v>
      </c>
      <c r="AM277">
        <f t="shared" si="55"/>
        <v>20.64949376419753</v>
      </c>
      <c r="AP277" s="9"/>
      <c r="AQ277" s="22">
        <v>0.47561599999999998</v>
      </c>
      <c r="AR277" s="22">
        <v>26.762699999999999</v>
      </c>
      <c r="AS277" s="22">
        <v>-1.39221E-2</v>
      </c>
      <c r="AT277" s="22">
        <v>267</v>
      </c>
      <c r="AU277" s="22">
        <v>0.47488399999999997</v>
      </c>
      <c r="AV277">
        <f t="shared" si="56"/>
        <v>17.187777777777779</v>
      </c>
      <c r="AW277">
        <f t="shared" si="57"/>
        <v>8.1747821155555549</v>
      </c>
      <c r="AX277" s="9"/>
      <c r="AY277" s="22">
        <v>1.24451</v>
      </c>
      <c r="AZ277" s="22">
        <v>30.622199999999999</v>
      </c>
      <c r="BA277" s="22">
        <v>-1.3473499999999999E-2</v>
      </c>
      <c r="BB277" s="22">
        <v>267</v>
      </c>
      <c r="BC277" s="22">
        <v>1.24359</v>
      </c>
      <c r="BD277">
        <f t="shared" si="58"/>
        <v>16.633950617283947</v>
      </c>
      <c r="BE277">
        <f t="shared" si="59"/>
        <v>20.701117882716044</v>
      </c>
    </row>
    <row r="278" spans="6:101">
      <c r="F278" s="9"/>
      <c r="G278" s="22">
        <v>0.47058100000000003</v>
      </c>
      <c r="H278" s="22">
        <v>8.0233600000000003</v>
      </c>
      <c r="I278" s="22">
        <v>-1.38916E-2</v>
      </c>
      <c r="J278" s="22">
        <v>268</v>
      </c>
      <c r="K278" s="22">
        <v>0.46994000000000002</v>
      </c>
      <c r="L278">
        <f t="shared" si="48"/>
        <v>17.150123456790123</v>
      </c>
      <c r="M278">
        <f t="shared" si="49"/>
        <v>8.0705222464197526</v>
      </c>
      <c r="N278" s="9"/>
      <c r="O278" s="22">
        <v>1.2495400000000001</v>
      </c>
      <c r="P278" s="22">
        <v>11.8828</v>
      </c>
      <c r="Q278" s="22">
        <v>-1.3522299999999999E-2</v>
      </c>
      <c r="R278" s="22">
        <v>268</v>
      </c>
      <c r="S278" s="22">
        <v>1.24908</v>
      </c>
      <c r="T278">
        <f t="shared" si="50"/>
        <v>16.694197530864194</v>
      </c>
      <c r="U278">
        <f t="shared" si="51"/>
        <v>20.860067582716049</v>
      </c>
      <c r="X278" s="9"/>
      <c r="Y278" s="22">
        <v>0.47058100000000003</v>
      </c>
      <c r="Z278" s="22">
        <v>17.467600000000001</v>
      </c>
      <c r="AA278" s="22">
        <v>-1.39221E-2</v>
      </c>
      <c r="AB278" s="22">
        <v>268</v>
      </c>
      <c r="AC278" s="22">
        <v>0.46990999999999999</v>
      </c>
      <c r="AD278">
        <f t="shared" si="52"/>
        <v>17.187777777777779</v>
      </c>
      <c r="AE278">
        <f t="shared" si="53"/>
        <v>8.0882416544444453</v>
      </c>
      <c r="AF278" s="9"/>
      <c r="AG278" s="22">
        <v>1.2495400000000001</v>
      </c>
      <c r="AH278" s="22">
        <v>21.327000000000002</v>
      </c>
      <c r="AI278" s="22">
        <v>-1.34369E-2</v>
      </c>
      <c r="AJ278" s="22">
        <v>268</v>
      </c>
      <c r="AK278" s="22">
        <v>1.24908</v>
      </c>
      <c r="AL278">
        <f t="shared" si="54"/>
        <v>16.588765432098764</v>
      </c>
      <c r="AM278">
        <f t="shared" si="55"/>
        <v>20.728325958024691</v>
      </c>
      <c r="AP278" s="9"/>
      <c r="AQ278" s="22">
        <v>0.47058100000000003</v>
      </c>
      <c r="AR278" s="22">
        <v>26.7728</v>
      </c>
      <c r="AS278" s="22">
        <v>-1.39282E-2</v>
      </c>
      <c r="AT278" s="22">
        <v>268</v>
      </c>
      <c r="AU278" s="22">
        <v>0.470001</v>
      </c>
      <c r="AV278">
        <f t="shared" si="56"/>
        <v>17.195308641975309</v>
      </c>
      <c r="AW278">
        <f t="shared" si="57"/>
        <v>8.0917855360493842</v>
      </c>
      <c r="AX278" s="9"/>
      <c r="AY278" s="22">
        <v>1.2495400000000001</v>
      </c>
      <c r="AZ278" s="22">
        <v>30.632300000000001</v>
      </c>
      <c r="BA278" s="22">
        <v>-1.3467399999999999E-2</v>
      </c>
      <c r="BB278" s="22">
        <v>268</v>
      </c>
      <c r="BC278" s="22">
        <v>1.24847</v>
      </c>
      <c r="BD278">
        <f t="shared" si="58"/>
        <v>16.626419753086417</v>
      </c>
      <c r="BE278">
        <f t="shared" si="59"/>
        <v>20.775376538271601</v>
      </c>
    </row>
    <row r="279" spans="6:101">
      <c r="F279" s="9"/>
      <c r="G279" s="22">
        <v>0.46554600000000002</v>
      </c>
      <c r="H279" s="22">
        <v>8.0334299999999992</v>
      </c>
      <c r="I279" s="22">
        <v>-1.3894699999999999E-2</v>
      </c>
      <c r="J279" s="22">
        <v>269</v>
      </c>
      <c r="K279" s="22">
        <v>0.46493499999999999</v>
      </c>
      <c r="L279">
        <f t="shared" si="48"/>
        <v>17.153950617283947</v>
      </c>
      <c r="M279">
        <f t="shared" si="49"/>
        <v>7.9859530940740724</v>
      </c>
      <c r="N279" s="9"/>
      <c r="O279" s="22">
        <v>1.25458</v>
      </c>
      <c r="P279" s="22">
        <v>11.892899999999999</v>
      </c>
      <c r="Q279" s="22">
        <v>-1.35193E-2</v>
      </c>
      <c r="R279" s="22">
        <v>269</v>
      </c>
      <c r="S279" s="22">
        <v>1.25397</v>
      </c>
      <c r="T279">
        <f t="shared" si="50"/>
        <v>16.690493827160495</v>
      </c>
      <c r="U279">
        <f t="shared" si="51"/>
        <v>20.939559745679013</v>
      </c>
      <c r="X279" s="9"/>
      <c r="Y279" s="22">
        <v>0.46554600000000002</v>
      </c>
      <c r="Z279" s="22">
        <v>17.477599999999999</v>
      </c>
      <c r="AA279" s="22">
        <v>-1.39252E-2</v>
      </c>
      <c r="AB279" s="22">
        <v>269</v>
      </c>
      <c r="AC279" s="22">
        <v>0.46490500000000001</v>
      </c>
      <c r="AD279">
        <f t="shared" si="52"/>
        <v>17.191604938271606</v>
      </c>
      <c r="AE279">
        <f t="shared" si="53"/>
        <v>8.0034829125925935</v>
      </c>
      <c r="AF279" s="9"/>
      <c r="AG279" s="22">
        <v>1.25458</v>
      </c>
      <c r="AH279" s="22">
        <v>21.3371</v>
      </c>
      <c r="AI279" s="22">
        <v>-1.34369E-2</v>
      </c>
      <c r="AJ279" s="22">
        <v>269</v>
      </c>
      <c r="AK279" s="22">
        <v>1.25397</v>
      </c>
      <c r="AL279">
        <f t="shared" si="54"/>
        <v>16.588765432098764</v>
      </c>
      <c r="AM279">
        <f t="shared" si="55"/>
        <v>20.811933335802468</v>
      </c>
      <c r="AP279" s="9"/>
      <c r="AQ279" s="22">
        <v>0.46554600000000002</v>
      </c>
      <c r="AR279" s="22">
        <v>26.782900000000001</v>
      </c>
      <c r="AS279" s="22">
        <v>-1.39343E-2</v>
      </c>
      <c r="AT279" s="22">
        <v>269</v>
      </c>
      <c r="AU279" s="22">
        <v>0.46493499999999999</v>
      </c>
      <c r="AV279">
        <f t="shared" si="56"/>
        <v>17.202839506172836</v>
      </c>
      <c r="AW279">
        <f t="shared" si="57"/>
        <v>8.0087131207407403</v>
      </c>
      <c r="AX279" s="9"/>
      <c r="AY279" s="22">
        <v>1.25458</v>
      </c>
      <c r="AZ279" s="22">
        <v>30.642299999999999</v>
      </c>
      <c r="BA279" s="22">
        <v>-1.3458299999999999E-2</v>
      </c>
      <c r="BB279" s="22">
        <v>269</v>
      </c>
      <c r="BC279" s="22">
        <v>1.25458</v>
      </c>
      <c r="BD279">
        <f t="shared" si="58"/>
        <v>16.615185185185183</v>
      </c>
      <c r="BE279">
        <f t="shared" si="59"/>
        <v>20.845079029629627</v>
      </c>
    </row>
    <row r="280" spans="6:101">
      <c r="F280" s="9"/>
      <c r="G280" s="22">
        <v>0.46050999999999997</v>
      </c>
      <c r="H280" s="22">
        <v>8.0434999999999999</v>
      </c>
      <c r="I280" s="22">
        <v>-1.3894699999999999E-2</v>
      </c>
      <c r="J280" s="22">
        <v>270</v>
      </c>
      <c r="K280" s="22">
        <v>0.45996100000000001</v>
      </c>
      <c r="L280">
        <f t="shared" si="48"/>
        <v>17.153950617283947</v>
      </c>
      <c r="M280">
        <f t="shared" si="49"/>
        <v>7.8995657987654297</v>
      </c>
      <c r="N280" s="9"/>
      <c r="O280" s="22">
        <v>1.2596099999999999</v>
      </c>
      <c r="P280" s="22">
        <v>11.903</v>
      </c>
      <c r="Q280" s="22">
        <v>-1.3516200000000001E-2</v>
      </c>
      <c r="R280" s="22">
        <v>270</v>
      </c>
      <c r="S280" s="22">
        <v>1.25885</v>
      </c>
      <c r="T280">
        <f t="shared" si="50"/>
        <v>16.686666666666664</v>
      </c>
      <c r="U280">
        <f t="shared" si="51"/>
        <v>21.018692199999993</v>
      </c>
      <c r="X280" s="9"/>
      <c r="Y280" s="22">
        <v>0.46050999999999997</v>
      </c>
      <c r="Z280" s="22">
        <v>17.4877</v>
      </c>
      <c r="AA280" s="22">
        <v>-1.39252E-2</v>
      </c>
      <c r="AB280" s="22">
        <v>270</v>
      </c>
      <c r="AC280" s="22">
        <v>0.45989999999999998</v>
      </c>
      <c r="AD280">
        <f t="shared" si="52"/>
        <v>17.191604938271606</v>
      </c>
      <c r="AE280">
        <f t="shared" si="53"/>
        <v>7.9169059901234569</v>
      </c>
      <c r="AF280" s="9"/>
      <c r="AG280" s="22">
        <v>1.2596099999999999</v>
      </c>
      <c r="AH280" s="22">
        <v>21.347200000000001</v>
      </c>
      <c r="AI280" s="22">
        <v>-1.34308E-2</v>
      </c>
      <c r="AJ280" s="22">
        <v>270</v>
      </c>
      <c r="AK280" s="22">
        <v>1.25885</v>
      </c>
      <c r="AL280">
        <f t="shared" si="54"/>
        <v>16.581234567901234</v>
      </c>
      <c r="AM280">
        <f t="shared" si="55"/>
        <v>20.885888874074073</v>
      </c>
      <c r="AP280" s="9"/>
      <c r="AQ280" s="22">
        <v>0.46050999999999997</v>
      </c>
      <c r="AR280" s="22">
        <v>26.792899999999999</v>
      </c>
      <c r="AS280" s="22">
        <v>-1.39343E-2</v>
      </c>
      <c r="AT280" s="22">
        <v>270</v>
      </c>
      <c r="AU280" s="22">
        <v>0.45989999999999998</v>
      </c>
      <c r="AV280">
        <f t="shared" si="56"/>
        <v>17.202839506172836</v>
      </c>
      <c r="AW280">
        <f t="shared" si="57"/>
        <v>7.9220796209876525</v>
      </c>
      <c r="AX280" s="9"/>
      <c r="AY280" s="22">
        <v>1.2596099999999999</v>
      </c>
      <c r="AZ280" s="22">
        <v>30.6524</v>
      </c>
      <c r="BA280" s="22">
        <v>-1.3458299999999999E-2</v>
      </c>
      <c r="BB280" s="22">
        <v>270</v>
      </c>
      <c r="BC280" s="22">
        <v>1.25885</v>
      </c>
      <c r="BD280">
        <f t="shared" si="58"/>
        <v>16.615185185185183</v>
      </c>
      <c r="BE280">
        <f t="shared" si="59"/>
        <v>20.928653411111107</v>
      </c>
    </row>
    <row r="281" spans="6:101">
      <c r="F281" s="9"/>
      <c r="G281" s="22">
        <v>0.45547500000000002</v>
      </c>
      <c r="H281" s="22">
        <v>8.0535700000000006</v>
      </c>
      <c r="I281" s="22">
        <v>-1.3897700000000001E-2</v>
      </c>
      <c r="J281" s="22">
        <v>271</v>
      </c>
      <c r="K281" s="22">
        <v>0.45483400000000002</v>
      </c>
      <c r="L281">
        <f t="shared" si="48"/>
        <v>17.157654320987653</v>
      </c>
      <c r="M281">
        <f t="shared" si="49"/>
        <v>7.8148826018518518</v>
      </c>
      <c r="N281" s="9"/>
      <c r="O281" s="22">
        <v>1.2646500000000001</v>
      </c>
      <c r="P281" s="22">
        <v>11.913</v>
      </c>
      <c r="Q281" s="22">
        <v>-1.3501000000000001E-2</v>
      </c>
      <c r="R281" s="22">
        <v>271</v>
      </c>
      <c r="S281" s="22">
        <v>1.2640400000000001</v>
      </c>
      <c r="T281">
        <f t="shared" si="50"/>
        <v>16.667901234567903</v>
      </c>
      <c r="U281">
        <f t="shared" si="51"/>
        <v>21.079061296296299</v>
      </c>
      <c r="X281" s="9"/>
      <c r="Y281" s="22">
        <v>0.45547500000000002</v>
      </c>
      <c r="Z281" s="22">
        <v>17.497800000000002</v>
      </c>
      <c r="AA281" s="22">
        <v>-1.39343E-2</v>
      </c>
      <c r="AB281" s="22">
        <v>271</v>
      </c>
      <c r="AC281" s="22">
        <v>0.45486500000000002</v>
      </c>
      <c r="AD281">
        <f t="shared" si="52"/>
        <v>17.202839506172836</v>
      </c>
      <c r="AE281">
        <f t="shared" si="53"/>
        <v>7.8354633240740732</v>
      </c>
      <c r="AF281" s="9"/>
      <c r="AG281" s="22">
        <v>1.2646500000000001</v>
      </c>
      <c r="AH281" s="22">
        <v>21.357199999999999</v>
      </c>
      <c r="AI281" s="22">
        <v>-1.3424699999999999E-2</v>
      </c>
      <c r="AJ281" s="22">
        <v>271</v>
      </c>
      <c r="AK281" s="22">
        <v>1.26373</v>
      </c>
      <c r="AL281">
        <f t="shared" si="54"/>
        <v>16.5737037037037</v>
      </c>
      <c r="AM281">
        <f t="shared" si="55"/>
        <v>20.959934388888886</v>
      </c>
      <c r="AP281" s="9"/>
      <c r="AQ281" s="22">
        <v>0.45547500000000002</v>
      </c>
      <c r="AR281" s="22">
        <v>26.803000000000001</v>
      </c>
      <c r="AS281" s="22">
        <v>-1.3937400000000001E-2</v>
      </c>
      <c r="AT281" s="22">
        <v>271</v>
      </c>
      <c r="AU281" s="22">
        <v>0.45483400000000002</v>
      </c>
      <c r="AV281">
        <f t="shared" si="56"/>
        <v>17.206666666666667</v>
      </c>
      <c r="AW281">
        <f t="shared" si="57"/>
        <v>7.8372065000000006</v>
      </c>
      <c r="AX281" s="9"/>
      <c r="AY281" s="22">
        <v>1.2646500000000001</v>
      </c>
      <c r="AZ281" s="22">
        <v>30.662500000000001</v>
      </c>
      <c r="BA281" s="22">
        <v>-1.3446E-2</v>
      </c>
      <c r="BB281" s="22">
        <v>271</v>
      </c>
      <c r="BC281" s="22">
        <v>1.26373</v>
      </c>
      <c r="BD281">
        <f t="shared" si="58"/>
        <v>16.599999999999998</v>
      </c>
      <c r="BE281">
        <f t="shared" si="59"/>
        <v>20.993189999999998</v>
      </c>
    </row>
    <row r="282" spans="6:101">
      <c r="F282" s="9"/>
      <c r="G282" s="22">
        <v>0.45043899999999998</v>
      </c>
      <c r="H282" s="22">
        <v>8.0636399999999995</v>
      </c>
      <c r="I282" s="22">
        <v>-1.3897700000000001E-2</v>
      </c>
      <c r="J282" s="22">
        <v>272</v>
      </c>
      <c r="K282" s="22">
        <v>0.44982899999999998</v>
      </c>
      <c r="L282">
        <f t="shared" si="48"/>
        <v>17.157654320987653</v>
      </c>
      <c r="M282">
        <f t="shared" si="49"/>
        <v>7.7284766546913568</v>
      </c>
      <c r="N282" s="9"/>
      <c r="O282" s="22">
        <v>1.2696799999999999</v>
      </c>
      <c r="P282" s="22">
        <v>11.9231</v>
      </c>
      <c r="Q282" s="22">
        <v>-1.34857E-2</v>
      </c>
      <c r="R282" s="22">
        <v>272</v>
      </c>
      <c r="S282" s="22">
        <v>1.26892</v>
      </c>
      <c r="T282">
        <f t="shared" si="50"/>
        <v>16.649012345679012</v>
      </c>
      <c r="U282">
        <f t="shared" si="51"/>
        <v>21.138917995061725</v>
      </c>
      <c r="X282" s="9"/>
      <c r="Y282" s="22">
        <v>0.45043899999999998</v>
      </c>
      <c r="Z282" s="22">
        <v>17.5078</v>
      </c>
      <c r="AA282" s="22">
        <v>-1.39282E-2</v>
      </c>
      <c r="AB282" s="22">
        <v>272</v>
      </c>
      <c r="AC282" s="22">
        <v>0.44985999999999998</v>
      </c>
      <c r="AD282">
        <f t="shared" si="52"/>
        <v>17.195308641975309</v>
      </c>
      <c r="AE282">
        <f t="shared" si="53"/>
        <v>7.7454376293827156</v>
      </c>
      <c r="AF282" s="9"/>
      <c r="AG282" s="22">
        <v>1.2696799999999999</v>
      </c>
      <c r="AH282" s="22">
        <v>21.3673</v>
      </c>
      <c r="AI282" s="22">
        <v>-1.34155E-2</v>
      </c>
      <c r="AJ282" s="22">
        <v>272</v>
      </c>
      <c r="AK282" s="22">
        <v>1.26892</v>
      </c>
      <c r="AL282">
        <f t="shared" si="54"/>
        <v>16.562345679012346</v>
      </c>
      <c r="AM282">
        <f t="shared" si="55"/>
        <v>21.028879061728393</v>
      </c>
      <c r="AP282" s="9"/>
      <c r="AQ282" s="22">
        <v>0.45043899999999998</v>
      </c>
      <c r="AR282" s="22">
        <v>26.813099999999999</v>
      </c>
      <c r="AS282" s="22">
        <v>-1.3937400000000001E-2</v>
      </c>
      <c r="AT282" s="22">
        <v>272</v>
      </c>
      <c r="AU282" s="22">
        <v>0.44989000000000001</v>
      </c>
      <c r="AV282">
        <f t="shared" si="56"/>
        <v>17.206666666666667</v>
      </c>
      <c r="AW282">
        <f t="shared" si="57"/>
        <v>7.7505537266666664</v>
      </c>
      <c r="AX282" s="9"/>
      <c r="AY282" s="22">
        <v>1.2696799999999999</v>
      </c>
      <c r="AZ282" s="22">
        <v>30.672599999999999</v>
      </c>
      <c r="BA282" s="22">
        <v>-1.3439899999999999E-2</v>
      </c>
      <c r="BB282" s="22">
        <v>272</v>
      </c>
      <c r="BC282" s="22">
        <v>1.26892</v>
      </c>
      <c r="BD282">
        <f t="shared" si="58"/>
        <v>16.592469135802467</v>
      </c>
      <c r="BE282">
        <f t="shared" si="59"/>
        <v>21.067126212345677</v>
      </c>
    </row>
    <row r="283" spans="6:101">
      <c r="F283" s="9"/>
      <c r="G283" s="22">
        <v>0.44540400000000002</v>
      </c>
      <c r="H283" s="22">
        <v>8.0737100000000002</v>
      </c>
      <c r="I283" s="22">
        <v>-1.3897700000000001E-2</v>
      </c>
      <c r="J283" s="22">
        <v>273</v>
      </c>
      <c r="K283" s="22">
        <v>0.44479400000000002</v>
      </c>
      <c r="L283">
        <f t="shared" si="48"/>
        <v>17.157654320987653</v>
      </c>
      <c r="M283">
        <f t="shared" si="49"/>
        <v>7.6420878651851849</v>
      </c>
      <c r="N283" s="9"/>
      <c r="O283" s="22">
        <v>1.2747200000000001</v>
      </c>
      <c r="P283" s="22">
        <v>11.933199999999999</v>
      </c>
      <c r="Q283" s="22">
        <v>-1.3473499999999999E-2</v>
      </c>
      <c r="R283" s="22">
        <v>273</v>
      </c>
      <c r="S283" s="22">
        <v>1.27441</v>
      </c>
      <c r="T283">
        <f t="shared" si="50"/>
        <v>16.633950617283947</v>
      </c>
      <c r="U283">
        <f t="shared" si="51"/>
        <v>21.203629530864195</v>
      </c>
      <c r="X283" s="9"/>
      <c r="Y283" s="22">
        <v>0.44540400000000002</v>
      </c>
      <c r="Z283" s="22">
        <v>17.517900000000001</v>
      </c>
      <c r="AA283" s="22">
        <v>-1.39252E-2</v>
      </c>
      <c r="AB283" s="22">
        <v>273</v>
      </c>
      <c r="AC283" s="22">
        <v>0.444824</v>
      </c>
      <c r="AD283">
        <f t="shared" si="52"/>
        <v>17.191604938271606</v>
      </c>
      <c r="AE283">
        <f t="shared" si="53"/>
        <v>7.6572096059259271</v>
      </c>
      <c r="AF283" s="9"/>
      <c r="AG283" s="22">
        <v>1.2747200000000001</v>
      </c>
      <c r="AH283" s="22">
        <v>21.377400000000002</v>
      </c>
      <c r="AI283" s="22">
        <v>-1.34033E-2</v>
      </c>
      <c r="AJ283" s="22">
        <v>273</v>
      </c>
      <c r="AK283" s="22">
        <v>1.2735000000000001</v>
      </c>
      <c r="AL283">
        <f t="shared" si="54"/>
        <v>16.547283950617281</v>
      </c>
      <c r="AM283">
        <f t="shared" si="55"/>
        <v>21.09315379753086</v>
      </c>
      <c r="AP283" s="9"/>
      <c r="AQ283" s="22">
        <v>0.44540400000000002</v>
      </c>
      <c r="AR283" s="22">
        <v>26.8231</v>
      </c>
      <c r="AS283" s="22">
        <v>-1.39404E-2</v>
      </c>
      <c r="AT283" s="22">
        <v>273</v>
      </c>
      <c r="AU283" s="22">
        <v>0.444824</v>
      </c>
      <c r="AV283">
        <f t="shared" si="56"/>
        <v>17.21037037037037</v>
      </c>
      <c r="AW283">
        <f t="shared" si="57"/>
        <v>7.6655678044444446</v>
      </c>
      <c r="AX283" s="9"/>
      <c r="AY283" s="22">
        <v>1.2747200000000001</v>
      </c>
      <c r="AZ283" s="22">
        <v>30.682600000000001</v>
      </c>
      <c r="BA283" s="22">
        <v>-1.3424699999999999E-2</v>
      </c>
      <c r="BB283" s="22">
        <v>273</v>
      </c>
      <c r="BC283" s="22">
        <v>1.2738</v>
      </c>
      <c r="BD283">
        <f t="shared" si="58"/>
        <v>16.5737037037037</v>
      </c>
      <c r="BE283">
        <f t="shared" si="59"/>
        <v>21.126831585185183</v>
      </c>
    </row>
    <row r="284" spans="6:101">
      <c r="F284" s="9"/>
      <c r="G284" s="22">
        <v>0.44036900000000001</v>
      </c>
      <c r="H284" s="22">
        <v>8.0837800000000009</v>
      </c>
      <c r="I284" s="22">
        <v>-1.39008E-2</v>
      </c>
      <c r="J284" s="22">
        <v>274</v>
      </c>
      <c r="K284" s="22">
        <v>0.43981900000000002</v>
      </c>
      <c r="L284">
        <f t="shared" si="48"/>
        <v>17.161481481481481</v>
      </c>
      <c r="M284">
        <f t="shared" si="49"/>
        <v>7.5573844385185183</v>
      </c>
      <c r="N284" s="9"/>
      <c r="O284" s="22">
        <v>1.2797499999999999</v>
      </c>
      <c r="P284" s="22">
        <v>11.943300000000001</v>
      </c>
      <c r="Q284" s="22">
        <v>-1.3467399999999999E-2</v>
      </c>
      <c r="R284" s="22">
        <v>274</v>
      </c>
      <c r="S284" s="22">
        <v>1.2793000000000001</v>
      </c>
      <c r="T284">
        <f t="shared" si="50"/>
        <v>16.626419753086417</v>
      </c>
      <c r="U284">
        <f t="shared" si="51"/>
        <v>21.277660679012342</v>
      </c>
      <c r="X284" s="9"/>
      <c r="Y284" s="22">
        <v>0.44036900000000001</v>
      </c>
      <c r="Z284" s="22">
        <v>17.527999999999999</v>
      </c>
      <c r="AA284" s="22">
        <v>-1.3931300000000001E-2</v>
      </c>
      <c r="AB284" s="22">
        <v>274</v>
      </c>
      <c r="AC284" s="22">
        <v>0.43972800000000001</v>
      </c>
      <c r="AD284">
        <f t="shared" si="52"/>
        <v>17.199135802469137</v>
      </c>
      <c r="AE284">
        <f t="shared" si="53"/>
        <v>7.5739662341975311</v>
      </c>
      <c r="AF284" s="9"/>
      <c r="AG284" s="22">
        <v>1.2797499999999999</v>
      </c>
      <c r="AH284" s="22">
        <v>21.387499999999999</v>
      </c>
      <c r="AI284" s="22">
        <v>-1.33911E-2</v>
      </c>
      <c r="AJ284" s="22">
        <v>274</v>
      </c>
      <c r="AK284" s="22">
        <v>1.2786900000000001</v>
      </c>
      <c r="AL284">
        <f t="shared" si="54"/>
        <v>16.53222222222222</v>
      </c>
      <c r="AM284">
        <f t="shared" si="55"/>
        <v>21.157111388888886</v>
      </c>
      <c r="AP284" s="9"/>
      <c r="AQ284" s="22">
        <v>0.44036900000000001</v>
      </c>
      <c r="AR284" s="22">
        <v>26.833200000000001</v>
      </c>
      <c r="AS284" s="22">
        <v>-1.3946500000000001E-2</v>
      </c>
      <c r="AT284" s="22">
        <v>274</v>
      </c>
      <c r="AU284" s="22">
        <v>0.43972800000000001</v>
      </c>
      <c r="AV284">
        <f t="shared" si="56"/>
        <v>17.217901234567901</v>
      </c>
      <c r="AW284">
        <f t="shared" si="57"/>
        <v>7.5822299487654323</v>
      </c>
      <c r="AX284" s="9"/>
      <c r="AY284" s="22">
        <v>1.2797499999999999</v>
      </c>
      <c r="AZ284" s="22">
        <v>30.692699999999999</v>
      </c>
      <c r="BA284" s="22">
        <v>-1.34033E-2</v>
      </c>
      <c r="BB284" s="22">
        <v>274</v>
      </c>
      <c r="BC284" s="22">
        <v>1.2786900000000001</v>
      </c>
      <c r="BD284">
        <f t="shared" si="58"/>
        <v>16.547283950617281</v>
      </c>
      <c r="BE284">
        <f t="shared" si="59"/>
        <v>21.176386635802466</v>
      </c>
    </row>
    <row r="285" spans="6:101">
      <c r="F285" s="9"/>
      <c r="G285" s="22">
        <v>0.43533300000000003</v>
      </c>
      <c r="H285" s="22">
        <v>8.0938499999999998</v>
      </c>
      <c r="I285" s="22">
        <v>-1.3909899999999999E-2</v>
      </c>
      <c r="J285" s="22">
        <v>275</v>
      </c>
      <c r="K285" s="22">
        <v>0.43466199999999999</v>
      </c>
      <c r="L285">
        <f t="shared" si="48"/>
        <v>17.172716049382714</v>
      </c>
      <c r="M285">
        <f t="shared" si="49"/>
        <v>7.4758499959259259</v>
      </c>
      <c r="N285" s="9"/>
      <c r="O285" s="22">
        <v>1.2847900000000001</v>
      </c>
      <c r="P285" s="22">
        <v>11.9533</v>
      </c>
      <c r="Q285" s="22">
        <v>-1.3461300000000001E-2</v>
      </c>
      <c r="R285" s="22">
        <v>275</v>
      </c>
      <c r="S285" s="22">
        <v>1.2841800000000001</v>
      </c>
      <c r="T285">
        <f t="shared" si="50"/>
        <v>16.618888888888886</v>
      </c>
      <c r="U285">
        <f t="shared" si="51"/>
        <v>21.351782255555555</v>
      </c>
      <c r="X285" s="9"/>
      <c r="Y285" s="22">
        <v>0.43533300000000003</v>
      </c>
      <c r="Z285" s="22">
        <v>17.5381</v>
      </c>
      <c r="AA285" s="22">
        <v>-1.3937400000000001E-2</v>
      </c>
      <c r="AB285" s="22">
        <v>275</v>
      </c>
      <c r="AC285" s="22">
        <v>0.43472300000000003</v>
      </c>
      <c r="AD285">
        <f t="shared" si="52"/>
        <v>17.206666666666667</v>
      </c>
      <c r="AE285">
        <f t="shared" si="53"/>
        <v>7.4906298200000005</v>
      </c>
      <c r="AF285" s="9"/>
      <c r="AG285" s="22">
        <v>1.2847900000000001</v>
      </c>
      <c r="AH285" s="22">
        <v>21.397500000000001</v>
      </c>
      <c r="AI285" s="22">
        <v>-1.3369799999999999E-2</v>
      </c>
      <c r="AJ285" s="22">
        <v>275</v>
      </c>
      <c r="AK285" s="22">
        <v>1.2838700000000001</v>
      </c>
      <c r="AL285">
        <f t="shared" si="54"/>
        <v>16.505925925925922</v>
      </c>
      <c r="AM285">
        <f t="shared" si="55"/>
        <v>21.206648570370366</v>
      </c>
      <c r="AP285" s="9"/>
      <c r="AQ285" s="22">
        <v>0.43533300000000003</v>
      </c>
      <c r="AR285" s="22">
        <v>26.843299999999999</v>
      </c>
      <c r="AS285" s="22">
        <v>-1.3952600000000001E-2</v>
      </c>
      <c r="AT285" s="22">
        <v>275</v>
      </c>
      <c r="AU285" s="22">
        <v>0.43466199999999999</v>
      </c>
      <c r="AV285">
        <f t="shared" si="56"/>
        <v>17.225432098765431</v>
      </c>
      <c r="AW285">
        <f t="shared" si="57"/>
        <v>7.4987990318518518</v>
      </c>
      <c r="AX285" s="9"/>
      <c r="AY285" s="22">
        <v>1.2847900000000001</v>
      </c>
      <c r="AZ285" s="22">
        <v>30.7028</v>
      </c>
      <c r="BA285" s="22">
        <v>-1.3384999999999999E-2</v>
      </c>
      <c r="BB285" s="22">
        <v>275</v>
      </c>
      <c r="BC285" s="22">
        <v>1.2838700000000001</v>
      </c>
      <c r="BD285">
        <f t="shared" si="58"/>
        <v>16.52469135802469</v>
      </c>
      <c r="BE285">
        <f t="shared" si="59"/>
        <v>21.230758209876544</v>
      </c>
    </row>
    <row r="286" spans="6:101">
      <c r="F286" s="9"/>
      <c r="G286" s="22">
        <v>0.43029800000000001</v>
      </c>
      <c r="H286" s="22">
        <v>8.1039300000000001</v>
      </c>
      <c r="I286" s="22">
        <v>-1.3913E-2</v>
      </c>
      <c r="J286" s="22">
        <v>276</v>
      </c>
      <c r="K286" s="22">
        <v>0.42971799999999999</v>
      </c>
      <c r="L286">
        <f t="shared" si="48"/>
        <v>17.176543209876542</v>
      </c>
      <c r="M286">
        <f t="shared" si="49"/>
        <v>7.3910321901234566</v>
      </c>
      <c r="N286" s="9"/>
      <c r="O286" s="22">
        <v>1.28983</v>
      </c>
      <c r="P286" s="22">
        <v>11.9634</v>
      </c>
      <c r="Q286" s="22">
        <v>-1.34552E-2</v>
      </c>
      <c r="R286" s="22">
        <v>276</v>
      </c>
      <c r="S286" s="22">
        <v>1.2890600000000001</v>
      </c>
      <c r="T286">
        <f t="shared" si="50"/>
        <v>16.611358024691356</v>
      </c>
      <c r="U286">
        <f t="shared" si="51"/>
        <v>21.425827920987651</v>
      </c>
      <c r="X286" s="9"/>
      <c r="Y286" s="22">
        <v>0.43029800000000001</v>
      </c>
      <c r="Z286" s="22">
        <v>17.548100000000002</v>
      </c>
      <c r="AA286" s="22">
        <v>-1.3952600000000001E-2</v>
      </c>
      <c r="AB286" s="22">
        <v>276</v>
      </c>
      <c r="AC286" s="22">
        <v>0.42968800000000001</v>
      </c>
      <c r="AD286">
        <f t="shared" si="52"/>
        <v>17.225432098765431</v>
      </c>
      <c r="AE286">
        <f t="shared" si="53"/>
        <v>7.4120689812345679</v>
      </c>
      <c r="AF286" s="9"/>
      <c r="AG286" s="22">
        <v>1.28983</v>
      </c>
      <c r="AH286" s="22">
        <v>21.407599999999999</v>
      </c>
      <c r="AI286" s="22">
        <v>-1.33606E-2</v>
      </c>
      <c r="AJ286" s="22">
        <v>276</v>
      </c>
      <c r="AK286" s="22">
        <v>1.2890600000000001</v>
      </c>
      <c r="AL286">
        <f t="shared" si="54"/>
        <v>16.494567901234568</v>
      </c>
      <c r="AM286">
        <f t="shared" si="55"/>
        <v>21.275188516049383</v>
      </c>
      <c r="AP286" s="9"/>
      <c r="AQ286" s="22">
        <v>0.43029800000000001</v>
      </c>
      <c r="AR286" s="22">
        <v>26.853400000000001</v>
      </c>
      <c r="AS286" s="22">
        <v>-1.39679E-2</v>
      </c>
      <c r="AT286" s="22">
        <v>276</v>
      </c>
      <c r="AU286" s="22">
        <v>0.42981000000000003</v>
      </c>
      <c r="AV286">
        <f t="shared" si="56"/>
        <v>17.244320987654319</v>
      </c>
      <c r="AW286">
        <f t="shared" si="57"/>
        <v>7.4201968323456784</v>
      </c>
      <c r="AX286" s="9"/>
      <c r="AY286" s="22">
        <v>1.28983</v>
      </c>
      <c r="AZ286" s="22">
        <v>30.712800000000001</v>
      </c>
      <c r="BA286" s="22">
        <v>-1.33667E-2</v>
      </c>
      <c r="BB286" s="22">
        <v>276</v>
      </c>
      <c r="BC286" s="22">
        <v>1.2884500000000001</v>
      </c>
      <c r="BD286">
        <f t="shared" si="58"/>
        <v>16.502098765432098</v>
      </c>
      <c r="BE286">
        <f t="shared" si="59"/>
        <v>21.284902050617283</v>
      </c>
    </row>
    <row r="287" spans="6:101">
      <c r="F287" s="9"/>
      <c r="G287" s="22">
        <v>0.42526199999999997</v>
      </c>
      <c r="H287" s="22">
        <v>8.1140000000000008</v>
      </c>
      <c r="I287" s="22">
        <v>-1.3909899999999999E-2</v>
      </c>
      <c r="J287" s="22">
        <v>277</v>
      </c>
      <c r="K287" s="22">
        <v>0.42471300000000001</v>
      </c>
      <c r="L287">
        <f t="shared" si="48"/>
        <v>17.172716049382714</v>
      </c>
      <c r="M287">
        <f t="shared" si="49"/>
        <v>7.3029035725925917</v>
      </c>
      <c r="N287" s="9"/>
      <c r="O287" s="22">
        <v>1.2948599999999999</v>
      </c>
      <c r="P287" s="22">
        <v>11.9735</v>
      </c>
      <c r="Q287" s="22">
        <v>-1.3446E-2</v>
      </c>
      <c r="R287" s="22">
        <v>277</v>
      </c>
      <c r="S287" s="22">
        <v>1.2942499999999999</v>
      </c>
      <c r="T287">
        <f t="shared" si="50"/>
        <v>16.599999999999998</v>
      </c>
      <c r="U287">
        <f t="shared" si="51"/>
        <v>21.494675999999995</v>
      </c>
      <c r="X287" s="9"/>
      <c r="Y287" s="22">
        <v>0.42526199999999997</v>
      </c>
      <c r="Z287" s="22">
        <v>17.558199999999999</v>
      </c>
      <c r="AA287" s="22">
        <v>-1.3952600000000001E-2</v>
      </c>
      <c r="AB287" s="22">
        <v>277</v>
      </c>
      <c r="AC287" s="22">
        <v>0.424622</v>
      </c>
      <c r="AD287">
        <f t="shared" si="52"/>
        <v>17.225432098765431</v>
      </c>
      <c r="AE287">
        <f t="shared" si="53"/>
        <v>7.3253217051851847</v>
      </c>
      <c r="AF287" s="9"/>
      <c r="AG287" s="22">
        <v>1.2948599999999999</v>
      </c>
      <c r="AH287" s="22">
        <v>21.4177</v>
      </c>
      <c r="AI287" s="22">
        <v>-1.33484E-2</v>
      </c>
      <c r="AJ287" s="22">
        <v>277</v>
      </c>
      <c r="AK287" s="22">
        <v>1.2939499999999999</v>
      </c>
      <c r="AL287">
        <f t="shared" si="54"/>
        <v>16.479506172839503</v>
      </c>
      <c r="AM287">
        <f t="shared" si="55"/>
        <v>21.338653362962958</v>
      </c>
      <c r="AP287" s="9"/>
      <c r="AQ287" s="22">
        <v>0.42526199999999997</v>
      </c>
      <c r="AR287" s="22">
        <v>26.863399999999999</v>
      </c>
      <c r="AS287" s="22">
        <v>-1.3974E-2</v>
      </c>
      <c r="AT287" s="22">
        <v>277</v>
      </c>
      <c r="AU287" s="22">
        <v>0.42465199999999997</v>
      </c>
      <c r="AV287">
        <f t="shared" si="56"/>
        <v>17.251851851851853</v>
      </c>
      <c r="AW287">
        <f t="shared" si="57"/>
        <v>7.3365570222222223</v>
      </c>
      <c r="AX287" s="9"/>
      <c r="AY287" s="22">
        <v>1.2948599999999999</v>
      </c>
      <c r="AZ287" s="22">
        <v>30.722899999999999</v>
      </c>
      <c r="BA287" s="22">
        <v>-1.3351399999999999E-2</v>
      </c>
      <c r="BB287" s="22">
        <v>277</v>
      </c>
      <c r="BC287" s="22">
        <v>1.2945599999999999</v>
      </c>
      <c r="BD287">
        <f t="shared" si="58"/>
        <v>16.483209876543206</v>
      </c>
      <c r="BE287">
        <f t="shared" si="59"/>
        <v>21.343449140740734</v>
      </c>
    </row>
    <row r="288" spans="6:101">
      <c r="F288" s="9"/>
      <c r="G288" s="22">
        <v>0.42022700000000002</v>
      </c>
      <c r="H288" s="22">
        <v>8.1240699999999997</v>
      </c>
      <c r="I288" s="22">
        <v>-1.39191E-2</v>
      </c>
      <c r="J288" s="22">
        <v>278</v>
      </c>
      <c r="K288" s="22">
        <v>0.41955599999999998</v>
      </c>
      <c r="L288">
        <f t="shared" si="48"/>
        <v>17.184074074074076</v>
      </c>
      <c r="M288">
        <f t="shared" si="49"/>
        <v>7.2212118959259266</v>
      </c>
      <c r="N288" s="9"/>
      <c r="O288" s="22">
        <v>1.2999000000000001</v>
      </c>
      <c r="P288" s="22">
        <v>11.983499999999999</v>
      </c>
      <c r="Q288" s="22">
        <v>-1.3433799999999999E-2</v>
      </c>
      <c r="R288" s="22">
        <v>278</v>
      </c>
      <c r="S288" s="22">
        <v>1.2988299999999999</v>
      </c>
      <c r="T288">
        <f t="shared" si="50"/>
        <v>16.584938271604937</v>
      </c>
      <c r="U288">
        <f t="shared" si="51"/>
        <v>21.55876125925926</v>
      </c>
      <c r="X288" s="9"/>
      <c r="Y288" s="22">
        <v>0.42022700000000002</v>
      </c>
      <c r="Z288" s="22">
        <v>17.568300000000001</v>
      </c>
      <c r="AA288" s="22">
        <v>-1.3952600000000001E-2</v>
      </c>
      <c r="AB288" s="22">
        <v>278</v>
      </c>
      <c r="AC288" s="22">
        <v>0.41958600000000001</v>
      </c>
      <c r="AD288">
        <f t="shared" si="52"/>
        <v>17.225432098765431</v>
      </c>
      <c r="AE288">
        <f t="shared" si="53"/>
        <v>7.2385916545679008</v>
      </c>
      <c r="AF288" s="9"/>
      <c r="AG288" s="22">
        <v>1.2999000000000001</v>
      </c>
      <c r="AH288" s="22">
        <v>21.427700000000002</v>
      </c>
      <c r="AI288" s="22">
        <v>-1.3324000000000001E-2</v>
      </c>
      <c r="AJ288" s="22">
        <v>278</v>
      </c>
      <c r="AK288" s="22">
        <v>1.2994399999999999</v>
      </c>
      <c r="AL288">
        <f t="shared" si="54"/>
        <v>16.449382716049382</v>
      </c>
      <c r="AM288">
        <f t="shared" si="55"/>
        <v>21.382552592592592</v>
      </c>
      <c r="AP288" s="9"/>
      <c r="AQ288" s="22">
        <v>0.42022700000000002</v>
      </c>
      <c r="AR288" s="22">
        <v>26.8735</v>
      </c>
      <c r="AS288" s="22">
        <v>-1.3980100000000001E-2</v>
      </c>
      <c r="AT288" s="22">
        <v>278</v>
      </c>
      <c r="AU288" s="22">
        <v>0.41955599999999998</v>
      </c>
      <c r="AV288">
        <f t="shared" si="56"/>
        <v>17.259382716049384</v>
      </c>
      <c r="AW288">
        <f t="shared" si="57"/>
        <v>7.2528586206172845</v>
      </c>
      <c r="AX288" s="9"/>
      <c r="AY288" s="22">
        <v>1.2999000000000001</v>
      </c>
      <c r="AZ288" s="22">
        <v>30.733000000000001</v>
      </c>
      <c r="BA288" s="22">
        <v>-1.3330099999999999E-2</v>
      </c>
      <c r="BB288" s="22">
        <v>278</v>
      </c>
      <c r="BC288" s="22">
        <v>1.2988299999999999</v>
      </c>
      <c r="BD288">
        <f t="shared" si="58"/>
        <v>16.456913580246912</v>
      </c>
      <c r="BE288">
        <f t="shared" si="59"/>
        <v>21.392341962962963</v>
      </c>
    </row>
    <row r="289" spans="6:57">
      <c r="F289" s="9"/>
      <c r="G289" s="22">
        <v>0.41519200000000001</v>
      </c>
      <c r="H289" s="22">
        <v>8.1341400000000004</v>
      </c>
      <c r="I289" s="22">
        <v>-1.39282E-2</v>
      </c>
      <c r="J289" s="22">
        <v>279</v>
      </c>
      <c r="K289" s="22">
        <v>0.41464200000000001</v>
      </c>
      <c r="L289">
        <f t="shared" si="48"/>
        <v>17.195308641975309</v>
      </c>
      <c r="M289">
        <f t="shared" si="49"/>
        <v>7.1393545856790128</v>
      </c>
      <c r="N289" s="9"/>
      <c r="O289" s="22">
        <v>1.3049299999999999</v>
      </c>
      <c r="P289" s="22">
        <v>11.993600000000001</v>
      </c>
      <c r="Q289" s="22">
        <v>-1.3418599999999999E-2</v>
      </c>
      <c r="R289" s="22">
        <v>279</v>
      </c>
      <c r="S289" s="22">
        <v>1.30402</v>
      </c>
      <c r="T289">
        <f t="shared" si="50"/>
        <v>16.566172839506169</v>
      </c>
      <c r="U289">
        <f t="shared" si="51"/>
        <v>21.617695923456786</v>
      </c>
      <c r="X289" s="9"/>
      <c r="Y289" s="22">
        <v>0.41519200000000001</v>
      </c>
      <c r="Z289" s="22">
        <v>17.578299999999999</v>
      </c>
      <c r="AA289" s="22">
        <v>-1.39557E-2</v>
      </c>
      <c r="AB289" s="22">
        <v>279</v>
      </c>
      <c r="AC289" s="22">
        <v>0.41464200000000001</v>
      </c>
      <c r="AD289">
        <f t="shared" si="52"/>
        <v>17.229259259259258</v>
      </c>
      <c r="AE289">
        <f t="shared" si="53"/>
        <v>7.1534506103703697</v>
      </c>
      <c r="AF289" s="9"/>
      <c r="AG289" s="22">
        <v>1.3049299999999999</v>
      </c>
      <c r="AH289" s="22">
        <v>21.437799999999999</v>
      </c>
      <c r="AI289" s="22">
        <v>-1.33148E-2</v>
      </c>
      <c r="AJ289" s="22">
        <v>279</v>
      </c>
      <c r="AK289" s="22">
        <v>1.30402</v>
      </c>
      <c r="AL289">
        <f t="shared" si="54"/>
        <v>16.438024691358024</v>
      </c>
      <c r="AM289">
        <f t="shared" si="55"/>
        <v>21.450471560493824</v>
      </c>
      <c r="AP289" s="9"/>
      <c r="AQ289" s="22">
        <v>0.41519200000000001</v>
      </c>
      <c r="AR289" s="22">
        <v>26.883600000000001</v>
      </c>
      <c r="AS289" s="22">
        <v>-1.3983199999999999E-2</v>
      </c>
      <c r="AT289" s="22">
        <v>279</v>
      </c>
      <c r="AU289" s="22">
        <v>0.414551</v>
      </c>
      <c r="AV289">
        <f t="shared" si="56"/>
        <v>17.263209876543208</v>
      </c>
      <c r="AW289">
        <f t="shared" si="57"/>
        <v>7.1675466350617274</v>
      </c>
      <c r="AX289" s="9"/>
      <c r="AY289" s="22">
        <v>1.3049299999999999</v>
      </c>
      <c r="AZ289" s="22">
        <v>30.742999999999999</v>
      </c>
      <c r="BA289" s="22">
        <v>-1.33118E-2</v>
      </c>
      <c r="BB289" s="22">
        <v>279</v>
      </c>
      <c r="BC289" s="22">
        <v>1.30402</v>
      </c>
      <c r="BD289">
        <f t="shared" si="58"/>
        <v>16.434320987654321</v>
      </c>
      <c r="BE289">
        <f t="shared" si="59"/>
        <v>21.44563848641975</v>
      </c>
    </row>
    <row r="290" spans="6:57">
      <c r="F290" s="9"/>
      <c r="G290" s="22">
        <v>0.41015600000000002</v>
      </c>
      <c r="H290" s="22">
        <v>8.1442099999999993</v>
      </c>
      <c r="I290" s="22">
        <v>-1.3931300000000001E-2</v>
      </c>
      <c r="J290" s="22">
        <v>280</v>
      </c>
      <c r="K290" s="22">
        <v>0.409607</v>
      </c>
      <c r="L290">
        <f t="shared" si="48"/>
        <v>17.199135802469137</v>
      </c>
      <c r="M290">
        <f t="shared" si="49"/>
        <v>7.0543287441975311</v>
      </c>
      <c r="N290" s="9"/>
      <c r="O290" s="22">
        <v>1.3099700000000001</v>
      </c>
      <c r="P290" s="22">
        <v>12.0037</v>
      </c>
      <c r="Q290" s="22">
        <v>-1.34003E-2</v>
      </c>
      <c r="R290" s="22">
        <v>280</v>
      </c>
      <c r="S290" s="22">
        <v>1.3091999999999999</v>
      </c>
      <c r="T290">
        <f t="shared" si="50"/>
        <v>16.543580246913578</v>
      </c>
      <c r="U290">
        <f t="shared" si="51"/>
        <v>21.671593816049381</v>
      </c>
      <c r="X290" s="9"/>
      <c r="Y290" s="22">
        <v>0.41015600000000002</v>
      </c>
      <c r="Z290" s="22">
        <v>17.5884</v>
      </c>
      <c r="AA290" s="22">
        <v>-1.39557E-2</v>
      </c>
      <c r="AB290" s="22">
        <v>280</v>
      </c>
      <c r="AC290" s="22">
        <v>0.40954600000000002</v>
      </c>
      <c r="AD290">
        <f t="shared" si="52"/>
        <v>17.229259259259258</v>
      </c>
      <c r="AE290">
        <f t="shared" si="53"/>
        <v>7.0666840607407408</v>
      </c>
      <c r="AF290" s="9"/>
      <c r="AG290" s="22">
        <v>1.3099700000000001</v>
      </c>
      <c r="AH290" s="22">
        <v>21.447900000000001</v>
      </c>
      <c r="AI290" s="22">
        <v>-1.33057E-2</v>
      </c>
      <c r="AJ290" s="22">
        <v>280</v>
      </c>
      <c r="AK290" s="22">
        <v>1.3091999999999999</v>
      </c>
      <c r="AL290">
        <f t="shared" si="54"/>
        <v>16.42679012345679</v>
      </c>
      <c r="AM290">
        <f t="shared" si="55"/>
        <v>21.518602258024693</v>
      </c>
      <c r="AP290" s="9"/>
      <c r="AQ290" s="22">
        <v>0.41015600000000002</v>
      </c>
      <c r="AR290" s="22">
        <v>26.893599999999999</v>
      </c>
      <c r="AS290" s="22">
        <v>-1.3986200000000001E-2</v>
      </c>
      <c r="AT290" s="22">
        <v>280</v>
      </c>
      <c r="AU290" s="22">
        <v>0.40954600000000002</v>
      </c>
      <c r="AV290">
        <f t="shared" si="56"/>
        <v>17.266913580246914</v>
      </c>
      <c r="AW290">
        <f t="shared" si="57"/>
        <v>7.0821282064197542</v>
      </c>
      <c r="AX290" s="9"/>
      <c r="AY290" s="22">
        <v>1.3099700000000001</v>
      </c>
      <c r="AZ290" s="22">
        <v>30.7531</v>
      </c>
      <c r="BA290" s="22">
        <v>-1.3284300000000001E-2</v>
      </c>
      <c r="BB290" s="22">
        <v>280</v>
      </c>
      <c r="BC290" s="22">
        <v>1.3091999999999999</v>
      </c>
      <c r="BD290">
        <f t="shared" si="58"/>
        <v>16.400370370370371</v>
      </c>
      <c r="BE290">
        <f t="shared" si="59"/>
        <v>21.483993174074076</v>
      </c>
    </row>
    <row r="291" spans="6:57">
      <c r="F291" s="9"/>
      <c r="G291" s="22">
        <v>0.40512100000000001</v>
      </c>
      <c r="H291" s="22">
        <v>8.15428</v>
      </c>
      <c r="I291" s="22">
        <v>-1.3931300000000001E-2</v>
      </c>
      <c r="J291" s="22">
        <v>281</v>
      </c>
      <c r="K291" s="22">
        <v>0.40457199999999999</v>
      </c>
      <c r="L291">
        <f t="shared" si="48"/>
        <v>17.199135802469137</v>
      </c>
      <c r="M291">
        <f t="shared" si="49"/>
        <v>6.9677310954320992</v>
      </c>
      <c r="N291" s="9"/>
      <c r="O291" s="22">
        <v>1.3149999999999999</v>
      </c>
      <c r="P291" s="22">
        <v>12.0138</v>
      </c>
      <c r="Q291" s="22">
        <v>-1.33881E-2</v>
      </c>
      <c r="R291" s="22">
        <v>281</v>
      </c>
      <c r="S291" s="22">
        <v>1.31409</v>
      </c>
      <c r="T291">
        <f t="shared" si="50"/>
        <v>16.528518518518517</v>
      </c>
      <c r="U291">
        <f t="shared" si="51"/>
        <v>21.735001851851848</v>
      </c>
      <c r="X291" s="9"/>
      <c r="Y291" s="22">
        <v>0.40512100000000001</v>
      </c>
      <c r="Z291" s="22">
        <v>17.598500000000001</v>
      </c>
      <c r="AA291" s="22">
        <v>-1.3946500000000001E-2</v>
      </c>
      <c r="AB291" s="22">
        <v>281</v>
      </c>
      <c r="AC291" s="22">
        <v>0.40450999999999998</v>
      </c>
      <c r="AD291">
        <f t="shared" si="52"/>
        <v>17.217901234567901</v>
      </c>
      <c r="AE291">
        <f t="shared" si="53"/>
        <v>6.9753333660493828</v>
      </c>
      <c r="AF291" s="9"/>
      <c r="AG291" s="22">
        <v>1.3149999999999999</v>
      </c>
      <c r="AH291" s="22">
        <v>21.457999999999998</v>
      </c>
      <c r="AI291" s="22">
        <v>-1.32935E-2</v>
      </c>
      <c r="AJ291" s="22">
        <v>281</v>
      </c>
      <c r="AK291" s="22">
        <v>1.31409</v>
      </c>
      <c r="AL291">
        <f t="shared" si="54"/>
        <v>16.411728395061726</v>
      </c>
      <c r="AM291">
        <f t="shared" si="55"/>
        <v>21.581422839506168</v>
      </c>
      <c r="AP291" s="9"/>
      <c r="AQ291" s="22">
        <v>0.40512100000000001</v>
      </c>
      <c r="AR291" s="22">
        <v>26.903700000000001</v>
      </c>
      <c r="AS291" s="22">
        <v>-1.39893E-2</v>
      </c>
      <c r="AT291" s="22">
        <v>281</v>
      </c>
      <c r="AU291" s="22">
        <v>0.40460200000000002</v>
      </c>
      <c r="AV291">
        <f t="shared" si="56"/>
        <v>17.270740740740738</v>
      </c>
      <c r="AW291">
        <f t="shared" si="57"/>
        <v>6.9967397596296284</v>
      </c>
      <c r="AX291" s="9"/>
      <c r="AY291" s="22">
        <v>1.3149999999999999</v>
      </c>
      <c r="AZ291" s="22">
        <v>30.763200000000001</v>
      </c>
      <c r="BA291" s="22">
        <v>-1.32751E-2</v>
      </c>
      <c r="BB291" s="22">
        <v>281</v>
      </c>
      <c r="BC291" s="22">
        <v>1.31409</v>
      </c>
      <c r="BD291">
        <f t="shared" si="58"/>
        <v>16.38901234567901</v>
      </c>
      <c r="BE291">
        <f t="shared" si="59"/>
        <v>21.551551234567896</v>
      </c>
    </row>
    <row r="292" spans="6:57">
      <c r="F292" s="9"/>
      <c r="G292" s="22">
        <v>0.40008500000000002</v>
      </c>
      <c r="H292" s="22">
        <v>8.1643500000000007</v>
      </c>
      <c r="I292" s="22">
        <v>-1.3931300000000001E-2</v>
      </c>
      <c r="J292" s="22">
        <v>282</v>
      </c>
      <c r="K292" s="22">
        <v>0.39947500000000002</v>
      </c>
      <c r="L292">
        <f t="shared" si="48"/>
        <v>17.199135802469137</v>
      </c>
      <c r="M292">
        <f t="shared" si="49"/>
        <v>6.8811162475308647</v>
      </c>
      <c r="N292" s="9"/>
      <c r="O292" s="22">
        <v>1.3200400000000001</v>
      </c>
      <c r="P292" s="22">
        <v>12.0238</v>
      </c>
      <c r="Q292" s="22">
        <v>-1.3369799999999999E-2</v>
      </c>
      <c r="R292" s="22">
        <v>282</v>
      </c>
      <c r="S292" s="22">
        <v>1.3192699999999999</v>
      </c>
      <c r="T292">
        <f t="shared" si="50"/>
        <v>16.505925925925922</v>
      </c>
      <c r="U292">
        <f t="shared" si="51"/>
        <v>21.788482459259257</v>
      </c>
      <c r="X292" s="9"/>
      <c r="Y292" s="22">
        <v>0.40008500000000002</v>
      </c>
      <c r="Z292" s="22">
        <v>17.608599999999999</v>
      </c>
      <c r="AA292" s="22">
        <v>-1.3937400000000001E-2</v>
      </c>
      <c r="AB292" s="22">
        <v>282</v>
      </c>
      <c r="AC292" s="22">
        <v>0.39950600000000003</v>
      </c>
      <c r="AD292">
        <f t="shared" si="52"/>
        <v>17.206666666666667</v>
      </c>
      <c r="AE292">
        <f t="shared" si="53"/>
        <v>6.8841292333333337</v>
      </c>
      <c r="AF292" s="9"/>
      <c r="AG292" s="22">
        <v>1.3200400000000001</v>
      </c>
      <c r="AH292" s="22">
        <v>21.468</v>
      </c>
      <c r="AI292" s="22">
        <v>-1.3296499999999999E-2</v>
      </c>
      <c r="AJ292" s="22">
        <v>282</v>
      </c>
      <c r="AK292" s="22">
        <v>1.31989</v>
      </c>
      <c r="AL292">
        <f t="shared" si="54"/>
        <v>16.415432098765429</v>
      </c>
      <c r="AM292">
        <f t="shared" si="55"/>
        <v>21.66902698765432</v>
      </c>
      <c r="AP292" s="9"/>
      <c r="AQ292" s="22">
        <v>0.40008500000000002</v>
      </c>
      <c r="AR292" s="22">
        <v>26.913799999999998</v>
      </c>
      <c r="AS292" s="22">
        <v>-1.3980100000000001E-2</v>
      </c>
      <c r="AT292" s="22">
        <v>282</v>
      </c>
      <c r="AU292" s="22">
        <v>0.39947500000000002</v>
      </c>
      <c r="AV292">
        <f t="shared" si="56"/>
        <v>17.259382716049384</v>
      </c>
      <c r="AW292">
        <f t="shared" si="57"/>
        <v>6.9052201339506185</v>
      </c>
      <c r="AX292" s="9"/>
      <c r="AY292" s="22">
        <v>1.3200400000000001</v>
      </c>
      <c r="AZ292" s="22">
        <v>30.773299999999999</v>
      </c>
      <c r="BA292" s="22">
        <v>-1.3266E-2</v>
      </c>
      <c r="BB292" s="22">
        <v>282</v>
      </c>
      <c r="BC292" s="22">
        <v>1.31958</v>
      </c>
      <c r="BD292">
        <f t="shared" si="58"/>
        <v>16.377777777777776</v>
      </c>
      <c r="BE292">
        <f t="shared" si="59"/>
        <v>21.619321777777778</v>
      </c>
    </row>
    <row r="293" spans="6:57">
      <c r="F293" s="9"/>
      <c r="G293" s="22">
        <v>0.39505000000000001</v>
      </c>
      <c r="H293" s="22">
        <v>8.1744199999999996</v>
      </c>
      <c r="I293" s="22">
        <v>-1.39282E-2</v>
      </c>
      <c r="J293" s="22">
        <v>283</v>
      </c>
      <c r="K293" s="22">
        <v>0.39456200000000002</v>
      </c>
      <c r="L293">
        <f t="shared" si="48"/>
        <v>17.195308641975309</v>
      </c>
      <c r="M293">
        <f t="shared" si="49"/>
        <v>6.793006679012346</v>
      </c>
      <c r="N293" s="9"/>
      <c r="O293" s="22">
        <v>1.32507</v>
      </c>
      <c r="P293" s="22">
        <v>12.033899999999999</v>
      </c>
      <c r="Q293" s="22">
        <v>-1.33575E-2</v>
      </c>
      <c r="R293" s="22">
        <v>283</v>
      </c>
      <c r="S293" s="22">
        <v>1.32385</v>
      </c>
      <c r="T293">
        <f t="shared" si="50"/>
        <v>16.49074074074074</v>
      </c>
      <c r="U293">
        <f t="shared" si="51"/>
        <v>21.851385833333332</v>
      </c>
      <c r="X293" s="9"/>
      <c r="Y293" s="22">
        <v>0.39505000000000001</v>
      </c>
      <c r="Z293" s="22">
        <v>17.618600000000001</v>
      </c>
      <c r="AA293" s="22">
        <v>-1.3943499999999999E-2</v>
      </c>
      <c r="AB293" s="22">
        <v>283</v>
      </c>
      <c r="AC293" s="22">
        <v>0.39450099999999999</v>
      </c>
      <c r="AD293">
        <f t="shared" si="52"/>
        <v>17.214197530864197</v>
      </c>
      <c r="AE293">
        <f t="shared" si="53"/>
        <v>6.8004687345679011</v>
      </c>
      <c r="AF293" s="9"/>
      <c r="AG293" s="22">
        <v>1.32507</v>
      </c>
      <c r="AH293" s="22">
        <v>21.478100000000001</v>
      </c>
      <c r="AI293" s="22">
        <v>-1.3290400000000001E-2</v>
      </c>
      <c r="AJ293" s="22">
        <v>283</v>
      </c>
      <c r="AK293" s="22">
        <v>1.32416</v>
      </c>
      <c r="AL293">
        <f t="shared" si="54"/>
        <v>16.407901234567902</v>
      </c>
      <c r="AM293">
        <f t="shared" si="55"/>
        <v>21.741617688888891</v>
      </c>
      <c r="AP293" s="9"/>
      <c r="AQ293" s="22">
        <v>0.39505000000000001</v>
      </c>
      <c r="AR293" s="22">
        <v>26.9239</v>
      </c>
      <c r="AS293" s="22">
        <v>-1.39709E-2</v>
      </c>
      <c r="AT293" s="22">
        <v>283</v>
      </c>
      <c r="AU293" s="22">
        <v>0.39446999999999999</v>
      </c>
      <c r="AV293">
        <f t="shared" si="56"/>
        <v>17.248024691358022</v>
      </c>
      <c r="AW293">
        <f t="shared" si="57"/>
        <v>6.8138321543209868</v>
      </c>
      <c r="AX293" s="9"/>
      <c r="AY293" s="22">
        <v>1.32507</v>
      </c>
      <c r="AZ293" s="22">
        <v>30.783300000000001</v>
      </c>
      <c r="BA293" s="22">
        <v>-1.32538E-2</v>
      </c>
      <c r="BB293" s="22">
        <v>283</v>
      </c>
      <c r="BC293" s="22">
        <v>1.32385</v>
      </c>
      <c r="BD293">
        <f t="shared" si="58"/>
        <v>16.362716049382716</v>
      </c>
      <c r="BE293">
        <f t="shared" si="59"/>
        <v>21.681744155555556</v>
      </c>
    </row>
    <row r="294" spans="6:57">
      <c r="F294" s="9"/>
      <c r="G294" s="22">
        <v>0.390015</v>
      </c>
      <c r="H294" s="22">
        <v>8.1844900000000003</v>
      </c>
      <c r="I294" s="22">
        <v>-1.3931300000000001E-2</v>
      </c>
      <c r="J294" s="22">
        <v>284</v>
      </c>
      <c r="K294" s="22">
        <v>0.38949600000000001</v>
      </c>
      <c r="L294">
        <f t="shared" si="48"/>
        <v>17.199135802469137</v>
      </c>
      <c r="M294">
        <f t="shared" si="49"/>
        <v>6.7079209500000001</v>
      </c>
      <c r="N294" s="9"/>
      <c r="O294" s="22">
        <v>1.3301099999999999</v>
      </c>
      <c r="P294" s="22">
        <v>12.044</v>
      </c>
      <c r="Q294" s="22">
        <v>-1.33484E-2</v>
      </c>
      <c r="R294" s="22">
        <v>284</v>
      </c>
      <c r="S294" s="22">
        <v>1.32904</v>
      </c>
      <c r="T294">
        <f t="shared" si="50"/>
        <v>16.479506172839503</v>
      </c>
      <c r="U294">
        <f t="shared" si="51"/>
        <v>21.919555955555552</v>
      </c>
      <c r="X294" s="9"/>
      <c r="Y294" s="22">
        <v>0.390015</v>
      </c>
      <c r="Z294" s="22">
        <v>17.628699999999998</v>
      </c>
      <c r="AA294" s="22">
        <v>-1.3952600000000001E-2</v>
      </c>
      <c r="AB294" s="22">
        <v>284</v>
      </c>
      <c r="AC294" s="22">
        <v>0.389374</v>
      </c>
      <c r="AD294">
        <f t="shared" si="52"/>
        <v>17.225432098765431</v>
      </c>
      <c r="AE294">
        <f t="shared" si="53"/>
        <v>6.7181768999999996</v>
      </c>
      <c r="AF294" s="9"/>
      <c r="AG294" s="22">
        <v>1.3301099999999999</v>
      </c>
      <c r="AH294" s="22">
        <v>21.488199999999999</v>
      </c>
      <c r="AI294" s="22">
        <v>-1.3281299999999999E-2</v>
      </c>
      <c r="AJ294" s="22">
        <v>284</v>
      </c>
      <c r="AK294" s="22">
        <v>1.32935</v>
      </c>
      <c r="AL294">
        <f t="shared" si="54"/>
        <v>16.396666666666665</v>
      </c>
      <c r="AM294">
        <f t="shared" si="55"/>
        <v>21.809370299999994</v>
      </c>
      <c r="AP294" s="9"/>
      <c r="AQ294" s="22">
        <v>0.390015</v>
      </c>
      <c r="AR294" s="22">
        <v>26.933900000000001</v>
      </c>
      <c r="AS294" s="22">
        <v>-1.3964799999999999E-2</v>
      </c>
      <c r="AT294" s="22">
        <v>284</v>
      </c>
      <c r="AU294" s="22">
        <v>0.38934299999999999</v>
      </c>
      <c r="AV294">
        <f t="shared" si="56"/>
        <v>17.240493827160492</v>
      </c>
      <c r="AW294">
        <f t="shared" si="57"/>
        <v>6.724051199999999</v>
      </c>
      <c r="AX294" s="9"/>
      <c r="AY294" s="22">
        <v>1.3301099999999999</v>
      </c>
      <c r="AZ294" s="22">
        <v>30.793399999999998</v>
      </c>
      <c r="BA294" s="22">
        <v>-1.3247699999999999E-2</v>
      </c>
      <c r="BB294" s="22">
        <v>284</v>
      </c>
      <c r="BC294" s="22">
        <v>1.32904</v>
      </c>
      <c r="BD294">
        <f t="shared" si="58"/>
        <v>16.355185185185185</v>
      </c>
      <c r="BE294">
        <f t="shared" si="59"/>
        <v>21.754195366666664</v>
      </c>
    </row>
    <row r="295" spans="6:57">
      <c r="F295" s="9"/>
      <c r="G295" s="22">
        <v>0.38497900000000002</v>
      </c>
      <c r="H295" s="22">
        <v>8.1945599999999992</v>
      </c>
      <c r="I295" s="22">
        <v>-1.3943499999999999E-2</v>
      </c>
      <c r="J295" s="22">
        <v>285</v>
      </c>
      <c r="K295" s="22">
        <v>0.38446000000000002</v>
      </c>
      <c r="L295">
        <f t="shared" si="48"/>
        <v>17.214197530864197</v>
      </c>
      <c r="M295">
        <f t="shared" si="49"/>
        <v>6.6271045512345683</v>
      </c>
      <c r="N295" s="9"/>
      <c r="O295" s="22">
        <v>1.33514</v>
      </c>
      <c r="P295" s="22">
        <v>12.054</v>
      </c>
      <c r="Q295" s="22">
        <v>-1.3339200000000001E-2</v>
      </c>
      <c r="R295" s="22">
        <v>285</v>
      </c>
      <c r="S295" s="22">
        <v>1.33392</v>
      </c>
      <c r="T295">
        <f t="shared" si="50"/>
        <v>16.468148148148149</v>
      </c>
      <c r="U295">
        <f t="shared" si="51"/>
        <v>21.987283318518518</v>
      </c>
      <c r="X295" s="9"/>
      <c r="Y295" s="22">
        <v>0.38497900000000002</v>
      </c>
      <c r="Z295" s="22">
        <v>17.6388</v>
      </c>
      <c r="AA295" s="22">
        <v>-1.39618E-2</v>
      </c>
      <c r="AB295" s="22">
        <v>285</v>
      </c>
      <c r="AC295" s="22">
        <v>0.38433800000000001</v>
      </c>
      <c r="AD295">
        <f t="shared" si="52"/>
        <v>17.236790123456789</v>
      </c>
      <c r="AE295">
        <f t="shared" si="53"/>
        <v>6.6358022249382715</v>
      </c>
      <c r="AF295" s="9"/>
      <c r="AG295" s="22">
        <v>1.33514</v>
      </c>
      <c r="AH295" s="22">
        <v>21.498200000000001</v>
      </c>
      <c r="AI295" s="22">
        <v>-1.3266E-2</v>
      </c>
      <c r="AJ295" s="22">
        <v>285</v>
      </c>
      <c r="AK295" s="22">
        <v>1.33423</v>
      </c>
      <c r="AL295">
        <f t="shared" si="54"/>
        <v>16.377777777777776</v>
      </c>
      <c r="AM295">
        <f t="shared" si="55"/>
        <v>21.866626222222219</v>
      </c>
      <c r="AP295" s="9"/>
      <c r="AQ295" s="22">
        <v>0.38497900000000002</v>
      </c>
      <c r="AR295" s="22">
        <v>26.943999999999999</v>
      </c>
      <c r="AS295" s="22">
        <v>-1.39618E-2</v>
      </c>
      <c r="AT295" s="22">
        <v>285</v>
      </c>
      <c r="AU295" s="22">
        <v>0.38439899999999999</v>
      </c>
      <c r="AV295">
        <f t="shared" si="56"/>
        <v>17.236790123456789</v>
      </c>
      <c r="AW295">
        <f t="shared" si="57"/>
        <v>6.6358022249382715</v>
      </c>
      <c r="AX295" s="9"/>
      <c r="AY295" s="22">
        <v>1.33514</v>
      </c>
      <c r="AZ295" s="22">
        <v>30.8035</v>
      </c>
      <c r="BA295" s="22">
        <v>-1.32324E-2</v>
      </c>
      <c r="BB295" s="22">
        <v>285</v>
      </c>
      <c r="BC295" s="22">
        <v>1.33423</v>
      </c>
      <c r="BD295">
        <f t="shared" si="58"/>
        <v>16.336296296296297</v>
      </c>
      <c r="BE295">
        <f t="shared" si="59"/>
        <v>21.811242637037036</v>
      </c>
    </row>
    <row r="296" spans="6:57">
      <c r="F296" s="9"/>
      <c r="G296" s="22">
        <v>0.379944</v>
      </c>
      <c r="H296" s="22">
        <v>8.2046399999999995</v>
      </c>
      <c r="I296" s="22">
        <v>-1.39404E-2</v>
      </c>
      <c r="J296" s="22">
        <v>286</v>
      </c>
      <c r="K296" s="22">
        <v>0.37939499999999998</v>
      </c>
      <c r="L296">
        <f t="shared" si="48"/>
        <v>17.21037037037037</v>
      </c>
      <c r="M296">
        <f t="shared" si="49"/>
        <v>6.5389769600000003</v>
      </c>
      <c r="N296" s="9"/>
      <c r="O296" s="22">
        <v>1.3401799999999999</v>
      </c>
      <c r="P296" s="22">
        <v>12.0641</v>
      </c>
      <c r="Q296" s="22">
        <v>-1.3330099999999999E-2</v>
      </c>
      <c r="R296" s="22">
        <v>286</v>
      </c>
      <c r="S296" s="22">
        <v>1.33911</v>
      </c>
      <c r="T296">
        <f t="shared" si="50"/>
        <v>16.456913580246912</v>
      </c>
      <c r="U296">
        <f t="shared" si="51"/>
        <v>22.055226441975304</v>
      </c>
      <c r="X296" s="9"/>
      <c r="Y296" s="22">
        <v>0.379944</v>
      </c>
      <c r="Z296" s="22">
        <v>17.648800000000001</v>
      </c>
      <c r="AA296" s="22">
        <v>-1.39618E-2</v>
      </c>
      <c r="AB296" s="22">
        <v>286</v>
      </c>
      <c r="AC296" s="22">
        <v>0.37933299999999998</v>
      </c>
      <c r="AD296">
        <f t="shared" si="52"/>
        <v>17.236790123456789</v>
      </c>
      <c r="AE296">
        <f t="shared" si="53"/>
        <v>6.5490149866666663</v>
      </c>
      <c r="AF296" s="9"/>
      <c r="AG296" s="22">
        <v>1.3401799999999999</v>
      </c>
      <c r="AH296" s="22">
        <v>21.508299999999998</v>
      </c>
      <c r="AI296" s="22">
        <v>-1.3247699999999999E-2</v>
      </c>
      <c r="AJ296" s="22">
        <v>286</v>
      </c>
      <c r="AK296" s="22">
        <v>1.33911</v>
      </c>
      <c r="AL296">
        <f t="shared" si="54"/>
        <v>16.355185185185185</v>
      </c>
      <c r="AM296">
        <f t="shared" si="55"/>
        <v>21.918892081481481</v>
      </c>
      <c r="AP296" s="9"/>
      <c r="AQ296" s="22">
        <v>0.379944</v>
      </c>
      <c r="AR296" s="22">
        <v>26.9541</v>
      </c>
      <c r="AS296" s="22">
        <v>-1.39618E-2</v>
      </c>
      <c r="AT296" s="22">
        <v>286</v>
      </c>
      <c r="AU296" s="22">
        <v>0.37933299999999998</v>
      </c>
      <c r="AV296">
        <f t="shared" si="56"/>
        <v>17.236790123456789</v>
      </c>
      <c r="AW296">
        <f t="shared" si="57"/>
        <v>6.5490149866666663</v>
      </c>
      <c r="AX296" s="9"/>
      <c r="AY296" s="22">
        <v>1.3401799999999999</v>
      </c>
      <c r="AZ296" s="22">
        <v>30.813500000000001</v>
      </c>
      <c r="BA296" s="22">
        <v>-1.32233E-2</v>
      </c>
      <c r="BB296" s="22">
        <v>286</v>
      </c>
      <c r="BC296" s="22">
        <v>1.33911</v>
      </c>
      <c r="BD296">
        <f t="shared" si="58"/>
        <v>16.32506172839506</v>
      </c>
      <c r="BE296">
        <f t="shared" si="59"/>
        <v>21.878521227160491</v>
      </c>
    </row>
    <row r="297" spans="6:57">
      <c r="F297" s="9"/>
      <c r="G297" s="22">
        <v>0.37490800000000002</v>
      </c>
      <c r="H297" s="22">
        <v>8.2147100000000002</v>
      </c>
      <c r="I297" s="22">
        <v>-1.3952600000000001E-2</v>
      </c>
      <c r="J297" s="22">
        <v>287</v>
      </c>
      <c r="K297" s="22">
        <v>0.37423699999999999</v>
      </c>
      <c r="L297">
        <f t="shared" si="48"/>
        <v>17.225432098765431</v>
      </c>
      <c r="M297">
        <f t="shared" si="49"/>
        <v>6.4579522972839509</v>
      </c>
      <c r="N297" s="9"/>
      <c r="O297" s="22">
        <v>1.34521</v>
      </c>
      <c r="P297" s="22">
        <v>12.074199999999999</v>
      </c>
      <c r="Q297" s="22">
        <v>-1.33209E-2</v>
      </c>
      <c r="R297" s="22">
        <v>287</v>
      </c>
      <c r="S297" s="22">
        <v>1.3446</v>
      </c>
      <c r="T297">
        <f t="shared" si="50"/>
        <v>16.445555555555554</v>
      </c>
      <c r="U297">
        <f t="shared" si="51"/>
        <v>22.122725788888886</v>
      </c>
      <c r="X297" s="9"/>
      <c r="Y297" s="22">
        <v>0.37490800000000002</v>
      </c>
      <c r="Z297" s="22">
        <v>17.658899999999999</v>
      </c>
      <c r="AA297" s="22">
        <v>-1.3958699999999999E-2</v>
      </c>
      <c r="AB297" s="22">
        <v>287</v>
      </c>
      <c r="AC297" s="22">
        <v>0.37432900000000002</v>
      </c>
      <c r="AD297">
        <f t="shared" si="52"/>
        <v>17.232962962962961</v>
      </c>
      <c r="AE297">
        <f t="shared" si="53"/>
        <v>6.4607756785185186</v>
      </c>
      <c r="AF297" s="9"/>
      <c r="AG297" s="22">
        <v>1.34521</v>
      </c>
      <c r="AH297" s="22">
        <v>21.5184</v>
      </c>
      <c r="AI297" s="22">
        <v>-1.32385E-2</v>
      </c>
      <c r="AJ297" s="22">
        <v>287</v>
      </c>
      <c r="AK297" s="22">
        <v>1.3443000000000001</v>
      </c>
      <c r="AL297">
        <f t="shared" si="54"/>
        <v>16.343827160493824</v>
      </c>
      <c r="AM297">
        <f t="shared" si="55"/>
        <v>21.985879734567895</v>
      </c>
      <c r="AP297" s="9"/>
      <c r="AQ297" s="22">
        <v>0.37490800000000002</v>
      </c>
      <c r="AR297" s="22">
        <v>26.964099999999998</v>
      </c>
      <c r="AS297" s="22">
        <v>-1.3946500000000001E-2</v>
      </c>
      <c r="AT297" s="22">
        <v>287</v>
      </c>
      <c r="AU297" s="22">
        <v>0.37432900000000002</v>
      </c>
      <c r="AV297">
        <f t="shared" si="56"/>
        <v>17.217901234567901</v>
      </c>
      <c r="AW297">
        <f t="shared" si="57"/>
        <v>6.4551289160493832</v>
      </c>
      <c r="AX297" s="9"/>
      <c r="AY297" s="22">
        <v>1.34521</v>
      </c>
      <c r="AZ297" s="22">
        <v>30.823599999999999</v>
      </c>
      <c r="BA297" s="22">
        <v>-1.3205E-2</v>
      </c>
      <c r="BB297" s="22">
        <v>287</v>
      </c>
      <c r="BC297" s="22">
        <v>1.3443000000000001</v>
      </c>
      <c r="BD297">
        <f t="shared" si="58"/>
        <v>16.302469135802468</v>
      </c>
      <c r="BE297">
        <f t="shared" si="59"/>
        <v>21.930244506172837</v>
      </c>
    </row>
    <row r="298" spans="6:57">
      <c r="F298" s="9"/>
      <c r="G298" s="22">
        <v>0.36987300000000001</v>
      </c>
      <c r="H298" s="22">
        <v>8.2247800000000009</v>
      </c>
      <c r="I298" s="22">
        <v>-1.39557E-2</v>
      </c>
      <c r="J298" s="22">
        <v>288</v>
      </c>
      <c r="K298" s="22">
        <v>0.36926300000000001</v>
      </c>
      <c r="L298">
        <f t="shared" si="48"/>
        <v>17.229259259259258</v>
      </c>
      <c r="M298">
        <f t="shared" si="49"/>
        <v>6.3726378099999996</v>
      </c>
      <c r="N298" s="9"/>
      <c r="O298" s="22">
        <v>1.35025</v>
      </c>
      <c r="P298" s="22">
        <v>12.084300000000001</v>
      </c>
      <c r="Q298" s="22">
        <v>-1.33057E-2</v>
      </c>
      <c r="R298" s="22">
        <v>288</v>
      </c>
      <c r="S298" s="22">
        <v>1.34918</v>
      </c>
      <c r="T298">
        <f t="shared" si="50"/>
        <v>16.42679012345679</v>
      </c>
      <c r="U298">
        <f t="shared" si="51"/>
        <v>22.180273364197529</v>
      </c>
      <c r="X298" s="9"/>
      <c r="Y298" s="22">
        <v>0.36987300000000001</v>
      </c>
      <c r="Z298" s="22">
        <v>17.669</v>
      </c>
      <c r="AA298" s="22">
        <v>-1.39557E-2</v>
      </c>
      <c r="AB298" s="22">
        <v>288</v>
      </c>
      <c r="AC298" s="22">
        <v>0.369232</v>
      </c>
      <c r="AD298">
        <f t="shared" si="52"/>
        <v>17.229259259259258</v>
      </c>
      <c r="AE298">
        <f t="shared" si="53"/>
        <v>6.3726378099999996</v>
      </c>
      <c r="AF298" s="9"/>
      <c r="AG298" s="22">
        <v>1.35025</v>
      </c>
      <c r="AH298" s="22">
        <v>21.528500000000001</v>
      </c>
      <c r="AI298" s="22">
        <v>-1.3229400000000001E-2</v>
      </c>
      <c r="AJ298" s="22">
        <v>288</v>
      </c>
      <c r="AK298" s="22">
        <v>1.3494900000000001</v>
      </c>
      <c r="AL298">
        <f t="shared" si="54"/>
        <v>16.332592592592594</v>
      </c>
      <c r="AM298">
        <f t="shared" si="55"/>
        <v>22.053083148148147</v>
      </c>
      <c r="AP298" s="9"/>
      <c r="AQ298" s="22">
        <v>0.36987300000000001</v>
      </c>
      <c r="AR298" s="22">
        <v>26.9742</v>
      </c>
      <c r="AS298" s="22">
        <v>-1.39404E-2</v>
      </c>
      <c r="AT298" s="22">
        <v>288</v>
      </c>
      <c r="AU298" s="22">
        <v>0.36929299999999998</v>
      </c>
      <c r="AV298">
        <f t="shared" si="56"/>
        <v>17.21037037037037</v>
      </c>
      <c r="AW298">
        <f t="shared" si="57"/>
        <v>6.3656513200000004</v>
      </c>
      <c r="AX298" s="9"/>
      <c r="AY298" s="22">
        <v>1.35025</v>
      </c>
      <c r="AZ298" s="22">
        <v>30.8337</v>
      </c>
      <c r="BA298" s="22">
        <v>-1.3195800000000001E-2</v>
      </c>
      <c r="BB298" s="22">
        <v>288</v>
      </c>
      <c r="BC298" s="22">
        <v>1.34918</v>
      </c>
      <c r="BD298">
        <f t="shared" si="58"/>
        <v>16.29111111111111</v>
      </c>
      <c r="BE298">
        <f t="shared" si="59"/>
        <v>21.997072777777777</v>
      </c>
    </row>
    <row r="299" spans="6:57">
      <c r="F299" s="9"/>
      <c r="G299" s="22">
        <v>0.364838</v>
      </c>
      <c r="H299" s="22">
        <v>8.2348499999999998</v>
      </c>
      <c r="I299" s="22">
        <v>-1.3952600000000001E-2</v>
      </c>
      <c r="J299" s="22">
        <v>289</v>
      </c>
      <c r="K299" s="22">
        <v>0.364319</v>
      </c>
      <c r="L299">
        <f t="shared" si="48"/>
        <v>17.225432098765431</v>
      </c>
      <c r="M299">
        <f t="shared" si="49"/>
        <v>6.2844921960493823</v>
      </c>
      <c r="N299" s="9"/>
      <c r="O299" s="22">
        <v>1.3552900000000001</v>
      </c>
      <c r="P299" s="22">
        <v>12.0943</v>
      </c>
      <c r="Q299" s="22">
        <v>-1.3290400000000001E-2</v>
      </c>
      <c r="R299" s="22">
        <v>289</v>
      </c>
      <c r="S299" s="22">
        <v>1.3537600000000001</v>
      </c>
      <c r="T299">
        <f t="shared" si="50"/>
        <v>16.407901234567902</v>
      </c>
      <c r="U299">
        <f t="shared" si="51"/>
        <v>22.237464464197533</v>
      </c>
      <c r="X299" s="9"/>
      <c r="Y299" s="22">
        <v>0.364838</v>
      </c>
      <c r="Z299" s="22">
        <v>17.679099999999998</v>
      </c>
      <c r="AA299" s="22">
        <v>-1.39496E-2</v>
      </c>
      <c r="AB299" s="22">
        <v>289</v>
      </c>
      <c r="AC299" s="22">
        <v>0.364288</v>
      </c>
      <c r="AD299">
        <f t="shared" si="52"/>
        <v>17.221728395061724</v>
      </c>
      <c r="AE299">
        <f t="shared" si="53"/>
        <v>6.2831409441975294</v>
      </c>
      <c r="AF299" s="9"/>
      <c r="AG299" s="22">
        <v>1.3552900000000001</v>
      </c>
      <c r="AH299" s="22">
        <v>21.538499999999999</v>
      </c>
      <c r="AI299" s="22">
        <v>-1.32202E-2</v>
      </c>
      <c r="AJ299" s="22">
        <v>289</v>
      </c>
      <c r="AK299" s="22">
        <v>1.35406</v>
      </c>
      <c r="AL299">
        <f t="shared" si="54"/>
        <v>16.321234567901232</v>
      </c>
      <c r="AM299">
        <f t="shared" si="55"/>
        <v>22.120005997530864</v>
      </c>
      <c r="AP299" s="9"/>
      <c r="AQ299" s="22">
        <v>0.364838</v>
      </c>
      <c r="AR299" s="22">
        <v>26.984300000000001</v>
      </c>
      <c r="AS299" s="22">
        <v>-1.39343E-2</v>
      </c>
      <c r="AT299" s="22">
        <v>289</v>
      </c>
      <c r="AU299" s="22">
        <v>0.364319</v>
      </c>
      <c r="AV299">
        <f t="shared" si="56"/>
        <v>17.202839506172836</v>
      </c>
      <c r="AW299">
        <f t="shared" si="57"/>
        <v>6.2762495597530847</v>
      </c>
      <c r="AX299" s="9"/>
      <c r="AY299" s="22">
        <v>1.3552900000000001</v>
      </c>
      <c r="AZ299" s="22">
        <v>30.843800000000002</v>
      </c>
      <c r="BA299" s="22">
        <v>-1.31836E-2</v>
      </c>
      <c r="BB299" s="22">
        <v>289</v>
      </c>
      <c r="BC299" s="22">
        <v>1.3537600000000001</v>
      </c>
      <c r="BD299">
        <f t="shared" si="58"/>
        <v>16.276049382716046</v>
      </c>
      <c r="BE299">
        <f t="shared" si="59"/>
        <v>22.058766967901231</v>
      </c>
    </row>
    <row r="300" spans="6:57">
      <c r="F300" s="9"/>
      <c r="G300" s="22">
        <v>0.35980200000000001</v>
      </c>
      <c r="H300" s="22">
        <v>8.2449200000000005</v>
      </c>
      <c r="I300" s="22">
        <v>-1.39496E-2</v>
      </c>
      <c r="J300" s="22">
        <v>290</v>
      </c>
      <c r="K300" s="22">
        <v>0.35913099999999998</v>
      </c>
      <c r="L300">
        <f t="shared" si="48"/>
        <v>17.221728395061724</v>
      </c>
      <c r="M300">
        <f t="shared" si="49"/>
        <v>6.1964123199999985</v>
      </c>
      <c r="N300" s="9"/>
      <c r="O300" s="22">
        <v>1.36032</v>
      </c>
      <c r="P300" s="22">
        <v>12.1044</v>
      </c>
      <c r="Q300" s="22">
        <v>-1.3266E-2</v>
      </c>
      <c r="R300" s="22">
        <v>290</v>
      </c>
      <c r="S300" s="22">
        <v>1.3598600000000001</v>
      </c>
      <c r="T300">
        <f t="shared" si="50"/>
        <v>16.377777777777776</v>
      </c>
      <c r="U300">
        <f t="shared" si="51"/>
        <v>22.279018666666666</v>
      </c>
      <c r="X300" s="9"/>
      <c r="Y300" s="22">
        <v>0.35980200000000001</v>
      </c>
      <c r="Z300" s="22">
        <v>17.6891</v>
      </c>
      <c r="AA300" s="22">
        <v>-1.3958699999999999E-2</v>
      </c>
      <c r="AB300" s="22">
        <v>290</v>
      </c>
      <c r="AC300" s="22">
        <v>0.35928300000000002</v>
      </c>
      <c r="AD300">
        <f t="shared" si="52"/>
        <v>17.232962962962961</v>
      </c>
      <c r="AE300">
        <f t="shared" si="53"/>
        <v>6.20045454</v>
      </c>
      <c r="AF300" s="9"/>
      <c r="AG300" s="22">
        <v>1.36032</v>
      </c>
      <c r="AH300" s="22">
        <v>21.5486</v>
      </c>
      <c r="AI300" s="22">
        <v>-1.3214099999999999E-2</v>
      </c>
      <c r="AJ300" s="22">
        <v>290</v>
      </c>
      <c r="AK300" s="22">
        <v>1.3592500000000001</v>
      </c>
      <c r="AL300">
        <f t="shared" si="54"/>
        <v>16.313703703703702</v>
      </c>
      <c r="AM300">
        <f t="shared" si="55"/>
        <v>22.19185742222222</v>
      </c>
      <c r="AP300" s="9"/>
      <c r="AQ300" s="22">
        <v>0.35980200000000001</v>
      </c>
      <c r="AR300" s="22">
        <v>26.994399999999999</v>
      </c>
      <c r="AS300" s="22">
        <v>-1.39404E-2</v>
      </c>
      <c r="AT300" s="22">
        <v>290</v>
      </c>
      <c r="AU300" s="22">
        <v>0.35922199999999999</v>
      </c>
      <c r="AV300">
        <f t="shared" si="56"/>
        <v>17.21037037037037</v>
      </c>
      <c r="AW300">
        <f t="shared" si="57"/>
        <v>6.1923256799999997</v>
      </c>
      <c r="AX300" s="9"/>
      <c r="AY300" s="22">
        <v>1.36032</v>
      </c>
      <c r="AZ300" s="22">
        <v>30.8538</v>
      </c>
      <c r="BA300" s="22">
        <v>-1.31714E-2</v>
      </c>
      <c r="BB300" s="22">
        <v>290</v>
      </c>
      <c r="BC300" s="22">
        <v>1.3592500000000001</v>
      </c>
      <c r="BD300">
        <f t="shared" si="58"/>
        <v>16.260987654320989</v>
      </c>
      <c r="BE300">
        <f t="shared" si="59"/>
        <v>22.120146725925927</v>
      </c>
    </row>
    <row r="301" spans="6:57">
      <c r="F301" s="9"/>
      <c r="G301" s="22">
        <v>0.354767</v>
      </c>
      <c r="H301" s="22">
        <v>8.2549899999999994</v>
      </c>
      <c r="I301" s="22">
        <v>-1.39557E-2</v>
      </c>
      <c r="J301" s="22">
        <v>291</v>
      </c>
      <c r="K301" s="22">
        <v>0.35418699999999997</v>
      </c>
      <c r="L301">
        <f t="shared" si="48"/>
        <v>17.229259259259258</v>
      </c>
      <c r="M301">
        <f t="shared" si="49"/>
        <v>6.1123726196296291</v>
      </c>
      <c r="N301" s="9"/>
      <c r="O301" s="22">
        <v>1.3653599999999999</v>
      </c>
      <c r="P301" s="22">
        <v>12.1145</v>
      </c>
      <c r="Q301" s="22">
        <v>-1.32538E-2</v>
      </c>
      <c r="R301" s="22">
        <v>291</v>
      </c>
      <c r="S301" s="22">
        <v>1.3644400000000001</v>
      </c>
      <c r="T301">
        <f t="shared" si="50"/>
        <v>16.362716049382716</v>
      </c>
      <c r="U301">
        <f t="shared" si="51"/>
        <v>22.340997985185183</v>
      </c>
      <c r="X301" s="9"/>
      <c r="Y301" s="22">
        <v>0.354767</v>
      </c>
      <c r="Z301" s="22">
        <v>17.699200000000001</v>
      </c>
      <c r="AA301" s="22">
        <v>-1.3964799999999999E-2</v>
      </c>
      <c r="AB301" s="22">
        <v>291</v>
      </c>
      <c r="AC301" s="22">
        <v>0.35418699999999997</v>
      </c>
      <c r="AD301">
        <f t="shared" si="52"/>
        <v>17.240493827160492</v>
      </c>
      <c r="AE301">
        <f t="shared" si="53"/>
        <v>6.1163582735802464</v>
      </c>
      <c r="AF301" s="9"/>
      <c r="AG301" s="22">
        <v>1.3653599999999999</v>
      </c>
      <c r="AH301" s="22">
        <v>21.558700000000002</v>
      </c>
      <c r="AI301" s="22">
        <v>-1.3207999999999999E-2</v>
      </c>
      <c r="AJ301" s="22">
        <v>291</v>
      </c>
      <c r="AK301" s="22">
        <v>1.3641399999999999</v>
      </c>
      <c r="AL301">
        <f t="shared" si="54"/>
        <v>16.306172839506171</v>
      </c>
      <c r="AM301">
        <f t="shared" si="55"/>
        <v>22.263796148148145</v>
      </c>
      <c r="AP301" s="9"/>
      <c r="AQ301" s="22">
        <v>0.354767</v>
      </c>
      <c r="AR301" s="22">
        <v>27.0044</v>
      </c>
      <c r="AS301" s="22">
        <v>-1.3943499999999999E-2</v>
      </c>
      <c r="AT301" s="22">
        <v>291</v>
      </c>
      <c r="AU301" s="22">
        <v>0.35424800000000001</v>
      </c>
      <c r="AV301">
        <f t="shared" si="56"/>
        <v>17.214197530864197</v>
      </c>
      <c r="AW301">
        <f t="shared" si="57"/>
        <v>6.1070292154320986</v>
      </c>
      <c r="AX301" s="9"/>
      <c r="AY301" s="22">
        <v>1.3653599999999999</v>
      </c>
      <c r="AZ301" s="22">
        <v>30.863900000000001</v>
      </c>
      <c r="BA301" s="22">
        <v>-1.3159199999999999E-2</v>
      </c>
      <c r="BB301" s="22">
        <v>291</v>
      </c>
      <c r="BC301" s="22">
        <v>1.3644400000000001</v>
      </c>
      <c r="BD301">
        <f t="shared" si="58"/>
        <v>16.245925925925924</v>
      </c>
      <c r="BE301">
        <f t="shared" si="59"/>
        <v>22.181537422222217</v>
      </c>
    </row>
    <row r="302" spans="6:57">
      <c r="F302" s="9"/>
      <c r="G302" s="22">
        <v>0.34973100000000001</v>
      </c>
      <c r="H302" s="22">
        <v>8.2650600000000001</v>
      </c>
      <c r="I302" s="22">
        <v>-1.39618E-2</v>
      </c>
      <c r="J302" s="22">
        <v>292</v>
      </c>
      <c r="K302" s="22">
        <v>0.34912100000000001</v>
      </c>
      <c r="L302">
        <f t="shared" si="48"/>
        <v>17.236790123456789</v>
      </c>
      <c r="M302">
        <f t="shared" si="49"/>
        <v>6.0282398466666667</v>
      </c>
      <c r="N302" s="9"/>
      <c r="O302" s="22">
        <v>1.37039</v>
      </c>
      <c r="P302" s="22">
        <v>12.124499999999999</v>
      </c>
      <c r="Q302" s="22">
        <v>-1.32385E-2</v>
      </c>
      <c r="R302" s="22">
        <v>292</v>
      </c>
      <c r="S302" s="22">
        <v>1.3699300000000001</v>
      </c>
      <c r="T302">
        <f t="shared" si="50"/>
        <v>16.343827160493824</v>
      </c>
      <c r="U302">
        <f t="shared" si="51"/>
        <v>22.39741730246913</v>
      </c>
      <c r="X302" s="9"/>
      <c r="Y302" s="22">
        <v>0.34973100000000001</v>
      </c>
      <c r="Z302" s="22">
        <v>17.709299999999999</v>
      </c>
      <c r="AA302" s="22">
        <v>-1.3958699999999999E-2</v>
      </c>
      <c r="AB302" s="22">
        <v>292</v>
      </c>
      <c r="AC302" s="22">
        <v>0.34909099999999998</v>
      </c>
      <c r="AD302">
        <f t="shared" si="52"/>
        <v>17.232962962962961</v>
      </c>
      <c r="AE302">
        <f t="shared" si="53"/>
        <v>6.02690137</v>
      </c>
      <c r="AF302" s="9"/>
      <c r="AG302" s="22">
        <v>1.37039</v>
      </c>
      <c r="AH302" s="22">
        <v>21.5687</v>
      </c>
      <c r="AI302" s="22">
        <v>-1.31897E-2</v>
      </c>
      <c r="AJ302" s="22">
        <v>292</v>
      </c>
      <c r="AK302" s="22">
        <v>1.3690199999999999</v>
      </c>
      <c r="AL302">
        <f t="shared" si="54"/>
        <v>16.28358024691358</v>
      </c>
      <c r="AM302">
        <f t="shared" si="55"/>
        <v>22.314855534567901</v>
      </c>
      <c r="AP302" s="9"/>
      <c r="AQ302" s="22">
        <v>0.34973100000000001</v>
      </c>
      <c r="AR302" s="22">
        <v>27.014500000000002</v>
      </c>
      <c r="AS302" s="22">
        <v>-1.39496E-2</v>
      </c>
      <c r="AT302" s="22">
        <v>292</v>
      </c>
      <c r="AU302" s="22">
        <v>0.34915200000000002</v>
      </c>
      <c r="AV302">
        <f t="shared" si="56"/>
        <v>17.221728395061724</v>
      </c>
      <c r="AW302">
        <f t="shared" si="57"/>
        <v>6.0229722933333321</v>
      </c>
      <c r="AX302" s="9"/>
      <c r="AY302" s="22">
        <v>1.37039</v>
      </c>
      <c r="AZ302" s="22">
        <v>30.873999999999999</v>
      </c>
      <c r="BA302" s="22">
        <v>-1.31439E-2</v>
      </c>
      <c r="BB302" s="22">
        <v>292</v>
      </c>
      <c r="BC302" s="22">
        <v>1.3699300000000001</v>
      </c>
      <c r="BD302">
        <f t="shared" si="58"/>
        <v>16.227037037037036</v>
      </c>
      <c r="BE302">
        <f t="shared" si="59"/>
        <v>22.237369285185185</v>
      </c>
    </row>
    <row r="303" spans="6:57">
      <c r="F303" s="9"/>
      <c r="G303" s="22">
        <v>0.344696</v>
      </c>
      <c r="H303" s="22">
        <v>8.2751300000000008</v>
      </c>
      <c r="I303" s="22">
        <v>-1.39679E-2</v>
      </c>
      <c r="J303" s="22">
        <v>293</v>
      </c>
      <c r="K303" s="22">
        <v>0.344055</v>
      </c>
      <c r="L303">
        <f t="shared" si="48"/>
        <v>17.244320987654319</v>
      </c>
      <c r="M303">
        <f t="shared" si="49"/>
        <v>5.944048467160493</v>
      </c>
      <c r="N303" s="9"/>
      <c r="O303" s="22">
        <v>1.3754299999999999</v>
      </c>
      <c r="P303" s="22">
        <v>12.134600000000001</v>
      </c>
      <c r="Q303" s="22">
        <v>-1.32233E-2</v>
      </c>
      <c r="R303" s="22">
        <v>293</v>
      </c>
      <c r="S303" s="22">
        <v>1.3751199999999999</v>
      </c>
      <c r="T303">
        <f t="shared" si="50"/>
        <v>16.32506172839506</v>
      </c>
      <c r="U303">
        <f t="shared" si="51"/>
        <v>22.453979653086417</v>
      </c>
      <c r="X303" s="9"/>
      <c r="Y303" s="22">
        <v>0.344696</v>
      </c>
      <c r="Z303" s="22">
        <v>17.7193</v>
      </c>
      <c r="AA303" s="22">
        <v>-1.3964799999999999E-2</v>
      </c>
      <c r="AB303" s="22">
        <v>293</v>
      </c>
      <c r="AC303" s="22">
        <v>0.34411599999999998</v>
      </c>
      <c r="AD303">
        <f t="shared" si="52"/>
        <v>17.240493827160492</v>
      </c>
      <c r="AE303">
        <f t="shared" si="53"/>
        <v>5.9427292602469128</v>
      </c>
      <c r="AF303" s="9"/>
      <c r="AG303" s="22">
        <v>1.3754299999999999</v>
      </c>
      <c r="AH303" s="22">
        <v>21.578800000000001</v>
      </c>
      <c r="AI303" s="22">
        <v>-1.31714E-2</v>
      </c>
      <c r="AJ303" s="22">
        <v>293</v>
      </c>
      <c r="AK303" s="22">
        <v>1.3745099999999999</v>
      </c>
      <c r="AL303">
        <f t="shared" si="54"/>
        <v>16.260987654320989</v>
      </c>
      <c r="AM303">
        <f t="shared" si="55"/>
        <v>22.365850249382717</v>
      </c>
      <c r="AP303" s="9"/>
      <c r="AQ303" s="22">
        <v>0.344696</v>
      </c>
      <c r="AR303" s="22">
        <v>27.0246</v>
      </c>
      <c r="AS303" s="22">
        <v>-1.39557E-2</v>
      </c>
      <c r="AT303" s="22">
        <v>293</v>
      </c>
      <c r="AU303" s="22">
        <v>0.344086</v>
      </c>
      <c r="AV303">
        <f t="shared" si="56"/>
        <v>17.229259259259258</v>
      </c>
      <c r="AW303">
        <f t="shared" si="57"/>
        <v>5.938856749629629</v>
      </c>
      <c r="AX303" s="9"/>
      <c r="AY303" s="22">
        <v>1.3754299999999999</v>
      </c>
      <c r="AZ303" s="22">
        <v>30.884</v>
      </c>
      <c r="BA303" s="22">
        <v>-1.31317E-2</v>
      </c>
      <c r="BB303" s="22">
        <v>293</v>
      </c>
      <c r="BC303" s="22">
        <v>1.3748199999999999</v>
      </c>
      <c r="BD303">
        <f t="shared" si="58"/>
        <v>16.211975308641971</v>
      </c>
      <c r="BE303">
        <f t="shared" si="59"/>
        <v>22.298437198765427</v>
      </c>
    </row>
    <row r="304" spans="6:57">
      <c r="F304" s="9"/>
      <c r="G304" s="22">
        <v>0.33966099999999999</v>
      </c>
      <c r="H304" s="22">
        <v>8.2851999999999997</v>
      </c>
      <c r="I304" s="22">
        <v>-1.3974E-2</v>
      </c>
      <c r="J304" s="22">
        <v>294</v>
      </c>
      <c r="K304" s="22">
        <v>0.339111</v>
      </c>
      <c r="L304">
        <f t="shared" si="48"/>
        <v>17.251851851851853</v>
      </c>
      <c r="M304">
        <f t="shared" si="49"/>
        <v>5.8597812518518522</v>
      </c>
      <c r="N304" s="9"/>
      <c r="O304" s="22">
        <v>1.38046</v>
      </c>
      <c r="P304" s="22">
        <v>12.1447</v>
      </c>
      <c r="Q304" s="22">
        <v>-1.3201900000000001E-2</v>
      </c>
      <c r="R304" s="22">
        <v>294</v>
      </c>
      <c r="S304" s="22">
        <v>1.3796999999999999</v>
      </c>
      <c r="T304">
        <f t="shared" si="50"/>
        <v>16.298641975308641</v>
      </c>
      <c r="U304">
        <f t="shared" si="51"/>
        <v>22.499623301234568</v>
      </c>
      <c r="X304" s="9"/>
      <c r="Y304" s="22">
        <v>0.33966099999999999</v>
      </c>
      <c r="Z304" s="22">
        <v>17.729399999999998</v>
      </c>
      <c r="AA304" s="22">
        <v>-1.3964799999999999E-2</v>
      </c>
      <c r="AB304" s="22">
        <v>294</v>
      </c>
      <c r="AC304" s="22">
        <v>0.33905000000000002</v>
      </c>
      <c r="AD304">
        <f t="shared" si="52"/>
        <v>17.240493827160492</v>
      </c>
      <c r="AE304">
        <f t="shared" si="53"/>
        <v>5.8559233738271601</v>
      </c>
      <c r="AF304" s="9"/>
      <c r="AG304" s="22">
        <v>1.38046</v>
      </c>
      <c r="AH304" s="22">
        <v>21.588899999999999</v>
      </c>
      <c r="AI304" s="22">
        <v>-1.31561E-2</v>
      </c>
      <c r="AJ304" s="22">
        <v>294</v>
      </c>
      <c r="AK304" s="22">
        <v>1.3793899999999999</v>
      </c>
      <c r="AL304">
        <f t="shared" si="54"/>
        <v>16.2420987654321</v>
      </c>
      <c r="AM304">
        <f t="shared" si="55"/>
        <v>22.421567661728396</v>
      </c>
      <c r="AP304" s="9"/>
      <c r="AQ304" s="22">
        <v>0.33966099999999999</v>
      </c>
      <c r="AR304" s="22">
        <v>27.034600000000001</v>
      </c>
      <c r="AS304" s="22">
        <v>-1.39618E-2</v>
      </c>
      <c r="AT304" s="22">
        <v>294</v>
      </c>
      <c r="AU304" s="22">
        <v>0.33908100000000002</v>
      </c>
      <c r="AV304">
        <f t="shared" si="56"/>
        <v>17.236790123456789</v>
      </c>
      <c r="AW304">
        <f t="shared" si="57"/>
        <v>5.8546653701234561</v>
      </c>
      <c r="AX304" s="9"/>
      <c r="AY304" s="22">
        <v>1.38046</v>
      </c>
      <c r="AZ304" s="22">
        <v>30.894100000000002</v>
      </c>
      <c r="BA304" s="22">
        <v>-1.31226E-2</v>
      </c>
      <c r="BB304" s="22">
        <v>294</v>
      </c>
      <c r="BC304" s="22">
        <v>1.3803099999999999</v>
      </c>
      <c r="BD304">
        <f t="shared" si="58"/>
        <v>16.200740740740741</v>
      </c>
      <c r="BE304">
        <f t="shared" si="59"/>
        <v>22.364474562962965</v>
      </c>
    </row>
    <row r="305" spans="6:57">
      <c r="F305" s="9"/>
      <c r="G305" s="22">
        <v>0.33462500000000001</v>
      </c>
      <c r="H305" s="22">
        <v>8.2952700000000004</v>
      </c>
      <c r="I305" s="22">
        <v>-1.39709E-2</v>
      </c>
      <c r="J305" s="22">
        <v>295</v>
      </c>
      <c r="K305" s="22">
        <v>0.33401500000000001</v>
      </c>
      <c r="L305">
        <f t="shared" si="48"/>
        <v>17.248024691358022</v>
      </c>
      <c r="M305">
        <f t="shared" si="49"/>
        <v>5.771620262345678</v>
      </c>
      <c r="N305" s="9"/>
      <c r="O305" s="22">
        <v>1.3855</v>
      </c>
      <c r="P305" s="22">
        <v>12.1547</v>
      </c>
      <c r="Q305" s="22">
        <v>-1.31836E-2</v>
      </c>
      <c r="R305" s="22">
        <v>295</v>
      </c>
      <c r="S305" s="22">
        <v>1.38428</v>
      </c>
      <c r="T305">
        <f t="shared" si="50"/>
        <v>16.276049382716046</v>
      </c>
      <c r="U305">
        <f t="shared" si="51"/>
        <v>22.550466419753082</v>
      </c>
      <c r="X305" s="9"/>
      <c r="Y305" s="22">
        <v>0.33462500000000001</v>
      </c>
      <c r="Z305" s="22">
        <v>17.7395</v>
      </c>
      <c r="AA305" s="22">
        <v>-1.3964799999999999E-2</v>
      </c>
      <c r="AB305" s="22">
        <v>295</v>
      </c>
      <c r="AC305" s="22">
        <v>0.33404499999999998</v>
      </c>
      <c r="AD305">
        <f t="shared" si="52"/>
        <v>17.240493827160492</v>
      </c>
      <c r="AE305">
        <f t="shared" si="53"/>
        <v>5.7691002469135801</v>
      </c>
      <c r="AF305" s="9"/>
      <c r="AG305" s="22">
        <v>1.3855</v>
      </c>
      <c r="AH305" s="22">
        <v>21.599</v>
      </c>
      <c r="AI305" s="22">
        <v>-1.31409E-2</v>
      </c>
      <c r="AJ305" s="22">
        <v>295</v>
      </c>
      <c r="AK305" s="22">
        <v>1.3845799999999999</v>
      </c>
      <c r="AL305">
        <f t="shared" si="54"/>
        <v>16.223333333333333</v>
      </c>
      <c r="AM305">
        <f t="shared" si="55"/>
        <v>22.477428333333332</v>
      </c>
      <c r="AP305" s="9"/>
      <c r="AQ305" s="22">
        <v>0.33462500000000001</v>
      </c>
      <c r="AR305" s="22">
        <v>27.044699999999999</v>
      </c>
      <c r="AS305" s="22">
        <v>-1.39709E-2</v>
      </c>
      <c r="AT305" s="22">
        <v>295</v>
      </c>
      <c r="AU305" s="22">
        <v>0.33410600000000001</v>
      </c>
      <c r="AV305">
        <f t="shared" si="56"/>
        <v>17.248024691358022</v>
      </c>
      <c r="AW305">
        <f t="shared" si="57"/>
        <v>5.771620262345678</v>
      </c>
      <c r="AX305" s="9"/>
      <c r="AY305" s="22">
        <v>1.3855</v>
      </c>
      <c r="AZ305" s="22">
        <v>30.904199999999999</v>
      </c>
      <c r="BA305" s="22">
        <v>-1.31042E-2</v>
      </c>
      <c r="BB305" s="22">
        <v>295</v>
      </c>
      <c r="BC305" s="22">
        <v>1.38489</v>
      </c>
      <c r="BD305">
        <f t="shared" si="58"/>
        <v>16.178024691358022</v>
      </c>
      <c r="BE305">
        <f t="shared" si="59"/>
        <v>22.414653209876541</v>
      </c>
    </row>
    <row r="306" spans="6:57">
      <c r="F306" s="9"/>
      <c r="G306" s="22">
        <v>0.32958999999999999</v>
      </c>
      <c r="H306" s="22">
        <v>8.3053500000000007</v>
      </c>
      <c r="I306" s="22">
        <v>-1.3977099999999999E-2</v>
      </c>
      <c r="J306" s="22">
        <v>296</v>
      </c>
      <c r="K306" s="22">
        <v>0.32904099999999997</v>
      </c>
      <c r="L306">
        <f t="shared" si="48"/>
        <v>17.255679012345677</v>
      </c>
      <c r="M306">
        <f t="shared" si="49"/>
        <v>5.6872992456790117</v>
      </c>
      <c r="N306" s="9"/>
      <c r="O306" s="22">
        <v>1.39053</v>
      </c>
      <c r="P306" s="22">
        <v>12.1648</v>
      </c>
      <c r="Q306" s="22">
        <v>-1.3159199999999999E-2</v>
      </c>
      <c r="R306" s="22">
        <v>296</v>
      </c>
      <c r="S306" s="22">
        <v>1.38947</v>
      </c>
      <c r="T306">
        <f t="shared" si="50"/>
        <v>16.245925925925924</v>
      </c>
      <c r="U306">
        <f t="shared" si="51"/>
        <v>22.590447377777775</v>
      </c>
      <c r="X306" s="9"/>
      <c r="Y306" s="22">
        <v>0.32958999999999999</v>
      </c>
      <c r="Z306" s="22">
        <v>17.749600000000001</v>
      </c>
      <c r="AA306" s="22">
        <v>-1.39709E-2</v>
      </c>
      <c r="AB306" s="22">
        <v>296</v>
      </c>
      <c r="AC306" s="22">
        <v>0.32897900000000002</v>
      </c>
      <c r="AD306">
        <f t="shared" si="52"/>
        <v>17.248024691358022</v>
      </c>
      <c r="AE306">
        <f t="shared" si="53"/>
        <v>5.6847764580246904</v>
      </c>
      <c r="AF306" s="9"/>
      <c r="AG306" s="22">
        <v>1.39053</v>
      </c>
      <c r="AH306" s="22">
        <v>21.609000000000002</v>
      </c>
      <c r="AI306" s="22">
        <v>-1.3125599999999999E-2</v>
      </c>
      <c r="AJ306" s="22">
        <v>296</v>
      </c>
      <c r="AK306" s="22">
        <v>1.38947</v>
      </c>
      <c r="AL306">
        <f t="shared" si="54"/>
        <v>16.204444444444441</v>
      </c>
      <c r="AM306">
        <f t="shared" si="55"/>
        <v>22.532766133333329</v>
      </c>
      <c r="AP306" s="9"/>
      <c r="AQ306" s="22">
        <v>0.32958999999999999</v>
      </c>
      <c r="AR306" s="22">
        <v>27.0548</v>
      </c>
      <c r="AS306" s="22">
        <v>-1.39679E-2</v>
      </c>
      <c r="AT306" s="22">
        <v>296</v>
      </c>
      <c r="AU306" s="22">
        <v>0.32894899999999999</v>
      </c>
      <c r="AV306">
        <f t="shared" si="56"/>
        <v>17.244320987654319</v>
      </c>
      <c r="AW306">
        <f t="shared" si="57"/>
        <v>5.6835557543209871</v>
      </c>
      <c r="AX306" s="9"/>
      <c r="AY306" s="22">
        <v>1.39053</v>
      </c>
      <c r="AZ306" s="22">
        <v>30.914300000000001</v>
      </c>
      <c r="BA306" s="22">
        <v>-1.3089E-2</v>
      </c>
      <c r="BB306" s="22">
        <v>296</v>
      </c>
      <c r="BC306" s="22">
        <v>1.3897699999999999</v>
      </c>
      <c r="BD306">
        <f t="shared" si="58"/>
        <v>16.159259259259258</v>
      </c>
      <c r="BE306">
        <f t="shared" si="59"/>
        <v>22.469934777777777</v>
      </c>
    </row>
    <row r="307" spans="6:57">
      <c r="F307" s="9"/>
      <c r="G307" s="22">
        <v>0.32455400000000001</v>
      </c>
      <c r="H307" s="22">
        <v>8.3154199999999996</v>
      </c>
      <c r="I307" s="22">
        <v>-1.3977099999999999E-2</v>
      </c>
      <c r="J307" s="22">
        <v>297</v>
      </c>
      <c r="K307" s="22">
        <v>0.32397500000000001</v>
      </c>
      <c r="L307">
        <f t="shared" si="48"/>
        <v>17.255679012345677</v>
      </c>
      <c r="M307">
        <f t="shared" si="49"/>
        <v>5.6003996461728391</v>
      </c>
      <c r="N307" s="9"/>
      <c r="O307" s="22">
        <v>1.39557</v>
      </c>
      <c r="P307" s="22">
        <v>12.174899999999999</v>
      </c>
      <c r="Q307" s="22">
        <v>-1.31439E-2</v>
      </c>
      <c r="R307" s="22">
        <v>297</v>
      </c>
      <c r="S307" s="22">
        <v>1.3952599999999999</v>
      </c>
      <c r="T307">
        <f t="shared" si="50"/>
        <v>16.227037037037036</v>
      </c>
      <c r="U307">
        <f t="shared" si="51"/>
        <v>22.645966077777775</v>
      </c>
      <c r="X307" s="9"/>
      <c r="Y307" s="22">
        <v>0.32455400000000001</v>
      </c>
      <c r="Z307" s="22">
        <v>17.759599999999999</v>
      </c>
      <c r="AA307" s="22">
        <v>-1.39893E-2</v>
      </c>
      <c r="AB307" s="22">
        <v>297</v>
      </c>
      <c r="AC307" s="22">
        <v>0.32400499999999999</v>
      </c>
      <c r="AD307">
        <f t="shared" si="52"/>
        <v>17.270740740740738</v>
      </c>
      <c r="AE307">
        <f t="shared" si="53"/>
        <v>5.6052879903703694</v>
      </c>
      <c r="AF307" s="9"/>
      <c r="AG307" s="22">
        <v>1.39557</v>
      </c>
      <c r="AH307" s="22">
        <v>21.6191</v>
      </c>
      <c r="AI307" s="22">
        <v>-1.3107300000000001E-2</v>
      </c>
      <c r="AJ307" s="22">
        <v>297</v>
      </c>
      <c r="AK307" s="22">
        <v>1.3946499999999999</v>
      </c>
      <c r="AL307">
        <f t="shared" si="54"/>
        <v>16.181851851851849</v>
      </c>
      <c r="AM307">
        <f t="shared" si="55"/>
        <v>22.582906988888887</v>
      </c>
      <c r="AP307" s="9"/>
      <c r="AQ307" s="22">
        <v>0.32455400000000001</v>
      </c>
      <c r="AR307" s="22">
        <v>27.064900000000002</v>
      </c>
      <c r="AS307" s="22">
        <v>-1.39709E-2</v>
      </c>
      <c r="AT307" s="22">
        <v>297</v>
      </c>
      <c r="AU307" s="22">
        <v>0.32397500000000001</v>
      </c>
      <c r="AV307">
        <f t="shared" si="56"/>
        <v>17.248024691358022</v>
      </c>
      <c r="AW307">
        <f t="shared" si="57"/>
        <v>5.5979154056790117</v>
      </c>
      <c r="AX307" s="9"/>
      <c r="AY307" s="22">
        <v>1.39557</v>
      </c>
      <c r="AZ307" s="22">
        <v>30.924299999999999</v>
      </c>
      <c r="BA307" s="22">
        <v>-1.30676E-2</v>
      </c>
      <c r="BB307" s="22">
        <v>297</v>
      </c>
      <c r="BC307" s="22">
        <v>1.3946499999999999</v>
      </c>
      <c r="BD307">
        <f t="shared" si="58"/>
        <v>16.132839506172839</v>
      </c>
      <c r="BE307">
        <f t="shared" si="59"/>
        <v>22.514506829629628</v>
      </c>
    </row>
    <row r="308" spans="6:57">
      <c r="F308" s="9"/>
      <c r="G308" s="22">
        <v>0.319519</v>
      </c>
      <c r="H308" s="22">
        <v>8.3254900000000003</v>
      </c>
      <c r="I308" s="22">
        <v>-1.3980100000000001E-2</v>
      </c>
      <c r="J308" s="22">
        <v>298</v>
      </c>
      <c r="K308" s="22">
        <v>0.31887799999999999</v>
      </c>
      <c r="L308">
        <f t="shared" si="48"/>
        <v>17.259382716049384</v>
      </c>
      <c r="M308">
        <f t="shared" si="49"/>
        <v>5.5147007060493829</v>
      </c>
      <c r="N308" s="9"/>
      <c r="O308" s="22">
        <v>1.4006000000000001</v>
      </c>
      <c r="P308" s="22">
        <v>12.185</v>
      </c>
      <c r="Q308" s="22">
        <v>-1.31317E-2</v>
      </c>
      <c r="R308" s="22">
        <v>298</v>
      </c>
      <c r="S308" s="22">
        <v>1.39984</v>
      </c>
      <c r="T308">
        <f t="shared" si="50"/>
        <v>16.211975308641971</v>
      </c>
      <c r="U308">
        <f t="shared" si="51"/>
        <v>22.706492617283946</v>
      </c>
      <c r="X308" s="9"/>
      <c r="Y308" s="22">
        <v>0.319519</v>
      </c>
      <c r="Z308" s="22">
        <v>17.7697</v>
      </c>
      <c r="AA308" s="22">
        <v>-1.40015E-2</v>
      </c>
      <c r="AB308" s="22">
        <v>298</v>
      </c>
      <c r="AC308" s="22">
        <v>0.31893899999999997</v>
      </c>
      <c r="AD308">
        <f t="shared" si="52"/>
        <v>17.285802469135803</v>
      </c>
      <c r="AE308">
        <f t="shared" si="53"/>
        <v>5.5231423191358022</v>
      </c>
      <c r="AF308" s="9"/>
      <c r="AG308" s="22">
        <v>1.4006000000000001</v>
      </c>
      <c r="AH308" s="22">
        <v>21.629200000000001</v>
      </c>
      <c r="AI308" s="22">
        <v>-1.3091999999999999E-2</v>
      </c>
      <c r="AJ308" s="22">
        <v>298</v>
      </c>
      <c r="AK308" s="22">
        <v>1.39954</v>
      </c>
      <c r="AL308">
        <f t="shared" si="54"/>
        <v>16.162962962962961</v>
      </c>
      <c r="AM308">
        <f t="shared" si="55"/>
        <v>22.637845925925923</v>
      </c>
      <c r="AP308" s="9"/>
      <c r="AQ308" s="22">
        <v>0.319519</v>
      </c>
      <c r="AR308" s="22">
        <v>27.0749</v>
      </c>
      <c r="AS308" s="22">
        <v>-1.3977099999999999E-2</v>
      </c>
      <c r="AT308" s="22">
        <v>298</v>
      </c>
      <c r="AU308" s="22">
        <v>0.31887799999999999</v>
      </c>
      <c r="AV308">
        <f t="shared" si="56"/>
        <v>17.255679012345677</v>
      </c>
      <c r="AW308">
        <f t="shared" si="57"/>
        <v>5.5135173023456785</v>
      </c>
      <c r="AX308" s="9"/>
      <c r="AY308" s="22">
        <v>1.4006000000000001</v>
      </c>
      <c r="AZ308" s="22">
        <v>30.9344</v>
      </c>
      <c r="BA308" s="22">
        <v>-1.30432E-2</v>
      </c>
      <c r="BB308" s="22">
        <v>298</v>
      </c>
      <c r="BC308" s="22">
        <v>1.39954</v>
      </c>
      <c r="BD308">
        <f t="shared" si="58"/>
        <v>16.102716049382714</v>
      </c>
      <c r="BE308">
        <f t="shared" si="59"/>
        <v>22.553464098765431</v>
      </c>
    </row>
    <row r="309" spans="6:57">
      <c r="F309" s="9"/>
      <c r="G309" s="22">
        <v>0.31448399999999999</v>
      </c>
      <c r="H309" s="22">
        <v>8.3355599999999992</v>
      </c>
      <c r="I309" s="22">
        <v>-1.39893E-2</v>
      </c>
      <c r="J309" s="22">
        <v>299</v>
      </c>
      <c r="K309" s="22">
        <v>0.31396499999999999</v>
      </c>
      <c r="L309">
        <f t="shared" si="48"/>
        <v>17.270740740740738</v>
      </c>
      <c r="M309">
        <f t="shared" si="49"/>
        <v>5.4313716311111104</v>
      </c>
      <c r="N309" s="9"/>
      <c r="O309" s="22">
        <v>1.40564</v>
      </c>
      <c r="P309" s="22">
        <v>12.195</v>
      </c>
      <c r="Q309" s="22">
        <v>-1.3110399999999999E-2</v>
      </c>
      <c r="R309" s="22">
        <v>299</v>
      </c>
      <c r="S309" s="22">
        <v>1.40472</v>
      </c>
      <c r="T309">
        <f t="shared" si="50"/>
        <v>16.185679012345677</v>
      </c>
      <c r="U309">
        <f t="shared" si="51"/>
        <v>22.751237846913579</v>
      </c>
      <c r="X309" s="9"/>
      <c r="Y309" s="22">
        <v>0.31448399999999999</v>
      </c>
      <c r="Z309" s="22">
        <v>17.779800000000002</v>
      </c>
      <c r="AA309" s="22">
        <v>-1.3992299999999999E-2</v>
      </c>
      <c r="AB309" s="22">
        <v>299</v>
      </c>
      <c r="AC309" s="22">
        <v>0.31384299999999998</v>
      </c>
      <c r="AD309">
        <f t="shared" si="52"/>
        <v>17.274444444444445</v>
      </c>
      <c r="AE309">
        <f t="shared" si="53"/>
        <v>5.4325363866666665</v>
      </c>
      <c r="AF309" s="9"/>
      <c r="AG309" s="22">
        <v>1.40564</v>
      </c>
      <c r="AH309" s="22">
        <v>21.639199999999999</v>
      </c>
      <c r="AI309" s="22">
        <v>-1.3070699999999999E-2</v>
      </c>
      <c r="AJ309" s="22">
        <v>299</v>
      </c>
      <c r="AK309" s="22">
        <v>1.40472</v>
      </c>
      <c r="AL309">
        <f t="shared" si="54"/>
        <v>16.136666666666663</v>
      </c>
      <c r="AM309">
        <f t="shared" si="55"/>
        <v>22.682344133333327</v>
      </c>
      <c r="AP309" s="9"/>
      <c r="AQ309" s="22">
        <v>0.31448399999999999</v>
      </c>
      <c r="AR309" s="22">
        <v>27.085000000000001</v>
      </c>
      <c r="AS309" s="22">
        <v>-1.3977099999999999E-2</v>
      </c>
      <c r="AT309" s="22">
        <v>299</v>
      </c>
      <c r="AU309" s="22">
        <v>0.31396499999999999</v>
      </c>
      <c r="AV309">
        <f t="shared" si="56"/>
        <v>17.255679012345677</v>
      </c>
      <c r="AW309">
        <f t="shared" si="57"/>
        <v>5.4266349585185178</v>
      </c>
      <c r="AX309" s="9"/>
      <c r="AY309" s="22">
        <v>1.40564</v>
      </c>
      <c r="AZ309" s="22">
        <v>30.944500000000001</v>
      </c>
      <c r="BA309" s="22">
        <v>-1.30157E-2</v>
      </c>
      <c r="BB309" s="22">
        <v>299</v>
      </c>
      <c r="BC309" s="22">
        <v>1.40472</v>
      </c>
      <c r="BD309">
        <f t="shared" si="58"/>
        <v>16.068765432098765</v>
      </c>
      <c r="BE309">
        <f t="shared" si="59"/>
        <v>22.586899441975309</v>
      </c>
    </row>
    <row r="310" spans="6:57">
      <c r="F310" s="9"/>
      <c r="G310" s="22">
        <v>0.309448</v>
      </c>
      <c r="H310" s="22">
        <v>8.3456299999999999</v>
      </c>
      <c r="I310" s="22">
        <v>-1.3998399999999999E-2</v>
      </c>
      <c r="J310" s="22">
        <v>300</v>
      </c>
      <c r="K310" s="22">
        <v>0.30886799999999998</v>
      </c>
      <c r="L310">
        <f t="shared" si="48"/>
        <v>17.281975308641975</v>
      </c>
      <c r="M310">
        <f t="shared" si="49"/>
        <v>5.3478726953086415</v>
      </c>
      <c r="N310" s="9"/>
      <c r="O310" s="22">
        <v>1.4106799999999999</v>
      </c>
      <c r="P310" s="22">
        <v>12.2051</v>
      </c>
      <c r="Q310" s="22">
        <v>-1.3089E-2</v>
      </c>
      <c r="R310" s="22">
        <v>300</v>
      </c>
      <c r="S310" s="22">
        <v>1.40961</v>
      </c>
      <c r="T310">
        <f t="shared" si="50"/>
        <v>16.159259259259258</v>
      </c>
      <c r="U310">
        <f t="shared" si="51"/>
        <v>22.79554385185185</v>
      </c>
      <c r="X310" s="9"/>
      <c r="Y310" s="22">
        <v>0.309448</v>
      </c>
      <c r="Z310" s="22">
        <v>17.7898</v>
      </c>
      <c r="AA310" s="22">
        <v>-1.3992299999999999E-2</v>
      </c>
      <c r="AB310" s="22">
        <v>300</v>
      </c>
      <c r="AC310" s="22">
        <v>0.30889899999999998</v>
      </c>
      <c r="AD310">
        <f t="shared" si="52"/>
        <v>17.274444444444445</v>
      </c>
      <c r="AE310">
        <f t="shared" si="53"/>
        <v>5.3455422844444449</v>
      </c>
      <c r="AF310" s="9"/>
      <c r="AG310" s="22">
        <v>1.4106799999999999</v>
      </c>
      <c r="AH310" s="22">
        <v>21.6493</v>
      </c>
      <c r="AI310" s="22">
        <v>-1.30432E-2</v>
      </c>
      <c r="AJ310" s="22">
        <v>300</v>
      </c>
      <c r="AK310" s="22">
        <v>1.40991</v>
      </c>
      <c r="AL310">
        <f t="shared" si="54"/>
        <v>16.102716049382714</v>
      </c>
      <c r="AM310">
        <f t="shared" si="55"/>
        <v>22.715779476543204</v>
      </c>
      <c r="AP310" s="9"/>
      <c r="AQ310" s="22">
        <v>0.309448</v>
      </c>
      <c r="AR310" s="22">
        <v>27.095099999999999</v>
      </c>
      <c r="AS310" s="22">
        <v>-1.3977099999999999E-2</v>
      </c>
      <c r="AT310" s="22">
        <v>300</v>
      </c>
      <c r="AU310" s="22">
        <v>0.308807</v>
      </c>
      <c r="AV310">
        <f t="shared" si="56"/>
        <v>17.255679012345677</v>
      </c>
      <c r="AW310">
        <f t="shared" si="57"/>
        <v>5.3397353590123453</v>
      </c>
      <c r="AX310" s="9"/>
      <c r="AY310" s="22">
        <v>1.4106799999999999</v>
      </c>
      <c r="AZ310" s="22">
        <v>30.954499999999999</v>
      </c>
      <c r="BA310" s="22">
        <v>-1.29944E-2</v>
      </c>
      <c r="BB310" s="22">
        <v>300</v>
      </c>
      <c r="BC310" s="22">
        <v>1.40991</v>
      </c>
      <c r="BD310">
        <f t="shared" si="58"/>
        <v>16.042469135802467</v>
      </c>
      <c r="BE310">
        <f t="shared" si="59"/>
        <v>22.630790360493823</v>
      </c>
    </row>
    <row r="311" spans="6:57">
      <c r="F311" s="9"/>
      <c r="G311" s="22">
        <v>0.30441299999999999</v>
      </c>
      <c r="H311" s="22">
        <v>8.3557000000000006</v>
      </c>
      <c r="I311" s="22">
        <v>-1.3998399999999999E-2</v>
      </c>
      <c r="J311" s="22">
        <v>301</v>
      </c>
      <c r="K311" s="22">
        <v>0.30383300000000002</v>
      </c>
      <c r="L311">
        <f t="shared" si="48"/>
        <v>17.281975308641975</v>
      </c>
      <c r="M311">
        <f t="shared" si="49"/>
        <v>5.2608579496296297</v>
      </c>
      <c r="N311" s="9"/>
      <c r="O311" s="22">
        <v>1.41571</v>
      </c>
      <c r="P311" s="22">
        <v>12.215199999999999</v>
      </c>
      <c r="Q311" s="22">
        <v>-1.3073700000000001E-2</v>
      </c>
      <c r="R311" s="22">
        <v>301</v>
      </c>
      <c r="S311" s="22">
        <v>1.4151</v>
      </c>
      <c r="T311">
        <f t="shared" si="50"/>
        <v>16.14037037037037</v>
      </c>
      <c r="U311">
        <f t="shared" si="51"/>
        <v>22.850083737037036</v>
      </c>
      <c r="X311" s="9"/>
      <c r="Y311" s="22">
        <v>0.30441299999999999</v>
      </c>
      <c r="Z311" s="22">
        <v>17.799900000000001</v>
      </c>
      <c r="AA311" s="22">
        <v>-1.3983199999999999E-2</v>
      </c>
      <c r="AB311" s="22">
        <v>301</v>
      </c>
      <c r="AC311" s="22">
        <v>0.303894</v>
      </c>
      <c r="AD311">
        <f t="shared" si="52"/>
        <v>17.263209876543208</v>
      </c>
      <c r="AE311">
        <f t="shared" si="53"/>
        <v>5.2551455081481473</v>
      </c>
      <c r="AF311" s="9"/>
      <c r="AG311" s="22">
        <v>1.41571</v>
      </c>
      <c r="AH311" s="22">
        <v>21.659400000000002</v>
      </c>
      <c r="AI311" s="22">
        <v>-1.3018800000000001E-2</v>
      </c>
      <c r="AJ311" s="22">
        <v>301</v>
      </c>
      <c r="AK311" s="22">
        <v>1.41449</v>
      </c>
      <c r="AL311">
        <f t="shared" si="54"/>
        <v>16.072592592592592</v>
      </c>
      <c r="AM311">
        <f t="shared" si="55"/>
        <v>22.754130059259261</v>
      </c>
      <c r="AP311" s="9"/>
      <c r="AQ311" s="22">
        <v>0.30441299999999999</v>
      </c>
      <c r="AR311" s="22">
        <v>27.1051</v>
      </c>
      <c r="AS311" s="22">
        <v>-1.3983199999999999E-2</v>
      </c>
      <c r="AT311" s="22">
        <v>301</v>
      </c>
      <c r="AU311" s="22">
        <v>0.30383300000000002</v>
      </c>
      <c r="AV311">
        <f t="shared" si="56"/>
        <v>17.263209876543208</v>
      </c>
      <c r="AW311">
        <f t="shared" si="57"/>
        <v>5.2551455081481473</v>
      </c>
      <c r="AX311" s="9"/>
      <c r="AY311" s="22">
        <v>1.41571</v>
      </c>
      <c r="AZ311" s="22">
        <v>30.964600000000001</v>
      </c>
      <c r="BA311" s="22">
        <v>-1.2973E-2</v>
      </c>
      <c r="BB311" s="22">
        <v>301</v>
      </c>
      <c r="BC311" s="22">
        <v>1.4154100000000001</v>
      </c>
      <c r="BD311">
        <f t="shared" si="58"/>
        <v>16.016049382716048</v>
      </c>
      <c r="BE311">
        <f t="shared" si="59"/>
        <v>22.674081271604937</v>
      </c>
    </row>
    <row r="312" spans="6:57">
      <c r="F312" s="9"/>
      <c r="G312" s="22">
        <v>0.299377</v>
      </c>
      <c r="H312" s="22">
        <v>8.3657699999999995</v>
      </c>
      <c r="I312" s="22">
        <v>-1.40015E-2</v>
      </c>
      <c r="J312" s="22">
        <v>302</v>
      </c>
      <c r="K312" s="22">
        <v>0.29873699999999997</v>
      </c>
      <c r="L312">
        <f t="shared" si="48"/>
        <v>17.285802469135803</v>
      </c>
      <c r="M312">
        <f t="shared" si="49"/>
        <v>5.1749716858024692</v>
      </c>
      <c r="N312" s="9"/>
      <c r="O312" s="22">
        <v>1.42075</v>
      </c>
      <c r="P312" s="22">
        <v>12.225199999999999</v>
      </c>
      <c r="Q312" s="22">
        <v>-1.30554E-2</v>
      </c>
      <c r="R312" s="22">
        <v>302</v>
      </c>
      <c r="S312" s="22">
        <v>1.4202900000000001</v>
      </c>
      <c r="T312">
        <f t="shared" si="50"/>
        <v>16.117777777777775</v>
      </c>
      <c r="U312">
        <f t="shared" si="51"/>
        <v>22.899332777777772</v>
      </c>
      <c r="X312" s="9"/>
      <c r="Y312" s="22">
        <v>0.299377</v>
      </c>
      <c r="Z312" s="22">
        <v>17.809999999999999</v>
      </c>
      <c r="AA312" s="22">
        <v>-1.3986200000000001E-2</v>
      </c>
      <c r="AB312" s="22">
        <v>302</v>
      </c>
      <c r="AC312" s="22">
        <v>0.29879800000000001</v>
      </c>
      <c r="AD312">
        <f t="shared" si="52"/>
        <v>17.266913580246914</v>
      </c>
      <c r="AE312">
        <f t="shared" si="53"/>
        <v>5.1693167869135808</v>
      </c>
      <c r="AF312" s="9"/>
      <c r="AG312" s="22">
        <v>1.42075</v>
      </c>
      <c r="AH312" s="22">
        <v>21.669499999999999</v>
      </c>
      <c r="AI312" s="22">
        <v>-1.29944E-2</v>
      </c>
      <c r="AJ312" s="22">
        <v>302</v>
      </c>
      <c r="AK312" s="22">
        <v>1.4196800000000001</v>
      </c>
      <c r="AL312">
        <f t="shared" si="54"/>
        <v>16.042469135802467</v>
      </c>
      <c r="AM312">
        <f t="shared" si="55"/>
        <v>22.792338024691354</v>
      </c>
      <c r="AP312" s="9"/>
      <c r="AQ312" s="22">
        <v>0.299377</v>
      </c>
      <c r="AR312" s="22">
        <v>27.115200000000002</v>
      </c>
      <c r="AS312" s="22">
        <v>-1.3980100000000001E-2</v>
      </c>
      <c r="AT312" s="22">
        <v>302</v>
      </c>
      <c r="AU312" s="22">
        <v>0.29885899999999999</v>
      </c>
      <c r="AV312">
        <f t="shared" si="56"/>
        <v>17.259382716049384</v>
      </c>
      <c r="AW312">
        <f t="shared" si="57"/>
        <v>5.167062219382716</v>
      </c>
      <c r="AX312" s="9"/>
      <c r="AY312" s="22">
        <v>1.42075</v>
      </c>
      <c r="AZ312" s="22">
        <v>30.974699999999999</v>
      </c>
      <c r="BA312" s="22">
        <v>-1.29547E-2</v>
      </c>
      <c r="BB312" s="22">
        <v>302</v>
      </c>
      <c r="BC312" s="22">
        <v>1.42059</v>
      </c>
      <c r="BD312">
        <f t="shared" si="58"/>
        <v>15.993456790123457</v>
      </c>
      <c r="BE312">
        <f t="shared" si="59"/>
        <v>22.722703734567901</v>
      </c>
    </row>
    <row r="313" spans="6:57">
      <c r="F313" s="9"/>
      <c r="G313" s="22">
        <v>0.29434199999999999</v>
      </c>
      <c r="H313" s="22">
        <v>8.3758400000000002</v>
      </c>
      <c r="I313" s="22">
        <v>-1.40015E-2</v>
      </c>
      <c r="J313" s="22">
        <v>303</v>
      </c>
      <c r="K313" s="22">
        <v>0.29373199999999999</v>
      </c>
      <c r="L313">
        <f t="shared" si="48"/>
        <v>17.285802469135803</v>
      </c>
      <c r="M313">
        <f t="shared" si="49"/>
        <v>5.08793767037037</v>
      </c>
      <c r="N313" s="9"/>
      <c r="O313" s="22">
        <v>1.42578</v>
      </c>
      <c r="P313" s="22">
        <v>12.235300000000001</v>
      </c>
      <c r="Q313" s="22">
        <v>-1.3037099999999999E-2</v>
      </c>
      <c r="R313" s="22">
        <v>303</v>
      </c>
      <c r="S313" s="22">
        <v>1.4248700000000001</v>
      </c>
      <c r="T313">
        <f t="shared" si="50"/>
        <v>16.095185185185183</v>
      </c>
      <c r="U313">
        <f t="shared" si="51"/>
        <v>22.94819313333333</v>
      </c>
      <c r="X313" s="9"/>
      <c r="Y313" s="22">
        <v>0.29434199999999999</v>
      </c>
      <c r="Z313" s="22">
        <v>17.82</v>
      </c>
      <c r="AA313" s="22">
        <v>-1.3983199999999999E-2</v>
      </c>
      <c r="AB313" s="22">
        <v>303</v>
      </c>
      <c r="AC313" s="22">
        <v>0.29379300000000003</v>
      </c>
      <c r="AD313">
        <f t="shared" si="52"/>
        <v>17.263209876543208</v>
      </c>
      <c r="AE313">
        <f t="shared" si="53"/>
        <v>5.0812877214814804</v>
      </c>
      <c r="AF313" s="9"/>
      <c r="AG313" s="22">
        <v>1.42578</v>
      </c>
      <c r="AH313" s="22">
        <v>21.679500000000001</v>
      </c>
      <c r="AI313" s="22">
        <v>-1.29608E-2</v>
      </c>
      <c r="AJ313" s="22">
        <v>303</v>
      </c>
      <c r="AK313" s="22">
        <v>1.42456</v>
      </c>
      <c r="AL313">
        <f t="shared" si="54"/>
        <v>16.000987654320987</v>
      </c>
      <c r="AM313">
        <f t="shared" si="55"/>
        <v>22.813888177777777</v>
      </c>
      <c r="AP313" s="9"/>
      <c r="AQ313" s="22">
        <v>0.29434199999999999</v>
      </c>
      <c r="AR313" s="22">
        <v>27.125299999999999</v>
      </c>
      <c r="AS313" s="22">
        <v>-1.39893E-2</v>
      </c>
      <c r="AT313" s="22">
        <v>303</v>
      </c>
      <c r="AU313" s="22">
        <v>0.29373199999999999</v>
      </c>
      <c r="AV313">
        <f t="shared" si="56"/>
        <v>17.270740740740738</v>
      </c>
      <c r="AW313">
        <f t="shared" si="57"/>
        <v>5.0835043711111103</v>
      </c>
      <c r="AX313" s="9"/>
      <c r="AY313" s="22">
        <v>1.42578</v>
      </c>
      <c r="AZ313" s="22">
        <v>30.9848</v>
      </c>
      <c r="BA313" s="22">
        <v>-1.29242E-2</v>
      </c>
      <c r="BB313" s="22">
        <v>303</v>
      </c>
      <c r="BC313" s="22">
        <v>1.42517</v>
      </c>
      <c r="BD313">
        <f t="shared" si="58"/>
        <v>15.955802469135801</v>
      </c>
      <c r="BE313">
        <f t="shared" si="59"/>
        <v>22.749464044444444</v>
      </c>
    </row>
    <row r="314" spans="6:57">
      <c r="F314" s="9"/>
      <c r="G314" s="22">
        <v>0.28930699999999998</v>
      </c>
      <c r="H314" s="22">
        <v>8.3859100000000009</v>
      </c>
      <c r="I314" s="22">
        <v>-1.40045E-2</v>
      </c>
      <c r="J314" s="22">
        <v>304</v>
      </c>
      <c r="K314" s="22">
        <v>0.28869600000000001</v>
      </c>
      <c r="L314">
        <f t="shared" si="48"/>
        <v>17.289506172839506</v>
      </c>
      <c r="M314">
        <f t="shared" si="49"/>
        <v>5.001975162345679</v>
      </c>
      <c r="N314" s="9"/>
      <c r="O314" s="22">
        <v>1.43082</v>
      </c>
      <c r="P314" s="22">
        <v>12.2454</v>
      </c>
      <c r="Q314" s="22">
        <v>-1.30096E-2</v>
      </c>
      <c r="R314" s="22">
        <v>304</v>
      </c>
      <c r="S314" s="22">
        <v>1.4297500000000001</v>
      </c>
      <c r="T314">
        <f t="shared" si="50"/>
        <v>16.061234567901234</v>
      </c>
      <c r="U314">
        <f t="shared" si="51"/>
        <v>22.980735644444444</v>
      </c>
      <c r="X314" s="9"/>
      <c r="Y314" s="22">
        <v>0.28930699999999998</v>
      </c>
      <c r="Z314" s="22">
        <v>17.830100000000002</v>
      </c>
      <c r="AA314" s="22">
        <v>-1.3977099999999999E-2</v>
      </c>
      <c r="AB314" s="22">
        <v>304</v>
      </c>
      <c r="AC314" s="22">
        <v>0.28875699999999999</v>
      </c>
      <c r="AD314">
        <f t="shared" si="52"/>
        <v>17.255679012345677</v>
      </c>
      <c r="AE314">
        <f t="shared" si="53"/>
        <v>4.9921887280246908</v>
      </c>
      <c r="AF314" s="9"/>
      <c r="AG314" s="22">
        <v>1.43082</v>
      </c>
      <c r="AH314" s="22">
        <v>21.689599999999999</v>
      </c>
      <c r="AI314" s="22">
        <v>-1.29333E-2</v>
      </c>
      <c r="AJ314" s="22">
        <v>304</v>
      </c>
      <c r="AK314" s="22">
        <v>1.43005</v>
      </c>
      <c r="AL314">
        <f t="shared" si="54"/>
        <v>15.967037037037036</v>
      </c>
      <c r="AM314">
        <f t="shared" si="55"/>
        <v>22.845955933333332</v>
      </c>
      <c r="AP314" s="9"/>
      <c r="AQ314" s="22">
        <v>0.28930699999999998</v>
      </c>
      <c r="AR314" s="22">
        <v>27.135300000000001</v>
      </c>
      <c r="AS314" s="22">
        <v>-1.3992299999999999E-2</v>
      </c>
      <c r="AT314" s="22">
        <v>304</v>
      </c>
      <c r="AU314" s="22">
        <v>0.28866599999999998</v>
      </c>
      <c r="AV314">
        <f t="shared" si="56"/>
        <v>17.274444444444445</v>
      </c>
      <c r="AW314">
        <f t="shared" si="57"/>
        <v>4.997617698888889</v>
      </c>
      <c r="AX314" s="9"/>
      <c r="AY314" s="22">
        <v>1.43082</v>
      </c>
      <c r="AZ314" s="22">
        <v>30.994800000000001</v>
      </c>
      <c r="BA314" s="22">
        <v>-1.2887600000000001E-2</v>
      </c>
      <c r="BB314" s="22">
        <v>304</v>
      </c>
      <c r="BC314" s="22">
        <v>1.4303600000000001</v>
      </c>
      <c r="BD314">
        <f t="shared" si="58"/>
        <v>15.910617283950618</v>
      </c>
      <c r="BE314">
        <f t="shared" si="59"/>
        <v>22.765229422222223</v>
      </c>
    </row>
    <row r="315" spans="6:57">
      <c r="F315" s="9"/>
      <c r="G315" s="22">
        <v>0.284271</v>
      </c>
      <c r="H315" s="22">
        <v>8.3959799999999998</v>
      </c>
      <c r="I315" s="22">
        <v>-1.40045E-2</v>
      </c>
      <c r="J315" s="22">
        <v>305</v>
      </c>
      <c r="K315" s="22">
        <v>0.283661</v>
      </c>
      <c r="L315">
        <f t="shared" si="48"/>
        <v>17.289506172839506</v>
      </c>
      <c r="M315">
        <f t="shared" si="49"/>
        <v>4.9149052092592589</v>
      </c>
      <c r="N315" s="9"/>
      <c r="O315" s="22">
        <v>1.4358500000000001</v>
      </c>
      <c r="P315" s="22">
        <v>12.2555</v>
      </c>
      <c r="Q315" s="22">
        <v>-1.2982199999999999E-2</v>
      </c>
      <c r="R315" s="22">
        <v>305</v>
      </c>
      <c r="S315" s="22">
        <v>1.4349400000000001</v>
      </c>
      <c r="T315">
        <f t="shared" si="50"/>
        <v>16.027407407407406</v>
      </c>
      <c r="U315">
        <f t="shared" si="51"/>
        <v>23.012952925925926</v>
      </c>
      <c r="X315" s="9"/>
      <c r="Y315" s="22">
        <v>0.284271</v>
      </c>
      <c r="Z315" s="22">
        <v>17.840199999999999</v>
      </c>
      <c r="AA315" s="22">
        <v>-1.39709E-2</v>
      </c>
      <c r="AB315" s="22">
        <v>305</v>
      </c>
      <c r="AC315" s="22">
        <v>0.283661</v>
      </c>
      <c r="AD315">
        <f t="shared" si="52"/>
        <v>17.248024691358022</v>
      </c>
      <c r="AE315">
        <f t="shared" si="53"/>
        <v>4.9031132270370366</v>
      </c>
      <c r="AF315" s="9"/>
      <c r="AG315" s="22">
        <v>1.4358500000000001</v>
      </c>
      <c r="AH315" s="22">
        <v>21.6997</v>
      </c>
      <c r="AI315" s="22">
        <v>-1.2902800000000001E-2</v>
      </c>
      <c r="AJ315" s="22">
        <v>305</v>
      </c>
      <c r="AK315" s="22">
        <v>1.4346300000000001</v>
      </c>
      <c r="AL315">
        <f t="shared" si="54"/>
        <v>15.929382716049382</v>
      </c>
      <c r="AM315">
        <f t="shared" si="55"/>
        <v>22.872204172839506</v>
      </c>
      <c r="AP315" s="9"/>
      <c r="AQ315" s="22">
        <v>0.284271</v>
      </c>
      <c r="AR315" s="22">
        <v>27.145399999999999</v>
      </c>
      <c r="AS315" s="22">
        <v>-1.39954E-2</v>
      </c>
      <c r="AT315" s="22">
        <v>305</v>
      </c>
      <c r="AU315" s="22">
        <v>0.28372199999999997</v>
      </c>
      <c r="AV315">
        <f t="shared" si="56"/>
        <v>17.278271604938272</v>
      </c>
      <c r="AW315">
        <f t="shared" si="57"/>
        <v>4.9117115474074078</v>
      </c>
      <c r="AX315" s="9"/>
      <c r="AY315" s="22">
        <v>1.4358500000000001</v>
      </c>
      <c r="AZ315" s="22">
        <v>31.004899999999999</v>
      </c>
      <c r="BA315" s="22">
        <v>-1.28662E-2</v>
      </c>
      <c r="BB315" s="22">
        <v>305</v>
      </c>
      <c r="BC315" s="22">
        <v>1.4346300000000001</v>
      </c>
      <c r="BD315">
        <f t="shared" si="58"/>
        <v>15.884197530864196</v>
      </c>
      <c r="BE315">
        <f t="shared" si="59"/>
        <v>22.807325024691355</v>
      </c>
    </row>
    <row r="316" spans="6:57">
      <c r="F316" s="9"/>
      <c r="G316" s="22">
        <v>0.27923599999999998</v>
      </c>
      <c r="H316" s="22">
        <v>8.4060600000000001</v>
      </c>
      <c r="I316" s="22">
        <v>-1.40106E-2</v>
      </c>
      <c r="J316" s="22">
        <v>306</v>
      </c>
      <c r="K316" s="22">
        <v>0.27865600000000001</v>
      </c>
      <c r="L316">
        <f t="shared" si="48"/>
        <v>17.297037037037036</v>
      </c>
      <c r="M316">
        <f t="shared" si="49"/>
        <v>4.8299554340740736</v>
      </c>
      <c r="N316" s="9"/>
      <c r="O316" s="22">
        <v>1.44089</v>
      </c>
      <c r="P316" s="22">
        <v>12.265499999999999</v>
      </c>
      <c r="Q316" s="22">
        <v>-1.29547E-2</v>
      </c>
      <c r="R316" s="22">
        <v>306</v>
      </c>
      <c r="S316" s="22">
        <v>1.4395100000000001</v>
      </c>
      <c r="T316">
        <f t="shared" si="50"/>
        <v>15.993456790123457</v>
      </c>
      <c r="U316">
        <f t="shared" si="51"/>
        <v>23.044811954320988</v>
      </c>
      <c r="X316" s="9"/>
      <c r="Y316" s="22">
        <v>0.27923599999999998</v>
      </c>
      <c r="Z316" s="22">
        <v>17.850300000000001</v>
      </c>
      <c r="AA316" s="22">
        <v>-1.39679E-2</v>
      </c>
      <c r="AB316" s="22">
        <v>306</v>
      </c>
      <c r="AC316" s="22">
        <v>0.27865600000000001</v>
      </c>
      <c r="AD316">
        <f t="shared" si="52"/>
        <v>17.244320987654319</v>
      </c>
      <c r="AE316">
        <f t="shared" si="53"/>
        <v>4.8152352153086415</v>
      </c>
      <c r="AF316" s="9"/>
      <c r="AG316" s="22">
        <v>1.44089</v>
      </c>
      <c r="AH316" s="22">
        <v>21.709700000000002</v>
      </c>
      <c r="AI316" s="22">
        <v>-1.28693E-2</v>
      </c>
      <c r="AJ316" s="22">
        <v>306</v>
      </c>
      <c r="AK316" s="22">
        <v>1.4398200000000001</v>
      </c>
      <c r="AL316">
        <f t="shared" si="54"/>
        <v>15.888024691358023</v>
      </c>
      <c r="AM316">
        <f t="shared" si="55"/>
        <v>22.892895897530863</v>
      </c>
      <c r="AP316" s="9"/>
      <c r="AQ316" s="22">
        <v>0.27923599999999998</v>
      </c>
      <c r="AR316" s="22">
        <v>27.1555</v>
      </c>
      <c r="AS316" s="22">
        <v>-1.39893E-2</v>
      </c>
      <c r="AT316" s="22">
        <v>306</v>
      </c>
      <c r="AU316" s="22">
        <v>0.27865600000000001</v>
      </c>
      <c r="AV316">
        <f t="shared" si="56"/>
        <v>17.270740740740738</v>
      </c>
      <c r="AW316">
        <f t="shared" si="57"/>
        <v>4.8226125614814803</v>
      </c>
      <c r="AX316" s="9"/>
      <c r="AY316" s="22">
        <v>1.44089</v>
      </c>
      <c r="AZ316" s="22">
        <v>31.015000000000001</v>
      </c>
      <c r="BA316" s="22">
        <v>-1.28357E-2</v>
      </c>
      <c r="BB316" s="22">
        <v>306</v>
      </c>
      <c r="BC316" s="22">
        <v>1.4398200000000001</v>
      </c>
      <c r="BD316">
        <f t="shared" si="58"/>
        <v>15.846543209876542</v>
      </c>
      <c r="BE316">
        <f t="shared" si="59"/>
        <v>22.833125645679011</v>
      </c>
    </row>
    <row r="317" spans="6:57">
      <c r="F317" s="9"/>
      <c r="G317" s="22">
        <v>0.2742</v>
      </c>
      <c r="H317" s="22">
        <v>8.4161300000000008</v>
      </c>
      <c r="I317" s="22">
        <v>-1.40106E-2</v>
      </c>
      <c r="J317" s="22">
        <v>307</v>
      </c>
      <c r="K317" s="22">
        <v>0.27371200000000001</v>
      </c>
      <c r="L317">
        <f t="shared" si="48"/>
        <v>17.297037037037036</v>
      </c>
      <c r="M317">
        <f t="shared" si="49"/>
        <v>4.7428475555555556</v>
      </c>
      <c r="N317" s="9"/>
      <c r="O317" s="22">
        <v>1.4459200000000001</v>
      </c>
      <c r="P317" s="22">
        <v>12.275600000000001</v>
      </c>
      <c r="Q317" s="22">
        <v>-1.29303E-2</v>
      </c>
      <c r="R317" s="22">
        <v>307</v>
      </c>
      <c r="S317" s="22">
        <v>1.4450099999999999</v>
      </c>
      <c r="T317">
        <f t="shared" si="50"/>
        <v>15.963333333333333</v>
      </c>
      <c r="U317">
        <f t="shared" si="51"/>
        <v>23.081702933333336</v>
      </c>
      <c r="X317" s="9"/>
      <c r="Y317" s="22">
        <v>0.2742</v>
      </c>
      <c r="Z317" s="22">
        <v>17.860299999999999</v>
      </c>
      <c r="AA317" s="22">
        <v>-1.39679E-2</v>
      </c>
      <c r="AB317" s="22">
        <v>307</v>
      </c>
      <c r="AC317" s="22">
        <v>0.27356000000000003</v>
      </c>
      <c r="AD317">
        <f t="shared" si="52"/>
        <v>17.244320987654319</v>
      </c>
      <c r="AE317">
        <f t="shared" si="53"/>
        <v>4.7283928148148142</v>
      </c>
      <c r="AF317" s="9"/>
      <c r="AG317" s="22">
        <v>1.4459200000000001</v>
      </c>
      <c r="AH317" s="22">
        <v>21.719799999999999</v>
      </c>
      <c r="AI317" s="22">
        <v>-1.28418E-2</v>
      </c>
      <c r="AJ317" s="22">
        <v>307</v>
      </c>
      <c r="AK317" s="22">
        <v>1.4450099999999999</v>
      </c>
      <c r="AL317">
        <f t="shared" si="54"/>
        <v>15.854074074074072</v>
      </c>
      <c r="AM317">
        <f t="shared" si="55"/>
        <v>22.923722785185184</v>
      </c>
      <c r="AP317" s="9"/>
      <c r="AQ317" s="22">
        <v>0.2742</v>
      </c>
      <c r="AR317" s="22">
        <v>27.165600000000001</v>
      </c>
      <c r="AS317" s="22">
        <v>-1.39954E-2</v>
      </c>
      <c r="AT317" s="22">
        <v>307</v>
      </c>
      <c r="AU317" s="22">
        <v>0.273621</v>
      </c>
      <c r="AV317">
        <f t="shared" si="56"/>
        <v>17.278271604938272</v>
      </c>
      <c r="AW317">
        <f t="shared" si="57"/>
        <v>4.7377020740740745</v>
      </c>
      <c r="AX317" s="9"/>
      <c r="AY317" s="22">
        <v>1.4459200000000001</v>
      </c>
      <c r="AZ317" s="22">
        <v>31.024999999999999</v>
      </c>
      <c r="BA317" s="22">
        <v>-1.2814300000000001E-2</v>
      </c>
      <c r="BB317" s="22">
        <v>307</v>
      </c>
      <c r="BC317" s="22">
        <v>1.4453100000000001</v>
      </c>
      <c r="BD317">
        <f t="shared" si="58"/>
        <v>15.820123456790125</v>
      </c>
      <c r="BE317">
        <f t="shared" si="59"/>
        <v>22.874632908641978</v>
      </c>
    </row>
    <row r="318" spans="6:57">
      <c r="F318" s="9"/>
      <c r="G318" s="22">
        <v>0.26916499999999999</v>
      </c>
      <c r="H318" s="22">
        <v>8.4261999999999997</v>
      </c>
      <c r="I318" s="22">
        <v>-1.4019800000000001E-2</v>
      </c>
      <c r="J318" s="22">
        <v>308</v>
      </c>
      <c r="K318" s="22">
        <v>0.26858500000000002</v>
      </c>
      <c r="L318">
        <f t="shared" si="48"/>
        <v>17.308395061728394</v>
      </c>
      <c r="M318">
        <f t="shared" si="49"/>
        <v>4.6588141567901227</v>
      </c>
      <c r="N318" s="9"/>
      <c r="O318" s="22">
        <v>1.45096</v>
      </c>
      <c r="P318" s="22">
        <v>12.2857</v>
      </c>
      <c r="Q318" s="22">
        <v>-1.2908899999999999E-2</v>
      </c>
      <c r="R318" s="22">
        <v>308</v>
      </c>
      <c r="S318" s="22">
        <v>1.4504999999999999</v>
      </c>
      <c r="T318">
        <f t="shared" si="50"/>
        <v>15.936913580246911</v>
      </c>
      <c r="U318">
        <f t="shared" si="51"/>
        <v>23.123824128395057</v>
      </c>
      <c r="X318" s="9"/>
      <c r="Y318" s="22">
        <v>0.26916499999999999</v>
      </c>
      <c r="Z318" s="22">
        <v>17.8704</v>
      </c>
      <c r="AA318" s="22">
        <v>-1.39709E-2</v>
      </c>
      <c r="AB318" s="22">
        <v>308</v>
      </c>
      <c r="AC318" s="22">
        <v>0.268677</v>
      </c>
      <c r="AD318">
        <f t="shared" si="52"/>
        <v>17.248024691358022</v>
      </c>
      <c r="AE318">
        <f t="shared" si="53"/>
        <v>4.6425645660493817</v>
      </c>
      <c r="AF318" s="9"/>
      <c r="AG318" s="22">
        <v>1.45096</v>
      </c>
      <c r="AH318" s="22">
        <v>21.729900000000001</v>
      </c>
      <c r="AI318" s="22">
        <v>-1.2811299999999999E-2</v>
      </c>
      <c r="AJ318" s="22">
        <v>308</v>
      </c>
      <c r="AK318" s="22">
        <v>1.4501999999999999</v>
      </c>
      <c r="AL318">
        <f t="shared" si="54"/>
        <v>15.816419753086418</v>
      </c>
      <c r="AM318">
        <f t="shared" si="55"/>
        <v>22.94899240493827</v>
      </c>
      <c r="AP318" s="9"/>
      <c r="AQ318" s="22">
        <v>0.26916499999999999</v>
      </c>
      <c r="AR318" s="22">
        <v>27.175599999999999</v>
      </c>
      <c r="AS318" s="22">
        <v>-1.39893E-2</v>
      </c>
      <c r="AT318" s="22">
        <v>308</v>
      </c>
      <c r="AU318" s="22">
        <v>0.26855499999999999</v>
      </c>
      <c r="AV318">
        <f t="shared" si="56"/>
        <v>17.270740740740738</v>
      </c>
      <c r="AW318">
        <f t="shared" si="57"/>
        <v>4.6486789314814807</v>
      </c>
      <c r="AX318" s="9"/>
      <c r="AY318" s="22">
        <v>1.45096</v>
      </c>
      <c r="AZ318" s="22">
        <v>31.0351</v>
      </c>
      <c r="BA318" s="22">
        <v>-1.2793000000000001E-2</v>
      </c>
      <c r="BB318" s="22">
        <v>308</v>
      </c>
      <c r="BC318" s="22">
        <v>1.4495800000000001</v>
      </c>
      <c r="BD318">
        <f t="shared" si="58"/>
        <v>15.793827160493827</v>
      </c>
      <c r="BE318">
        <f t="shared" si="59"/>
        <v>22.916211456790123</v>
      </c>
    </row>
    <row r="319" spans="6:57">
      <c r="F319" s="9"/>
      <c r="G319" s="22">
        <v>0.26412999999999998</v>
      </c>
      <c r="H319" s="22">
        <v>8.4362700000000004</v>
      </c>
      <c r="I319" s="22">
        <v>-1.4025900000000001E-2</v>
      </c>
      <c r="J319" s="22">
        <v>309</v>
      </c>
      <c r="K319" s="22">
        <v>0.26348899999999997</v>
      </c>
      <c r="L319">
        <f t="shared" si="48"/>
        <v>17.315925925925924</v>
      </c>
      <c r="M319">
        <f t="shared" si="49"/>
        <v>4.5736555148148144</v>
      </c>
      <c r="N319" s="9"/>
      <c r="O319" s="22">
        <v>1.4559899999999999</v>
      </c>
      <c r="P319" s="22">
        <v>12.2957</v>
      </c>
      <c r="Q319" s="22">
        <v>-1.28784E-2</v>
      </c>
      <c r="R319" s="22">
        <v>309</v>
      </c>
      <c r="S319" s="22">
        <v>1.4550799999999999</v>
      </c>
      <c r="T319">
        <f t="shared" si="50"/>
        <v>15.899259259259258</v>
      </c>
      <c r="U319">
        <f t="shared" si="51"/>
        <v>23.149162488888887</v>
      </c>
      <c r="X319" s="9"/>
      <c r="Y319" s="22">
        <v>0.26412999999999998</v>
      </c>
      <c r="Z319" s="22">
        <v>17.880500000000001</v>
      </c>
      <c r="AA319" s="22">
        <v>-1.39679E-2</v>
      </c>
      <c r="AB319" s="22">
        <v>309</v>
      </c>
      <c r="AC319" s="22">
        <v>0.26357999999999998</v>
      </c>
      <c r="AD319">
        <f t="shared" si="52"/>
        <v>17.244320987654319</v>
      </c>
      <c r="AE319">
        <f t="shared" si="53"/>
        <v>4.5547425024691348</v>
      </c>
      <c r="AF319" s="9"/>
      <c r="AG319" s="22">
        <v>1.4559899999999999</v>
      </c>
      <c r="AH319" s="22">
        <v>21.739899999999999</v>
      </c>
      <c r="AI319" s="22">
        <v>-1.27747E-2</v>
      </c>
      <c r="AJ319" s="22">
        <v>309</v>
      </c>
      <c r="AK319" s="22">
        <v>1.4556899999999999</v>
      </c>
      <c r="AL319">
        <f t="shared" si="54"/>
        <v>15.771234567901235</v>
      </c>
      <c r="AM319">
        <f t="shared" si="55"/>
        <v>22.962759818518517</v>
      </c>
      <c r="AP319" s="9"/>
      <c r="AQ319" s="22">
        <v>0.26412999999999998</v>
      </c>
      <c r="AR319" s="22">
        <v>27.185700000000001</v>
      </c>
      <c r="AS319" s="22">
        <v>-1.3977099999999999E-2</v>
      </c>
      <c r="AT319" s="22">
        <v>309</v>
      </c>
      <c r="AU319" s="22">
        <v>0.26357999999999998</v>
      </c>
      <c r="AV319">
        <f t="shared" si="56"/>
        <v>17.255679012345677</v>
      </c>
      <c r="AW319">
        <f t="shared" si="57"/>
        <v>4.5577424975308629</v>
      </c>
      <c r="AX319" s="9"/>
      <c r="AY319" s="22">
        <v>1.4559899999999999</v>
      </c>
      <c r="AZ319" s="22">
        <v>31.045200000000001</v>
      </c>
      <c r="BA319" s="22">
        <v>-1.27686E-2</v>
      </c>
      <c r="BB319" s="22">
        <v>309</v>
      </c>
      <c r="BC319" s="22">
        <v>1.4553799999999999</v>
      </c>
      <c r="BD319">
        <f t="shared" si="58"/>
        <v>15.763703703703703</v>
      </c>
      <c r="BE319">
        <f t="shared" si="59"/>
        <v>22.951794955555552</v>
      </c>
    </row>
    <row r="320" spans="6:57">
      <c r="F320" s="9"/>
      <c r="G320" s="22">
        <v>0.25909399999999999</v>
      </c>
      <c r="H320" s="22">
        <v>8.4463399999999993</v>
      </c>
      <c r="I320" s="22">
        <v>-1.40381E-2</v>
      </c>
      <c r="J320" s="22">
        <v>310</v>
      </c>
      <c r="K320" s="22">
        <v>0.25854500000000002</v>
      </c>
      <c r="L320">
        <f t="shared" si="48"/>
        <v>17.330987654320985</v>
      </c>
      <c r="M320">
        <f t="shared" si="49"/>
        <v>4.4903549153086413</v>
      </c>
      <c r="N320" s="9"/>
      <c r="O320" s="22">
        <v>1.4610300000000001</v>
      </c>
      <c r="P320" s="22">
        <v>12.3058</v>
      </c>
      <c r="Q320" s="22">
        <v>-1.2851E-2</v>
      </c>
      <c r="R320" s="22">
        <v>310</v>
      </c>
      <c r="S320" s="22">
        <v>1.4599599999999999</v>
      </c>
      <c r="T320">
        <f t="shared" si="50"/>
        <v>15.865432098765432</v>
      </c>
      <c r="U320">
        <f t="shared" si="51"/>
        <v>23.179872259259259</v>
      </c>
      <c r="X320" s="9"/>
      <c r="Y320" s="22">
        <v>0.25909399999999999</v>
      </c>
      <c r="Z320" s="22">
        <v>17.890499999999999</v>
      </c>
      <c r="AA320" s="22">
        <v>-1.3974E-2</v>
      </c>
      <c r="AB320" s="22">
        <v>310</v>
      </c>
      <c r="AC320" s="22">
        <v>0.258575</v>
      </c>
      <c r="AD320">
        <f t="shared" si="52"/>
        <v>17.251851851851853</v>
      </c>
      <c r="AE320">
        <f t="shared" si="53"/>
        <v>4.4698513037037042</v>
      </c>
      <c r="AF320" s="9"/>
      <c r="AG320" s="22">
        <v>1.4610300000000001</v>
      </c>
      <c r="AH320" s="22">
        <v>21.75</v>
      </c>
      <c r="AI320" s="22">
        <v>-1.2737999999999999E-2</v>
      </c>
      <c r="AJ320" s="22">
        <v>310</v>
      </c>
      <c r="AK320" s="22">
        <v>1.4605699999999999</v>
      </c>
      <c r="AL320">
        <f t="shared" si="54"/>
        <v>15.725925925925925</v>
      </c>
      <c r="AM320">
        <f t="shared" si="55"/>
        <v>22.976049555555555</v>
      </c>
      <c r="AP320" s="9"/>
      <c r="AQ320" s="22">
        <v>0.25909399999999999</v>
      </c>
      <c r="AR320" s="22">
        <v>27.195799999999998</v>
      </c>
      <c r="AS320" s="22">
        <v>-1.39679E-2</v>
      </c>
      <c r="AT320" s="22">
        <v>310</v>
      </c>
      <c r="AU320" s="22">
        <v>0.25848399999999999</v>
      </c>
      <c r="AV320">
        <f t="shared" si="56"/>
        <v>17.244320987654319</v>
      </c>
      <c r="AW320">
        <f t="shared" si="57"/>
        <v>4.4679001019753084</v>
      </c>
      <c r="AX320" s="9"/>
      <c r="AY320" s="22">
        <v>1.4610300000000001</v>
      </c>
      <c r="AZ320" s="22">
        <v>31.055199999999999</v>
      </c>
      <c r="BA320" s="22">
        <v>-1.27472E-2</v>
      </c>
      <c r="BB320" s="22">
        <v>310</v>
      </c>
      <c r="BC320" s="22">
        <v>1.4599599999999999</v>
      </c>
      <c r="BD320">
        <f t="shared" si="58"/>
        <v>15.737283950617284</v>
      </c>
      <c r="BE320">
        <f t="shared" si="59"/>
        <v>22.99264397037037</v>
      </c>
    </row>
    <row r="321" spans="6:57">
      <c r="F321" s="9"/>
      <c r="G321" s="22">
        <v>0.25405899999999998</v>
      </c>
      <c r="H321" s="22">
        <v>8.45641</v>
      </c>
      <c r="I321" s="22">
        <v>-1.40381E-2</v>
      </c>
      <c r="J321" s="22">
        <v>311</v>
      </c>
      <c r="K321" s="22">
        <v>0.25344800000000001</v>
      </c>
      <c r="L321">
        <f t="shared" si="48"/>
        <v>17.330987654320985</v>
      </c>
      <c r="M321">
        <f t="shared" si="49"/>
        <v>4.4030933924691347</v>
      </c>
      <c r="N321" s="9"/>
      <c r="O321" s="22">
        <v>1.4660599999999999</v>
      </c>
      <c r="P321" s="22">
        <v>12.315899999999999</v>
      </c>
      <c r="Q321" s="22">
        <v>-1.2814300000000001E-2</v>
      </c>
      <c r="R321" s="22">
        <v>311</v>
      </c>
      <c r="S321" s="22">
        <v>1.46515</v>
      </c>
      <c r="T321">
        <f t="shared" si="50"/>
        <v>15.820123456790125</v>
      </c>
      <c r="U321">
        <f t="shared" si="51"/>
        <v>23.193250195061729</v>
      </c>
      <c r="X321" s="9"/>
      <c r="Y321" s="22">
        <v>0.25405899999999998</v>
      </c>
      <c r="Z321" s="22">
        <v>17.900600000000001</v>
      </c>
      <c r="AA321" s="22">
        <v>-1.3977099999999999E-2</v>
      </c>
      <c r="AB321" s="22">
        <v>311</v>
      </c>
      <c r="AC321" s="22">
        <v>0.25347900000000001</v>
      </c>
      <c r="AD321">
        <f t="shared" si="52"/>
        <v>17.255679012345677</v>
      </c>
      <c r="AE321">
        <f t="shared" si="53"/>
        <v>4.3839605541975297</v>
      </c>
      <c r="AF321" s="9"/>
      <c r="AG321" s="22">
        <v>1.4660599999999999</v>
      </c>
      <c r="AH321" s="22">
        <v>21.760100000000001</v>
      </c>
      <c r="AI321" s="22">
        <v>-1.2710600000000001E-2</v>
      </c>
      <c r="AJ321" s="22">
        <v>311</v>
      </c>
      <c r="AK321" s="22">
        <v>1.4648399999999999</v>
      </c>
      <c r="AL321">
        <f t="shared" si="54"/>
        <v>15.692098765432098</v>
      </c>
      <c r="AM321">
        <f t="shared" si="55"/>
        <v>23.005558316049381</v>
      </c>
      <c r="AP321" s="9"/>
      <c r="AQ321" s="22">
        <v>0.25405899999999998</v>
      </c>
      <c r="AR321" s="22">
        <v>27.2058</v>
      </c>
      <c r="AS321" s="22">
        <v>-1.39618E-2</v>
      </c>
      <c r="AT321" s="22">
        <v>311</v>
      </c>
      <c r="AU321" s="22">
        <v>0.25351000000000001</v>
      </c>
      <c r="AV321">
        <f t="shared" si="56"/>
        <v>17.236790123456789</v>
      </c>
      <c r="AW321">
        <f t="shared" si="57"/>
        <v>4.3791616619753082</v>
      </c>
      <c r="AX321" s="9"/>
      <c r="AY321" s="22">
        <v>1.4660599999999999</v>
      </c>
      <c r="AZ321" s="22">
        <v>31.065300000000001</v>
      </c>
      <c r="BA321" s="22">
        <v>-1.2722799999999999E-2</v>
      </c>
      <c r="BB321" s="22">
        <v>311</v>
      </c>
      <c r="BC321" s="22">
        <v>1.46576</v>
      </c>
      <c r="BD321">
        <f t="shared" si="58"/>
        <v>15.707160493827157</v>
      </c>
      <c r="BE321">
        <f t="shared" si="59"/>
        <v>23.027639713580239</v>
      </c>
    </row>
    <row r="322" spans="6:57">
      <c r="F322" s="9"/>
      <c r="G322" s="22">
        <v>0.24902299999999999</v>
      </c>
      <c r="H322" s="22">
        <v>8.4664800000000007</v>
      </c>
      <c r="I322" s="22">
        <v>-1.40289E-2</v>
      </c>
      <c r="J322" s="22">
        <v>312</v>
      </c>
      <c r="K322" s="22">
        <v>0.24841299999999999</v>
      </c>
      <c r="L322">
        <f t="shared" si="48"/>
        <v>17.319629629629631</v>
      </c>
      <c r="M322">
        <f t="shared" si="49"/>
        <v>4.3129861292592597</v>
      </c>
      <c r="N322" s="9"/>
      <c r="O322" s="22">
        <v>1.4711000000000001</v>
      </c>
      <c r="P322" s="22">
        <v>12.326000000000001</v>
      </c>
      <c r="Q322" s="22">
        <v>-1.27869E-2</v>
      </c>
      <c r="R322" s="22">
        <v>312</v>
      </c>
      <c r="S322" s="22">
        <v>1.47034</v>
      </c>
      <c r="T322">
        <f t="shared" si="50"/>
        <v>15.786296296296294</v>
      </c>
      <c r="U322">
        <f t="shared" si="51"/>
        <v>23.22322048148148</v>
      </c>
      <c r="X322" s="9"/>
      <c r="Y322" s="22">
        <v>0.24902299999999999</v>
      </c>
      <c r="Z322" s="22">
        <v>17.910699999999999</v>
      </c>
      <c r="AA322" s="22">
        <v>-1.3986200000000001E-2</v>
      </c>
      <c r="AB322" s="22">
        <v>312</v>
      </c>
      <c r="AC322" s="22">
        <v>0.248474</v>
      </c>
      <c r="AD322">
        <f t="shared" si="52"/>
        <v>17.266913580246914</v>
      </c>
      <c r="AE322">
        <f t="shared" si="53"/>
        <v>4.2998586204938274</v>
      </c>
      <c r="AF322" s="9"/>
      <c r="AG322" s="22">
        <v>1.4711000000000001</v>
      </c>
      <c r="AH322" s="22">
        <v>21.770199999999999</v>
      </c>
      <c r="AI322" s="22">
        <v>-1.2670900000000001E-2</v>
      </c>
      <c r="AJ322" s="22">
        <v>312</v>
      </c>
      <c r="AK322" s="22">
        <v>1.4706399999999999</v>
      </c>
      <c r="AL322">
        <f t="shared" si="54"/>
        <v>15.643086419753088</v>
      </c>
      <c r="AM322">
        <f t="shared" si="55"/>
        <v>23.012544432098768</v>
      </c>
      <c r="AP322" s="9"/>
      <c r="AQ322" s="22">
        <v>0.24902299999999999</v>
      </c>
      <c r="AR322" s="22">
        <v>27.215900000000001</v>
      </c>
      <c r="AS322" s="22">
        <v>-1.3964799999999999E-2</v>
      </c>
      <c r="AT322" s="22">
        <v>312</v>
      </c>
      <c r="AU322" s="22">
        <v>0.24859600000000001</v>
      </c>
      <c r="AV322">
        <f t="shared" si="56"/>
        <v>17.240493827160492</v>
      </c>
      <c r="AW322">
        <f t="shared" si="57"/>
        <v>4.2932794943209869</v>
      </c>
      <c r="AX322" s="9"/>
      <c r="AY322" s="22">
        <v>1.4711000000000001</v>
      </c>
      <c r="AZ322" s="22">
        <v>31.075399999999998</v>
      </c>
      <c r="BA322" s="22">
        <v>-1.2689199999999999E-2</v>
      </c>
      <c r="BB322" s="22">
        <v>312</v>
      </c>
      <c r="BC322" s="22">
        <v>1.4706399999999999</v>
      </c>
      <c r="BD322">
        <f t="shared" si="58"/>
        <v>15.665679012345679</v>
      </c>
      <c r="BE322">
        <f t="shared" si="59"/>
        <v>23.04578039506173</v>
      </c>
    </row>
    <row r="323" spans="6:57">
      <c r="F323" s="9"/>
      <c r="G323" s="22">
        <v>0.24398800000000001</v>
      </c>
      <c r="H323" s="22">
        <v>8.4765499999999996</v>
      </c>
      <c r="I323" s="22">
        <v>-1.40137E-2</v>
      </c>
      <c r="J323" s="22">
        <v>313</v>
      </c>
      <c r="K323" s="22">
        <v>0.24337800000000001</v>
      </c>
      <c r="L323">
        <f t="shared" si="48"/>
        <v>17.300864197530863</v>
      </c>
      <c r="M323">
        <f t="shared" si="49"/>
        <v>4.2212032538271602</v>
      </c>
      <c r="N323" s="9"/>
      <c r="O323" s="22">
        <v>1.47614</v>
      </c>
      <c r="P323" s="22">
        <v>12.336</v>
      </c>
      <c r="Q323" s="22">
        <v>-1.2759400000000001E-2</v>
      </c>
      <c r="R323" s="22">
        <v>313</v>
      </c>
      <c r="S323" s="22">
        <v>1.47522</v>
      </c>
      <c r="T323">
        <f t="shared" si="50"/>
        <v>15.752345679012343</v>
      </c>
      <c r="U323">
        <f t="shared" si="51"/>
        <v>23.252667550617282</v>
      </c>
      <c r="X323" s="9"/>
      <c r="Y323" s="22">
        <v>0.24398800000000001</v>
      </c>
      <c r="Z323" s="22">
        <v>17.9208</v>
      </c>
      <c r="AA323" s="22">
        <v>-1.39954E-2</v>
      </c>
      <c r="AB323" s="22">
        <v>313</v>
      </c>
      <c r="AC323" s="22">
        <v>0.24343899999999999</v>
      </c>
      <c r="AD323">
        <f t="shared" si="52"/>
        <v>17.278271604938272</v>
      </c>
      <c r="AE323">
        <f t="shared" si="53"/>
        <v>4.2156909323456793</v>
      </c>
      <c r="AF323" s="9"/>
      <c r="AG323" s="22">
        <v>1.47614</v>
      </c>
      <c r="AH323" s="22">
        <v>21.780200000000001</v>
      </c>
      <c r="AI323" s="22">
        <v>-1.2643400000000001E-2</v>
      </c>
      <c r="AJ323" s="22">
        <v>313</v>
      </c>
      <c r="AK323" s="22">
        <v>1.47522</v>
      </c>
      <c r="AL323">
        <f t="shared" si="54"/>
        <v>15.609135802469137</v>
      </c>
      <c r="AM323">
        <f t="shared" si="55"/>
        <v>23.041269723456793</v>
      </c>
      <c r="AP323" s="9"/>
      <c r="AQ323" s="22">
        <v>0.24398800000000001</v>
      </c>
      <c r="AR323" s="22">
        <v>27.225999999999999</v>
      </c>
      <c r="AS323" s="22">
        <v>-1.3980100000000001E-2</v>
      </c>
      <c r="AT323" s="22">
        <v>313</v>
      </c>
      <c r="AU323" s="22">
        <v>0.24343899999999999</v>
      </c>
      <c r="AV323">
        <f t="shared" si="56"/>
        <v>17.259382716049384</v>
      </c>
      <c r="AW323">
        <f t="shared" si="57"/>
        <v>4.2110822701234571</v>
      </c>
      <c r="AX323" s="9"/>
      <c r="AY323" s="22">
        <v>1.47614</v>
      </c>
      <c r="AZ323" s="22">
        <v>31.0855</v>
      </c>
      <c r="BA323" s="22">
        <v>-1.26617E-2</v>
      </c>
      <c r="BB323" s="22">
        <v>313</v>
      </c>
      <c r="BC323" s="22">
        <v>1.4755199999999999</v>
      </c>
      <c r="BD323">
        <f t="shared" si="58"/>
        <v>15.631728395061728</v>
      </c>
      <c r="BE323">
        <f t="shared" si="59"/>
        <v>23.074619553086418</v>
      </c>
    </row>
    <row r="324" spans="6:57">
      <c r="F324" s="9"/>
      <c r="G324" s="22">
        <v>0.238953</v>
      </c>
      <c r="H324" s="22">
        <v>8.4866200000000003</v>
      </c>
      <c r="I324" s="22">
        <v>-1.3998399999999999E-2</v>
      </c>
      <c r="J324" s="22">
        <v>314</v>
      </c>
      <c r="K324" s="22">
        <v>0.238403</v>
      </c>
      <c r="L324">
        <f t="shared" si="48"/>
        <v>17.281975308641975</v>
      </c>
      <c r="M324">
        <f t="shared" si="49"/>
        <v>4.1295798459259263</v>
      </c>
      <c r="N324" s="9"/>
      <c r="O324" s="22">
        <v>1.4811700000000001</v>
      </c>
      <c r="P324" s="22">
        <v>12.3461</v>
      </c>
      <c r="Q324" s="22">
        <v>-1.2725800000000001E-2</v>
      </c>
      <c r="R324" s="22">
        <v>314</v>
      </c>
      <c r="S324" s="22">
        <v>1.4801</v>
      </c>
      <c r="T324">
        <f t="shared" si="50"/>
        <v>15.710864197530865</v>
      </c>
      <c r="U324">
        <f t="shared" si="51"/>
        <v>23.270460723456793</v>
      </c>
      <c r="X324" s="9"/>
      <c r="Y324" s="22">
        <v>0.238953</v>
      </c>
      <c r="Z324" s="22">
        <v>17.930800000000001</v>
      </c>
      <c r="AA324" s="22">
        <v>-1.40045E-2</v>
      </c>
      <c r="AB324" s="22">
        <v>314</v>
      </c>
      <c r="AC324" s="22">
        <v>0.238403</v>
      </c>
      <c r="AD324">
        <f t="shared" si="52"/>
        <v>17.289506172839506</v>
      </c>
      <c r="AE324">
        <f t="shared" si="53"/>
        <v>4.1313793685185187</v>
      </c>
      <c r="AF324" s="9"/>
      <c r="AG324" s="22">
        <v>1.4811700000000001</v>
      </c>
      <c r="AH324" s="22">
        <v>21.790299999999998</v>
      </c>
      <c r="AI324" s="22">
        <v>-1.2619E-2</v>
      </c>
      <c r="AJ324" s="22">
        <v>314</v>
      </c>
      <c r="AK324" s="22">
        <v>1.48041</v>
      </c>
      <c r="AL324">
        <f t="shared" si="54"/>
        <v>15.579012345679011</v>
      </c>
      <c r="AM324">
        <f t="shared" si="55"/>
        <v>23.075165716049383</v>
      </c>
      <c r="AP324" s="9"/>
      <c r="AQ324" s="22">
        <v>0.238953</v>
      </c>
      <c r="AR324" s="22">
        <v>27.2361</v>
      </c>
      <c r="AS324" s="22">
        <v>-1.3986200000000001E-2</v>
      </c>
      <c r="AT324" s="22">
        <v>314</v>
      </c>
      <c r="AU324" s="22">
        <v>0.23843400000000001</v>
      </c>
      <c r="AV324">
        <f t="shared" si="56"/>
        <v>17.266913580246914</v>
      </c>
      <c r="AW324">
        <f t="shared" si="57"/>
        <v>4.1259808007407406</v>
      </c>
      <c r="AX324" s="9"/>
      <c r="AY324" s="22">
        <v>1.4811700000000001</v>
      </c>
      <c r="AZ324" s="22">
        <v>31.095500000000001</v>
      </c>
      <c r="BA324" s="22">
        <v>-1.2622100000000001E-2</v>
      </c>
      <c r="BB324" s="22">
        <v>314</v>
      </c>
      <c r="BC324" s="22">
        <v>1.4798</v>
      </c>
      <c r="BD324">
        <f t="shared" si="58"/>
        <v>15.582839506172839</v>
      </c>
      <c r="BE324">
        <f t="shared" si="59"/>
        <v>23.080834391358025</v>
      </c>
    </row>
    <row r="325" spans="6:57">
      <c r="F325" s="9"/>
      <c r="G325" s="22">
        <v>0.23391700000000001</v>
      </c>
      <c r="H325" s="22">
        <v>8.4966899999999992</v>
      </c>
      <c r="I325" s="22">
        <v>-1.39954E-2</v>
      </c>
      <c r="J325" s="22">
        <v>315</v>
      </c>
      <c r="K325" s="22">
        <v>0.23330699999999999</v>
      </c>
      <c r="L325">
        <f t="shared" si="48"/>
        <v>17.278271604938272</v>
      </c>
      <c r="M325">
        <f t="shared" si="49"/>
        <v>4.041681459012346</v>
      </c>
      <c r="N325" s="9"/>
      <c r="O325" s="22">
        <v>1.48621</v>
      </c>
      <c r="P325" s="22">
        <v>12.356199999999999</v>
      </c>
      <c r="Q325" s="22">
        <v>-1.2683099999999999E-2</v>
      </c>
      <c r="R325" s="22">
        <v>315</v>
      </c>
      <c r="S325" s="22">
        <v>1.4856</v>
      </c>
      <c r="T325">
        <f t="shared" si="50"/>
        <v>15.658148148148147</v>
      </c>
      <c r="U325">
        <f t="shared" si="51"/>
        <v>23.271296359259257</v>
      </c>
      <c r="X325" s="9"/>
      <c r="Y325" s="22">
        <v>0.23391700000000001</v>
      </c>
      <c r="Z325" s="22">
        <v>17.940899999999999</v>
      </c>
      <c r="AA325" s="22">
        <v>-1.40106E-2</v>
      </c>
      <c r="AB325" s="22">
        <v>315</v>
      </c>
      <c r="AC325" s="22">
        <v>0.23336799999999999</v>
      </c>
      <c r="AD325">
        <f t="shared" si="52"/>
        <v>17.297037037037036</v>
      </c>
      <c r="AE325">
        <f t="shared" si="53"/>
        <v>4.0460710125925923</v>
      </c>
      <c r="AF325" s="9"/>
      <c r="AG325" s="22">
        <v>1.48621</v>
      </c>
      <c r="AH325" s="22">
        <v>21.8004</v>
      </c>
      <c r="AI325" s="22">
        <v>-1.2582400000000001E-2</v>
      </c>
      <c r="AJ325" s="22">
        <v>315</v>
      </c>
      <c r="AK325" s="22">
        <v>1.48468</v>
      </c>
      <c r="AL325">
        <f t="shared" si="54"/>
        <v>15.533827160493827</v>
      </c>
      <c r="AM325">
        <f t="shared" si="55"/>
        <v>23.08652926419753</v>
      </c>
      <c r="AP325" s="9"/>
      <c r="AQ325" s="22">
        <v>0.23391700000000001</v>
      </c>
      <c r="AR325" s="22">
        <v>27.246099999999998</v>
      </c>
      <c r="AS325" s="22">
        <v>-1.3983199999999999E-2</v>
      </c>
      <c r="AT325" s="22">
        <v>315</v>
      </c>
      <c r="AU325" s="22">
        <v>0.23333699999999999</v>
      </c>
      <c r="AV325">
        <f t="shared" si="56"/>
        <v>17.263209876543208</v>
      </c>
      <c r="AW325">
        <f t="shared" si="57"/>
        <v>4.0381582646913579</v>
      </c>
      <c r="AX325" s="9"/>
      <c r="AY325" s="22">
        <v>1.48621</v>
      </c>
      <c r="AZ325" s="22">
        <v>31.105599999999999</v>
      </c>
      <c r="BA325" s="22">
        <v>-1.25793E-2</v>
      </c>
      <c r="BB325" s="22">
        <v>315</v>
      </c>
      <c r="BC325" s="22">
        <v>1.48529</v>
      </c>
      <c r="BD325">
        <f t="shared" si="58"/>
        <v>15.53</v>
      </c>
      <c r="BE325">
        <f t="shared" si="59"/>
        <v>23.080841299999999</v>
      </c>
    </row>
    <row r="326" spans="6:57">
      <c r="F326" s="9"/>
      <c r="G326" s="22">
        <v>0.228882</v>
      </c>
      <c r="H326" s="22">
        <v>8.5067699999999995</v>
      </c>
      <c r="I326" s="22">
        <v>-1.39954E-2</v>
      </c>
      <c r="J326" s="22">
        <v>316</v>
      </c>
      <c r="K326" s="22">
        <v>0.22833300000000001</v>
      </c>
      <c r="L326">
        <f t="shared" si="48"/>
        <v>17.278271604938272</v>
      </c>
      <c r="M326">
        <f t="shared" si="49"/>
        <v>3.9546853614814816</v>
      </c>
      <c r="N326" s="9"/>
      <c r="O326" s="22">
        <v>1.4912399999999999</v>
      </c>
      <c r="P326" s="22">
        <v>12.366199999999999</v>
      </c>
      <c r="Q326" s="22">
        <v>-1.2643400000000001E-2</v>
      </c>
      <c r="R326" s="22">
        <v>316</v>
      </c>
      <c r="S326" s="22">
        <v>1.49048</v>
      </c>
      <c r="T326">
        <f t="shared" si="50"/>
        <v>15.609135802469137</v>
      </c>
      <c r="U326">
        <f t="shared" si="51"/>
        <v>23.276967674074072</v>
      </c>
      <c r="X326" s="9"/>
      <c r="Y326" s="22">
        <v>0.228882</v>
      </c>
      <c r="Z326" s="22">
        <v>17.951000000000001</v>
      </c>
      <c r="AA326" s="22">
        <v>-1.40076E-2</v>
      </c>
      <c r="AB326" s="22">
        <v>316</v>
      </c>
      <c r="AC326" s="22">
        <v>0.228271</v>
      </c>
      <c r="AD326">
        <f t="shared" si="52"/>
        <v>17.293333333333333</v>
      </c>
      <c r="AE326">
        <f t="shared" si="53"/>
        <v>3.95813272</v>
      </c>
      <c r="AF326" s="9"/>
      <c r="AG326" s="22">
        <v>1.4912399999999999</v>
      </c>
      <c r="AH326" s="22">
        <v>21.810400000000001</v>
      </c>
      <c r="AI326" s="22">
        <v>-1.25366E-2</v>
      </c>
      <c r="AJ326" s="22">
        <v>316</v>
      </c>
      <c r="AK326" s="22">
        <v>1.49017</v>
      </c>
      <c r="AL326">
        <f t="shared" si="54"/>
        <v>15.477283950617283</v>
      </c>
      <c r="AM326">
        <f t="shared" si="55"/>
        <v>23.080344918518517</v>
      </c>
      <c r="AP326" s="9"/>
      <c r="AQ326" s="22">
        <v>0.228882</v>
      </c>
      <c r="AR326" s="22">
        <v>27.2562</v>
      </c>
      <c r="AS326" s="22">
        <v>-1.3977099999999999E-2</v>
      </c>
      <c r="AT326" s="22">
        <v>316</v>
      </c>
      <c r="AU326" s="22">
        <v>0.22836300000000001</v>
      </c>
      <c r="AV326">
        <f t="shared" si="56"/>
        <v>17.255679012345677</v>
      </c>
      <c r="AW326">
        <f t="shared" si="57"/>
        <v>3.9495143237037031</v>
      </c>
      <c r="AX326" s="9"/>
      <c r="AY326" s="22">
        <v>1.4912399999999999</v>
      </c>
      <c r="AZ326" s="22">
        <v>31.1157</v>
      </c>
      <c r="BA326" s="22">
        <v>-1.25305E-2</v>
      </c>
      <c r="BB326" s="22">
        <v>316</v>
      </c>
      <c r="BC326" s="22">
        <v>1.48987</v>
      </c>
      <c r="BD326">
        <f t="shared" si="58"/>
        <v>15.469753086419752</v>
      </c>
      <c r="BE326">
        <f t="shared" si="59"/>
        <v>23.069114592592591</v>
      </c>
    </row>
    <row r="327" spans="6:57">
      <c r="F327" s="9"/>
      <c r="G327" s="22">
        <v>0.22384599999999999</v>
      </c>
      <c r="H327" s="22">
        <v>8.5168400000000002</v>
      </c>
      <c r="I327" s="22">
        <v>-1.39954E-2</v>
      </c>
      <c r="J327" s="22">
        <v>317</v>
      </c>
      <c r="K327" s="22">
        <v>0.223358</v>
      </c>
      <c r="L327">
        <f t="shared" si="48"/>
        <v>17.278271604938272</v>
      </c>
      <c r="M327">
        <f t="shared" si="49"/>
        <v>3.8676719856790123</v>
      </c>
      <c r="N327" s="9"/>
      <c r="O327" s="22">
        <v>1.4962800000000001</v>
      </c>
      <c r="P327" s="22">
        <v>12.376300000000001</v>
      </c>
      <c r="Q327" s="22">
        <v>-1.26129E-2</v>
      </c>
      <c r="R327" s="22">
        <v>317</v>
      </c>
      <c r="S327" s="22">
        <v>1.49536</v>
      </c>
      <c r="T327">
        <f t="shared" si="50"/>
        <v>15.571481481481479</v>
      </c>
      <c r="U327">
        <f t="shared" si="51"/>
        <v>23.299296311111107</v>
      </c>
      <c r="X327" s="9"/>
      <c r="Y327" s="22">
        <v>0.22384599999999999</v>
      </c>
      <c r="Z327" s="22">
        <v>17.960999999999999</v>
      </c>
      <c r="AA327" s="22">
        <v>-1.40106E-2</v>
      </c>
      <c r="AB327" s="22">
        <v>317</v>
      </c>
      <c r="AC327" s="22">
        <v>0.22320599999999999</v>
      </c>
      <c r="AD327">
        <f t="shared" si="52"/>
        <v>17.297037037037036</v>
      </c>
      <c r="AE327">
        <f t="shared" si="53"/>
        <v>3.8718725525925923</v>
      </c>
      <c r="AF327" s="9"/>
      <c r="AG327" s="22">
        <v>1.4962800000000001</v>
      </c>
      <c r="AH327" s="22">
        <v>21.820499999999999</v>
      </c>
      <c r="AI327" s="22">
        <v>-1.24969E-2</v>
      </c>
      <c r="AJ327" s="22">
        <v>317</v>
      </c>
      <c r="AK327" s="22">
        <v>1.4950600000000001</v>
      </c>
      <c r="AL327">
        <f t="shared" si="54"/>
        <v>15.428271604938271</v>
      </c>
      <c r="AM327">
        <f t="shared" si="55"/>
        <v>23.085014237037036</v>
      </c>
      <c r="AP327" s="9"/>
      <c r="AQ327" s="22">
        <v>0.22384599999999999</v>
      </c>
      <c r="AR327" s="22">
        <v>27.266300000000001</v>
      </c>
      <c r="AS327" s="22">
        <v>-1.39679E-2</v>
      </c>
      <c r="AT327" s="22">
        <v>317</v>
      </c>
      <c r="AU327" s="22">
        <v>0.223389</v>
      </c>
      <c r="AV327">
        <f t="shared" si="56"/>
        <v>17.244320987654319</v>
      </c>
      <c r="AW327">
        <f t="shared" si="57"/>
        <v>3.8600722758024686</v>
      </c>
      <c r="AX327" s="9"/>
      <c r="AY327" s="22">
        <v>1.4962800000000001</v>
      </c>
      <c r="AZ327" s="22">
        <v>31.125699999999998</v>
      </c>
      <c r="BA327" s="22">
        <v>-1.24908E-2</v>
      </c>
      <c r="BB327" s="22">
        <v>317</v>
      </c>
      <c r="BC327" s="22">
        <v>1.49536</v>
      </c>
      <c r="BD327">
        <f t="shared" si="58"/>
        <v>15.42074074074074</v>
      </c>
      <c r="BE327">
        <f t="shared" si="59"/>
        <v>23.073745955555555</v>
      </c>
    </row>
    <row r="328" spans="6:57">
      <c r="F328" s="9"/>
      <c r="G328" s="22">
        <v>0.21881100000000001</v>
      </c>
      <c r="H328" s="22">
        <v>8.5269100000000009</v>
      </c>
      <c r="I328" s="22">
        <v>-1.3992299999999999E-2</v>
      </c>
      <c r="J328" s="22">
        <v>318</v>
      </c>
      <c r="K328" s="22">
        <v>0.21829200000000001</v>
      </c>
      <c r="L328">
        <f t="shared" si="48"/>
        <v>17.274444444444445</v>
      </c>
      <c r="M328">
        <f t="shared" si="49"/>
        <v>3.7798384633333333</v>
      </c>
      <c r="N328" s="9"/>
      <c r="O328" s="22">
        <v>1.5013099999999999</v>
      </c>
      <c r="P328" s="22">
        <v>12.3864</v>
      </c>
      <c r="Q328" s="22">
        <v>-1.2582400000000001E-2</v>
      </c>
      <c r="R328" s="22">
        <v>318</v>
      </c>
      <c r="S328" s="22">
        <v>1.50024</v>
      </c>
      <c r="T328">
        <f t="shared" si="50"/>
        <v>15.533827160493827</v>
      </c>
      <c r="U328">
        <f t="shared" si="51"/>
        <v>23.321090054320987</v>
      </c>
      <c r="X328" s="9"/>
      <c r="Y328" s="22">
        <v>0.21881100000000001</v>
      </c>
      <c r="Z328" s="22">
        <v>17.9711</v>
      </c>
      <c r="AA328" s="22">
        <v>-1.40106E-2</v>
      </c>
      <c r="AB328" s="22">
        <v>318</v>
      </c>
      <c r="AC328" s="22">
        <v>0.21826200000000001</v>
      </c>
      <c r="AD328">
        <f t="shared" si="52"/>
        <v>17.297037037037036</v>
      </c>
      <c r="AE328">
        <f t="shared" si="53"/>
        <v>3.7847819711111108</v>
      </c>
      <c r="AF328" s="9"/>
      <c r="AG328" s="22">
        <v>1.5013099999999999</v>
      </c>
      <c r="AH328" s="22">
        <v>21.8306</v>
      </c>
      <c r="AI328" s="22">
        <v>-1.2463399999999999E-2</v>
      </c>
      <c r="AJ328" s="22">
        <v>318</v>
      </c>
      <c r="AK328" s="22">
        <v>1.50085</v>
      </c>
      <c r="AL328">
        <f t="shared" si="54"/>
        <v>15.386913580246912</v>
      </c>
      <c r="AM328">
        <f t="shared" si="55"/>
        <v>23.100527227160491</v>
      </c>
      <c r="AP328" s="9"/>
      <c r="AQ328" s="22">
        <v>0.21881100000000001</v>
      </c>
      <c r="AR328" s="22">
        <v>27.276299999999999</v>
      </c>
      <c r="AS328" s="22">
        <v>-1.3974E-2</v>
      </c>
      <c r="AT328" s="22">
        <v>318</v>
      </c>
      <c r="AU328" s="22">
        <v>0.21832299999999999</v>
      </c>
      <c r="AV328">
        <f t="shared" si="56"/>
        <v>17.251851851851853</v>
      </c>
      <c r="AW328">
        <f t="shared" si="57"/>
        <v>3.7748949555555558</v>
      </c>
      <c r="AX328" s="9"/>
      <c r="AY328" s="22">
        <v>1.5013099999999999</v>
      </c>
      <c r="AZ328" s="22">
        <v>31.1358</v>
      </c>
      <c r="BA328" s="22">
        <v>-1.24481E-2</v>
      </c>
      <c r="BB328" s="22">
        <v>318</v>
      </c>
      <c r="BC328" s="22">
        <v>1.50024</v>
      </c>
      <c r="BD328">
        <f t="shared" si="58"/>
        <v>15.368024691358023</v>
      </c>
      <c r="BE328">
        <f t="shared" si="59"/>
        <v>23.072169149382713</v>
      </c>
    </row>
    <row r="329" spans="6:57">
      <c r="F329" s="9"/>
      <c r="G329" s="22">
        <v>0.21377599999999999</v>
      </c>
      <c r="H329" s="22">
        <v>8.5369799999999998</v>
      </c>
      <c r="I329" s="22">
        <v>-1.3992299999999999E-2</v>
      </c>
      <c r="J329" s="22">
        <v>319</v>
      </c>
      <c r="K329" s="22">
        <v>0.213287</v>
      </c>
      <c r="L329">
        <f t="shared" si="48"/>
        <v>17.274444444444445</v>
      </c>
      <c r="M329">
        <f t="shared" si="49"/>
        <v>3.6928616355555555</v>
      </c>
      <c r="N329" s="9"/>
      <c r="O329" s="22">
        <v>1.5063500000000001</v>
      </c>
      <c r="P329" s="22">
        <v>12.3965</v>
      </c>
      <c r="Q329" s="22">
        <v>-1.25366E-2</v>
      </c>
      <c r="R329" s="22">
        <v>319</v>
      </c>
      <c r="S329" s="22">
        <v>1.5057400000000001</v>
      </c>
      <c r="T329">
        <f t="shared" si="50"/>
        <v>15.477283950617283</v>
      </c>
      <c r="U329">
        <f t="shared" si="51"/>
        <v>23.314206679012344</v>
      </c>
      <c r="X329" s="9"/>
      <c r="Y329" s="22">
        <v>0.21377599999999999</v>
      </c>
      <c r="Z329" s="22">
        <v>17.981200000000001</v>
      </c>
      <c r="AA329" s="22">
        <v>-1.40137E-2</v>
      </c>
      <c r="AB329" s="22">
        <v>319</v>
      </c>
      <c r="AC329" s="22">
        <v>0.213196</v>
      </c>
      <c r="AD329">
        <f t="shared" si="52"/>
        <v>17.300864197530863</v>
      </c>
      <c r="AE329">
        <f t="shared" si="53"/>
        <v>3.6985095446913578</v>
      </c>
      <c r="AF329" s="9"/>
      <c r="AG329" s="22">
        <v>1.5063500000000001</v>
      </c>
      <c r="AH329" s="22">
        <v>21.840699999999998</v>
      </c>
      <c r="AI329" s="22">
        <v>-1.24268E-2</v>
      </c>
      <c r="AJ329" s="22">
        <v>319</v>
      </c>
      <c r="AK329" s="22">
        <v>1.50543</v>
      </c>
      <c r="AL329">
        <f t="shared" si="54"/>
        <v>15.341728395061727</v>
      </c>
      <c r="AM329">
        <f t="shared" si="55"/>
        <v>23.110012567901233</v>
      </c>
      <c r="AP329" s="9"/>
      <c r="AQ329" s="22">
        <v>0.21377599999999999</v>
      </c>
      <c r="AR329" s="22">
        <v>27.2864</v>
      </c>
      <c r="AS329" s="22">
        <v>-1.3983199999999999E-2</v>
      </c>
      <c r="AT329" s="22">
        <v>319</v>
      </c>
      <c r="AU329" s="22">
        <v>0.21331800000000001</v>
      </c>
      <c r="AV329">
        <f t="shared" si="56"/>
        <v>17.263209876543208</v>
      </c>
      <c r="AW329">
        <f t="shared" si="57"/>
        <v>3.6904599545679004</v>
      </c>
      <c r="AX329" s="9"/>
      <c r="AY329" s="22">
        <v>1.5063500000000001</v>
      </c>
      <c r="AZ329" s="22">
        <v>31.145900000000001</v>
      </c>
      <c r="BA329" s="22">
        <v>-1.2411500000000001E-2</v>
      </c>
      <c r="BB329" s="22">
        <v>319</v>
      </c>
      <c r="BC329" s="22">
        <v>1.5051300000000001</v>
      </c>
      <c r="BD329">
        <f t="shared" si="58"/>
        <v>15.322839506172839</v>
      </c>
      <c r="BE329">
        <f t="shared" si="59"/>
        <v>23.081559290123458</v>
      </c>
    </row>
    <row r="330" spans="6:57">
      <c r="F330" s="9"/>
      <c r="G330" s="22">
        <v>0.20874000000000001</v>
      </c>
      <c r="H330" s="22">
        <v>8.5470500000000005</v>
      </c>
      <c r="I330" s="22">
        <v>-1.3992299999999999E-2</v>
      </c>
      <c r="J330" s="22">
        <v>320</v>
      </c>
      <c r="K330" s="22">
        <v>0.20819099999999999</v>
      </c>
      <c r="L330">
        <f t="shared" si="48"/>
        <v>17.274444444444445</v>
      </c>
      <c r="M330">
        <f t="shared" si="49"/>
        <v>3.6058675333333334</v>
      </c>
      <c r="N330" s="9"/>
      <c r="O330" s="22">
        <v>1.5113799999999999</v>
      </c>
      <c r="P330" s="22">
        <v>12.406499999999999</v>
      </c>
      <c r="Q330" s="22">
        <v>-1.25092E-2</v>
      </c>
      <c r="R330" s="22">
        <v>320</v>
      </c>
      <c r="S330" s="22">
        <v>1.5106200000000001</v>
      </c>
      <c r="T330">
        <f t="shared" si="50"/>
        <v>15.443456790123456</v>
      </c>
      <c r="U330">
        <f t="shared" si="51"/>
        <v>23.340931723456787</v>
      </c>
      <c r="X330" s="9"/>
      <c r="Y330" s="22">
        <v>0.20874000000000001</v>
      </c>
      <c r="Z330" s="22">
        <v>17.991299999999999</v>
      </c>
      <c r="AA330" s="22">
        <v>-1.4025900000000001E-2</v>
      </c>
      <c r="AB330" s="22">
        <v>320</v>
      </c>
      <c r="AC330" s="22">
        <v>0.208344</v>
      </c>
      <c r="AD330">
        <f t="shared" si="52"/>
        <v>17.315925925925924</v>
      </c>
      <c r="AE330">
        <f t="shared" si="53"/>
        <v>3.6145263777777776</v>
      </c>
      <c r="AF330" s="9"/>
      <c r="AG330" s="22">
        <v>1.5113799999999999</v>
      </c>
      <c r="AH330" s="22">
        <v>21.8507</v>
      </c>
      <c r="AI330" s="22">
        <v>-1.23993E-2</v>
      </c>
      <c r="AJ330" s="22">
        <v>320</v>
      </c>
      <c r="AK330" s="22">
        <v>1.5109300000000001</v>
      </c>
      <c r="AL330">
        <f t="shared" si="54"/>
        <v>15.307777777777778</v>
      </c>
      <c r="AM330">
        <f t="shared" si="55"/>
        <v>23.135869177777778</v>
      </c>
      <c r="AP330" s="9"/>
      <c r="AQ330" s="22">
        <v>0.20874000000000001</v>
      </c>
      <c r="AR330" s="22">
        <v>27.296500000000002</v>
      </c>
      <c r="AS330" s="22">
        <v>-1.3983199999999999E-2</v>
      </c>
      <c r="AT330" s="22">
        <v>320</v>
      </c>
      <c r="AU330" s="22">
        <v>0.20828199999999999</v>
      </c>
      <c r="AV330">
        <f t="shared" si="56"/>
        <v>17.263209876543208</v>
      </c>
      <c r="AW330">
        <f t="shared" si="57"/>
        <v>3.6035224296296291</v>
      </c>
      <c r="AX330" s="9"/>
      <c r="AY330" s="22">
        <v>1.5113799999999999</v>
      </c>
      <c r="AZ330" s="22">
        <v>31.155999999999999</v>
      </c>
      <c r="BA330" s="22">
        <v>-1.2371800000000001E-2</v>
      </c>
      <c r="BB330" s="22">
        <v>320</v>
      </c>
      <c r="BC330" s="22">
        <v>1.51031</v>
      </c>
      <c r="BD330">
        <f t="shared" si="58"/>
        <v>15.273827160493827</v>
      </c>
      <c r="BE330">
        <f t="shared" si="59"/>
        <v>23.084556893827159</v>
      </c>
    </row>
    <row r="331" spans="6:57">
      <c r="F331" s="9"/>
      <c r="G331" s="22">
        <v>0.203705</v>
      </c>
      <c r="H331" s="22">
        <v>8.5571199999999994</v>
      </c>
      <c r="I331" s="22">
        <v>-1.3998399999999999E-2</v>
      </c>
      <c r="J331" s="22">
        <v>321</v>
      </c>
      <c r="K331" s="22">
        <v>0.20321700000000001</v>
      </c>
      <c r="L331">
        <f t="shared" si="48"/>
        <v>17.281975308641975</v>
      </c>
      <c r="M331">
        <f t="shared" si="49"/>
        <v>3.5204247802469135</v>
      </c>
      <c r="N331" s="9"/>
      <c r="O331" s="22">
        <v>1.5164200000000001</v>
      </c>
      <c r="P331" s="22">
        <v>12.416600000000001</v>
      </c>
      <c r="Q331" s="22">
        <v>-1.24695E-2</v>
      </c>
      <c r="R331" s="22">
        <v>321</v>
      </c>
      <c r="S331" s="22">
        <v>1.5158100000000001</v>
      </c>
      <c r="T331">
        <f t="shared" si="50"/>
        <v>15.394444444444444</v>
      </c>
      <c r="U331">
        <f t="shared" si="51"/>
        <v>23.344443444444444</v>
      </c>
      <c r="X331" s="9"/>
      <c r="Y331" s="22">
        <v>0.203705</v>
      </c>
      <c r="Z331" s="22">
        <v>18.001300000000001</v>
      </c>
      <c r="AA331" s="22">
        <v>-1.40289E-2</v>
      </c>
      <c r="AB331" s="22">
        <v>321</v>
      </c>
      <c r="AC331" s="22">
        <v>0.203125</v>
      </c>
      <c r="AD331">
        <f t="shared" si="52"/>
        <v>17.319629629629631</v>
      </c>
      <c r="AE331">
        <f t="shared" si="53"/>
        <v>3.528095153703704</v>
      </c>
      <c r="AF331" s="9"/>
      <c r="AG331" s="22">
        <v>1.5164200000000001</v>
      </c>
      <c r="AH331" s="22">
        <v>21.860800000000001</v>
      </c>
      <c r="AI331" s="22">
        <v>-1.23596E-2</v>
      </c>
      <c r="AJ331" s="22">
        <v>321</v>
      </c>
      <c r="AK331" s="22">
        <v>1.5158100000000001</v>
      </c>
      <c r="AL331">
        <f t="shared" si="54"/>
        <v>15.258765432098766</v>
      </c>
      <c r="AM331">
        <f t="shared" si="55"/>
        <v>23.138697076543213</v>
      </c>
      <c r="AP331" s="9"/>
      <c r="AQ331" s="22">
        <v>0.203705</v>
      </c>
      <c r="AR331" s="22">
        <v>27.3066</v>
      </c>
      <c r="AS331" s="22">
        <v>-1.3980100000000001E-2</v>
      </c>
      <c r="AT331" s="22">
        <v>321</v>
      </c>
      <c r="AU331" s="22">
        <v>0.203156</v>
      </c>
      <c r="AV331">
        <f t="shared" si="56"/>
        <v>17.259382716049384</v>
      </c>
      <c r="AW331">
        <f t="shared" si="57"/>
        <v>3.5158225561728398</v>
      </c>
      <c r="AX331" s="9"/>
      <c r="AY331" s="22">
        <v>1.5164200000000001</v>
      </c>
      <c r="AZ331" s="22">
        <v>31.166</v>
      </c>
      <c r="BA331" s="22">
        <v>-1.23322E-2</v>
      </c>
      <c r="BB331" s="22">
        <v>321</v>
      </c>
      <c r="BC331" s="22">
        <v>1.5152000000000001</v>
      </c>
      <c r="BD331">
        <f t="shared" si="58"/>
        <v>15.224938271604938</v>
      </c>
      <c r="BE331">
        <f t="shared" si="59"/>
        <v>23.087400893827162</v>
      </c>
    </row>
    <row r="332" spans="6:57">
      <c r="F332" s="9"/>
      <c r="G332" s="22">
        <v>0.19866900000000001</v>
      </c>
      <c r="H332" s="22">
        <v>8.5671900000000001</v>
      </c>
      <c r="I332" s="22">
        <v>-1.3992299999999999E-2</v>
      </c>
      <c r="J332" s="22">
        <v>322</v>
      </c>
      <c r="K332" s="22">
        <v>0.19815099999999999</v>
      </c>
      <c r="L332">
        <f t="shared" ref="L332:L392" si="60">-I332/$F$2*1000</f>
        <v>17.274444444444445</v>
      </c>
      <c r="M332">
        <f t="shared" ref="M332:M392" si="61">L332*G332</f>
        <v>3.4318966033333336</v>
      </c>
      <c r="N332" s="9"/>
      <c r="O332" s="22">
        <v>1.52145</v>
      </c>
      <c r="P332" s="22">
        <v>12.4267</v>
      </c>
      <c r="Q332" s="22">
        <v>-1.24359E-2</v>
      </c>
      <c r="R332" s="22">
        <v>322</v>
      </c>
      <c r="S332" s="22">
        <v>1.5203899999999999</v>
      </c>
      <c r="T332">
        <f t="shared" ref="T332:T392" si="62">-Q332/$F$2*1000</f>
        <v>15.352962962962962</v>
      </c>
      <c r="U332">
        <f t="shared" ref="U332:U392" si="63">T332*O332</f>
        <v>23.358765500000001</v>
      </c>
      <c r="X332" s="9"/>
      <c r="Y332" s="22">
        <v>0.19866900000000001</v>
      </c>
      <c r="Z332" s="22">
        <v>18.011399999999998</v>
      </c>
      <c r="AA332" s="22">
        <v>-1.4031999999999999E-2</v>
      </c>
      <c r="AB332" s="22">
        <v>322</v>
      </c>
      <c r="AC332" s="22">
        <v>0.19815099999999999</v>
      </c>
      <c r="AD332">
        <f t="shared" ref="AD332:AD392" si="64">-AA332/$F$2*1000</f>
        <v>17.323456790123455</v>
      </c>
      <c r="AE332">
        <f t="shared" ref="AE332:AE392" si="65">AD332*Y332</f>
        <v>3.441633837037037</v>
      </c>
      <c r="AF332" s="9"/>
      <c r="AG332" s="22">
        <v>1.52145</v>
      </c>
      <c r="AH332" s="22">
        <v>21.870899999999999</v>
      </c>
      <c r="AI332" s="22">
        <v>-1.23199E-2</v>
      </c>
      <c r="AJ332" s="22">
        <v>322</v>
      </c>
      <c r="AK332" s="22">
        <v>1.5203899999999999</v>
      </c>
      <c r="AL332">
        <f t="shared" ref="AL332:AL392" si="66">-AI332/$F$2*1000</f>
        <v>15.209753086419752</v>
      </c>
      <c r="AM332">
        <f t="shared" ref="AM332:AM392" si="67">AL332*AG332</f>
        <v>23.140878833333332</v>
      </c>
      <c r="AP332" s="9"/>
      <c r="AQ332" s="22">
        <v>0.19866900000000001</v>
      </c>
      <c r="AR332" s="22">
        <v>27.316600000000001</v>
      </c>
      <c r="AS332" s="22">
        <v>-1.3986200000000001E-2</v>
      </c>
      <c r="AT332" s="22">
        <v>322</v>
      </c>
      <c r="AU332" s="22">
        <v>0.19802900000000001</v>
      </c>
      <c r="AV332">
        <f t="shared" ref="AV332:AV392" si="68">-AS332/$F$2*1000</f>
        <v>17.266913580246914</v>
      </c>
      <c r="AW332">
        <f t="shared" ref="AW332:AW392" si="69">AV332*AQ332</f>
        <v>3.4304004540740745</v>
      </c>
      <c r="AX332" s="9"/>
      <c r="AY332" s="22">
        <v>1.52145</v>
      </c>
      <c r="AZ332" s="22">
        <v>31.176100000000002</v>
      </c>
      <c r="BA332" s="22">
        <v>-1.22925E-2</v>
      </c>
      <c r="BB332" s="22">
        <v>322</v>
      </c>
      <c r="BC332" s="22">
        <v>1.5200800000000001</v>
      </c>
      <c r="BD332">
        <f t="shared" ref="BD332:BD392" si="70">-BA332/$F$2*1000</f>
        <v>15.175925925925924</v>
      </c>
      <c r="BE332">
        <f t="shared" ref="BE332:BE392" si="71">BD332*AY332</f>
        <v>23.089412499999995</v>
      </c>
    </row>
    <row r="333" spans="6:57">
      <c r="F333" s="9"/>
      <c r="G333" s="22">
        <v>0.193634</v>
      </c>
      <c r="H333" s="22">
        <v>8.5772600000000008</v>
      </c>
      <c r="I333" s="22">
        <v>-1.39954E-2</v>
      </c>
      <c r="J333" s="22">
        <v>323</v>
      </c>
      <c r="K333" s="22">
        <v>0.193054</v>
      </c>
      <c r="L333">
        <f t="shared" si="60"/>
        <v>17.278271604938272</v>
      </c>
      <c r="M333">
        <f t="shared" si="61"/>
        <v>3.3456608439506175</v>
      </c>
      <c r="N333" s="9"/>
      <c r="O333" s="22">
        <v>1.5264899999999999</v>
      </c>
      <c r="P333" s="22">
        <v>12.4367</v>
      </c>
      <c r="Q333" s="22">
        <v>-1.2383999999999999E-2</v>
      </c>
      <c r="R333" s="22">
        <v>323</v>
      </c>
      <c r="S333" s="22">
        <v>1.5255700000000001</v>
      </c>
      <c r="T333">
        <f t="shared" si="62"/>
        <v>15.288888888888886</v>
      </c>
      <c r="U333">
        <f t="shared" si="63"/>
        <v>23.338335999999995</v>
      </c>
      <c r="X333" s="9"/>
      <c r="Y333" s="22">
        <v>0.193634</v>
      </c>
      <c r="Z333" s="22">
        <v>18.0215</v>
      </c>
      <c r="AA333" s="22">
        <v>-1.4041100000000001E-2</v>
      </c>
      <c r="AB333" s="22">
        <v>323</v>
      </c>
      <c r="AC333" s="22">
        <v>0.19308500000000001</v>
      </c>
      <c r="AD333">
        <f t="shared" si="64"/>
        <v>17.334691358024692</v>
      </c>
      <c r="AE333">
        <f t="shared" si="65"/>
        <v>3.3565856264197533</v>
      </c>
      <c r="AF333" s="9"/>
      <c r="AG333" s="22">
        <v>1.5264899999999999</v>
      </c>
      <c r="AH333" s="22">
        <v>21.8809</v>
      </c>
      <c r="AI333" s="22">
        <v>-1.2280299999999999E-2</v>
      </c>
      <c r="AJ333" s="22">
        <v>323</v>
      </c>
      <c r="AK333" s="22">
        <v>1.5255700000000001</v>
      </c>
      <c r="AL333">
        <f t="shared" si="66"/>
        <v>15.160864197530863</v>
      </c>
      <c r="AM333">
        <f t="shared" si="67"/>
        <v>23.142907588888885</v>
      </c>
      <c r="AP333" s="9"/>
      <c r="AQ333" s="22">
        <v>0.193634</v>
      </c>
      <c r="AR333" s="22">
        <v>27.326699999999999</v>
      </c>
      <c r="AS333" s="22">
        <v>-1.39893E-2</v>
      </c>
      <c r="AT333" s="22">
        <v>323</v>
      </c>
      <c r="AU333" s="22">
        <v>0.19308500000000001</v>
      </c>
      <c r="AV333">
        <f t="shared" si="68"/>
        <v>17.270740740740738</v>
      </c>
      <c r="AW333">
        <f t="shared" si="69"/>
        <v>3.3442026125925919</v>
      </c>
      <c r="AX333" s="9"/>
      <c r="AY333" s="22">
        <v>1.5264899999999999</v>
      </c>
      <c r="AZ333" s="22">
        <v>31.186199999999999</v>
      </c>
      <c r="BA333" s="22">
        <v>-1.22559E-2</v>
      </c>
      <c r="BB333" s="22">
        <v>323</v>
      </c>
      <c r="BC333" s="22">
        <v>1.5255700000000001</v>
      </c>
      <c r="BD333">
        <f t="shared" si="70"/>
        <v>15.130740740740739</v>
      </c>
      <c r="BE333">
        <f t="shared" si="71"/>
        <v>23.096924433333328</v>
      </c>
    </row>
    <row r="334" spans="6:57">
      <c r="F334" s="9"/>
      <c r="G334" s="22">
        <v>0.18859899999999999</v>
      </c>
      <c r="H334" s="22">
        <v>8.5873299999999997</v>
      </c>
      <c r="I334" s="22">
        <v>-1.40076E-2</v>
      </c>
      <c r="J334" s="22">
        <v>324</v>
      </c>
      <c r="K334" s="22">
        <v>0.18801899999999999</v>
      </c>
      <c r="L334">
        <f t="shared" si="60"/>
        <v>17.293333333333333</v>
      </c>
      <c r="M334">
        <f t="shared" si="61"/>
        <v>3.2615053733333332</v>
      </c>
      <c r="N334" s="9"/>
      <c r="O334" s="22">
        <v>1.53152</v>
      </c>
      <c r="P334" s="22">
        <v>12.4468</v>
      </c>
      <c r="Q334" s="22">
        <v>-1.23474E-2</v>
      </c>
      <c r="R334" s="22">
        <v>324</v>
      </c>
      <c r="S334" s="22">
        <v>1.5304599999999999</v>
      </c>
      <c r="T334">
        <f t="shared" si="62"/>
        <v>15.243703703703702</v>
      </c>
      <c r="U334">
        <f t="shared" si="63"/>
        <v>23.346037096296293</v>
      </c>
      <c r="X334" s="9"/>
      <c r="Y334" s="22">
        <v>0.18859899999999999</v>
      </c>
      <c r="Z334" s="22">
        <v>18.031500000000001</v>
      </c>
      <c r="AA334" s="22">
        <v>-1.40442E-2</v>
      </c>
      <c r="AB334" s="22">
        <v>324</v>
      </c>
      <c r="AC334" s="22">
        <v>0.18808</v>
      </c>
      <c r="AD334">
        <f t="shared" si="64"/>
        <v>17.338518518518516</v>
      </c>
      <c r="AE334">
        <f t="shared" si="65"/>
        <v>3.2700272540740736</v>
      </c>
      <c r="AF334" s="9"/>
      <c r="AG334" s="22">
        <v>1.53152</v>
      </c>
      <c r="AH334" s="22">
        <v>21.890999999999998</v>
      </c>
      <c r="AI334" s="22">
        <v>-1.22314E-2</v>
      </c>
      <c r="AJ334" s="22">
        <v>324</v>
      </c>
      <c r="AK334" s="22">
        <v>1.5307599999999999</v>
      </c>
      <c r="AL334">
        <f t="shared" si="66"/>
        <v>15.100493827160493</v>
      </c>
      <c r="AM334">
        <f t="shared" si="67"/>
        <v>23.126708306172837</v>
      </c>
      <c r="AP334" s="9"/>
      <c r="AQ334" s="22">
        <v>0.18859899999999999</v>
      </c>
      <c r="AR334" s="22">
        <v>27.3368</v>
      </c>
      <c r="AS334" s="22">
        <v>-1.3980100000000001E-2</v>
      </c>
      <c r="AT334" s="22">
        <v>324</v>
      </c>
      <c r="AU334" s="22">
        <v>0.18804899999999999</v>
      </c>
      <c r="AV334">
        <f t="shared" si="68"/>
        <v>17.259382716049384</v>
      </c>
      <c r="AW334">
        <f t="shared" si="69"/>
        <v>3.2551023208641974</v>
      </c>
      <c r="AX334" s="9"/>
      <c r="AY334" s="22">
        <v>1.53152</v>
      </c>
      <c r="AZ334" s="22">
        <v>31.196200000000001</v>
      </c>
      <c r="BA334" s="22">
        <v>-1.2204E-2</v>
      </c>
      <c r="BB334" s="22">
        <v>324</v>
      </c>
      <c r="BC334" s="22">
        <v>1.5310699999999999</v>
      </c>
      <c r="BD334">
        <f t="shared" si="70"/>
        <v>15.066666666666666</v>
      </c>
      <c r="BE334">
        <f t="shared" si="71"/>
        <v>23.074901333333333</v>
      </c>
    </row>
    <row r="335" spans="6:57">
      <c r="F335" s="9"/>
      <c r="G335" s="22">
        <v>0.183563</v>
      </c>
      <c r="H335" s="22">
        <v>8.5974000000000004</v>
      </c>
      <c r="I335" s="22">
        <v>-1.40106E-2</v>
      </c>
      <c r="J335" s="22">
        <v>325</v>
      </c>
      <c r="K335" s="22">
        <v>0.18310499999999999</v>
      </c>
      <c r="L335">
        <f t="shared" si="60"/>
        <v>17.297037037037036</v>
      </c>
      <c r="M335">
        <f t="shared" si="61"/>
        <v>3.1750960096296295</v>
      </c>
      <c r="N335" s="9"/>
      <c r="O335" s="22">
        <v>1.5365599999999999</v>
      </c>
      <c r="P335" s="22">
        <v>12.456899999999999</v>
      </c>
      <c r="Q335" s="22">
        <v>-1.2295499999999999E-2</v>
      </c>
      <c r="R335" s="22">
        <v>325</v>
      </c>
      <c r="S335" s="22">
        <v>1.5362499999999999</v>
      </c>
      <c r="T335">
        <f t="shared" si="62"/>
        <v>15.179629629629629</v>
      </c>
      <c r="U335">
        <f t="shared" si="63"/>
        <v>23.324411703703703</v>
      </c>
      <c r="X335" s="9"/>
      <c r="Y335" s="22">
        <v>0.183563</v>
      </c>
      <c r="Z335" s="22">
        <v>18.041599999999999</v>
      </c>
      <c r="AA335" s="22">
        <v>-1.40442E-2</v>
      </c>
      <c r="AB335" s="22">
        <v>325</v>
      </c>
      <c r="AC335" s="22">
        <v>0.18301400000000001</v>
      </c>
      <c r="AD335">
        <f t="shared" si="64"/>
        <v>17.338518518518516</v>
      </c>
      <c r="AE335">
        <f t="shared" si="65"/>
        <v>3.1827104748148143</v>
      </c>
      <c r="AF335" s="9"/>
      <c r="AG335" s="22">
        <v>1.5365599999999999</v>
      </c>
      <c r="AH335" s="22">
        <v>21.9011</v>
      </c>
      <c r="AI335" s="22">
        <v>-1.21826E-2</v>
      </c>
      <c r="AJ335" s="22">
        <v>325</v>
      </c>
      <c r="AK335" s="22">
        <v>1.5356399999999999</v>
      </c>
      <c r="AL335">
        <f t="shared" si="66"/>
        <v>15.040246913580246</v>
      </c>
      <c r="AM335">
        <f t="shared" si="67"/>
        <v>23.110241797530861</v>
      </c>
      <c r="AP335" s="9"/>
      <c r="AQ335" s="22">
        <v>0.183563</v>
      </c>
      <c r="AR335" s="22">
        <v>27.346800000000002</v>
      </c>
      <c r="AS335" s="22">
        <v>-1.39709E-2</v>
      </c>
      <c r="AT335" s="22">
        <v>325</v>
      </c>
      <c r="AU335" s="22">
        <v>0.18307499999999999</v>
      </c>
      <c r="AV335">
        <f t="shared" si="68"/>
        <v>17.248024691358022</v>
      </c>
      <c r="AW335">
        <f t="shared" si="69"/>
        <v>3.1660991564197527</v>
      </c>
      <c r="AX335" s="9"/>
      <c r="AY335" s="22">
        <v>1.5365599999999999</v>
      </c>
      <c r="AZ335" s="22">
        <v>31.206299999999999</v>
      </c>
      <c r="BA335" s="22">
        <v>-1.2152100000000001E-2</v>
      </c>
      <c r="BB335" s="22">
        <v>325</v>
      </c>
      <c r="BC335" s="22">
        <v>1.5359499999999999</v>
      </c>
      <c r="BD335">
        <f t="shared" si="70"/>
        <v>15.002592592592592</v>
      </c>
      <c r="BE335">
        <f t="shared" si="71"/>
        <v>23.052383674074072</v>
      </c>
    </row>
    <row r="336" spans="6:57">
      <c r="F336" s="9"/>
      <c r="G336" s="22">
        <v>0.17852799999999999</v>
      </c>
      <c r="H336" s="22">
        <v>8.6074800000000007</v>
      </c>
      <c r="I336" s="22">
        <v>-1.40167E-2</v>
      </c>
      <c r="J336" s="22">
        <v>326</v>
      </c>
      <c r="K336" s="22">
        <v>0.17804</v>
      </c>
      <c r="L336">
        <f t="shared" si="60"/>
        <v>17.304567901234567</v>
      </c>
      <c r="M336">
        <f t="shared" si="61"/>
        <v>3.0893498982716046</v>
      </c>
      <c r="N336" s="9"/>
      <c r="O336" s="22">
        <v>1.5416000000000001</v>
      </c>
      <c r="P336" s="22">
        <v>12.466900000000001</v>
      </c>
      <c r="Q336" s="22">
        <v>-1.2252799999999999E-2</v>
      </c>
      <c r="R336" s="22">
        <v>326</v>
      </c>
      <c r="S336" s="22">
        <v>1.5408299999999999</v>
      </c>
      <c r="T336">
        <f t="shared" si="62"/>
        <v>15.126913580246912</v>
      </c>
      <c r="U336">
        <f t="shared" si="63"/>
        <v>23.319649975308639</v>
      </c>
      <c r="X336" s="9"/>
      <c r="Y336" s="22">
        <v>0.17852799999999999</v>
      </c>
      <c r="Z336" s="22">
        <v>18.0517</v>
      </c>
      <c r="AA336" s="22">
        <v>-1.40381E-2</v>
      </c>
      <c r="AB336" s="22">
        <v>326</v>
      </c>
      <c r="AC336" s="22">
        <v>0.17804</v>
      </c>
      <c r="AD336">
        <f t="shared" si="64"/>
        <v>17.330987654320985</v>
      </c>
      <c r="AE336">
        <f t="shared" si="65"/>
        <v>3.0940665639506166</v>
      </c>
      <c r="AF336" s="9"/>
      <c r="AG336" s="22">
        <v>1.5416000000000001</v>
      </c>
      <c r="AH336" s="22">
        <v>21.911200000000001</v>
      </c>
      <c r="AI336" s="22">
        <v>-1.21368E-2</v>
      </c>
      <c r="AJ336" s="22">
        <v>326</v>
      </c>
      <c r="AK336" s="22">
        <v>1.5408299999999999</v>
      </c>
      <c r="AL336">
        <f t="shared" si="66"/>
        <v>14.983703703703702</v>
      </c>
      <c r="AM336">
        <f t="shared" si="67"/>
        <v>23.098877629629627</v>
      </c>
      <c r="AP336" s="9"/>
      <c r="AQ336" s="22">
        <v>0.17852799999999999</v>
      </c>
      <c r="AR336" s="22">
        <v>27.3569</v>
      </c>
      <c r="AS336" s="22">
        <v>-1.3974E-2</v>
      </c>
      <c r="AT336" s="22">
        <v>326</v>
      </c>
      <c r="AU336" s="22">
        <v>0.177948</v>
      </c>
      <c r="AV336">
        <f t="shared" si="68"/>
        <v>17.251851851851853</v>
      </c>
      <c r="AW336">
        <f t="shared" si="69"/>
        <v>3.0799386074074073</v>
      </c>
      <c r="AX336" s="9"/>
      <c r="AY336" s="22">
        <v>1.5416000000000001</v>
      </c>
      <c r="AZ336" s="22">
        <v>31.2164</v>
      </c>
      <c r="BA336" s="22">
        <v>-1.2103300000000001E-2</v>
      </c>
      <c r="BB336" s="22">
        <v>326</v>
      </c>
      <c r="BC336" s="22">
        <v>1.5408299999999999</v>
      </c>
      <c r="BD336">
        <f t="shared" si="70"/>
        <v>14.942345679012346</v>
      </c>
      <c r="BE336">
        <f t="shared" si="71"/>
        <v>23.035120098765436</v>
      </c>
    </row>
    <row r="337" spans="6:57">
      <c r="F337" s="9"/>
      <c r="G337" s="22">
        <v>0.17349200000000001</v>
      </c>
      <c r="H337" s="22">
        <v>8.6175499999999996</v>
      </c>
      <c r="I337" s="22">
        <v>-1.40289E-2</v>
      </c>
      <c r="J337" s="22">
        <v>327</v>
      </c>
      <c r="K337" s="22">
        <v>0.17294300000000001</v>
      </c>
      <c r="L337">
        <f t="shared" si="60"/>
        <v>17.319629629629631</v>
      </c>
      <c r="M337">
        <f t="shared" si="61"/>
        <v>3.0048171837037039</v>
      </c>
      <c r="N337" s="9"/>
      <c r="O337" s="22">
        <v>1.5466299999999999</v>
      </c>
      <c r="P337" s="22">
        <v>12.477</v>
      </c>
      <c r="Q337" s="22">
        <v>-1.2207000000000001E-2</v>
      </c>
      <c r="R337" s="22">
        <v>327</v>
      </c>
      <c r="S337" s="22">
        <v>1.54633</v>
      </c>
      <c r="T337">
        <f t="shared" si="62"/>
        <v>15.070370370370371</v>
      </c>
      <c r="U337">
        <f t="shared" si="63"/>
        <v>23.308286925925927</v>
      </c>
      <c r="X337" s="9"/>
      <c r="Y337" s="22">
        <v>0.17349200000000001</v>
      </c>
      <c r="Z337" s="22">
        <v>18.061800000000002</v>
      </c>
      <c r="AA337" s="22">
        <v>-1.40442E-2</v>
      </c>
      <c r="AB337" s="22">
        <v>327</v>
      </c>
      <c r="AC337" s="22">
        <v>0.17288200000000001</v>
      </c>
      <c r="AD337">
        <f t="shared" si="64"/>
        <v>17.338518518518516</v>
      </c>
      <c r="AE337">
        <f t="shared" si="65"/>
        <v>3.0080942548148144</v>
      </c>
      <c r="AF337" s="9"/>
      <c r="AG337" s="22">
        <v>1.5466299999999999</v>
      </c>
      <c r="AH337" s="22">
        <v>21.921199999999999</v>
      </c>
      <c r="AI337" s="22">
        <v>-1.21002E-2</v>
      </c>
      <c r="AJ337" s="22">
        <v>327</v>
      </c>
      <c r="AK337" s="22">
        <v>1.54541</v>
      </c>
      <c r="AL337">
        <f t="shared" si="66"/>
        <v>14.938518518518517</v>
      </c>
      <c r="AM337">
        <f t="shared" si="67"/>
        <v>23.104360896296292</v>
      </c>
      <c r="AP337" s="9"/>
      <c r="AQ337" s="22">
        <v>0.17349200000000001</v>
      </c>
      <c r="AR337" s="22">
        <v>27.367000000000001</v>
      </c>
      <c r="AS337" s="22">
        <v>-1.3977099999999999E-2</v>
      </c>
      <c r="AT337" s="22">
        <v>327</v>
      </c>
      <c r="AU337" s="22">
        <v>0.17300399999999999</v>
      </c>
      <c r="AV337">
        <f t="shared" si="68"/>
        <v>17.255679012345677</v>
      </c>
      <c r="AW337">
        <f t="shared" si="69"/>
        <v>2.9937222632098766</v>
      </c>
      <c r="AX337" s="9"/>
      <c r="AY337" s="22">
        <v>1.5466299999999999</v>
      </c>
      <c r="AZ337" s="22">
        <v>31.226500000000001</v>
      </c>
      <c r="BA337" s="22">
        <v>-1.2057500000000001E-2</v>
      </c>
      <c r="BB337" s="22">
        <v>327</v>
      </c>
      <c r="BC337" s="22">
        <v>1.54541</v>
      </c>
      <c r="BD337">
        <f t="shared" si="70"/>
        <v>14.885802469135802</v>
      </c>
      <c r="BE337">
        <f t="shared" si="71"/>
        <v>23.022828672839506</v>
      </c>
    </row>
    <row r="338" spans="6:57">
      <c r="F338" s="9"/>
      <c r="G338" s="22">
        <v>0.168457</v>
      </c>
      <c r="H338" s="22">
        <v>8.6276200000000003</v>
      </c>
      <c r="I338" s="22">
        <v>-1.4035000000000001E-2</v>
      </c>
      <c r="J338" s="22">
        <v>328</v>
      </c>
      <c r="K338" s="22">
        <v>0.16805999999999999</v>
      </c>
      <c r="L338">
        <f t="shared" si="60"/>
        <v>17.327160493827162</v>
      </c>
      <c r="M338">
        <f t="shared" si="61"/>
        <v>2.9188814753086421</v>
      </c>
      <c r="N338" s="9"/>
      <c r="O338" s="22">
        <v>1.5516700000000001</v>
      </c>
      <c r="P338" s="22">
        <v>12.4871</v>
      </c>
      <c r="Q338" s="22">
        <v>-1.21552E-2</v>
      </c>
      <c r="R338" s="22">
        <v>328</v>
      </c>
      <c r="S338" s="22">
        <v>1.55121</v>
      </c>
      <c r="T338">
        <f t="shared" si="62"/>
        <v>15.006419753086417</v>
      </c>
      <c r="U338">
        <f t="shared" si="63"/>
        <v>23.285011338271602</v>
      </c>
      <c r="X338" s="9"/>
      <c r="Y338" s="22">
        <v>0.168457</v>
      </c>
      <c r="Z338" s="22">
        <v>18.0718</v>
      </c>
      <c r="AA338" s="22">
        <v>-1.40442E-2</v>
      </c>
      <c r="AB338" s="22">
        <v>328</v>
      </c>
      <c r="AC338" s="22">
        <v>0.167908</v>
      </c>
      <c r="AD338">
        <f t="shared" si="64"/>
        <v>17.338518518518516</v>
      </c>
      <c r="AE338">
        <f t="shared" si="65"/>
        <v>2.9207948140740734</v>
      </c>
      <c r="AF338" s="9"/>
      <c r="AG338" s="22">
        <v>1.5516700000000001</v>
      </c>
      <c r="AH338" s="22">
        <v>21.9313</v>
      </c>
      <c r="AI338" s="22">
        <v>-1.2042199999999999E-2</v>
      </c>
      <c r="AJ338" s="22">
        <v>328</v>
      </c>
      <c r="AK338" s="22">
        <v>1.5502899999999999</v>
      </c>
      <c r="AL338">
        <f t="shared" si="66"/>
        <v>14.866913580246912</v>
      </c>
      <c r="AM338">
        <f t="shared" si="67"/>
        <v>23.068543795061728</v>
      </c>
      <c r="AP338" s="9"/>
      <c r="AQ338" s="22">
        <v>0.168457</v>
      </c>
      <c r="AR338" s="22">
        <v>27.377099999999999</v>
      </c>
      <c r="AS338" s="22">
        <v>-1.3980100000000001E-2</v>
      </c>
      <c r="AT338" s="22">
        <v>328</v>
      </c>
      <c r="AU338" s="22">
        <v>0.16796900000000001</v>
      </c>
      <c r="AV338">
        <f t="shared" si="68"/>
        <v>17.259382716049384</v>
      </c>
      <c r="AW338">
        <f t="shared" si="69"/>
        <v>2.907463834197531</v>
      </c>
      <c r="AX338" s="9"/>
      <c r="AY338" s="22">
        <v>1.5516700000000001</v>
      </c>
      <c r="AZ338" s="22">
        <v>31.236499999999999</v>
      </c>
      <c r="BA338" s="22">
        <v>-1.19995E-2</v>
      </c>
      <c r="BB338" s="22">
        <v>328</v>
      </c>
      <c r="BC338" s="22">
        <v>1.5502899999999999</v>
      </c>
      <c r="BD338">
        <f t="shared" si="70"/>
        <v>14.814197530864195</v>
      </c>
      <c r="BE338">
        <f t="shared" si="71"/>
        <v>22.986745882716047</v>
      </c>
    </row>
    <row r="339" spans="6:57">
      <c r="F339" s="9"/>
      <c r="G339" s="22">
        <v>0.16342200000000001</v>
      </c>
      <c r="H339" s="22">
        <v>8.6376899999999992</v>
      </c>
      <c r="I339" s="22">
        <v>-1.4035000000000001E-2</v>
      </c>
      <c r="J339" s="22">
        <v>329</v>
      </c>
      <c r="K339" s="22">
        <v>0.16284199999999999</v>
      </c>
      <c r="L339">
        <f t="shared" si="60"/>
        <v>17.327160493827162</v>
      </c>
      <c r="M339">
        <f t="shared" si="61"/>
        <v>2.8316392222222224</v>
      </c>
      <c r="N339" s="9"/>
      <c r="O339" s="22">
        <v>1.5567</v>
      </c>
      <c r="P339" s="22">
        <v>12.497199999999999</v>
      </c>
      <c r="Q339" s="22">
        <v>-1.2097200000000001E-2</v>
      </c>
      <c r="R339" s="22">
        <v>329</v>
      </c>
      <c r="S339" s="22">
        <v>1.55548</v>
      </c>
      <c r="T339">
        <f t="shared" si="62"/>
        <v>14.934814814814814</v>
      </c>
      <c r="U339">
        <f t="shared" si="63"/>
        <v>23.24902622222222</v>
      </c>
      <c r="X339" s="9"/>
      <c r="Y339" s="22">
        <v>0.16342200000000001</v>
      </c>
      <c r="Z339" s="22">
        <v>18.081900000000001</v>
      </c>
      <c r="AA339" s="22">
        <v>-1.40503E-2</v>
      </c>
      <c r="AB339" s="22">
        <v>329</v>
      </c>
      <c r="AC339" s="22">
        <v>0.16290299999999999</v>
      </c>
      <c r="AD339">
        <f t="shared" si="64"/>
        <v>17.34604938271605</v>
      </c>
      <c r="AE339">
        <f t="shared" si="65"/>
        <v>2.8347260822222227</v>
      </c>
      <c r="AF339" s="9"/>
      <c r="AG339" s="22">
        <v>1.5567</v>
      </c>
      <c r="AH339" s="22">
        <v>21.941400000000002</v>
      </c>
      <c r="AI339" s="22">
        <v>-1.1981199999999999E-2</v>
      </c>
      <c r="AJ339" s="22">
        <v>329</v>
      </c>
      <c r="AK339" s="22">
        <v>1.55609</v>
      </c>
      <c r="AL339">
        <f t="shared" si="66"/>
        <v>14.791604938271602</v>
      </c>
      <c r="AM339">
        <f t="shared" si="67"/>
        <v>23.026091407407403</v>
      </c>
      <c r="AP339" s="9"/>
      <c r="AQ339" s="22">
        <v>0.16342200000000001</v>
      </c>
      <c r="AR339" s="22">
        <v>27.3871</v>
      </c>
      <c r="AS339" s="22">
        <v>-1.3983199999999999E-2</v>
      </c>
      <c r="AT339" s="22">
        <v>329</v>
      </c>
      <c r="AU339" s="22">
        <v>0.16284199999999999</v>
      </c>
      <c r="AV339">
        <f t="shared" si="68"/>
        <v>17.263209876543208</v>
      </c>
      <c r="AW339">
        <f t="shared" si="69"/>
        <v>2.8211882844444442</v>
      </c>
      <c r="AX339" s="9"/>
      <c r="AY339" s="22">
        <v>1.5567</v>
      </c>
      <c r="AZ339" s="22">
        <v>31.246600000000001</v>
      </c>
      <c r="BA339" s="22">
        <v>-1.19446E-2</v>
      </c>
      <c r="BB339" s="22">
        <v>329</v>
      </c>
      <c r="BC339" s="22">
        <v>1.55548</v>
      </c>
      <c r="BD339">
        <f t="shared" si="70"/>
        <v>14.746419753086418</v>
      </c>
      <c r="BE339">
        <f t="shared" si="71"/>
        <v>22.955751629629624</v>
      </c>
    </row>
    <row r="340" spans="6:57">
      <c r="F340" s="9"/>
      <c r="G340" s="22">
        <v>0.158386</v>
      </c>
      <c r="H340" s="22">
        <v>8.6477599999999999</v>
      </c>
      <c r="I340" s="22">
        <v>-1.4031999999999999E-2</v>
      </c>
      <c r="J340" s="22">
        <v>330</v>
      </c>
      <c r="K340" s="22">
        <v>0.15783700000000001</v>
      </c>
      <c r="L340">
        <f t="shared" si="60"/>
        <v>17.323456790123455</v>
      </c>
      <c r="M340">
        <f t="shared" si="61"/>
        <v>2.7437930271604936</v>
      </c>
      <c r="N340" s="9"/>
      <c r="O340" s="22">
        <v>1.5617399999999999</v>
      </c>
      <c r="P340" s="22">
        <v>12.507199999999999</v>
      </c>
      <c r="Q340" s="22">
        <v>-1.20453E-2</v>
      </c>
      <c r="R340" s="22">
        <v>330</v>
      </c>
      <c r="S340" s="22">
        <v>1.56067</v>
      </c>
      <c r="T340">
        <f t="shared" si="62"/>
        <v>14.870740740740739</v>
      </c>
      <c r="U340">
        <f t="shared" si="63"/>
        <v>23.22423064444444</v>
      </c>
      <c r="X340" s="9"/>
      <c r="Y340" s="22">
        <v>0.158386</v>
      </c>
      <c r="Z340" s="22">
        <v>18.091999999999999</v>
      </c>
      <c r="AA340" s="22">
        <v>-1.4053299999999999E-2</v>
      </c>
      <c r="AB340" s="22">
        <v>330</v>
      </c>
      <c r="AC340" s="22">
        <v>0.15786700000000001</v>
      </c>
      <c r="AD340">
        <f t="shared" si="64"/>
        <v>17.349753086419753</v>
      </c>
      <c r="AE340">
        <f t="shared" si="65"/>
        <v>2.7479579923456789</v>
      </c>
      <c r="AF340" s="9"/>
      <c r="AG340" s="22">
        <v>1.5617399999999999</v>
      </c>
      <c r="AH340" s="22">
        <v>21.9514</v>
      </c>
      <c r="AI340" s="22">
        <v>-1.1920200000000001E-2</v>
      </c>
      <c r="AJ340" s="22">
        <v>330</v>
      </c>
      <c r="AK340" s="22">
        <v>1.56128</v>
      </c>
      <c r="AL340">
        <f t="shared" si="66"/>
        <v>14.716296296296298</v>
      </c>
      <c r="AM340">
        <f t="shared" si="67"/>
        <v>22.983028577777777</v>
      </c>
      <c r="AP340" s="9"/>
      <c r="AQ340" s="22">
        <v>0.158386</v>
      </c>
      <c r="AR340" s="22">
        <v>27.397200000000002</v>
      </c>
      <c r="AS340" s="22">
        <v>-1.3992299999999999E-2</v>
      </c>
      <c r="AT340" s="22">
        <v>330</v>
      </c>
      <c r="AU340" s="22">
        <v>0.15789800000000001</v>
      </c>
      <c r="AV340">
        <f t="shared" si="68"/>
        <v>17.274444444444445</v>
      </c>
      <c r="AW340">
        <f t="shared" si="69"/>
        <v>2.7360301577777779</v>
      </c>
      <c r="AX340" s="9"/>
      <c r="AY340" s="22">
        <v>1.5617399999999999</v>
      </c>
      <c r="AZ340" s="22">
        <v>31.256699999999999</v>
      </c>
      <c r="BA340" s="22">
        <v>-1.18805E-2</v>
      </c>
      <c r="BB340" s="22">
        <v>330</v>
      </c>
      <c r="BC340" s="22">
        <v>1.56067</v>
      </c>
      <c r="BD340">
        <f t="shared" si="70"/>
        <v>14.667283950617284</v>
      </c>
      <c r="BE340">
        <f t="shared" si="71"/>
        <v>22.906484037037036</v>
      </c>
    </row>
    <row r="341" spans="6:57">
      <c r="F341" s="9"/>
      <c r="G341" s="22">
        <v>0.15335099999999999</v>
      </c>
      <c r="H341" s="22">
        <v>8.6578300000000006</v>
      </c>
      <c r="I341" s="22">
        <v>-1.40289E-2</v>
      </c>
      <c r="J341" s="22">
        <v>331</v>
      </c>
      <c r="K341" s="22">
        <v>0.15280199999999999</v>
      </c>
      <c r="L341">
        <f t="shared" si="60"/>
        <v>17.319629629629631</v>
      </c>
      <c r="M341">
        <f t="shared" si="61"/>
        <v>2.6559825233333334</v>
      </c>
      <c r="N341" s="9"/>
      <c r="O341" s="22">
        <v>1.56677</v>
      </c>
      <c r="P341" s="22">
        <v>12.517300000000001</v>
      </c>
      <c r="Q341" s="22">
        <v>-1.1981199999999999E-2</v>
      </c>
      <c r="R341" s="22">
        <v>331</v>
      </c>
      <c r="S341" s="22">
        <v>1.56647</v>
      </c>
      <c r="T341">
        <f t="shared" si="62"/>
        <v>14.791604938271602</v>
      </c>
      <c r="U341">
        <f t="shared" si="63"/>
        <v>23.175042869135797</v>
      </c>
      <c r="X341" s="9"/>
      <c r="Y341" s="22">
        <v>0.15335099999999999</v>
      </c>
      <c r="Z341" s="22">
        <v>18.102</v>
      </c>
      <c r="AA341" s="22">
        <v>-1.40564E-2</v>
      </c>
      <c r="AB341" s="22">
        <v>331</v>
      </c>
      <c r="AC341" s="22">
        <v>0.15277099999999999</v>
      </c>
      <c r="AD341">
        <f t="shared" si="64"/>
        <v>17.35358024691358</v>
      </c>
      <c r="AE341">
        <f t="shared" si="65"/>
        <v>2.661188884444444</v>
      </c>
      <c r="AF341" s="9"/>
      <c r="AG341" s="22">
        <v>1.56677</v>
      </c>
      <c r="AH341" s="22">
        <v>21.961500000000001</v>
      </c>
      <c r="AI341" s="22">
        <v>-1.1853000000000001E-2</v>
      </c>
      <c r="AJ341" s="22">
        <v>331</v>
      </c>
      <c r="AK341" s="22">
        <v>1.56586</v>
      </c>
      <c r="AL341">
        <f t="shared" si="66"/>
        <v>14.633333333333333</v>
      </c>
      <c r="AM341">
        <f t="shared" si="67"/>
        <v>22.927067666666666</v>
      </c>
      <c r="AP341" s="9"/>
      <c r="AQ341" s="22">
        <v>0.15335099999999999</v>
      </c>
      <c r="AR341" s="22">
        <v>27.407299999999999</v>
      </c>
      <c r="AS341" s="22">
        <v>-1.40015E-2</v>
      </c>
      <c r="AT341" s="22">
        <v>331</v>
      </c>
      <c r="AU341" s="22">
        <v>0.152832</v>
      </c>
      <c r="AV341">
        <f t="shared" si="68"/>
        <v>17.285802469135803</v>
      </c>
      <c r="AW341">
        <f t="shared" si="69"/>
        <v>2.6507950944444443</v>
      </c>
      <c r="AX341" s="9"/>
      <c r="AY341" s="22">
        <v>1.56677</v>
      </c>
      <c r="AZ341" s="22">
        <v>31.2667</v>
      </c>
      <c r="BA341" s="22">
        <v>-1.18195E-2</v>
      </c>
      <c r="BB341" s="22">
        <v>331</v>
      </c>
      <c r="BC341" s="22">
        <v>1.56555</v>
      </c>
      <c r="BD341">
        <f t="shared" si="70"/>
        <v>14.591975308641976</v>
      </c>
      <c r="BE341">
        <f t="shared" si="71"/>
        <v>22.862269154320987</v>
      </c>
    </row>
    <row r="342" spans="6:57">
      <c r="F342" s="9"/>
      <c r="G342" s="22">
        <v>0.148315</v>
      </c>
      <c r="H342" s="22">
        <v>8.6678999999999995</v>
      </c>
      <c r="I342" s="22">
        <v>-1.4019800000000001E-2</v>
      </c>
      <c r="J342" s="22">
        <v>332</v>
      </c>
      <c r="K342" s="22">
        <v>0.14782699999999999</v>
      </c>
      <c r="L342">
        <f t="shared" si="60"/>
        <v>17.308395061728394</v>
      </c>
      <c r="M342">
        <f t="shared" si="61"/>
        <v>2.5670946135802466</v>
      </c>
      <c r="N342" s="9"/>
      <c r="O342" s="22">
        <v>1.5718099999999999</v>
      </c>
      <c r="P342" s="22">
        <v>12.5274</v>
      </c>
      <c r="Q342" s="22">
        <v>-1.1920200000000001E-2</v>
      </c>
      <c r="R342" s="22">
        <v>332</v>
      </c>
      <c r="S342" s="22">
        <v>1.57104</v>
      </c>
      <c r="T342">
        <f t="shared" si="62"/>
        <v>14.716296296296298</v>
      </c>
      <c r="U342">
        <f t="shared" si="63"/>
        <v>23.131221681481481</v>
      </c>
      <c r="X342" s="9"/>
      <c r="Y342" s="22">
        <v>0.148315</v>
      </c>
      <c r="Z342" s="22">
        <v>18.112100000000002</v>
      </c>
      <c r="AA342" s="22">
        <v>-1.40564E-2</v>
      </c>
      <c r="AB342" s="22">
        <v>332</v>
      </c>
      <c r="AC342" s="22">
        <v>0.14779700000000001</v>
      </c>
      <c r="AD342">
        <f t="shared" si="64"/>
        <v>17.35358024691358</v>
      </c>
      <c r="AE342">
        <f t="shared" si="65"/>
        <v>2.5737962543209876</v>
      </c>
      <c r="AF342" s="9"/>
      <c r="AG342" s="22">
        <v>1.5718099999999999</v>
      </c>
      <c r="AH342" s="22">
        <v>21.971599999999999</v>
      </c>
      <c r="AI342" s="22">
        <v>-1.1798100000000001E-2</v>
      </c>
      <c r="AJ342" s="22">
        <v>332</v>
      </c>
      <c r="AK342" s="22">
        <v>1.57074</v>
      </c>
      <c r="AL342">
        <f t="shared" si="66"/>
        <v>14.565555555555555</v>
      </c>
      <c r="AM342">
        <f t="shared" si="67"/>
        <v>22.894285877777776</v>
      </c>
      <c r="AP342" s="9"/>
      <c r="AQ342" s="22">
        <v>0.148315</v>
      </c>
      <c r="AR342" s="22">
        <v>27.417300000000001</v>
      </c>
      <c r="AS342" s="22">
        <v>-1.3998399999999999E-2</v>
      </c>
      <c r="AT342" s="22">
        <v>332</v>
      </c>
      <c r="AU342" s="22">
        <v>0.14779700000000001</v>
      </c>
      <c r="AV342">
        <f t="shared" si="68"/>
        <v>17.281975308641975</v>
      </c>
      <c r="AW342">
        <f t="shared" si="69"/>
        <v>2.5631761679012346</v>
      </c>
      <c r="AX342" s="9"/>
      <c r="AY342" s="22">
        <v>1.5718099999999999</v>
      </c>
      <c r="AZ342" s="22">
        <v>31.276800000000001</v>
      </c>
      <c r="BA342" s="22">
        <v>-1.1755399999999999E-2</v>
      </c>
      <c r="BB342" s="22">
        <v>332</v>
      </c>
      <c r="BC342" s="22">
        <v>1.57135</v>
      </c>
      <c r="BD342">
        <f t="shared" si="70"/>
        <v>14.512839506172838</v>
      </c>
      <c r="BE342">
        <f t="shared" si="71"/>
        <v>22.811426264197529</v>
      </c>
    </row>
    <row r="343" spans="6:57">
      <c r="F343" s="9"/>
      <c r="G343" s="22">
        <v>0.14327999999999999</v>
      </c>
      <c r="H343" s="22">
        <v>8.6779700000000002</v>
      </c>
      <c r="I343" s="22">
        <v>-1.4019800000000001E-2</v>
      </c>
      <c r="J343" s="22">
        <v>333</v>
      </c>
      <c r="K343" s="22">
        <v>0.14269999999999999</v>
      </c>
      <c r="L343">
        <f t="shared" si="60"/>
        <v>17.308395061728394</v>
      </c>
      <c r="M343">
        <f t="shared" si="61"/>
        <v>2.4799468444444441</v>
      </c>
      <c r="N343" s="9"/>
      <c r="O343" s="22">
        <v>1.57684</v>
      </c>
      <c r="P343" s="22">
        <v>12.5374</v>
      </c>
      <c r="Q343" s="22">
        <v>-1.1849999999999999E-2</v>
      </c>
      <c r="R343" s="22">
        <v>333</v>
      </c>
      <c r="S343" s="22">
        <v>1.57562</v>
      </c>
      <c r="T343">
        <f t="shared" si="62"/>
        <v>14.629629629629628</v>
      </c>
      <c r="U343">
        <f t="shared" si="63"/>
        <v>23.068585185185182</v>
      </c>
      <c r="X343" s="9"/>
      <c r="Y343" s="22">
        <v>0.14327999999999999</v>
      </c>
      <c r="Z343" s="22">
        <v>18.122199999999999</v>
      </c>
      <c r="AA343" s="22">
        <v>-1.40564E-2</v>
      </c>
      <c r="AB343" s="22">
        <v>333</v>
      </c>
      <c r="AC343" s="22">
        <v>0.142761</v>
      </c>
      <c r="AD343">
        <f t="shared" si="64"/>
        <v>17.35358024691358</v>
      </c>
      <c r="AE343">
        <f t="shared" si="65"/>
        <v>2.4864209777777777</v>
      </c>
      <c r="AF343" s="9"/>
      <c r="AG343" s="22">
        <v>1.57684</v>
      </c>
      <c r="AH343" s="22">
        <v>21.9817</v>
      </c>
      <c r="AI343" s="22">
        <v>-1.17371E-2</v>
      </c>
      <c r="AJ343" s="22">
        <v>333</v>
      </c>
      <c r="AK343" s="22">
        <v>1.5765400000000001</v>
      </c>
      <c r="AL343">
        <f t="shared" si="66"/>
        <v>14.490246913580247</v>
      </c>
      <c r="AM343">
        <f t="shared" si="67"/>
        <v>22.848800943209877</v>
      </c>
      <c r="AP343" s="9"/>
      <c r="AQ343" s="22">
        <v>0.14327999999999999</v>
      </c>
      <c r="AR343" s="22">
        <v>27.427399999999999</v>
      </c>
      <c r="AS343" s="22">
        <v>-1.39893E-2</v>
      </c>
      <c r="AT343" s="22">
        <v>333</v>
      </c>
      <c r="AU343" s="22">
        <v>0.142731</v>
      </c>
      <c r="AV343">
        <f t="shared" si="68"/>
        <v>17.270740740740738</v>
      </c>
      <c r="AW343">
        <f t="shared" si="69"/>
        <v>2.4745517333333327</v>
      </c>
      <c r="AX343" s="9"/>
      <c r="AY343" s="22">
        <v>1.57684</v>
      </c>
      <c r="AZ343" s="22">
        <v>31.286899999999999</v>
      </c>
      <c r="BA343" s="22">
        <v>-1.1694299999999999E-2</v>
      </c>
      <c r="BB343" s="22">
        <v>333</v>
      </c>
      <c r="BC343" s="22">
        <v>1.57623</v>
      </c>
      <c r="BD343">
        <f t="shared" si="70"/>
        <v>14.437407407407406</v>
      </c>
      <c r="BE343">
        <f t="shared" si="71"/>
        <v>22.765481496296296</v>
      </c>
    </row>
    <row r="344" spans="6:57">
      <c r="F344" s="9"/>
      <c r="G344" s="22">
        <v>0.13824500000000001</v>
      </c>
      <c r="H344" s="22">
        <v>8.6880400000000009</v>
      </c>
      <c r="I344" s="22">
        <v>-1.40228E-2</v>
      </c>
      <c r="J344" s="22">
        <v>334</v>
      </c>
      <c r="K344" s="22">
        <v>0.13772599999999999</v>
      </c>
      <c r="L344">
        <f t="shared" si="60"/>
        <v>17.312098765432097</v>
      </c>
      <c r="M344">
        <f t="shared" si="61"/>
        <v>2.3933110938271605</v>
      </c>
      <c r="N344" s="9"/>
      <c r="O344" s="22">
        <v>1.58188</v>
      </c>
      <c r="P344" s="22">
        <v>12.547499999999999</v>
      </c>
      <c r="Q344" s="22">
        <v>-1.17889E-2</v>
      </c>
      <c r="R344" s="22">
        <v>334</v>
      </c>
      <c r="S344" s="22">
        <v>1.5805100000000001</v>
      </c>
      <c r="T344">
        <f t="shared" si="62"/>
        <v>14.554197530864196</v>
      </c>
      <c r="U344">
        <f t="shared" si="63"/>
        <v>23.022993990123453</v>
      </c>
      <c r="X344" s="9"/>
      <c r="Y344" s="22">
        <v>0.13824500000000001</v>
      </c>
      <c r="Z344" s="22">
        <v>18.132300000000001</v>
      </c>
      <c r="AA344" s="22">
        <v>-1.40594E-2</v>
      </c>
      <c r="AB344" s="22">
        <v>334</v>
      </c>
      <c r="AC344" s="22">
        <v>0.13772599999999999</v>
      </c>
      <c r="AD344">
        <f t="shared" si="64"/>
        <v>17.357283950617283</v>
      </c>
      <c r="AE344">
        <f t="shared" si="65"/>
        <v>2.3995577197530866</v>
      </c>
      <c r="AF344" s="9"/>
      <c r="AG344" s="22">
        <v>1.58188</v>
      </c>
      <c r="AH344" s="22">
        <v>21.991700000000002</v>
      </c>
      <c r="AI344" s="22">
        <v>-1.1676000000000001E-2</v>
      </c>
      <c r="AJ344" s="22">
        <v>334</v>
      </c>
      <c r="AK344" s="22">
        <v>1.58142</v>
      </c>
      <c r="AL344">
        <f t="shared" si="66"/>
        <v>14.414814814814815</v>
      </c>
      <c r="AM344">
        <f t="shared" si="67"/>
        <v>22.802507259259258</v>
      </c>
      <c r="AP344" s="9"/>
      <c r="AQ344" s="22">
        <v>0.13824500000000001</v>
      </c>
      <c r="AR344" s="22">
        <v>27.4375</v>
      </c>
      <c r="AS344" s="22">
        <v>-1.39893E-2</v>
      </c>
      <c r="AT344" s="22">
        <v>334</v>
      </c>
      <c r="AU344" s="22">
        <v>0.13775599999999999</v>
      </c>
      <c r="AV344">
        <f t="shared" si="68"/>
        <v>17.270740740740738</v>
      </c>
      <c r="AW344">
        <f t="shared" si="69"/>
        <v>2.3875935537037036</v>
      </c>
      <c r="AX344" s="9"/>
      <c r="AY344" s="22">
        <v>1.58188</v>
      </c>
      <c r="AZ344" s="22">
        <v>31.297000000000001</v>
      </c>
      <c r="BA344" s="22">
        <v>-1.1627200000000001E-2</v>
      </c>
      <c r="BB344" s="22">
        <v>334</v>
      </c>
      <c r="BC344" s="22">
        <v>1.5811200000000001</v>
      </c>
      <c r="BD344">
        <f t="shared" si="70"/>
        <v>14.354567901234569</v>
      </c>
      <c r="BE344">
        <f t="shared" si="71"/>
        <v>22.707203871604939</v>
      </c>
    </row>
    <row r="345" spans="6:57">
      <c r="F345" s="9"/>
      <c r="G345" s="22">
        <v>0.13320899999999999</v>
      </c>
      <c r="H345" s="22">
        <v>8.6981099999999998</v>
      </c>
      <c r="I345" s="22">
        <v>-1.4025900000000001E-2</v>
      </c>
      <c r="J345" s="22">
        <v>335</v>
      </c>
      <c r="K345" s="22">
        <v>0.13266</v>
      </c>
      <c r="L345">
        <f t="shared" si="60"/>
        <v>17.315925925925924</v>
      </c>
      <c r="M345">
        <f t="shared" si="61"/>
        <v>2.3066371766666665</v>
      </c>
      <c r="N345" s="9"/>
      <c r="O345" s="22">
        <v>1.58691</v>
      </c>
      <c r="P345" s="22">
        <v>12.557600000000001</v>
      </c>
      <c r="Q345" s="22">
        <v>-1.1715700000000001E-2</v>
      </c>
      <c r="R345" s="22">
        <v>335</v>
      </c>
      <c r="S345" s="22">
        <v>1.5860000000000001</v>
      </c>
      <c r="T345">
        <f t="shared" si="62"/>
        <v>14.463827160493826</v>
      </c>
      <c r="U345">
        <f t="shared" si="63"/>
        <v>22.952791959259258</v>
      </c>
      <c r="X345" s="9"/>
      <c r="Y345" s="22">
        <v>0.13320899999999999</v>
      </c>
      <c r="Z345" s="22">
        <v>18.142299999999999</v>
      </c>
      <c r="AA345" s="22">
        <v>-1.40594E-2</v>
      </c>
      <c r="AB345" s="22">
        <v>335</v>
      </c>
      <c r="AC345" s="22">
        <v>0.13272100000000001</v>
      </c>
      <c r="AD345">
        <f t="shared" si="64"/>
        <v>17.357283950617283</v>
      </c>
      <c r="AE345">
        <f t="shared" si="65"/>
        <v>2.3121464377777774</v>
      </c>
      <c r="AF345" s="9"/>
      <c r="AG345" s="22">
        <v>1.58691</v>
      </c>
      <c r="AH345" s="22">
        <v>22.001799999999999</v>
      </c>
      <c r="AI345" s="22">
        <v>-1.1605799999999999E-2</v>
      </c>
      <c r="AJ345" s="22">
        <v>335</v>
      </c>
      <c r="AK345" s="22">
        <v>1.5863</v>
      </c>
      <c r="AL345">
        <f t="shared" si="66"/>
        <v>14.328148148148147</v>
      </c>
      <c r="AM345">
        <f t="shared" si="67"/>
        <v>22.737481577777775</v>
      </c>
      <c r="AP345" s="9"/>
      <c r="AQ345" s="22">
        <v>0.13320899999999999</v>
      </c>
      <c r="AR345" s="22">
        <v>27.447600000000001</v>
      </c>
      <c r="AS345" s="22">
        <v>-1.3983199999999999E-2</v>
      </c>
      <c r="AT345" s="22">
        <v>335</v>
      </c>
      <c r="AU345" s="22">
        <v>0.13272100000000001</v>
      </c>
      <c r="AV345">
        <f t="shared" si="68"/>
        <v>17.263209876543208</v>
      </c>
      <c r="AW345">
        <f t="shared" si="69"/>
        <v>2.2996149244444442</v>
      </c>
      <c r="AX345" s="9"/>
      <c r="AY345" s="22">
        <v>1.58691</v>
      </c>
      <c r="AZ345" s="22">
        <v>31.306999999999999</v>
      </c>
      <c r="BA345" s="22">
        <v>-1.15601E-2</v>
      </c>
      <c r="BB345" s="22">
        <v>335</v>
      </c>
      <c r="BC345" s="22">
        <v>1.5863</v>
      </c>
      <c r="BD345">
        <f t="shared" si="70"/>
        <v>14.271728395061727</v>
      </c>
      <c r="BE345">
        <f t="shared" si="71"/>
        <v>22.647948507407406</v>
      </c>
    </row>
    <row r="346" spans="6:57">
      <c r="F346" s="9"/>
      <c r="G346" s="22">
        <v>0.12817400000000001</v>
      </c>
      <c r="H346" s="22">
        <v>8.7081900000000001</v>
      </c>
      <c r="I346" s="22">
        <v>-1.4031999999999999E-2</v>
      </c>
      <c r="J346" s="22">
        <v>336</v>
      </c>
      <c r="K346" s="22">
        <v>0.12765499999999999</v>
      </c>
      <c r="L346">
        <f t="shared" si="60"/>
        <v>17.323456790123455</v>
      </c>
      <c r="M346">
        <f t="shared" si="61"/>
        <v>2.2204167506172841</v>
      </c>
      <c r="N346" s="9"/>
      <c r="O346" s="22">
        <v>1.59195</v>
      </c>
      <c r="P346" s="22">
        <v>12.5677</v>
      </c>
      <c r="Q346" s="22">
        <v>-1.16516E-2</v>
      </c>
      <c r="R346" s="22">
        <v>336</v>
      </c>
      <c r="S346" s="22">
        <v>1.5908800000000001</v>
      </c>
      <c r="T346">
        <f t="shared" si="62"/>
        <v>14.384691358024689</v>
      </c>
      <c r="U346">
        <f t="shared" si="63"/>
        <v>22.899709407407403</v>
      </c>
      <c r="X346" s="9"/>
      <c r="Y346" s="22">
        <v>0.12817400000000001</v>
      </c>
      <c r="Z346" s="22">
        <v>18.1524</v>
      </c>
      <c r="AA346" s="22">
        <v>-1.40594E-2</v>
      </c>
      <c r="AB346" s="22">
        <v>336</v>
      </c>
      <c r="AC346" s="22">
        <v>0.12762499999999999</v>
      </c>
      <c r="AD346">
        <f t="shared" si="64"/>
        <v>17.357283950617283</v>
      </c>
      <c r="AE346">
        <f t="shared" si="65"/>
        <v>2.2247525130864196</v>
      </c>
      <c r="AF346" s="9"/>
      <c r="AG346" s="22">
        <v>1.59195</v>
      </c>
      <c r="AH346" s="22">
        <v>22.011900000000001</v>
      </c>
      <c r="AI346" s="22">
        <v>-1.15326E-2</v>
      </c>
      <c r="AJ346" s="22">
        <v>336</v>
      </c>
      <c r="AK346" s="22">
        <v>1.5905800000000001</v>
      </c>
      <c r="AL346">
        <f t="shared" si="66"/>
        <v>14.237777777777778</v>
      </c>
      <c r="AM346">
        <f t="shared" si="67"/>
        <v>22.665830333333332</v>
      </c>
      <c r="AP346" s="9"/>
      <c r="AQ346" s="22">
        <v>0.12817400000000001</v>
      </c>
      <c r="AR346" s="22">
        <v>27.457599999999999</v>
      </c>
      <c r="AS346" s="22">
        <v>-1.3983199999999999E-2</v>
      </c>
      <c r="AT346" s="22">
        <v>336</v>
      </c>
      <c r="AU346" s="22">
        <v>0.12765499999999999</v>
      </c>
      <c r="AV346">
        <f t="shared" si="68"/>
        <v>17.263209876543208</v>
      </c>
      <c r="AW346">
        <f t="shared" si="69"/>
        <v>2.2126946627160491</v>
      </c>
      <c r="AX346" s="9"/>
      <c r="AY346" s="22">
        <v>1.59195</v>
      </c>
      <c r="AZ346" s="22">
        <v>31.3171</v>
      </c>
      <c r="BA346" s="22">
        <v>-1.14716E-2</v>
      </c>
      <c r="BB346" s="22">
        <v>336</v>
      </c>
      <c r="BC346" s="22">
        <v>1.5908800000000001</v>
      </c>
      <c r="BD346">
        <f t="shared" si="70"/>
        <v>14.162469135802469</v>
      </c>
      <c r="BE346">
        <f t="shared" si="71"/>
        <v>22.545942740740742</v>
      </c>
    </row>
    <row r="347" spans="6:57">
      <c r="F347" s="9"/>
      <c r="G347" s="22">
        <v>0.123138</v>
      </c>
      <c r="H347" s="22">
        <v>8.7182600000000008</v>
      </c>
      <c r="I347" s="22">
        <v>-1.4047199999999999E-2</v>
      </c>
      <c r="J347" s="22">
        <v>337</v>
      </c>
      <c r="K347" s="22">
        <v>0.12262000000000001</v>
      </c>
      <c r="L347">
        <f t="shared" si="60"/>
        <v>17.342222222222222</v>
      </c>
      <c r="M347">
        <f t="shared" si="61"/>
        <v>2.1354865599999999</v>
      </c>
      <c r="N347" s="9"/>
      <c r="O347" s="22">
        <v>1.5969800000000001</v>
      </c>
      <c r="P347" s="22">
        <v>12.5777</v>
      </c>
      <c r="Q347" s="22">
        <v>-1.1572300000000001E-2</v>
      </c>
      <c r="R347" s="22">
        <v>337</v>
      </c>
      <c r="S347" s="22">
        <v>1.5960700000000001</v>
      </c>
      <c r="T347">
        <f t="shared" si="62"/>
        <v>14.286790123456791</v>
      </c>
      <c r="U347">
        <f t="shared" si="63"/>
        <v>22.815718091358029</v>
      </c>
      <c r="X347" s="9"/>
      <c r="Y347" s="22">
        <v>0.123138</v>
      </c>
      <c r="Z347" s="22">
        <v>18.162500000000001</v>
      </c>
      <c r="AA347" s="22">
        <v>-1.40503E-2</v>
      </c>
      <c r="AB347" s="22">
        <v>337</v>
      </c>
      <c r="AC347" s="22">
        <v>0.122589</v>
      </c>
      <c r="AD347">
        <f t="shared" si="64"/>
        <v>17.34604938271605</v>
      </c>
      <c r="AE347">
        <f t="shared" si="65"/>
        <v>2.135957828888889</v>
      </c>
      <c r="AF347" s="9"/>
      <c r="AG347" s="22">
        <v>1.5969800000000001</v>
      </c>
      <c r="AH347" s="22">
        <v>22.021899999999999</v>
      </c>
      <c r="AI347" s="22">
        <v>-1.1456300000000001E-2</v>
      </c>
      <c r="AJ347" s="22">
        <v>337</v>
      </c>
      <c r="AK347" s="22">
        <v>1.5963700000000001</v>
      </c>
      <c r="AL347">
        <f t="shared" si="66"/>
        <v>14.143580246913581</v>
      </c>
      <c r="AM347">
        <f t="shared" si="67"/>
        <v>22.58701478271605</v>
      </c>
      <c r="AP347" s="9"/>
      <c r="AQ347" s="22">
        <v>0.123138</v>
      </c>
      <c r="AR347" s="22">
        <v>27.467700000000001</v>
      </c>
      <c r="AS347" s="22">
        <v>-1.39893E-2</v>
      </c>
      <c r="AT347" s="22">
        <v>337</v>
      </c>
      <c r="AU347" s="22">
        <v>0.122589</v>
      </c>
      <c r="AV347">
        <f t="shared" si="68"/>
        <v>17.270740740740738</v>
      </c>
      <c r="AW347">
        <f t="shared" si="69"/>
        <v>2.126684473333333</v>
      </c>
      <c r="AX347" s="9"/>
      <c r="AY347" s="22">
        <v>1.5969800000000001</v>
      </c>
      <c r="AZ347" s="22">
        <v>31.327200000000001</v>
      </c>
      <c r="BA347" s="22">
        <v>-1.13983E-2</v>
      </c>
      <c r="BB347" s="22">
        <v>337</v>
      </c>
      <c r="BC347" s="22">
        <v>1.5963700000000001</v>
      </c>
      <c r="BD347">
        <f t="shared" si="70"/>
        <v>14.071975308641976</v>
      </c>
      <c r="BE347">
        <f t="shared" si="71"/>
        <v>22.472663128395062</v>
      </c>
    </row>
    <row r="348" spans="6:57">
      <c r="F348" s="9"/>
      <c r="G348" s="22">
        <v>0.118103</v>
      </c>
      <c r="H348" s="22">
        <v>8.7283299999999997</v>
      </c>
      <c r="I348" s="22">
        <v>-1.4047199999999999E-2</v>
      </c>
      <c r="J348" s="22">
        <v>338</v>
      </c>
      <c r="K348" s="22">
        <v>0.11758399999999999</v>
      </c>
      <c r="L348">
        <f t="shared" si="60"/>
        <v>17.342222222222222</v>
      </c>
      <c r="M348">
        <f t="shared" si="61"/>
        <v>2.048168471111111</v>
      </c>
      <c r="N348" s="9"/>
      <c r="O348" s="22">
        <v>1.60202</v>
      </c>
      <c r="P348" s="22">
        <v>12.5878</v>
      </c>
      <c r="Q348" s="22">
        <v>-1.1502099999999999E-2</v>
      </c>
      <c r="R348" s="22">
        <v>338</v>
      </c>
      <c r="S348" s="22">
        <v>1.6006499999999999</v>
      </c>
      <c r="T348">
        <f t="shared" si="62"/>
        <v>14.200123456790122</v>
      </c>
      <c r="U348">
        <f t="shared" si="63"/>
        <v>22.748881780246911</v>
      </c>
      <c r="X348" s="9"/>
      <c r="Y348" s="22">
        <v>0.118103</v>
      </c>
      <c r="Z348" s="22">
        <v>18.172499999999999</v>
      </c>
      <c r="AA348" s="22">
        <v>-1.4047199999999999E-2</v>
      </c>
      <c r="AB348" s="22">
        <v>338</v>
      </c>
      <c r="AC348" s="22">
        <v>0.11758399999999999</v>
      </c>
      <c r="AD348">
        <f t="shared" si="64"/>
        <v>17.342222222222222</v>
      </c>
      <c r="AE348">
        <f t="shared" si="65"/>
        <v>2.048168471111111</v>
      </c>
      <c r="AF348" s="9"/>
      <c r="AG348" s="22">
        <v>1.60202</v>
      </c>
      <c r="AH348" s="22">
        <v>22.032</v>
      </c>
      <c r="AI348" s="22">
        <v>-1.13708E-2</v>
      </c>
      <c r="AJ348" s="22">
        <v>338</v>
      </c>
      <c r="AK348" s="22">
        <v>1.6009500000000001</v>
      </c>
      <c r="AL348">
        <f t="shared" si="66"/>
        <v>14.038024691358025</v>
      </c>
      <c r="AM348">
        <f t="shared" si="67"/>
        <v>22.489196316049384</v>
      </c>
      <c r="AP348" s="9"/>
      <c r="AQ348" s="22">
        <v>0.118103</v>
      </c>
      <c r="AR348" s="22">
        <v>27.477799999999998</v>
      </c>
      <c r="AS348" s="22">
        <v>-1.39893E-2</v>
      </c>
      <c r="AT348" s="22">
        <v>338</v>
      </c>
      <c r="AU348" s="22">
        <v>0.117615</v>
      </c>
      <c r="AV348">
        <f t="shared" si="68"/>
        <v>17.270740740740738</v>
      </c>
      <c r="AW348">
        <f t="shared" si="69"/>
        <v>2.0397262937037035</v>
      </c>
      <c r="AX348" s="9"/>
      <c r="AY348" s="22">
        <v>1.60202</v>
      </c>
      <c r="AZ348" s="22">
        <v>31.337199999999999</v>
      </c>
      <c r="BA348" s="22">
        <v>-1.13098E-2</v>
      </c>
      <c r="BB348" s="22">
        <v>338</v>
      </c>
      <c r="BC348" s="22">
        <v>1.6012599999999999</v>
      </c>
      <c r="BD348">
        <f t="shared" si="70"/>
        <v>13.962716049382715</v>
      </c>
      <c r="BE348">
        <f t="shared" si="71"/>
        <v>22.368550365432096</v>
      </c>
    </row>
    <row r="349" spans="6:57">
      <c r="F349" s="9"/>
      <c r="G349" s="22">
        <v>0.113068</v>
      </c>
      <c r="H349" s="22">
        <v>8.7384000000000004</v>
      </c>
      <c r="I349" s="22">
        <v>-1.4041100000000001E-2</v>
      </c>
      <c r="J349" s="22">
        <v>339</v>
      </c>
      <c r="K349" s="22">
        <v>0.112549</v>
      </c>
      <c r="L349">
        <f t="shared" si="60"/>
        <v>17.334691358024692</v>
      </c>
      <c r="M349">
        <f t="shared" si="61"/>
        <v>1.9599988824691359</v>
      </c>
      <c r="N349" s="9"/>
      <c r="O349" s="22">
        <v>1.6070599999999999</v>
      </c>
      <c r="P349" s="22">
        <v>12.597899999999999</v>
      </c>
      <c r="Q349" s="22">
        <v>-1.1422699999999999E-2</v>
      </c>
      <c r="R349" s="22">
        <v>339</v>
      </c>
      <c r="S349" s="22">
        <v>1.6061399999999999</v>
      </c>
      <c r="T349">
        <f t="shared" si="62"/>
        <v>14.102098765432096</v>
      </c>
      <c r="U349">
        <f t="shared" si="63"/>
        <v>22.662918841975305</v>
      </c>
      <c r="X349" s="9"/>
      <c r="Y349" s="22">
        <v>0.113068</v>
      </c>
      <c r="Z349" s="22">
        <v>18.182600000000001</v>
      </c>
      <c r="AA349" s="22">
        <v>-1.4047199999999999E-2</v>
      </c>
      <c r="AB349" s="22">
        <v>339</v>
      </c>
      <c r="AC349" s="22">
        <v>0.11261</v>
      </c>
      <c r="AD349">
        <f t="shared" si="64"/>
        <v>17.342222222222222</v>
      </c>
      <c r="AE349">
        <f t="shared" si="65"/>
        <v>1.9608503822222223</v>
      </c>
      <c r="AF349" s="9"/>
      <c r="AG349" s="22">
        <v>1.6070599999999999</v>
      </c>
      <c r="AH349" s="22">
        <v>22.042100000000001</v>
      </c>
      <c r="AI349" s="22">
        <v>-1.1285399999999999E-2</v>
      </c>
      <c r="AJ349" s="22">
        <v>339</v>
      </c>
      <c r="AK349" s="22">
        <v>1.6058300000000001</v>
      </c>
      <c r="AL349">
        <f t="shared" si="66"/>
        <v>13.93259259259259</v>
      </c>
      <c r="AM349">
        <f t="shared" si="67"/>
        <v>22.390512251851845</v>
      </c>
      <c r="AP349" s="9"/>
      <c r="AQ349" s="22">
        <v>0.113068</v>
      </c>
      <c r="AR349" s="22">
        <v>27.4878</v>
      </c>
      <c r="AS349" s="22">
        <v>-1.39893E-2</v>
      </c>
      <c r="AT349" s="22">
        <v>339</v>
      </c>
      <c r="AU349" s="22">
        <v>0.11251800000000001</v>
      </c>
      <c r="AV349">
        <f t="shared" si="68"/>
        <v>17.270740740740738</v>
      </c>
      <c r="AW349">
        <f t="shared" si="69"/>
        <v>1.9527681140740738</v>
      </c>
      <c r="AX349" s="9"/>
      <c r="AY349" s="22">
        <v>1.6070599999999999</v>
      </c>
      <c r="AZ349" s="22">
        <v>31.347300000000001</v>
      </c>
      <c r="BA349" s="22">
        <v>-1.12274E-2</v>
      </c>
      <c r="BB349" s="22">
        <v>339</v>
      </c>
      <c r="BC349" s="22">
        <v>1.6061399999999999</v>
      </c>
      <c r="BD349">
        <f t="shared" si="70"/>
        <v>13.860987654320986</v>
      </c>
      <c r="BE349">
        <f t="shared" si="71"/>
        <v>22.275438819753084</v>
      </c>
    </row>
    <row r="350" spans="6:57">
      <c r="F350" s="9"/>
      <c r="G350" s="22">
        <v>0.108032</v>
      </c>
      <c r="H350" s="22">
        <v>8.7484699999999993</v>
      </c>
      <c r="I350" s="22">
        <v>-1.4035000000000001E-2</v>
      </c>
      <c r="J350" s="22">
        <v>340</v>
      </c>
      <c r="K350" s="22">
        <v>0.107544</v>
      </c>
      <c r="L350">
        <f t="shared" si="60"/>
        <v>17.327160493827162</v>
      </c>
      <c r="M350">
        <f t="shared" si="61"/>
        <v>1.8718878024691359</v>
      </c>
      <c r="N350" s="9"/>
      <c r="O350" s="22">
        <v>1.61209</v>
      </c>
      <c r="P350" s="22">
        <v>12.607900000000001</v>
      </c>
      <c r="Q350" s="22">
        <v>-1.1334199999999999E-2</v>
      </c>
      <c r="R350" s="22">
        <v>340</v>
      </c>
      <c r="S350" s="22">
        <v>1.6113299999999999</v>
      </c>
      <c r="T350">
        <f t="shared" si="62"/>
        <v>13.992839506172839</v>
      </c>
      <c r="U350">
        <f t="shared" si="63"/>
        <v>22.557716639506172</v>
      </c>
      <c r="X350" s="9"/>
      <c r="Y350" s="22">
        <v>0.108032</v>
      </c>
      <c r="Z350" s="22">
        <v>18.192699999999999</v>
      </c>
      <c r="AA350" s="22">
        <v>-1.40442E-2</v>
      </c>
      <c r="AB350" s="22">
        <v>340</v>
      </c>
      <c r="AC350" s="22">
        <v>0.107483</v>
      </c>
      <c r="AD350">
        <f t="shared" si="64"/>
        <v>17.338518518518516</v>
      </c>
      <c r="AE350">
        <f t="shared" si="65"/>
        <v>1.8731148325925924</v>
      </c>
      <c r="AF350" s="9"/>
      <c r="AG350" s="22">
        <v>1.61209</v>
      </c>
      <c r="AH350" s="22">
        <v>22.052099999999999</v>
      </c>
      <c r="AI350" s="22">
        <v>-1.11938E-2</v>
      </c>
      <c r="AJ350" s="22">
        <v>340</v>
      </c>
      <c r="AK350" s="22">
        <v>1.6113299999999999</v>
      </c>
      <c r="AL350">
        <f t="shared" si="66"/>
        <v>13.819506172839505</v>
      </c>
      <c r="AM350">
        <f t="shared" si="67"/>
        <v>22.278287706172836</v>
      </c>
      <c r="AP350" s="9"/>
      <c r="AQ350" s="22">
        <v>0.108032</v>
      </c>
      <c r="AR350" s="22">
        <v>27.497900000000001</v>
      </c>
      <c r="AS350" s="22">
        <v>-1.39954E-2</v>
      </c>
      <c r="AT350" s="22">
        <v>340</v>
      </c>
      <c r="AU350" s="22">
        <v>0.10745200000000001</v>
      </c>
      <c r="AV350">
        <f t="shared" si="68"/>
        <v>17.278271604938272</v>
      </c>
      <c r="AW350">
        <f t="shared" si="69"/>
        <v>1.8666062380246915</v>
      </c>
      <c r="AX350" s="9"/>
      <c r="AY350" s="22">
        <v>1.61209</v>
      </c>
      <c r="AZ350" s="22">
        <v>31.357399999999998</v>
      </c>
      <c r="BA350" s="22">
        <v>-1.11298E-2</v>
      </c>
      <c r="BB350" s="22">
        <v>340</v>
      </c>
      <c r="BC350" s="22">
        <v>1.6116299999999999</v>
      </c>
      <c r="BD350">
        <f t="shared" si="70"/>
        <v>13.740493827160494</v>
      </c>
      <c r="BE350">
        <f t="shared" si="71"/>
        <v>22.150912693827159</v>
      </c>
    </row>
    <row r="351" spans="6:57">
      <c r="F351" s="9"/>
      <c r="G351" s="22">
        <v>0.10299700000000001</v>
      </c>
      <c r="H351" s="22">
        <v>8.75854</v>
      </c>
      <c r="I351" s="22">
        <v>-1.40289E-2</v>
      </c>
      <c r="J351" s="22">
        <v>341</v>
      </c>
      <c r="K351" s="22">
        <v>0.102478</v>
      </c>
      <c r="L351">
        <f t="shared" si="60"/>
        <v>17.319629629629631</v>
      </c>
      <c r="M351">
        <f t="shared" si="61"/>
        <v>1.7838698929629633</v>
      </c>
      <c r="N351" s="9"/>
      <c r="O351" s="22">
        <v>1.61713</v>
      </c>
      <c r="P351" s="22">
        <v>12.618</v>
      </c>
      <c r="Q351" s="22">
        <v>-1.12427E-2</v>
      </c>
      <c r="R351" s="22">
        <v>341</v>
      </c>
      <c r="S351" s="22">
        <v>1.61591</v>
      </c>
      <c r="T351">
        <f t="shared" si="62"/>
        <v>13.879876543209877</v>
      </c>
      <c r="U351">
        <f t="shared" si="63"/>
        <v>22.445564754320987</v>
      </c>
      <c r="X351" s="9"/>
      <c r="Y351" s="22">
        <v>0.10299700000000001</v>
      </c>
      <c r="Z351" s="22">
        <v>18.2027</v>
      </c>
      <c r="AA351" s="22">
        <v>-1.4053299999999999E-2</v>
      </c>
      <c r="AB351" s="22">
        <v>341</v>
      </c>
      <c r="AC351" s="22">
        <v>0.10241699999999999</v>
      </c>
      <c r="AD351">
        <f t="shared" si="64"/>
        <v>17.349753086419753</v>
      </c>
      <c r="AE351">
        <f t="shared" si="65"/>
        <v>1.7869725186419754</v>
      </c>
      <c r="AF351" s="9"/>
      <c r="AG351" s="22">
        <v>1.61713</v>
      </c>
      <c r="AH351" s="22">
        <v>22.062200000000001</v>
      </c>
      <c r="AI351" s="22">
        <v>-1.10992E-2</v>
      </c>
      <c r="AJ351" s="22">
        <v>341</v>
      </c>
      <c r="AK351" s="22">
        <v>1.6162099999999999</v>
      </c>
      <c r="AL351">
        <f t="shared" si="66"/>
        <v>13.702716049382715</v>
      </c>
      <c r="AM351">
        <f t="shared" si="67"/>
        <v>22.15907320493827</v>
      </c>
      <c r="AP351" s="9"/>
      <c r="AQ351" s="22">
        <v>0.10299700000000001</v>
      </c>
      <c r="AR351" s="22">
        <v>27.507999999999999</v>
      </c>
      <c r="AS351" s="22">
        <v>-1.40015E-2</v>
      </c>
      <c r="AT351" s="22">
        <v>341</v>
      </c>
      <c r="AU351" s="22">
        <v>0.10256999999999999</v>
      </c>
      <c r="AV351">
        <f t="shared" si="68"/>
        <v>17.285802469135803</v>
      </c>
      <c r="AW351">
        <f t="shared" si="69"/>
        <v>1.7803857969135803</v>
      </c>
      <c r="AX351" s="9"/>
      <c r="AY351" s="22">
        <v>1.61713</v>
      </c>
      <c r="AZ351" s="22">
        <v>31.3675</v>
      </c>
      <c r="BA351" s="22">
        <v>-1.10352E-2</v>
      </c>
      <c r="BB351" s="22">
        <v>341</v>
      </c>
      <c r="BC351" s="22">
        <v>1.61652</v>
      </c>
      <c r="BD351">
        <f t="shared" si="70"/>
        <v>13.623703703703704</v>
      </c>
      <c r="BE351">
        <f t="shared" si="71"/>
        <v>22.03129997037037</v>
      </c>
    </row>
    <row r="352" spans="6:57">
      <c r="F352" s="9"/>
      <c r="G352" s="22">
        <v>9.7961400000000004E-2</v>
      </c>
      <c r="H352" s="22">
        <v>8.7686100000000007</v>
      </c>
      <c r="I352" s="22">
        <v>-1.40289E-2</v>
      </c>
      <c r="J352" s="22">
        <v>342</v>
      </c>
      <c r="K352" s="22">
        <v>9.7442600000000004E-2</v>
      </c>
      <c r="L352">
        <f t="shared" si="60"/>
        <v>17.319629629629631</v>
      </c>
      <c r="M352">
        <f t="shared" si="61"/>
        <v>1.6966551660000002</v>
      </c>
      <c r="N352" s="9"/>
      <c r="O352" s="22">
        <v>1.62216</v>
      </c>
      <c r="P352" s="22">
        <v>12.6281</v>
      </c>
      <c r="Q352" s="22">
        <v>-1.1151100000000001E-2</v>
      </c>
      <c r="R352" s="22">
        <v>342</v>
      </c>
      <c r="S352" s="22">
        <v>1.6216999999999999</v>
      </c>
      <c r="T352">
        <f t="shared" si="62"/>
        <v>13.76679012345679</v>
      </c>
      <c r="U352">
        <f t="shared" si="63"/>
        <v>22.331936266666666</v>
      </c>
      <c r="X352" s="9"/>
      <c r="Y352" s="22">
        <v>9.7961400000000004E-2</v>
      </c>
      <c r="Z352" s="22">
        <v>18.212800000000001</v>
      </c>
      <c r="AA352" s="22">
        <v>-1.4053299999999999E-2</v>
      </c>
      <c r="AB352" s="22">
        <v>342</v>
      </c>
      <c r="AC352" s="22">
        <v>9.7442600000000004E-2</v>
      </c>
      <c r="AD352">
        <f t="shared" si="64"/>
        <v>17.349753086419753</v>
      </c>
      <c r="AE352">
        <f t="shared" si="65"/>
        <v>1.699606102</v>
      </c>
      <c r="AF352" s="9"/>
      <c r="AG352" s="22">
        <v>1.62216</v>
      </c>
      <c r="AH352" s="22">
        <v>22.072299999999998</v>
      </c>
      <c r="AI352" s="22">
        <v>-1.10016E-2</v>
      </c>
      <c r="AJ352" s="22">
        <v>342</v>
      </c>
      <c r="AK352" s="22">
        <v>1.62079</v>
      </c>
      <c r="AL352">
        <f t="shared" si="66"/>
        <v>13.582222222222221</v>
      </c>
      <c r="AM352">
        <f t="shared" si="67"/>
        <v>22.032537599999998</v>
      </c>
      <c r="AP352" s="9"/>
      <c r="AQ352" s="22">
        <v>9.7961400000000004E-2</v>
      </c>
      <c r="AR352" s="22">
        <v>27.518000000000001</v>
      </c>
      <c r="AS352" s="22">
        <v>-1.40167E-2</v>
      </c>
      <c r="AT352" s="22">
        <v>342</v>
      </c>
      <c r="AU352" s="22">
        <v>9.7442600000000004E-2</v>
      </c>
      <c r="AV352">
        <f t="shared" si="68"/>
        <v>17.304567901234567</v>
      </c>
      <c r="AW352">
        <f t="shared" si="69"/>
        <v>1.695179698</v>
      </c>
      <c r="AX352" s="9"/>
      <c r="AY352" s="22">
        <v>1.62216</v>
      </c>
      <c r="AZ352" s="22">
        <v>31.377500000000001</v>
      </c>
      <c r="BA352" s="22">
        <v>-1.09344E-2</v>
      </c>
      <c r="BB352" s="22">
        <v>342</v>
      </c>
      <c r="BC352" s="22">
        <v>1.6210899999999999</v>
      </c>
      <c r="BD352">
        <f t="shared" si="70"/>
        <v>13.49925925925926</v>
      </c>
      <c r="BE352">
        <f t="shared" si="71"/>
        <v>21.8979584</v>
      </c>
    </row>
    <row r="353" spans="6:57">
      <c r="F353" s="9"/>
      <c r="G353" s="22">
        <v>9.2925999999999995E-2</v>
      </c>
      <c r="H353" s="22">
        <v>8.7786799999999996</v>
      </c>
      <c r="I353" s="22">
        <v>-1.40289E-2</v>
      </c>
      <c r="J353" s="22">
        <v>343</v>
      </c>
      <c r="K353" s="22">
        <v>9.2468300000000003E-2</v>
      </c>
      <c r="L353">
        <f t="shared" si="60"/>
        <v>17.319629629629631</v>
      </c>
      <c r="M353">
        <f t="shared" si="61"/>
        <v>1.609443902962963</v>
      </c>
      <c r="N353" s="9"/>
      <c r="O353" s="22">
        <v>1.6272</v>
      </c>
      <c r="P353" s="22">
        <v>12.638199999999999</v>
      </c>
      <c r="Q353" s="22">
        <v>-1.1053500000000001E-2</v>
      </c>
      <c r="R353" s="22">
        <v>343</v>
      </c>
      <c r="S353" s="22">
        <v>1.62598</v>
      </c>
      <c r="T353">
        <f t="shared" si="62"/>
        <v>13.646296296296297</v>
      </c>
      <c r="U353">
        <f t="shared" si="63"/>
        <v>22.205253333333335</v>
      </c>
      <c r="X353" s="9"/>
      <c r="Y353" s="22">
        <v>9.2925999999999995E-2</v>
      </c>
      <c r="Z353" s="22">
        <v>18.222899999999999</v>
      </c>
      <c r="AA353" s="22">
        <v>-1.40594E-2</v>
      </c>
      <c r="AB353" s="22">
        <v>343</v>
      </c>
      <c r="AC353" s="22">
        <v>9.2346200000000003E-2</v>
      </c>
      <c r="AD353">
        <f t="shared" si="64"/>
        <v>17.357283950617283</v>
      </c>
      <c r="AE353">
        <f t="shared" si="65"/>
        <v>1.6129429683950616</v>
      </c>
      <c r="AF353" s="9"/>
      <c r="AG353" s="22">
        <v>1.6272</v>
      </c>
      <c r="AH353" s="22">
        <v>22.0824</v>
      </c>
      <c r="AI353" s="22">
        <v>-1.09009E-2</v>
      </c>
      <c r="AJ353" s="22">
        <v>343</v>
      </c>
      <c r="AK353" s="22">
        <v>1.6262799999999999</v>
      </c>
      <c r="AL353">
        <f t="shared" si="66"/>
        <v>13.457901234567899</v>
      </c>
      <c r="AM353">
        <f t="shared" si="67"/>
        <v>21.898696888888885</v>
      </c>
      <c r="AP353" s="9"/>
      <c r="AQ353" s="22">
        <v>9.2925999999999995E-2</v>
      </c>
      <c r="AR353" s="22">
        <v>27.528099999999998</v>
      </c>
      <c r="AS353" s="22">
        <v>-1.40228E-2</v>
      </c>
      <c r="AT353" s="22">
        <v>343</v>
      </c>
      <c r="AU353" s="22">
        <v>9.2468300000000003E-2</v>
      </c>
      <c r="AV353">
        <f t="shared" si="68"/>
        <v>17.312098765432097</v>
      </c>
      <c r="AW353">
        <f t="shared" si="69"/>
        <v>1.608744089876543</v>
      </c>
      <c r="AX353" s="9"/>
      <c r="AY353" s="22">
        <v>1.6272</v>
      </c>
      <c r="AZ353" s="22">
        <v>31.387599999999999</v>
      </c>
      <c r="BA353" s="22">
        <v>-1.08337E-2</v>
      </c>
      <c r="BB353" s="22">
        <v>343</v>
      </c>
      <c r="BC353" s="22">
        <v>1.62659</v>
      </c>
      <c r="BD353">
        <f t="shared" si="70"/>
        <v>13.374938271604938</v>
      </c>
      <c r="BE353">
        <f t="shared" si="71"/>
        <v>21.763699555555554</v>
      </c>
    </row>
    <row r="354" spans="6:57">
      <c r="F354" s="9"/>
      <c r="G354" s="22">
        <v>8.7890599999999999E-2</v>
      </c>
      <c r="H354" s="22">
        <v>8.7887500000000003</v>
      </c>
      <c r="I354" s="22">
        <v>-1.40289E-2</v>
      </c>
      <c r="J354" s="22">
        <v>344</v>
      </c>
      <c r="K354" s="22">
        <v>8.7341299999999997E-2</v>
      </c>
      <c r="L354">
        <f t="shared" si="60"/>
        <v>17.319629629629631</v>
      </c>
      <c r="M354">
        <f t="shared" si="61"/>
        <v>1.5222326399259261</v>
      </c>
      <c r="N354" s="9"/>
      <c r="O354" s="22">
        <v>1.6322300000000001</v>
      </c>
      <c r="P354" s="22">
        <v>12.648199999999999</v>
      </c>
      <c r="Q354" s="22">
        <v>-1.09344E-2</v>
      </c>
      <c r="R354" s="22">
        <v>344</v>
      </c>
      <c r="S354" s="22">
        <v>1.6311599999999999</v>
      </c>
      <c r="T354">
        <f t="shared" si="62"/>
        <v>13.49925925925926</v>
      </c>
      <c r="U354">
        <f t="shared" si="63"/>
        <v>22.033895940740742</v>
      </c>
      <c r="X354" s="9"/>
      <c r="Y354" s="22">
        <v>8.7890599999999999E-2</v>
      </c>
      <c r="Z354" s="22">
        <v>18.233000000000001</v>
      </c>
      <c r="AA354" s="22">
        <v>-1.40594E-2</v>
      </c>
      <c r="AB354" s="22">
        <v>344</v>
      </c>
      <c r="AC354" s="22">
        <v>8.7402300000000002E-2</v>
      </c>
      <c r="AD354">
        <f t="shared" si="64"/>
        <v>17.357283950617283</v>
      </c>
      <c r="AE354">
        <f t="shared" si="65"/>
        <v>1.5255421007901233</v>
      </c>
      <c r="AF354" s="9"/>
      <c r="AG354" s="22">
        <v>1.6322300000000001</v>
      </c>
      <c r="AH354" s="22">
        <v>22.092400000000001</v>
      </c>
      <c r="AI354" s="22">
        <v>-1.0794099999999999E-2</v>
      </c>
      <c r="AJ354" s="22">
        <v>344</v>
      </c>
      <c r="AK354" s="22">
        <v>1.6317699999999999</v>
      </c>
      <c r="AL354">
        <f t="shared" si="66"/>
        <v>13.326049382716048</v>
      </c>
      <c r="AM354">
        <f t="shared" si="67"/>
        <v>21.751177583950618</v>
      </c>
      <c r="AP354" s="9"/>
      <c r="AQ354" s="22">
        <v>8.7890599999999999E-2</v>
      </c>
      <c r="AR354" s="22">
        <v>27.5382</v>
      </c>
      <c r="AS354" s="22">
        <v>-1.4025900000000001E-2</v>
      </c>
      <c r="AT354" s="22">
        <v>344</v>
      </c>
      <c r="AU354" s="22">
        <v>8.7310799999999994E-2</v>
      </c>
      <c r="AV354">
        <f t="shared" si="68"/>
        <v>17.315925925925924</v>
      </c>
      <c r="AW354">
        <f t="shared" si="69"/>
        <v>1.521907119185185</v>
      </c>
      <c r="AX354" s="9"/>
      <c r="AY354" s="22">
        <v>1.6322300000000001</v>
      </c>
      <c r="AZ354" s="22">
        <v>31.3977</v>
      </c>
      <c r="BA354" s="22">
        <v>-1.0720800000000001E-2</v>
      </c>
      <c r="BB354" s="22">
        <v>344</v>
      </c>
      <c r="BC354" s="22">
        <v>1.6317699999999999</v>
      </c>
      <c r="BD354">
        <f t="shared" si="70"/>
        <v>13.235555555555557</v>
      </c>
      <c r="BE354">
        <f t="shared" si="71"/>
        <v>21.603470844444448</v>
      </c>
    </row>
    <row r="355" spans="6:57">
      <c r="F355" s="9"/>
      <c r="G355" s="22">
        <v>8.2855200000000004E-2</v>
      </c>
      <c r="H355" s="22">
        <v>8.7988199999999992</v>
      </c>
      <c r="I355" s="22">
        <v>-1.40381E-2</v>
      </c>
      <c r="J355" s="22">
        <v>345</v>
      </c>
      <c r="K355" s="22">
        <v>8.2366900000000007E-2</v>
      </c>
      <c r="L355">
        <f t="shared" si="60"/>
        <v>17.330987654320985</v>
      </c>
      <c r="M355">
        <f t="shared" si="61"/>
        <v>1.4359624482962963</v>
      </c>
      <c r="N355" s="9"/>
      <c r="O355" s="22">
        <v>1.63727</v>
      </c>
      <c r="P355" s="22">
        <v>12.658300000000001</v>
      </c>
      <c r="Q355" s="22">
        <v>-1.08063E-2</v>
      </c>
      <c r="R355" s="22">
        <v>345</v>
      </c>
      <c r="S355" s="22">
        <v>1.63635</v>
      </c>
      <c r="T355">
        <f t="shared" si="62"/>
        <v>13.341111111111109</v>
      </c>
      <c r="U355">
        <f t="shared" si="63"/>
        <v>21.843000988888885</v>
      </c>
      <c r="X355" s="9"/>
      <c r="Y355" s="22">
        <v>8.2855200000000004E-2</v>
      </c>
      <c r="Z355" s="22">
        <v>18.242999999999999</v>
      </c>
      <c r="AA355" s="22">
        <v>-1.40564E-2</v>
      </c>
      <c r="AB355" s="22">
        <v>345</v>
      </c>
      <c r="AC355" s="22">
        <v>8.2336400000000004E-2</v>
      </c>
      <c r="AD355">
        <f t="shared" si="64"/>
        <v>17.35358024691358</v>
      </c>
      <c r="AE355">
        <f t="shared" si="65"/>
        <v>1.4378343620740741</v>
      </c>
      <c r="AF355" s="9"/>
      <c r="AG355" s="22">
        <v>1.63727</v>
      </c>
      <c r="AH355" s="22">
        <v>22.102499999999999</v>
      </c>
      <c r="AI355" s="22">
        <v>-1.06842E-2</v>
      </c>
      <c r="AJ355" s="22">
        <v>345</v>
      </c>
      <c r="AK355" s="22">
        <v>1.63666</v>
      </c>
      <c r="AL355">
        <f t="shared" si="66"/>
        <v>13.190370370370371</v>
      </c>
      <c r="AM355">
        <f t="shared" si="67"/>
        <v>21.596197696296297</v>
      </c>
      <c r="AP355" s="9"/>
      <c r="AQ355" s="22">
        <v>8.2855200000000004E-2</v>
      </c>
      <c r="AR355" s="22">
        <v>27.548300000000001</v>
      </c>
      <c r="AS355" s="22">
        <v>-1.4025900000000001E-2</v>
      </c>
      <c r="AT355" s="22">
        <v>345</v>
      </c>
      <c r="AU355" s="22">
        <v>8.2366900000000007E-2</v>
      </c>
      <c r="AV355">
        <f t="shared" si="68"/>
        <v>17.315925925925924</v>
      </c>
      <c r="AW355">
        <f t="shared" si="69"/>
        <v>1.4347145057777777</v>
      </c>
      <c r="AX355" s="9"/>
      <c r="AY355" s="22">
        <v>1.63727</v>
      </c>
      <c r="AZ355" s="22">
        <v>31.407699999999998</v>
      </c>
      <c r="BA355" s="22">
        <v>-1.05988E-2</v>
      </c>
      <c r="BB355" s="22">
        <v>345</v>
      </c>
      <c r="BC355" s="22">
        <v>1.63666</v>
      </c>
      <c r="BD355">
        <f t="shared" si="70"/>
        <v>13.084938271604937</v>
      </c>
      <c r="BE355">
        <f t="shared" si="71"/>
        <v>21.423576883950616</v>
      </c>
    </row>
    <row r="356" spans="6:57">
      <c r="F356" s="9"/>
      <c r="G356" s="22">
        <v>7.7819799999999995E-2</v>
      </c>
      <c r="H356" s="22">
        <v>8.8088999999999995</v>
      </c>
      <c r="I356" s="22">
        <v>-1.4041100000000001E-2</v>
      </c>
      <c r="J356" s="22">
        <v>346</v>
      </c>
      <c r="K356" s="22">
        <v>7.7362100000000003E-2</v>
      </c>
      <c r="L356">
        <f t="shared" si="60"/>
        <v>17.334691358024692</v>
      </c>
      <c r="M356">
        <f t="shared" si="61"/>
        <v>1.3489822145432098</v>
      </c>
      <c r="N356" s="9"/>
      <c r="O356" s="22">
        <v>1.6423000000000001</v>
      </c>
      <c r="P356" s="22">
        <v>12.6684</v>
      </c>
      <c r="Q356" s="22">
        <v>-1.06903E-2</v>
      </c>
      <c r="R356" s="22">
        <v>346</v>
      </c>
      <c r="S356" s="22">
        <v>1.64124</v>
      </c>
      <c r="T356">
        <f t="shared" si="62"/>
        <v>13.197901234567899</v>
      </c>
      <c r="U356">
        <f t="shared" si="63"/>
        <v>21.674913197530863</v>
      </c>
      <c r="X356" s="9"/>
      <c r="Y356" s="22">
        <v>7.7819799999999995E-2</v>
      </c>
      <c r="Z356" s="22">
        <v>18.2531</v>
      </c>
      <c r="AA356" s="22">
        <v>-1.40503E-2</v>
      </c>
      <c r="AB356" s="22">
        <v>346</v>
      </c>
      <c r="AC356" s="22">
        <v>7.7331499999999997E-2</v>
      </c>
      <c r="AD356">
        <f t="shared" si="64"/>
        <v>17.34604938271605</v>
      </c>
      <c r="AE356">
        <f t="shared" si="65"/>
        <v>1.3498660937530864</v>
      </c>
      <c r="AF356" s="9"/>
      <c r="AG356" s="22">
        <v>1.6423000000000001</v>
      </c>
      <c r="AH356" s="22">
        <v>22.1126</v>
      </c>
      <c r="AI356" s="22">
        <v>-1.0553E-2</v>
      </c>
      <c r="AJ356" s="22">
        <v>346</v>
      </c>
      <c r="AK356" s="22">
        <v>1.64093</v>
      </c>
      <c r="AL356">
        <f t="shared" si="66"/>
        <v>13.028395061728395</v>
      </c>
      <c r="AM356">
        <f t="shared" si="67"/>
        <v>21.396533209876544</v>
      </c>
      <c r="AP356" s="9"/>
      <c r="AQ356" s="22">
        <v>7.7819799999999995E-2</v>
      </c>
      <c r="AR356" s="22">
        <v>27.558299999999999</v>
      </c>
      <c r="AS356" s="22">
        <v>-1.4025900000000001E-2</v>
      </c>
      <c r="AT356" s="22">
        <v>346</v>
      </c>
      <c r="AU356" s="22">
        <v>7.7331499999999997E-2</v>
      </c>
      <c r="AV356">
        <f t="shared" si="68"/>
        <v>17.315925925925924</v>
      </c>
      <c r="AW356">
        <f t="shared" si="69"/>
        <v>1.3475218923703702</v>
      </c>
      <c r="AX356" s="9"/>
      <c r="AY356" s="22">
        <v>1.6423000000000001</v>
      </c>
      <c r="AZ356" s="22">
        <v>31.4178</v>
      </c>
      <c r="BA356" s="22">
        <v>-1.0467499999999999E-2</v>
      </c>
      <c r="BB356" s="22">
        <v>346</v>
      </c>
      <c r="BC356" s="22">
        <v>1.64093</v>
      </c>
      <c r="BD356">
        <f t="shared" si="70"/>
        <v>12.922839506172838</v>
      </c>
      <c r="BE356">
        <f t="shared" si="71"/>
        <v>21.223179320987654</v>
      </c>
    </row>
    <row r="357" spans="6:57">
      <c r="F357" s="9"/>
      <c r="G357" s="22">
        <v>7.2784399999999999E-2</v>
      </c>
      <c r="H357" s="22">
        <v>8.8189700000000002</v>
      </c>
      <c r="I357" s="22">
        <v>-1.4041100000000001E-2</v>
      </c>
      <c r="J357" s="22">
        <v>347</v>
      </c>
      <c r="K357" s="22">
        <v>7.2296100000000002E-2</v>
      </c>
      <c r="L357">
        <f t="shared" si="60"/>
        <v>17.334691358024692</v>
      </c>
      <c r="M357">
        <f t="shared" si="61"/>
        <v>1.2616951096790123</v>
      </c>
      <c r="N357" s="9"/>
      <c r="O357" s="22">
        <v>1.64734</v>
      </c>
      <c r="P357" s="22">
        <v>12.6784</v>
      </c>
      <c r="Q357" s="22">
        <v>-1.05652E-2</v>
      </c>
      <c r="R357" s="22">
        <v>347</v>
      </c>
      <c r="S357" s="22">
        <v>1.64673</v>
      </c>
      <c r="T357">
        <f t="shared" si="62"/>
        <v>13.043456790123457</v>
      </c>
      <c r="U357">
        <f t="shared" si="63"/>
        <v>21.487008108641977</v>
      </c>
      <c r="X357" s="9"/>
      <c r="Y357" s="22">
        <v>7.2784399999999999E-2</v>
      </c>
      <c r="Z357" s="22">
        <v>18.263200000000001</v>
      </c>
      <c r="AA357" s="22">
        <v>-1.4047199999999999E-2</v>
      </c>
      <c r="AB357" s="22">
        <v>347</v>
      </c>
      <c r="AC357" s="22">
        <v>7.2296100000000002E-2</v>
      </c>
      <c r="AD357">
        <f t="shared" si="64"/>
        <v>17.342222222222222</v>
      </c>
      <c r="AE357">
        <f t="shared" si="65"/>
        <v>1.2622432391111111</v>
      </c>
      <c r="AF357" s="9"/>
      <c r="AG357" s="22">
        <v>1.64734</v>
      </c>
      <c r="AH357" s="22">
        <v>22.122599999999998</v>
      </c>
      <c r="AI357" s="22">
        <v>-1.04218E-2</v>
      </c>
      <c r="AJ357" s="22">
        <v>347</v>
      </c>
      <c r="AK357" s="22">
        <v>1.64612</v>
      </c>
      <c r="AL357">
        <f t="shared" si="66"/>
        <v>12.866419753086419</v>
      </c>
      <c r="AM357">
        <f t="shared" si="67"/>
        <v>21.195367916049381</v>
      </c>
      <c r="AP357" s="9"/>
      <c r="AQ357" s="22">
        <v>7.2784399999999999E-2</v>
      </c>
      <c r="AR357" s="22">
        <v>27.5684</v>
      </c>
      <c r="AS357" s="22">
        <v>-1.4025900000000001E-2</v>
      </c>
      <c r="AT357" s="22">
        <v>347</v>
      </c>
      <c r="AU357" s="22">
        <v>7.2265599999999999E-2</v>
      </c>
      <c r="AV357">
        <f t="shared" si="68"/>
        <v>17.315925925925924</v>
      </c>
      <c r="AW357">
        <f t="shared" si="69"/>
        <v>1.2603292789629628</v>
      </c>
      <c r="AX357" s="9"/>
      <c r="AY357" s="22">
        <v>1.64734</v>
      </c>
      <c r="AZ357" s="22">
        <v>31.427900000000001</v>
      </c>
      <c r="BA357" s="22">
        <v>-1.0327100000000001E-2</v>
      </c>
      <c r="BB357" s="22">
        <v>347</v>
      </c>
      <c r="BC357" s="22">
        <v>1.64642</v>
      </c>
      <c r="BD357">
        <f t="shared" si="70"/>
        <v>12.749506172839505</v>
      </c>
      <c r="BE357">
        <f t="shared" si="71"/>
        <v>21.00277149876543</v>
      </c>
    </row>
    <row r="358" spans="6:57">
      <c r="F358" s="9"/>
      <c r="G358" s="22">
        <v>6.7749000000000004E-2</v>
      </c>
      <c r="H358" s="22">
        <v>8.8290400000000009</v>
      </c>
      <c r="I358" s="22">
        <v>-1.40381E-2</v>
      </c>
      <c r="J358" s="22">
        <v>348</v>
      </c>
      <c r="K358" s="22">
        <v>6.7199700000000001E-2</v>
      </c>
      <c r="L358">
        <f t="shared" si="60"/>
        <v>17.330987654320985</v>
      </c>
      <c r="M358">
        <f t="shared" si="61"/>
        <v>1.1741570825925924</v>
      </c>
      <c r="N358" s="9"/>
      <c r="O358" s="22">
        <v>1.6523699999999999</v>
      </c>
      <c r="P358" s="22">
        <v>12.688499999999999</v>
      </c>
      <c r="Q358" s="22">
        <v>-1.04279E-2</v>
      </c>
      <c r="R358" s="22">
        <v>348</v>
      </c>
      <c r="S358" s="22">
        <v>1.6519200000000001</v>
      </c>
      <c r="T358">
        <f t="shared" si="62"/>
        <v>12.873950617283951</v>
      </c>
      <c r="U358">
        <f t="shared" si="63"/>
        <v>21.272529781481481</v>
      </c>
      <c r="X358" s="9"/>
      <c r="Y358" s="22">
        <v>6.7749000000000004E-2</v>
      </c>
      <c r="Z358" s="22">
        <v>18.273199999999999</v>
      </c>
      <c r="AA358" s="22">
        <v>-1.40442E-2</v>
      </c>
      <c r="AB358" s="22">
        <v>348</v>
      </c>
      <c r="AC358" s="22">
        <v>6.7230200000000004E-2</v>
      </c>
      <c r="AD358">
        <f t="shared" si="64"/>
        <v>17.338518518518516</v>
      </c>
      <c r="AE358">
        <f t="shared" si="65"/>
        <v>1.1746672911111109</v>
      </c>
      <c r="AF358" s="9"/>
      <c r="AG358" s="22">
        <v>1.6523699999999999</v>
      </c>
      <c r="AH358" s="22">
        <v>22.1327</v>
      </c>
      <c r="AI358" s="22">
        <v>-1.0278300000000001E-2</v>
      </c>
      <c r="AJ358" s="22">
        <v>348</v>
      </c>
      <c r="AK358" s="22">
        <v>1.6513100000000001</v>
      </c>
      <c r="AL358">
        <f t="shared" si="66"/>
        <v>12.689259259259259</v>
      </c>
      <c r="AM358">
        <f t="shared" si="67"/>
        <v>20.967351322222221</v>
      </c>
      <c r="AP358" s="9"/>
      <c r="AQ358" s="22">
        <v>6.7749000000000004E-2</v>
      </c>
      <c r="AR358" s="22">
        <v>27.578499999999998</v>
      </c>
      <c r="AS358" s="22">
        <v>-1.4035000000000001E-2</v>
      </c>
      <c r="AT358" s="22">
        <v>348</v>
      </c>
      <c r="AU358" s="22">
        <v>6.7291299999999998E-2</v>
      </c>
      <c r="AV358">
        <f t="shared" si="68"/>
        <v>17.327160493827162</v>
      </c>
      <c r="AW358">
        <f t="shared" si="69"/>
        <v>1.1738977962962964</v>
      </c>
      <c r="AX358" s="9"/>
      <c r="AY358" s="22">
        <v>1.6523699999999999</v>
      </c>
      <c r="AZ358" s="22">
        <v>31.437899999999999</v>
      </c>
      <c r="BA358" s="22">
        <v>-1.01654E-2</v>
      </c>
      <c r="BB358" s="22">
        <v>348</v>
      </c>
      <c r="BC358" s="22">
        <v>1.6513100000000001</v>
      </c>
      <c r="BD358">
        <f t="shared" si="70"/>
        <v>12.549876543209876</v>
      </c>
      <c r="BE358">
        <f t="shared" si="71"/>
        <v>20.737039503703702</v>
      </c>
    </row>
    <row r="359" spans="6:57">
      <c r="F359" s="9"/>
      <c r="G359" s="22">
        <v>6.2713599999999994E-2</v>
      </c>
      <c r="H359" s="22">
        <v>8.8391099999999998</v>
      </c>
      <c r="I359" s="22">
        <v>-1.40442E-2</v>
      </c>
      <c r="J359" s="22">
        <v>349</v>
      </c>
      <c r="K359" s="22">
        <v>6.2225299999999997E-2</v>
      </c>
      <c r="L359">
        <f t="shared" si="60"/>
        <v>17.338518518518516</v>
      </c>
      <c r="M359">
        <f t="shared" si="61"/>
        <v>1.0873609149629626</v>
      </c>
      <c r="N359" s="9"/>
      <c r="O359" s="22">
        <v>1.65741</v>
      </c>
      <c r="P359" s="22">
        <v>12.698600000000001</v>
      </c>
      <c r="Q359" s="22">
        <v>-1.02814E-2</v>
      </c>
      <c r="R359" s="22">
        <v>349</v>
      </c>
      <c r="S359" s="22">
        <v>1.6561900000000001</v>
      </c>
      <c r="T359">
        <f t="shared" si="62"/>
        <v>12.693086419753087</v>
      </c>
      <c r="U359">
        <f t="shared" si="63"/>
        <v>21.037648362962965</v>
      </c>
      <c r="X359" s="9"/>
      <c r="Y359" s="22">
        <v>6.2713599999999994E-2</v>
      </c>
      <c r="Z359" s="22">
        <v>18.283300000000001</v>
      </c>
      <c r="AA359" s="22">
        <v>-1.40381E-2</v>
      </c>
      <c r="AB359" s="22">
        <v>349</v>
      </c>
      <c r="AC359" s="22">
        <v>6.2286399999999999E-2</v>
      </c>
      <c r="AD359">
        <f t="shared" si="64"/>
        <v>17.330987654320985</v>
      </c>
      <c r="AE359">
        <f t="shared" si="65"/>
        <v>1.0868886273580245</v>
      </c>
      <c r="AF359" s="9"/>
      <c r="AG359" s="22">
        <v>1.65741</v>
      </c>
      <c r="AH359" s="22">
        <v>22.142800000000001</v>
      </c>
      <c r="AI359" s="22">
        <v>-1.0141000000000001E-2</v>
      </c>
      <c r="AJ359" s="22">
        <v>349</v>
      </c>
      <c r="AK359" s="22">
        <v>1.65649</v>
      </c>
      <c r="AL359">
        <f t="shared" si="66"/>
        <v>12.519753086419753</v>
      </c>
      <c r="AM359">
        <f t="shared" si="67"/>
        <v>20.750363962962965</v>
      </c>
      <c r="AP359" s="9"/>
      <c r="AQ359" s="22">
        <v>6.2713599999999994E-2</v>
      </c>
      <c r="AR359" s="22">
        <v>27.5885</v>
      </c>
      <c r="AS359" s="22">
        <v>-1.4035000000000001E-2</v>
      </c>
      <c r="AT359" s="22">
        <v>349</v>
      </c>
      <c r="AU359" s="22">
        <v>6.2164299999999999E-2</v>
      </c>
      <c r="AV359">
        <f t="shared" si="68"/>
        <v>17.327160493827162</v>
      </c>
      <c r="AW359">
        <f t="shared" si="69"/>
        <v>1.0866486123456789</v>
      </c>
      <c r="AX359" s="9"/>
      <c r="AY359" s="22">
        <v>1.65741</v>
      </c>
      <c r="AZ359" s="22">
        <v>31.448</v>
      </c>
      <c r="BA359" s="22">
        <v>-1.0015899999999999E-2</v>
      </c>
      <c r="BB359" s="22">
        <v>349</v>
      </c>
      <c r="BC359" s="22">
        <v>1.65649</v>
      </c>
      <c r="BD359">
        <f t="shared" si="70"/>
        <v>12.365308641975307</v>
      </c>
      <c r="BE359">
        <f t="shared" si="71"/>
        <v>20.494386196296293</v>
      </c>
    </row>
    <row r="360" spans="6:57">
      <c r="F360" s="9"/>
      <c r="G360" s="22">
        <v>5.7678199999999999E-2</v>
      </c>
      <c r="H360" s="22">
        <v>8.8491800000000005</v>
      </c>
      <c r="I360" s="22">
        <v>-1.4047199999999999E-2</v>
      </c>
      <c r="J360" s="22">
        <v>350</v>
      </c>
      <c r="K360" s="22">
        <v>5.7189900000000002E-2</v>
      </c>
      <c r="L360">
        <f t="shared" si="60"/>
        <v>17.342222222222222</v>
      </c>
      <c r="M360">
        <f t="shared" si="61"/>
        <v>1.0002681617777778</v>
      </c>
      <c r="N360" s="9"/>
      <c r="O360" s="22">
        <v>1.66245</v>
      </c>
      <c r="P360" s="22">
        <v>12.7087</v>
      </c>
      <c r="Q360" s="22">
        <v>-1.01257E-2</v>
      </c>
      <c r="R360" s="22">
        <v>350</v>
      </c>
      <c r="S360" s="22">
        <v>1.66168</v>
      </c>
      <c r="T360">
        <f t="shared" si="62"/>
        <v>12.500864197530863</v>
      </c>
      <c r="U360">
        <f t="shared" si="63"/>
        <v>20.782061685185184</v>
      </c>
      <c r="X360" s="9"/>
      <c r="Y360" s="22">
        <v>5.7678199999999999E-2</v>
      </c>
      <c r="Z360" s="22">
        <v>18.293399999999998</v>
      </c>
      <c r="AA360" s="22">
        <v>-1.40381E-2</v>
      </c>
      <c r="AB360" s="22">
        <v>350</v>
      </c>
      <c r="AC360" s="22">
        <v>5.7189900000000002E-2</v>
      </c>
      <c r="AD360">
        <f t="shared" si="64"/>
        <v>17.330987654320985</v>
      </c>
      <c r="AE360">
        <f t="shared" si="65"/>
        <v>0.99962017212345666</v>
      </c>
      <c r="AF360" s="9"/>
      <c r="AG360" s="22">
        <v>1.66245</v>
      </c>
      <c r="AH360" s="22">
        <v>22.152899999999999</v>
      </c>
      <c r="AI360" s="22">
        <v>-9.9853500000000005E-3</v>
      </c>
      <c r="AJ360" s="22">
        <v>350</v>
      </c>
      <c r="AK360" s="22">
        <v>1.66107</v>
      </c>
      <c r="AL360">
        <f t="shared" si="66"/>
        <v>12.327592592592593</v>
      </c>
      <c r="AM360">
        <f t="shared" si="67"/>
        <v>20.494006305555555</v>
      </c>
      <c r="AP360" s="9"/>
      <c r="AQ360" s="22">
        <v>5.7678199999999999E-2</v>
      </c>
      <c r="AR360" s="22">
        <v>27.598600000000001</v>
      </c>
      <c r="AS360" s="22">
        <v>-1.40381E-2</v>
      </c>
      <c r="AT360" s="22">
        <v>350</v>
      </c>
      <c r="AU360" s="22">
        <v>5.7189900000000002E-2</v>
      </c>
      <c r="AV360">
        <f t="shared" si="68"/>
        <v>17.330987654320985</v>
      </c>
      <c r="AW360">
        <f t="shared" si="69"/>
        <v>0.99962017212345666</v>
      </c>
      <c r="AX360" s="9"/>
      <c r="AY360" s="22">
        <v>1.66245</v>
      </c>
      <c r="AZ360" s="22">
        <v>31.458100000000002</v>
      </c>
      <c r="BA360" s="22">
        <v>-9.8541299999999991E-3</v>
      </c>
      <c r="BB360" s="22">
        <v>350</v>
      </c>
      <c r="BC360" s="22">
        <v>1.66168</v>
      </c>
      <c r="BD360">
        <f t="shared" si="70"/>
        <v>12.16559259259259</v>
      </c>
      <c r="BE360">
        <f t="shared" si="71"/>
        <v>20.224689405555552</v>
      </c>
    </row>
    <row r="361" spans="6:57">
      <c r="F361" s="9"/>
      <c r="G361" s="22">
        <v>5.2642799999999997E-2</v>
      </c>
      <c r="H361" s="22">
        <v>8.8592499999999994</v>
      </c>
      <c r="I361" s="22">
        <v>-1.4053299999999999E-2</v>
      </c>
      <c r="J361" s="22">
        <v>351</v>
      </c>
      <c r="K361" s="22">
        <v>5.2246099999999997E-2</v>
      </c>
      <c r="L361">
        <f t="shared" si="60"/>
        <v>17.349753086419753</v>
      </c>
      <c r="M361">
        <f t="shared" si="61"/>
        <v>0.91333958177777774</v>
      </c>
      <c r="N361" s="9"/>
      <c r="O361" s="22">
        <v>1.6674800000000001</v>
      </c>
      <c r="P361" s="22">
        <v>12.7187</v>
      </c>
      <c r="Q361" s="22">
        <v>-9.9609399999999997E-3</v>
      </c>
      <c r="R361" s="22">
        <v>351</v>
      </c>
      <c r="S361" s="22">
        <v>1.66656</v>
      </c>
      <c r="T361">
        <f t="shared" si="62"/>
        <v>12.297456790123457</v>
      </c>
      <c r="U361">
        <f t="shared" si="63"/>
        <v>20.505763248395063</v>
      </c>
      <c r="X361" s="9"/>
      <c r="Y361" s="22">
        <v>5.2642799999999997E-2</v>
      </c>
      <c r="Z361" s="22">
        <v>18.3035</v>
      </c>
      <c r="AA361" s="22">
        <v>-1.40442E-2</v>
      </c>
      <c r="AB361" s="22">
        <v>351</v>
      </c>
      <c r="AC361" s="22">
        <v>5.2185099999999998E-2</v>
      </c>
      <c r="AD361">
        <f t="shared" si="64"/>
        <v>17.338518518518516</v>
      </c>
      <c r="AE361">
        <f t="shared" si="65"/>
        <v>0.91274816266666647</v>
      </c>
      <c r="AF361" s="9"/>
      <c r="AG361" s="22">
        <v>1.6674800000000001</v>
      </c>
      <c r="AH361" s="22">
        <v>22.1629</v>
      </c>
      <c r="AI361" s="22">
        <v>-9.8297100000000002E-3</v>
      </c>
      <c r="AJ361" s="22">
        <v>351</v>
      </c>
      <c r="AK361" s="22">
        <v>1.6662600000000001</v>
      </c>
      <c r="AL361">
        <f t="shared" si="66"/>
        <v>12.135444444444444</v>
      </c>
      <c r="AM361">
        <f t="shared" si="67"/>
        <v>20.23561090222222</v>
      </c>
      <c r="AP361" s="9"/>
      <c r="AQ361" s="22">
        <v>5.2642799999999997E-2</v>
      </c>
      <c r="AR361" s="22">
        <v>27.608699999999999</v>
      </c>
      <c r="AS361" s="22">
        <v>-1.40289E-2</v>
      </c>
      <c r="AT361" s="22">
        <v>351</v>
      </c>
      <c r="AU361" s="22">
        <v>5.2154499999999999E-2</v>
      </c>
      <c r="AV361">
        <f t="shared" si="68"/>
        <v>17.319629629629631</v>
      </c>
      <c r="AW361">
        <f t="shared" si="69"/>
        <v>0.91175379866666673</v>
      </c>
      <c r="AX361" s="9"/>
      <c r="AY361" s="22">
        <v>1.6674800000000001</v>
      </c>
      <c r="AZ361" s="22">
        <v>31.4682</v>
      </c>
      <c r="BA361" s="22">
        <v>-9.6923800000000004E-3</v>
      </c>
      <c r="BB361" s="22">
        <v>351</v>
      </c>
      <c r="BC361" s="22">
        <v>1.66656</v>
      </c>
      <c r="BD361">
        <f t="shared" si="70"/>
        <v>11.965901234567902</v>
      </c>
      <c r="BE361">
        <f t="shared" si="71"/>
        <v>19.952900990617284</v>
      </c>
    </row>
    <row r="362" spans="6:57">
      <c r="F362" s="9"/>
      <c r="G362" s="22">
        <v>4.7607400000000001E-2</v>
      </c>
      <c r="H362" s="22">
        <v>8.8693200000000001</v>
      </c>
      <c r="I362" s="22">
        <v>-1.40503E-2</v>
      </c>
      <c r="J362" s="22">
        <v>352</v>
      </c>
      <c r="K362" s="22">
        <v>4.7586099999999999E-2</v>
      </c>
      <c r="L362">
        <f t="shared" si="60"/>
        <v>17.34604938271605</v>
      </c>
      <c r="M362">
        <f t="shared" si="61"/>
        <v>0.82580031138271603</v>
      </c>
      <c r="N362" s="9"/>
      <c r="O362" s="22">
        <v>1.67252</v>
      </c>
      <c r="P362" s="22">
        <v>12.7288</v>
      </c>
      <c r="Q362" s="22">
        <v>-9.7869900000000006E-3</v>
      </c>
      <c r="R362" s="22">
        <v>352</v>
      </c>
      <c r="S362" s="22">
        <v>1.6720600000000001</v>
      </c>
      <c r="T362">
        <f t="shared" si="62"/>
        <v>12.082703703703704</v>
      </c>
      <c r="U362">
        <f t="shared" si="63"/>
        <v>20.20856359851852</v>
      </c>
      <c r="X362" s="9"/>
      <c r="Y362" s="22">
        <v>4.7607400000000001E-2</v>
      </c>
      <c r="Z362" s="22">
        <v>18.313500000000001</v>
      </c>
      <c r="AA362" s="22">
        <v>-1.4047199999999999E-2</v>
      </c>
      <c r="AB362" s="22">
        <v>352</v>
      </c>
      <c r="AC362" s="22">
        <v>4.75311E-2</v>
      </c>
      <c r="AD362">
        <f t="shared" si="64"/>
        <v>17.342222222222222</v>
      </c>
      <c r="AE362">
        <f t="shared" si="65"/>
        <v>0.8256181102222222</v>
      </c>
      <c r="AF362" s="9"/>
      <c r="AG362" s="22">
        <v>1.67252</v>
      </c>
      <c r="AH362" s="22">
        <v>22.172999999999998</v>
      </c>
      <c r="AI362" s="22">
        <v>-9.6435500000000007E-3</v>
      </c>
      <c r="AJ362" s="22">
        <v>352</v>
      </c>
      <c r="AK362" s="22">
        <v>1.6717500000000001</v>
      </c>
      <c r="AL362">
        <f t="shared" si="66"/>
        <v>11.905617283950617</v>
      </c>
      <c r="AM362">
        <f t="shared" si="67"/>
        <v>19.912383019753086</v>
      </c>
      <c r="AP362" s="9"/>
      <c r="AQ362" s="22">
        <v>4.7607400000000001E-2</v>
      </c>
      <c r="AR362" s="22">
        <v>27.6188</v>
      </c>
      <c r="AS362" s="22">
        <v>-1.40228E-2</v>
      </c>
      <c r="AT362" s="22">
        <v>352</v>
      </c>
      <c r="AU362" s="22">
        <v>4.7567699999999997E-2</v>
      </c>
      <c r="AV362">
        <f t="shared" si="68"/>
        <v>17.312098765432097</v>
      </c>
      <c r="AW362">
        <f t="shared" si="69"/>
        <v>0.82418401076543202</v>
      </c>
      <c r="AX362" s="9"/>
      <c r="AY362" s="22">
        <v>1.67252</v>
      </c>
      <c r="AZ362" s="22">
        <v>31.478200000000001</v>
      </c>
      <c r="BA362" s="22">
        <v>-9.5123299999999994E-3</v>
      </c>
      <c r="BB362" s="22">
        <v>352</v>
      </c>
      <c r="BC362" s="22">
        <v>1.6717500000000001</v>
      </c>
      <c r="BD362">
        <f t="shared" si="70"/>
        <v>11.743617283950616</v>
      </c>
      <c r="BE362">
        <f t="shared" si="71"/>
        <v>19.641434779753084</v>
      </c>
    </row>
    <row r="363" spans="6:57">
      <c r="F363" s="9"/>
      <c r="G363" s="22">
        <v>4.2571999999999999E-2</v>
      </c>
      <c r="H363" s="22">
        <v>8.8793900000000008</v>
      </c>
      <c r="I363" s="22">
        <v>-1.40503E-2</v>
      </c>
      <c r="J363" s="22">
        <v>353</v>
      </c>
      <c r="K363" s="22">
        <v>4.2504899999999998E-2</v>
      </c>
      <c r="L363">
        <f t="shared" si="60"/>
        <v>17.34604938271605</v>
      </c>
      <c r="M363">
        <f t="shared" si="61"/>
        <v>0.73845601432098762</v>
      </c>
      <c r="N363" s="9"/>
      <c r="O363" s="22">
        <v>1.6775500000000001</v>
      </c>
      <c r="P363" s="22">
        <v>12.738899999999999</v>
      </c>
      <c r="Q363" s="22">
        <v>-9.5977800000000002E-3</v>
      </c>
      <c r="R363" s="22">
        <v>353</v>
      </c>
      <c r="S363" s="22">
        <v>1.6772499999999999</v>
      </c>
      <c r="T363">
        <f t="shared" si="62"/>
        <v>11.84911111111111</v>
      </c>
      <c r="U363">
        <f t="shared" si="63"/>
        <v>19.877476344444442</v>
      </c>
      <c r="X363" s="9"/>
      <c r="Y363" s="22">
        <v>4.2571999999999999E-2</v>
      </c>
      <c r="Z363" s="22">
        <v>18.323599999999999</v>
      </c>
      <c r="AA363" s="22">
        <v>-1.4047199999999999E-2</v>
      </c>
      <c r="AB363" s="22">
        <v>353</v>
      </c>
      <c r="AC363" s="22">
        <v>4.2541500000000003E-2</v>
      </c>
      <c r="AD363">
        <f t="shared" si="64"/>
        <v>17.342222222222222</v>
      </c>
      <c r="AE363">
        <f t="shared" si="65"/>
        <v>0.73829308444444441</v>
      </c>
      <c r="AF363" s="9"/>
      <c r="AG363" s="22">
        <v>1.6775500000000001</v>
      </c>
      <c r="AH363" s="22">
        <v>22.1831</v>
      </c>
      <c r="AI363" s="22">
        <v>-9.4665500000000007E-3</v>
      </c>
      <c r="AJ363" s="22">
        <v>353</v>
      </c>
      <c r="AK363" s="22">
        <v>1.6766399999999999</v>
      </c>
      <c r="AL363">
        <f t="shared" si="66"/>
        <v>11.687098765432099</v>
      </c>
      <c r="AM363">
        <f t="shared" si="67"/>
        <v>19.60569253395062</v>
      </c>
      <c r="AP363" s="9"/>
      <c r="AQ363" s="22">
        <v>4.2571999999999999E-2</v>
      </c>
      <c r="AR363" s="22">
        <v>27.628799999999998</v>
      </c>
      <c r="AS363" s="22">
        <v>-1.4035000000000001E-2</v>
      </c>
      <c r="AT363" s="22">
        <v>353</v>
      </c>
      <c r="AU363" s="22">
        <v>4.25385E-2</v>
      </c>
      <c r="AV363">
        <f t="shared" si="68"/>
        <v>17.327160493827162</v>
      </c>
      <c r="AW363">
        <f t="shared" si="69"/>
        <v>0.73765187654320985</v>
      </c>
      <c r="AX363" s="9"/>
      <c r="AY363" s="22">
        <v>1.6775500000000001</v>
      </c>
      <c r="AZ363" s="22">
        <v>31.488299999999999</v>
      </c>
      <c r="BA363" s="22">
        <v>-9.3139599999999996E-3</v>
      </c>
      <c r="BB363" s="22">
        <v>353</v>
      </c>
      <c r="BC363" s="22">
        <v>1.6769400000000001</v>
      </c>
      <c r="BD363">
        <f t="shared" si="70"/>
        <v>11.498716049382715</v>
      </c>
      <c r="BE363">
        <f t="shared" si="71"/>
        <v>19.289671108641976</v>
      </c>
    </row>
    <row r="364" spans="6:57">
      <c r="F364" s="9"/>
      <c r="G364" s="22">
        <v>3.7536600000000003E-2</v>
      </c>
      <c r="H364" s="22">
        <v>8.8894599999999997</v>
      </c>
      <c r="I364" s="22">
        <v>-1.40564E-2</v>
      </c>
      <c r="J364" s="22">
        <v>354</v>
      </c>
      <c r="K364" s="22">
        <v>3.7420700000000001E-2</v>
      </c>
      <c r="L364">
        <f t="shared" si="60"/>
        <v>17.35358024691358</v>
      </c>
      <c r="M364">
        <f t="shared" si="61"/>
        <v>0.65139440029629636</v>
      </c>
      <c r="N364" s="9"/>
      <c r="O364" s="22">
        <v>1.68259</v>
      </c>
      <c r="P364" s="22">
        <v>12.748900000000001</v>
      </c>
      <c r="Q364" s="22">
        <v>-9.3963599999999994E-3</v>
      </c>
      <c r="R364" s="22">
        <v>354</v>
      </c>
      <c r="S364" s="22">
        <v>1.6818200000000001</v>
      </c>
      <c r="T364">
        <f t="shared" si="62"/>
        <v>11.600444444444443</v>
      </c>
      <c r="U364">
        <f t="shared" si="63"/>
        <v>19.518791817777778</v>
      </c>
      <c r="X364" s="9"/>
      <c r="Y364" s="22">
        <v>3.7536600000000003E-2</v>
      </c>
      <c r="Z364" s="22">
        <v>18.3337</v>
      </c>
      <c r="AA364" s="22">
        <v>-1.4053299999999999E-2</v>
      </c>
      <c r="AB364" s="22">
        <v>354</v>
      </c>
      <c r="AC364" s="22">
        <v>3.7478600000000001E-2</v>
      </c>
      <c r="AD364">
        <f t="shared" si="64"/>
        <v>17.349753086419753</v>
      </c>
      <c r="AE364">
        <f t="shared" si="65"/>
        <v>0.65125074170370378</v>
      </c>
      <c r="AF364" s="9"/>
      <c r="AG364" s="22">
        <v>1.68259</v>
      </c>
      <c r="AH364" s="22">
        <v>22.193100000000001</v>
      </c>
      <c r="AI364" s="22">
        <v>-9.2559800000000005E-3</v>
      </c>
      <c r="AJ364" s="22">
        <v>354</v>
      </c>
      <c r="AK364" s="22">
        <v>1.6809099999999999</v>
      </c>
      <c r="AL364">
        <f t="shared" si="66"/>
        <v>11.427135802469136</v>
      </c>
      <c r="AM364">
        <f t="shared" si="67"/>
        <v>19.227184429876544</v>
      </c>
      <c r="AP364" s="9"/>
      <c r="AQ364" s="22">
        <v>3.7536600000000003E-2</v>
      </c>
      <c r="AR364" s="22">
        <v>27.6389</v>
      </c>
      <c r="AS364" s="22">
        <v>-1.4041100000000001E-2</v>
      </c>
      <c r="AT364" s="22">
        <v>354</v>
      </c>
      <c r="AU364" s="22">
        <v>3.7377899999999999E-2</v>
      </c>
      <c r="AV364">
        <f t="shared" si="68"/>
        <v>17.334691358024692</v>
      </c>
      <c r="AW364">
        <f t="shared" si="69"/>
        <v>0.65068537562962969</v>
      </c>
      <c r="AX364" s="9"/>
      <c r="AY364" s="22">
        <v>1.68259</v>
      </c>
      <c r="AZ364" s="22">
        <v>31.4984</v>
      </c>
      <c r="BA364" s="22">
        <v>-9.0972899999999992E-3</v>
      </c>
      <c r="BB364" s="22">
        <v>354</v>
      </c>
      <c r="BC364" s="22">
        <v>1.6821299999999999</v>
      </c>
      <c r="BD364">
        <f t="shared" si="70"/>
        <v>11.23122222222222</v>
      </c>
      <c r="BE364">
        <f t="shared" si="71"/>
        <v>18.897542198888885</v>
      </c>
    </row>
    <row r="365" spans="6:57">
      <c r="F365" s="9"/>
      <c r="G365" s="22">
        <v>3.2501200000000001E-2</v>
      </c>
      <c r="H365" s="22">
        <v>8.8995300000000004</v>
      </c>
      <c r="I365" s="22">
        <v>-1.40594E-2</v>
      </c>
      <c r="J365" s="22">
        <v>355</v>
      </c>
      <c r="K365" s="22">
        <v>3.2427999999999998E-2</v>
      </c>
      <c r="L365">
        <f t="shared" si="60"/>
        <v>17.357283950617283</v>
      </c>
      <c r="M365">
        <f t="shared" si="61"/>
        <v>0.56413255713580246</v>
      </c>
      <c r="N365" s="9"/>
      <c r="O365" s="22">
        <v>1.6876199999999999</v>
      </c>
      <c r="P365" s="22">
        <v>12.759</v>
      </c>
      <c r="Q365" s="22">
        <v>-9.1918899999999994E-3</v>
      </c>
      <c r="R365" s="22">
        <v>355</v>
      </c>
      <c r="S365" s="22">
        <v>1.6867099999999999</v>
      </c>
      <c r="T365">
        <f t="shared" si="62"/>
        <v>11.348012345679011</v>
      </c>
      <c r="U365">
        <f t="shared" si="63"/>
        <v>19.151132594814811</v>
      </c>
      <c r="X365" s="9"/>
      <c r="Y365" s="22">
        <v>3.2501200000000001E-2</v>
      </c>
      <c r="Z365" s="22">
        <v>18.343699999999998</v>
      </c>
      <c r="AA365" s="22">
        <v>-1.40564E-2</v>
      </c>
      <c r="AB365" s="22">
        <v>355</v>
      </c>
      <c r="AC365" s="22">
        <v>3.2406600000000001E-2</v>
      </c>
      <c r="AD365">
        <f t="shared" si="64"/>
        <v>17.35358024691358</v>
      </c>
      <c r="AE365">
        <f t="shared" si="65"/>
        <v>0.56401218232098771</v>
      </c>
      <c r="AF365" s="9"/>
      <c r="AG365" s="22">
        <v>1.6876199999999999</v>
      </c>
      <c r="AH365" s="22">
        <v>22.203199999999999</v>
      </c>
      <c r="AI365" s="22">
        <v>-9.0515100000000005E-3</v>
      </c>
      <c r="AJ365" s="22">
        <v>355</v>
      </c>
      <c r="AK365" s="22">
        <v>1.6870099999999999</v>
      </c>
      <c r="AL365">
        <f t="shared" si="66"/>
        <v>11.174703703703704</v>
      </c>
      <c r="AM365">
        <f t="shared" si="67"/>
        <v>18.858653464444444</v>
      </c>
      <c r="AP365" s="9"/>
      <c r="AQ365" s="22">
        <v>3.2501200000000001E-2</v>
      </c>
      <c r="AR365" s="22">
        <v>27.649000000000001</v>
      </c>
      <c r="AS365" s="22">
        <v>-1.40442E-2</v>
      </c>
      <c r="AT365" s="22">
        <v>355</v>
      </c>
      <c r="AU365" s="22">
        <v>3.2421899999999997E-2</v>
      </c>
      <c r="AV365">
        <f t="shared" si="68"/>
        <v>17.338518518518516</v>
      </c>
      <c r="AW365">
        <f t="shared" si="69"/>
        <v>0.56352265807407398</v>
      </c>
      <c r="AX365" s="9"/>
      <c r="AY365" s="22">
        <v>1.6876199999999999</v>
      </c>
      <c r="AZ365" s="22">
        <v>31.508400000000002</v>
      </c>
      <c r="BA365" s="22">
        <v>-8.8684100000000002E-3</v>
      </c>
      <c r="BB365" s="22">
        <v>355</v>
      </c>
      <c r="BC365" s="22">
        <v>1.6863999999999999</v>
      </c>
      <c r="BD365">
        <f t="shared" si="70"/>
        <v>10.948654320987654</v>
      </c>
      <c r="BE365">
        <f t="shared" si="71"/>
        <v>18.477168005185185</v>
      </c>
    </row>
    <row r="366" spans="6:57">
      <c r="F366" s="9"/>
      <c r="G366" s="22">
        <v>2.7465799999999999E-2</v>
      </c>
      <c r="H366" s="22">
        <v>8.9096100000000007</v>
      </c>
      <c r="I366" s="22">
        <v>-1.4065599999999999E-2</v>
      </c>
      <c r="J366" s="22">
        <v>356</v>
      </c>
      <c r="K366" s="22">
        <v>2.73621E-2</v>
      </c>
      <c r="L366">
        <f t="shared" si="60"/>
        <v>17.364938271604938</v>
      </c>
      <c r="M366">
        <f t="shared" si="61"/>
        <v>0.4769419215802469</v>
      </c>
      <c r="N366" s="9"/>
      <c r="O366" s="22">
        <v>1.6926600000000001</v>
      </c>
      <c r="P366" s="22">
        <v>12.7691</v>
      </c>
      <c r="Q366" s="22">
        <v>-8.9630100000000004E-3</v>
      </c>
      <c r="R366" s="22">
        <v>356</v>
      </c>
      <c r="S366" s="22">
        <v>1.6915899999999999</v>
      </c>
      <c r="T366">
        <f t="shared" si="62"/>
        <v>11.065444444444443</v>
      </c>
      <c r="U366">
        <f t="shared" si="63"/>
        <v>18.730035193333332</v>
      </c>
      <c r="X366" s="9"/>
      <c r="Y366" s="22">
        <v>2.7465799999999999E-2</v>
      </c>
      <c r="Z366" s="22">
        <v>18.3538</v>
      </c>
      <c r="AA366" s="22">
        <v>-1.40594E-2</v>
      </c>
      <c r="AB366" s="22">
        <v>356</v>
      </c>
      <c r="AC366" s="22">
        <v>2.7380399999999999E-2</v>
      </c>
      <c r="AD366">
        <f t="shared" si="64"/>
        <v>17.357283950617283</v>
      </c>
      <c r="AE366">
        <f t="shared" si="65"/>
        <v>0.47673168953086414</v>
      </c>
      <c r="AF366" s="9"/>
      <c r="AG366" s="22">
        <v>1.6926600000000001</v>
      </c>
      <c r="AH366" s="22">
        <v>22.2133</v>
      </c>
      <c r="AI366" s="22">
        <v>-8.8104199999999994E-3</v>
      </c>
      <c r="AJ366" s="22">
        <v>356</v>
      </c>
      <c r="AK366" s="22">
        <v>1.6915899999999999</v>
      </c>
      <c r="AL366">
        <f t="shared" si="66"/>
        <v>10.877061728395059</v>
      </c>
      <c r="AM366">
        <f t="shared" si="67"/>
        <v>18.411167305185181</v>
      </c>
      <c r="AP366" s="9"/>
      <c r="AQ366" s="22">
        <v>2.7465799999999999E-2</v>
      </c>
      <c r="AR366" s="22">
        <v>27.658999999999999</v>
      </c>
      <c r="AS366" s="22">
        <v>-1.40442E-2</v>
      </c>
      <c r="AT366" s="22">
        <v>356</v>
      </c>
      <c r="AU366" s="22">
        <v>2.7371199999999998E-2</v>
      </c>
      <c r="AV366">
        <f t="shared" si="68"/>
        <v>17.338518518518516</v>
      </c>
      <c r="AW366">
        <f t="shared" si="69"/>
        <v>0.4762162819259258</v>
      </c>
      <c r="AX366" s="9"/>
      <c r="AY366" s="22">
        <v>1.6926600000000001</v>
      </c>
      <c r="AZ366" s="22">
        <v>31.5185</v>
      </c>
      <c r="BA366" s="22">
        <v>-8.6242699999999999E-3</v>
      </c>
      <c r="BB366" s="22">
        <v>356</v>
      </c>
      <c r="BC366" s="22">
        <v>1.6912799999999999</v>
      </c>
      <c r="BD366">
        <f t="shared" si="70"/>
        <v>10.647246913580245</v>
      </c>
      <c r="BE366">
        <f t="shared" si="71"/>
        <v>18.022168960740739</v>
      </c>
    </row>
    <row r="367" spans="6:57">
      <c r="F367" s="9"/>
      <c r="G367" s="22">
        <v>2.24304E-2</v>
      </c>
      <c r="H367" s="22">
        <v>8.9196799999999996</v>
      </c>
      <c r="I367" s="22">
        <v>-1.4074700000000001E-2</v>
      </c>
      <c r="J367" s="22">
        <v>357</v>
      </c>
      <c r="K367" s="22">
        <v>2.23328E-2</v>
      </c>
      <c r="L367">
        <f t="shared" si="60"/>
        <v>17.376172839506172</v>
      </c>
      <c r="M367">
        <f t="shared" si="61"/>
        <v>0.38975450725925925</v>
      </c>
      <c r="N367" s="9"/>
      <c r="O367" s="22">
        <v>1.6976899999999999</v>
      </c>
      <c r="P367" s="22">
        <v>12.779199999999999</v>
      </c>
      <c r="Q367" s="22">
        <v>-8.7280299999999995E-3</v>
      </c>
      <c r="R367" s="22">
        <v>357</v>
      </c>
      <c r="S367" s="22">
        <v>1.69678</v>
      </c>
      <c r="T367">
        <f t="shared" si="62"/>
        <v>10.775345679012345</v>
      </c>
      <c r="U367">
        <f t="shared" si="63"/>
        <v>18.293196605802468</v>
      </c>
      <c r="X367" s="9"/>
      <c r="Y367" s="22">
        <v>2.24304E-2</v>
      </c>
      <c r="Z367" s="22">
        <v>18.363900000000001</v>
      </c>
      <c r="AA367" s="22">
        <v>-1.40625E-2</v>
      </c>
      <c r="AB367" s="22">
        <v>357</v>
      </c>
      <c r="AC367" s="22">
        <v>2.23755E-2</v>
      </c>
      <c r="AD367">
        <f t="shared" si="64"/>
        <v>17.361111111111111</v>
      </c>
      <c r="AE367">
        <f t="shared" si="65"/>
        <v>0.38941666666666663</v>
      </c>
      <c r="AF367" s="9"/>
      <c r="AG367" s="22">
        <v>1.6976899999999999</v>
      </c>
      <c r="AH367" s="22">
        <v>22.223400000000002</v>
      </c>
      <c r="AI367" s="22">
        <v>-8.5693399999999999E-3</v>
      </c>
      <c r="AJ367" s="22">
        <v>357</v>
      </c>
      <c r="AK367" s="22">
        <v>1.6970799999999999</v>
      </c>
      <c r="AL367">
        <f t="shared" si="66"/>
        <v>10.579432098765432</v>
      </c>
      <c r="AM367">
        <f t="shared" si="67"/>
        <v>17.960596079753085</v>
      </c>
      <c r="AP367" s="9"/>
      <c r="AQ367" s="22">
        <v>2.24304E-2</v>
      </c>
      <c r="AR367" s="22">
        <v>27.6691</v>
      </c>
      <c r="AS367" s="22">
        <v>-1.4047199999999999E-2</v>
      </c>
      <c r="AT367" s="22">
        <v>357</v>
      </c>
      <c r="AU367" s="22">
        <v>2.2314500000000001E-2</v>
      </c>
      <c r="AV367">
        <f t="shared" si="68"/>
        <v>17.342222222222222</v>
      </c>
      <c r="AW367">
        <f t="shared" si="69"/>
        <v>0.38899298133333332</v>
      </c>
      <c r="AX367" s="9"/>
      <c r="AY367" s="22">
        <v>1.6976899999999999</v>
      </c>
      <c r="AZ367" s="22">
        <v>31.528600000000001</v>
      </c>
      <c r="BA367" s="22">
        <v>-8.3618200000000007E-3</v>
      </c>
      <c r="BB367" s="22">
        <v>357</v>
      </c>
      <c r="BC367" s="22">
        <v>1.6970799999999999</v>
      </c>
      <c r="BD367">
        <f t="shared" si="70"/>
        <v>10.323234567901235</v>
      </c>
      <c r="BE367">
        <f t="shared" si="71"/>
        <v>17.525652093580245</v>
      </c>
    </row>
    <row r="368" spans="6:57">
      <c r="F368" s="9"/>
      <c r="G368" s="22">
        <v>1.7395000000000001E-2</v>
      </c>
      <c r="H368" s="22">
        <v>8.9297500000000003</v>
      </c>
      <c r="I368" s="22">
        <v>-1.4074700000000001E-2</v>
      </c>
      <c r="J368" s="22">
        <v>358</v>
      </c>
      <c r="K368" s="22">
        <v>1.7294299999999999E-2</v>
      </c>
      <c r="L368">
        <f t="shared" si="60"/>
        <v>17.376172839506172</v>
      </c>
      <c r="M368">
        <f t="shared" si="61"/>
        <v>0.30225852654320989</v>
      </c>
      <c r="N368" s="9"/>
      <c r="O368" s="22">
        <v>1.7027300000000001</v>
      </c>
      <c r="P368" s="22">
        <v>12.789199999999999</v>
      </c>
      <c r="Q368" s="22">
        <v>-8.4777800000000007E-3</v>
      </c>
      <c r="R368" s="22">
        <v>358</v>
      </c>
      <c r="S368" s="22">
        <v>1.70197</v>
      </c>
      <c r="T368">
        <f t="shared" si="62"/>
        <v>10.466395061728395</v>
      </c>
      <c r="U368">
        <f t="shared" si="63"/>
        <v>17.82144486345679</v>
      </c>
      <c r="X368" s="9"/>
      <c r="Y368" s="22">
        <v>1.7395000000000001E-2</v>
      </c>
      <c r="Z368" s="22">
        <v>18.373999999999999</v>
      </c>
      <c r="AA368" s="22">
        <v>-1.4068600000000001E-2</v>
      </c>
      <c r="AB368" s="22">
        <v>358</v>
      </c>
      <c r="AC368" s="22">
        <v>1.72882E-2</v>
      </c>
      <c r="AD368">
        <f t="shared" si="64"/>
        <v>17.368641975308641</v>
      </c>
      <c r="AE368">
        <f t="shared" si="65"/>
        <v>0.30212752716049385</v>
      </c>
      <c r="AF368" s="9"/>
      <c r="AG368" s="22">
        <v>1.7027300000000001</v>
      </c>
      <c r="AH368" s="22">
        <v>22.2334</v>
      </c>
      <c r="AI368" s="22">
        <v>-8.2916299999999995E-3</v>
      </c>
      <c r="AJ368" s="22">
        <v>358</v>
      </c>
      <c r="AK368" s="22">
        <v>1.70197</v>
      </c>
      <c r="AL368">
        <f t="shared" si="66"/>
        <v>10.236580246913578</v>
      </c>
      <c r="AM368">
        <f t="shared" si="67"/>
        <v>17.430132283827156</v>
      </c>
      <c r="AP368" s="9"/>
      <c r="AQ368" s="22">
        <v>1.7395000000000001E-2</v>
      </c>
      <c r="AR368" s="22">
        <v>27.679200000000002</v>
      </c>
      <c r="AS368" s="22">
        <v>-1.4047199999999999E-2</v>
      </c>
      <c r="AT368" s="22">
        <v>358</v>
      </c>
      <c r="AU368" s="22">
        <v>1.7279099999999999E-2</v>
      </c>
      <c r="AV368">
        <f t="shared" si="68"/>
        <v>17.342222222222222</v>
      </c>
      <c r="AW368">
        <f t="shared" si="69"/>
        <v>0.30166795555555559</v>
      </c>
      <c r="AX368" s="9"/>
      <c r="AY368" s="22">
        <v>1.7027300000000001</v>
      </c>
      <c r="AZ368" s="22">
        <v>31.538699999999999</v>
      </c>
      <c r="BA368" s="22">
        <v>-8.0810499999999993E-3</v>
      </c>
      <c r="BB368" s="22">
        <v>358</v>
      </c>
      <c r="BC368" s="22">
        <v>1.7022699999999999</v>
      </c>
      <c r="BD368">
        <f t="shared" si="70"/>
        <v>9.9766049382716027</v>
      </c>
      <c r="BE368">
        <f t="shared" si="71"/>
        <v>16.987464526543206</v>
      </c>
    </row>
    <row r="369" spans="6:57">
      <c r="F369" s="9"/>
      <c r="G369" s="22">
        <v>1.23596E-2</v>
      </c>
      <c r="H369" s="22">
        <v>8.9398199999999992</v>
      </c>
      <c r="I369" s="22">
        <v>-1.4080799999999999E-2</v>
      </c>
      <c r="J369" s="22">
        <v>359</v>
      </c>
      <c r="K369" s="22">
        <v>1.2268100000000001E-2</v>
      </c>
      <c r="L369">
        <f t="shared" si="60"/>
        <v>17.383703703703702</v>
      </c>
      <c r="M369">
        <f t="shared" si="61"/>
        <v>0.21485562429629629</v>
      </c>
      <c r="N369" s="9"/>
      <c r="O369" s="22">
        <v>1.7077599999999999</v>
      </c>
      <c r="P369" s="22">
        <v>12.799300000000001</v>
      </c>
      <c r="Q369" s="22">
        <v>-8.2092299999999997E-3</v>
      </c>
      <c r="R369" s="22">
        <v>359</v>
      </c>
      <c r="S369" s="22">
        <v>1.7071499999999999</v>
      </c>
      <c r="T369">
        <f t="shared" si="62"/>
        <v>10.134851851851851</v>
      </c>
      <c r="U369">
        <f t="shared" si="63"/>
        <v>17.307894598518516</v>
      </c>
      <c r="X369" s="9"/>
      <c r="Y369" s="22">
        <v>1.23596E-2</v>
      </c>
      <c r="Z369" s="22">
        <v>18.384</v>
      </c>
      <c r="AA369" s="22">
        <v>-1.4074700000000001E-2</v>
      </c>
      <c r="AB369" s="22">
        <v>359</v>
      </c>
      <c r="AC369" s="22">
        <v>1.2286399999999999E-2</v>
      </c>
      <c r="AD369">
        <f t="shared" si="64"/>
        <v>17.376172839506172</v>
      </c>
      <c r="AE369">
        <f t="shared" si="65"/>
        <v>0.21476254582716048</v>
      </c>
      <c r="AF369" s="9"/>
      <c r="AG369" s="22">
        <v>1.7077599999999999</v>
      </c>
      <c r="AH369" s="22">
        <v>22.243500000000001</v>
      </c>
      <c r="AI369" s="22">
        <v>-7.9986599999999995E-3</v>
      </c>
      <c r="AJ369" s="22">
        <v>359</v>
      </c>
      <c r="AK369" s="22">
        <v>1.70685</v>
      </c>
      <c r="AL369">
        <f t="shared" si="66"/>
        <v>9.8748888888888882</v>
      </c>
      <c r="AM369">
        <f t="shared" si="67"/>
        <v>16.863940248888888</v>
      </c>
      <c r="AP369" s="9"/>
      <c r="AQ369" s="22">
        <v>1.23596E-2</v>
      </c>
      <c r="AR369" s="22">
        <v>27.689299999999999</v>
      </c>
      <c r="AS369" s="22">
        <v>-1.40381E-2</v>
      </c>
      <c r="AT369" s="22">
        <v>359</v>
      </c>
      <c r="AU369" s="22">
        <v>1.2295499999999999E-2</v>
      </c>
      <c r="AV369">
        <f t="shared" si="68"/>
        <v>17.330987654320985</v>
      </c>
      <c r="AW369">
        <f t="shared" si="69"/>
        <v>0.21420407501234565</v>
      </c>
      <c r="AX369" s="9"/>
      <c r="AY369" s="22">
        <v>1.7077599999999999</v>
      </c>
      <c r="AZ369" s="22">
        <v>31.5487</v>
      </c>
      <c r="BA369" s="22">
        <v>-7.7728299999999997E-3</v>
      </c>
      <c r="BB369" s="22">
        <v>359</v>
      </c>
      <c r="BC369" s="22">
        <v>1.7065399999999999</v>
      </c>
      <c r="BD369">
        <f t="shared" si="70"/>
        <v>9.5960864197530853</v>
      </c>
      <c r="BE369">
        <f t="shared" si="71"/>
        <v>16.38781254419753</v>
      </c>
    </row>
    <row r="370" spans="6:57">
      <c r="F370" s="9"/>
      <c r="G370" s="22">
        <v>7.3242200000000002E-3</v>
      </c>
      <c r="H370" s="22">
        <v>8.9498899999999999</v>
      </c>
      <c r="I370" s="22">
        <v>-1.409E-2</v>
      </c>
      <c r="J370" s="22">
        <v>360</v>
      </c>
      <c r="K370" s="22">
        <v>7.1899399999999997E-3</v>
      </c>
      <c r="L370">
        <f t="shared" si="60"/>
        <v>17.39506172839506</v>
      </c>
      <c r="M370">
        <f t="shared" si="61"/>
        <v>0.12740525901234567</v>
      </c>
      <c r="N370" s="9"/>
      <c r="O370" s="22">
        <v>1.7128000000000001</v>
      </c>
      <c r="P370" s="22">
        <v>12.8094</v>
      </c>
      <c r="Q370" s="22">
        <v>-7.9101599999999994E-3</v>
      </c>
      <c r="R370" s="22">
        <v>360</v>
      </c>
      <c r="S370" s="22">
        <v>1.71143</v>
      </c>
      <c r="T370">
        <f t="shared" si="62"/>
        <v>9.7656296296296272</v>
      </c>
      <c r="U370">
        <f t="shared" si="63"/>
        <v>16.726570429629625</v>
      </c>
      <c r="X370" s="9"/>
      <c r="Y370" s="22">
        <v>7.3242200000000002E-3</v>
      </c>
      <c r="Z370" s="22">
        <v>18.394100000000002</v>
      </c>
      <c r="AA370" s="22">
        <v>-1.4068600000000001E-2</v>
      </c>
      <c r="AB370" s="22">
        <v>360</v>
      </c>
      <c r="AC370" s="22">
        <v>7.1685799999999999E-3</v>
      </c>
      <c r="AD370">
        <f t="shared" si="64"/>
        <v>17.368641975308641</v>
      </c>
      <c r="AE370">
        <f t="shared" si="65"/>
        <v>0.12721175492839507</v>
      </c>
      <c r="AF370" s="9"/>
      <c r="AG370" s="22">
        <v>1.7128000000000001</v>
      </c>
      <c r="AH370" s="22">
        <v>22.253599999999999</v>
      </c>
      <c r="AI370" s="22">
        <v>-7.6629599999999999E-3</v>
      </c>
      <c r="AJ370" s="22">
        <v>360</v>
      </c>
      <c r="AK370" s="22">
        <v>1.71204</v>
      </c>
      <c r="AL370">
        <f t="shared" si="66"/>
        <v>9.4604444444444429</v>
      </c>
      <c r="AM370">
        <f t="shared" si="67"/>
        <v>16.203849244444442</v>
      </c>
      <c r="AP370" s="9"/>
      <c r="AQ370" s="22">
        <v>7.3242200000000002E-3</v>
      </c>
      <c r="AR370" s="22">
        <v>27.699300000000001</v>
      </c>
      <c r="AS370" s="22">
        <v>-1.40381E-2</v>
      </c>
      <c r="AT370" s="22">
        <v>360</v>
      </c>
      <c r="AU370" s="22">
        <v>7.2052000000000001E-3</v>
      </c>
      <c r="AV370">
        <f t="shared" si="68"/>
        <v>17.330987654320985</v>
      </c>
      <c r="AW370">
        <f t="shared" si="69"/>
        <v>0.12693596639753085</v>
      </c>
      <c r="AX370" s="9"/>
      <c r="AY370" s="22">
        <v>1.7128000000000001</v>
      </c>
      <c r="AZ370" s="22">
        <v>31.558800000000002</v>
      </c>
      <c r="BA370" s="22">
        <v>-7.4371300000000001E-3</v>
      </c>
      <c r="BB370" s="22">
        <v>360</v>
      </c>
      <c r="BC370" s="22">
        <v>1.71173</v>
      </c>
      <c r="BD370">
        <f t="shared" si="70"/>
        <v>9.1816419753086418</v>
      </c>
      <c r="BE370">
        <f t="shared" si="71"/>
        <v>15.726316375308643</v>
      </c>
    </row>
    <row r="371" spans="6:57">
      <c r="F371" s="9"/>
      <c r="G371" s="22">
        <v>2.28882E-3</v>
      </c>
      <c r="H371" s="22">
        <v>8.9599600000000006</v>
      </c>
      <c r="I371" s="22">
        <v>-1.4093E-2</v>
      </c>
      <c r="J371" s="22">
        <v>361</v>
      </c>
      <c r="K371" s="22">
        <v>2.1179200000000001E-3</v>
      </c>
      <c r="L371">
        <f t="shared" si="60"/>
        <v>17.398765432098763</v>
      </c>
      <c r="M371">
        <f t="shared" si="61"/>
        <v>3.9822642296296291E-2</v>
      </c>
      <c r="N371" s="9"/>
      <c r="O371" s="22">
        <v>1.71783</v>
      </c>
      <c r="P371" s="22">
        <v>12.8194</v>
      </c>
      <c r="Q371" s="22">
        <v>-7.57751E-3</v>
      </c>
      <c r="R371" s="22">
        <v>361</v>
      </c>
      <c r="S371" s="22">
        <v>1.71692</v>
      </c>
      <c r="T371">
        <f t="shared" si="62"/>
        <v>9.3549506172839507</v>
      </c>
      <c r="U371">
        <f t="shared" si="63"/>
        <v>16.070214818888889</v>
      </c>
      <c r="X371" s="9"/>
      <c r="Y371" s="22">
        <v>2.28882E-3</v>
      </c>
      <c r="Z371" s="22">
        <v>18.404199999999999</v>
      </c>
      <c r="AA371" s="22">
        <v>-1.4074700000000001E-2</v>
      </c>
      <c r="AB371" s="22">
        <v>361</v>
      </c>
      <c r="AC371" s="22">
        <v>2.14233E-3</v>
      </c>
      <c r="AD371">
        <f t="shared" si="64"/>
        <v>17.376172839506172</v>
      </c>
      <c r="AE371">
        <f t="shared" si="65"/>
        <v>3.9770931918518514E-2</v>
      </c>
      <c r="AF371" s="9"/>
      <c r="AG371" s="22">
        <v>1.71783</v>
      </c>
      <c r="AH371" s="22">
        <v>22.2636</v>
      </c>
      <c r="AI371" s="22">
        <v>-7.31812E-3</v>
      </c>
      <c r="AJ371" s="22">
        <v>361</v>
      </c>
      <c r="AK371" s="22">
        <v>1.71631</v>
      </c>
      <c r="AL371">
        <f t="shared" si="66"/>
        <v>9.0347160493827143</v>
      </c>
      <c r="AM371">
        <f t="shared" si="67"/>
        <v>15.520106271111107</v>
      </c>
      <c r="AP371" s="9"/>
      <c r="AQ371" s="22">
        <v>2.28882E-3</v>
      </c>
      <c r="AR371" s="22">
        <v>27.709399999999999</v>
      </c>
      <c r="AS371" s="22">
        <v>-1.4035000000000001E-2</v>
      </c>
      <c r="AT371" s="22">
        <v>361</v>
      </c>
      <c r="AU371" s="22">
        <v>2.1484400000000002E-3</v>
      </c>
      <c r="AV371">
        <f t="shared" si="68"/>
        <v>17.327160493827162</v>
      </c>
      <c r="AW371">
        <f t="shared" si="69"/>
        <v>3.9658751481481486E-2</v>
      </c>
      <c r="AX371" s="9"/>
      <c r="AY371" s="22">
        <v>1.71783</v>
      </c>
      <c r="AZ371" s="22">
        <v>31.568899999999999</v>
      </c>
      <c r="BA371" s="22">
        <v>-7.0648200000000003E-3</v>
      </c>
      <c r="BB371" s="22">
        <v>361</v>
      </c>
      <c r="BC371" s="22">
        <v>1.71722</v>
      </c>
      <c r="BD371">
        <f t="shared" si="70"/>
        <v>8.7220000000000013</v>
      </c>
      <c r="BE371">
        <f t="shared" si="71"/>
        <v>14.982913260000002</v>
      </c>
    </row>
    <row r="372" spans="6:57">
      <c r="F372" s="9"/>
      <c r="G372" s="22">
        <v>-2.7465800000000002E-3</v>
      </c>
      <c r="H372" s="22">
        <v>8.9700299999999995</v>
      </c>
      <c r="I372" s="22">
        <v>-1.409E-2</v>
      </c>
      <c r="J372" s="22">
        <v>362</v>
      </c>
      <c r="K372" s="22">
        <v>-2.91443E-3</v>
      </c>
      <c r="L372">
        <f t="shared" si="60"/>
        <v>17.39506172839506</v>
      </c>
      <c r="M372">
        <f t="shared" si="61"/>
        <v>-4.7776928641975309E-2</v>
      </c>
      <c r="N372" s="9"/>
      <c r="O372" s="22">
        <v>1.7228699999999999</v>
      </c>
      <c r="P372" s="22">
        <v>12.829499999999999</v>
      </c>
      <c r="Q372" s="22">
        <v>-7.2113000000000003E-3</v>
      </c>
      <c r="R372" s="22">
        <v>362</v>
      </c>
      <c r="S372" s="22">
        <v>1.7215</v>
      </c>
      <c r="T372">
        <f t="shared" si="62"/>
        <v>8.9028395061728389</v>
      </c>
      <c r="U372">
        <f t="shared" si="63"/>
        <v>15.338435099999998</v>
      </c>
      <c r="X372" s="9"/>
      <c r="Y372" s="22">
        <v>-2.7465800000000002E-3</v>
      </c>
      <c r="Z372" s="22">
        <v>18.414200000000001</v>
      </c>
      <c r="AA372" s="22">
        <v>-1.4080799999999999E-2</v>
      </c>
      <c r="AB372" s="22">
        <v>362</v>
      </c>
      <c r="AC372" s="22">
        <v>-2.9357900000000002E-3</v>
      </c>
      <c r="AD372">
        <f t="shared" si="64"/>
        <v>17.383703703703702</v>
      </c>
      <c r="AE372">
        <f t="shared" si="65"/>
        <v>-4.7745732918518517E-2</v>
      </c>
      <c r="AF372" s="9"/>
      <c r="AG372" s="22">
        <v>1.7228699999999999</v>
      </c>
      <c r="AH372" s="22">
        <v>22.273700000000002</v>
      </c>
      <c r="AI372" s="22">
        <v>-6.9152800000000002E-3</v>
      </c>
      <c r="AJ372" s="22">
        <v>362</v>
      </c>
      <c r="AK372" s="22">
        <v>1.72241</v>
      </c>
      <c r="AL372">
        <f t="shared" si="66"/>
        <v>8.5373827160493825</v>
      </c>
      <c r="AM372">
        <f t="shared" si="67"/>
        <v>14.708800559999998</v>
      </c>
      <c r="AP372" s="9"/>
      <c r="AQ372" s="22">
        <v>-2.7465800000000002E-3</v>
      </c>
      <c r="AR372" s="22">
        <v>27.7195</v>
      </c>
      <c r="AS372" s="22">
        <v>-1.40289E-2</v>
      </c>
      <c r="AT372" s="22">
        <v>362</v>
      </c>
      <c r="AU372" s="22">
        <v>-2.9174800000000001E-3</v>
      </c>
      <c r="AV372">
        <f t="shared" si="68"/>
        <v>17.319629629629631</v>
      </c>
      <c r="AW372">
        <f t="shared" si="69"/>
        <v>-4.7569748348148158E-2</v>
      </c>
      <c r="AX372" s="9"/>
      <c r="AY372" s="22">
        <v>1.7228699999999999</v>
      </c>
      <c r="AZ372" s="22">
        <v>31.578900000000001</v>
      </c>
      <c r="BA372" s="22">
        <v>-6.6558800000000003E-3</v>
      </c>
      <c r="BB372" s="22">
        <v>362</v>
      </c>
      <c r="BC372" s="22">
        <v>1.72211</v>
      </c>
      <c r="BD372">
        <f t="shared" si="70"/>
        <v>8.2171358024691354</v>
      </c>
      <c r="BE372">
        <f t="shared" si="71"/>
        <v>14.157056759999998</v>
      </c>
    </row>
    <row r="373" spans="6:57">
      <c r="F373" s="9"/>
      <c r="G373" s="22">
        <v>-7.78198E-3</v>
      </c>
      <c r="H373" s="22">
        <v>8.9801000000000002</v>
      </c>
      <c r="I373" s="22">
        <v>-1.4086899999999999E-2</v>
      </c>
      <c r="J373" s="22">
        <v>363</v>
      </c>
      <c r="K373" s="22">
        <v>-8.0017100000000004E-3</v>
      </c>
      <c r="L373">
        <f t="shared" si="60"/>
        <v>17.391234567901233</v>
      </c>
      <c r="M373">
        <f t="shared" si="61"/>
        <v>-0.13533823958271604</v>
      </c>
      <c r="N373" s="9"/>
      <c r="O373" s="22">
        <v>1.7279100000000001</v>
      </c>
      <c r="P373" s="22">
        <v>12.839600000000001</v>
      </c>
      <c r="Q373" s="22">
        <v>-6.8145799999999998E-3</v>
      </c>
      <c r="R373" s="22">
        <v>363</v>
      </c>
      <c r="S373" s="22">
        <v>1.72607</v>
      </c>
      <c r="T373">
        <f t="shared" si="62"/>
        <v>8.4130617283950606</v>
      </c>
      <c r="U373">
        <f t="shared" si="63"/>
        <v>14.537013491111109</v>
      </c>
      <c r="X373" s="9"/>
      <c r="Y373" s="22">
        <v>-7.78198E-3</v>
      </c>
      <c r="Z373" s="22">
        <v>18.424299999999999</v>
      </c>
      <c r="AA373" s="22">
        <v>-1.4086899999999999E-2</v>
      </c>
      <c r="AB373" s="22">
        <v>363</v>
      </c>
      <c r="AC373" s="22">
        <v>-7.9742400000000005E-3</v>
      </c>
      <c r="AD373">
        <f t="shared" si="64"/>
        <v>17.391234567901233</v>
      </c>
      <c r="AE373">
        <f t="shared" si="65"/>
        <v>-0.13533823958271604</v>
      </c>
      <c r="AF373" s="9"/>
      <c r="AG373" s="22">
        <v>1.7279100000000001</v>
      </c>
      <c r="AH373" s="22">
        <v>22.283799999999999</v>
      </c>
      <c r="AI373" s="22">
        <v>-6.5063500000000002E-3</v>
      </c>
      <c r="AJ373" s="22">
        <v>363</v>
      </c>
      <c r="AK373" s="22">
        <v>1.72729</v>
      </c>
      <c r="AL373">
        <f t="shared" si="66"/>
        <v>8.0325308641975308</v>
      </c>
      <c r="AM373">
        <f t="shared" si="67"/>
        <v>13.879490405555556</v>
      </c>
      <c r="AP373" s="9"/>
      <c r="AQ373" s="22">
        <v>-7.78198E-3</v>
      </c>
      <c r="AR373" s="22">
        <v>27.729500000000002</v>
      </c>
      <c r="AS373" s="22">
        <v>-1.4031999999999999E-2</v>
      </c>
      <c r="AT373" s="22">
        <v>363</v>
      </c>
      <c r="AU373" s="22">
        <v>-7.9742400000000005E-3</v>
      </c>
      <c r="AV373">
        <f t="shared" si="68"/>
        <v>17.323456790123455</v>
      </c>
      <c r="AW373">
        <f t="shared" si="69"/>
        <v>-0.13481079427160492</v>
      </c>
      <c r="AX373" s="9"/>
      <c r="AY373" s="22">
        <v>1.7279100000000001</v>
      </c>
      <c r="AZ373" s="22">
        <v>31.588999999999999</v>
      </c>
      <c r="BA373" s="22">
        <v>-6.2194800000000003E-3</v>
      </c>
      <c r="BB373" s="22">
        <v>363</v>
      </c>
      <c r="BC373" s="22">
        <v>1.72699</v>
      </c>
      <c r="BD373">
        <f t="shared" si="70"/>
        <v>7.6783703703703701</v>
      </c>
      <c r="BE373">
        <f t="shared" si="71"/>
        <v>13.267532946666666</v>
      </c>
    </row>
    <row r="374" spans="6:57">
      <c r="F374" s="9"/>
      <c r="G374" s="22">
        <v>-1.28174E-2</v>
      </c>
      <c r="H374" s="22">
        <v>8.9901700000000009</v>
      </c>
      <c r="I374" s="22">
        <v>-1.409E-2</v>
      </c>
      <c r="J374" s="22">
        <v>364</v>
      </c>
      <c r="K374" s="22">
        <v>-1.3030999999999999E-2</v>
      </c>
      <c r="L374">
        <f t="shared" si="60"/>
        <v>17.39506172839506</v>
      </c>
      <c r="M374">
        <f t="shared" si="61"/>
        <v>-0.22295946419753082</v>
      </c>
      <c r="N374" s="9"/>
      <c r="O374" s="22">
        <v>1.7329399999999999</v>
      </c>
      <c r="P374" s="22">
        <v>12.849600000000001</v>
      </c>
      <c r="Q374" s="22">
        <v>-6.3690200000000004E-3</v>
      </c>
      <c r="R374" s="22">
        <v>364</v>
      </c>
      <c r="S374" s="22">
        <v>1.7315700000000001</v>
      </c>
      <c r="T374">
        <f t="shared" si="62"/>
        <v>7.862987654320988</v>
      </c>
      <c r="U374">
        <f t="shared" si="63"/>
        <v>13.626085825679013</v>
      </c>
      <c r="X374" s="9"/>
      <c r="Y374" s="22">
        <v>-1.28174E-2</v>
      </c>
      <c r="Z374" s="22">
        <v>18.4344</v>
      </c>
      <c r="AA374" s="22">
        <v>-1.40961E-2</v>
      </c>
      <c r="AB374" s="22">
        <v>364</v>
      </c>
      <c r="AC374" s="22">
        <v>-1.3021899999999999E-2</v>
      </c>
      <c r="AD374">
        <f t="shared" si="64"/>
        <v>17.40259259259259</v>
      </c>
      <c r="AE374">
        <f t="shared" si="65"/>
        <v>-0.22305599029629627</v>
      </c>
      <c r="AF374" s="9"/>
      <c r="AG374" s="22">
        <v>1.7329399999999999</v>
      </c>
      <c r="AH374" s="22">
        <v>22.293900000000001</v>
      </c>
      <c r="AI374" s="22">
        <v>-6.0272199999999998E-3</v>
      </c>
      <c r="AJ374" s="22">
        <v>364</v>
      </c>
      <c r="AK374" s="22">
        <v>1.7321800000000001</v>
      </c>
      <c r="AL374">
        <f t="shared" si="66"/>
        <v>7.4410123456790114</v>
      </c>
      <c r="AM374">
        <f t="shared" si="67"/>
        <v>12.894827934320986</v>
      </c>
      <c r="AP374" s="9"/>
      <c r="AQ374" s="22">
        <v>-1.28174E-2</v>
      </c>
      <c r="AR374" s="22">
        <v>27.739599999999999</v>
      </c>
      <c r="AS374" s="22">
        <v>-1.4025900000000001E-2</v>
      </c>
      <c r="AT374" s="22">
        <v>364</v>
      </c>
      <c r="AU374" s="22">
        <v>-1.2970000000000001E-2</v>
      </c>
      <c r="AV374">
        <f t="shared" si="68"/>
        <v>17.315925925925924</v>
      </c>
      <c r="AW374">
        <f t="shared" si="69"/>
        <v>-0.22194514896296294</v>
      </c>
      <c r="AX374" s="9"/>
      <c r="AY374" s="22">
        <v>1.7329399999999999</v>
      </c>
      <c r="AZ374" s="22">
        <v>31.5991</v>
      </c>
      <c r="BA374" s="22">
        <v>-5.7220500000000002E-3</v>
      </c>
      <c r="BB374" s="22">
        <v>364</v>
      </c>
      <c r="BC374" s="22">
        <v>1.73248</v>
      </c>
      <c r="BD374">
        <f t="shared" si="70"/>
        <v>7.0642592592592592</v>
      </c>
      <c r="BE374">
        <f t="shared" si="71"/>
        <v>12.24193744074074</v>
      </c>
    </row>
    <row r="375" spans="6:57">
      <c r="F375" s="9"/>
      <c r="G375" s="22">
        <v>-1.7852799999999999E-2</v>
      </c>
      <c r="H375" s="22">
        <v>9.0002399999999998</v>
      </c>
      <c r="I375" s="22">
        <v>-1.409E-2</v>
      </c>
      <c r="J375" s="22">
        <v>365</v>
      </c>
      <c r="K375" s="22">
        <v>-1.8112199999999998E-2</v>
      </c>
      <c r="L375">
        <f t="shared" si="60"/>
        <v>17.39506172839506</v>
      </c>
      <c r="M375">
        <f t="shared" si="61"/>
        <v>-0.31055055802469128</v>
      </c>
      <c r="N375" s="9"/>
      <c r="O375" s="22">
        <v>1.7379800000000001</v>
      </c>
      <c r="P375" s="22">
        <v>12.8597</v>
      </c>
      <c r="Q375" s="22">
        <v>-5.8837899999999999E-3</v>
      </c>
      <c r="R375" s="22">
        <v>365</v>
      </c>
      <c r="S375" s="22">
        <v>1.7373700000000001</v>
      </c>
      <c r="T375">
        <f t="shared" si="62"/>
        <v>7.2639382716049372</v>
      </c>
      <c r="U375">
        <f t="shared" si="63"/>
        <v>12.62457943728395</v>
      </c>
      <c r="X375" s="9"/>
      <c r="Y375" s="22">
        <v>-1.7852799999999999E-2</v>
      </c>
      <c r="Z375" s="22">
        <v>18.444500000000001</v>
      </c>
      <c r="AA375" s="22">
        <v>-1.41052E-2</v>
      </c>
      <c r="AB375" s="22">
        <v>365</v>
      </c>
      <c r="AC375" s="22">
        <v>-1.8075600000000001E-2</v>
      </c>
      <c r="AD375">
        <f t="shared" si="64"/>
        <v>17.413827160493828</v>
      </c>
      <c r="AE375">
        <f t="shared" si="65"/>
        <v>-0.31088557353086416</v>
      </c>
      <c r="AF375" s="9"/>
      <c r="AG375" s="22">
        <v>1.7379800000000001</v>
      </c>
      <c r="AH375" s="22">
        <v>22.303899999999999</v>
      </c>
      <c r="AI375" s="22">
        <v>-5.5145300000000001E-3</v>
      </c>
      <c r="AJ375" s="22">
        <v>365</v>
      </c>
      <c r="AK375" s="22">
        <v>1.73706</v>
      </c>
      <c r="AL375">
        <f t="shared" si="66"/>
        <v>6.8080617283950611</v>
      </c>
      <c r="AM375">
        <f t="shared" si="67"/>
        <v>11.832275122716048</v>
      </c>
      <c r="AP375" s="9"/>
      <c r="AQ375" s="22">
        <v>-1.7852799999999999E-2</v>
      </c>
      <c r="AR375" s="22">
        <v>27.749700000000001</v>
      </c>
      <c r="AS375" s="22">
        <v>-1.40228E-2</v>
      </c>
      <c r="AT375" s="22">
        <v>365</v>
      </c>
      <c r="AU375" s="22">
        <v>-1.8057299999999998E-2</v>
      </c>
      <c r="AV375">
        <f t="shared" si="68"/>
        <v>17.312098765432097</v>
      </c>
      <c r="AW375">
        <f t="shared" si="69"/>
        <v>-0.30906943683950611</v>
      </c>
      <c r="AX375" s="9"/>
      <c r="AY375" s="22">
        <v>1.7379800000000001</v>
      </c>
      <c r="AZ375" s="22">
        <v>31.609200000000001</v>
      </c>
      <c r="BA375" s="22">
        <v>-5.1757799999999996E-3</v>
      </c>
      <c r="BB375" s="22">
        <v>365</v>
      </c>
      <c r="BC375" s="22">
        <v>1.73706</v>
      </c>
      <c r="BD375">
        <f t="shared" si="70"/>
        <v>6.3898518518518506</v>
      </c>
      <c r="BE375">
        <f t="shared" si="71"/>
        <v>11.10543472148148</v>
      </c>
    </row>
    <row r="376" spans="6:57">
      <c r="F376" s="9"/>
      <c r="G376" s="22">
        <v>-2.2888200000000001E-2</v>
      </c>
      <c r="H376" s="22">
        <v>9.0103200000000001</v>
      </c>
      <c r="I376" s="22">
        <v>-1.4086899999999999E-2</v>
      </c>
      <c r="J376" s="22">
        <v>366</v>
      </c>
      <c r="K376" s="22">
        <v>-2.3117100000000002E-2</v>
      </c>
      <c r="L376">
        <f t="shared" si="60"/>
        <v>17.391234567901233</v>
      </c>
      <c r="M376">
        <f t="shared" si="61"/>
        <v>-0.398054055037037</v>
      </c>
      <c r="N376" s="9"/>
      <c r="O376" s="22">
        <v>1.7430099999999999</v>
      </c>
      <c r="P376" s="22">
        <v>12.8698</v>
      </c>
      <c r="Q376" s="22">
        <v>-5.3405800000000002E-3</v>
      </c>
      <c r="R376" s="22">
        <v>366</v>
      </c>
      <c r="S376" s="22">
        <v>1.74255</v>
      </c>
      <c r="T376">
        <f t="shared" si="62"/>
        <v>6.5933086419753089</v>
      </c>
      <c r="U376">
        <f t="shared" si="63"/>
        <v>11.492202896049383</v>
      </c>
      <c r="X376" s="9"/>
      <c r="Y376" s="22">
        <v>-2.2888200000000001E-2</v>
      </c>
      <c r="Z376" s="22">
        <v>18.454499999999999</v>
      </c>
      <c r="AA376" s="22">
        <v>-1.4108300000000001E-2</v>
      </c>
      <c r="AB376" s="22">
        <v>366</v>
      </c>
      <c r="AC376" s="22">
        <v>-2.31384E-2</v>
      </c>
      <c r="AD376">
        <f t="shared" si="64"/>
        <v>17.417654320987655</v>
      </c>
      <c r="AE376">
        <f t="shared" si="65"/>
        <v>-0.39865875562962966</v>
      </c>
      <c r="AF376" s="9"/>
      <c r="AG376" s="22">
        <v>1.7430099999999999</v>
      </c>
      <c r="AH376" s="22">
        <v>22.314</v>
      </c>
      <c r="AI376" s="22">
        <v>-4.93561E-3</v>
      </c>
      <c r="AJ376" s="22">
        <v>366</v>
      </c>
      <c r="AK376" s="22">
        <v>1.7422500000000001</v>
      </c>
      <c r="AL376">
        <f t="shared" si="66"/>
        <v>6.0933456790123453</v>
      </c>
      <c r="AM376">
        <f t="shared" si="67"/>
        <v>10.620762451975308</v>
      </c>
      <c r="AP376" s="9"/>
      <c r="AQ376" s="22">
        <v>-2.2888200000000001E-2</v>
      </c>
      <c r="AR376" s="22">
        <v>27.759799999999998</v>
      </c>
      <c r="AS376" s="22">
        <v>-1.4025900000000001E-2</v>
      </c>
      <c r="AT376" s="22">
        <v>366</v>
      </c>
      <c r="AU376" s="22">
        <v>-2.3080400000000001E-2</v>
      </c>
      <c r="AV376">
        <f t="shared" si="68"/>
        <v>17.315925925925924</v>
      </c>
      <c r="AW376">
        <f t="shared" si="69"/>
        <v>-0.39633037577777774</v>
      </c>
      <c r="AX376" s="9"/>
      <c r="AY376" s="22">
        <v>1.7430099999999999</v>
      </c>
      <c r="AZ376" s="22">
        <v>31.619199999999999</v>
      </c>
      <c r="BA376" s="22">
        <v>-4.56421E-3</v>
      </c>
      <c r="BB376" s="22">
        <v>366</v>
      </c>
      <c r="BC376" s="22">
        <v>1.7422500000000001</v>
      </c>
      <c r="BD376">
        <f t="shared" si="70"/>
        <v>5.6348271604938267</v>
      </c>
      <c r="BE376">
        <f t="shared" si="71"/>
        <v>9.821560089012344</v>
      </c>
    </row>
    <row r="377" spans="6:57">
      <c r="F377" s="9"/>
      <c r="G377" s="22">
        <v>-2.79236E-2</v>
      </c>
      <c r="H377" s="22">
        <v>9.0203900000000008</v>
      </c>
      <c r="I377" s="22">
        <v>-1.40839E-2</v>
      </c>
      <c r="J377" s="22">
        <v>367</v>
      </c>
      <c r="K377" s="22">
        <v>-2.8207400000000001E-2</v>
      </c>
      <c r="L377">
        <f t="shared" si="60"/>
        <v>17.387530864197529</v>
      </c>
      <c r="M377">
        <f t="shared" si="61"/>
        <v>-0.48552245683950612</v>
      </c>
      <c r="N377" s="9"/>
      <c r="O377" s="22">
        <v>1.7480500000000001</v>
      </c>
      <c r="P377" s="22">
        <v>12.879899999999999</v>
      </c>
      <c r="Q377" s="22">
        <v>-4.7399900000000003E-3</v>
      </c>
      <c r="R377" s="22">
        <v>367</v>
      </c>
      <c r="S377" s="22">
        <v>1.7474400000000001</v>
      </c>
      <c r="T377">
        <f t="shared" si="62"/>
        <v>5.8518395061728397</v>
      </c>
      <c r="U377">
        <f t="shared" si="63"/>
        <v>10.229308048765432</v>
      </c>
      <c r="X377" s="9"/>
      <c r="Y377" s="22">
        <v>-2.79236E-2</v>
      </c>
      <c r="Z377" s="22">
        <v>18.464600000000001</v>
      </c>
      <c r="AA377" s="22">
        <v>-1.4114399999999999E-2</v>
      </c>
      <c r="AB377" s="22">
        <v>367</v>
      </c>
      <c r="AC377" s="22">
        <v>-2.8173799999999999E-2</v>
      </c>
      <c r="AD377">
        <f t="shared" si="64"/>
        <v>17.425185185185182</v>
      </c>
      <c r="AE377">
        <f t="shared" si="65"/>
        <v>-0.48657390103703696</v>
      </c>
      <c r="AF377" s="9"/>
      <c r="AG377" s="22">
        <v>1.7480500000000001</v>
      </c>
      <c r="AH377" s="22">
        <v>22.324100000000001</v>
      </c>
      <c r="AI377" s="22">
        <v>-4.2987099999999999E-3</v>
      </c>
      <c r="AJ377" s="22">
        <v>367</v>
      </c>
      <c r="AK377" s="22">
        <v>1.7471300000000001</v>
      </c>
      <c r="AL377">
        <f t="shared" si="66"/>
        <v>5.3070493827160492</v>
      </c>
      <c r="AM377">
        <f t="shared" si="67"/>
        <v>9.2769876734567909</v>
      </c>
      <c r="AP377" s="9"/>
      <c r="AQ377" s="22">
        <v>-2.79236E-2</v>
      </c>
      <c r="AR377" s="22">
        <v>27.7698</v>
      </c>
      <c r="AS377" s="22">
        <v>-1.4035000000000001E-2</v>
      </c>
      <c r="AT377" s="22">
        <v>367</v>
      </c>
      <c r="AU377" s="22">
        <v>-2.8179900000000001E-2</v>
      </c>
      <c r="AV377">
        <f t="shared" si="68"/>
        <v>17.327160493827162</v>
      </c>
      <c r="AW377">
        <f t="shared" si="69"/>
        <v>-0.48383669876543212</v>
      </c>
      <c r="AX377" s="9"/>
      <c r="AY377" s="22">
        <v>1.7480500000000001</v>
      </c>
      <c r="AZ377" s="22">
        <v>31.629300000000001</v>
      </c>
      <c r="BA377" s="22">
        <v>-3.87726E-3</v>
      </c>
      <c r="BB377" s="22">
        <v>367</v>
      </c>
      <c r="BC377" s="22">
        <v>1.7477400000000001</v>
      </c>
      <c r="BD377">
        <f t="shared" si="70"/>
        <v>4.7867407407407407</v>
      </c>
      <c r="BE377">
        <f t="shared" si="71"/>
        <v>8.3674621518518517</v>
      </c>
    </row>
    <row r="378" spans="6:57">
      <c r="F378" s="9"/>
      <c r="G378" s="22">
        <v>-3.2959000000000002E-2</v>
      </c>
      <c r="H378" s="22">
        <v>9.0304599999999997</v>
      </c>
      <c r="I378" s="22">
        <v>-1.40778E-2</v>
      </c>
      <c r="J378" s="22">
        <v>368</v>
      </c>
      <c r="K378" s="22">
        <v>-3.32123E-2</v>
      </c>
      <c r="L378">
        <f t="shared" si="60"/>
        <v>17.38</v>
      </c>
      <c r="M378">
        <f t="shared" si="61"/>
        <v>-0.57282741999999998</v>
      </c>
      <c r="N378" s="9"/>
      <c r="O378" s="22">
        <v>1.75308</v>
      </c>
      <c r="P378" s="22">
        <v>12.889900000000001</v>
      </c>
      <c r="Q378" s="22">
        <v>-4.0618900000000003E-3</v>
      </c>
      <c r="R378" s="22">
        <v>368</v>
      </c>
      <c r="S378" s="22">
        <v>1.7520100000000001</v>
      </c>
      <c r="T378">
        <f t="shared" si="62"/>
        <v>5.0146790123456793</v>
      </c>
      <c r="U378">
        <f t="shared" si="63"/>
        <v>8.7911334829629624</v>
      </c>
      <c r="X378" s="9"/>
      <c r="Y378" s="22">
        <v>-3.2959000000000002E-2</v>
      </c>
      <c r="Z378" s="22">
        <v>18.474699999999999</v>
      </c>
      <c r="AA378" s="22">
        <v>-1.41174E-2</v>
      </c>
      <c r="AB378" s="22">
        <v>368</v>
      </c>
      <c r="AC378" s="22">
        <v>-3.3242800000000003E-2</v>
      </c>
      <c r="AD378">
        <f t="shared" si="64"/>
        <v>17.428888888888888</v>
      </c>
      <c r="AE378">
        <f t="shared" si="65"/>
        <v>-0.57443874888888891</v>
      </c>
      <c r="AF378" s="9"/>
      <c r="AG378" s="22">
        <v>1.75308</v>
      </c>
      <c r="AH378" s="22">
        <v>22.334099999999999</v>
      </c>
      <c r="AI378" s="22">
        <v>-3.5641499999999999E-3</v>
      </c>
      <c r="AJ378" s="22">
        <v>368</v>
      </c>
      <c r="AK378" s="22">
        <v>1.7520100000000001</v>
      </c>
      <c r="AL378">
        <f t="shared" si="66"/>
        <v>4.400185185185185</v>
      </c>
      <c r="AM378">
        <f t="shared" si="67"/>
        <v>7.7138766444444435</v>
      </c>
      <c r="AP378" s="9"/>
      <c r="AQ378" s="22">
        <v>-3.2959000000000002E-2</v>
      </c>
      <c r="AR378" s="22">
        <v>27.779900000000001</v>
      </c>
      <c r="AS378" s="22">
        <v>-1.40381E-2</v>
      </c>
      <c r="AT378" s="22">
        <v>368</v>
      </c>
      <c r="AU378" s="22">
        <v>-3.32123E-2</v>
      </c>
      <c r="AV378">
        <f t="shared" si="68"/>
        <v>17.330987654320985</v>
      </c>
      <c r="AW378">
        <f t="shared" si="69"/>
        <v>-0.57121202209876543</v>
      </c>
      <c r="AX378" s="9"/>
      <c r="AY378" s="22">
        <v>1.75308</v>
      </c>
      <c r="AZ378" s="22">
        <v>31.639399999999998</v>
      </c>
      <c r="BA378" s="22">
        <v>-3.1063800000000002E-3</v>
      </c>
      <c r="BB378" s="22">
        <v>368</v>
      </c>
      <c r="BC378" s="22">
        <v>1.7523200000000001</v>
      </c>
      <c r="BD378">
        <f t="shared" si="70"/>
        <v>3.8350370370370368</v>
      </c>
      <c r="BE378">
        <f t="shared" si="71"/>
        <v>6.7231267288888885</v>
      </c>
    </row>
    <row r="379" spans="6:57">
      <c r="F379" s="9"/>
      <c r="G379" s="22">
        <v>-3.7994399999999998E-2</v>
      </c>
      <c r="H379" s="22">
        <v>9.0405300000000004</v>
      </c>
      <c r="I379" s="22">
        <v>-1.4068600000000001E-2</v>
      </c>
      <c r="J379" s="22">
        <v>369</v>
      </c>
      <c r="K379" s="22">
        <v>-3.8253799999999998E-2</v>
      </c>
      <c r="L379">
        <f t="shared" si="60"/>
        <v>17.368641975308641</v>
      </c>
      <c r="M379">
        <f t="shared" si="61"/>
        <v>-0.65991113066666662</v>
      </c>
      <c r="N379" s="9"/>
      <c r="O379" s="22">
        <v>1.7581199999999999</v>
      </c>
      <c r="P379" s="22">
        <v>12.9</v>
      </c>
      <c r="Q379" s="22">
        <v>-3.2946799999999999E-3</v>
      </c>
      <c r="R379" s="22">
        <v>369</v>
      </c>
      <c r="S379" s="22">
        <v>1.7568999999999999</v>
      </c>
      <c r="T379">
        <f t="shared" si="62"/>
        <v>4.0675061728395061</v>
      </c>
      <c r="U379">
        <f t="shared" si="63"/>
        <v>7.1511639525925919</v>
      </c>
      <c r="X379" s="9"/>
      <c r="Y379" s="22">
        <v>-3.7994399999999998E-2</v>
      </c>
      <c r="Z379" s="22">
        <v>18.4847</v>
      </c>
      <c r="AA379" s="22">
        <v>-1.4120499999999999E-2</v>
      </c>
      <c r="AB379" s="22">
        <v>369</v>
      </c>
      <c r="AC379" s="22">
        <v>-3.8278199999999998E-2</v>
      </c>
      <c r="AD379">
        <f t="shared" si="64"/>
        <v>17.432716049382716</v>
      </c>
      <c r="AE379">
        <f t="shared" si="65"/>
        <v>-0.66234558666666665</v>
      </c>
      <c r="AF379" s="9"/>
      <c r="AG379" s="22">
        <v>1.7581199999999999</v>
      </c>
      <c r="AH379" s="22">
        <v>22.344200000000001</v>
      </c>
      <c r="AI379" s="22">
        <v>-2.72522E-3</v>
      </c>
      <c r="AJ379" s="22">
        <v>369</v>
      </c>
      <c r="AK379" s="22">
        <v>1.7575099999999999</v>
      </c>
      <c r="AL379">
        <f t="shared" si="66"/>
        <v>3.364469135802469</v>
      </c>
      <c r="AM379">
        <f t="shared" si="67"/>
        <v>5.9151404770370366</v>
      </c>
      <c r="AP379" s="9"/>
      <c r="AQ379" s="22">
        <v>-3.7994399999999998E-2</v>
      </c>
      <c r="AR379" s="22">
        <v>27.79</v>
      </c>
      <c r="AS379" s="22">
        <v>-1.4041100000000001E-2</v>
      </c>
      <c r="AT379" s="22">
        <v>369</v>
      </c>
      <c r="AU379" s="22">
        <v>-3.8205000000000003E-2</v>
      </c>
      <c r="AV379">
        <f t="shared" si="68"/>
        <v>17.334691358024692</v>
      </c>
      <c r="AW379">
        <f t="shared" si="69"/>
        <v>-0.65862119733333335</v>
      </c>
      <c r="AX379" s="9"/>
      <c r="AY379" s="22">
        <v>1.7581199999999999</v>
      </c>
      <c r="AZ379" s="22">
        <v>31.6494</v>
      </c>
      <c r="BA379" s="22">
        <v>-2.21893E-3</v>
      </c>
      <c r="BB379" s="22">
        <v>369</v>
      </c>
      <c r="BC379" s="22">
        <v>1.7572000000000001</v>
      </c>
      <c r="BD379">
        <f t="shared" si="70"/>
        <v>2.7394197530864197</v>
      </c>
      <c r="BE379">
        <f t="shared" si="71"/>
        <v>4.8162286562962962</v>
      </c>
    </row>
    <row r="380" spans="6:57">
      <c r="F380" s="9"/>
      <c r="G380" s="22">
        <v>-4.30298E-2</v>
      </c>
      <c r="H380" s="22">
        <v>9.0505999999999993</v>
      </c>
      <c r="I380" s="22">
        <v>-1.40594E-2</v>
      </c>
      <c r="J380" s="22">
        <v>370</v>
      </c>
      <c r="K380" s="22">
        <v>-4.3313600000000001E-2</v>
      </c>
      <c r="L380">
        <f t="shared" si="60"/>
        <v>17.357283950617283</v>
      </c>
      <c r="M380">
        <f t="shared" si="61"/>
        <v>-0.74688045693827154</v>
      </c>
      <c r="N380" s="9"/>
      <c r="O380" s="22">
        <v>1.76315</v>
      </c>
      <c r="P380" s="22">
        <v>12.9101</v>
      </c>
      <c r="Q380" s="22">
        <v>-2.4215700000000001E-3</v>
      </c>
      <c r="R380" s="22">
        <v>370</v>
      </c>
      <c r="S380" s="22">
        <v>1.7623899999999999</v>
      </c>
      <c r="T380">
        <f t="shared" si="62"/>
        <v>2.9895925925925924</v>
      </c>
      <c r="U380">
        <f t="shared" si="63"/>
        <v>5.2711001796296291</v>
      </c>
      <c r="X380" s="9"/>
      <c r="Y380" s="22">
        <v>-4.30298E-2</v>
      </c>
      <c r="Z380" s="22">
        <v>18.494800000000001</v>
      </c>
      <c r="AA380" s="22">
        <v>-1.41174E-2</v>
      </c>
      <c r="AB380" s="22">
        <v>370</v>
      </c>
      <c r="AC380" s="22">
        <v>-4.33167E-2</v>
      </c>
      <c r="AD380">
        <f t="shared" si="64"/>
        <v>17.428888888888888</v>
      </c>
      <c r="AE380">
        <f t="shared" si="65"/>
        <v>-0.74996160311111104</v>
      </c>
      <c r="AF380" s="9"/>
      <c r="AG380" s="22">
        <v>1.76315</v>
      </c>
      <c r="AH380" s="22">
        <v>22.354299999999999</v>
      </c>
      <c r="AI380" s="22">
        <v>-1.77612E-3</v>
      </c>
      <c r="AJ380" s="22">
        <v>370</v>
      </c>
      <c r="AK380" s="22">
        <v>1.7617799999999999</v>
      </c>
      <c r="AL380">
        <f t="shared" si="66"/>
        <v>2.1927407407407404</v>
      </c>
      <c r="AM380">
        <f t="shared" si="67"/>
        <v>3.8661308370370366</v>
      </c>
      <c r="AP380" s="9"/>
      <c r="AQ380" s="22">
        <v>-4.30298E-2</v>
      </c>
      <c r="AR380" s="22">
        <v>27.8</v>
      </c>
      <c r="AS380" s="22">
        <v>-1.4053299999999999E-2</v>
      </c>
      <c r="AT380" s="22">
        <v>370</v>
      </c>
      <c r="AU380" s="22">
        <v>-4.3264799999999999E-2</v>
      </c>
      <c r="AV380">
        <f t="shared" si="68"/>
        <v>17.349753086419753</v>
      </c>
      <c r="AW380">
        <f t="shared" si="69"/>
        <v>-0.7465564053580247</v>
      </c>
      <c r="AX380" s="9"/>
      <c r="AY380" s="22">
        <v>1.76315</v>
      </c>
      <c r="AZ380" s="22">
        <v>31.659500000000001</v>
      </c>
      <c r="BA380" s="22">
        <v>-1.2008699999999999E-3</v>
      </c>
      <c r="BB380" s="22">
        <v>370</v>
      </c>
      <c r="BC380" s="22">
        <v>1.7626999999999999</v>
      </c>
      <c r="BD380">
        <f t="shared" si="70"/>
        <v>1.4825555555555554</v>
      </c>
      <c r="BE380">
        <f t="shared" si="71"/>
        <v>2.6139678277777776</v>
      </c>
    </row>
    <row r="381" spans="6:57">
      <c r="F381" s="9"/>
      <c r="G381" s="22">
        <v>-4.8065200000000002E-2</v>
      </c>
      <c r="H381" s="22">
        <v>9.06067</v>
      </c>
      <c r="I381" s="22">
        <v>-1.40625E-2</v>
      </c>
      <c r="J381" s="22">
        <v>371</v>
      </c>
      <c r="K381" s="22">
        <v>-4.8358199999999997E-2</v>
      </c>
      <c r="L381">
        <f t="shared" si="60"/>
        <v>17.361111111111111</v>
      </c>
      <c r="M381">
        <f t="shared" si="61"/>
        <v>-0.83446527777777779</v>
      </c>
      <c r="N381" s="9"/>
      <c r="O381" s="22">
        <v>1.7681899999999999</v>
      </c>
      <c r="P381" s="22">
        <v>12.9201</v>
      </c>
      <c r="Q381" s="22">
        <v>-1.4260900000000001E-3</v>
      </c>
      <c r="R381" s="22">
        <v>371</v>
      </c>
      <c r="S381" s="22">
        <v>1.7672699999999999</v>
      </c>
      <c r="T381">
        <f t="shared" si="62"/>
        <v>1.7606049382716049</v>
      </c>
      <c r="U381">
        <f t="shared" si="63"/>
        <v>3.1130840458024691</v>
      </c>
      <c r="X381" s="9"/>
      <c r="Y381" s="22">
        <v>-4.8065200000000002E-2</v>
      </c>
      <c r="Z381" s="22">
        <v>18.504899999999999</v>
      </c>
      <c r="AA381" s="22">
        <v>-1.41113E-2</v>
      </c>
      <c r="AB381" s="22">
        <v>371</v>
      </c>
      <c r="AC381" s="22">
        <v>-4.8336799999999999E-2</v>
      </c>
      <c r="AD381">
        <f t="shared" si="64"/>
        <v>17.421358024691358</v>
      </c>
      <c r="AE381">
        <f t="shared" si="65"/>
        <v>-0.83736105772839509</v>
      </c>
      <c r="AF381" s="9"/>
      <c r="AG381" s="22">
        <v>1.7681899999999999</v>
      </c>
      <c r="AH381" s="22">
        <v>22.3643</v>
      </c>
      <c r="AI381" s="22">
        <v>-6.7474400000000002E-4</v>
      </c>
      <c r="AJ381" s="22">
        <v>371</v>
      </c>
      <c r="AK381" s="22">
        <v>1.7678799999999999</v>
      </c>
      <c r="AL381">
        <f t="shared" si="66"/>
        <v>0.83301728395061725</v>
      </c>
      <c r="AM381">
        <f t="shared" si="67"/>
        <v>1.4729328313086418</v>
      </c>
      <c r="AP381" s="9"/>
      <c r="AQ381" s="22">
        <v>-4.8065200000000002E-2</v>
      </c>
      <c r="AR381" s="22">
        <v>27.810099999999998</v>
      </c>
      <c r="AS381" s="22">
        <v>-1.40594E-2</v>
      </c>
      <c r="AT381" s="22">
        <v>371</v>
      </c>
      <c r="AU381" s="22">
        <v>-4.83887E-2</v>
      </c>
      <c r="AV381">
        <f t="shared" si="68"/>
        <v>17.357283950617283</v>
      </c>
      <c r="AW381">
        <f t="shared" si="69"/>
        <v>-0.83428132454320991</v>
      </c>
      <c r="AX381" s="9"/>
      <c r="AY381" s="22">
        <v>1.7681899999999999</v>
      </c>
      <c r="AZ381" s="22">
        <v>31.669599999999999</v>
      </c>
      <c r="BA381" s="25">
        <v>-8.69751E-6</v>
      </c>
      <c r="BB381" s="22">
        <v>371</v>
      </c>
      <c r="BC381" s="22">
        <v>1.7675799999999999</v>
      </c>
      <c r="BD381">
        <f t="shared" si="70"/>
        <v>1.0737666666666666E-2</v>
      </c>
      <c r="BE381">
        <f t="shared" si="71"/>
        <v>1.8986234823333333E-2</v>
      </c>
    </row>
    <row r="382" spans="6:57">
      <c r="F382" s="9"/>
      <c r="G382" s="22">
        <v>-5.3100599999999998E-2</v>
      </c>
      <c r="H382" s="22">
        <v>9.0707400000000007</v>
      </c>
      <c r="I382" s="22">
        <v>-1.4065599999999999E-2</v>
      </c>
      <c r="J382" s="22">
        <v>372</v>
      </c>
      <c r="K382" s="22">
        <v>-5.3558300000000003E-2</v>
      </c>
      <c r="L382">
        <f t="shared" si="60"/>
        <v>17.364938271604938</v>
      </c>
      <c r="M382">
        <f t="shared" si="61"/>
        <v>-0.92208864118518519</v>
      </c>
      <c r="N382" s="9"/>
      <c r="O382" s="22">
        <v>1.77322</v>
      </c>
      <c r="P382" s="22">
        <v>12.930199999999999</v>
      </c>
      <c r="Q382" s="22">
        <v>-2.6730299999999999E-4</v>
      </c>
      <c r="R382" s="22">
        <v>372</v>
      </c>
      <c r="S382" s="22">
        <v>1.77216</v>
      </c>
      <c r="T382">
        <f t="shared" si="62"/>
        <v>0.33000370370370363</v>
      </c>
      <c r="U382">
        <f t="shared" si="63"/>
        <v>0.5851691674814814</v>
      </c>
      <c r="X382" s="9"/>
      <c r="Y382" s="22">
        <v>-5.3100599999999998E-2</v>
      </c>
      <c r="Z382" s="22">
        <v>18.514900000000001</v>
      </c>
      <c r="AA382" s="22">
        <v>-1.41052E-2</v>
      </c>
      <c r="AB382" s="22">
        <v>372</v>
      </c>
      <c r="AC382" s="22">
        <v>-5.3497299999999998E-2</v>
      </c>
      <c r="AD382">
        <f t="shared" si="64"/>
        <v>17.413827160493828</v>
      </c>
      <c r="AE382">
        <f t="shared" si="65"/>
        <v>-0.92468467051851855</v>
      </c>
      <c r="AF382" s="9"/>
      <c r="AG382" s="22">
        <v>1.77322</v>
      </c>
      <c r="AH382" s="22">
        <v>22.374400000000001</v>
      </c>
      <c r="AI382" s="22">
        <v>5.9478799999999996E-4</v>
      </c>
      <c r="AJ382" s="22">
        <v>372</v>
      </c>
      <c r="AK382" s="22">
        <v>1.77277</v>
      </c>
      <c r="AL382">
        <f t="shared" si="66"/>
        <v>-0.73430617283950606</v>
      </c>
      <c r="AM382">
        <f t="shared" si="67"/>
        <v>-1.302086391802469</v>
      </c>
      <c r="AP382" s="9"/>
      <c r="AQ382" s="22">
        <v>-5.3100599999999998E-2</v>
      </c>
      <c r="AR382" s="22">
        <v>27.8202</v>
      </c>
      <c r="AS382" s="22">
        <v>-1.40594E-2</v>
      </c>
      <c r="AT382" s="22">
        <v>372</v>
      </c>
      <c r="AU382" s="22">
        <v>-5.35278E-2</v>
      </c>
      <c r="AV382">
        <f t="shared" si="68"/>
        <v>17.357283950617283</v>
      </c>
      <c r="AW382">
        <f t="shared" si="69"/>
        <v>-0.92168219214814806</v>
      </c>
      <c r="AX382" s="9"/>
      <c r="AY382" s="22">
        <v>1.77322</v>
      </c>
      <c r="AZ382" s="22">
        <v>31.6797</v>
      </c>
      <c r="BA382" s="22">
        <v>1.37543E-3</v>
      </c>
      <c r="BB382" s="22">
        <v>372</v>
      </c>
      <c r="BC382" s="22">
        <v>1.7724599999999999</v>
      </c>
      <c r="BD382">
        <f t="shared" si="70"/>
        <v>-1.6980617283950616</v>
      </c>
      <c r="BE382">
        <f t="shared" si="71"/>
        <v>-3.011037018024691</v>
      </c>
    </row>
    <row r="383" spans="6:57">
      <c r="F383" s="9"/>
      <c r="G383" s="22">
        <v>-5.8136E-2</v>
      </c>
      <c r="H383" s="22">
        <v>9.0808099999999996</v>
      </c>
      <c r="I383" s="22">
        <v>-1.40594E-2</v>
      </c>
      <c r="J383" s="22">
        <v>373</v>
      </c>
      <c r="K383" s="22">
        <v>-5.8502199999999997E-2</v>
      </c>
      <c r="L383">
        <f t="shared" si="60"/>
        <v>17.357283950617283</v>
      </c>
      <c r="M383">
        <f t="shared" si="61"/>
        <v>-1.0090830597530864</v>
      </c>
      <c r="N383" s="9"/>
      <c r="O383" s="22">
        <v>1.77826</v>
      </c>
      <c r="P383" s="22">
        <v>12.940300000000001</v>
      </c>
      <c r="Q383" s="22">
        <v>1.08154E-3</v>
      </c>
      <c r="R383" s="22">
        <v>373</v>
      </c>
      <c r="S383" s="22">
        <v>1.7773399999999999</v>
      </c>
      <c r="T383">
        <f t="shared" si="62"/>
        <v>-1.3352345679012345</v>
      </c>
      <c r="U383">
        <f t="shared" si="63"/>
        <v>-2.3743942227160493</v>
      </c>
      <c r="X383" s="9"/>
      <c r="Y383" s="22">
        <v>-5.8136E-2</v>
      </c>
      <c r="Z383" s="22">
        <v>18.524999999999999</v>
      </c>
      <c r="AA383" s="22">
        <v>-1.41022E-2</v>
      </c>
      <c r="AB383" s="22">
        <v>373</v>
      </c>
      <c r="AC383" s="22">
        <v>-5.85327E-2</v>
      </c>
      <c r="AD383">
        <f t="shared" si="64"/>
        <v>17.410123456790124</v>
      </c>
      <c r="AE383">
        <f t="shared" si="65"/>
        <v>-1.0121549372839507</v>
      </c>
      <c r="AF383" s="9"/>
      <c r="AG383" s="22">
        <v>1.77826</v>
      </c>
      <c r="AH383" s="22">
        <v>22.384499999999999</v>
      </c>
      <c r="AI383" s="22">
        <v>2.0956400000000002E-3</v>
      </c>
      <c r="AJ383" s="22">
        <v>373</v>
      </c>
      <c r="AK383" s="22">
        <v>1.7773399999999999</v>
      </c>
      <c r="AL383">
        <f t="shared" si="66"/>
        <v>-2.5872098765432101</v>
      </c>
      <c r="AM383">
        <f t="shared" si="67"/>
        <v>-4.6007318350617288</v>
      </c>
      <c r="AP383" s="9"/>
      <c r="AQ383" s="22">
        <v>-5.8136E-2</v>
      </c>
      <c r="AR383" s="22">
        <v>27.830200000000001</v>
      </c>
      <c r="AS383" s="22">
        <v>-1.4053299999999999E-2</v>
      </c>
      <c r="AT383" s="22">
        <v>373</v>
      </c>
      <c r="AU383" s="22">
        <v>-5.8593800000000001E-2</v>
      </c>
      <c r="AV383">
        <f t="shared" si="68"/>
        <v>17.349753086419753</v>
      </c>
      <c r="AW383">
        <f t="shared" si="69"/>
        <v>-1.0086452454320987</v>
      </c>
      <c r="AX383" s="9"/>
      <c r="AY383" s="22">
        <v>1.77826</v>
      </c>
      <c r="AZ383" s="22">
        <v>31.689699999999998</v>
      </c>
      <c r="BA383" s="22">
        <v>3.01849E-3</v>
      </c>
      <c r="BB383" s="22">
        <v>373</v>
      </c>
      <c r="BC383" s="22">
        <v>1.7773399999999999</v>
      </c>
      <c r="BD383">
        <f t="shared" si="70"/>
        <v>-3.7265308641975303</v>
      </c>
      <c r="BE383">
        <f t="shared" si="71"/>
        <v>-6.6267407745679003</v>
      </c>
    </row>
    <row r="384" spans="6:57">
      <c r="F384" s="9"/>
      <c r="G384" s="22">
        <v>-6.3171400000000003E-2</v>
      </c>
      <c r="H384" s="22">
        <v>9.0908800000000003</v>
      </c>
      <c r="I384" s="22">
        <v>-1.40594E-2</v>
      </c>
      <c r="J384" s="22">
        <v>374</v>
      </c>
      <c r="K384" s="22">
        <v>-6.3629199999999997E-2</v>
      </c>
      <c r="L384">
        <f t="shared" si="60"/>
        <v>17.357283950617283</v>
      </c>
      <c r="M384">
        <f t="shared" si="61"/>
        <v>-1.0964839273580247</v>
      </c>
      <c r="N384" s="9"/>
      <c r="O384" s="22">
        <v>1.78329</v>
      </c>
      <c r="P384" s="22">
        <v>12.9504</v>
      </c>
      <c r="Q384" s="22">
        <v>2.69257E-3</v>
      </c>
      <c r="R384" s="22">
        <v>374</v>
      </c>
      <c r="S384" s="22">
        <v>1.78284</v>
      </c>
      <c r="T384">
        <f t="shared" si="62"/>
        <v>-3.3241604938271601</v>
      </c>
      <c r="U384">
        <f t="shared" si="63"/>
        <v>-5.9279421670370365</v>
      </c>
      <c r="X384" s="9"/>
      <c r="Y384" s="22">
        <v>-6.3171400000000003E-2</v>
      </c>
      <c r="Z384" s="22">
        <v>18.5351</v>
      </c>
      <c r="AA384" s="22">
        <v>-1.40991E-2</v>
      </c>
      <c r="AB384" s="22">
        <v>374</v>
      </c>
      <c r="AC384" s="22">
        <v>-6.3629199999999997E-2</v>
      </c>
      <c r="AD384">
        <f t="shared" si="64"/>
        <v>17.406296296296293</v>
      </c>
      <c r="AE384">
        <f t="shared" si="65"/>
        <v>-1.0995801058518517</v>
      </c>
      <c r="AF384" s="9"/>
      <c r="AG384" s="22">
        <v>1.78329</v>
      </c>
      <c r="AH384" s="22">
        <v>22.394600000000001</v>
      </c>
      <c r="AI384" s="22">
        <v>3.85162E-3</v>
      </c>
      <c r="AJ384" s="22">
        <v>374</v>
      </c>
      <c r="AK384" s="22">
        <v>1.78223</v>
      </c>
      <c r="AL384">
        <f t="shared" si="66"/>
        <v>-4.755086419753086</v>
      </c>
      <c r="AM384">
        <f t="shared" si="67"/>
        <v>-8.4796980614814803</v>
      </c>
      <c r="AP384" s="9"/>
      <c r="AQ384" s="22">
        <v>-6.3171400000000003E-2</v>
      </c>
      <c r="AR384" s="22">
        <v>27.840299999999999</v>
      </c>
      <c r="AS384" s="22">
        <v>-1.40503E-2</v>
      </c>
      <c r="AT384" s="22">
        <v>374</v>
      </c>
      <c r="AU384" s="22">
        <v>-6.3598600000000005E-2</v>
      </c>
      <c r="AV384">
        <f t="shared" si="68"/>
        <v>17.34604938271605</v>
      </c>
      <c r="AW384">
        <f t="shared" si="69"/>
        <v>-1.0957742239753088</v>
      </c>
      <c r="AX384" s="9"/>
      <c r="AY384" s="22">
        <v>1.78329</v>
      </c>
      <c r="AZ384" s="22">
        <v>31.6998</v>
      </c>
      <c r="BA384" s="22">
        <v>4.9713099999999996E-3</v>
      </c>
      <c r="BB384" s="22">
        <v>374</v>
      </c>
      <c r="BC384" s="22">
        <v>1.7825299999999999</v>
      </c>
      <c r="BD384">
        <f t="shared" si="70"/>
        <v>-6.1374197530864185</v>
      </c>
      <c r="BE384">
        <f t="shared" si="71"/>
        <v>-10.944799271481479</v>
      </c>
    </row>
    <row r="385" spans="6:57">
      <c r="F385" s="9"/>
      <c r="G385" s="22">
        <v>-6.8206799999999998E-2</v>
      </c>
      <c r="H385" s="22">
        <v>9.1009499999999992</v>
      </c>
      <c r="I385" s="22">
        <v>-1.40594E-2</v>
      </c>
      <c r="J385" s="22">
        <v>375</v>
      </c>
      <c r="K385" s="22">
        <v>-6.8664600000000006E-2</v>
      </c>
      <c r="L385">
        <f t="shared" si="60"/>
        <v>17.357283950617283</v>
      </c>
      <c r="M385">
        <f t="shared" si="61"/>
        <v>-1.1838847949629629</v>
      </c>
      <c r="N385" s="9"/>
      <c r="O385" s="22">
        <v>1.78833</v>
      </c>
      <c r="P385" s="22">
        <v>12.9604</v>
      </c>
      <c r="Q385" s="22">
        <v>4.6032699999999996E-3</v>
      </c>
      <c r="R385" s="22">
        <v>375</v>
      </c>
      <c r="S385" s="22">
        <v>1.7880199999999999</v>
      </c>
      <c r="T385">
        <f t="shared" si="62"/>
        <v>-5.6830493827160486</v>
      </c>
      <c r="U385">
        <f t="shared" si="63"/>
        <v>-10.163167702592592</v>
      </c>
      <c r="X385" s="9"/>
      <c r="Y385" s="22">
        <v>-6.8206799999999998E-2</v>
      </c>
      <c r="Z385" s="22">
        <v>18.545200000000001</v>
      </c>
      <c r="AA385" s="22">
        <v>-1.41052E-2</v>
      </c>
      <c r="AB385" s="22">
        <v>375</v>
      </c>
      <c r="AC385" s="22">
        <v>-6.8695099999999995E-2</v>
      </c>
      <c r="AD385">
        <f t="shared" si="64"/>
        <v>17.413827160493828</v>
      </c>
      <c r="AE385">
        <f t="shared" si="65"/>
        <v>-1.1877414263703703</v>
      </c>
      <c r="AF385" s="9"/>
      <c r="AG385" s="22">
        <v>1.78833</v>
      </c>
      <c r="AH385" s="22">
        <v>22.404599999999999</v>
      </c>
      <c r="AI385" s="22">
        <v>6.0119600000000002E-3</v>
      </c>
      <c r="AJ385" s="22">
        <v>375</v>
      </c>
      <c r="AK385" s="22">
        <v>1.78711</v>
      </c>
      <c r="AL385">
        <f t="shared" si="66"/>
        <v>-7.4221728395061728</v>
      </c>
      <c r="AM385">
        <f t="shared" si="67"/>
        <v>-13.273294354074073</v>
      </c>
      <c r="AP385" s="9"/>
      <c r="AQ385" s="22">
        <v>-6.8206799999999998E-2</v>
      </c>
      <c r="AR385" s="22">
        <v>27.8504</v>
      </c>
      <c r="AS385" s="22">
        <v>-1.4053299999999999E-2</v>
      </c>
      <c r="AT385" s="22">
        <v>375</v>
      </c>
      <c r="AU385" s="22">
        <v>-6.8634000000000001E-2</v>
      </c>
      <c r="AV385">
        <f t="shared" si="68"/>
        <v>17.349753086419753</v>
      </c>
      <c r="AW385">
        <f t="shared" si="69"/>
        <v>-1.1833711388148147</v>
      </c>
      <c r="AX385" s="9"/>
      <c r="AY385" s="22">
        <v>1.78833</v>
      </c>
      <c r="AZ385" s="22">
        <v>31.709900000000001</v>
      </c>
      <c r="BA385" s="22">
        <v>7.3516800000000002E-3</v>
      </c>
      <c r="BB385" s="22">
        <v>375</v>
      </c>
      <c r="BC385" s="22">
        <v>1.7874099999999999</v>
      </c>
      <c r="BD385">
        <f t="shared" si="70"/>
        <v>-9.0761481481481479</v>
      </c>
      <c r="BE385">
        <f t="shared" si="71"/>
        <v>-16.231148017777777</v>
      </c>
    </row>
    <row r="386" spans="6:57">
      <c r="F386" s="9"/>
      <c r="G386" s="22">
        <v>-7.3242199999999993E-2</v>
      </c>
      <c r="H386" s="22">
        <v>9.1110299999999995</v>
      </c>
      <c r="I386" s="22">
        <v>-1.4071699999999999E-2</v>
      </c>
      <c r="J386" s="22">
        <v>376</v>
      </c>
      <c r="K386" s="22">
        <v>-7.3638899999999993E-2</v>
      </c>
      <c r="L386">
        <f t="shared" si="60"/>
        <v>17.372469135802469</v>
      </c>
      <c r="M386">
        <f t="shared" si="61"/>
        <v>-1.2723978589382714</v>
      </c>
      <c r="N386" s="9"/>
      <c r="O386" s="22">
        <v>1.7933699999999999</v>
      </c>
      <c r="P386" s="22">
        <v>12.970499999999999</v>
      </c>
      <c r="Q386" s="22">
        <v>6.9305399999999998E-3</v>
      </c>
      <c r="R386" s="22">
        <v>376</v>
      </c>
      <c r="S386" s="22">
        <v>1.79321</v>
      </c>
      <c r="T386">
        <f t="shared" si="62"/>
        <v>-8.5562222222222228</v>
      </c>
      <c r="U386">
        <f t="shared" si="63"/>
        <v>-15.344472246666667</v>
      </c>
      <c r="X386" s="9"/>
      <c r="Y386" s="22">
        <v>-7.3242199999999993E-2</v>
      </c>
      <c r="Z386" s="22">
        <v>18.555199999999999</v>
      </c>
      <c r="AA386" s="22">
        <v>-1.41052E-2</v>
      </c>
      <c r="AB386" s="22">
        <v>376</v>
      </c>
      <c r="AC386" s="22">
        <v>-7.3669399999999996E-2</v>
      </c>
      <c r="AD386">
        <f t="shared" si="64"/>
        <v>17.413827160493828</v>
      </c>
      <c r="AE386">
        <f t="shared" si="65"/>
        <v>-1.2754270116543209</v>
      </c>
      <c r="AF386" s="9"/>
      <c r="AG386" s="22">
        <v>1.7933699999999999</v>
      </c>
      <c r="AH386" s="22">
        <v>22.4147</v>
      </c>
      <c r="AI386" s="22">
        <v>8.5723899999999992E-3</v>
      </c>
      <c r="AJ386" s="22">
        <v>376</v>
      </c>
      <c r="AK386" s="22">
        <v>1.79291</v>
      </c>
      <c r="AL386">
        <f t="shared" si="66"/>
        <v>-10.583197530864195</v>
      </c>
      <c r="AM386">
        <f t="shared" si="67"/>
        <v>-18.979588955925923</v>
      </c>
      <c r="AP386" s="9"/>
      <c r="AQ386" s="22">
        <v>-7.3242199999999993E-2</v>
      </c>
      <c r="AR386" s="22">
        <v>27.860499999999998</v>
      </c>
      <c r="AS386" s="22">
        <v>-1.40564E-2</v>
      </c>
      <c r="AT386" s="22">
        <v>376</v>
      </c>
      <c r="AU386" s="22">
        <v>-7.3638899999999993E-2</v>
      </c>
      <c r="AV386">
        <f t="shared" si="68"/>
        <v>17.35358024691358</v>
      </c>
      <c r="AW386">
        <f t="shared" si="69"/>
        <v>-1.2710143951604937</v>
      </c>
      <c r="AX386" s="9"/>
      <c r="AY386" s="22">
        <v>1.7933699999999999</v>
      </c>
      <c r="AZ386" s="22">
        <v>31.719899999999999</v>
      </c>
      <c r="BA386" s="22">
        <v>1.02814E-2</v>
      </c>
      <c r="BB386" s="22">
        <v>376</v>
      </c>
      <c r="BC386" s="22">
        <v>1.79291</v>
      </c>
      <c r="BD386">
        <f t="shared" si="70"/>
        <v>-12.693086419753087</v>
      </c>
      <c r="BE386">
        <f t="shared" si="71"/>
        <v>-22.76340039259259</v>
      </c>
    </row>
    <row r="387" spans="6:57">
      <c r="F387" s="9"/>
      <c r="G387" s="22">
        <v>-7.8277600000000003E-2</v>
      </c>
      <c r="H387" s="22">
        <v>9.1211000000000002</v>
      </c>
      <c r="I387" s="22">
        <v>-1.40778E-2</v>
      </c>
      <c r="J387" s="22">
        <v>377</v>
      </c>
      <c r="K387" s="22">
        <v>-7.8704800000000005E-2</v>
      </c>
      <c r="L387">
        <f t="shared" si="60"/>
        <v>17.38</v>
      </c>
      <c r="M387">
        <f t="shared" si="61"/>
        <v>-1.360464688</v>
      </c>
      <c r="N387" s="9"/>
      <c r="O387" s="22">
        <v>1.7984</v>
      </c>
      <c r="P387" s="22">
        <v>12.980600000000001</v>
      </c>
      <c r="Q387" s="22">
        <v>9.7686800000000001E-3</v>
      </c>
      <c r="R387" s="22">
        <v>377</v>
      </c>
      <c r="S387" s="22">
        <v>1.79749</v>
      </c>
      <c r="T387">
        <f t="shared" si="62"/>
        <v>-12.060098765432098</v>
      </c>
      <c r="U387">
        <f t="shared" si="63"/>
        <v>-21.688881619753086</v>
      </c>
      <c r="X387" s="9"/>
      <c r="Y387" s="22">
        <v>-7.8277600000000003E-2</v>
      </c>
      <c r="Z387" s="22">
        <v>18.565300000000001</v>
      </c>
      <c r="AA387" s="22">
        <v>-1.4108300000000001E-2</v>
      </c>
      <c r="AB387" s="22">
        <v>377</v>
      </c>
      <c r="AC387" s="22">
        <v>-7.87659E-2</v>
      </c>
      <c r="AD387">
        <f t="shared" si="64"/>
        <v>17.417654320987655</v>
      </c>
      <c r="AE387">
        <f t="shared" si="65"/>
        <v>-1.3634121778765433</v>
      </c>
      <c r="AF387" s="9"/>
      <c r="AG387" s="22">
        <v>1.7984</v>
      </c>
      <c r="AH387" s="22">
        <v>22.424800000000001</v>
      </c>
      <c r="AI387" s="22">
        <v>1.1837800000000001E-2</v>
      </c>
      <c r="AJ387" s="22">
        <v>377</v>
      </c>
      <c r="AK387" s="22">
        <v>1.79718</v>
      </c>
      <c r="AL387">
        <f t="shared" si="66"/>
        <v>-14.614567901234569</v>
      </c>
      <c r="AM387">
        <f t="shared" si="67"/>
        <v>-26.28283891358025</v>
      </c>
      <c r="AP387" s="9"/>
      <c r="AQ387" s="22">
        <v>-7.8277600000000003E-2</v>
      </c>
      <c r="AR387" s="22">
        <v>27.8705</v>
      </c>
      <c r="AS387" s="22">
        <v>-1.40594E-2</v>
      </c>
      <c r="AT387" s="22">
        <v>377</v>
      </c>
      <c r="AU387" s="22">
        <v>-7.87659E-2</v>
      </c>
      <c r="AV387">
        <f t="shared" si="68"/>
        <v>17.357283950617283</v>
      </c>
      <c r="AW387">
        <f t="shared" si="69"/>
        <v>-1.3586865301728395</v>
      </c>
      <c r="AX387" s="9"/>
      <c r="AY387" s="22">
        <v>1.7984</v>
      </c>
      <c r="AZ387" s="22">
        <v>31.73</v>
      </c>
      <c r="BA387" s="22">
        <v>1.3913E-2</v>
      </c>
      <c r="BB387" s="22">
        <v>377</v>
      </c>
      <c r="BC387" s="22">
        <v>1.7981</v>
      </c>
      <c r="BD387">
        <f t="shared" si="70"/>
        <v>-17.176543209876542</v>
      </c>
      <c r="BE387">
        <f t="shared" si="71"/>
        <v>-30.890295308641971</v>
      </c>
    </row>
    <row r="388" spans="6:57">
      <c r="F388" s="9"/>
      <c r="G388" s="22">
        <v>-8.3312999999999998E-2</v>
      </c>
      <c r="H388" s="22">
        <v>9.1311699999999991</v>
      </c>
      <c r="I388" s="22">
        <v>-1.40778E-2</v>
      </c>
      <c r="J388" s="22">
        <v>378</v>
      </c>
      <c r="K388" s="22">
        <v>-8.3770800000000006E-2</v>
      </c>
      <c r="L388">
        <f t="shared" si="60"/>
        <v>17.38</v>
      </c>
      <c r="M388">
        <f t="shared" si="61"/>
        <v>-1.44797994</v>
      </c>
      <c r="N388" s="9"/>
      <c r="O388" s="22">
        <v>1.8034399999999999</v>
      </c>
      <c r="P388" s="22">
        <v>12.990600000000001</v>
      </c>
      <c r="Q388" s="22">
        <v>1.32599E-2</v>
      </c>
      <c r="R388" s="22">
        <v>378</v>
      </c>
      <c r="S388" s="22">
        <v>1.80237</v>
      </c>
      <c r="T388">
        <f t="shared" si="62"/>
        <v>-16.370246913580246</v>
      </c>
      <c r="U388">
        <f t="shared" si="63"/>
        <v>-29.522758093827157</v>
      </c>
      <c r="X388" s="9"/>
      <c r="Y388" s="22">
        <v>-8.3312999999999998E-2</v>
      </c>
      <c r="Z388" s="22">
        <v>18.575399999999998</v>
      </c>
      <c r="AA388" s="22">
        <v>-1.41052E-2</v>
      </c>
      <c r="AB388" s="22">
        <v>378</v>
      </c>
      <c r="AC388" s="22">
        <v>-8.3740200000000001E-2</v>
      </c>
      <c r="AD388">
        <f t="shared" si="64"/>
        <v>17.413827160493828</v>
      </c>
      <c r="AE388">
        <f t="shared" si="65"/>
        <v>-1.4507981822222222</v>
      </c>
      <c r="AF388" s="9"/>
      <c r="AG388" s="22">
        <v>1.8034399999999999</v>
      </c>
      <c r="AH388" s="22">
        <v>22.434799999999999</v>
      </c>
      <c r="AI388" s="22">
        <v>1.57349E-2</v>
      </c>
      <c r="AJ388" s="22">
        <v>378</v>
      </c>
      <c r="AK388" s="22">
        <v>1.80237</v>
      </c>
      <c r="AL388">
        <f t="shared" si="66"/>
        <v>-19.425802469135803</v>
      </c>
      <c r="AM388">
        <f t="shared" si="67"/>
        <v>-35.033269204938271</v>
      </c>
      <c r="AP388" s="9"/>
      <c r="AQ388" s="22">
        <v>-8.3312999999999998E-2</v>
      </c>
      <c r="AR388" s="22">
        <v>27.880600000000001</v>
      </c>
      <c r="AS388" s="22">
        <v>-1.4065599999999999E-2</v>
      </c>
      <c r="AT388" s="22">
        <v>378</v>
      </c>
      <c r="AU388" s="22">
        <v>-8.3740200000000001E-2</v>
      </c>
      <c r="AV388">
        <f t="shared" si="68"/>
        <v>17.364938271604938</v>
      </c>
      <c r="AW388">
        <f t="shared" si="69"/>
        <v>-1.4467251022222223</v>
      </c>
      <c r="AX388" s="9"/>
      <c r="AY388" s="22">
        <v>1.8034399999999999</v>
      </c>
      <c r="AZ388" s="22">
        <v>31.740100000000002</v>
      </c>
      <c r="BA388" s="22">
        <v>1.8347200000000001E-2</v>
      </c>
      <c r="BB388" s="22">
        <v>378</v>
      </c>
      <c r="BC388" s="22">
        <v>1.80267</v>
      </c>
      <c r="BD388">
        <f t="shared" si="70"/>
        <v>-22.650864197530861</v>
      </c>
      <c r="BE388">
        <f t="shared" si="71"/>
        <v>-40.849474528395056</v>
      </c>
    </row>
    <row r="389" spans="6:57">
      <c r="F389" s="9"/>
      <c r="G389" s="22">
        <v>-8.8348399999999994E-2</v>
      </c>
      <c r="H389" s="22">
        <v>9.1412399999999998</v>
      </c>
      <c r="I389" s="22">
        <v>-1.4074700000000001E-2</v>
      </c>
      <c r="J389" s="22">
        <v>379</v>
      </c>
      <c r="K389" s="22">
        <v>-8.8714600000000005E-2</v>
      </c>
      <c r="L389">
        <f t="shared" si="60"/>
        <v>17.376172839506172</v>
      </c>
      <c r="M389">
        <f t="shared" si="61"/>
        <v>-1.5351570684938269</v>
      </c>
      <c r="N389" s="9"/>
      <c r="O389" s="22">
        <v>1.80847</v>
      </c>
      <c r="P389" s="22">
        <v>13.0007</v>
      </c>
      <c r="Q389" s="22">
        <v>1.7562899999999999E-2</v>
      </c>
      <c r="R389" s="22">
        <v>379</v>
      </c>
      <c r="S389" s="22">
        <v>1.8075600000000001</v>
      </c>
      <c r="T389">
        <f t="shared" si="62"/>
        <v>-21.682592592592592</v>
      </c>
      <c r="U389">
        <f t="shared" si="63"/>
        <v>-39.212318225925927</v>
      </c>
      <c r="X389" s="9"/>
      <c r="Y389" s="22">
        <v>-8.8348399999999994E-2</v>
      </c>
      <c r="Z389" s="22">
        <v>18.5854</v>
      </c>
      <c r="AA389" s="22">
        <v>-1.4108300000000001E-2</v>
      </c>
      <c r="AB389" s="22">
        <v>379</v>
      </c>
      <c r="AC389" s="22">
        <v>-8.8806200000000002E-2</v>
      </c>
      <c r="AD389">
        <f t="shared" si="64"/>
        <v>17.417654320987655</v>
      </c>
      <c r="AE389">
        <f t="shared" si="65"/>
        <v>-1.5388218910123457</v>
      </c>
      <c r="AF389" s="9"/>
      <c r="AG389" s="22">
        <v>1.80847</v>
      </c>
      <c r="AH389" s="22">
        <v>22.444900000000001</v>
      </c>
      <c r="AI389" s="22">
        <v>2.0718400000000001E-2</v>
      </c>
      <c r="AJ389" s="22">
        <v>379</v>
      </c>
      <c r="AK389" s="22">
        <v>1.80725</v>
      </c>
      <c r="AL389">
        <f t="shared" si="66"/>
        <v>-25.578271604938273</v>
      </c>
      <c r="AM389">
        <f t="shared" si="67"/>
        <v>-46.257536849382717</v>
      </c>
      <c r="AP389" s="9"/>
      <c r="AQ389" s="22">
        <v>-8.8348399999999994E-2</v>
      </c>
      <c r="AR389" s="22">
        <v>27.890699999999999</v>
      </c>
      <c r="AS389" s="22">
        <v>-1.4074700000000001E-2</v>
      </c>
      <c r="AT389" s="22">
        <v>379</v>
      </c>
      <c r="AU389" s="22">
        <v>-8.8775599999999996E-2</v>
      </c>
      <c r="AV389">
        <f t="shared" si="68"/>
        <v>17.376172839506172</v>
      </c>
      <c r="AW389">
        <f t="shared" si="69"/>
        <v>-1.5351570684938269</v>
      </c>
      <c r="AX389" s="9"/>
      <c r="AY389" s="22">
        <v>1.80847</v>
      </c>
      <c r="AZ389" s="22">
        <v>31.7501</v>
      </c>
      <c r="BA389" s="22">
        <v>2.3879999999999998E-2</v>
      </c>
      <c r="BB389" s="22">
        <v>379</v>
      </c>
      <c r="BC389" s="22">
        <v>1.8075600000000001</v>
      </c>
      <c r="BD389">
        <f t="shared" si="70"/>
        <v>-29.481481481481477</v>
      </c>
      <c r="BE389">
        <f t="shared" si="71"/>
        <v>-53.316374814814807</v>
      </c>
    </row>
    <row r="390" spans="6:57">
      <c r="F390" s="9"/>
      <c r="G390" s="22">
        <v>-9.3383800000000003E-2</v>
      </c>
      <c r="H390" s="22">
        <v>9.1513100000000005</v>
      </c>
      <c r="I390" s="22">
        <v>-1.4074700000000001E-2</v>
      </c>
      <c r="J390" s="22">
        <v>380</v>
      </c>
      <c r="K390" s="22">
        <v>-9.3811000000000005E-2</v>
      </c>
      <c r="L390">
        <f t="shared" si="60"/>
        <v>17.376172839506172</v>
      </c>
      <c r="M390">
        <f t="shared" si="61"/>
        <v>-1.6226530492098765</v>
      </c>
      <c r="N390" s="9"/>
      <c r="O390" s="22">
        <v>1.81351</v>
      </c>
      <c r="P390" s="22">
        <v>13.0108</v>
      </c>
      <c r="Q390" s="22">
        <v>2.2888200000000001E-2</v>
      </c>
      <c r="R390" s="22">
        <v>380</v>
      </c>
      <c r="S390" s="22">
        <v>1.81274</v>
      </c>
      <c r="T390">
        <f t="shared" si="62"/>
        <v>-28.257037037037037</v>
      </c>
      <c r="U390">
        <f t="shared" si="63"/>
        <v>-51.244419237037036</v>
      </c>
      <c r="X390" s="9"/>
      <c r="Y390" s="22">
        <v>-9.3383800000000003E-2</v>
      </c>
      <c r="Z390" s="22">
        <v>18.595500000000001</v>
      </c>
      <c r="AA390" s="22">
        <v>-1.41052E-2</v>
      </c>
      <c r="AB390" s="22">
        <v>380</v>
      </c>
      <c r="AC390" s="22">
        <v>-9.38721E-2</v>
      </c>
      <c r="AD390">
        <f t="shared" si="64"/>
        <v>17.413827160493828</v>
      </c>
      <c r="AE390">
        <f t="shared" si="65"/>
        <v>-1.6261693527901235</v>
      </c>
      <c r="AF390" s="9"/>
      <c r="AG390" s="22">
        <v>1.81351</v>
      </c>
      <c r="AH390" s="22">
        <v>22.454999999999998</v>
      </c>
      <c r="AI390" s="22">
        <v>2.6684599999999999E-2</v>
      </c>
      <c r="AJ390" s="22">
        <v>380</v>
      </c>
      <c r="AK390" s="22">
        <v>1.8130500000000001</v>
      </c>
      <c r="AL390">
        <f t="shared" si="66"/>
        <v>-32.943950617283946</v>
      </c>
      <c r="AM390">
        <f t="shared" si="67"/>
        <v>-59.744183883950605</v>
      </c>
      <c r="AP390" s="9"/>
      <c r="AQ390" s="22">
        <v>-9.3383800000000003E-2</v>
      </c>
      <c r="AR390" s="22">
        <v>27.900700000000001</v>
      </c>
      <c r="AS390" s="22">
        <v>-1.40778E-2</v>
      </c>
      <c r="AT390" s="22">
        <v>380</v>
      </c>
      <c r="AU390" s="22">
        <v>-9.3780500000000003E-2</v>
      </c>
      <c r="AV390">
        <f t="shared" si="68"/>
        <v>17.38</v>
      </c>
      <c r="AW390">
        <f t="shared" si="69"/>
        <v>-1.6230104439999999</v>
      </c>
      <c r="AX390" s="9"/>
      <c r="AY390" s="22">
        <v>1.81351</v>
      </c>
      <c r="AZ390" s="22">
        <v>31.760200000000001</v>
      </c>
      <c r="BA390" s="22">
        <v>3.0667099999999999E-2</v>
      </c>
      <c r="BB390" s="22">
        <v>380</v>
      </c>
      <c r="BC390" s="22">
        <v>1.81274</v>
      </c>
      <c r="BD390">
        <f t="shared" si="70"/>
        <v>-37.86061728395061</v>
      </c>
      <c r="BE390">
        <f t="shared" si="71"/>
        <v>-68.66060805061727</v>
      </c>
    </row>
    <row r="391" spans="6:57">
      <c r="F391" s="9"/>
      <c r="G391" s="22">
        <v>-9.8419199999999998E-2</v>
      </c>
      <c r="H391" s="22">
        <v>9.1613799999999994</v>
      </c>
      <c r="I391" s="22">
        <v>-1.4071699999999999E-2</v>
      </c>
      <c r="J391" s="22">
        <v>381</v>
      </c>
      <c r="K391" s="22">
        <v>-9.8785399999999995E-2</v>
      </c>
      <c r="L391">
        <f t="shared" si="60"/>
        <v>17.372469135802469</v>
      </c>
      <c r="M391">
        <f t="shared" si="61"/>
        <v>-1.7097845143703703</v>
      </c>
      <c r="N391" s="9"/>
      <c r="O391" s="22">
        <v>1.81854</v>
      </c>
      <c r="P391" s="22">
        <v>13.020899999999999</v>
      </c>
      <c r="Q391" s="22">
        <v>2.9428099999999999E-2</v>
      </c>
      <c r="R391" s="22">
        <v>381</v>
      </c>
      <c r="S391" s="22">
        <v>1.81732</v>
      </c>
      <c r="T391">
        <f t="shared" si="62"/>
        <v>-36.330987654320978</v>
      </c>
      <c r="U391">
        <f t="shared" si="63"/>
        <v>-66.069354288888874</v>
      </c>
      <c r="X391" s="9"/>
      <c r="Y391" s="22">
        <v>-9.8419199999999998E-2</v>
      </c>
      <c r="Z391" s="22">
        <v>18.605599999999999</v>
      </c>
      <c r="AA391" s="22">
        <v>-1.41022E-2</v>
      </c>
      <c r="AB391" s="22">
        <v>381</v>
      </c>
      <c r="AC391" s="22">
        <v>-9.8907499999999995E-2</v>
      </c>
      <c r="AD391">
        <f t="shared" si="64"/>
        <v>17.410123456790124</v>
      </c>
      <c r="AE391">
        <f t="shared" si="65"/>
        <v>-1.7134904225185186</v>
      </c>
      <c r="AF391" s="9"/>
      <c r="AG391" s="22">
        <v>1.81854</v>
      </c>
      <c r="AH391" s="22">
        <v>22.4651</v>
      </c>
      <c r="AI391" s="22">
        <v>3.4167500000000003E-2</v>
      </c>
      <c r="AJ391" s="22">
        <v>381</v>
      </c>
      <c r="AK391" s="22">
        <v>1.81793</v>
      </c>
      <c r="AL391">
        <f t="shared" si="66"/>
        <v>-42.182098765432102</v>
      </c>
      <c r="AM391">
        <f t="shared" si="67"/>
        <v>-76.709833888888895</v>
      </c>
      <c r="AP391" s="9"/>
      <c r="AQ391" s="22">
        <v>-9.8419199999999998E-2</v>
      </c>
      <c r="AR391" s="22">
        <v>27.910799999999998</v>
      </c>
      <c r="AS391" s="22">
        <v>-1.40778E-2</v>
      </c>
      <c r="AT391" s="22">
        <v>381</v>
      </c>
      <c r="AU391" s="22">
        <v>-9.8877000000000007E-2</v>
      </c>
      <c r="AV391">
        <f t="shared" si="68"/>
        <v>17.38</v>
      </c>
      <c r="AW391">
        <f t="shared" si="69"/>
        <v>-1.7105256959999999</v>
      </c>
      <c r="AX391" s="9"/>
      <c r="AY391" s="22">
        <v>1.81854</v>
      </c>
      <c r="AZ391" s="22">
        <v>31.770299999999999</v>
      </c>
      <c r="BA391" s="22">
        <v>3.8870200000000001E-2</v>
      </c>
      <c r="BB391" s="22">
        <v>381</v>
      </c>
      <c r="BC391" s="22">
        <v>1.8170200000000001</v>
      </c>
      <c r="BD391">
        <f t="shared" si="70"/>
        <v>-47.9879012345679</v>
      </c>
      <c r="BE391">
        <f t="shared" si="71"/>
        <v>-87.267917911111113</v>
      </c>
    </row>
    <row r="392" spans="6:57">
      <c r="F392" s="9"/>
      <c r="G392" s="22">
        <v>-0.10345500000000001</v>
      </c>
      <c r="H392" s="22">
        <v>9.1714500000000001</v>
      </c>
      <c r="I392" s="22">
        <v>-1.4071699999999999E-2</v>
      </c>
      <c r="J392" s="22">
        <v>382</v>
      </c>
      <c r="K392" s="22">
        <v>-0.103851</v>
      </c>
      <c r="L392">
        <f t="shared" si="60"/>
        <v>17.372469135802469</v>
      </c>
      <c r="M392">
        <f t="shared" si="61"/>
        <v>-1.7972687944444445</v>
      </c>
      <c r="N392" s="9"/>
      <c r="O392" s="22">
        <v>1.82358</v>
      </c>
      <c r="P392" s="22">
        <v>13.030900000000001</v>
      </c>
      <c r="Q392" s="22">
        <v>3.7374900000000003E-2</v>
      </c>
      <c r="R392" s="22">
        <v>382</v>
      </c>
      <c r="S392" s="22">
        <v>1.8222</v>
      </c>
      <c r="T392">
        <f t="shared" si="62"/>
        <v>-46.141851851851854</v>
      </c>
      <c r="U392">
        <f t="shared" si="63"/>
        <v>-84.143358200000009</v>
      </c>
      <c r="X392" s="9"/>
      <c r="Y392" s="22">
        <v>-0.10345500000000001</v>
      </c>
      <c r="Z392" s="22">
        <v>18.6157</v>
      </c>
      <c r="AA392" s="22">
        <v>-1.41113E-2</v>
      </c>
      <c r="AB392" s="22">
        <v>382</v>
      </c>
      <c r="AC392" s="22">
        <v>-0.103882</v>
      </c>
      <c r="AD392">
        <f t="shared" si="64"/>
        <v>17.421358024691358</v>
      </c>
      <c r="AE392">
        <f t="shared" si="65"/>
        <v>-1.8023265944444444</v>
      </c>
      <c r="AF392" s="9"/>
      <c r="AG392" s="22">
        <v>1.82358</v>
      </c>
      <c r="AH392" s="22">
        <v>22.475100000000001</v>
      </c>
      <c r="AI392" s="22">
        <v>4.2956500000000002E-2</v>
      </c>
      <c r="AJ392" s="22">
        <v>382</v>
      </c>
      <c r="AK392" s="22">
        <v>1.8222</v>
      </c>
      <c r="AL392">
        <f t="shared" si="66"/>
        <v>-53.032716049382714</v>
      </c>
      <c r="AM392">
        <f t="shared" si="67"/>
        <v>-96.709400333333335</v>
      </c>
      <c r="AP392" s="9"/>
      <c r="AQ392" s="22">
        <v>-0.10345500000000001</v>
      </c>
      <c r="AR392" s="22">
        <v>27.9209</v>
      </c>
      <c r="AS392" s="22">
        <v>-1.4080799999999999E-2</v>
      </c>
      <c r="AT392" s="22">
        <v>382</v>
      </c>
      <c r="AU392" s="22">
        <v>-0.10394299999999999</v>
      </c>
      <c r="AV392">
        <f t="shared" si="68"/>
        <v>17.383703703703702</v>
      </c>
      <c r="AW392">
        <f t="shared" si="69"/>
        <v>-1.7984310666666665</v>
      </c>
      <c r="AX392" s="9"/>
      <c r="AY392" s="22">
        <v>1.82358</v>
      </c>
      <c r="AZ392" s="22">
        <v>31.7804</v>
      </c>
      <c r="BA392" s="22">
        <v>4.86481E-2</v>
      </c>
      <c r="BB392" s="22">
        <v>382</v>
      </c>
      <c r="BC392" s="22">
        <v>1.8234300000000001</v>
      </c>
      <c r="BD392">
        <f t="shared" si="70"/>
        <v>-60.059382716049384</v>
      </c>
      <c r="BE392">
        <f t="shared" si="71"/>
        <v>-109.52308913333333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4"/>
  <sheetViews>
    <sheetView topLeftCell="AT1" workbookViewId="0">
      <selection activeCell="BD11" sqref="BD11:BE38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5282.7416129078483</v>
      </c>
      <c r="H2" s="2"/>
      <c r="I2" s="6" t="s">
        <v>12</v>
      </c>
      <c r="J2" s="2"/>
      <c r="K2" s="7" t="s">
        <v>13</v>
      </c>
      <c r="L2" s="3">
        <f>L4*I6*L9/100*100</f>
        <v>21.859181693827157</v>
      </c>
      <c r="M2" s="8" t="s">
        <v>14</v>
      </c>
      <c r="N2" s="9"/>
      <c r="O2" s="2">
        <f>ABS(S7-S6)/ABS(T7-T6)*1000</f>
        <v>10559.886387096214</v>
      </c>
      <c r="P2" s="2"/>
      <c r="Q2" s="6" t="s">
        <v>15</v>
      </c>
      <c r="R2" s="2"/>
      <c r="S2" s="7" t="s">
        <v>13</v>
      </c>
      <c r="T2" s="3">
        <f>T4*Q6*T9/100*100</f>
        <v>21.827247422222221</v>
      </c>
      <c r="U2" s="8" t="s">
        <v>14</v>
      </c>
      <c r="X2" s="9"/>
      <c r="Y2" s="2">
        <f>ABS(AC7-AC6)/ABS(AD7-AD6)*1000</f>
        <v>1384.2792000002262</v>
      </c>
      <c r="Z2" s="2"/>
      <c r="AA2" s="6" t="s">
        <v>12</v>
      </c>
      <c r="AB2" s="2"/>
      <c r="AC2" s="7" t="s">
        <v>13</v>
      </c>
      <c r="AD2" s="3">
        <f>AD4*AA6*AD9/100*100</f>
        <v>22.204312888888886</v>
      </c>
      <c r="AE2" s="8" t="s">
        <v>14</v>
      </c>
      <c r="AF2" s="9"/>
      <c r="AG2" s="2">
        <f>ABS(AK7-AK6)/ABS(AL7-AL6)*1000</f>
        <v>1362.8538900002227</v>
      </c>
      <c r="AH2" s="2"/>
      <c r="AI2" s="6" t="s">
        <v>15</v>
      </c>
      <c r="AJ2" s="2"/>
      <c r="AK2" s="7" t="s">
        <v>13</v>
      </c>
      <c r="AL2" s="3">
        <f>AL4*AI6*AL9/100*100</f>
        <v>21.721688888888885</v>
      </c>
      <c r="AM2" s="8" t="s">
        <v>14</v>
      </c>
      <c r="AP2" s="9"/>
      <c r="AQ2" s="2">
        <f>ABS(AU7-AU6)/ABS(AV7-AV6)*1000</f>
        <v>1377.6857999989036</v>
      </c>
      <c r="AR2" s="2"/>
      <c r="AS2" s="6" t="s">
        <v>12</v>
      </c>
      <c r="AT2" s="2"/>
      <c r="AU2" s="7" t="s">
        <v>13</v>
      </c>
      <c r="AV2" s="3">
        <f>AV4*AS6*AV9/100*100</f>
        <v>22.060196888888889</v>
      </c>
      <c r="AW2" s="8" t="s">
        <v>14</v>
      </c>
      <c r="AX2" s="9"/>
      <c r="AY2" s="2">
        <f>ABS(BC7-BC6)/ABS(BD7-BD6)*1000</f>
        <v>673.49733934429821</v>
      </c>
      <c r="AZ2" s="2"/>
      <c r="BA2" s="6" t="s">
        <v>15</v>
      </c>
      <c r="BB2" s="2"/>
      <c r="BC2" s="7" t="s">
        <v>13</v>
      </c>
      <c r="BD2" s="3">
        <f>BD4*BA6*BD9/100*100</f>
        <v>21.913449911111108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1.7538499999999999</v>
      </c>
      <c r="J3" s="2"/>
      <c r="K3" s="10">
        <f>INDEX(L11:L1056,MATCH(I3,K11:K1056,0))</f>
        <v>-0.30717283950617286</v>
      </c>
      <c r="L3" s="35" t="s">
        <v>16</v>
      </c>
      <c r="M3" s="11">
        <f>M9</f>
        <v>21.859181693827157</v>
      </c>
      <c r="N3" s="9"/>
      <c r="O3" s="2" t="s">
        <v>44</v>
      </c>
      <c r="P3" s="2"/>
      <c r="Q3" s="2">
        <f>INDEX(S11:S1056,MATCH(0,T11:T1056,-1))</f>
        <v>1.7071499999999999</v>
      </c>
      <c r="R3" s="2"/>
      <c r="S3" s="10">
        <f>INDEX(T11:T1056,MATCH(Q3,S11:S1056,0))</f>
        <v>0.57309012345679011</v>
      </c>
      <c r="T3" s="35" t="s">
        <v>16</v>
      </c>
      <c r="U3" s="11">
        <f>U9</f>
        <v>21.827247422222221</v>
      </c>
      <c r="X3" s="9"/>
      <c r="Y3" s="2" t="s">
        <v>44</v>
      </c>
      <c r="Z3" s="2"/>
      <c r="AA3" s="2">
        <f>INDEX(AC11:AC856,MATCH(0,AD11:AD856,1))</f>
        <v>1.7434700000000001</v>
      </c>
      <c r="AB3" s="2"/>
      <c r="AC3" s="10">
        <f>INDEX(AD11:AD1056,MATCH(AA3,AC11:AC1056,0))</f>
        <v>-1.2361481481481482</v>
      </c>
      <c r="AD3" s="35" t="s">
        <v>16</v>
      </c>
      <c r="AE3" s="11">
        <f>AE9</f>
        <v>22.204312888888889</v>
      </c>
      <c r="AF3" s="9"/>
      <c r="AG3" s="2" t="s">
        <v>44</v>
      </c>
      <c r="AH3" s="2"/>
      <c r="AI3" s="2">
        <f>INDEX(AK11:AK1056,MATCH(0,AL11:AL1056,-1))</f>
        <v>1.70685</v>
      </c>
      <c r="AJ3" s="2"/>
      <c r="AK3" s="10">
        <f>INDEX(AL11:AL1056,MATCH(AI3,AK11:AK1056,0))</f>
        <v>3.7299259259259254E-2</v>
      </c>
      <c r="AL3" s="35" t="s">
        <v>16</v>
      </c>
      <c r="AM3" s="11">
        <f>AM9</f>
        <v>21.721688888888885</v>
      </c>
      <c r="AP3" s="9"/>
      <c r="AQ3" s="2" t="s">
        <v>44</v>
      </c>
      <c r="AR3" s="2"/>
      <c r="AS3" s="2">
        <f>INDEX(AU11:AU856,MATCH(0,AV11:AV856,1))</f>
        <v>1.73889</v>
      </c>
      <c r="AT3" s="2"/>
      <c r="AU3" s="10">
        <f>INDEX(AV11:AV1056,MATCH(AS3,AU11:AU1056,0))</f>
        <v>-0.65782345679012344</v>
      </c>
      <c r="AV3" s="35" t="s">
        <v>16</v>
      </c>
      <c r="AW3" s="11">
        <f>AW9</f>
        <v>22.060196888888889</v>
      </c>
      <c r="AX3" s="9"/>
      <c r="AY3" s="2" t="s">
        <v>44</v>
      </c>
      <c r="AZ3" s="2"/>
      <c r="BA3" s="2">
        <f>INDEX(BC11:BC1056,MATCH(0,BD11:BD1056,-1))</f>
        <v>1.70197</v>
      </c>
      <c r="BB3" s="2"/>
      <c r="BC3" s="10">
        <f>INDEX(BD11:BD1056,MATCH(BA3,BC11:BC1056,0))</f>
        <v>0.85562222222222217</v>
      </c>
      <c r="BD3" s="35" t="s">
        <v>16</v>
      </c>
      <c r="BE3" s="11">
        <f>BE9</f>
        <v>21.913449911111112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5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5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5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5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5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5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3.7247747715817403</v>
      </c>
      <c r="H4" s="2"/>
      <c r="I4" s="2">
        <f>INDEX(K11:K1000,1+MATCH(0,L11:L856,1))</f>
        <v>1.7486600000000001</v>
      </c>
      <c r="J4" s="2"/>
      <c r="K4" s="10">
        <f>INDEX(L11:L1056,MATCH(I4,K11:K1056,0))</f>
        <v>1.0862000000000001</v>
      </c>
      <c r="L4" s="34">
        <f>M3/(I6*L9)</f>
        <v>0.72198989542070557</v>
      </c>
      <c r="M4" s="8" t="s">
        <v>17</v>
      </c>
      <c r="N4" s="9"/>
      <c r="O4" s="2">
        <f>ABS(Q3-Q4)/ABS(S3-S4)*1000</f>
        <v>4.3296758072027348</v>
      </c>
      <c r="P4" s="2"/>
      <c r="Q4" s="2">
        <f>INDEX(S11:S856,1+MATCH(0,T11:T856,-1))</f>
        <v>1.71204</v>
      </c>
      <c r="R4" s="2"/>
      <c r="S4" s="10">
        <f>INDEX(T11:T856,MATCH(Q4,S11:S856,0))</f>
        <v>-0.55632469135802465</v>
      </c>
      <c r="T4" s="34">
        <f>U3/(Q6*T9)</f>
        <v>0.73907898552963103</v>
      </c>
      <c r="U4" s="8" t="s">
        <v>17</v>
      </c>
      <c r="X4" s="9"/>
      <c r="Y4" s="2">
        <f>ABS(AA3-AA4)/ABS(AC3-AC4)*1000</f>
        <v>3.3110647642031221</v>
      </c>
      <c r="Z4" s="2"/>
      <c r="AA4" s="2">
        <f>INDEX(AC11:AC1000,1+MATCH(0,AD11:AD856,1))</f>
        <v>1.73828</v>
      </c>
      <c r="AB4" s="2"/>
      <c r="AC4" s="10">
        <f>INDEX(AD11:AD1056,MATCH(AA4,AC11:AC1056,0))</f>
        <v>0.33132345679012343</v>
      </c>
      <c r="AD4" s="34">
        <f>AE3/(AA6*AD9)</f>
        <v>0.73811190538520088</v>
      </c>
      <c r="AE4" s="8" t="s">
        <v>17</v>
      </c>
      <c r="AF4" s="9"/>
      <c r="AG4" s="2">
        <f>ABS(AI3-AI4)/ABS(AK3-AK4)*1000</f>
        <v>4.0026392630477616</v>
      </c>
      <c r="AH4" s="2"/>
      <c r="AI4" s="2">
        <f>INDEX(AK11:AK856,1+MATCH(0,AL11:AL856,-1))</f>
        <v>1.71173</v>
      </c>
      <c r="AJ4" s="2"/>
      <c r="AK4" s="10">
        <f>INDEX(AL11:AL856,MATCH(AI4,AK11:AK856,0))</f>
        <v>-1.1818962962962962</v>
      </c>
      <c r="AL4" s="34">
        <f>AM3/(AI6*AL9)</f>
        <v>0.73517665051488512</v>
      </c>
      <c r="AM4" s="8" t="s">
        <v>17</v>
      </c>
      <c r="AP4" s="9"/>
      <c r="AQ4" s="2">
        <f>ABS(AS3-AS4)/ABS(AU3-AU4)*1000</f>
        <v>3.774047682901573</v>
      </c>
      <c r="AR4" s="2"/>
      <c r="AS4" s="2">
        <f>INDEX(AU11:AU1000,1+MATCH(0,AV11:AV856,1))</f>
        <v>1.7334000000000001</v>
      </c>
      <c r="AT4" s="2"/>
      <c r="AU4" s="10">
        <f>INDEX(AV11:AV1056,MATCH(AS4,AU11:AU1056,0))</f>
        <v>0.79684814814814797</v>
      </c>
      <c r="AV4" s="34">
        <f>AW3/(AS6*AV9)</f>
        <v>0.73361671653001614</v>
      </c>
      <c r="AW4" s="8" t="s">
        <v>17</v>
      </c>
      <c r="AX4" s="9"/>
      <c r="AY4" s="2">
        <f>ABS(BA3-BA4)/ABS(BC3-BC4)*1000</f>
        <v>4.5528825808131446</v>
      </c>
      <c r="AZ4" s="2"/>
      <c r="BA4" s="2">
        <f>INDEX(BC11:BC856,1+MATCH(0,BD11:BD856,-1))</f>
        <v>1.7071499999999999</v>
      </c>
      <c r="BB4" s="2"/>
      <c r="BC4" s="10">
        <f>INDEX(BD11:BD856,MATCH(BA4,BC11:BC856,0))</f>
        <v>-0.28211851851851855</v>
      </c>
      <c r="BD4" s="34">
        <f>BE3/(BA6*BD9)</f>
        <v>0.74181436103365694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14.791604938271602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15.255061728395061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14.923456790123456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15.288888888888886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14.776543209876543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15.315308641975308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1.7527058503568922</v>
      </c>
      <c r="J6" s="34"/>
      <c r="K6" s="13">
        <f>INDEX(K11:K1056,MATCH(L6,L11:L1056,0))</f>
        <v>3.7609900000000002E-2</v>
      </c>
      <c r="L6" s="10">
        <f>INDEX(L11:L1056,MATCH(0,K11:K1056,-1))</f>
        <v>17.266913580246914</v>
      </c>
      <c r="M6" s="8" t="s">
        <v>22</v>
      </c>
      <c r="N6" s="9"/>
      <c r="O6" s="2"/>
      <c r="P6" s="2"/>
      <c r="Q6" s="36">
        <f>(Q3-Q4)/(S3-S4)*(-S4)+Q4</f>
        <v>1.7096312944428775</v>
      </c>
      <c r="R6" s="36"/>
      <c r="S6" s="13">
        <f>INDEX(S11:S1056,MATCH(T6,T11:T1056,0))</f>
        <v>-3.9755199999999997E-2</v>
      </c>
      <c r="T6" s="10">
        <f>INDEX(T11:T1056,MATCH(0,S11:S1056,1))</f>
        <v>17.278271604938272</v>
      </c>
      <c r="U6" s="8" t="s">
        <v>22</v>
      </c>
      <c r="X6" s="9"/>
      <c r="Y6" s="2"/>
      <c r="Z6" s="2"/>
      <c r="AA6" s="34">
        <f>(AA3-AA4)/(AC3-AC4)*(-AC4)+AA4</f>
        <v>1.7393770334233318</v>
      </c>
      <c r="AB6" s="34"/>
      <c r="AC6" s="13">
        <f>INDEX(AC11:AC1056,MATCH(AD6,AD11:AD1056,0))</f>
        <v>2.3529100000000002E-3</v>
      </c>
      <c r="AD6" s="10">
        <f>INDEX(AD11:AD1056,MATCH(0,AC11:AC1056,-1))</f>
        <v>17.293333333333333</v>
      </c>
      <c r="AE6" s="8" t="s">
        <v>22</v>
      </c>
      <c r="AF6" s="9"/>
      <c r="AG6" s="2"/>
      <c r="AH6" s="2"/>
      <c r="AI6" s="36">
        <f>(AI3-AI4)/(AK3-AK4)*(-AK4)+AI4</f>
        <v>1.7069992954795936</v>
      </c>
      <c r="AJ6" s="36"/>
      <c r="AK6" s="13">
        <f>INDEX(AK11:AK1056,MATCH(AL6,AL11:AL1056,0))</f>
        <v>-4.4097900000000002E-3</v>
      </c>
      <c r="AL6" s="10">
        <f>INDEX(AL11:AL1056,MATCH(0,AK11:AK1056,1))</f>
        <v>17.312098765432097</v>
      </c>
      <c r="AM6" s="8" t="s">
        <v>22</v>
      </c>
      <c r="AP6" s="9"/>
      <c r="AQ6" s="2"/>
      <c r="AR6" s="2"/>
      <c r="AS6" s="34">
        <f>(AS3-AS4)/(AU3-AU4)*(-AU4)+AS4</f>
        <v>1.7364073429071429</v>
      </c>
      <c r="AT6" s="34"/>
      <c r="AU6" s="13">
        <f>INDEX(AU11:AU1056,MATCH(AV6,AV11:AV1056,0))</f>
        <v>2.3529100000000002E-3</v>
      </c>
      <c r="AV6" s="10">
        <f>INDEX(AV11:AV1056,MATCH(0,AU11:AU1056,-1))</f>
        <v>17.315925925925924</v>
      </c>
      <c r="AW6" s="8" t="s">
        <v>22</v>
      </c>
      <c r="AX6" s="9"/>
      <c r="AY6" s="2"/>
      <c r="AZ6" s="2"/>
      <c r="BA6" s="36">
        <f>(BA3-BA4)/(BC3-BC4)*(-BC4)+BA4</f>
        <v>1.7058655475113123</v>
      </c>
      <c r="BB6" s="36"/>
      <c r="BC6" s="13">
        <f>INDEX(BC11:BC1056,MATCH(BD6,BD11:BD1056,0))</f>
        <v>-4.40063E-3</v>
      </c>
      <c r="BD6" s="10">
        <f>INDEX(BD11:BD1056,MATCH(0,BC11:BC1056,1))</f>
        <v>17.323456790123455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1.7392000000000001E-2</v>
      </c>
      <c r="L7" s="10">
        <f>INDEX(L11:L856,1+MATCH(0,K11:K856,-1))</f>
        <v>17.270740740740738</v>
      </c>
      <c r="M7" s="12">
        <f>INDEX(K11:K1056,MATCH(M9,M11:M1056,0))</f>
        <v>1.47675</v>
      </c>
      <c r="N7" s="9"/>
      <c r="O7" s="2"/>
      <c r="P7" s="2"/>
      <c r="Q7" s="2"/>
      <c r="R7" s="2"/>
      <c r="S7" s="13">
        <f>INDEX(S11:S1056,MATCH(T7,T11:T1056,0))</f>
        <v>6.5917999999999999E-4</v>
      </c>
      <c r="T7" s="10">
        <f>INDEX(T11:T1056,1+MATCH(0,S11:S1056,1))</f>
        <v>17.274444444444445</v>
      </c>
      <c r="U7" s="12">
        <f>INDEX(S11:S1056,MATCH(U9,U11:U1056,0))</f>
        <v>1.4297500000000001</v>
      </c>
      <c r="X7" s="9"/>
      <c r="Y7" s="2"/>
      <c r="Z7" s="2"/>
      <c r="AA7" s="2"/>
      <c r="AB7" s="2"/>
      <c r="AC7" s="13">
        <f>INDEX(AC11:AC856,MATCH(AD7,AD11:AD856,1))</f>
        <v>-2.7740500000000001E-3</v>
      </c>
      <c r="AD7" s="10">
        <f>INDEX(AD11:AD856,1+MATCH(0,AC11:AC856,-1))</f>
        <v>17.297037037037036</v>
      </c>
      <c r="AE7" s="12">
        <f>INDEX(AC11:AC1056,MATCH(AE9,AE11:AE1056,0))</f>
        <v>1.48743</v>
      </c>
      <c r="AF7" s="9"/>
      <c r="AG7" s="2"/>
      <c r="AH7" s="2"/>
      <c r="AI7" s="2"/>
      <c r="AJ7" s="2"/>
      <c r="AK7" s="13">
        <f>INDEX(AK11:AK1056,MATCH(AL7,AL11:AL1056,0))</f>
        <v>6.3781700000000005E-4</v>
      </c>
      <c r="AL7" s="10">
        <f>INDEX(AL11:AL1056,1+MATCH(0,AK11:AK1056,1))</f>
        <v>17.308395061728394</v>
      </c>
      <c r="AM7" s="12">
        <f>INDEX(AK11:AK1056,MATCH(AM9,AM11:AM1056,0))</f>
        <v>1.4196800000000001</v>
      </c>
      <c r="AP7" s="9"/>
      <c r="AQ7" s="2"/>
      <c r="AR7" s="2"/>
      <c r="AS7" s="2"/>
      <c r="AT7" s="2"/>
      <c r="AU7" s="13">
        <f>INDEX(AU11:AU856,MATCH(AV7,AV11:AV856,1))</f>
        <v>-2.7496299999999999E-3</v>
      </c>
      <c r="AV7" s="10">
        <f>INDEX(AV11:AV856,1+MATCH(0,AU11:AU856,-1))</f>
        <v>17.319629629629631</v>
      </c>
      <c r="AW7" s="12">
        <f>INDEX(AU11:AU1056,MATCH(AW9,AW11:AW1056,0))</f>
        <v>1.49231</v>
      </c>
      <c r="AX7" s="9"/>
      <c r="AY7" s="2"/>
      <c r="AZ7" s="2"/>
      <c r="BA7" s="2"/>
      <c r="BB7" s="2"/>
      <c r="BC7" s="13">
        <f>INDEX(BC11:BC1056,MATCH(BD7,BD11:BD1056,0))</f>
        <v>6.7138699999999996E-4</v>
      </c>
      <c r="BD7" s="10">
        <f>INDEX(BD11:BD1056,1+MATCH(0,BC11:BC1056,1))</f>
        <v>17.315925925925924</v>
      </c>
      <c r="BE7" s="12">
        <f>INDEX(BC11:BC1056,MATCH(BE9,BE11:BE1056,0))</f>
        <v>1.4303600000000001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0.14609088323719602</v>
      </c>
      <c r="J9" s="2"/>
      <c r="K9" s="2"/>
      <c r="L9" s="3">
        <f>(L6-L7)/(K6-K7)*(-K7)+L7</f>
        <v>17.274032970661185</v>
      </c>
      <c r="M9" s="16">
        <f>MAX(M11:M1056)</f>
        <v>21.859181693827157</v>
      </c>
      <c r="N9" s="9"/>
      <c r="O9" s="2"/>
      <c r="P9" s="2"/>
      <c r="Q9" s="2"/>
      <c r="R9" s="2"/>
      <c r="S9" s="2"/>
      <c r="T9" s="3">
        <f>(T6-T7)/(S6-S7)*(-S7)+T7</f>
        <v>17.274506867464527</v>
      </c>
      <c r="U9" s="16">
        <f>MAX(U11:U1056)</f>
        <v>21.827247422222221</v>
      </c>
      <c r="X9" s="9"/>
      <c r="Y9" s="2"/>
      <c r="Z9" s="2"/>
      <c r="AA9" s="15">
        <f>(MAX(AD2,AL2)-MIN(AD2,AL2))/MAX(AD2,AL2)%</f>
        <v>2.1735597152457169</v>
      </c>
      <c r="AB9" s="2"/>
      <c r="AC9" s="2"/>
      <c r="AD9" s="3">
        <f>(AD6-AD7)/(AC6-AC7)*(-AC7)+AD7</f>
        <v>17.295033069918265</v>
      </c>
      <c r="AE9" s="16">
        <f>MAX(AE11:AE1056)</f>
        <v>22.204312888888889</v>
      </c>
      <c r="AF9" s="9"/>
      <c r="AG9" s="2"/>
      <c r="AH9" s="2"/>
      <c r="AI9" s="2"/>
      <c r="AJ9" s="2"/>
      <c r="AK9" s="2"/>
      <c r="AL9" s="3">
        <f>(AL6-AL7)/(AK6-AK7)*(-AK7)+AL7</f>
        <v>17.308863062740592</v>
      </c>
      <c r="AM9" s="16">
        <f>MAX(AM11:AM1056)</f>
        <v>21.721688888888885</v>
      </c>
      <c r="AP9" s="9"/>
      <c r="AQ9" s="2"/>
      <c r="AR9" s="2"/>
      <c r="AS9" s="15">
        <f>(MAX(AV2,BD2)-MIN(AV2,BD2))/MAX(AV2,BD2)%</f>
        <v>0.66521155054465164</v>
      </c>
      <c r="AT9" s="2"/>
      <c r="AU9" s="2"/>
      <c r="AV9" s="3">
        <f>(AV6-AV7)/(AU6-AU7)*(-AU7)+AV7</f>
        <v>17.31763379719817</v>
      </c>
      <c r="AW9" s="16">
        <f>MAX(AW11:AW1056)</f>
        <v>22.060196888888889</v>
      </c>
      <c r="AX9" s="9"/>
      <c r="AY9" s="2"/>
      <c r="AZ9" s="2"/>
      <c r="BA9" s="2"/>
      <c r="BB9" s="2"/>
      <c r="BC9" s="2"/>
      <c r="BD9" s="3">
        <f>(BD6-BD7)/(BC6-BC7)*(-BC7)+BD7</f>
        <v>17.316922792521794</v>
      </c>
      <c r="BE9" s="16">
        <f>MAX(BE11:BE1056)</f>
        <v>21.913449911111112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1.7527058503568922</v>
      </c>
      <c r="B11" s="19">
        <f>IFERROR(L9,0)</f>
        <v>17.274032970661185</v>
      </c>
      <c r="C11" s="20">
        <f>IFERROR(L4,0)</f>
        <v>0.72198989542070557</v>
      </c>
      <c r="D11" s="21">
        <f>IFERROR(L2,0)</f>
        <v>21.859181693827157</v>
      </c>
      <c r="E11" s="21">
        <f>IFERROR(I9,0)</f>
        <v>0.14609088323719602</v>
      </c>
      <c r="F11" s="9"/>
      <c r="G11" s="22">
        <v>1.7748999999999999</v>
      </c>
      <c r="H11" s="22">
        <v>5.2003899999999996</v>
      </c>
      <c r="I11" s="22">
        <v>7.9925499999999993E-3</v>
      </c>
      <c r="J11" s="22">
        <v>1</v>
      </c>
      <c r="K11" s="22">
        <v>1.7742899999999999</v>
      </c>
      <c r="L11">
        <f>-I11/$F$2*1000</f>
        <v>-9.8673456790123435</v>
      </c>
      <c r="M11">
        <f>L11*G11</f>
        <v>-17.513551845679007</v>
      </c>
      <c r="N11" s="9"/>
      <c r="O11" s="22">
        <v>-9.49097E-2</v>
      </c>
      <c r="P11" s="22">
        <v>8.9793000000000003</v>
      </c>
      <c r="Q11" s="22">
        <v>-1.4035000000000001E-2</v>
      </c>
      <c r="R11" s="22">
        <v>1</v>
      </c>
      <c r="S11" s="22">
        <v>-9.5306399999999999E-2</v>
      </c>
      <c r="T11">
        <f>-Q11/$F$2*1000</f>
        <v>17.327160493827162</v>
      </c>
      <c r="U11">
        <f>T11*O11</f>
        <v>-1.6445156043209876</v>
      </c>
      <c r="V11" s="23"/>
      <c r="W11" s="24"/>
      <c r="X11" s="9"/>
      <c r="Y11" s="22">
        <v>1.7748999999999999</v>
      </c>
      <c r="Z11" s="22">
        <v>14.490600000000001</v>
      </c>
      <c r="AA11" s="22">
        <v>1.58447E-2</v>
      </c>
      <c r="AB11" s="22">
        <v>1</v>
      </c>
      <c r="AC11" s="22">
        <v>1.7742899999999999</v>
      </c>
      <c r="AD11">
        <f>-AA11/$F$2*1000</f>
        <v>-19.561358024691359</v>
      </c>
      <c r="AE11">
        <f>AD11*Y11</f>
        <v>-34.719454358024691</v>
      </c>
      <c r="AF11" s="9"/>
      <c r="AG11" s="22">
        <v>-9.49097E-2</v>
      </c>
      <c r="AH11" s="22">
        <v>18.269500000000001</v>
      </c>
      <c r="AI11" s="22">
        <v>-1.40503E-2</v>
      </c>
      <c r="AJ11" s="22">
        <v>1</v>
      </c>
      <c r="AK11" s="22">
        <v>-9.5367400000000005E-2</v>
      </c>
      <c r="AL11">
        <f>-AI11/$F$2*1000</f>
        <v>17.34604938271605</v>
      </c>
      <c r="AM11">
        <f>AL11*AG11</f>
        <v>-1.6463083430987655</v>
      </c>
      <c r="AP11" s="9"/>
      <c r="AQ11" s="22">
        <v>1.7748999999999999</v>
      </c>
      <c r="AR11" s="22">
        <v>23.716799999999999</v>
      </c>
      <c r="AS11" s="22">
        <v>1.82831E-2</v>
      </c>
      <c r="AT11" s="22">
        <v>1</v>
      </c>
      <c r="AU11" s="22">
        <v>1.7742899999999999</v>
      </c>
      <c r="AV11">
        <f>-AS11/$F$2*1000</f>
        <v>-22.571728395061726</v>
      </c>
      <c r="AW11">
        <f>AV11*AQ11</f>
        <v>-40.062560728395056</v>
      </c>
      <c r="AX11" s="9"/>
      <c r="AY11" s="22">
        <v>-9.49097E-2</v>
      </c>
      <c r="AZ11" s="22">
        <v>27.495799999999999</v>
      </c>
      <c r="BA11" s="22">
        <v>-1.4080799999999999E-2</v>
      </c>
      <c r="BB11" s="22">
        <v>1</v>
      </c>
      <c r="BC11" s="22">
        <v>-9.5336900000000002E-2</v>
      </c>
      <c r="BD11">
        <f>-BA11/$F$2*1000</f>
        <v>17.383703703703702</v>
      </c>
      <c r="BE11">
        <f>BD11*AY11</f>
        <v>-1.6498821034074072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1.7096312944428775</v>
      </c>
      <c r="B12" s="19">
        <f>IFERROR(T9,0)</f>
        <v>17.274506867464527</v>
      </c>
      <c r="C12" s="20">
        <f>IFERROR(T4,0)</f>
        <v>0.73907898552963103</v>
      </c>
      <c r="D12" s="21">
        <f>IFERROR(T2,0)</f>
        <v>21.827247422222221</v>
      </c>
      <c r="E12" s="21"/>
      <c r="F12" s="9"/>
      <c r="G12" s="22">
        <v>1.7698700000000001</v>
      </c>
      <c r="H12" s="22">
        <v>5.2104699999999999</v>
      </c>
      <c r="I12" s="22">
        <v>5.4779099999999999E-3</v>
      </c>
      <c r="J12" s="22">
        <v>2</v>
      </c>
      <c r="K12" s="22">
        <v>1.7687999999999999</v>
      </c>
      <c r="L12">
        <f t="shared" ref="L12:L75" si="0">-I12/$F$2*1000</f>
        <v>-6.7628518518518517</v>
      </c>
      <c r="M12">
        <f t="shared" ref="M12:M75" si="1">L12*G12</f>
        <v>-11.969368607037037</v>
      </c>
      <c r="N12" s="9"/>
      <c r="O12" s="22">
        <v>-8.9874300000000004E-2</v>
      </c>
      <c r="P12" s="22">
        <v>8.9893699999999992</v>
      </c>
      <c r="Q12" s="22">
        <v>-1.4031999999999999E-2</v>
      </c>
      <c r="R12" s="22">
        <v>2</v>
      </c>
      <c r="S12" s="22">
        <v>-9.0301500000000007E-2</v>
      </c>
      <c r="T12">
        <f t="shared" ref="T12:T75" si="2">-Q12/$F$2*1000</f>
        <v>17.323456790123455</v>
      </c>
      <c r="U12">
        <f t="shared" ref="U12:U75" si="3">T12*O12</f>
        <v>-1.5569335525925925</v>
      </c>
      <c r="V12" s="23"/>
      <c r="W12" s="24"/>
      <c r="X12" s="9"/>
      <c r="Y12" s="22">
        <v>1.7698700000000001</v>
      </c>
      <c r="Z12" s="22">
        <v>14.5007</v>
      </c>
      <c r="AA12" s="22">
        <v>1.18469E-2</v>
      </c>
      <c r="AB12" s="22">
        <v>2</v>
      </c>
      <c r="AC12" s="22">
        <v>1.7687999999999999</v>
      </c>
      <c r="AD12">
        <f t="shared" ref="AD12:AD75" si="4">-AA12/$F$2*1000</f>
        <v>-14.625802469135802</v>
      </c>
      <c r="AE12">
        <f t="shared" ref="AE12:AE75" si="5">AD12*Y12</f>
        <v>-25.885769016049384</v>
      </c>
      <c r="AF12" s="9"/>
      <c r="AG12" s="22">
        <v>-8.9874300000000004E-2</v>
      </c>
      <c r="AH12" s="22">
        <v>18.279599999999999</v>
      </c>
      <c r="AI12" s="22">
        <v>-1.40442E-2</v>
      </c>
      <c r="AJ12" s="22">
        <v>2</v>
      </c>
      <c r="AK12" s="22">
        <v>-9.0331999999999996E-2</v>
      </c>
      <c r="AL12">
        <f t="shared" ref="AL12:AL75" si="6">-AI12/$F$2*1000</f>
        <v>17.338518518518516</v>
      </c>
      <c r="AM12">
        <f t="shared" ref="AM12:AM75" si="7">AL12*AG12</f>
        <v>-1.5582872148888887</v>
      </c>
      <c r="AP12" s="9"/>
      <c r="AQ12" s="22">
        <v>1.7698700000000001</v>
      </c>
      <c r="AR12" s="22">
        <v>23.726900000000001</v>
      </c>
      <c r="AS12" s="22">
        <v>1.3974E-2</v>
      </c>
      <c r="AT12" s="22">
        <v>2</v>
      </c>
      <c r="AU12" s="22">
        <v>1.7694099999999999</v>
      </c>
      <c r="AV12">
        <f t="shared" ref="AV12:AV75" si="8">-AS12/$F$2*1000</f>
        <v>-17.251851851851853</v>
      </c>
      <c r="AW12">
        <f t="shared" ref="AW12:AW75" si="9">AV12*AQ12</f>
        <v>-30.533535037037041</v>
      </c>
      <c r="AX12" s="9"/>
      <c r="AY12" s="22">
        <v>-8.9874300000000004E-2</v>
      </c>
      <c r="AZ12" s="22">
        <v>27.5059</v>
      </c>
      <c r="BA12" s="22">
        <v>-1.4080799999999999E-2</v>
      </c>
      <c r="BB12" s="22">
        <v>2</v>
      </c>
      <c r="BC12" s="22">
        <v>-9.0362499999999998E-2</v>
      </c>
      <c r="BD12">
        <f t="shared" ref="BD12:BD75" si="10">-BA12/$F$2*1000</f>
        <v>17.383703703703702</v>
      </c>
      <c r="BE12">
        <f t="shared" ref="BE12:BE75" si="11">BD12*AY12</f>
        <v>-1.5623482017777777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1.7393770334233318</v>
      </c>
      <c r="B13" s="19">
        <f>IFERROR(AD9,0)</f>
        <v>17.295033069918265</v>
      </c>
      <c r="C13" s="20">
        <f>IFERROR(AD4,0)</f>
        <v>0.73811190538520088</v>
      </c>
      <c r="D13" s="21">
        <f>IFERROR(AD2,0)</f>
        <v>22.204312888888886</v>
      </c>
      <c r="E13" s="21">
        <f>IFERROR(AA9,0)</f>
        <v>2.1735597152457169</v>
      </c>
      <c r="F13" s="9"/>
      <c r="G13" s="22">
        <v>1.7648299999999999</v>
      </c>
      <c r="H13" s="22">
        <v>5.2205399999999997</v>
      </c>
      <c r="I13" s="22">
        <v>3.3926400000000002E-3</v>
      </c>
      <c r="J13" s="22">
        <v>3</v>
      </c>
      <c r="K13" s="22">
        <v>1.7642199999999999</v>
      </c>
      <c r="L13">
        <f t="shared" si="0"/>
        <v>-4.1884444444444444</v>
      </c>
      <c r="M13">
        <f t="shared" si="1"/>
        <v>-7.3918924088888884</v>
      </c>
      <c r="N13" s="9"/>
      <c r="O13" s="22">
        <v>-8.4838899999999995E-2</v>
      </c>
      <c r="P13" s="22">
        <v>8.9994399999999999</v>
      </c>
      <c r="Q13" s="22">
        <v>-1.40289E-2</v>
      </c>
      <c r="R13" s="22">
        <v>3</v>
      </c>
      <c r="S13" s="22">
        <v>-8.5357699999999995E-2</v>
      </c>
      <c r="T13">
        <f t="shared" si="2"/>
        <v>17.319629629629631</v>
      </c>
      <c r="U13">
        <f t="shared" si="3"/>
        <v>-1.4693783261851852</v>
      </c>
      <c r="V13" s="23"/>
      <c r="W13" s="24"/>
      <c r="X13" s="9"/>
      <c r="Y13" s="22">
        <v>1.7648299999999999</v>
      </c>
      <c r="Z13" s="22">
        <v>14.5108</v>
      </c>
      <c r="AA13" s="22">
        <v>8.8317900000000008E-3</v>
      </c>
      <c r="AB13" s="22">
        <v>3</v>
      </c>
      <c r="AC13" s="22">
        <v>1.7642199999999999</v>
      </c>
      <c r="AD13">
        <f t="shared" si="4"/>
        <v>-10.903444444444444</v>
      </c>
      <c r="AE13">
        <f t="shared" si="5"/>
        <v>-19.242725858888889</v>
      </c>
      <c r="AF13" s="9"/>
      <c r="AG13" s="22">
        <v>-8.4838899999999995E-2</v>
      </c>
      <c r="AH13" s="22">
        <v>18.2897</v>
      </c>
      <c r="AI13" s="22">
        <v>-1.4041100000000001E-2</v>
      </c>
      <c r="AJ13" s="22">
        <v>3</v>
      </c>
      <c r="AK13" s="22">
        <v>-8.5205100000000006E-2</v>
      </c>
      <c r="AL13">
        <f t="shared" si="6"/>
        <v>17.334691358024692</v>
      </c>
      <c r="AM13">
        <f t="shared" si="7"/>
        <v>-1.4706561466543209</v>
      </c>
      <c r="AP13" s="9"/>
      <c r="AQ13" s="22">
        <v>1.7648299999999999</v>
      </c>
      <c r="AR13" s="22">
        <v>23.736999999999998</v>
      </c>
      <c r="AS13" s="22">
        <v>1.0555999999999999E-2</v>
      </c>
      <c r="AT13" s="22">
        <v>3</v>
      </c>
      <c r="AU13" s="22">
        <v>1.7642199999999999</v>
      </c>
      <c r="AV13">
        <f t="shared" si="8"/>
        <v>-13.032098765432098</v>
      </c>
      <c r="AW13">
        <f t="shared" si="9"/>
        <v>-22.999438864197529</v>
      </c>
      <c r="AX13" s="9"/>
      <c r="AY13" s="22">
        <v>-8.4838899999999995E-2</v>
      </c>
      <c r="AZ13" s="22">
        <v>27.515899999999998</v>
      </c>
      <c r="BA13" s="22">
        <v>-1.40778E-2</v>
      </c>
      <c r="BB13" s="22">
        <v>3</v>
      </c>
      <c r="BC13" s="22">
        <v>-8.5266099999999997E-2</v>
      </c>
      <c r="BD13">
        <f t="shared" si="10"/>
        <v>17.38</v>
      </c>
      <c r="BE13">
        <f t="shared" si="11"/>
        <v>-1.4745000819999998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1.7069992954795936</v>
      </c>
      <c r="B14" s="19">
        <f>IFERROR(AL9,0)</f>
        <v>17.308863062740592</v>
      </c>
      <c r="C14" s="20">
        <f>IFERROR(AL4,0)</f>
        <v>0.73517665051488512</v>
      </c>
      <c r="D14" s="21">
        <f>IFERROR(AL2,0)</f>
        <v>21.721688888888885</v>
      </c>
      <c r="E14" s="21"/>
      <c r="F14" s="9"/>
      <c r="G14" s="22">
        <v>1.7598</v>
      </c>
      <c r="H14" s="22">
        <v>5.2306100000000004</v>
      </c>
      <c r="I14" s="22">
        <v>1.78436E-3</v>
      </c>
      <c r="J14" s="22">
        <v>4</v>
      </c>
      <c r="K14" s="22">
        <v>1.7596400000000001</v>
      </c>
      <c r="L14">
        <f t="shared" si="0"/>
        <v>-2.2029135802469133</v>
      </c>
      <c r="M14">
        <f t="shared" si="1"/>
        <v>-3.8766873185185182</v>
      </c>
      <c r="N14" s="9"/>
      <c r="O14" s="22">
        <v>-7.9803499999999999E-2</v>
      </c>
      <c r="P14" s="22">
        <v>9.0095100000000006</v>
      </c>
      <c r="Q14" s="22">
        <v>-1.4019800000000001E-2</v>
      </c>
      <c r="R14" s="22">
        <v>4</v>
      </c>
      <c r="S14" s="22">
        <v>-8.0169699999999997E-2</v>
      </c>
      <c r="T14">
        <f t="shared" si="2"/>
        <v>17.308395061728394</v>
      </c>
      <c r="U14">
        <f t="shared" si="3"/>
        <v>-1.3812705053086418</v>
      </c>
      <c r="V14" s="23"/>
      <c r="W14" s="24"/>
      <c r="X14" s="9"/>
      <c r="Y14" s="22">
        <v>1.7598</v>
      </c>
      <c r="Z14" s="22">
        <v>14.520799999999999</v>
      </c>
      <c r="AA14" s="22">
        <v>6.2652599999999999E-3</v>
      </c>
      <c r="AB14" s="22">
        <v>4</v>
      </c>
      <c r="AC14" s="22">
        <v>1.7590300000000001</v>
      </c>
      <c r="AD14">
        <f t="shared" si="4"/>
        <v>-7.7348888888888885</v>
      </c>
      <c r="AE14">
        <f t="shared" si="5"/>
        <v>-13.611857466666667</v>
      </c>
      <c r="AF14" s="9"/>
      <c r="AG14" s="22">
        <v>-7.9803499999999999E-2</v>
      </c>
      <c r="AH14" s="22">
        <v>18.299700000000001</v>
      </c>
      <c r="AI14" s="22">
        <v>-1.4047199999999999E-2</v>
      </c>
      <c r="AJ14" s="22">
        <v>4</v>
      </c>
      <c r="AK14" s="22">
        <v>-8.0230700000000002E-2</v>
      </c>
      <c r="AL14">
        <f t="shared" si="6"/>
        <v>17.342222222222222</v>
      </c>
      <c r="AM14">
        <f t="shared" si="7"/>
        <v>-1.3839700311111112</v>
      </c>
      <c r="AP14" s="9"/>
      <c r="AQ14" s="22">
        <v>1.7598</v>
      </c>
      <c r="AR14" s="22">
        <v>23.7471</v>
      </c>
      <c r="AS14" s="22">
        <v>7.7850300000000001E-3</v>
      </c>
      <c r="AT14" s="22">
        <v>4</v>
      </c>
      <c r="AU14" s="22">
        <v>1.7587299999999999</v>
      </c>
      <c r="AV14">
        <f t="shared" si="8"/>
        <v>-9.611148148148148</v>
      </c>
      <c r="AW14">
        <f t="shared" si="9"/>
        <v>-16.913698511111111</v>
      </c>
      <c r="AX14" s="9"/>
      <c r="AY14" s="22">
        <v>-7.9803499999999999E-2</v>
      </c>
      <c r="AZ14" s="22">
        <v>27.526</v>
      </c>
      <c r="BA14" s="22">
        <v>-1.4074700000000001E-2</v>
      </c>
      <c r="BB14" s="22">
        <v>4</v>
      </c>
      <c r="BC14" s="22">
        <v>-8.0200199999999999E-2</v>
      </c>
      <c r="BD14">
        <f t="shared" si="10"/>
        <v>17.376172839506172</v>
      </c>
      <c r="BE14">
        <f t="shared" si="11"/>
        <v>-1.3866794091975307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1.7364073429071429</v>
      </c>
      <c r="B15" s="19">
        <f>IFERROR(AV9,0)</f>
        <v>17.31763379719817</v>
      </c>
      <c r="C15" s="20">
        <f>IFERROR(AV4,0)</f>
        <v>0.73361671653001614</v>
      </c>
      <c r="D15" s="21">
        <f>IFERROR(AV2,0)</f>
        <v>22.060196888888889</v>
      </c>
      <c r="E15" s="21">
        <f>IFERROR(AS9,0)</f>
        <v>0.66521155054465164</v>
      </c>
      <c r="F15" s="9"/>
      <c r="G15" s="22">
        <v>1.7547600000000001</v>
      </c>
      <c r="H15" s="22">
        <v>5.2406800000000002</v>
      </c>
      <c r="I15" s="22">
        <v>2.4881000000000003E-4</v>
      </c>
      <c r="J15" s="22">
        <v>5</v>
      </c>
      <c r="K15" s="22">
        <v>1.7538499999999999</v>
      </c>
      <c r="L15">
        <f t="shared" si="0"/>
        <v>-0.30717283950617286</v>
      </c>
      <c r="M15">
        <f t="shared" si="1"/>
        <v>-0.53901461185185195</v>
      </c>
      <c r="N15" s="9"/>
      <c r="O15" s="22">
        <v>-7.4768100000000004E-2</v>
      </c>
      <c r="P15" s="22">
        <v>9.0195799999999995</v>
      </c>
      <c r="Q15" s="22">
        <v>-1.40167E-2</v>
      </c>
      <c r="R15" s="22">
        <v>5</v>
      </c>
      <c r="S15" s="22">
        <v>-7.5042700000000004E-2</v>
      </c>
      <c r="T15">
        <f t="shared" si="2"/>
        <v>17.304567901234567</v>
      </c>
      <c r="U15">
        <f t="shared" si="3"/>
        <v>-1.2938296632962962</v>
      </c>
      <c r="V15" s="23"/>
      <c r="W15" s="24"/>
      <c r="X15" s="9"/>
      <c r="Y15" s="22">
        <v>1.7547600000000001</v>
      </c>
      <c r="Z15" s="22">
        <v>14.530900000000001</v>
      </c>
      <c r="AA15" s="22">
        <v>4.23004E-3</v>
      </c>
      <c r="AB15" s="22">
        <v>5</v>
      </c>
      <c r="AC15" s="22">
        <v>1.7544599999999999</v>
      </c>
      <c r="AD15">
        <f t="shared" si="4"/>
        <v>-5.2222716049382711</v>
      </c>
      <c r="AE15">
        <f t="shared" si="5"/>
        <v>-9.1638333214814818</v>
      </c>
      <c r="AF15" s="9"/>
      <c r="AG15" s="22">
        <v>-7.4768100000000004E-2</v>
      </c>
      <c r="AH15" s="22">
        <v>18.309799999999999</v>
      </c>
      <c r="AI15" s="22">
        <v>-1.40503E-2</v>
      </c>
      <c r="AJ15" s="22">
        <v>5</v>
      </c>
      <c r="AK15" s="22">
        <v>-7.5164800000000004E-2</v>
      </c>
      <c r="AL15">
        <f t="shared" si="6"/>
        <v>17.34604938271605</v>
      </c>
      <c r="AM15">
        <f t="shared" si="7"/>
        <v>-1.2969311548518518</v>
      </c>
      <c r="AP15" s="9"/>
      <c r="AQ15" s="22">
        <v>1.7547600000000001</v>
      </c>
      <c r="AR15" s="22">
        <v>23.757100000000001</v>
      </c>
      <c r="AS15" s="22">
        <v>5.4565400000000002E-3</v>
      </c>
      <c r="AT15" s="22">
        <v>5</v>
      </c>
      <c r="AU15" s="22">
        <v>1.7538499999999999</v>
      </c>
      <c r="AV15">
        <f t="shared" si="8"/>
        <v>-6.7364691358024693</v>
      </c>
      <c r="AW15">
        <f t="shared" si="9"/>
        <v>-11.820886580740742</v>
      </c>
      <c r="AX15" s="9"/>
      <c r="AY15" s="22">
        <v>-7.4768100000000004E-2</v>
      </c>
      <c r="AZ15" s="22">
        <v>27.536100000000001</v>
      </c>
      <c r="BA15" s="22">
        <v>-1.4071699999999999E-2</v>
      </c>
      <c r="BB15" s="22">
        <v>5</v>
      </c>
      <c r="BC15" s="22">
        <v>-7.5073200000000007E-2</v>
      </c>
      <c r="BD15">
        <f t="shared" si="10"/>
        <v>17.372469135802469</v>
      </c>
      <c r="BE15">
        <f t="shared" si="11"/>
        <v>-1.2989065095925927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1.7058655475113123</v>
      </c>
      <c r="B16" s="19">
        <f>IFERROR(BD9,0)</f>
        <v>17.316922792521794</v>
      </c>
      <c r="C16" s="20">
        <f>IFERROR(BD4,0)</f>
        <v>0.74181436103365694</v>
      </c>
      <c r="D16" s="21">
        <f>IFERROR(BD2,0)</f>
        <v>21.913449911111108</v>
      </c>
      <c r="E16" s="21"/>
      <c r="F16" s="9"/>
      <c r="G16" s="22">
        <v>1.74973</v>
      </c>
      <c r="H16" s="22">
        <v>5.25075</v>
      </c>
      <c r="I16" s="22">
        <v>-8.7982200000000005E-4</v>
      </c>
      <c r="J16" s="22">
        <v>6</v>
      </c>
      <c r="K16" s="22">
        <v>1.7486600000000001</v>
      </c>
      <c r="L16">
        <f t="shared" si="0"/>
        <v>1.0862000000000001</v>
      </c>
      <c r="M16">
        <f t="shared" si="1"/>
        <v>1.900556726</v>
      </c>
      <c r="N16" s="9"/>
      <c r="O16" s="22">
        <v>-6.9732699999999995E-2</v>
      </c>
      <c r="P16" s="22">
        <v>9.0296599999999998</v>
      </c>
      <c r="Q16" s="22">
        <v>-1.40167E-2</v>
      </c>
      <c r="R16" s="22">
        <v>6</v>
      </c>
      <c r="S16" s="22">
        <v>-7.0129399999999995E-2</v>
      </c>
      <c r="T16">
        <f t="shared" si="2"/>
        <v>17.304567901234567</v>
      </c>
      <c r="U16">
        <f t="shared" si="3"/>
        <v>-1.2066942420864195</v>
      </c>
      <c r="V16" s="23"/>
      <c r="W16" s="24"/>
      <c r="X16" s="9"/>
      <c r="Y16" s="22">
        <v>1.74973</v>
      </c>
      <c r="Z16" s="22">
        <v>14.541</v>
      </c>
      <c r="AA16" s="22">
        <v>2.4539200000000001E-3</v>
      </c>
      <c r="AB16" s="22">
        <v>6</v>
      </c>
      <c r="AC16" s="22">
        <v>1.7492700000000001</v>
      </c>
      <c r="AD16">
        <f t="shared" si="4"/>
        <v>-3.0295308641975307</v>
      </c>
      <c r="AE16">
        <f t="shared" si="5"/>
        <v>-5.3008610390123456</v>
      </c>
      <c r="AF16" s="9"/>
      <c r="AG16" s="22">
        <v>-6.9732699999999995E-2</v>
      </c>
      <c r="AH16" s="22">
        <v>18.319900000000001</v>
      </c>
      <c r="AI16" s="22">
        <v>-1.4047199999999999E-2</v>
      </c>
      <c r="AJ16" s="22">
        <v>6</v>
      </c>
      <c r="AK16" s="22">
        <v>-7.0159899999999997E-2</v>
      </c>
      <c r="AL16">
        <f t="shared" si="6"/>
        <v>17.342222222222222</v>
      </c>
      <c r="AM16">
        <f t="shared" si="7"/>
        <v>-1.2093199795555554</v>
      </c>
      <c r="AP16" s="9"/>
      <c r="AQ16" s="22">
        <v>1.74973</v>
      </c>
      <c r="AR16" s="22">
        <v>23.767199999999999</v>
      </c>
      <c r="AS16" s="22">
        <v>3.5263099999999999E-3</v>
      </c>
      <c r="AT16" s="22">
        <v>6</v>
      </c>
      <c r="AU16" s="22">
        <v>1.7483500000000001</v>
      </c>
      <c r="AV16">
        <f t="shared" si="8"/>
        <v>-4.3534691358024684</v>
      </c>
      <c r="AW16">
        <f t="shared" si="9"/>
        <v>-7.617395550987653</v>
      </c>
      <c r="AX16" s="9"/>
      <c r="AY16" s="22">
        <v>-6.9732699999999995E-2</v>
      </c>
      <c r="AZ16" s="22">
        <v>27.546099999999999</v>
      </c>
      <c r="BA16" s="22">
        <v>-1.4065599999999999E-2</v>
      </c>
      <c r="BB16" s="22">
        <v>6</v>
      </c>
      <c r="BC16" s="22">
        <v>-7.01904E-2</v>
      </c>
      <c r="BD16">
        <f t="shared" si="10"/>
        <v>17.364938271604938</v>
      </c>
      <c r="BE16">
        <f t="shared" si="11"/>
        <v>-1.2109040310123456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1.7446900000000001</v>
      </c>
      <c r="H17" s="22">
        <v>5.2608199999999998</v>
      </c>
      <c r="I17" s="22">
        <v>-1.90369E-3</v>
      </c>
      <c r="J17" s="22">
        <v>7</v>
      </c>
      <c r="K17" s="22">
        <v>1.7440800000000001</v>
      </c>
      <c r="L17">
        <f t="shared" si="0"/>
        <v>2.3502345679012344</v>
      </c>
      <c r="M17">
        <f t="shared" si="1"/>
        <v>4.1004307482716049</v>
      </c>
      <c r="N17" s="9"/>
      <c r="O17" s="22">
        <v>-6.4697299999999999E-2</v>
      </c>
      <c r="P17" s="22">
        <v>9.0397300000000005</v>
      </c>
      <c r="Q17" s="22">
        <v>-1.40167E-2</v>
      </c>
      <c r="R17" s="22">
        <v>7</v>
      </c>
      <c r="S17" s="22">
        <v>-6.5002400000000002E-2</v>
      </c>
      <c r="T17">
        <f t="shared" si="2"/>
        <v>17.304567901234567</v>
      </c>
      <c r="U17">
        <f t="shared" si="3"/>
        <v>-1.119558820876543</v>
      </c>
      <c r="V17" s="23"/>
      <c r="W17" s="24"/>
      <c r="X17" s="9"/>
      <c r="Y17" s="22">
        <v>1.7446900000000001</v>
      </c>
      <c r="Z17" s="22">
        <v>14.551</v>
      </c>
      <c r="AA17" s="22">
        <v>1.00128E-3</v>
      </c>
      <c r="AB17" s="22">
        <v>7</v>
      </c>
      <c r="AC17" s="22">
        <v>1.7434700000000001</v>
      </c>
      <c r="AD17">
        <f t="shared" si="4"/>
        <v>-1.2361481481481482</v>
      </c>
      <c r="AE17">
        <f t="shared" si="5"/>
        <v>-2.1566953125925927</v>
      </c>
      <c r="AF17" s="9"/>
      <c r="AG17" s="22">
        <v>-6.4697299999999999E-2</v>
      </c>
      <c r="AH17" s="22">
        <v>18.329899999999999</v>
      </c>
      <c r="AI17" s="22">
        <v>-1.4041100000000001E-2</v>
      </c>
      <c r="AJ17" s="22">
        <v>7</v>
      </c>
      <c r="AK17" s="22">
        <v>-6.5063499999999996E-2</v>
      </c>
      <c r="AL17">
        <f t="shared" si="6"/>
        <v>17.334691358024692</v>
      </c>
      <c r="AM17">
        <f t="shared" si="7"/>
        <v>-1.1215077271975309</v>
      </c>
      <c r="AP17" s="9"/>
      <c r="AQ17" s="22">
        <v>1.7446900000000001</v>
      </c>
      <c r="AR17" s="22">
        <v>23.7773</v>
      </c>
      <c r="AS17" s="22">
        <v>1.92352E-3</v>
      </c>
      <c r="AT17" s="22">
        <v>7</v>
      </c>
      <c r="AU17" s="22">
        <v>1.74438</v>
      </c>
      <c r="AV17">
        <f t="shared" si="8"/>
        <v>-2.374716049382716</v>
      </c>
      <c r="AW17">
        <f t="shared" si="9"/>
        <v>-4.1431433441975312</v>
      </c>
      <c r="AX17" s="9"/>
      <c r="AY17" s="22">
        <v>-6.4697299999999999E-2</v>
      </c>
      <c r="AZ17" s="22">
        <v>27.5562</v>
      </c>
      <c r="BA17" s="22">
        <v>-1.40594E-2</v>
      </c>
      <c r="BB17" s="22">
        <v>7</v>
      </c>
      <c r="BC17" s="22">
        <v>-6.5063499999999996E-2</v>
      </c>
      <c r="BD17">
        <f t="shared" si="10"/>
        <v>17.357283950617283</v>
      </c>
      <c r="BE17">
        <f t="shared" si="11"/>
        <v>-1.1229694069382716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1.7396499999999999</v>
      </c>
      <c r="H18" s="22">
        <v>5.2708899999999996</v>
      </c>
      <c r="I18" s="22">
        <v>-2.7313200000000002E-3</v>
      </c>
      <c r="J18" s="22">
        <v>8</v>
      </c>
      <c r="K18" s="22">
        <v>1.7385900000000001</v>
      </c>
      <c r="L18">
        <f t="shared" si="0"/>
        <v>3.3719999999999999</v>
      </c>
      <c r="M18">
        <f t="shared" si="1"/>
        <v>5.8660997999999998</v>
      </c>
      <c r="N18" s="9"/>
      <c r="O18" s="22">
        <v>-5.9661899999999997E-2</v>
      </c>
      <c r="P18" s="22">
        <v>9.0497999999999994</v>
      </c>
      <c r="Q18" s="22">
        <v>-1.40167E-2</v>
      </c>
      <c r="R18" s="22">
        <v>8</v>
      </c>
      <c r="S18" s="22">
        <v>-6.0119600000000002E-2</v>
      </c>
      <c r="T18">
        <f t="shared" si="2"/>
        <v>17.304567901234567</v>
      </c>
      <c r="U18">
        <f t="shared" si="3"/>
        <v>-1.0324233996666665</v>
      </c>
      <c r="V18" s="23"/>
      <c r="W18" s="24"/>
      <c r="X18" s="9"/>
      <c r="Y18" s="22">
        <v>1.7396499999999999</v>
      </c>
      <c r="Z18" s="22">
        <v>14.5611</v>
      </c>
      <c r="AA18" s="22">
        <v>-2.6837200000000001E-4</v>
      </c>
      <c r="AB18" s="22">
        <v>8</v>
      </c>
      <c r="AC18" s="22">
        <v>1.73828</v>
      </c>
      <c r="AD18">
        <f t="shared" si="4"/>
        <v>0.33132345679012343</v>
      </c>
      <c r="AE18">
        <f t="shared" si="5"/>
        <v>0.57638685160493819</v>
      </c>
      <c r="AF18" s="9"/>
      <c r="AG18" s="22">
        <v>-5.9661899999999997E-2</v>
      </c>
      <c r="AH18" s="22">
        <v>18.34</v>
      </c>
      <c r="AI18" s="22">
        <v>-1.4041100000000001E-2</v>
      </c>
      <c r="AJ18" s="22">
        <v>8</v>
      </c>
      <c r="AK18" s="22">
        <v>-6.0119600000000002E-2</v>
      </c>
      <c r="AL18">
        <f t="shared" si="6"/>
        <v>17.334691358024692</v>
      </c>
      <c r="AM18">
        <f t="shared" si="7"/>
        <v>-1.0342206223333332</v>
      </c>
      <c r="AP18" s="9"/>
      <c r="AQ18" s="22">
        <v>1.7396499999999999</v>
      </c>
      <c r="AR18" s="22">
        <v>23.787299999999998</v>
      </c>
      <c r="AS18" s="22">
        <v>5.3283699999999998E-4</v>
      </c>
      <c r="AT18" s="22">
        <v>8</v>
      </c>
      <c r="AU18" s="22">
        <v>1.73889</v>
      </c>
      <c r="AV18">
        <f t="shared" si="8"/>
        <v>-0.65782345679012344</v>
      </c>
      <c r="AW18">
        <f t="shared" si="9"/>
        <v>-1.1443825766049383</v>
      </c>
      <c r="AX18" s="9"/>
      <c r="AY18" s="22">
        <v>-5.9661899999999997E-2</v>
      </c>
      <c r="AZ18" s="22">
        <v>27.566299999999998</v>
      </c>
      <c r="BA18" s="22">
        <v>-1.40625E-2</v>
      </c>
      <c r="BB18" s="22">
        <v>8</v>
      </c>
      <c r="BC18" s="22">
        <v>-6.0058599999999997E-2</v>
      </c>
      <c r="BD18">
        <f t="shared" si="10"/>
        <v>17.361111111111111</v>
      </c>
      <c r="BE18">
        <f t="shared" si="11"/>
        <v>-1.035796875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1.7346200000000001</v>
      </c>
      <c r="H19" s="22">
        <v>5.2809600000000003</v>
      </c>
      <c r="I19" s="22">
        <v>-3.5037200000000001E-3</v>
      </c>
      <c r="J19" s="22">
        <v>9</v>
      </c>
      <c r="K19" s="22">
        <v>1.7334000000000001</v>
      </c>
      <c r="L19">
        <f t="shared" si="0"/>
        <v>4.3255802469135798</v>
      </c>
      <c r="M19">
        <f t="shared" si="1"/>
        <v>7.503238007901234</v>
      </c>
      <c r="N19" s="9"/>
      <c r="O19" s="22">
        <v>-5.4626500000000001E-2</v>
      </c>
      <c r="P19" s="22">
        <v>9.0598700000000001</v>
      </c>
      <c r="Q19" s="22">
        <v>-1.40106E-2</v>
      </c>
      <c r="R19" s="22">
        <v>9</v>
      </c>
      <c r="S19" s="22">
        <v>-5.50842E-2</v>
      </c>
      <c r="T19">
        <f t="shared" si="2"/>
        <v>17.297037037037036</v>
      </c>
      <c r="U19">
        <f t="shared" si="3"/>
        <v>-0.94487659370370369</v>
      </c>
      <c r="V19" s="23"/>
      <c r="W19" s="24"/>
      <c r="X19" s="9"/>
      <c r="Y19" s="22">
        <v>1.7346200000000001</v>
      </c>
      <c r="Z19" s="22">
        <v>14.571199999999999</v>
      </c>
      <c r="AA19" s="22">
        <v>-1.33179E-3</v>
      </c>
      <c r="AB19" s="22">
        <v>9</v>
      </c>
      <c r="AC19" s="22">
        <v>1.7337</v>
      </c>
      <c r="AD19">
        <f t="shared" si="4"/>
        <v>1.6441851851851852</v>
      </c>
      <c r="AE19">
        <f t="shared" si="5"/>
        <v>2.8520365059259261</v>
      </c>
      <c r="AF19" s="9"/>
      <c r="AG19" s="22">
        <v>-5.4626500000000001E-2</v>
      </c>
      <c r="AH19" s="22">
        <v>18.350100000000001</v>
      </c>
      <c r="AI19" s="22">
        <v>-1.4047199999999999E-2</v>
      </c>
      <c r="AJ19" s="22">
        <v>9</v>
      </c>
      <c r="AK19" s="22">
        <v>-5.50842E-2</v>
      </c>
      <c r="AL19">
        <f t="shared" si="6"/>
        <v>17.342222222222222</v>
      </c>
      <c r="AM19">
        <f t="shared" si="7"/>
        <v>-0.94734490222222223</v>
      </c>
      <c r="AP19" s="9"/>
      <c r="AQ19" s="22">
        <v>1.7346200000000001</v>
      </c>
      <c r="AR19" s="22">
        <v>23.7974</v>
      </c>
      <c r="AS19" s="22">
        <v>-6.4544699999999995E-4</v>
      </c>
      <c r="AT19" s="22">
        <v>9</v>
      </c>
      <c r="AU19" s="22">
        <v>1.7334000000000001</v>
      </c>
      <c r="AV19">
        <f t="shared" si="8"/>
        <v>0.79684814814814797</v>
      </c>
      <c r="AW19">
        <f t="shared" si="9"/>
        <v>1.3822287347407405</v>
      </c>
      <c r="AX19" s="9"/>
      <c r="AY19" s="22">
        <v>-5.4626500000000001E-2</v>
      </c>
      <c r="AZ19" s="22">
        <v>27.5763</v>
      </c>
      <c r="BA19" s="22">
        <v>-1.4065599999999999E-2</v>
      </c>
      <c r="BB19" s="22">
        <v>9</v>
      </c>
      <c r="BC19" s="22">
        <v>-5.5053699999999997E-2</v>
      </c>
      <c r="BD19">
        <f t="shared" si="10"/>
        <v>17.364938271604938</v>
      </c>
      <c r="BE19">
        <f t="shared" si="11"/>
        <v>-0.94858580049382712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1.7295799999999999</v>
      </c>
      <c r="H20" s="22">
        <v>5.2910300000000001</v>
      </c>
      <c r="I20" s="22">
        <v>-4.1525299999999998E-3</v>
      </c>
      <c r="J20" s="22">
        <v>10</v>
      </c>
      <c r="K20" s="22">
        <v>1.7285200000000001</v>
      </c>
      <c r="L20">
        <f t="shared" si="0"/>
        <v>5.1265802469135791</v>
      </c>
      <c r="M20">
        <f t="shared" si="1"/>
        <v>8.8668306634567884</v>
      </c>
      <c r="N20" s="9"/>
      <c r="O20" s="22">
        <v>-4.9591099999999999E-2</v>
      </c>
      <c r="P20" s="22">
        <v>9.0699400000000008</v>
      </c>
      <c r="Q20" s="22">
        <v>-1.40045E-2</v>
      </c>
      <c r="R20" s="22">
        <v>10</v>
      </c>
      <c r="S20" s="22">
        <v>-5.00793E-2</v>
      </c>
      <c r="T20">
        <f t="shared" si="2"/>
        <v>17.289506172839506</v>
      </c>
      <c r="U20">
        <f t="shared" si="3"/>
        <v>-0.85740562956790123</v>
      </c>
      <c r="V20" s="23"/>
      <c r="W20" s="24"/>
      <c r="X20" s="9"/>
      <c r="Y20" s="22">
        <v>1.7295799999999999</v>
      </c>
      <c r="Z20" s="22">
        <v>14.581300000000001</v>
      </c>
      <c r="AA20" s="22">
        <v>-2.2860699999999999E-3</v>
      </c>
      <c r="AB20" s="22">
        <v>10</v>
      </c>
      <c r="AC20" s="22">
        <v>1.7285200000000001</v>
      </c>
      <c r="AD20">
        <f t="shared" si="4"/>
        <v>2.8223086419753085</v>
      </c>
      <c r="AE20">
        <f t="shared" si="5"/>
        <v>4.881408580987654</v>
      </c>
      <c r="AF20" s="9"/>
      <c r="AG20" s="22">
        <v>-4.9591099999999999E-2</v>
      </c>
      <c r="AH20" s="22">
        <v>18.360199999999999</v>
      </c>
      <c r="AI20" s="22">
        <v>-1.4047199999999999E-2</v>
      </c>
      <c r="AJ20" s="22">
        <v>10</v>
      </c>
      <c r="AK20" s="22">
        <v>-5.0018300000000002E-2</v>
      </c>
      <c r="AL20">
        <f t="shared" si="6"/>
        <v>17.342222222222222</v>
      </c>
      <c r="AM20">
        <f t="shared" si="7"/>
        <v>-0.86001987644444444</v>
      </c>
      <c r="AP20" s="9"/>
      <c r="AQ20" s="22">
        <v>1.7295799999999999</v>
      </c>
      <c r="AR20" s="22">
        <v>23.807500000000001</v>
      </c>
      <c r="AS20" s="22">
        <v>-1.6867099999999999E-3</v>
      </c>
      <c r="AT20" s="22">
        <v>10</v>
      </c>
      <c r="AU20" s="22">
        <v>1.72821</v>
      </c>
      <c r="AV20">
        <f t="shared" si="8"/>
        <v>2.0823580246913576</v>
      </c>
      <c r="AW20">
        <f t="shared" si="9"/>
        <v>3.601604792345678</v>
      </c>
      <c r="AX20" s="9"/>
      <c r="AY20" s="22">
        <v>-4.9591099999999999E-2</v>
      </c>
      <c r="AZ20" s="22">
        <v>27.586400000000001</v>
      </c>
      <c r="BA20" s="22">
        <v>-1.40564E-2</v>
      </c>
      <c r="BB20" s="22">
        <v>10</v>
      </c>
      <c r="BC20" s="22">
        <v>-5.0048799999999997E-2</v>
      </c>
      <c r="BD20">
        <f t="shared" si="10"/>
        <v>17.35358024691358</v>
      </c>
      <c r="BE20">
        <f t="shared" si="11"/>
        <v>-0.86058313338271608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1.72455</v>
      </c>
      <c r="H21" s="22">
        <v>5.3010999999999999</v>
      </c>
      <c r="I21" s="22">
        <v>-4.75494E-3</v>
      </c>
      <c r="J21" s="22">
        <v>11</v>
      </c>
      <c r="K21" s="22">
        <v>1.72363</v>
      </c>
      <c r="L21">
        <f t="shared" si="0"/>
        <v>5.8702962962962966</v>
      </c>
      <c r="M21">
        <f t="shared" si="1"/>
        <v>10.123619477777778</v>
      </c>
      <c r="N21" s="9"/>
      <c r="O21" s="22">
        <v>-4.4555699999999997E-2</v>
      </c>
      <c r="P21" s="22">
        <v>9.0800099999999997</v>
      </c>
      <c r="Q21" s="22">
        <v>-1.3998399999999999E-2</v>
      </c>
      <c r="R21" s="22">
        <v>11</v>
      </c>
      <c r="S21" s="22">
        <v>-4.4839499999999997E-2</v>
      </c>
      <c r="T21">
        <f t="shared" si="2"/>
        <v>17.281975308641975</v>
      </c>
      <c r="U21">
        <f t="shared" si="3"/>
        <v>-0.77001050725925924</v>
      </c>
      <c r="V21" s="23"/>
      <c r="W21" s="24"/>
      <c r="X21" s="9"/>
      <c r="Y21" s="22">
        <v>1.72455</v>
      </c>
      <c r="Z21" s="22">
        <v>14.5913</v>
      </c>
      <c r="AA21" s="22">
        <v>-3.1045500000000002E-3</v>
      </c>
      <c r="AB21" s="22">
        <v>11</v>
      </c>
      <c r="AC21" s="22">
        <v>1.72363</v>
      </c>
      <c r="AD21">
        <f t="shared" si="4"/>
        <v>3.8327777777777778</v>
      </c>
      <c r="AE21">
        <f t="shared" si="5"/>
        <v>6.6098169166666665</v>
      </c>
      <c r="AF21" s="9"/>
      <c r="AG21" s="22">
        <v>-4.4555699999999997E-2</v>
      </c>
      <c r="AH21" s="22">
        <v>18.370200000000001</v>
      </c>
      <c r="AI21" s="22">
        <v>-1.4041100000000001E-2</v>
      </c>
      <c r="AJ21" s="22">
        <v>11</v>
      </c>
      <c r="AK21" s="22">
        <v>-4.4845599999999999E-2</v>
      </c>
      <c r="AL21">
        <f t="shared" si="6"/>
        <v>17.334691358024692</v>
      </c>
      <c r="AM21">
        <f t="shared" si="7"/>
        <v>-0.77235930774074069</v>
      </c>
      <c r="AP21" s="9"/>
      <c r="AQ21" s="22">
        <v>1.72455</v>
      </c>
      <c r="AR21" s="22">
        <v>23.817499999999999</v>
      </c>
      <c r="AS21" s="22">
        <v>-2.5882000000000001E-3</v>
      </c>
      <c r="AT21" s="22">
        <v>11</v>
      </c>
      <c r="AU21" s="22">
        <v>1.72363</v>
      </c>
      <c r="AV21">
        <f t="shared" si="8"/>
        <v>3.1953086419753083</v>
      </c>
      <c r="AW21">
        <f t="shared" si="9"/>
        <v>5.5104695185185184</v>
      </c>
      <c r="AX21" s="9"/>
      <c r="AY21" s="22">
        <v>-4.4555699999999997E-2</v>
      </c>
      <c r="AZ21" s="22">
        <v>27.596499999999999</v>
      </c>
      <c r="BA21" s="22">
        <v>-1.4053299999999999E-2</v>
      </c>
      <c r="BB21" s="22">
        <v>11</v>
      </c>
      <c r="BC21" s="22">
        <v>-4.4857800000000003E-2</v>
      </c>
      <c r="BD21">
        <f t="shared" si="10"/>
        <v>17.349753086419753</v>
      </c>
      <c r="BE21">
        <f t="shared" si="11"/>
        <v>-0.77303039359259251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1.7195100000000001</v>
      </c>
      <c r="H22" s="22">
        <v>5.3111800000000002</v>
      </c>
      <c r="I22" s="22">
        <v>-5.2795400000000001E-3</v>
      </c>
      <c r="J22" s="22">
        <v>12</v>
      </c>
      <c r="K22" s="22">
        <v>1.71875</v>
      </c>
      <c r="L22">
        <f t="shared" si="0"/>
        <v>6.5179506172839501</v>
      </c>
      <c r="M22">
        <f t="shared" si="1"/>
        <v>11.207681265925926</v>
      </c>
      <c r="N22" s="9"/>
      <c r="O22" s="22">
        <v>-3.9520300000000001E-2</v>
      </c>
      <c r="P22" s="22">
        <v>9.0900800000000004</v>
      </c>
      <c r="Q22" s="22">
        <v>-1.39954E-2</v>
      </c>
      <c r="R22" s="22">
        <v>12</v>
      </c>
      <c r="S22" s="22">
        <v>-3.9755199999999997E-2</v>
      </c>
      <c r="T22">
        <f t="shared" si="2"/>
        <v>17.278271604938272</v>
      </c>
      <c r="U22">
        <f t="shared" si="3"/>
        <v>-0.682842477308642</v>
      </c>
      <c r="V22" s="23"/>
      <c r="W22" s="24"/>
      <c r="X22" s="9"/>
      <c r="Y22" s="22">
        <v>1.7195100000000001</v>
      </c>
      <c r="Z22" s="22">
        <v>14.6014</v>
      </c>
      <c r="AA22" s="22">
        <v>-3.8452099999999999E-3</v>
      </c>
      <c r="AB22" s="22">
        <v>12</v>
      </c>
      <c r="AC22" s="22">
        <v>1.71875</v>
      </c>
      <c r="AD22">
        <f t="shared" si="4"/>
        <v>4.7471728395061721</v>
      </c>
      <c r="AE22">
        <f t="shared" si="5"/>
        <v>8.1628111692592586</v>
      </c>
      <c r="AF22" s="9"/>
      <c r="AG22" s="22">
        <v>-3.9520300000000001E-2</v>
      </c>
      <c r="AH22" s="22">
        <v>18.380299999999998</v>
      </c>
      <c r="AI22" s="22">
        <v>-1.4035000000000001E-2</v>
      </c>
      <c r="AJ22" s="22">
        <v>12</v>
      </c>
      <c r="AK22" s="22">
        <v>-3.9776600000000002E-2</v>
      </c>
      <c r="AL22">
        <f t="shared" si="6"/>
        <v>17.327160493827162</v>
      </c>
      <c r="AM22">
        <f t="shared" si="7"/>
        <v>-0.68477458086419762</v>
      </c>
      <c r="AP22" s="9"/>
      <c r="AQ22" s="22">
        <v>1.7195100000000001</v>
      </c>
      <c r="AR22" s="22">
        <v>23.8276</v>
      </c>
      <c r="AS22" s="22">
        <v>-3.3673100000000001E-3</v>
      </c>
      <c r="AT22" s="22">
        <v>12</v>
      </c>
      <c r="AU22" s="22">
        <v>1.71906</v>
      </c>
      <c r="AV22">
        <f t="shared" si="8"/>
        <v>4.1571728395061731</v>
      </c>
      <c r="AW22">
        <f t="shared" si="9"/>
        <v>7.1483002692592601</v>
      </c>
      <c r="AX22" s="9"/>
      <c r="AY22" s="22">
        <v>-3.9520300000000001E-2</v>
      </c>
      <c r="AZ22" s="22">
        <v>27.6066</v>
      </c>
      <c r="BA22" s="22">
        <v>-1.40442E-2</v>
      </c>
      <c r="BB22" s="22">
        <v>12</v>
      </c>
      <c r="BC22" s="22">
        <v>-3.9807099999999998E-2</v>
      </c>
      <c r="BD22">
        <f t="shared" si="10"/>
        <v>17.338518518518516</v>
      </c>
      <c r="BE22">
        <f t="shared" si="11"/>
        <v>-0.68522345340740731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1.71448</v>
      </c>
      <c r="H23" s="22">
        <v>5.32125</v>
      </c>
      <c r="I23" s="22">
        <v>-5.7617199999999997E-3</v>
      </c>
      <c r="J23" s="22">
        <v>13</v>
      </c>
      <c r="K23" s="22">
        <v>1.71326</v>
      </c>
      <c r="L23">
        <f t="shared" si="0"/>
        <v>7.113234567901233</v>
      </c>
      <c r="M23">
        <f t="shared" si="1"/>
        <v>12.195498401975305</v>
      </c>
      <c r="N23" s="9"/>
      <c r="O23" s="22">
        <v>-3.4484899999999999E-2</v>
      </c>
      <c r="P23" s="22">
        <v>9.1001499999999993</v>
      </c>
      <c r="Q23" s="22">
        <v>-1.39954E-2</v>
      </c>
      <c r="R23" s="22">
        <v>13</v>
      </c>
      <c r="S23" s="22">
        <v>-3.46985E-2</v>
      </c>
      <c r="T23">
        <f t="shared" si="2"/>
        <v>17.278271604938272</v>
      </c>
      <c r="U23">
        <f t="shared" si="3"/>
        <v>-0.59583946846913582</v>
      </c>
      <c r="V23" s="23"/>
      <c r="W23" s="24"/>
      <c r="X23" s="9"/>
      <c r="Y23" s="22">
        <v>1.71448</v>
      </c>
      <c r="Z23" s="22">
        <v>14.611499999999999</v>
      </c>
      <c r="AA23" s="22">
        <v>-4.4860799999999999E-3</v>
      </c>
      <c r="AB23" s="22">
        <v>13</v>
      </c>
      <c r="AC23" s="22">
        <v>1.71356</v>
      </c>
      <c r="AD23">
        <f t="shared" si="4"/>
        <v>5.5383703703703695</v>
      </c>
      <c r="AE23">
        <f t="shared" si="5"/>
        <v>9.4954252325925914</v>
      </c>
      <c r="AF23" s="9"/>
      <c r="AG23" s="22">
        <v>-3.4484899999999999E-2</v>
      </c>
      <c r="AH23" s="22">
        <v>18.3904</v>
      </c>
      <c r="AI23" s="22">
        <v>-1.4035000000000001E-2</v>
      </c>
      <c r="AJ23" s="22">
        <v>13</v>
      </c>
      <c r="AK23" s="22">
        <v>-3.4722900000000001E-2</v>
      </c>
      <c r="AL23">
        <f t="shared" si="6"/>
        <v>17.327160493827162</v>
      </c>
      <c r="AM23">
        <f t="shared" si="7"/>
        <v>-0.59752539691358031</v>
      </c>
      <c r="AP23" s="9"/>
      <c r="AQ23" s="22">
        <v>1.71448</v>
      </c>
      <c r="AR23" s="22">
        <v>23.837700000000002</v>
      </c>
      <c r="AS23" s="22">
        <v>-4.0655500000000002E-3</v>
      </c>
      <c r="AT23" s="22">
        <v>13</v>
      </c>
      <c r="AU23" s="22">
        <v>1.71356</v>
      </c>
      <c r="AV23">
        <f t="shared" si="8"/>
        <v>5.0191975308641981</v>
      </c>
      <c r="AW23">
        <f t="shared" si="9"/>
        <v>8.6053137827160509</v>
      </c>
      <c r="AX23" s="9"/>
      <c r="AY23" s="22">
        <v>-3.4484899999999999E-2</v>
      </c>
      <c r="AZ23" s="22">
        <v>27.616599999999998</v>
      </c>
      <c r="BA23" s="22">
        <v>-1.40442E-2</v>
      </c>
      <c r="BB23" s="22">
        <v>13</v>
      </c>
      <c r="BC23" s="22">
        <v>-3.47137E-2</v>
      </c>
      <c r="BD23">
        <f t="shared" si="10"/>
        <v>17.338518518518516</v>
      </c>
      <c r="BE23">
        <f t="shared" si="11"/>
        <v>-0.59791707725925913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1.7094400000000001</v>
      </c>
      <c r="H24" s="22">
        <v>5.3313199999999998</v>
      </c>
      <c r="I24" s="22">
        <v>-6.17981E-3</v>
      </c>
      <c r="J24" s="22">
        <v>14</v>
      </c>
      <c r="K24" s="22">
        <v>1.70807</v>
      </c>
      <c r="L24">
        <f t="shared" si="0"/>
        <v>7.6293950617283945</v>
      </c>
      <c r="M24">
        <f t="shared" si="1"/>
        <v>13.041993094320988</v>
      </c>
      <c r="N24" s="9"/>
      <c r="O24" s="22">
        <v>-2.94495E-2</v>
      </c>
      <c r="P24" s="22">
        <v>9.11022</v>
      </c>
      <c r="Q24" s="22">
        <v>-1.39954E-2</v>
      </c>
      <c r="R24" s="22">
        <v>14</v>
      </c>
      <c r="S24" s="22">
        <v>-2.9656999999999999E-2</v>
      </c>
      <c r="T24">
        <f t="shared" si="2"/>
        <v>17.278271604938272</v>
      </c>
      <c r="U24">
        <f t="shared" si="3"/>
        <v>-0.50883645962962964</v>
      </c>
      <c r="V24" s="23"/>
      <c r="W24" s="24"/>
      <c r="X24" s="9"/>
      <c r="Y24" s="22">
        <v>1.7094400000000001</v>
      </c>
      <c r="Z24" s="22">
        <v>14.621499999999999</v>
      </c>
      <c r="AA24" s="22">
        <v>-5.0750700000000001E-3</v>
      </c>
      <c r="AB24" s="22">
        <v>14</v>
      </c>
      <c r="AC24" s="22">
        <v>1.70868</v>
      </c>
      <c r="AD24">
        <f t="shared" si="4"/>
        <v>6.265518518518518</v>
      </c>
      <c r="AE24">
        <f t="shared" si="5"/>
        <v>10.710527976296296</v>
      </c>
      <c r="AF24" s="9"/>
      <c r="AG24" s="22">
        <v>-2.94495E-2</v>
      </c>
      <c r="AH24" s="22">
        <v>18.400400000000001</v>
      </c>
      <c r="AI24" s="22">
        <v>-1.4041100000000001E-2</v>
      </c>
      <c r="AJ24" s="22">
        <v>14</v>
      </c>
      <c r="AK24" s="22">
        <v>-2.9647799999999998E-2</v>
      </c>
      <c r="AL24">
        <f t="shared" si="6"/>
        <v>17.334691358024692</v>
      </c>
      <c r="AM24">
        <f t="shared" si="7"/>
        <v>-0.51049799314814814</v>
      </c>
      <c r="AP24" s="9"/>
      <c r="AQ24" s="22">
        <v>1.7094400000000001</v>
      </c>
      <c r="AR24" s="22">
        <v>23.847799999999999</v>
      </c>
      <c r="AS24" s="22">
        <v>-4.6997100000000002E-3</v>
      </c>
      <c r="AT24" s="22">
        <v>14</v>
      </c>
      <c r="AU24" s="22">
        <v>1.70807</v>
      </c>
      <c r="AV24">
        <f t="shared" si="8"/>
        <v>5.8021111111111114</v>
      </c>
      <c r="AW24">
        <f t="shared" si="9"/>
        <v>9.9183608177777796</v>
      </c>
      <c r="AX24" s="9"/>
      <c r="AY24" s="22">
        <v>-2.94495E-2</v>
      </c>
      <c r="AZ24" s="22">
        <v>27.6267</v>
      </c>
      <c r="BA24" s="22">
        <v>-1.40442E-2</v>
      </c>
      <c r="BB24" s="22">
        <v>14</v>
      </c>
      <c r="BC24" s="22">
        <v>-2.9714999999999998E-2</v>
      </c>
      <c r="BD24">
        <f t="shared" si="10"/>
        <v>17.338518518518516</v>
      </c>
      <c r="BE24">
        <f t="shared" si="11"/>
        <v>-0.51061070111111106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1.70441</v>
      </c>
      <c r="H25" s="22">
        <v>5.3413899999999996</v>
      </c>
      <c r="I25" s="22">
        <v>-6.5704300000000004E-3</v>
      </c>
      <c r="J25" s="22">
        <v>15</v>
      </c>
      <c r="K25" s="22">
        <v>1.7034899999999999</v>
      </c>
      <c r="L25">
        <f t="shared" si="0"/>
        <v>8.1116419753086415</v>
      </c>
      <c r="M25">
        <f t="shared" si="1"/>
        <v>13.825563699135801</v>
      </c>
      <c r="N25" s="9"/>
      <c r="O25" s="22">
        <v>-2.4414100000000001E-2</v>
      </c>
      <c r="P25" s="22">
        <v>9.1202900000000007</v>
      </c>
      <c r="Q25" s="22">
        <v>-1.3998399999999999E-2</v>
      </c>
      <c r="R25" s="22">
        <v>15</v>
      </c>
      <c r="S25" s="22">
        <v>-2.4670399999999999E-2</v>
      </c>
      <c r="T25">
        <f t="shared" si="2"/>
        <v>17.281975308641975</v>
      </c>
      <c r="U25">
        <f t="shared" si="3"/>
        <v>-0.42192387338271609</v>
      </c>
      <c r="V25" s="23"/>
      <c r="W25" s="24"/>
      <c r="X25" s="9"/>
      <c r="Y25" s="22">
        <v>1.70441</v>
      </c>
      <c r="Z25" s="22">
        <v>14.631600000000001</v>
      </c>
      <c r="AA25" s="22">
        <v>-5.5847199999999996E-3</v>
      </c>
      <c r="AB25" s="22">
        <v>15</v>
      </c>
      <c r="AC25" s="22">
        <v>1.7040999999999999</v>
      </c>
      <c r="AD25">
        <f t="shared" si="4"/>
        <v>6.8947160493827155</v>
      </c>
      <c r="AE25">
        <f t="shared" si="5"/>
        <v>11.751422981728394</v>
      </c>
      <c r="AF25" s="9"/>
      <c r="AG25" s="22">
        <v>-2.4414100000000001E-2</v>
      </c>
      <c r="AH25" s="22">
        <v>18.410499999999999</v>
      </c>
      <c r="AI25" s="22">
        <v>-1.4041100000000001E-2</v>
      </c>
      <c r="AJ25" s="22">
        <v>15</v>
      </c>
      <c r="AK25" s="22">
        <v>-2.4630699999999998E-2</v>
      </c>
      <c r="AL25">
        <f t="shared" si="6"/>
        <v>17.334691358024692</v>
      </c>
      <c r="AM25">
        <f t="shared" si="7"/>
        <v>-0.42321088828395065</v>
      </c>
      <c r="AP25" s="9"/>
      <c r="AQ25" s="22">
        <v>1.70441</v>
      </c>
      <c r="AR25" s="22">
        <v>23.857800000000001</v>
      </c>
      <c r="AS25" s="22">
        <v>-5.2581800000000003E-3</v>
      </c>
      <c r="AT25" s="22">
        <v>15</v>
      </c>
      <c r="AU25" s="22">
        <v>1.7028799999999999</v>
      </c>
      <c r="AV25">
        <f t="shared" si="8"/>
        <v>6.4915802469135802</v>
      </c>
      <c r="AW25">
        <f t="shared" si="9"/>
        <v>11.064314288641976</v>
      </c>
      <c r="AX25" s="9"/>
      <c r="AY25" s="22">
        <v>-2.4414100000000001E-2</v>
      </c>
      <c r="AZ25" s="22">
        <v>27.636800000000001</v>
      </c>
      <c r="BA25" s="22">
        <v>-1.40442E-2</v>
      </c>
      <c r="BB25" s="22">
        <v>15</v>
      </c>
      <c r="BC25" s="22">
        <v>-2.4704E-2</v>
      </c>
      <c r="BD25">
        <f t="shared" si="10"/>
        <v>17.338518518518516</v>
      </c>
      <c r="BE25">
        <f t="shared" si="11"/>
        <v>-0.42330432496296294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1.69937</v>
      </c>
      <c r="H26" s="22">
        <v>5.3514600000000003</v>
      </c>
      <c r="I26" s="22">
        <v>-6.9213900000000004E-3</v>
      </c>
      <c r="J26" s="22">
        <v>16</v>
      </c>
      <c r="K26" s="22">
        <v>1.69861</v>
      </c>
      <c r="L26">
        <f t="shared" si="0"/>
        <v>8.5449259259259271</v>
      </c>
      <c r="M26">
        <f t="shared" si="1"/>
        <v>14.520990770740744</v>
      </c>
      <c r="N26" s="9"/>
      <c r="O26" s="22">
        <v>-1.9378699999999999E-2</v>
      </c>
      <c r="P26" s="22">
        <v>9.1303699999999992</v>
      </c>
      <c r="Q26" s="22">
        <v>-1.3998399999999999E-2</v>
      </c>
      <c r="R26" s="22">
        <v>16</v>
      </c>
      <c r="S26" s="22">
        <v>-1.9561800000000001E-2</v>
      </c>
      <c r="T26">
        <f t="shared" si="2"/>
        <v>17.281975308641975</v>
      </c>
      <c r="U26">
        <f t="shared" si="3"/>
        <v>-0.33490221491358024</v>
      </c>
      <c r="V26" s="23"/>
      <c r="W26" s="24"/>
      <c r="X26" s="9"/>
      <c r="Y26" s="22">
        <v>1.69937</v>
      </c>
      <c r="Z26" s="22">
        <v>14.6417</v>
      </c>
      <c r="AA26" s="22">
        <v>-6.0485799999999996E-3</v>
      </c>
      <c r="AB26" s="22">
        <v>16</v>
      </c>
      <c r="AC26" s="22">
        <v>1.69861</v>
      </c>
      <c r="AD26">
        <f t="shared" si="4"/>
        <v>7.4673827160493822</v>
      </c>
      <c r="AE26">
        <f t="shared" si="5"/>
        <v>12.689846166172838</v>
      </c>
      <c r="AF26" s="9"/>
      <c r="AG26" s="22">
        <v>-1.9378699999999999E-2</v>
      </c>
      <c r="AH26" s="22">
        <v>18.4206</v>
      </c>
      <c r="AI26" s="22">
        <v>-1.4041100000000001E-2</v>
      </c>
      <c r="AJ26" s="22">
        <v>16</v>
      </c>
      <c r="AK26" s="22">
        <v>-1.96045E-2</v>
      </c>
      <c r="AL26">
        <f t="shared" si="6"/>
        <v>17.334691358024692</v>
      </c>
      <c r="AM26">
        <f t="shared" si="7"/>
        <v>-0.3359237834197531</v>
      </c>
      <c r="AP26" s="9"/>
      <c r="AQ26" s="22">
        <v>1.69937</v>
      </c>
      <c r="AR26" s="22">
        <v>23.867899999999999</v>
      </c>
      <c r="AS26" s="22">
        <v>-5.7586699999999996E-3</v>
      </c>
      <c r="AT26" s="22">
        <v>16</v>
      </c>
      <c r="AU26" s="22">
        <v>1.6976899999999999</v>
      </c>
      <c r="AV26">
        <f t="shared" si="8"/>
        <v>7.1094691358024686</v>
      </c>
      <c r="AW26">
        <f t="shared" si="9"/>
        <v>12.081618565308641</v>
      </c>
      <c r="AX26" s="9"/>
      <c r="AY26" s="22">
        <v>-1.9378699999999999E-2</v>
      </c>
      <c r="AZ26" s="22">
        <v>27.646799999999999</v>
      </c>
      <c r="BA26" s="22">
        <v>-1.40442E-2</v>
      </c>
      <c r="BB26" s="22">
        <v>16</v>
      </c>
      <c r="BC26" s="22">
        <v>-1.9574000000000001E-2</v>
      </c>
      <c r="BD26">
        <f t="shared" si="10"/>
        <v>17.338518518518516</v>
      </c>
      <c r="BE26">
        <f t="shared" si="11"/>
        <v>-0.33599794881481476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1.69434</v>
      </c>
      <c r="H27" s="22">
        <v>5.3615300000000001</v>
      </c>
      <c r="I27" s="22">
        <v>-7.2418200000000004E-3</v>
      </c>
      <c r="J27" s="22">
        <v>17</v>
      </c>
      <c r="K27" s="22">
        <v>1.69373</v>
      </c>
      <c r="L27">
        <f t="shared" si="0"/>
        <v>8.9405185185185179</v>
      </c>
      <c r="M27">
        <f t="shared" si="1"/>
        <v>15.148278146666666</v>
      </c>
      <c r="N27" s="9"/>
      <c r="O27" s="22">
        <v>-1.43433E-2</v>
      </c>
      <c r="P27" s="22">
        <v>9.1404399999999999</v>
      </c>
      <c r="Q27" s="22">
        <v>-1.3998399999999999E-2</v>
      </c>
      <c r="R27" s="22">
        <v>17</v>
      </c>
      <c r="S27" s="22">
        <v>-1.45355E-2</v>
      </c>
      <c r="T27">
        <f t="shared" si="2"/>
        <v>17.281975308641975</v>
      </c>
      <c r="U27">
        <f t="shared" si="3"/>
        <v>-0.24788055644444443</v>
      </c>
      <c r="X27" s="9"/>
      <c r="Y27" s="22">
        <v>1.69434</v>
      </c>
      <c r="Z27" s="22">
        <v>14.6518</v>
      </c>
      <c r="AA27" s="22">
        <v>-6.4605699999999997E-3</v>
      </c>
      <c r="AB27" s="22">
        <v>17</v>
      </c>
      <c r="AC27" s="22">
        <v>1.6934199999999999</v>
      </c>
      <c r="AD27">
        <f t="shared" si="4"/>
        <v>7.9760123456790106</v>
      </c>
      <c r="AE27">
        <f t="shared" si="5"/>
        <v>13.514076757777774</v>
      </c>
      <c r="AF27" s="9"/>
      <c r="AG27" s="22">
        <v>-1.43433E-2</v>
      </c>
      <c r="AH27" s="22">
        <v>18.430700000000002</v>
      </c>
      <c r="AI27" s="22">
        <v>-1.4035000000000001E-2</v>
      </c>
      <c r="AJ27" s="22">
        <v>17</v>
      </c>
      <c r="AK27" s="22">
        <v>-1.45325E-2</v>
      </c>
      <c r="AL27">
        <f t="shared" si="6"/>
        <v>17.327160493827162</v>
      </c>
      <c r="AM27">
        <f t="shared" si="7"/>
        <v>-0.24852866111111113</v>
      </c>
      <c r="AP27" s="9"/>
      <c r="AQ27" s="22">
        <v>1.69434</v>
      </c>
      <c r="AR27" s="22">
        <v>23.878</v>
      </c>
      <c r="AS27" s="22">
        <v>-6.21033E-3</v>
      </c>
      <c r="AT27" s="22">
        <v>17</v>
      </c>
      <c r="AU27" s="22">
        <v>1.69373</v>
      </c>
      <c r="AV27">
        <f t="shared" si="8"/>
        <v>7.6670740740740735</v>
      </c>
      <c r="AW27">
        <f t="shared" si="9"/>
        <v>12.990630286666665</v>
      </c>
      <c r="AX27" s="9"/>
      <c r="AY27" s="22">
        <v>-1.43433E-2</v>
      </c>
      <c r="AZ27" s="22">
        <v>27.6569</v>
      </c>
      <c r="BA27" s="22">
        <v>-1.4041100000000001E-2</v>
      </c>
      <c r="BB27" s="22">
        <v>17</v>
      </c>
      <c r="BC27" s="22">
        <v>-1.45386E-2</v>
      </c>
      <c r="BD27">
        <f t="shared" si="10"/>
        <v>17.334691358024692</v>
      </c>
      <c r="BE27">
        <f t="shared" si="11"/>
        <v>-0.24863667855555557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1.6893</v>
      </c>
      <c r="H28" s="22">
        <v>5.3715999999999999</v>
      </c>
      <c r="I28" s="22">
        <v>-7.55005E-3</v>
      </c>
      <c r="J28" s="22">
        <v>18</v>
      </c>
      <c r="K28" s="22">
        <v>1.6885399999999999</v>
      </c>
      <c r="L28">
        <f t="shared" si="0"/>
        <v>9.3210493827160494</v>
      </c>
      <c r="M28">
        <f t="shared" si="1"/>
        <v>15.746048722222223</v>
      </c>
      <c r="N28" s="9"/>
      <c r="O28" s="22">
        <v>-9.3078599999999994E-3</v>
      </c>
      <c r="P28" s="22">
        <v>9.1505100000000006</v>
      </c>
      <c r="Q28" s="22">
        <v>-1.39954E-2</v>
      </c>
      <c r="R28" s="22">
        <v>18</v>
      </c>
      <c r="S28" s="22">
        <v>-9.5001200000000008E-3</v>
      </c>
      <c r="T28">
        <f t="shared" si="2"/>
        <v>17.278271604938272</v>
      </c>
      <c r="U28">
        <f t="shared" si="3"/>
        <v>-0.16082373314074072</v>
      </c>
      <c r="X28" s="9"/>
      <c r="Y28" s="22">
        <v>1.6893</v>
      </c>
      <c r="Z28" s="22">
        <v>14.661799999999999</v>
      </c>
      <c r="AA28" s="22">
        <v>-6.8542500000000001E-3</v>
      </c>
      <c r="AB28" s="22">
        <v>18</v>
      </c>
      <c r="AC28" s="22">
        <v>1.6888399999999999</v>
      </c>
      <c r="AD28">
        <f t="shared" si="4"/>
        <v>8.462037037037037</v>
      </c>
      <c r="AE28">
        <f t="shared" si="5"/>
        <v>14.294919166666666</v>
      </c>
      <c r="AF28" s="9"/>
      <c r="AG28" s="22">
        <v>-9.3078599999999994E-3</v>
      </c>
      <c r="AH28" s="22">
        <v>18.4407</v>
      </c>
      <c r="AI28" s="22">
        <v>-1.40289E-2</v>
      </c>
      <c r="AJ28" s="22">
        <v>18</v>
      </c>
      <c r="AK28" s="22">
        <v>-9.5245399999999997E-3</v>
      </c>
      <c r="AL28">
        <f t="shared" si="6"/>
        <v>17.319629629629631</v>
      </c>
      <c r="AM28">
        <f t="shared" si="7"/>
        <v>-0.16120868784444445</v>
      </c>
      <c r="AP28" s="9"/>
      <c r="AQ28" s="22">
        <v>1.6893</v>
      </c>
      <c r="AR28" s="22">
        <v>23.888000000000002</v>
      </c>
      <c r="AS28" s="22">
        <v>-6.6314700000000004E-3</v>
      </c>
      <c r="AT28" s="22">
        <v>18</v>
      </c>
      <c r="AU28" s="22">
        <v>1.6885399999999999</v>
      </c>
      <c r="AV28">
        <f t="shared" si="8"/>
        <v>8.1869999999999994</v>
      </c>
      <c r="AW28">
        <f t="shared" si="9"/>
        <v>13.8302991</v>
      </c>
      <c r="AX28" s="9"/>
      <c r="AY28" s="22">
        <v>-9.3078599999999994E-3</v>
      </c>
      <c r="AZ28" s="22">
        <v>27.667000000000002</v>
      </c>
      <c r="BA28" s="22">
        <v>-1.4035000000000001E-2</v>
      </c>
      <c r="BB28" s="22">
        <v>18</v>
      </c>
      <c r="BC28" s="22">
        <v>-9.4909699999999996E-3</v>
      </c>
      <c r="BD28">
        <f t="shared" si="10"/>
        <v>17.327160493827162</v>
      </c>
      <c r="BE28">
        <f t="shared" si="11"/>
        <v>-0.16127878407407406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1.6842699999999999</v>
      </c>
      <c r="H29" s="22">
        <v>5.3816699999999997</v>
      </c>
      <c r="I29" s="22">
        <v>-7.8399699999999999E-3</v>
      </c>
      <c r="J29" s="22">
        <v>19</v>
      </c>
      <c r="K29" s="22">
        <v>1.6830400000000001</v>
      </c>
      <c r="L29">
        <f t="shared" si="0"/>
        <v>9.6789753086419736</v>
      </c>
      <c r="M29">
        <f t="shared" si="1"/>
        <v>16.302007743086417</v>
      </c>
      <c r="N29" s="9"/>
      <c r="O29" s="22">
        <v>-4.2724599999999996E-3</v>
      </c>
      <c r="P29" s="22">
        <v>9.1605799999999995</v>
      </c>
      <c r="Q29" s="22">
        <v>-1.39954E-2</v>
      </c>
      <c r="R29" s="22">
        <v>19</v>
      </c>
      <c r="S29" s="22">
        <v>-4.48914E-3</v>
      </c>
      <c r="T29">
        <f t="shared" si="2"/>
        <v>17.278271604938272</v>
      </c>
      <c r="U29">
        <f t="shared" si="3"/>
        <v>-7.3820724301234569E-2</v>
      </c>
      <c r="X29" s="9"/>
      <c r="Y29" s="22">
        <v>1.6842699999999999</v>
      </c>
      <c r="Z29" s="22">
        <v>14.671900000000001</v>
      </c>
      <c r="AA29" s="22">
        <v>-7.2052000000000001E-3</v>
      </c>
      <c r="AB29" s="22">
        <v>19</v>
      </c>
      <c r="AC29" s="22">
        <v>1.6839599999999999</v>
      </c>
      <c r="AD29">
        <f t="shared" si="4"/>
        <v>8.8953086419753085</v>
      </c>
      <c r="AE29">
        <f t="shared" si="5"/>
        <v>14.982101486419753</v>
      </c>
      <c r="AF29" s="9"/>
      <c r="AG29" s="22">
        <v>-4.2724599999999996E-3</v>
      </c>
      <c r="AH29" s="22">
        <v>18.450800000000001</v>
      </c>
      <c r="AI29" s="22">
        <v>-1.40228E-2</v>
      </c>
      <c r="AJ29" s="22">
        <v>19</v>
      </c>
      <c r="AK29" s="22">
        <v>-4.4097900000000002E-3</v>
      </c>
      <c r="AL29">
        <f t="shared" si="6"/>
        <v>17.312098765432097</v>
      </c>
      <c r="AM29">
        <f t="shared" si="7"/>
        <v>-7.3965249491358007E-2</v>
      </c>
      <c r="AP29" s="9"/>
      <c r="AQ29" s="22">
        <v>1.6842699999999999</v>
      </c>
      <c r="AR29" s="22">
        <v>23.898099999999999</v>
      </c>
      <c r="AS29" s="22">
        <v>-7.0068400000000003E-3</v>
      </c>
      <c r="AT29" s="22">
        <v>19</v>
      </c>
      <c r="AU29" s="22">
        <v>1.6833499999999999</v>
      </c>
      <c r="AV29">
        <f t="shared" si="8"/>
        <v>8.6504197530864193</v>
      </c>
      <c r="AW29">
        <f t="shared" si="9"/>
        <v>14.569642477530863</v>
      </c>
      <c r="AX29" s="9"/>
      <c r="AY29" s="22">
        <v>-4.2724599999999996E-3</v>
      </c>
      <c r="AZ29" s="22">
        <v>27.677099999999999</v>
      </c>
      <c r="BA29" s="22">
        <v>-1.4031999999999999E-2</v>
      </c>
      <c r="BB29" s="22">
        <v>19</v>
      </c>
      <c r="BC29" s="22">
        <v>-4.40063E-3</v>
      </c>
      <c r="BD29">
        <f t="shared" si="10"/>
        <v>17.323456790123455</v>
      </c>
      <c r="BE29">
        <f t="shared" si="11"/>
        <v>-7.4013776197530856E-2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1.67923</v>
      </c>
      <c r="H30" s="22">
        <v>5.3917400000000004</v>
      </c>
      <c r="I30" s="22">
        <v>-8.0902100000000005E-3</v>
      </c>
      <c r="J30" s="22">
        <v>20</v>
      </c>
      <c r="K30" s="22">
        <v>1.6784699999999999</v>
      </c>
      <c r="L30">
        <f t="shared" si="0"/>
        <v>9.9879135802469143</v>
      </c>
      <c r="M30">
        <f t="shared" si="1"/>
        <v>16.772004121358027</v>
      </c>
      <c r="N30" s="9"/>
      <c r="O30" s="22">
        <v>7.6293900000000002E-4</v>
      </c>
      <c r="P30" s="22">
        <v>9.1706500000000002</v>
      </c>
      <c r="Q30" s="22">
        <v>-1.3992299999999999E-2</v>
      </c>
      <c r="R30" s="22">
        <v>20</v>
      </c>
      <c r="S30" s="22">
        <v>6.5917999999999999E-4</v>
      </c>
      <c r="T30">
        <f t="shared" si="2"/>
        <v>17.274444444444445</v>
      </c>
      <c r="U30">
        <f t="shared" si="3"/>
        <v>1.317934737E-2</v>
      </c>
      <c r="X30" s="9"/>
      <c r="Y30" s="22">
        <v>1.67923</v>
      </c>
      <c r="Z30" s="22">
        <v>14.682</v>
      </c>
      <c r="AA30" s="22">
        <v>-7.5408899999999997E-3</v>
      </c>
      <c r="AB30" s="22">
        <v>20</v>
      </c>
      <c r="AC30" s="22">
        <v>1.6784699999999999</v>
      </c>
      <c r="AD30">
        <f t="shared" si="4"/>
        <v>9.3097407407407395</v>
      </c>
      <c r="AE30">
        <f t="shared" si="5"/>
        <v>15.633195944074073</v>
      </c>
      <c r="AF30" s="9"/>
      <c r="AG30" s="22">
        <v>7.6293900000000002E-4</v>
      </c>
      <c r="AH30" s="22">
        <v>18.460899999999999</v>
      </c>
      <c r="AI30" s="22">
        <v>-1.4019800000000001E-2</v>
      </c>
      <c r="AJ30" s="22">
        <v>20</v>
      </c>
      <c r="AK30" s="22">
        <v>6.3781700000000005E-4</v>
      </c>
      <c r="AL30">
        <f t="shared" si="6"/>
        <v>17.308395061728394</v>
      </c>
      <c r="AM30">
        <f t="shared" si="7"/>
        <v>1.320524962E-2</v>
      </c>
      <c r="AP30" s="9"/>
      <c r="AQ30" s="22">
        <v>1.67923</v>
      </c>
      <c r="AR30" s="22">
        <v>23.908200000000001</v>
      </c>
      <c r="AS30" s="22">
        <v>-7.3547400000000002E-3</v>
      </c>
      <c r="AT30" s="22">
        <v>20</v>
      </c>
      <c r="AU30" s="22">
        <v>1.6781600000000001</v>
      </c>
      <c r="AV30">
        <f t="shared" si="8"/>
        <v>9.0799259259259255</v>
      </c>
      <c r="AW30">
        <f t="shared" si="9"/>
        <v>15.247284012592592</v>
      </c>
      <c r="AX30" s="9"/>
      <c r="AY30" s="22">
        <v>7.6293900000000002E-4</v>
      </c>
      <c r="AZ30" s="22">
        <v>27.687100000000001</v>
      </c>
      <c r="BA30" s="22">
        <v>-1.4025900000000001E-2</v>
      </c>
      <c r="BB30" s="22">
        <v>20</v>
      </c>
      <c r="BC30" s="22">
        <v>6.7138699999999996E-4</v>
      </c>
      <c r="BD30">
        <f t="shared" si="10"/>
        <v>17.315925925925924</v>
      </c>
      <c r="BE30">
        <f t="shared" si="11"/>
        <v>1.321099521E-2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1.6741900000000001</v>
      </c>
      <c r="H31" s="22">
        <v>5.4018100000000002</v>
      </c>
      <c r="I31" s="22">
        <v>-8.3343500000000008E-3</v>
      </c>
      <c r="J31" s="22">
        <v>21</v>
      </c>
      <c r="K31" s="22">
        <v>1.6735800000000001</v>
      </c>
      <c r="L31">
        <f t="shared" si="0"/>
        <v>10.289320987654321</v>
      </c>
      <c r="M31">
        <f t="shared" si="1"/>
        <v>17.226278304320989</v>
      </c>
      <c r="N31" s="9"/>
      <c r="O31" s="22">
        <v>5.7983399999999999E-3</v>
      </c>
      <c r="P31" s="22">
        <v>9.1807200000000009</v>
      </c>
      <c r="Q31" s="22">
        <v>-1.3992299999999999E-2</v>
      </c>
      <c r="R31" s="22">
        <v>21</v>
      </c>
      <c r="S31" s="22">
        <v>5.6091300000000004E-3</v>
      </c>
      <c r="T31">
        <f t="shared" si="2"/>
        <v>17.274444444444445</v>
      </c>
      <c r="U31">
        <f t="shared" si="3"/>
        <v>0.10016310220000001</v>
      </c>
      <c r="X31" s="9"/>
      <c r="Y31" s="22">
        <v>1.6741900000000001</v>
      </c>
      <c r="Z31" s="22">
        <v>14.692</v>
      </c>
      <c r="AA31" s="22">
        <v>-7.8308100000000005E-3</v>
      </c>
      <c r="AB31" s="22">
        <v>21</v>
      </c>
      <c r="AC31" s="22">
        <v>1.6735800000000001</v>
      </c>
      <c r="AD31">
        <f t="shared" si="4"/>
        <v>9.6676666666666673</v>
      </c>
      <c r="AE31">
        <f t="shared" si="5"/>
        <v>16.185510856666667</v>
      </c>
      <c r="AF31" s="9"/>
      <c r="AG31" s="22">
        <v>5.7983399999999999E-3</v>
      </c>
      <c r="AH31" s="22">
        <v>18.4709</v>
      </c>
      <c r="AI31" s="22">
        <v>-1.4019800000000001E-2</v>
      </c>
      <c r="AJ31" s="22">
        <v>21</v>
      </c>
      <c r="AK31" s="22">
        <v>5.6457499999999997E-3</v>
      </c>
      <c r="AL31">
        <f t="shared" si="6"/>
        <v>17.308395061728394</v>
      </c>
      <c r="AM31">
        <f t="shared" si="7"/>
        <v>0.10035995942222221</v>
      </c>
      <c r="AP31" s="9"/>
      <c r="AQ31" s="22">
        <v>1.6741900000000001</v>
      </c>
      <c r="AR31" s="22">
        <v>23.918299999999999</v>
      </c>
      <c r="AS31" s="22">
        <v>-7.6568599999999997E-3</v>
      </c>
      <c r="AT31" s="22">
        <v>21</v>
      </c>
      <c r="AU31" s="22">
        <v>1.6726700000000001</v>
      </c>
      <c r="AV31">
        <f t="shared" si="8"/>
        <v>9.4529135802469142</v>
      </c>
      <c r="AW31">
        <f t="shared" si="9"/>
        <v>15.825973386913581</v>
      </c>
      <c r="AX31" s="9"/>
      <c r="AY31" s="22">
        <v>5.7983399999999999E-3</v>
      </c>
      <c r="AZ31" s="22">
        <v>27.697199999999999</v>
      </c>
      <c r="BA31" s="22">
        <v>-1.40289E-2</v>
      </c>
      <c r="BB31" s="22">
        <v>21</v>
      </c>
      <c r="BC31" s="22">
        <v>5.6426999999999996E-3</v>
      </c>
      <c r="BD31">
        <f t="shared" si="10"/>
        <v>17.319629629629631</v>
      </c>
      <c r="BE31">
        <f t="shared" si="11"/>
        <v>0.10042510126666668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1.66916</v>
      </c>
      <c r="H32" s="22">
        <v>5.4118899999999996</v>
      </c>
      <c r="I32" s="22">
        <v>-8.54187E-3</v>
      </c>
      <c r="J32" s="22">
        <v>22</v>
      </c>
      <c r="K32" s="22">
        <v>1.6680900000000001</v>
      </c>
      <c r="L32">
        <f t="shared" si="0"/>
        <v>10.545518518518518</v>
      </c>
      <c r="M32">
        <f t="shared" si="1"/>
        <v>17.602157690370369</v>
      </c>
      <c r="N32" s="9"/>
      <c r="O32" s="22">
        <v>1.08337E-2</v>
      </c>
      <c r="P32" s="22">
        <v>9.1907899999999998</v>
      </c>
      <c r="Q32" s="22">
        <v>-1.3986200000000001E-2</v>
      </c>
      <c r="R32" s="22">
        <v>22</v>
      </c>
      <c r="S32" s="22">
        <v>1.0714700000000001E-2</v>
      </c>
      <c r="T32">
        <f t="shared" si="2"/>
        <v>17.266913580246914</v>
      </c>
      <c r="U32">
        <f t="shared" si="3"/>
        <v>0.187064561654321</v>
      </c>
      <c r="X32" s="9"/>
      <c r="Y32" s="22">
        <v>1.66916</v>
      </c>
      <c r="Z32" s="22">
        <v>14.7021</v>
      </c>
      <c r="AA32" s="22">
        <v>-8.1085199999999993E-3</v>
      </c>
      <c r="AB32" s="22">
        <v>22</v>
      </c>
      <c r="AC32" s="22">
        <v>1.6687000000000001</v>
      </c>
      <c r="AD32">
        <f t="shared" si="4"/>
        <v>10.010518518518518</v>
      </c>
      <c r="AE32">
        <f t="shared" si="5"/>
        <v>16.709157090370368</v>
      </c>
      <c r="AF32" s="9"/>
      <c r="AG32" s="22">
        <v>1.08337E-2</v>
      </c>
      <c r="AH32" s="22">
        <v>18.481000000000002</v>
      </c>
      <c r="AI32" s="22">
        <v>-1.40228E-2</v>
      </c>
      <c r="AJ32" s="22">
        <v>22</v>
      </c>
      <c r="AK32" s="22">
        <v>1.07178E-2</v>
      </c>
      <c r="AL32">
        <f t="shared" si="6"/>
        <v>17.312098765432097</v>
      </c>
      <c r="AM32">
        <f t="shared" si="7"/>
        <v>0.18755408439506172</v>
      </c>
      <c r="AP32" s="9"/>
      <c r="AQ32" s="22">
        <v>1.66916</v>
      </c>
      <c r="AR32" s="22">
        <v>23.9283</v>
      </c>
      <c r="AS32" s="22">
        <v>-7.9528800000000007E-3</v>
      </c>
      <c r="AT32" s="22">
        <v>22</v>
      </c>
      <c r="AU32" s="22">
        <v>1.6680900000000001</v>
      </c>
      <c r="AV32">
        <f t="shared" si="8"/>
        <v>9.8183703703703706</v>
      </c>
      <c r="AW32">
        <f t="shared" si="9"/>
        <v>16.388431087407408</v>
      </c>
      <c r="AX32" s="9"/>
      <c r="AY32" s="22">
        <v>1.08337E-2</v>
      </c>
      <c r="AZ32" s="22">
        <v>27.7073</v>
      </c>
      <c r="BA32" s="22">
        <v>-1.4025900000000001E-2</v>
      </c>
      <c r="BB32" s="22">
        <v>22</v>
      </c>
      <c r="BC32" s="22">
        <v>1.07086E-2</v>
      </c>
      <c r="BD32">
        <f t="shared" si="10"/>
        <v>17.315925925925924</v>
      </c>
      <c r="BE32">
        <f t="shared" si="11"/>
        <v>0.18759554670370368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1.66412</v>
      </c>
      <c r="H33" s="22">
        <v>5.4219600000000003</v>
      </c>
      <c r="I33" s="22">
        <v>-8.7493899999999993E-3</v>
      </c>
      <c r="J33" s="22">
        <v>23</v>
      </c>
      <c r="K33" s="22">
        <v>1.6629</v>
      </c>
      <c r="L33">
        <f t="shared" si="0"/>
        <v>10.801716049382714</v>
      </c>
      <c r="M33">
        <f t="shared" si="1"/>
        <v>17.975351712098764</v>
      </c>
      <c r="N33" s="9"/>
      <c r="O33" s="22">
        <v>1.5869100000000001E-2</v>
      </c>
      <c r="P33" s="22">
        <v>9.2008600000000005</v>
      </c>
      <c r="Q33" s="22">
        <v>-1.3980100000000001E-2</v>
      </c>
      <c r="R33" s="22">
        <v>23</v>
      </c>
      <c r="S33" s="22">
        <v>1.5744000000000001E-2</v>
      </c>
      <c r="T33">
        <f t="shared" si="2"/>
        <v>17.259382716049384</v>
      </c>
      <c r="U33">
        <f t="shared" si="3"/>
        <v>0.27389087025925929</v>
      </c>
      <c r="X33" s="9"/>
      <c r="Y33" s="22">
        <v>1.66412</v>
      </c>
      <c r="Z33" s="22">
        <v>14.712199999999999</v>
      </c>
      <c r="AA33" s="22">
        <v>-8.3587599999999998E-3</v>
      </c>
      <c r="AB33" s="22">
        <v>23</v>
      </c>
      <c r="AC33" s="22">
        <v>1.66351</v>
      </c>
      <c r="AD33">
        <f t="shared" si="4"/>
        <v>10.319456790123455</v>
      </c>
      <c r="AE33">
        <f t="shared" si="5"/>
        <v>17.172814433580246</v>
      </c>
      <c r="AF33" s="9"/>
      <c r="AG33" s="22">
        <v>1.5869100000000001E-2</v>
      </c>
      <c r="AH33" s="22">
        <v>18.491099999999999</v>
      </c>
      <c r="AI33" s="22">
        <v>-1.4025900000000001E-2</v>
      </c>
      <c r="AJ33" s="22">
        <v>23</v>
      </c>
      <c r="AK33" s="22">
        <v>1.57745E-2</v>
      </c>
      <c r="AL33">
        <f t="shared" si="6"/>
        <v>17.315925925925924</v>
      </c>
      <c r="AM33">
        <f t="shared" si="7"/>
        <v>0.27478816011111112</v>
      </c>
      <c r="AP33" s="9"/>
      <c r="AQ33" s="22">
        <v>1.66412</v>
      </c>
      <c r="AR33" s="22">
        <v>23.938400000000001</v>
      </c>
      <c r="AS33" s="22">
        <v>-8.2183800000000008E-3</v>
      </c>
      <c r="AT33" s="22">
        <v>23</v>
      </c>
      <c r="AU33" s="22">
        <v>1.6632100000000001</v>
      </c>
      <c r="AV33">
        <f t="shared" si="8"/>
        <v>10.146148148148148</v>
      </c>
      <c r="AW33">
        <f t="shared" si="9"/>
        <v>16.884408056296298</v>
      </c>
      <c r="AX33" s="9"/>
      <c r="AY33" s="22">
        <v>1.5869100000000001E-2</v>
      </c>
      <c r="AZ33" s="22">
        <v>27.717300000000002</v>
      </c>
      <c r="BA33" s="22">
        <v>-1.4025900000000001E-2</v>
      </c>
      <c r="BB33" s="22">
        <v>23</v>
      </c>
      <c r="BC33" s="22">
        <v>1.5756200000000001E-2</v>
      </c>
      <c r="BD33">
        <f t="shared" si="10"/>
        <v>17.315925925925924</v>
      </c>
      <c r="BE33">
        <f t="shared" si="11"/>
        <v>0.27478816011111112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1.65909</v>
      </c>
      <c r="H34" s="22">
        <v>5.4320300000000001</v>
      </c>
      <c r="I34" s="22">
        <v>-8.9324999999999995E-3</v>
      </c>
      <c r="J34" s="22">
        <v>24</v>
      </c>
      <c r="K34" s="22">
        <v>1.6583300000000001</v>
      </c>
      <c r="L34">
        <f t="shared" si="0"/>
        <v>11.027777777777777</v>
      </c>
      <c r="M34">
        <f t="shared" si="1"/>
        <v>18.29607583333333</v>
      </c>
      <c r="N34" s="9"/>
      <c r="O34" s="22">
        <v>2.0904499999999999E-2</v>
      </c>
      <c r="P34" s="22">
        <v>9.2109299999999994</v>
      </c>
      <c r="Q34" s="22">
        <v>-1.3974E-2</v>
      </c>
      <c r="R34" s="22">
        <v>24</v>
      </c>
      <c r="S34" s="22">
        <v>2.08191E-2</v>
      </c>
      <c r="T34">
        <f t="shared" si="2"/>
        <v>17.251851851851853</v>
      </c>
      <c r="U34">
        <f t="shared" si="3"/>
        <v>0.36064133703703705</v>
      </c>
      <c r="X34" s="9"/>
      <c r="Y34" s="22">
        <v>1.65909</v>
      </c>
      <c r="Z34" s="22">
        <v>14.722200000000001</v>
      </c>
      <c r="AA34" s="22">
        <v>-8.5967999999999999E-3</v>
      </c>
      <c r="AB34" s="22">
        <v>24</v>
      </c>
      <c r="AC34" s="22">
        <v>1.65771</v>
      </c>
      <c r="AD34">
        <f t="shared" si="4"/>
        <v>10.613333333333332</v>
      </c>
      <c r="AE34">
        <f t="shared" si="5"/>
        <v>17.608475199999997</v>
      </c>
      <c r="AF34" s="9"/>
      <c r="AG34" s="22">
        <v>2.0904499999999999E-2</v>
      </c>
      <c r="AH34" s="22">
        <v>18.501200000000001</v>
      </c>
      <c r="AI34" s="22">
        <v>-1.4019800000000001E-2</v>
      </c>
      <c r="AJ34" s="22">
        <v>24</v>
      </c>
      <c r="AK34" s="22">
        <v>2.08191E-2</v>
      </c>
      <c r="AL34">
        <f t="shared" si="6"/>
        <v>17.308395061728394</v>
      </c>
      <c r="AM34">
        <f t="shared" si="7"/>
        <v>0.36182334456790122</v>
      </c>
      <c r="AP34" s="9"/>
      <c r="AQ34" s="22">
        <v>1.65909</v>
      </c>
      <c r="AR34" s="22">
        <v>23.948499999999999</v>
      </c>
      <c r="AS34" s="22">
        <v>-8.4686299999999996E-3</v>
      </c>
      <c r="AT34" s="22">
        <v>24</v>
      </c>
      <c r="AU34" s="22">
        <v>1.6583300000000001</v>
      </c>
      <c r="AV34">
        <f t="shared" si="8"/>
        <v>10.455098765432098</v>
      </c>
      <c r="AW34">
        <f t="shared" si="9"/>
        <v>17.345949810740738</v>
      </c>
      <c r="AX34" s="9"/>
      <c r="AY34" s="22">
        <v>2.0904499999999999E-2</v>
      </c>
      <c r="AZ34" s="22">
        <v>27.727399999999999</v>
      </c>
      <c r="BA34" s="22">
        <v>-1.4025900000000001E-2</v>
      </c>
      <c r="BB34" s="22">
        <v>24</v>
      </c>
      <c r="BC34" s="22">
        <v>2.0813000000000002E-2</v>
      </c>
      <c r="BD34">
        <f t="shared" si="10"/>
        <v>17.315925925925924</v>
      </c>
      <c r="BE34">
        <f t="shared" si="11"/>
        <v>0.36198077351851848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1.65405</v>
      </c>
      <c r="H35" s="22">
        <v>5.4420999999999999</v>
      </c>
      <c r="I35" s="22">
        <v>-9.1155999999999997E-3</v>
      </c>
      <c r="J35" s="22">
        <v>25</v>
      </c>
      <c r="K35" s="22">
        <v>1.65283</v>
      </c>
      <c r="L35">
        <f t="shared" si="0"/>
        <v>11.253827160493826</v>
      </c>
      <c r="M35">
        <f t="shared" si="1"/>
        <v>18.614392814814813</v>
      </c>
      <c r="N35" s="9"/>
      <c r="O35" s="22">
        <v>2.5939899999999998E-2</v>
      </c>
      <c r="P35" s="22">
        <v>9.2210000000000001</v>
      </c>
      <c r="Q35" s="22">
        <v>-1.3977099999999999E-2</v>
      </c>
      <c r="R35" s="22">
        <v>25</v>
      </c>
      <c r="S35" s="22">
        <v>2.5811799999999999E-2</v>
      </c>
      <c r="T35">
        <f t="shared" si="2"/>
        <v>17.255679012345677</v>
      </c>
      <c r="U35">
        <f t="shared" si="3"/>
        <v>0.4476105880123456</v>
      </c>
      <c r="X35" s="9"/>
      <c r="Y35" s="22">
        <v>1.65405</v>
      </c>
      <c r="Z35" s="22">
        <v>14.7323</v>
      </c>
      <c r="AA35" s="22">
        <v>-8.8134800000000003E-3</v>
      </c>
      <c r="AB35" s="22">
        <v>25</v>
      </c>
      <c r="AC35" s="22">
        <v>1.65283</v>
      </c>
      <c r="AD35">
        <f t="shared" si="4"/>
        <v>10.880839506172839</v>
      </c>
      <c r="AE35">
        <f t="shared" si="5"/>
        <v>17.997452585185183</v>
      </c>
      <c r="AF35" s="9"/>
      <c r="AG35" s="22">
        <v>2.5939899999999998E-2</v>
      </c>
      <c r="AH35" s="22">
        <v>18.511199999999999</v>
      </c>
      <c r="AI35" s="22">
        <v>-1.40167E-2</v>
      </c>
      <c r="AJ35" s="22">
        <v>25</v>
      </c>
      <c r="AK35" s="22">
        <v>2.5848400000000001E-2</v>
      </c>
      <c r="AL35">
        <f t="shared" si="6"/>
        <v>17.304567901234567</v>
      </c>
      <c r="AM35">
        <f t="shared" si="7"/>
        <v>0.44887876090123452</v>
      </c>
      <c r="AP35" s="9"/>
      <c r="AQ35" s="22">
        <v>1.65405</v>
      </c>
      <c r="AR35" s="22">
        <v>23.958500000000001</v>
      </c>
      <c r="AS35" s="22">
        <v>-8.7280299999999995E-3</v>
      </c>
      <c r="AT35" s="22">
        <v>25</v>
      </c>
      <c r="AU35" s="22">
        <v>1.65344</v>
      </c>
      <c r="AV35">
        <f t="shared" si="8"/>
        <v>10.775345679012345</v>
      </c>
      <c r="AW35">
        <f t="shared" si="9"/>
        <v>17.822960520370369</v>
      </c>
      <c r="AX35" s="9"/>
      <c r="AY35" s="22">
        <v>2.5939899999999998E-2</v>
      </c>
      <c r="AZ35" s="22">
        <v>27.737500000000001</v>
      </c>
      <c r="BA35" s="22">
        <v>-1.4025900000000001E-2</v>
      </c>
      <c r="BB35" s="22">
        <v>25</v>
      </c>
      <c r="BC35" s="22">
        <v>2.5830100000000002E-2</v>
      </c>
      <c r="BD35">
        <f t="shared" si="10"/>
        <v>17.315925925925924</v>
      </c>
      <c r="BE35">
        <f t="shared" si="11"/>
        <v>0.44917338692592584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1.6490199999999999</v>
      </c>
      <c r="H36" s="22">
        <v>5.4521699999999997</v>
      </c>
      <c r="I36" s="22">
        <v>-9.2895500000000006E-3</v>
      </c>
      <c r="J36" s="22">
        <v>26</v>
      </c>
      <c r="K36" s="22">
        <v>1.64795</v>
      </c>
      <c r="L36">
        <f t="shared" si="0"/>
        <v>11.46858024691358</v>
      </c>
      <c r="M36">
        <f t="shared" si="1"/>
        <v>18.911918198765431</v>
      </c>
      <c r="N36" s="9"/>
      <c r="O36" s="22">
        <v>3.0975300000000001E-2</v>
      </c>
      <c r="P36" s="22">
        <v>9.2310800000000004</v>
      </c>
      <c r="Q36" s="22">
        <v>-1.3980100000000001E-2</v>
      </c>
      <c r="R36" s="22">
        <v>26</v>
      </c>
      <c r="S36" s="22">
        <v>3.0929600000000002E-2</v>
      </c>
      <c r="T36">
        <f t="shared" si="2"/>
        <v>17.259382716049384</v>
      </c>
      <c r="U36">
        <f t="shared" si="3"/>
        <v>0.53461455744444453</v>
      </c>
      <c r="X36" s="9"/>
      <c r="Y36" s="22">
        <v>1.6490199999999999</v>
      </c>
      <c r="Z36" s="22">
        <v>14.7424</v>
      </c>
      <c r="AA36" s="22">
        <v>-9.0240500000000005E-3</v>
      </c>
      <c r="AB36" s="22">
        <v>26</v>
      </c>
      <c r="AC36" s="22">
        <v>1.64825</v>
      </c>
      <c r="AD36">
        <f t="shared" si="4"/>
        <v>11.140802469135803</v>
      </c>
      <c r="AE36">
        <f t="shared" si="5"/>
        <v>18.371406087654321</v>
      </c>
      <c r="AF36" s="9"/>
      <c r="AG36" s="22">
        <v>3.0975300000000001E-2</v>
      </c>
      <c r="AH36" s="22">
        <v>18.5213</v>
      </c>
      <c r="AI36" s="22">
        <v>-1.40106E-2</v>
      </c>
      <c r="AJ36" s="22">
        <v>26</v>
      </c>
      <c r="AK36" s="22">
        <v>3.0911299999999999E-2</v>
      </c>
      <c r="AL36">
        <f t="shared" si="6"/>
        <v>17.297037037037036</v>
      </c>
      <c r="AM36">
        <f t="shared" si="7"/>
        <v>0.53578091133333328</v>
      </c>
      <c r="AP36" s="9"/>
      <c r="AQ36" s="22">
        <v>1.6490199999999999</v>
      </c>
      <c r="AR36" s="22">
        <v>23.968599999999999</v>
      </c>
      <c r="AS36" s="22">
        <v>-8.9599599999999995E-3</v>
      </c>
      <c r="AT36" s="22">
        <v>26</v>
      </c>
      <c r="AU36" s="22">
        <v>1.64825</v>
      </c>
      <c r="AV36">
        <f t="shared" si="8"/>
        <v>11.061679012345678</v>
      </c>
      <c r="AW36">
        <f t="shared" si="9"/>
        <v>18.240929924938268</v>
      </c>
      <c r="AX36" s="9"/>
      <c r="AY36" s="22">
        <v>3.0975300000000001E-2</v>
      </c>
      <c r="AZ36" s="22">
        <v>27.747599999999998</v>
      </c>
      <c r="BA36" s="22">
        <v>-1.40289E-2</v>
      </c>
      <c r="BB36" s="22">
        <v>26</v>
      </c>
      <c r="BC36" s="22">
        <v>3.09235E-2</v>
      </c>
      <c r="BD36">
        <f t="shared" si="10"/>
        <v>17.319629629629631</v>
      </c>
      <c r="BE36">
        <f t="shared" si="11"/>
        <v>0.53648072366666677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1.64398</v>
      </c>
      <c r="H37" s="22">
        <v>5.4622400000000004</v>
      </c>
      <c r="I37" s="22">
        <v>-9.4512899999999993E-3</v>
      </c>
      <c r="J37" s="22">
        <v>27</v>
      </c>
      <c r="K37" s="22">
        <v>1.64307</v>
      </c>
      <c r="L37">
        <f t="shared" si="0"/>
        <v>11.668259259259258</v>
      </c>
      <c r="M37">
        <f t="shared" si="1"/>
        <v>19.182384857037036</v>
      </c>
      <c r="N37" s="9"/>
      <c r="O37" s="22">
        <v>3.60107E-2</v>
      </c>
      <c r="P37" s="22">
        <v>9.2411499999999993</v>
      </c>
      <c r="Q37" s="22">
        <v>-1.3980100000000001E-2</v>
      </c>
      <c r="R37" s="22">
        <v>27</v>
      </c>
      <c r="S37" s="22">
        <v>3.5989399999999998E-2</v>
      </c>
      <c r="T37">
        <f t="shared" si="2"/>
        <v>17.259382716049384</v>
      </c>
      <c r="U37">
        <f t="shared" si="3"/>
        <v>0.6215224531728395</v>
      </c>
      <c r="X37" s="9"/>
      <c r="Y37" s="22">
        <v>1.64398</v>
      </c>
      <c r="Z37" s="22">
        <v>14.7525</v>
      </c>
      <c r="AA37" s="22">
        <v>-9.2254599999999996E-3</v>
      </c>
      <c r="AB37" s="22">
        <v>27</v>
      </c>
      <c r="AC37" s="22">
        <v>1.64337</v>
      </c>
      <c r="AD37">
        <f t="shared" si="4"/>
        <v>11.389456790123456</v>
      </c>
      <c r="AE37">
        <f t="shared" si="5"/>
        <v>18.724039173827158</v>
      </c>
      <c r="AF37" s="9"/>
      <c r="AG37" s="22">
        <v>3.60107E-2</v>
      </c>
      <c r="AH37" s="22">
        <v>18.531400000000001</v>
      </c>
      <c r="AI37" s="22">
        <v>-1.40015E-2</v>
      </c>
      <c r="AJ37" s="22">
        <v>27</v>
      </c>
      <c r="AK37" s="22">
        <v>3.5968E-2</v>
      </c>
      <c r="AL37">
        <f t="shared" si="6"/>
        <v>17.285802469135803</v>
      </c>
      <c r="AM37">
        <f t="shared" si="7"/>
        <v>0.62247384697530861</v>
      </c>
      <c r="AP37" s="9"/>
      <c r="AQ37" s="22">
        <v>1.64398</v>
      </c>
      <c r="AR37" s="22">
        <v>23.9787</v>
      </c>
      <c r="AS37" s="22">
        <v>-9.1552700000000001E-3</v>
      </c>
      <c r="AT37" s="22">
        <v>27</v>
      </c>
      <c r="AU37" s="22">
        <v>1.64337</v>
      </c>
      <c r="AV37">
        <f t="shared" si="8"/>
        <v>11.302802469135802</v>
      </c>
      <c r="AW37">
        <f t="shared" si="9"/>
        <v>18.581581203209875</v>
      </c>
      <c r="AX37" s="9"/>
      <c r="AY37" s="22">
        <v>3.60107E-2</v>
      </c>
      <c r="AZ37" s="22">
        <v>27.7576</v>
      </c>
      <c r="BA37" s="22">
        <v>-1.40289E-2</v>
      </c>
      <c r="BB37" s="22">
        <v>27</v>
      </c>
      <c r="BC37" s="22">
        <v>3.5989399999999998E-2</v>
      </c>
      <c r="BD37">
        <f t="shared" si="10"/>
        <v>17.319629629629631</v>
      </c>
      <c r="BE37">
        <f t="shared" si="11"/>
        <v>0.62369198670370374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1.6389499999999999</v>
      </c>
      <c r="H38" s="22">
        <v>5.4723100000000002</v>
      </c>
      <c r="I38" s="22">
        <v>-9.6099900000000005E-3</v>
      </c>
      <c r="J38" s="22">
        <v>28</v>
      </c>
      <c r="K38" s="22">
        <v>1.63818</v>
      </c>
      <c r="L38">
        <f t="shared" si="0"/>
        <v>11.864185185185185</v>
      </c>
      <c r="M38">
        <f t="shared" si="1"/>
        <v>19.44480630925926</v>
      </c>
      <c r="N38" s="9"/>
      <c r="O38" s="22">
        <v>4.1046100000000002E-2</v>
      </c>
      <c r="P38" s="22">
        <v>9.25122</v>
      </c>
      <c r="Q38" s="22">
        <v>-1.3980100000000001E-2</v>
      </c>
      <c r="R38" s="22">
        <v>28</v>
      </c>
      <c r="S38" s="22">
        <v>4.09821E-2</v>
      </c>
      <c r="T38">
        <f t="shared" si="2"/>
        <v>17.259382716049384</v>
      </c>
      <c r="U38">
        <f t="shared" si="3"/>
        <v>0.70843034890123469</v>
      </c>
      <c r="X38" s="9"/>
      <c r="Y38" s="22">
        <v>1.6389499999999999</v>
      </c>
      <c r="Z38" s="22">
        <v>14.762499999999999</v>
      </c>
      <c r="AA38" s="22">
        <v>-9.4207800000000001E-3</v>
      </c>
      <c r="AB38" s="22">
        <v>28</v>
      </c>
      <c r="AC38" s="22">
        <v>1.63788</v>
      </c>
      <c r="AD38">
        <f t="shared" si="4"/>
        <v>11.630592592592592</v>
      </c>
      <c r="AE38">
        <f t="shared" si="5"/>
        <v>19.061959729629628</v>
      </c>
      <c r="AF38" s="9"/>
      <c r="AG38" s="22">
        <v>4.1046100000000002E-2</v>
      </c>
      <c r="AH38" s="22">
        <v>18.541399999999999</v>
      </c>
      <c r="AI38" s="22">
        <v>-1.3998399999999999E-2</v>
      </c>
      <c r="AJ38" s="22">
        <v>28</v>
      </c>
      <c r="AK38" s="22">
        <v>4.1015599999999999E-2</v>
      </c>
      <c r="AL38">
        <f t="shared" si="6"/>
        <v>17.281975308641975</v>
      </c>
      <c r="AM38">
        <f t="shared" si="7"/>
        <v>0.70935768671604937</v>
      </c>
      <c r="AP38" s="9"/>
      <c r="AQ38" s="22">
        <v>1.6389499999999999</v>
      </c>
      <c r="AR38" s="22">
        <v>23.988800000000001</v>
      </c>
      <c r="AS38" s="22">
        <v>-9.3444800000000005E-3</v>
      </c>
      <c r="AT38" s="22">
        <v>28</v>
      </c>
      <c r="AU38" s="22">
        <v>1.63879</v>
      </c>
      <c r="AV38">
        <f t="shared" si="8"/>
        <v>11.536395061728395</v>
      </c>
      <c r="AW38">
        <f t="shared" si="9"/>
        <v>18.907574686419753</v>
      </c>
      <c r="AX38" s="9"/>
      <c r="AY38" s="22">
        <v>4.1046100000000002E-2</v>
      </c>
      <c r="AZ38" s="22">
        <v>27.767700000000001</v>
      </c>
      <c r="BA38" s="22">
        <v>-1.40289E-2</v>
      </c>
      <c r="BB38" s="22">
        <v>28</v>
      </c>
      <c r="BC38" s="22">
        <v>4.1012600000000003E-2</v>
      </c>
      <c r="BD38">
        <f t="shared" si="10"/>
        <v>17.319629629629631</v>
      </c>
      <c r="BE38">
        <f t="shared" si="11"/>
        <v>0.71090324974074082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1.63391</v>
      </c>
      <c r="H39" s="22">
        <v>5.48238</v>
      </c>
      <c r="I39" s="22">
        <v>-9.7534200000000005E-3</v>
      </c>
      <c r="J39" s="22">
        <v>29</v>
      </c>
      <c r="K39" s="22">
        <v>1.63269</v>
      </c>
      <c r="L39">
        <f t="shared" si="0"/>
        <v>12.041259259259258</v>
      </c>
      <c r="M39">
        <f t="shared" si="1"/>
        <v>19.674333916296295</v>
      </c>
      <c r="N39" s="9"/>
      <c r="O39" s="22">
        <v>4.6081499999999997E-2</v>
      </c>
      <c r="P39" s="22">
        <v>9.2612900000000007</v>
      </c>
      <c r="Q39" s="22">
        <v>-1.3983199999999999E-2</v>
      </c>
      <c r="R39" s="22">
        <v>29</v>
      </c>
      <c r="S39" s="22">
        <v>4.6017500000000003E-2</v>
      </c>
      <c r="T39">
        <f t="shared" si="2"/>
        <v>17.263209876543208</v>
      </c>
      <c r="U39">
        <f t="shared" si="3"/>
        <v>0.79551460592592582</v>
      </c>
      <c r="X39" s="9"/>
      <c r="Y39" s="22">
        <v>1.63391</v>
      </c>
      <c r="Z39" s="22">
        <v>14.772600000000001</v>
      </c>
      <c r="AA39" s="22">
        <v>-9.5916700000000001E-3</v>
      </c>
      <c r="AB39" s="22">
        <v>29</v>
      </c>
      <c r="AC39" s="22">
        <v>1.6333</v>
      </c>
      <c r="AD39">
        <f t="shared" si="4"/>
        <v>11.841567901234567</v>
      </c>
      <c r="AE39">
        <f t="shared" si="5"/>
        <v>19.348056209506172</v>
      </c>
      <c r="AF39" s="9"/>
      <c r="AG39" s="22">
        <v>4.6081499999999997E-2</v>
      </c>
      <c r="AH39" s="22">
        <v>18.551500000000001</v>
      </c>
      <c r="AI39" s="22">
        <v>-1.3998399999999999E-2</v>
      </c>
      <c r="AJ39" s="22">
        <v>29</v>
      </c>
      <c r="AK39" s="22">
        <v>4.6011400000000001E-2</v>
      </c>
      <c r="AL39">
        <f t="shared" si="6"/>
        <v>17.281975308641975</v>
      </c>
      <c r="AM39">
        <f t="shared" si="7"/>
        <v>0.79637934518518516</v>
      </c>
      <c r="AP39" s="9"/>
      <c r="AQ39" s="22">
        <v>1.63391</v>
      </c>
      <c r="AR39" s="22">
        <v>23.998799999999999</v>
      </c>
      <c r="AS39" s="22">
        <v>-9.5092800000000002E-3</v>
      </c>
      <c r="AT39" s="22">
        <v>29</v>
      </c>
      <c r="AU39" s="22">
        <v>1.633</v>
      </c>
      <c r="AV39">
        <f t="shared" si="8"/>
        <v>11.739851851851853</v>
      </c>
      <c r="AW39">
        <f t="shared" si="9"/>
        <v>19.18186133925926</v>
      </c>
      <c r="AX39" s="9"/>
      <c r="AY39" s="22">
        <v>4.6081499999999997E-2</v>
      </c>
      <c r="AZ39" s="22">
        <v>27.777799999999999</v>
      </c>
      <c r="BA39" s="22">
        <v>-1.4025900000000001E-2</v>
      </c>
      <c r="BB39" s="22">
        <v>29</v>
      </c>
      <c r="BC39" s="22">
        <v>4.6057099999999997E-2</v>
      </c>
      <c r="BD39">
        <f t="shared" si="10"/>
        <v>17.315925925925924</v>
      </c>
      <c r="BE39">
        <f t="shared" si="11"/>
        <v>0.79794384055555545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1.6288800000000001</v>
      </c>
      <c r="H40" s="22">
        <v>5.4924499999999998</v>
      </c>
      <c r="I40" s="22">
        <v>-9.8846400000000001E-3</v>
      </c>
      <c r="J40" s="22">
        <v>30</v>
      </c>
      <c r="K40" s="22">
        <v>1.62842</v>
      </c>
      <c r="L40">
        <f t="shared" si="0"/>
        <v>12.203259259259259</v>
      </c>
      <c r="M40">
        <f t="shared" si="1"/>
        <v>19.877644942222222</v>
      </c>
      <c r="N40" s="9"/>
      <c r="O40" s="22">
        <v>5.11169E-2</v>
      </c>
      <c r="P40" s="22">
        <v>9.2713599999999996</v>
      </c>
      <c r="Q40" s="22">
        <v>-1.3980100000000001E-2</v>
      </c>
      <c r="R40" s="22">
        <v>30</v>
      </c>
      <c r="S40" s="22">
        <v>5.05981E-2</v>
      </c>
      <c r="T40">
        <f t="shared" si="2"/>
        <v>17.259382716049384</v>
      </c>
      <c r="U40">
        <f t="shared" si="3"/>
        <v>0.88224614035802473</v>
      </c>
      <c r="X40" s="9"/>
      <c r="Y40" s="22">
        <v>1.6288800000000001</v>
      </c>
      <c r="Z40" s="22">
        <v>14.7827</v>
      </c>
      <c r="AA40" s="22">
        <v>-9.7595200000000007E-3</v>
      </c>
      <c r="AB40" s="22">
        <v>30</v>
      </c>
      <c r="AC40" s="22">
        <v>1.62781</v>
      </c>
      <c r="AD40">
        <f t="shared" si="4"/>
        <v>12.04879012345679</v>
      </c>
      <c r="AE40">
        <f t="shared" si="5"/>
        <v>19.626033256296296</v>
      </c>
      <c r="AF40" s="9"/>
      <c r="AG40" s="22">
        <v>5.11169E-2</v>
      </c>
      <c r="AH40" s="22">
        <v>18.561599999999999</v>
      </c>
      <c r="AI40" s="22">
        <v>-1.3998399999999999E-2</v>
      </c>
      <c r="AJ40" s="22">
        <v>30</v>
      </c>
      <c r="AK40" s="22">
        <v>5.0567599999999997E-2</v>
      </c>
      <c r="AL40">
        <f t="shared" si="6"/>
        <v>17.281975308641975</v>
      </c>
      <c r="AM40">
        <f t="shared" si="7"/>
        <v>0.88340100365432095</v>
      </c>
      <c r="AP40" s="9"/>
      <c r="AQ40" s="22">
        <v>1.6288800000000001</v>
      </c>
      <c r="AR40" s="22">
        <v>24.008900000000001</v>
      </c>
      <c r="AS40" s="22">
        <v>-9.6771200000000009E-3</v>
      </c>
      <c r="AT40" s="22">
        <v>30</v>
      </c>
      <c r="AU40" s="22">
        <v>1.62842</v>
      </c>
      <c r="AV40">
        <f t="shared" si="8"/>
        <v>11.947061728395061</v>
      </c>
      <c r="AW40">
        <f t="shared" si="9"/>
        <v>19.46032990814815</v>
      </c>
      <c r="AX40" s="9"/>
      <c r="AY40" s="22">
        <v>5.11169E-2</v>
      </c>
      <c r="AZ40" s="22">
        <v>27.787800000000001</v>
      </c>
      <c r="BA40" s="22">
        <v>-1.40228E-2</v>
      </c>
      <c r="BB40" s="22">
        <v>30</v>
      </c>
      <c r="BC40" s="22">
        <v>5.0628699999999999E-2</v>
      </c>
      <c r="BD40">
        <f t="shared" si="10"/>
        <v>17.312098765432097</v>
      </c>
      <c r="BE40">
        <f t="shared" si="11"/>
        <v>0.8849408213827159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1.62384</v>
      </c>
      <c r="H41" s="22">
        <v>5.5025199999999996</v>
      </c>
      <c r="I41" s="22">
        <v>-1.00067E-2</v>
      </c>
      <c r="J41" s="22">
        <v>31</v>
      </c>
      <c r="K41" s="22">
        <v>1.62262</v>
      </c>
      <c r="L41">
        <f t="shared" si="0"/>
        <v>12.353950617283949</v>
      </c>
      <c r="M41">
        <f t="shared" si="1"/>
        <v>20.060839170370368</v>
      </c>
      <c r="N41" s="9"/>
      <c r="O41" s="22">
        <v>5.6152300000000002E-2</v>
      </c>
      <c r="P41" s="22">
        <v>9.2814300000000003</v>
      </c>
      <c r="Q41" s="22">
        <v>-1.3974E-2</v>
      </c>
      <c r="R41" s="22">
        <v>31</v>
      </c>
      <c r="S41" s="22">
        <v>5.5664100000000001E-2</v>
      </c>
      <c r="T41">
        <f t="shared" si="2"/>
        <v>17.251851851851853</v>
      </c>
      <c r="U41">
        <f t="shared" si="3"/>
        <v>0.96873116074074084</v>
      </c>
      <c r="X41" s="9"/>
      <c r="Y41" s="22">
        <v>1.62384</v>
      </c>
      <c r="Z41" s="22">
        <v>14.7927</v>
      </c>
      <c r="AA41" s="22">
        <v>-9.91211E-3</v>
      </c>
      <c r="AB41" s="22">
        <v>31</v>
      </c>
      <c r="AC41" s="22">
        <v>1.62354</v>
      </c>
      <c r="AD41">
        <f t="shared" si="4"/>
        <v>12.237172839506172</v>
      </c>
      <c r="AE41">
        <f t="shared" si="5"/>
        <v>19.871210743703703</v>
      </c>
      <c r="AF41" s="9"/>
      <c r="AG41" s="22">
        <v>5.6152300000000002E-2</v>
      </c>
      <c r="AH41" s="22">
        <v>18.5717</v>
      </c>
      <c r="AI41" s="22">
        <v>-1.3998399999999999E-2</v>
      </c>
      <c r="AJ41" s="22">
        <v>31</v>
      </c>
      <c r="AK41" s="22">
        <v>5.5664100000000001E-2</v>
      </c>
      <c r="AL41">
        <f t="shared" si="6"/>
        <v>17.281975308641975</v>
      </c>
      <c r="AM41">
        <f t="shared" si="7"/>
        <v>0.97042266212345685</v>
      </c>
      <c r="AP41" s="9"/>
      <c r="AQ41" s="22">
        <v>1.62384</v>
      </c>
      <c r="AR41" s="22">
        <v>24.018999999999998</v>
      </c>
      <c r="AS41" s="22">
        <v>-9.8297100000000002E-3</v>
      </c>
      <c r="AT41" s="22">
        <v>31</v>
      </c>
      <c r="AU41" s="22">
        <v>1.6229199999999999</v>
      </c>
      <c r="AV41">
        <f t="shared" si="8"/>
        <v>12.135444444444444</v>
      </c>
      <c r="AW41">
        <f t="shared" si="9"/>
        <v>19.706020106666664</v>
      </c>
      <c r="AX41" s="9"/>
      <c r="AY41" s="22">
        <v>5.6152300000000002E-2</v>
      </c>
      <c r="AZ41" s="22">
        <v>27.797899999999998</v>
      </c>
      <c r="BA41" s="22">
        <v>-1.40228E-2</v>
      </c>
      <c r="BB41" s="22">
        <v>31</v>
      </c>
      <c r="BC41" s="22">
        <v>5.5664100000000001E-2</v>
      </c>
      <c r="BD41">
        <f t="shared" si="10"/>
        <v>17.312098765432097</v>
      </c>
      <c r="BE41">
        <f t="shared" si="11"/>
        <v>0.97211416350617275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1.6188</v>
      </c>
      <c r="H42" s="22">
        <v>5.5125999999999999</v>
      </c>
      <c r="I42" s="22">
        <v>-1.01227E-2</v>
      </c>
      <c r="J42" s="22">
        <v>32</v>
      </c>
      <c r="K42" s="22">
        <v>1.6180399999999999</v>
      </c>
      <c r="L42">
        <f t="shared" si="0"/>
        <v>12.49716049382716</v>
      </c>
      <c r="M42">
        <f t="shared" si="1"/>
        <v>20.230403407407405</v>
      </c>
      <c r="N42" s="9"/>
      <c r="O42" s="22">
        <v>6.1187699999999998E-2</v>
      </c>
      <c r="P42" s="22">
        <v>9.2914999999999992</v>
      </c>
      <c r="Q42" s="22">
        <v>-1.3974E-2</v>
      </c>
      <c r="R42" s="22">
        <v>32</v>
      </c>
      <c r="S42" s="22">
        <v>6.0638400000000002E-2</v>
      </c>
      <c r="T42">
        <f t="shared" si="2"/>
        <v>17.251851851851853</v>
      </c>
      <c r="U42">
        <f t="shared" si="3"/>
        <v>1.0556011355555557</v>
      </c>
      <c r="X42" s="9"/>
      <c r="Y42" s="22">
        <v>1.6188</v>
      </c>
      <c r="Z42" s="22">
        <v>14.8028</v>
      </c>
      <c r="AA42" s="22">
        <v>-1.00494E-2</v>
      </c>
      <c r="AB42" s="22">
        <v>32</v>
      </c>
      <c r="AC42" s="22">
        <v>1.6180399999999999</v>
      </c>
      <c r="AD42">
        <f t="shared" si="4"/>
        <v>12.406666666666666</v>
      </c>
      <c r="AE42">
        <f t="shared" si="5"/>
        <v>20.083911999999998</v>
      </c>
      <c r="AF42" s="9"/>
      <c r="AG42" s="22">
        <v>6.1187699999999998E-2</v>
      </c>
      <c r="AH42" s="22">
        <v>18.581700000000001</v>
      </c>
      <c r="AI42" s="22">
        <v>-1.39954E-2</v>
      </c>
      <c r="AJ42" s="22">
        <v>32</v>
      </c>
      <c r="AK42" s="22">
        <v>6.0729999999999999E-2</v>
      </c>
      <c r="AL42">
        <f t="shared" si="6"/>
        <v>17.278271604938272</v>
      </c>
      <c r="AM42">
        <f t="shared" si="7"/>
        <v>1.0572176994814815</v>
      </c>
      <c r="AP42" s="9"/>
      <c r="AQ42" s="22">
        <v>1.6188</v>
      </c>
      <c r="AR42" s="22">
        <v>24.029</v>
      </c>
      <c r="AS42" s="22">
        <v>-9.9731400000000001E-3</v>
      </c>
      <c r="AT42" s="22">
        <v>32</v>
      </c>
      <c r="AU42" s="22">
        <v>1.6174299999999999</v>
      </c>
      <c r="AV42">
        <f t="shared" si="8"/>
        <v>12.312518518518518</v>
      </c>
      <c r="AW42">
        <f t="shared" si="9"/>
        <v>19.931504977777777</v>
      </c>
      <c r="AX42" s="9"/>
      <c r="AY42" s="22">
        <v>6.1187699999999998E-2</v>
      </c>
      <c r="AZ42" s="22">
        <v>27.808</v>
      </c>
      <c r="BA42" s="22">
        <v>-1.4019800000000001E-2</v>
      </c>
      <c r="BB42" s="22">
        <v>32</v>
      </c>
      <c r="BC42" s="22">
        <v>6.0668899999999998E-2</v>
      </c>
      <c r="BD42">
        <f t="shared" si="10"/>
        <v>17.308395061728394</v>
      </c>
      <c r="BE42">
        <f t="shared" si="11"/>
        <v>1.0590608845185183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1.6137699999999999</v>
      </c>
      <c r="H43" s="22">
        <v>5.5226699999999997</v>
      </c>
      <c r="I43" s="22">
        <v>-1.0235599999999999E-2</v>
      </c>
      <c r="J43" s="22">
        <v>33</v>
      </c>
      <c r="K43" s="22">
        <v>1.6131599999999999</v>
      </c>
      <c r="L43">
        <f t="shared" si="0"/>
        <v>12.636543209876542</v>
      </c>
      <c r="M43">
        <f t="shared" si="1"/>
        <v>20.392474335802468</v>
      </c>
      <c r="N43" s="9"/>
      <c r="O43" s="22">
        <v>6.6223099999999993E-2</v>
      </c>
      <c r="P43" s="22">
        <v>9.3015699999999999</v>
      </c>
      <c r="Q43" s="22">
        <v>-1.39709E-2</v>
      </c>
      <c r="R43" s="22">
        <v>33</v>
      </c>
      <c r="S43" s="22">
        <v>6.5734899999999999E-2</v>
      </c>
      <c r="T43">
        <f t="shared" si="2"/>
        <v>17.248024691358022</v>
      </c>
      <c r="U43">
        <f t="shared" si="3"/>
        <v>1.1422176639382713</v>
      </c>
      <c r="X43" s="9"/>
      <c r="Y43" s="22">
        <v>1.6137699999999999</v>
      </c>
      <c r="Z43" s="22">
        <v>14.812900000000001</v>
      </c>
      <c r="AA43" s="22">
        <v>-1.0180700000000001E-2</v>
      </c>
      <c r="AB43" s="22">
        <v>33</v>
      </c>
      <c r="AC43" s="22">
        <v>1.6131599999999999</v>
      </c>
      <c r="AD43">
        <f t="shared" si="4"/>
        <v>12.568765432098765</v>
      </c>
      <c r="AE43">
        <f t="shared" si="5"/>
        <v>20.283096591358024</v>
      </c>
      <c r="AF43" s="9"/>
      <c r="AG43" s="22">
        <v>6.6223099999999993E-2</v>
      </c>
      <c r="AH43" s="22">
        <v>18.591799999999999</v>
      </c>
      <c r="AI43" s="22">
        <v>-1.39893E-2</v>
      </c>
      <c r="AJ43" s="22">
        <v>33</v>
      </c>
      <c r="AK43" s="22">
        <v>6.5673800000000004E-2</v>
      </c>
      <c r="AL43">
        <f t="shared" si="6"/>
        <v>17.270740740740738</v>
      </c>
      <c r="AM43">
        <f t="shared" si="7"/>
        <v>1.1437219911481478</v>
      </c>
      <c r="AP43" s="9"/>
      <c r="AQ43" s="22">
        <v>1.6137699999999999</v>
      </c>
      <c r="AR43" s="22">
        <v>24.039100000000001</v>
      </c>
      <c r="AS43" s="22">
        <v>-1.0098299999999999E-2</v>
      </c>
      <c r="AT43" s="22">
        <v>33</v>
      </c>
      <c r="AU43" s="22">
        <v>1.6128499999999999</v>
      </c>
      <c r="AV43">
        <f t="shared" si="8"/>
        <v>12.467037037037036</v>
      </c>
      <c r="AW43">
        <f t="shared" si="9"/>
        <v>20.118930359259256</v>
      </c>
      <c r="AX43" s="9"/>
      <c r="AY43" s="22">
        <v>6.6223099999999993E-2</v>
      </c>
      <c r="AZ43" s="22">
        <v>27.818100000000001</v>
      </c>
      <c r="BA43" s="22">
        <v>-1.40167E-2</v>
      </c>
      <c r="BB43" s="22">
        <v>33</v>
      </c>
      <c r="BC43" s="22">
        <v>6.5673800000000004E-2</v>
      </c>
      <c r="BD43">
        <f t="shared" si="10"/>
        <v>17.304567901234567</v>
      </c>
      <c r="BE43">
        <f t="shared" si="11"/>
        <v>1.1459621305802468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1.60873</v>
      </c>
      <c r="H44" s="22">
        <v>5.5327400000000004</v>
      </c>
      <c r="I44" s="22">
        <v>-1.0345500000000001E-2</v>
      </c>
      <c r="J44" s="22">
        <v>34</v>
      </c>
      <c r="K44" s="22">
        <v>1.6079699999999999</v>
      </c>
      <c r="L44">
        <f t="shared" si="0"/>
        <v>12.772222222222222</v>
      </c>
      <c r="M44">
        <f t="shared" si="1"/>
        <v>20.547057055555555</v>
      </c>
      <c r="N44" s="9"/>
      <c r="O44" s="22">
        <v>7.1258500000000002E-2</v>
      </c>
      <c r="P44" s="22">
        <v>9.3116400000000006</v>
      </c>
      <c r="Q44" s="22">
        <v>-1.3974E-2</v>
      </c>
      <c r="R44" s="22">
        <v>34</v>
      </c>
      <c r="S44" s="22">
        <v>7.0770299999999994E-2</v>
      </c>
      <c r="T44">
        <f t="shared" si="2"/>
        <v>17.251851851851853</v>
      </c>
      <c r="U44">
        <f t="shared" si="3"/>
        <v>1.2293410851851854</v>
      </c>
      <c r="X44" s="9"/>
      <c r="Y44" s="22">
        <v>1.60873</v>
      </c>
      <c r="Z44" s="22">
        <v>14.823</v>
      </c>
      <c r="AA44" s="22">
        <v>-1.03088E-2</v>
      </c>
      <c r="AB44" s="22">
        <v>34</v>
      </c>
      <c r="AC44" s="22">
        <v>1.6082799999999999</v>
      </c>
      <c r="AD44">
        <f t="shared" si="4"/>
        <v>12.726913580246912</v>
      </c>
      <c r="AE44">
        <f t="shared" si="5"/>
        <v>20.474167683950615</v>
      </c>
      <c r="AF44" s="9"/>
      <c r="AG44" s="22">
        <v>7.1258500000000002E-2</v>
      </c>
      <c r="AH44" s="22">
        <v>18.601900000000001</v>
      </c>
      <c r="AI44" s="22">
        <v>-1.3980100000000001E-2</v>
      </c>
      <c r="AJ44" s="22">
        <v>34</v>
      </c>
      <c r="AK44" s="22">
        <v>7.0770299999999994E-2</v>
      </c>
      <c r="AL44">
        <f t="shared" si="6"/>
        <v>17.259382716049384</v>
      </c>
      <c r="AM44">
        <f t="shared" si="7"/>
        <v>1.2298777232716052</v>
      </c>
      <c r="AP44" s="9"/>
      <c r="AQ44" s="22">
        <v>1.60873</v>
      </c>
      <c r="AR44" s="22">
        <v>24.049199999999999</v>
      </c>
      <c r="AS44" s="22">
        <v>-1.02448E-2</v>
      </c>
      <c r="AT44" s="22">
        <v>34</v>
      </c>
      <c r="AU44" s="22">
        <v>1.6082799999999999</v>
      </c>
      <c r="AV44">
        <f t="shared" si="8"/>
        <v>12.6479012345679</v>
      </c>
      <c r="AW44">
        <f t="shared" si="9"/>
        <v>20.347058153086419</v>
      </c>
      <c r="AX44" s="9"/>
      <c r="AY44" s="22">
        <v>7.1258500000000002E-2</v>
      </c>
      <c r="AZ44" s="22">
        <v>27.828099999999999</v>
      </c>
      <c r="BA44" s="22">
        <v>-1.40106E-2</v>
      </c>
      <c r="BB44" s="22">
        <v>34</v>
      </c>
      <c r="BC44" s="22">
        <v>7.07092E-2</v>
      </c>
      <c r="BD44">
        <f t="shared" si="10"/>
        <v>17.297037037037036</v>
      </c>
      <c r="BE44">
        <f t="shared" si="11"/>
        <v>1.2325609137037037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1.6036999999999999</v>
      </c>
      <c r="H45" s="22">
        <v>5.5428100000000002</v>
      </c>
      <c r="I45" s="22">
        <v>-1.0452299999999999E-2</v>
      </c>
      <c r="J45" s="22">
        <v>35</v>
      </c>
      <c r="K45" s="22">
        <v>1.6030899999999999</v>
      </c>
      <c r="L45">
        <f t="shared" si="0"/>
        <v>12.904074074074073</v>
      </c>
      <c r="M45">
        <f t="shared" si="1"/>
        <v>20.694263592592588</v>
      </c>
      <c r="N45" s="9"/>
      <c r="O45" s="22">
        <v>7.6293899999999998E-2</v>
      </c>
      <c r="P45" s="22">
        <v>9.3217099999999995</v>
      </c>
      <c r="Q45" s="22">
        <v>-1.39679E-2</v>
      </c>
      <c r="R45" s="22">
        <v>35</v>
      </c>
      <c r="S45" s="22">
        <v>7.5805700000000004E-2</v>
      </c>
      <c r="T45">
        <f t="shared" si="2"/>
        <v>17.244320987654319</v>
      </c>
      <c r="U45">
        <f t="shared" si="3"/>
        <v>1.3156365009999997</v>
      </c>
      <c r="X45" s="9"/>
      <c r="Y45" s="22">
        <v>1.6036999999999999</v>
      </c>
      <c r="Z45" s="22">
        <v>14.833</v>
      </c>
      <c r="AA45" s="22">
        <v>-1.04248E-2</v>
      </c>
      <c r="AB45" s="22">
        <v>35</v>
      </c>
      <c r="AC45" s="22">
        <v>1.6027800000000001</v>
      </c>
      <c r="AD45">
        <f t="shared" si="4"/>
        <v>12.870123456790122</v>
      </c>
      <c r="AE45">
        <f t="shared" si="5"/>
        <v>20.639816987654317</v>
      </c>
      <c r="AF45" s="9"/>
      <c r="AG45" s="22">
        <v>7.6293899999999998E-2</v>
      </c>
      <c r="AH45" s="22">
        <v>18.611899999999999</v>
      </c>
      <c r="AI45" s="22">
        <v>-1.3983199999999999E-2</v>
      </c>
      <c r="AJ45" s="22">
        <v>35</v>
      </c>
      <c r="AK45" s="22">
        <v>7.5805700000000004E-2</v>
      </c>
      <c r="AL45">
        <f t="shared" si="6"/>
        <v>17.263209876543208</v>
      </c>
      <c r="AM45">
        <f t="shared" si="7"/>
        <v>1.3170776079999997</v>
      </c>
      <c r="AP45" s="9"/>
      <c r="AQ45" s="22">
        <v>1.6036999999999999</v>
      </c>
      <c r="AR45" s="22">
        <v>24.0593</v>
      </c>
      <c r="AS45" s="22">
        <v>-1.0363799999999999E-2</v>
      </c>
      <c r="AT45" s="22">
        <v>35</v>
      </c>
      <c r="AU45" s="22">
        <v>1.6027800000000001</v>
      </c>
      <c r="AV45">
        <f t="shared" si="8"/>
        <v>12.794814814814814</v>
      </c>
      <c r="AW45">
        <f t="shared" si="9"/>
        <v>20.519044518518516</v>
      </c>
      <c r="AX45" s="9"/>
      <c r="AY45" s="22">
        <v>7.6293899999999998E-2</v>
      </c>
      <c r="AZ45" s="22">
        <v>27.838200000000001</v>
      </c>
      <c r="BA45" s="22">
        <v>-1.40076E-2</v>
      </c>
      <c r="BB45" s="22">
        <v>35</v>
      </c>
      <c r="BC45" s="22">
        <v>7.5836200000000006E-2</v>
      </c>
      <c r="BD45">
        <f t="shared" si="10"/>
        <v>17.293333333333333</v>
      </c>
      <c r="BE45">
        <f t="shared" si="11"/>
        <v>1.3193758439999999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1.59866</v>
      </c>
      <c r="H46" s="22">
        <v>5.55288</v>
      </c>
      <c r="I46" s="22">
        <v>-1.0549899999999999E-2</v>
      </c>
      <c r="J46" s="22">
        <v>36</v>
      </c>
      <c r="K46" s="22">
        <v>1.5979000000000001</v>
      </c>
      <c r="L46">
        <f t="shared" si="0"/>
        <v>13.024567901234567</v>
      </c>
      <c r="M46">
        <f t="shared" si="1"/>
        <v>20.821855720987653</v>
      </c>
      <c r="N46" s="9"/>
      <c r="O46" s="22">
        <v>8.1329299999999993E-2</v>
      </c>
      <c r="P46" s="22">
        <v>9.3317899999999998</v>
      </c>
      <c r="Q46" s="22">
        <v>-1.39679E-2</v>
      </c>
      <c r="R46" s="22">
        <v>36</v>
      </c>
      <c r="S46" s="22">
        <v>8.0871600000000002E-2</v>
      </c>
      <c r="T46">
        <f t="shared" si="2"/>
        <v>17.244320987654319</v>
      </c>
      <c r="U46">
        <f t="shared" si="3"/>
        <v>1.4024685549012343</v>
      </c>
      <c r="X46" s="9"/>
      <c r="Y46" s="22">
        <v>1.59866</v>
      </c>
      <c r="Z46" s="22">
        <v>14.8431</v>
      </c>
      <c r="AA46" s="22">
        <v>-1.05316E-2</v>
      </c>
      <c r="AB46" s="22">
        <v>36</v>
      </c>
      <c r="AC46" s="22">
        <v>1.5979000000000001</v>
      </c>
      <c r="AD46">
        <f t="shared" si="4"/>
        <v>13.001975308641976</v>
      </c>
      <c r="AE46">
        <f t="shared" si="5"/>
        <v>20.78573784691358</v>
      </c>
      <c r="AF46" s="9"/>
      <c r="AG46" s="22">
        <v>8.1329299999999993E-2</v>
      </c>
      <c r="AH46" s="22">
        <v>18.622</v>
      </c>
      <c r="AI46" s="22">
        <v>-1.3983199999999999E-2</v>
      </c>
      <c r="AJ46" s="22">
        <v>36</v>
      </c>
      <c r="AK46" s="22">
        <v>8.0932599999999993E-2</v>
      </c>
      <c r="AL46">
        <f t="shared" si="6"/>
        <v>17.263209876543208</v>
      </c>
      <c r="AM46">
        <f t="shared" si="7"/>
        <v>1.4040047750123454</v>
      </c>
      <c r="AP46" s="9"/>
      <c r="AQ46" s="22">
        <v>1.59866</v>
      </c>
      <c r="AR46" s="22">
        <v>24.069299999999998</v>
      </c>
      <c r="AS46" s="22">
        <v>-1.0488900000000001E-2</v>
      </c>
      <c r="AT46" s="22">
        <v>36</v>
      </c>
      <c r="AU46" s="22">
        <v>1.5979000000000001</v>
      </c>
      <c r="AV46">
        <f t="shared" si="8"/>
        <v>12.949259259259259</v>
      </c>
      <c r="AW46">
        <f t="shared" si="9"/>
        <v>20.701462807407406</v>
      </c>
      <c r="AX46" s="9"/>
      <c r="AY46" s="22">
        <v>8.1329299999999993E-2</v>
      </c>
      <c r="AZ46" s="22">
        <v>27.848299999999998</v>
      </c>
      <c r="BA46" s="22">
        <v>-1.40076E-2</v>
      </c>
      <c r="BB46" s="22">
        <v>36</v>
      </c>
      <c r="BC46" s="22">
        <v>8.0841099999999999E-2</v>
      </c>
      <c r="BD46">
        <f t="shared" si="10"/>
        <v>17.293333333333333</v>
      </c>
      <c r="BE46">
        <f t="shared" si="11"/>
        <v>1.4064546946666665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1.5936300000000001</v>
      </c>
      <c r="H47" s="22">
        <v>5.5629499999999998</v>
      </c>
      <c r="I47" s="22">
        <v>-1.0638399999999999E-2</v>
      </c>
      <c r="J47" s="22">
        <v>37</v>
      </c>
      <c r="K47" s="22">
        <v>1.5933200000000001</v>
      </c>
      <c r="L47">
        <f t="shared" si="0"/>
        <v>13.133827160493826</v>
      </c>
      <c r="M47">
        <f t="shared" si="1"/>
        <v>20.930460977777777</v>
      </c>
      <c r="N47" s="9"/>
      <c r="O47" s="22">
        <v>8.6364700000000003E-2</v>
      </c>
      <c r="P47" s="22">
        <v>9.3418600000000005</v>
      </c>
      <c r="Q47" s="22">
        <v>-1.39709E-2</v>
      </c>
      <c r="R47" s="22">
        <v>37</v>
      </c>
      <c r="S47" s="22">
        <v>8.5784899999999997E-2</v>
      </c>
      <c r="T47">
        <f t="shared" si="2"/>
        <v>17.248024691358022</v>
      </c>
      <c r="U47">
        <f t="shared" si="3"/>
        <v>1.4896204780617281</v>
      </c>
      <c r="X47" s="9"/>
      <c r="Y47" s="22">
        <v>1.5936300000000001</v>
      </c>
      <c r="Z47" s="22">
        <v>14.853199999999999</v>
      </c>
      <c r="AA47" s="22">
        <v>-1.06354E-2</v>
      </c>
      <c r="AB47" s="22">
        <v>37</v>
      </c>
      <c r="AC47" s="22">
        <v>1.5927100000000001</v>
      </c>
      <c r="AD47">
        <f t="shared" si="4"/>
        <v>13.130123456790121</v>
      </c>
      <c r="AE47">
        <f t="shared" si="5"/>
        <v>20.924558644444442</v>
      </c>
      <c r="AF47" s="9"/>
      <c r="AG47" s="22">
        <v>8.6364700000000003E-2</v>
      </c>
      <c r="AH47" s="22">
        <v>18.632100000000001</v>
      </c>
      <c r="AI47" s="22">
        <v>-1.3983199999999999E-2</v>
      </c>
      <c r="AJ47" s="22">
        <v>37</v>
      </c>
      <c r="AK47" s="22">
        <v>8.5876499999999995E-2</v>
      </c>
      <c r="AL47">
        <f t="shared" si="6"/>
        <v>17.263209876543208</v>
      </c>
      <c r="AM47">
        <f t="shared" si="7"/>
        <v>1.4909319420246911</v>
      </c>
      <c r="AP47" s="9"/>
      <c r="AQ47" s="22">
        <v>1.5936300000000001</v>
      </c>
      <c r="AR47" s="22">
        <v>24.0794</v>
      </c>
      <c r="AS47" s="22">
        <v>-1.06018E-2</v>
      </c>
      <c r="AT47" s="22">
        <v>37</v>
      </c>
      <c r="AU47" s="22">
        <v>1.5924100000000001</v>
      </c>
      <c r="AV47">
        <f t="shared" si="8"/>
        <v>13.088641975308642</v>
      </c>
      <c r="AW47">
        <f t="shared" si="9"/>
        <v>20.858452511111111</v>
      </c>
      <c r="AX47" s="9"/>
      <c r="AY47" s="22">
        <v>8.6364700000000003E-2</v>
      </c>
      <c r="AZ47" s="22">
        <v>27.8583</v>
      </c>
      <c r="BA47" s="22">
        <v>-1.40045E-2</v>
      </c>
      <c r="BB47" s="22">
        <v>37</v>
      </c>
      <c r="BC47" s="22">
        <v>8.5845900000000003E-2</v>
      </c>
      <c r="BD47">
        <f t="shared" si="10"/>
        <v>17.289506172839506</v>
      </c>
      <c r="BE47">
        <f t="shared" si="11"/>
        <v>1.4932030137654322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1.5885899999999999</v>
      </c>
      <c r="H48" s="22">
        <v>5.5730199999999996</v>
      </c>
      <c r="I48" s="22">
        <v>-1.0714700000000001E-2</v>
      </c>
      <c r="J48" s="22">
        <v>38</v>
      </c>
      <c r="K48" s="22">
        <v>1.5872200000000001</v>
      </c>
      <c r="L48">
        <f t="shared" si="0"/>
        <v>13.228024691358025</v>
      </c>
      <c r="M48">
        <f t="shared" si="1"/>
        <v>21.013907744444445</v>
      </c>
      <c r="N48" s="9"/>
      <c r="O48" s="22">
        <v>9.1400099999999998E-2</v>
      </c>
      <c r="P48" s="22">
        <v>9.3519299999999994</v>
      </c>
      <c r="Q48" s="22">
        <v>-1.39679E-2</v>
      </c>
      <c r="R48" s="22">
        <v>38</v>
      </c>
      <c r="S48" s="22">
        <v>9.0972899999999995E-2</v>
      </c>
      <c r="T48">
        <f t="shared" si="2"/>
        <v>17.244320987654319</v>
      </c>
      <c r="U48">
        <f t="shared" si="3"/>
        <v>1.5761326627037036</v>
      </c>
      <c r="X48" s="9"/>
      <c r="Y48" s="22">
        <v>1.5885899999999999</v>
      </c>
      <c r="Z48" s="22">
        <v>14.863200000000001</v>
      </c>
      <c r="AA48" s="22">
        <v>-1.07391E-2</v>
      </c>
      <c r="AB48" s="22">
        <v>38</v>
      </c>
      <c r="AC48" s="22">
        <v>1.58752</v>
      </c>
      <c r="AD48">
        <f t="shared" si="4"/>
        <v>13.258148148148148</v>
      </c>
      <c r="AE48">
        <f t="shared" si="5"/>
        <v>21.061761566666664</v>
      </c>
      <c r="AF48" s="9"/>
      <c r="AG48" s="22">
        <v>9.1400099999999998E-2</v>
      </c>
      <c r="AH48" s="22">
        <v>18.642099999999999</v>
      </c>
      <c r="AI48" s="22">
        <v>-1.3986200000000001E-2</v>
      </c>
      <c r="AJ48" s="22">
        <v>38</v>
      </c>
      <c r="AK48" s="22">
        <v>9.1033900000000001E-2</v>
      </c>
      <c r="AL48">
        <f t="shared" si="6"/>
        <v>17.266913580246914</v>
      </c>
      <c r="AM48">
        <f t="shared" si="7"/>
        <v>1.578197627925926</v>
      </c>
      <c r="AP48" s="9"/>
      <c r="AQ48" s="22">
        <v>1.5885899999999999</v>
      </c>
      <c r="AR48" s="22">
        <v>24.089500000000001</v>
      </c>
      <c r="AS48" s="22">
        <v>-1.0714700000000001E-2</v>
      </c>
      <c r="AT48" s="22">
        <v>38</v>
      </c>
      <c r="AU48" s="22">
        <v>1.58752</v>
      </c>
      <c r="AV48">
        <f t="shared" si="8"/>
        <v>13.228024691358025</v>
      </c>
      <c r="AW48">
        <f t="shared" si="9"/>
        <v>21.013907744444445</v>
      </c>
      <c r="AX48" s="9"/>
      <c r="AY48" s="22">
        <v>9.1400099999999998E-2</v>
      </c>
      <c r="AZ48" s="22">
        <v>27.868400000000001</v>
      </c>
      <c r="BA48" s="22">
        <v>-1.40015E-2</v>
      </c>
      <c r="BB48" s="22">
        <v>38</v>
      </c>
      <c r="BC48" s="22">
        <v>9.0942400000000007E-2</v>
      </c>
      <c r="BD48">
        <f t="shared" si="10"/>
        <v>17.285802469135803</v>
      </c>
      <c r="BE48">
        <f t="shared" si="11"/>
        <v>1.5799240742592593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1.5835600000000001</v>
      </c>
      <c r="H49" s="22">
        <v>5.5830900000000003</v>
      </c>
      <c r="I49" s="22">
        <v>-1.0791E-2</v>
      </c>
      <c r="J49" s="22">
        <v>39</v>
      </c>
      <c r="K49" s="22">
        <v>1.5823400000000001</v>
      </c>
      <c r="L49">
        <f t="shared" si="0"/>
        <v>13.322222222222221</v>
      </c>
      <c r="M49">
        <f t="shared" si="1"/>
        <v>21.096538222222222</v>
      </c>
      <c r="N49" s="9"/>
      <c r="O49" s="22">
        <v>9.6435499999999993E-2</v>
      </c>
      <c r="P49" s="22">
        <v>9.3620000000000001</v>
      </c>
      <c r="Q49" s="22">
        <v>-1.39679E-2</v>
      </c>
      <c r="R49" s="22">
        <v>39</v>
      </c>
      <c r="S49" s="22">
        <v>9.5886200000000005E-2</v>
      </c>
      <c r="T49">
        <f t="shared" si="2"/>
        <v>17.244320987654319</v>
      </c>
      <c r="U49">
        <f t="shared" si="3"/>
        <v>1.6629647166049379</v>
      </c>
      <c r="X49" s="9"/>
      <c r="Y49" s="22">
        <v>1.5835600000000001</v>
      </c>
      <c r="Z49" s="22">
        <v>14.8733</v>
      </c>
      <c r="AA49" s="22">
        <v>-1.08521E-2</v>
      </c>
      <c r="AB49" s="22">
        <v>39</v>
      </c>
      <c r="AC49" s="22">
        <v>1.58203</v>
      </c>
      <c r="AD49">
        <f t="shared" si="4"/>
        <v>13.397654320987654</v>
      </c>
      <c r="AE49">
        <f t="shared" si="5"/>
        <v>21.215989476543211</v>
      </c>
      <c r="AF49" s="9"/>
      <c r="AG49" s="22">
        <v>9.6435499999999993E-2</v>
      </c>
      <c r="AH49" s="22">
        <v>18.652200000000001</v>
      </c>
      <c r="AI49" s="22">
        <v>-1.3983199999999999E-2</v>
      </c>
      <c r="AJ49" s="22">
        <v>39</v>
      </c>
      <c r="AK49" s="22">
        <v>9.5886200000000005E-2</v>
      </c>
      <c r="AL49">
        <f t="shared" si="6"/>
        <v>17.263209876543208</v>
      </c>
      <c r="AM49">
        <f t="shared" si="7"/>
        <v>1.6647862760493823</v>
      </c>
      <c r="AP49" s="9"/>
      <c r="AQ49" s="22">
        <v>1.5835600000000001</v>
      </c>
      <c r="AR49" s="22">
        <v>24.099499999999999</v>
      </c>
      <c r="AS49" s="22">
        <v>-1.0815399999999999E-2</v>
      </c>
      <c r="AT49" s="22">
        <v>39</v>
      </c>
      <c r="AU49" s="22">
        <v>1.58264</v>
      </c>
      <c r="AV49">
        <f t="shared" si="8"/>
        <v>13.352345679012345</v>
      </c>
      <c r="AW49">
        <f t="shared" si="9"/>
        <v>21.144240523456791</v>
      </c>
      <c r="AX49" s="9"/>
      <c r="AY49" s="22">
        <v>9.6435499999999993E-2</v>
      </c>
      <c r="AZ49" s="22">
        <v>27.878499999999999</v>
      </c>
      <c r="BA49" s="22">
        <v>-1.3998399999999999E-2</v>
      </c>
      <c r="BB49" s="22">
        <v>39</v>
      </c>
      <c r="BC49" s="22">
        <v>9.5916699999999994E-2</v>
      </c>
      <c r="BD49">
        <f t="shared" si="10"/>
        <v>17.281975308641975</v>
      </c>
      <c r="BE49">
        <f t="shared" si="11"/>
        <v>1.6665959298765431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1.5785199999999999</v>
      </c>
      <c r="H50" s="22">
        <v>5.5931600000000001</v>
      </c>
      <c r="I50" s="22">
        <v>-1.08643E-2</v>
      </c>
      <c r="J50" s="22">
        <v>40</v>
      </c>
      <c r="K50" s="22">
        <v>1.57745</v>
      </c>
      <c r="L50">
        <f t="shared" si="0"/>
        <v>13.412716049382714</v>
      </c>
      <c r="M50">
        <f t="shared" si="1"/>
        <v>21.172240538271602</v>
      </c>
      <c r="N50" s="9"/>
      <c r="O50" s="22">
        <v>0.10147100000000001</v>
      </c>
      <c r="P50" s="22">
        <v>9.3720700000000008</v>
      </c>
      <c r="Q50" s="22">
        <v>-1.3964799999999999E-2</v>
      </c>
      <c r="R50" s="22">
        <v>40</v>
      </c>
      <c r="S50" s="22">
        <v>0.100983</v>
      </c>
      <c r="T50">
        <f t="shared" si="2"/>
        <v>17.240493827160492</v>
      </c>
      <c r="U50">
        <f t="shared" si="3"/>
        <v>1.7494101491358023</v>
      </c>
      <c r="X50" s="9"/>
      <c r="Y50" s="22">
        <v>1.5785199999999999</v>
      </c>
      <c r="Z50" s="22">
        <v>14.8834</v>
      </c>
      <c r="AA50" s="22">
        <v>-1.09406E-2</v>
      </c>
      <c r="AB50" s="22">
        <v>40</v>
      </c>
      <c r="AC50" s="22">
        <v>1.5777600000000001</v>
      </c>
      <c r="AD50">
        <f t="shared" si="4"/>
        <v>13.506913580246913</v>
      </c>
      <c r="AE50">
        <f t="shared" si="5"/>
        <v>21.320933224691355</v>
      </c>
      <c r="AF50" s="9"/>
      <c r="AG50" s="22">
        <v>0.10147100000000001</v>
      </c>
      <c r="AH50" s="22">
        <v>18.662299999999998</v>
      </c>
      <c r="AI50" s="22">
        <v>-1.3980100000000001E-2</v>
      </c>
      <c r="AJ50" s="22">
        <v>40</v>
      </c>
      <c r="AK50" s="22">
        <v>0.100983</v>
      </c>
      <c r="AL50">
        <f t="shared" si="6"/>
        <v>17.259382716049384</v>
      </c>
      <c r="AM50">
        <f t="shared" si="7"/>
        <v>1.751326823580247</v>
      </c>
      <c r="AP50" s="9"/>
      <c r="AQ50" s="22">
        <v>1.5785199999999999</v>
      </c>
      <c r="AR50" s="22">
        <v>24.1096</v>
      </c>
      <c r="AS50" s="22">
        <v>-1.09161E-2</v>
      </c>
      <c r="AT50" s="22">
        <v>40</v>
      </c>
      <c r="AU50" s="22">
        <v>1.57745</v>
      </c>
      <c r="AV50">
        <f t="shared" si="8"/>
        <v>13.476666666666667</v>
      </c>
      <c r="AW50">
        <f t="shared" si="9"/>
        <v>21.273187866666664</v>
      </c>
      <c r="AX50" s="9"/>
      <c r="AY50" s="22">
        <v>0.10147100000000001</v>
      </c>
      <c r="AZ50" s="22">
        <v>27.8886</v>
      </c>
      <c r="BA50" s="22">
        <v>-1.39954E-2</v>
      </c>
      <c r="BB50" s="22">
        <v>40</v>
      </c>
      <c r="BC50" s="22">
        <v>0.100952</v>
      </c>
      <c r="BD50">
        <f t="shared" si="10"/>
        <v>17.278271604938272</v>
      </c>
      <c r="BE50">
        <f t="shared" si="11"/>
        <v>1.7532434980246916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1.5734900000000001</v>
      </c>
      <c r="H51" s="22">
        <v>5.6032299999999999</v>
      </c>
      <c r="I51" s="22">
        <v>-1.09467E-2</v>
      </c>
      <c r="J51" s="22">
        <v>41</v>
      </c>
      <c r="K51" s="22">
        <v>1.57257</v>
      </c>
      <c r="L51">
        <f t="shared" si="0"/>
        <v>13.514444444444443</v>
      </c>
      <c r="M51">
        <f t="shared" si="1"/>
        <v>21.264843188888889</v>
      </c>
      <c r="N51" s="9"/>
      <c r="O51" s="22">
        <v>0.106506</v>
      </c>
      <c r="P51" s="22">
        <v>9.3821399999999997</v>
      </c>
      <c r="Q51" s="22">
        <v>-1.3964799999999999E-2</v>
      </c>
      <c r="R51" s="22">
        <v>41</v>
      </c>
      <c r="S51" s="22">
        <v>0.105957</v>
      </c>
      <c r="T51">
        <f t="shared" si="2"/>
        <v>17.240493827160492</v>
      </c>
      <c r="U51">
        <f t="shared" si="3"/>
        <v>1.8362160355555555</v>
      </c>
      <c r="X51" s="9"/>
      <c r="Y51" s="22">
        <v>1.5734900000000001</v>
      </c>
      <c r="Z51" s="22">
        <v>14.8935</v>
      </c>
      <c r="AA51" s="22">
        <v>-1.1019899999999999E-2</v>
      </c>
      <c r="AB51" s="22">
        <v>41</v>
      </c>
      <c r="AC51" s="22">
        <v>1.57257</v>
      </c>
      <c r="AD51">
        <f t="shared" si="4"/>
        <v>13.604814814814812</v>
      </c>
      <c r="AE51">
        <f t="shared" si="5"/>
        <v>21.40704006296296</v>
      </c>
      <c r="AF51" s="9"/>
      <c r="AG51" s="22">
        <v>0.106506</v>
      </c>
      <c r="AH51" s="22">
        <v>18.6724</v>
      </c>
      <c r="AI51" s="22">
        <v>-1.3977099999999999E-2</v>
      </c>
      <c r="AJ51" s="22">
        <v>41</v>
      </c>
      <c r="AK51" s="22">
        <v>0.105957</v>
      </c>
      <c r="AL51">
        <f t="shared" si="6"/>
        <v>17.255679012345677</v>
      </c>
      <c r="AM51">
        <f t="shared" si="7"/>
        <v>1.8378333488888887</v>
      </c>
      <c r="AP51" s="9"/>
      <c r="AQ51" s="22">
        <v>1.5734900000000001</v>
      </c>
      <c r="AR51" s="22">
        <v>24.119700000000002</v>
      </c>
      <c r="AS51" s="22">
        <v>-1.10046E-2</v>
      </c>
      <c r="AT51" s="22">
        <v>41</v>
      </c>
      <c r="AU51" s="22">
        <v>1.57257</v>
      </c>
      <c r="AV51">
        <f t="shared" si="8"/>
        <v>13.585925925925926</v>
      </c>
      <c r="AW51">
        <f t="shared" si="9"/>
        <v>21.377318585185186</v>
      </c>
      <c r="AX51" s="9"/>
      <c r="AY51" s="22">
        <v>0.106506</v>
      </c>
      <c r="AZ51" s="22">
        <v>27.898599999999998</v>
      </c>
      <c r="BA51" s="22">
        <v>-1.3992299999999999E-2</v>
      </c>
      <c r="BB51" s="22">
        <v>41</v>
      </c>
      <c r="BC51" s="22">
        <v>0.105988</v>
      </c>
      <c r="BD51">
        <f t="shared" si="10"/>
        <v>17.274444444444445</v>
      </c>
      <c r="BE51">
        <f t="shared" si="11"/>
        <v>1.83983198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1.5684499999999999</v>
      </c>
      <c r="H52" s="22">
        <v>5.6133100000000002</v>
      </c>
      <c r="I52" s="22">
        <v>-1.10229E-2</v>
      </c>
      <c r="J52" s="22">
        <v>42</v>
      </c>
      <c r="K52" s="22">
        <v>1.56769</v>
      </c>
      <c r="L52">
        <f t="shared" si="0"/>
        <v>13.608518518518519</v>
      </c>
      <c r="M52">
        <f t="shared" si="1"/>
        <v>21.344280870370369</v>
      </c>
      <c r="N52" s="9"/>
      <c r="O52" s="22">
        <v>0.111542</v>
      </c>
      <c r="P52" s="22">
        <v>9.3922100000000004</v>
      </c>
      <c r="Q52" s="22">
        <v>-1.39618E-2</v>
      </c>
      <c r="R52" s="22">
        <v>42</v>
      </c>
      <c r="S52" s="22">
        <v>0.111084</v>
      </c>
      <c r="T52">
        <f t="shared" si="2"/>
        <v>17.236790123456789</v>
      </c>
      <c r="U52">
        <f t="shared" si="3"/>
        <v>1.9226260439506171</v>
      </c>
      <c r="X52" s="9"/>
      <c r="Y52" s="22">
        <v>1.5684499999999999</v>
      </c>
      <c r="Z52" s="22">
        <v>14.903499999999999</v>
      </c>
      <c r="AA52" s="22">
        <v>-1.1102300000000001E-2</v>
      </c>
      <c r="AB52" s="22">
        <v>42</v>
      </c>
      <c r="AC52" s="22">
        <v>1.56769</v>
      </c>
      <c r="AD52">
        <f t="shared" si="4"/>
        <v>13.706543209876543</v>
      </c>
      <c r="AE52">
        <f t="shared" si="5"/>
        <v>21.498027697530862</v>
      </c>
      <c r="AF52" s="9"/>
      <c r="AG52" s="22">
        <v>0.111542</v>
      </c>
      <c r="AH52" s="22">
        <v>18.682400000000001</v>
      </c>
      <c r="AI52" s="22">
        <v>-1.3977099999999999E-2</v>
      </c>
      <c r="AJ52" s="22">
        <v>42</v>
      </c>
      <c r="AK52" s="22">
        <v>0.111084</v>
      </c>
      <c r="AL52">
        <f t="shared" si="6"/>
        <v>17.255679012345677</v>
      </c>
      <c r="AM52">
        <f t="shared" si="7"/>
        <v>1.9247329483950615</v>
      </c>
      <c r="AP52" s="9"/>
      <c r="AQ52" s="22">
        <v>1.5684499999999999</v>
      </c>
      <c r="AR52" s="22">
        <v>24.129799999999999</v>
      </c>
      <c r="AS52" s="22">
        <v>-1.1087E-2</v>
      </c>
      <c r="AT52" s="22">
        <v>42</v>
      </c>
      <c r="AU52" s="22">
        <v>1.56769</v>
      </c>
      <c r="AV52">
        <f t="shared" si="8"/>
        <v>13.687654320987654</v>
      </c>
      <c r="AW52">
        <f t="shared" si="9"/>
        <v>21.468401419753086</v>
      </c>
      <c r="AX52" s="9"/>
      <c r="AY52" s="22">
        <v>0.111542</v>
      </c>
      <c r="AZ52" s="22">
        <v>27.9087</v>
      </c>
      <c r="BA52" s="22">
        <v>-1.39893E-2</v>
      </c>
      <c r="BB52" s="22">
        <v>42</v>
      </c>
      <c r="BC52" s="22">
        <v>0.11099199999999999</v>
      </c>
      <c r="BD52">
        <f t="shared" si="10"/>
        <v>17.270740740740738</v>
      </c>
      <c r="BE52">
        <f t="shared" si="11"/>
        <v>1.9264129637037035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1.56342</v>
      </c>
      <c r="H53" s="22">
        <v>5.62338</v>
      </c>
      <c r="I53" s="22">
        <v>-1.10992E-2</v>
      </c>
      <c r="J53" s="22">
        <v>43</v>
      </c>
      <c r="K53" s="22">
        <v>1.5625</v>
      </c>
      <c r="L53">
        <f t="shared" si="0"/>
        <v>13.702716049382715</v>
      </c>
      <c r="M53">
        <f t="shared" si="1"/>
        <v>21.423100325925926</v>
      </c>
      <c r="N53" s="9"/>
      <c r="O53" s="22">
        <v>0.116577</v>
      </c>
      <c r="P53" s="22">
        <v>9.4022799999999993</v>
      </c>
      <c r="Q53" s="22">
        <v>-1.39557E-2</v>
      </c>
      <c r="R53" s="22">
        <v>43</v>
      </c>
      <c r="S53" s="22">
        <v>0.11602800000000001</v>
      </c>
      <c r="T53">
        <f t="shared" si="2"/>
        <v>17.229259259259258</v>
      </c>
      <c r="U53">
        <f t="shared" si="3"/>
        <v>2.0085353566666666</v>
      </c>
      <c r="X53" s="9"/>
      <c r="Y53" s="22">
        <v>1.56342</v>
      </c>
      <c r="Z53" s="22">
        <v>14.913600000000001</v>
      </c>
      <c r="AA53" s="22">
        <v>-1.11816E-2</v>
      </c>
      <c r="AB53" s="22">
        <v>43</v>
      </c>
      <c r="AC53" s="22">
        <v>1.5625</v>
      </c>
      <c r="AD53">
        <f t="shared" si="4"/>
        <v>13.804444444444444</v>
      </c>
      <c r="AE53">
        <f t="shared" si="5"/>
        <v>21.582144533333334</v>
      </c>
      <c r="AF53" s="9"/>
      <c r="AG53" s="22">
        <v>0.116577</v>
      </c>
      <c r="AH53" s="22">
        <v>18.692499999999999</v>
      </c>
      <c r="AI53" s="22">
        <v>-1.3977099999999999E-2</v>
      </c>
      <c r="AJ53" s="22">
        <v>43</v>
      </c>
      <c r="AK53" s="22">
        <v>0.116089</v>
      </c>
      <c r="AL53">
        <f t="shared" si="6"/>
        <v>17.255679012345677</v>
      </c>
      <c r="AM53">
        <f t="shared" si="7"/>
        <v>2.0116152922222219</v>
      </c>
      <c r="AP53" s="9"/>
      <c r="AQ53" s="22">
        <v>1.56342</v>
      </c>
      <c r="AR53" s="22">
        <v>24.139800000000001</v>
      </c>
      <c r="AS53" s="22">
        <v>-1.1163299999999999E-2</v>
      </c>
      <c r="AT53" s="22">
        <v>43</v>
      </c>
      <c r="AU53" s="22">
        <v>1.56281</v>
      </c>
      <c r="AV53">
        <f t="shared" si="8"/>
        <v>13.781851851851851</v>
      </c>
      <c r="AW53">
        <f t="shared" si="9"/>
        <v>21.546822822222222</v>
      </c>
      <c r="AX53" s="9"/>
      <c r="AY53" s="22">
        <v>0.116577</v>
      </c>
      <c r="AZ53" s="22">
        <v>27.918800000000001</v>
      </c>
      <c r="BA53" s="22">
        <v>-1.39893E-2</v>
      </c>
      <c r="BB53" s="22">
        <v>43</v>
      </c>
      <c r="BC53" s="22">
        <v>0.11605799999999999</v>
      </c>
      <c r="BD53">
        <f t="shared" si="10"/>
        <v>17.270740740740738</v>
      </c>
      <c r="BE53">
        <f t="shared" si="11"/>
        <v>2.013371143333333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1.5583800000000001</v>
      </c>
      <c r="H54" s="22">
        <v>5.6334499999999998</v>
      </c>
      <c r="I54" s="22">
        <v>-1.1169399999999999E-2</v>
      </c>
      <c r="J54" s="22">
        <v>44</v>
      </c>
      <c r="K54" s="22">
        <v>1.55731</v>
      </c>
      <c r="L54">
        <f t="shared" si="0"/>
        <v>13.789382716049381</v>
      </c>
      <c r="M54">
        <f t="shared" si="1"/>
        <v>21.489098237037037</v>
      </c>
      <c r="N54" s="9"/>
      <c r="O54" s="22">
        <v>0.121613</v>
      </c>
      <c r="P54" s="22">
        <v>9.41235</v>
      </c>
      <c r="Q54" s="22">
        <v>-1.3946500000000001E-2</v>
      </c>
      <c r="R54" s="22">
        <v>44</v>
      </c>
      <c r="S54" s="22">
        <v>0.12109399999999999</v>
      </c>
      <c r="T54">
        <f t="shared" si="2"/>
        <v>17.217901234567901</v>
      </c>
      <c r="U54">
        <f t="shared" si="3"/>
        <v>2.093920622839506</v>
      </c>
      <c r="X54" s="9"/>
      <c r="Y54" s="22">
        <v>1.5583800000000001</v>
      </c>
      <c r="Z54" s="22">
        <v>14.9237</v>
      </c>
      <c r="AA54" s="22">
        <v>-1.12671E-2</v>
      </c>
      <c r="AB54" s="22">
        <v>44</v>
      </c>
      <c r="AC54" s="22">
        <v>1.55731</v>
      </c>
      <c r="AD54">
        <f t="shared" si="4"/>
        <v>13.909999999999998</v>
      </c>
      <c r="AE54">
        <f t="shared" si="5"/>
        <v>21.677065799999998</v>
      </c>
      <c r="AF54" s="9"/>
      <c r="AG54" s="22">
        <v>0.121613</v>
      </c>
      <c r="AH54" s="22">
        <v>18.7026</v>
      </c>
      <c r="AI54" s="22">
        <v>-1.3974E-2</v>
      </c>
      <c r="AJ54" s="22">
        <v>44</v>
      </c>
      <c r="AK54" s="22">
        <v>0.121124</v>
      </c>
      <c r="AL54">
        <f t="shared" si="6"/>
        <v>17.251851851851853</v>
      </c>
      <c r="AM54">
        <f t="shared" si="7"/>
        <v>2.0980494592592596</v>
      </c>
      <c r="AP54" s="9"/>
      <c r="AQ54" s="22">
        <v>1.5583800000000001</v>
      </c>
      <c r="AR54" s="22">
        <v>24.149899999999999</v>
      </c>
      <c r="AS54" s="22">
        <v>-1.1236599999999999E-2</v>
      </c>
      <c r="AT54" s="22">
        <v>44</v>
      </c>
      <c r="AU54" s="22">
        <v>1.55701</v>
      </c>
      <c r="AV54">
        <f t="shared" si="8"/>
        <v>13.872345679012344</v>
      </c>
      <c r="AW54">
        <f t="shared" si="9"/>
        <v>21.618386059259258</v>
      </c>
      <c r="AX54" s="9"/>
      <c r="AY54" s="22">
        <v>0.121613</v>
      </c>
      <c r="AZ54" s="22">
        <v>27.928799999999999</v>
      </c>
      <c r="BA54" s="22">
        <v>-1.3986200000000001E-2</v>
      </c>
      <c r="BB54" s="22">
        <v>44</v>
      </c>
      <c r="BC54" s="22">
        <v>0.121063</v>
      </c>
      <c r="BD54">
        <f t="shared" si="10"/>
        <v>17.266913580246914</v>
      </c>
      <c r="BE54">
        <f t="shared" si="11"/>
        <v>2.0998811612345678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1.5533399999999999</v>
      </c>
      <c r="H55" s="22">
        <v>5.6435199999999996</v>
      </c>
      <c r="I55" s="22">
        <v>-1.12335E-2</v>
      </c>
      <c r="J55" s="22">
        <v>45</v>
      </c>
      <c r="K55" s="22">
        <v>1.5521199999999999</v>
      </c>
      <c r="L55">
        <f t="shared" si="0"/>
        <v>13.868518518518519</v>
      </c>
      <c r="M55">
        <f t="shared" si="1"/>
        <v>21.542524555555556</v>
      </c>
      <c r="N55" s="9"/>
      <c r="O55" s="22">
        <v>0.12664800000000001</v>
      </c>
      <c r="P55" s="22">
        <v>9.4224200000000007</v>
      </c>
      <c r="Q55" s="22">
        <v>-1.3937400000000001E-2</v>
      </c>
      <c r="R55" s="22">
        <v>45</v>
      </c>
      <c r="S55" s="22">
        <v>0.12612899999999999</v>
      </c>
      <c r="T55">
        <f t="shared" si="2"/>
        <v>17.206666666666667</v>
      </c>
      <c r="U55">
        <f t="shared" si="3"/>
        <v>2.1791899200000002</v>
      </c>
      <c r="X55" s="9"/>
      <c r="Y55" s="22">
        <v>1.5533399999999999</v>
      </c>
      <c r="Z55" s="22">
        <v>14.9337</v>
      </c>
      <c r="AA55" s="22">
        <v>-1.13312E-2</v>
      </c>
      <c r="AB55" s="22">
        <v>45</v>
      </c>
      <c r="AC55" s="22">
        <v>1.55243</v>
      </c>
      <c r="AD55">
        <f t="shared" si="4"/>
        <v>13.989135802469134</v>
      </c>
      <c r="AE55">
        <f t="shared" si="5"/>
        <v>21.729884207407405</v>
      </c>
      <c r="AF55" s="9"/>
      <c r="AG55" s="22">
        <v>0.12664800000000001</v>
      </c>
      <c r="AH55" s="22">
        <v>18.712599999999998</v>
      </c>
      <c r="AI55" s="22">
        <v>-1.3974E-2</v>
      </c>
      <c r="AJ55" s="22">
        <v>45</v>
      </c>
      <c r="AK55" s="22">
        <v>0.12606800000000001</v>
      </c>
      <c r="AL55">
        <f t="shared" si="6"/>
        <v>17.251851851851853</v>
      </c>
      <c r="AM55">
        <f t="shared" si="7"/>
        <v>2.1849125333333337</v>
      </c>
      <c r="AP55" s="9"/>
      <c r="AQ55" s="22">
        <v>1.5533399999999999</v>
      </c>
      <c r="AR55" s="22">
        <v>24.16</v>
      </c>
      <c r="AS55" s="22">
        <v>-1.12976E-2</v>
      </c>
      <c r="AT55" s="22">
        <v>45</v>
      </c>
      <c r="AU55" s="22">
        <v>1.5527299999999999</v>
      </c>
      <c r="AV55">
        <f t="shared" si="8"/>
        <v>13.947654320987654</v>
      </c>
      <c r="AW55">
        <f t="shared" si="9"/>
        <v>21.665449362962963</v>
      </c>
      <c r="AX55" s="9"/>
      <c r="AY55" s="22">
        <v>0.12664800000000001</v>
      </c>
      <c r="AZ55" s="22">
        <v>27.9389</v>
      </c>
      <c r="BA55" s="22">
        <v>-1.3986200000000001E-2</v>
      </c>
      <c r="BB55" s="22">
        <v>45</v>
      </c>
      <c r="BC55" s="22">
        <v>0.12615999999999999</v>
      </c>
      <c r="BD55">
        <f t="shared" si="10"/>
        <v>17.266913580246914</v>
      </c>
      <c r="BE55">
        <f t="shared" si="11"/>
        <v>2.1868200711111112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1.5483100000000001</v>
      </c>
      <c r="H56" s="22">
        <v>5.6535900000000003</v>
      </c>
      <c r="I56" s="22">
        <v>-1.13037E-2</v>
      </c>
      <c r="J56" s="22">
        <v>46</v>
      </c>
      <c r="K56" s="22">
        <v>1.5472399999999999</v>
      </c>
      <c r="L56">
        <f t="shared" si="0"/>
        <v>13.955185185185183</v>
      </c>
      <c r="M56">
        <f t="shared" si="1"/>
        <v>21.60695277407407</v>
      </c>
      <c r="N56" s="9"/>
      <c r="O56" s="22">
        <v>0.13168299999999999</v>
      </c>
      <c r="P56" s="22">
        <v>9.4324999999999992</v>
      </c>
      <c r="Q56" s="22">
        <v>-1.3931300000000001E-2</v>
      </c>
      <c r="R56" s="22">
        <v>46</v>
      </c>
      <c r="S56" s="22">
        <v>0.13119500000000001</v>
      </c>
      <c r="T56">
        <f t="shared" si="2"/>
        <v>17.199135802469137</v>
      </c>
      <c r="U56">
        <f t="shared" si="3"/>
        <v>2.2648337998765431</v>
      </c>
      <c r="X56" s="9"/>
      <c r="Y56" s="22">
        <v>1.5483100000000001</v>
      </c>
      <c r="Z56" s="22">
        <v>14.9438</v>
      </c>
      <c r="AA56" s="22">
        <v>-1.13892E-2</v>
      </c>
      <c r="AB56" s="22">
        <v>46</v>
      </c>
      <c r="AC56" s="22">
        <v>1.5478499999999999</v>
      </c>
      <c r="AD56">
        <f t="shared" si="4"/>
        <v>14.060740740740741</v>
      </c>
      <c r="AE56">
        <f t="shared" si="5"/>
        <v>21.770385496296296</v>
      </c>
      <c r="AF56" s="9"/>
      <c r="AG56" s="22">
        <v>0.13168299999999999</v>
      </c>
      <c r="AH56" s="22">
        <v>18.7227</v>
      </c>
      <c r="AI56" s="22">
        <v>-1.39679E-2</v>
      </c>
      <c r="AJ56" s="22">
        <v>46</v>
      </c>
      <c r="AK56" s="22">
        <v>0.13125600000000001</v>
      </c>
      <c r="AL56">
        <f t="shared" si="6"/>
        <v>17.244320987654319</v>
      </c>
      <c r="AM56">
        <f t="shared" si="7"/>
        <v>2.2707839206172835</v>
      </c>
      <c r="AP56" s="9"/>
      <c r="AQ56" s="22">
        <v>1.5483100000000001</v>
      </c>
      <c r="AR56" s="22">
        <v>24.17</v>
      </c>
      <c r="AS56" s="22">
        <v>-1.13708E-2</v>
      </c>
      <c r="AT56" s="22">
        <v>46</v>
      </c>
      <c r="AU56" s="22">
        <v>1.54694</v>
      </c>
      <c r="AV56">
        <f t="shared" si="8"/>
        <v>14.038024691358025</v>
      </c>
      <c r="AW56">
        <f t="shared" si="9"/>
        <v>21.735214009876543</v>
      </c>
      <c r="AX56" s="9"/>
      <c r="AY56" s="22">
        <v>0.13168299999999999</v>
      </c>
      <c r="AZ56" s="22">
        <v>27.949000000000002</v>
      </c>
      <c r="BA56" s="22">
        <v>-1.3983199999999999E-2</v>
      </c>
      <c r="BB56" s="22">
        <v>46</v>
      </c>
      <c r="BC56" s="22">
        <v>0.131165</v>
      </c>
      <c r="BD56">
        <f t="shared" si="10"/>
        <v>17.263209876543208</v>
      </c>
      <c r="BE56">
        <f t="shared" si="11"/>
        <v>2.2732712661728391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1.5432699999999999</v>
      </c>
      <c r="H57" s="22">
        <v>5.6636600000000001</v>
      </c>
      <c r="I57" s="22">
        <v>-1.13708E-2</v>
      </c>
      <c r="J57" s="22">
        <v>47</v>
      </c>
      <c r="K57" s="22">
        <v>1.5426599999999999</v>
      </c>
      <c r="L57">
        <f t="shared" si="0"/>
        <v>14.038024691358025</v>
      </c>
      <c r="M57">
        <f t="shared" si="1"/>
        <v>21.664462365432097</v>
      </c>
      <c r="N57" s="9"/>
      <c r="O57" s="22">
        <v>0.13671900000000001</v>
      </c>
      <c r="P57" s="22">
        <v>9.4425699999999999</v>
      </c>
      <c r="Q57" s="22">
        <v>-1.39252E-2</v>
      </c>
      <c r="R57" s="22">
        <v>47</v>
      </c>
      <c r="S57" s="22">
        <v>0.13616900000000001</v>
      </c>
      <c r="T57">
        <f t="shared" si="2"/>
        <v>17.191604938271606</v>
      </c>
      <c r="U57">
        <f t="shared" si="3"/>
        <v>2.3504190355555559</v>
      </c>
      <c r="X57" s="9"/>
      <c r="Y57" s="22">
        <v>1.5432699999999999</v>
      </c>
      <c r="Z57" s="22">
        <v>14.953900000000001</v>
      </c>
      <c r="AA57" s="22">
        <v>-1.14441E-2</v>
      </c>
      <c r="AB57" s="22">
        <v>47</v>
      </c>
      <c r="AC57" s="22">
        <v>1.54236</v>
      </c>
      <c r="AD57">
        <f t="shared" si="4"/>
        <v>14.128518518518518</v>
      </c>
      <c r="AE57">
        <f t="shared" si="5"/>
        <v>21.804118774074073</v>
      </c>
      <c r="AF57" s="9"/>
      <c r="AG57" s="22">
        <v>0.13671900000000001</v>
      </c>
      <c r="AH57" s="22">
        <v>18.732800000000001</v>
      </c>
      <c r="AI57" s="22">
        <v>-1.39679E-2</v>
      </c>
      <c r="AJ57" s="22">
        <v>47</v>
      </c>
      <c r="AK57" s="22">
        <v>0.13619999999999999</v>
      </c>
      <c r="AL57">
        <f t="shared" si="6"/>
        <v>17.244320987654319</v>
      </c>
      <c r="AM57">
        <f t="shared" si="7"/>
        <v>2.3576263211111108</v>
      </c>
      <c r="AP57" s="9"/>
      <c r="AQ57" s="22">
        <v>1.5432699999999999</v>
      </c>
      <c r="AR57" s="22">
        <v>24.180099999999999</v>
      </c>
      <c r="AS57" s="22">
        <v>-1.1438E-2</v>
      </c>
      <c r="AT57" s="22">
        <v>47</v>
      </c>
      <c r="AU57" s="22">
        <v>1.54236</v>
      </c>
      <c r="AV57">
        <f t="shared" si="8"/>
        <v>14.120987654320988</v>
      </c>
      <c r="AW57">
        <f t="shared" si="9"/>
        <v>21.792496617283948</v>
      </c>
      <c r="AX57" s="9"/>
      <c r="AY57" s="22">
        <v>0.13671900000000001</v>
      </c>
      <c r="AZ57" s="22">
        <v>27.959</v>
      </c>
      <c r="BA57" s="22">
        <v>-1.3983199999999999E-2</v>
      </c>
      <c r="BB57" s="22">
        <v>47</v>
      </c>
      <c r="BC57" s="22">
        <v>0.13622999999999999</v>
      </c>
      <c r="BD57">
        <f t="shared" si="10"/>
        <v>17.263209876543208</v>
      </c>
      <c r="BE57">
        <f t="shared" si="11"/>
        <v>2.3602087911111109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1.5382400000000001</v>
      </c>
      <c r="H58" s="22">
        <v>5.6737299999999999</v>
      </c>
      <c r="I58" s="22">
        <v>-1.1428799999999999E-2</v>
      </c>
      <c r="J58" s="22">
        <v>48</v>
      </c>
      <c r="K58" s="22">
        <v>1.53748</v>
      </c>
      <c r="L58">
        <f t="shared" si="0"/>
        <v>14.109629629629628</v>
      </c>
      <c r="M58">
        <f t="shared" si="1"/>
        <v>21.703996681481481</v>
      </c>
      <c r="N58" s="9"/>
      <c r="O58" s="22">
        <v>0.14175399999999999</v>
      </c>
      <c r="P58" s="22">
        <v>9.4526400000000006</v>
      </c>
      <c r="Q58" s="22">
        <v>-1.39252E-2</v>
      </c>
      <c r="R58" s="22">
        <v>48</v>
      </c>
      <c r="S58" s="22">
        <v>0.141235</v>
      </c>
      <c r="T58">
        <f t="shared" si="2"/>
        <v>17.191604938271606</v>
      </c>
      <c r="U58">
        <f t="shared" si="3"/>
        <v>2.4369787664197533</v>
      </c>
      <c r="X58" s="9"/>
      <c r="Y58" s="22">
        <v>1.5382400000000001</v>
      </c>
      <c r="Z58" s="22">
        <v>14.964</v>
      </c>
      <c r="AA58" s="22">
        <v>-1.1502099999999999E-2</v>
      </c>
      <c r="AB58" s="22">
        <v>48</v>
      </c>
      <c r="AC58" s="22">
        <v>1.5371699999999999</v>
      </c>
      <c r="AD58">
        <f t="shared" si="4"/>
        <v>14.200123456790122</v>
      </c>
      <c r="AE58">
        <f t="shared" si="5"/>
        <v>21.843197906172836</v>
      </c>
      <c r="AF58" s="9"/>
      <c r="AG58" s="22">
        <v>0.14175399999999999</v>
      </c>
      <c r="AH58" s="22">
        <v>18.742899999999999</v>
      </c>
      <c r="AI58" s="22">
        <v>-1.39709E-2</v>
      </c>
      <c r="AJ58" s="22">
        <v>48</v>
      </c>
      <c r="AK58" s="22">
        <v>0.141266</v>
      </c>
      <c r="AL58">
        <f t="shared" si="6"/>
        <v>17.248024691358022</v>
      </c>
      <c r="AM58">
        <f t="shared" si="7"/>
        <v>2.4449764920987649</v>
      </c>
      <c r="AP58" s="9"/>
      <c r="AQ58" s="22">
        <v>1.5382400000000001</v>
      </c>
      <c r="AR58" s="22">
        <v>24.190200000000001</v>
      </c>
      <c r="AS58" s="22">
        <v>-1.1505100000000001E-2</v>
      </c>
      <c r="AT58" s="22">
        <v>48</v>
      </c>
      <c r="AU58" s="22">
        <v>1.5377799999999999</v>
      </c>
      <c r="AV58">
        <f t="shared" si="8"/>
        <v>14.203827160493827</v>
      </c>
      <c r="AW58">
        <f t="shared" si="9"/>
        <v>21.848895091358024</v>
      </c>
      <c r="AX58" s="9"/>
      <c r="AY58" s="22">
        <v>0.14175399999999999</v>
      </c>
      <c r="AZ58" s="22">
        <v>27.969100000000001</v>
      </c>
      <c r="BA58" s="22">
        <v>-1.3983199999999999E-2</v>
      </c>
      <c r="BB58" s="22">
        <v>48</v>
      </c>
      <c r="BC58" s="22">
        <v>0.141296</v>
      </c>
      <c r="BD58">
        <f t="shared" si="10"/>
        <v>17.263209876543208</v>
      </c>
      <c r="BE58">
        <f t="shared" si="11"/>
        <v>2.4471290528395055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1.5331999999999999</v>
      </c>
      <c r="H59" s="22">
        <v>5.6837999999999997</v>
      </c>
      <c r="I59" s="22">
        <v>-1.14746E-2</v>
      </c>
      <c r="J59" s="22">
        <v>49</v>
      </c>
      <c r="K59" s="22">
        <v>1.5328999999999999</v>
      </c>
      <c r="L59">
        <f t="shared" si="0"/>
        <v>14.166172839506173</v>
      </c>
      <c r="M59">
        <f t="shared" si="1"/>
        <v>21.719576197530863</v>
      </c>
      <c r="N59" s="9"/>
      <c r="O59" s="22">
        <v>0.14679</v>
      </c>
      <c r="P59" s="22">
        <v>9.4627099999999995</v>
      </c>
      <c r="Q59" s="22">
        <v>-1.39282E-2</v>
      </c>
      <c r="R59" s="22">
        <v>49</v>
      </c>
      <c r="S59" s="22">
        <v>0.14630099999999999</v>
      </c>
      <c r="T59">
        <f t="shared" si="2"/>
        <v>17.195308641975309</v>
      </c>
      <c r="U59">
        <f t="shared" si="3"/>
        <v>2.5240993555555558</v>
      </c>
      <c r="X59" s="9"/>
      <c r="Y59" s="22">
        <v>1.5331999999999999</v>
      </c>
      <c r="Z59" s="22">
        <v>14.974</v>
      </c>
      <c r="AA59" s="22">
        <v>-1.1557E-2</v>
      </c>
      <c r="AB59" s="22">
        <v>49</v>
      </c>
      <c r="AC59" s="22">
        <v>1.5328999999999999</v>
      </c>
      <c r="AD59">
        <f t="shared" si="4"/>
        <v>14.267901234567899</v>
      </c>
      <c r="AE59">
        <f t="shared" si="5"/>
        <v>21.875546172839503</v>
      </c>
      <c r="AF59" s="9"/>
      <c r="AG59" s="22">
        <v>0.14679</v>
      </c>
      <c r="AH59" s="22">
        <v>18.7529</v>
      </c>
      <c r="AI59" s="22">
        <v>-1.3964799999999999E-2</v>
      </c>
      <c r="AJ59" s="22">
        <v>49</v>
      </c>
      <c r="AK59" s="22">
        <v>0.14630099999999999</v>
      </c>
      <c r="AL59">
        <f t="shared" si="6"/>
        <v>17.240493827160492</v>
      </c>
      <c r="AM59">
        <f t="shared" si="7"/>
        <v>2.5307320888888887</v>
      </c>
      <c r="AP59" s="9"/>
      <c r="AQ59" s="22">
        <v>1.5331999999999999</v>
      </c>
      <c r="AR59" s="22">
        <v>24.200199999999999</v>
      </c>
      <c r="AS59" s="22">
        <v>-1.1572300000000001E-2</v>
      </c>
      <c r="AT59" s="22">
        <v>49</v>
      </c>
      <c r="AU59" s="22">
        <v>1.5325899999999999</v>
      </c>
      <c r="AV59">
        <f t="shared" si="8"/>
        <v>14.286790123456791</v>
      </c>
      <c r="AW59">
        <f t="shared" si="9"/>
        <v>21.90450661728395</v>
      </c>
      <c r="AX59" s="9"/>
      <c r="AY59" s="22">
        <v>0.14679</v>
      </c>
      <c r="AZ59" s="22">
        <v>27.979199999999999</v>
      </c>
      <c r="BA59" s="22">
        <v>-1.3977099999999999E-2</v>
      </c>
      <c r="BB59" s="22">
        <v>49</v>
      </c>
      <c r="BC59" s="22">
        <v>0.14621000000000001</v>
      </c>
      <c r="BD59">
        <f t="shared" si="10"/>
        <v>17.255679012345677</v>
      </c>
      <c r="BE59">
        <f t="shared" si="11"/>
        <v>2.5329611222222219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1.52817</v>
      </c>
      <c r="H60" s="22">
        <v>5.6938700000000004</v>
      </c>
      <c r="I60" s="22">
        <v>-1.15295E-2</v>
      </c>
      <c r="J60" s="22">
        <v>50</v>
      </c>
      <c r="K60" s="22">
        <v>1.5277099999999999</v>
      </c>
      <c r="L60">
        <f t="shared" si="0"/>
        <v>14.23395061728395</v>
      </c>
      <c r="M60">
        <f t="shared" si="1"/>
        <v>21.751896314814815</v>
      </c>
      <c r="N60" s="9"/>
      <c r="O60" s="22">
        <v>0.15182499999999999</v>
      </c>
      <c r="P60" s="22">
        <v>9.4727800000000002</v>
      </c>
      <c r="Q60" s="22">
        <v>-1.39343E-2</v>
      </c>
      <c r="R60" s="22">
        <v>50</v>
      </c>
      <c r="S60" s="22">
        <v>0.15124499999999999</v>
      </c>
      <c r="T60">
        <f t="shared" si="2"/>
        <v>17.202839506172836</v>
      </c>
      <c r="U60">
        <f t="shared" si="3"/>
        <v>2.6118211080246905</v>
      </c>
      <c r="X60" s="9"/>
      <c r="Y60" s="22">
        <v>1.52817</v>
      </c>
      <c r="Z60" s="22">
        <v>14.9841</v>
      </c>
      <c r="AA60" s="22">
        <v>-1.1618E-2</v>
      </c>
      <c r="AB60" s="22">
        <v>50</v>
      </c>
      <c r="AC60" s="22">
        <v>1.5267900000000001</v>
      </c>
      <c r="AD60">
        <f t="shared" si="4"/>
        <v>14.343209876543209</v>
      </c>
      <c r="AE60">
        <f t="shared" si="5"/>
        <v>21.918863037037038</v>
      </c>
      <c r="AF60" s="9"/>
      <c r="AG60" s="22">
        <v>0.15182499999999999</v>
      </c>
      <c r="AH60" s="22">
        <v>18.763000000000002</v>
      </c>
      <c r="AI60" s="22">
        <v>-1.3958699999999999E-2</v>
      </c>
      <c r="AJ60" s="22">
        <v>50</v>
      </c>
      <c r="AK60" s="22">
        <v>0.151337</v>
      </c>
      <c r="AL60">
        <f t="shared" si="6"/>
        <v>17.232962962962961</v>
      </c>
      <c r="AM60">
        <f t="shared" si="7"/>
        <v>2.6163946018518516</v>
      </c>
      <c r="AP60" s="9"/>
      <c r="AQ60" s="22">
        <v>1.52817</v>
      </c>
      <c r="AR60" s="22">
        <v>24.2103</v>
      </c>
      <c r="AS60" s="22">
        <v>-1.1633299999999999E-2</v>
      </c>
      <c r="AT60" s="22">
        <v>50</v>
      </c>
      <c r="AU60" s="22">
        <v>1.5277099999999999</v>
      </c>
      <c r="AV60">
        <f t="shared" si="8"/>
        <v>14.362098765432096</v>
      </c>
      <c r="AW60">
        <f t="shared" si="9"/>
        <v>21.947728470370368</v>
      </c>
      <c r="AX60" s="9"/>
      <c r="AY60" s="22">
        <v>0.15182499999999999</v>
      </c>
      <c r="AZ60" s="22">
        <v>27.9893</v>
      </c>
      <c r="BA60" s="22">
        <v>-1.39709E-2</v>
      </c>
      <c r="BB60" s="22">
        <v>50</v>
      </c>
      <c r="BC60" s="22">
        <v>0.15121499999999999</v>
      </c>
      <c r="BD60">
        <f t="shared" si="10"/>
        <v>17.248024691358022</v>
      </c>
      <c r="BE60">
        <f t="shared" si="11"/>
        <v>2.6186813487654317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1.5231300000000001</v>
      </c>
      <c r="H61" s="22">
        <v>5.7039400000000002</v>
      </c>
      <c r="I61" s="22">
        <v>-1.15753E-2</v>
      </c>
      <c r="J61" s="22">
        <v>51</v>
      </c>
      <c r="K61" s="22">
        <v>1.5222199999999999</v>
      </c>
      <c r="L61">
        <f t="shared" si="0"/>
        <v>14.290493827160493</v>
      </c>
      <c r="M61">
        <f t="shared" si="1"/>
        <v>21.766279862962964</v>
      </c>
      <c r="N61" s="9"/>
      <c r="O61" s="22">
        <v>0.15686</v>
      </c>
      <c r="P61" s="22">
        <v>9.4828499999999991</v>
      </c>
      <c r="Q61" s="22">
        <v>-1.3937400000000001E-2</v>
      </c>
      <c r="R61" s="22">
        <v>51</v>
      </c>
      <c r="S61" s="22">
        <v>0.15637200000000001</v>
      </c>
      <c r="T61">
        <f t="shared" si="2"/>
        <v>17.206666666666667</v>
      </c>
      <c r="U61">
        <f t="shared" si="3"/>
        <v>2.6990377333333333</v>
      </c>
      <c r="X61" s="9"/>
      <c r="Y61" s="22">
        <v>1.5231300000000001</v>
      </c>
      <c r="Z61" s="22">
        <v>14.994199999999999</v>
      </c>
      <c r="AA61" s="22">
        <v>-1.1694299999999999E-2</v>
      </c>
      <c r="AB61" s="22">
        <v>51</v>
      </c>
      <c r="AC61" s="22">
        <v>1.5225200000000001</v>
      </c>
      <c r="AD61">
        <f t="shared" si="4"/>
        <v>14.437407407407406</v>
      </c>
      <c r="AE61">
        <f t="shared" si="5"/>
        <v>21.990048344444443</v>
      </c>
      <c r="AF61" s="9"/>
      <c r="AG61" s="22">
        <v>0.15686</v>
      </c>
      <c r="AH61" s="22">
        <v>18.773099999999999</v>
      </c>
      <c r="AI61" s="22">
        <v>-1.3952600000000001E-2</v>
      </c>
      <c r="AJ61" s="22">
        <v>51</v>
      </c>
      <c r="AK61" s="22">
        <v>0.156281</v>
      </c>
      <c r="AL61">
        <f t="shared" si="6"/>
        <v>17.225432098765431</v>
      </c>
      <c r="AM61">
        <f t="shared" si="7"/>
        <v>2.7019812790123456</v>
      </c>
      <c r="AP61" s="9"/>
      <c r="AQ61" s="22">
        <v>1.5231300000000001</v>
      </c>
      <c r="AR61" s="22">
        <v>24.220400000000001</v>
      </c>
      <c r="AS61" s="22">
        <v>-1.1676000000000001E-2</v>
      </c>
      <c r="AT61" s="22">
        <v>51</v>
      </c>
      <c r="AU61" s="22">
        <v>1.5228299999999999</v>
      </c>
      <c r="AV61">
        <f t="shared" si="8"/>
        <v>14.414814814814815</v>
      </c>
      <c r="AW61">
        <f t="shared" si="9"/>
        <v>21.95563688888889</v>
      </c>
      <c r="AX61" s="9"/>
      <c r="AY61" s="22">
        <v>0.15686</v>
      </c>
      <c r="AZ61" s="22">
        <v>27.999300000000002</v>
      </c>
      <c r="BA61" s="22">
        <v>-1.39618E-2</v>
      </c>
      <c r="BB61" s="22">
        <v>51</v>
      </c>
      <c r="BC61" s="22">
        <v>0.15637200000000001</v>
      </c>
      <c r="BD61">
        <f t="shared" si="10"/>
        <v>17.236790123456789</v>
      </c>
      <c r="BE61">
        <f t="shared" si="11"/>
        <v>2.7037628987654321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1.5181</v>
      </c>
      <c r="H62" s="22">
        <v>5.7140199999999997</v>
      </c>
      <c r="I62" s="22">
        <v>-1.1618E-2</v>
      </c>
      <c r="J62" s="22">
        <v>52</v>
      </c>
      <c r="K62" s="22">
        <v>1.5170300000000001</v>
      </c>
      <c r="L62">
        <f t="shared" si="0"/>
        <v>14.343209876543209</v>
      </c>
      <c r="M62">
        <f t="shared" si="1"/>
        <v>21.774426913580246</v>
      </c>
      <c r="N62" s="9"/>
      <c r="O62" s="22">
        <v>0.16189600000000001</v>
      </c>
      <c r="P62" s="22">
        <v>9.4929199999999998</v>
      </c>
      <c r="Q62" s="22">
        <v>-1.3931300000000001E-2</v>
      </c>
      <c r="R62" s="22">
        <v>52</v>
      </c>
      <c r="S62" s="22">
        <v>0.16137699999999999</v>
      </c>
      <c r="T62">
        <f t="shared" si="2"/>
        <v>17.199135802469137</v>
      </c>
      <c r="U62">
        <f t="shared" si="3"/>
        <v>2.7844712898765436</v>
      </c>
      <c r="X62" s="9"/>
      <c r="Y62" s="22">
        <v>1.5181</v>
      </c>
      <c r="Z62" s="22">
        <v>15.004200000000001</v>
      </c>
      <c r="AA62" s="22">
        <v>-1.1764500000000001E-2</v>
      </c>
      <c r="AB62" s="22">
        <v>52</v>
      </c>
      <c r="AC62" s="22">
        <v>1.5170300000000001</v>
      </c>
      <c r="AD62">
        <f t="shared" si="4"/>
        <v>14.524074074074075</v>
      </c>
      <c r="AE62">
        <f t="shared" si="5"/>
        <v>22.048996851851854</v>
      </c>
      <c r="AF62" s="9"/>
      <c r="AG62" s="22">
        <v>0.16189600000000001</v>
      </c>
      <c r="AH62" s="22">
        <v>18.783100000000001</v>
      </c>
      <c r="AI62" s="22">
        <v>-1.3952600000000001E-2</v>
      </c>
      <c r="AJ62" s="22">
        <v>52</v>
      </c>
      <c r="AK62" s="22">
        <v>0.16131599999999999</v>
      </c>
      <c r="AL62">
        <f t="shared" si="6"/>
        <v>17.225432098765431</v>
      </c>
      <c r="AM62">
        <f t="shared" si="7"/>
        <v>2.7887285550617285</v>
      </c>
      <c r="AP62" s="9"/>
      <c r="AQ62" s="22">
        <v>1.5181</v>
      </c>
      <c r="AR62" s="22">
        <v>24.230499999999999</v>
      </c>
      <c r="AS62" s="22">
        <v>-1.1727899999999999E-2</v>
      </c>
      <c r="AT62" s="22">
        <v>52</v>
      </c>
      <c r="AU62" s="22">
        <v>1.5176400000000001</v>
      </c>
      <c r="AV62">
        <f t="shared" si="8"/>
        <v>14.478888888888887</v>
      </c>
      <c r="AW62">
        <f t="shared" si="9"/>
        <v>21.98040122222222</v>
      </c>
      <c r="AX62" s="9"/>
      <c r="AY62" s="22">
        <v>0.16189600000000001</v>
      </c>
      <c r="AZ62" s="22">
        <v>28.009399999999999</v>
      </c>
      <c r="BA62" s="22">
        <v>-1.3964799999999999E-2</v>
      </c>
      <c r="BB62" s="22">
        <v>52</v>
      </c>
      <c r="BC62" s="22">
        <v>0.16134599999999999</v>
      </c>
      <c r="BD62">
        <f t="shared" si="10"/>
        <v>17.240493827160492</v>
      </c>
      <c r="BE62">
        <f t="shared" si="11"/>
        <v>2.7911669886419754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1.5130600000000001</v>
      </c>
      <c r="H63" s="22">
        <v>5.7240900000000003</v>
      </c>
      <c r="I63" s="22">
        <v>-1.1660800000000001E-2</v>
      </c>
      <c r="J63" s="22">
        <v>53</v>
      </c>
      <c r="K63" s="22">
        <v>1.5121500000000001</v>
      </c>
      <c r="L63">
        <f t="shared" si="0"/>
        <v>14.396049382716049</v>
      </c>
      <c r="M63">
        <f t="shared" si="1"/>
        <v>21.782086479012346</v>
      </c>
      <c r="N63" s="9"/>
      <c r="O63" s="22">
        <v>0.166931</v>
      </c>
      <c r="P63" s="22">
        <v>9.5029900000000005</v>
      </c>
      <c r="Q63" s="22">
        <v>-1.39221E-2</v>
      </c>
      <c r="R63" s="22">
        <v>53</v>
      </c>
      <c r="S63" s="22">
        <v>0.166412</v>
      </c>
      <c r="T63">
        <f t="shared" si="2"/>
        <v>17.187777777777779</v>
      </c>
      <c r="U63">
        <f t="shared" si="3"/>
        <v>2.8691729322222224</v>
      </c>
      <c r="X63" s="9"/>
      <c r="Y63" s="22">
        <v>1.5130600000000001</v>
      </c>
      <c r="Z63" s="22">
        <v>15.0143</v>
      </c>
      <c r="AA63" s="22">
        <v>-1.1831700000000001E-2</v>
      </c>
      <c r="AB63" s="22">
        <v>53</v>
      </c>
      <c r="AC63" s="22">
        <v>1.5124500000000001</v>
      </c>
      <c r="AD63">
        <f t="shared" si="4"/>
        <v>14.607037037037037</v>
      </c>
      <c r="AE63">
        <f t="shared" si="5"/>
        <v>22.101323459259259</v>
      </c>
      <c r="AF63" s="9"/>
      <c r="AG63" s="22">
        <v>0.166931</v>
      </c>
      <c r="AH63" s="22">
        <v>18.793199999999999</v>
      </c>
      <c r="AI63" s="22">
        <v>-1.3958699999999999E-2</v>
      </c>
      <c r="AJ63" s="22">
        <v>53</v>
      </c>
      <c r="AK63" s="22">
        <v>0.166321</v>
      </c>
      <c r="AL63">
        <f t="shared" si="6"/>
        <v>17.232962962962961</v>
      </c>
      <c r="AM63">
        <f t="shared" si="7"/>
        <v>2.8767157403703703</v>
      </c>
      <c r="AP63" s="9"/>
      <c r="AQ63" s="22">
        <v>1.5130600000000001</v>
      </c>
      <c r="AR63" s="22">
        <v>24.240500000000001</v>
      </c>
      <c r="AS63" s="22">
        <v>-1.17798E-2</v>
      </c>
      <c r="AT63" s="22">
        <v>53</v>
      </c>
      <c r="AU63" s="22">
        <v>1.5115400000000001</v>
      </c>
      <c r="AV63">
        <f t="shared" si="8"/>
        <v>14.542962962962962</v>
      </c>
      <c r="AW63">
        <f t="shared" si="9"/>
        <v>22.004375540740739</v>
      </c>
      <c r="AX63" s="9"/>
      <c r="AY63" s="22">
        <v>0.166931</v>
      </c>
      <c r="AZ63" s="22">
        <v>28.019500000000001</v>
      </c>
      <c r="BA63" s="22">
        <v>-1.3964799999999999E-2</v>
      </c>
      <c r="BB63" s="22">
        <v>53</v>
      </c>
      <c r="BC63" s="22">
        <v>0.166412</v>
      </c>
      <c r="BD63">
        <f t="shared" si="10"/>
        <v>17.240493827160492</v>
      </c>
      <c r="BE63">
        <f t="shared" si="11"/>
        <v>2.8779728750617282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1.50803</v>
      </c>
      <c r="H64" s="22">
        <v>5.7341600000000001</v>
      </c>
      <c r="I64" s="22">
        <v>-1.17004E-2</v>
      </c>
      <c r="J64" s="22">
        <v>54</v>
      </c>
      <c r="K64" s="22">
        <v>1.50726</v>
      </c>
      <c r="L64">
        <f t="shared" si="0"/>
        <v>14.444938271604938</v>
      </c>
      <c r="M64">
        <f t="shared" si="1"/>
        <v>21.783400261728396</v>
      </c>
      <c r="N64" s="9"/>
      <c r="O64" s="22">
        <v>0.17196700000000001</v>
      </c>
      <c r="P64" s="22">
        <v>9.5130599999999994</v>
      </c>
      <c r="Q64" s="22">
        <v>-1.3916E-2</v>
      </c>
      <c r="R64" s="22">
        <v>54</v>
      </c>
      <c r="S64" s="22">
        <v>0.17141700000000001</v>
      </c>
      <c r="T64">
        <f t="shared" si="2"/>
        <v>17.180246913580245</v>
      </c>
      <c r="U64">
        <f t="shared" si="3"/>
        <v>2.9544355209876541</v>
      </c>
      <c r="X64" s="9"/>
      <c r="Y64" s="22">
        <v>1.50803</v>
      </c>
      <c r="Z64" s="22">
        <v>15.0244</v>
      </c>
      <c r="AA64" s="22">
        <v>-1.18835E-2</v>
      </c>
      <c r="AB64" s="22">
        <v>54</v>
      </c>
      <c r="AC64" s="22">
        <v>1.50665</v>
      </c>
      <c r="AD64">
        <f t="shared" si="4"/>
        <v>14.670987654320987</v>
      </c>
      <c r="AE64">
        <f t="shared" si="5"/>
        <v>22.124289512345676</v>
      </c>
      <c r="AF64" s="9"/>
      <c r="AG64" s="22">
        <v>0.17196700000000001</v>
      </c>
      <c r="AH64" s="22">
        <v>18.8033</v>
      </c>
      <c r="AI64" s="22">
        <v>-1.3958699999999999E-2</v>
      </c>
      <c r="AJ64" s="22">
        <v>54</v>
      </c>
      <c r="AK64" s="22">
        <v>0.17144799999999999</v>
      </c>
      <c r="AL64">
        <f t="shared" si="6"/>
        <v>17.232962962962961</v>
      </c>
      <c r="AM64">
        <f t="shared" si="7"/>
        <v>2.9635009418518519</v>
      </c>
      <c r="AP64" s="9"/>
      <c r="AQ64" s="22">
        <v>1.50803</v>
      </c>
      <c r="AR64" s="22">
        <v>24.250599999999999</v>
      </c>
      <c r="AS64" s="22">
        <v>-1.18225E-2</v>
      </c>
      <c r="AT64" s="22">
        <v>54</v>
      </c>
      <c r="AU64" s="22">
        <v>1.50726</v>
      </c>
      <c r="AV64">
        <f t="shared" si="8"/>
        <v>14.595679012345677</v>
      </c>
      <c r="AW64">
        <f t="shared" si="9"/>
        <v>22.010721820987651</v>
      </c>
      <c r="AX64" s="9"/>
      <c r="AY64" s="22">
        <v>0.17196700000000001</v>
      </c>
      <c r="AZ64" s="22">
        <v>28.029499999999999</v>
      </c>
      <c r="BA64" s="22">
        <v>-1.39618E-2</v>
      </c>
      <c r="BB64" s="22">
        <v>54</v>
      </c>
      <c r="BC64" s="22">
        <v>0.17147799999999999</v>
      </c>
      <c r="BD64">
        <f t="shared" si="10"/>
        <v>17.236790123456789</v>
      </c>
      <c r="BE64">
        <f t="shared" si="11"/>
        <v>2.9641590871604939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1.50299</v>
      </c>
      <c r="H65" s="22">
        <v>5.7442299999999999</v>
      </c>
      <c r="I65" s="22">
        <v>-1.1749300000000001E-2</v>
      </c>
      <c r="J65" s="22">
        <v>55</v>
      </c>
      <c r="K65" s="22">
        <v>1.50177</v>
      </c>
      <c r="L65">
        <f t="shared" si="0"/>
        <v>14.505308641975308</v>
      </c>
      <c r="M65">
        <f t="shared" si="1"/>
        <v>21.80133383580247</v>
      </c>
      <c r="N65" s="9"/>
      <c r="O65" s="22">
        <v>0.17700199999999999</v>
      </c>
      <c r="P65" s="22">
        <v>9.5231300000000001</v>
      </c>
      <c r="Q65" s="22">
        <v>-1.3913E-2</v>
      </c>
      <c r="R65" s="22">
        <v>55</v>
      </c>
      <c r="S65" s="22">
        <v>0.176453</v>
      </c>
      <c r="T65">
        <f t="shared" si="2"/>
        <v>17.176543209876542</v>
      </c>
      <c r="U65">
        <f t="shared" si="3"/>
        <v>3.0402825012345676</v>
      </c>
      <c r="X65" s="9"/>
      <c r="Y65" s="22">
        <v>1.50299</v>
      </c>
      <c r="Z65" s="22">
        <v>15.0345</v>
      </c>
      <c r="AA65" s="22">
        <v>-1.19232E-2</v>
      </c>
      <c r="AB65" s="22">
        <v>55</v>
      </c>
      <c r="AC65" s="22">
        <v>1.5020800000000001</v>
      </c>
      <c r="AD65">
        <f t="shared" si="4"/>
        <v>14.719999999999999</v>
      </c>
      <c r="AE65">
        <f t="shared" si="5"/>
        <v>22.124012799999999</v>
      </c>
      <c r="AF65" s="9"/>
      <c r="AG65" s="22">
        <v>0.17700199999999999</v>
      </c>
      <c r="AH65" s="22">
        <v>18.813400000000001</v>
      </c>
      <c r="AI65" s="22">
        <v>-1.3958699999999999E-2</v>
      </c>
      <c r="AJ65" s="22">
        <v>55</v>
      </c>
      <c r="AK65" s="22">
        <v>0.176453</v>
      </c>
      <c r="AL65">
        <f t="shared" si="6"/>
        <v>17.232962962962961</v>
      </c>
      <c r="AM65">
        <f t="shared" si="7"/>
        <v>3.0502689103703702</v>
      </c>
      <c r="AP65" s="9"/>
      <c r="AQ65" s="22">
        <v>1.50299</v>
      </c>
      <c r="AR65" s="22">
        <v>24.2607</v>
      </c>
      <c r="AS65" s="22">
        <v>-1.1865199999999999E-2</v>
      </c>
      <c r="AT65" s="22">
        <v>55</v>
      </c>
      <c r="AU65" s="22">
        <v>1.5020800000000001</v>
      </c>
      <c r="AV65">
        <f t="shared" si="8"/>
        <v>14.648395061728394</v>
      </c>
      <c r="AW65">
        <f t="shared" si="9"/>
        <v>22.016391293827159</v>
      </c>
      <c r="AX65" s="9"/>
      <c r="AY65" s="22">
        <v>0.17700199999999999</v>
      </c>
      <c r="AZ65" s="22">
        <v>28.0396</v>
      </c>
      <c r="BA65" s="22">
        <v>-1.39618E-2</v>
      </c>
      <c r="BB65" s="22">
        <v>55</v>
      </c>
      <c r="BC65" s="22">
        <v>0.176483</v>
      </c>
      <c r="BD65">
        <f t="shared" si="10"/>
        <v>17.236790123456789</v>
      </c>
      <c r="BE65">
        <f t="shared" si="11"/>
        <v>3.0509463254320983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1.49796</v>
      </c>
      <c r="H66" s="22">
        <v>5.7542999999999997</v>
      </c>
      <c r="I66" s="22">
        <v>-1.1798100000000001E-2</v>
      </c>
      <c r="J66" s="22">
        <v>56</v>
      </c>
      <c r="K66" s="22">
        <v>1.49658</v>
      </c>
      <c r="L66">
        <f t="shared" si="0"/>
        <v>14.565555555555555</v>
      </c>
      <c r="M66">
        <f t="shared" si="1"/>
        <v>21.818619599999998</v>
      </c>
      <c r="N66" s="9"/>
      <c r="O66" s="22">
        <v>0.182037</v>
      </c>
      <c r="P66" s="22">
        <v>9.5332100000000004</v>
      </c>
      <c r="Q66" s="22">
        <v>-1.3913E-2</v>
      </c>
      <c r="R66" s="22">
        <v>56</v>
      </c>
      <c r="S66" s="22">
        <v>0.18154899999999999</v>
      </c>
      <c r="T66">
        <f t="shared" si="2"/>
        <v>17.176543209876542</v>
      </c>
      <c r="U66">
        <f t="shared" si="3"/>
        <v>3.1267663962962962</v>
      </c>
      <c r="X66" s="9"/>
      <c r="Y66" s="22">
        <v>1.49796</v>
      </c>
      <c r="Z66" s="22">
        <v>15.044499999999999</v>
      </c>
      <c r="AA66" s="22">
        <v>-1.1972E-2</v>
      </c>
      <c r="AB66" s="22">
        <v>56</v>
      </c>
      <c r="AC66" s="22">
        <v>1.49658</v>
      </c>
      <c r="AD66">
        <f t="shared" si="4"/>
        <v>14.780246913580246</v>
      </c>
      <c r="AE66">
        <f t="shared" si="5"/>
        <v>22.140218666666666</v>
      </c>
      <c r="AF66" s="9"/>
      <c r="AG66" s="22">
        <v>0.182037</v>
      </c>
      <c r="AH66" s="22">
        <v>18.823399999999999</v>
      </c>
      <c r="AI66" s="22">
        <v>-1.39496E-2</v>
      </c>
      <c r="AJ66" s="22">
        <v>56</v>
      </c>
      <c r="AK66" s="22">
        <v>0.18148800000000001</v>
      </c>
      <c r="AL66">
        <f t="shared" si="6"/>
        <v>17.221728395061724</v>
      </c>
      <c r="AM66">
        <f t="shared" si="7"/>
        <v>3.1349917718518512</v>
      </c>
      <c r="AP66" s="9"/>
      <c r="AQ66" s="22">
        <v>1.49796</v>
      </c>
      <c r="AR66" s="22">
        <v>24.270700000000001</v>
      </c>
      <c r="AS66" s="22">
        <v>-1.19171E-2</v>
      </c>
      <c r="AT66" s="22">
        <v>56</v>
      </c>
      <c r="AU66" s="22">
        <v>1.49719</v>
      </c>
      <c r="AV66">
        <f t="shared" si="8"/>
        <v>14.712469135802468</v>
      </c>
      <c r="AW66">
        <f t="shared" si="9"/>
        <v>22.038690266666666</v>
      </c>
      <c r="AX66" s="9"/>
      <c r="AY66" s="22">
        <v>0.182037</v>
      </c>
      <c r="AZ66" s="22">
        <v>28.049700000000001</v>
      </c>
      <c r="BA66" s="22">
        <v>-1.39618E-2</v>
      </c>
      <c r="BB66" s="22">
        <v>56</v>
      </c>
      <c r="BC66" s="22">
        <v>0.18157999999999999</v>
      </c>
      <c r="BD66">
        <f t="shared" si="10"/>
        <v>17.236790123456789</v>
      </c>
      <c r="BE66">
        <f t="shared" si="11"/>
        <v>3.1377335637037036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1.49292</v>
      </c>
      <c r="H67" s="22">
        <v>5.7643700000000004</v>
      </c>
      <c r="I67" s="22">
        <v>-1.18469E-2</v>
      </c>
      <c r="J67" s="22">
        <v>57</v>
      </c>
      <c r="K67" s="22">
        <v>1.492</v>
      </c>
      <c r="L67">
        <f t="shared" si="0"/>
        <v>14.625802469135802</v>
      </c>
      <c r="M67">
        <f t="shared" si="1"/>
        <v>21.835153022222222</v>
      </c>
      <c r="N67" s="9"/>
      <c r="O67" s="22">
        <v>0.18707299999999999</v>
      </c>
      <c r="P67" s="22">
        <v>9.5432799999999993</v>
      </c>
      <c r="Q67" s="22">
        <v>-1.3916E-2</v>
      </c>
      <c r="R67" s="22">
        <v>57</v>
      </c>
      <c r="S67" s="22">
        <v>0.18649299999999999</v>
      </c>
      <c r="T67">
        <f t="shared" si="2"/>
        <v>17.180246913580245</v>
      </c>
      <c r="U67">
        <f t="shared" si="3"/>
        <v>3.2139603308641971</v>
      </c>
      <c r="X67" s="9"/>
      <c r="Y67" s="22">
        <v>1.49292</v>
      </c>
      <c r="Z67" s="22">
        <v>15.054600000000001</v>
      </c>
      <c r="AA67" s="22">
        <v>-1.2023900000000001E-2</v>
      </c>
      <c r="AB67" s="22">
        <v>57</v>
      </c>
      <c r="AC67" s="22">
        <v>1.492</v>
      </c>
      <c r="AD67">
        <f t="shared" si="4"/>
        <v>14.844320987654321</v>
      </c>
      <c r="AE67">
        <f t="shared" si="5"/>
        <v>22.16138368888889</v>
      </c>
      <c r="AF67" s="9"/>
      <c r="AG67" s="22">
        <v>0.18707299999999999</v>
      </c>
      <c r="AH67" s="22">
        <v>18.833500000000001</v>
      </c>
      <c r="AI67" s="22">
        <v>-1.3943499999999999E-2</v>
      </c>
      <c r="AJ67" s="22">
        <v>57</v>
      </c>
      <c r="AK67" s="22">
        <v>0.18652299999999999</v>
      </c>
      <c r="AL67">
        <f t="shared" si="6"/>
        <v>17.214197530864197</v>
      </c>
      <c r="AM67">
        <f t="shared" si="7"/>
        <v>3.2203115746913578</v>
      </c>
      <c r="AP67" s="9"/>
      <c r="AQ67" s="22">
        <v>1.49292</v>
      </c>
      <c r="AR67" s="22">
        <v>24.280799999999999</v>
      </c>
      <c r="AS67" s="22">
        <v>-1.1969E-2</v>
      </c>
      <c r="AT67" s="22">
        <v>57</v>
      </c>
      <c r="AU67" s="22">
        <v>1.49231</v>
      </c>
      <c r="AV67">
        <f t="shared" si="8"/>
        <v>14.776543209876543</v>
      </c>
      <c r="AW67">
        <f t="shared" si="9"/>
        <v>22.060196888888889</v>
      </c>
      <c r="AX67" s="9"/>
      <c r="AY67" s="22">
        <v>0.18707299999999999</v>
      </c>
      <c r="AZ67" s="22">
        <v>28.059799999999999</v>
      </c>
      <c r="BA67" s="22">
        <v>-1.3964799999999999E-2</v>
      </c>
      <c r="BB67" s="22">
        <v>57</v>
      </c>
      <c r="BC67" s="22">
        <v>0.186554</v>
      </c>
      <c r="BD67">
        <f t="shared" si="10"/>
        <v>17.240493827160492</v>
      </c>
      <c r="BE67">
        <f t="shared" si="11"/>
        <v>3.2252309017283944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1.4878800000000001</v>
      </c>
      <c r="H68" s="22">
        <v>5.7744400000000002</v>
      </c>
      <c r="I68" s="22">
        <v>-1.18958E-2</v>
      </c>
      <c r="J68" s="22">
        <v>58</v>
      </c>
      <c r="K68" s="22">
        <v>1.48682</v>
      </c>
      <c r="L68">
        <f t="shared" si="0"/>
        <v>14.686172839506172</v>
      </c>
      <c r="M68">
        <f t="shared" si="1"/>
        <v>21.851262844444445</v>
      </c>
      <c r="N68" s="9"/>
      <c r="O68" s="22">
        <v>0.192108</v>
      </c>
      <c r="P68" s="22">
        <v>9.55335</v>
      </c>
      <c r="Q68" s="22">
        <v>-1.39191E-2</v>
      </c>
      <c r="R68" s="22">
        <v>58</v>
      </c>
      <c r="S68" s="22">
        <v>0.19155900000000001</v>
      </c>
      <c r="T68">
        <f t="shared" si="2"/>
        <v>17.184074074074076</v>
      </c>
      <c r="U68">
        <f t="shared" si="3"/>
        <v>3.3011981022222225</v>
      </c>
      <c r="X68" s="9"/>
      <c r="Y68" s="22">
        <v>1.4878800000000001</v>
      </c>
      <c r="Z68" s="22">
        <v>15.0647</v>
      </c>
      <c r="AA68" s="22">
        <v>-1.2088E-2</v>
      </c>
      <c r="AB68" s="22">
        <v>58</v>
      </c>
      <c r="AC68" s="22">
        <v>1.48743</v>
      </c>
      <c r="AD68">
        <f t="shared" si="4"/>
        <v>14.923456790123456</v>
      </c>
      <c r="AE68">
        <f t="shared" si="5"/>
        <v>22.204312888888889</v>
      </c>
      <c r="AF68" s="9"/>
      <c r="AG68" s="22">
        <v>0.192108</v>
      </c>
      <c r="AH68" s="22">
        <v>18.843599999999999</v>
      </c>
      <c r="AI68" s="22">
        <v>-1.39404E-2</v>
      </c>
      <c r="AJ68" s="22">
        <v>58</v>
      </c>
      <c r="AK68" s="22">
        <v>0.19162000000000001</v>
      </c>
      <c r="AL68">
        <f t="shared" si="6"/>
        <v>17.21037037037037</v>
      </c>
      <c r="AM68">
        <f t="shared" si="7"/>
        <v>3.3062498311111113</v>
      </c>
      <c r="AP68" s="9"/>
      <c r="AQ68" s="22">
        <v>1.4878800000000001</v>
      </c>
      <c r="AR68" s="22">
        <v>24.290900000000001</v>
      </c>
      <c r="AS68" s="22">
        <v>-1.2008700000000001E-2</v>
      </c>
      <c r="AT68" s="22">
        <v>58</v>
      </c>
      <c r="AU68" s="22">
        <v>1.48773</v>
      </c>
      <c r="AV68">
        <f t="shared" si="8"/>
        <v>14.825555555555555</v>
      </c>
      <c r="AW68">
        <f t="shared" si="9"/>
        <v>22.0586476</v>
      </c>
      <c r="AX68" s="9"/>
      <c r="AY68" s="22">
        <v>0.192108</v>
      </c>
      <c r="AZ68" s="22">
        <v>28.069800000000001</v>
      </c>
      <c r="BA68" s="22">
        <v>-1.3958699999999999E-2</v>
      </c>
      <c r="BB68" s="22">
        <v>58</v>
      </c>
      <c r="BC68" s="22">
        <v>0.19162000000000001</v>
      </c>
      <c r="BD68">
        <f t="shared" si="10"/>
        <v>17.232962962962961</v>
      </c>
      <c r="BE68">
        <f t="shared" si="11"/>
        <v>3.3105900488888884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1.48285</v>
      </c>
      <c r="H69" s="22">
        <v>5.78451</v>
      </c>
      <c r="I69" s="22">
        <v>-1.1935400000000001E-2</v>
      </c>
      <c r="J69" s="22">
        <v>59</v>
      </c>
      <c r="K69" s="22">
        <v>1.48193</v>
      </c>
      <c r="L69">
        <f t="shared" si="0"/>
        <v>14.735061728395062</v>
      </c>
      <c r="M69">
        <f t="shared" si="1"/>
        <v>21.849886283950617</v>
      </c>
      <c r="N69" s="9"/>
      <c r="O69" s="22">
        <v>0.19714400000000001</v>
      </c>
      <c r="P69" s="22">
        <v>9.5634200000000007</v>
      </c>
      <c r="Q69" s="22">
        <v>-1.39191E-2</v>
      </c>
      <c r="R69" s="22">
        <v>59</v>
      </c>
      <c r="S69" s="22">
        <v>0.196655</v>
      </c>
      <c r="T69">
        <f t="shared" si="2"/>
        <v>17.184074074074076</v>
      </c>
      <c r="U69">
        <f t="shared" si="3"/>
        <v>3.3877370992592599</v>
      </c>
      <c r="X69" s="9"/>
      <c r="Y69" s="22">
        <v>1.48285</v>
      </c>
      <c r="Z69" s="22">
        <v>15.0747</v>
      </c>
      <c r="AA69" s="22">
        <v>-1.20941E-2</v>
      </c>
      <c r="AB69" s="22">
        <v>59</v>
      </c>
      <c r="AC69" s="22">
        <v>1.48224</v>
      </c>
      <c r="AD69">
        <f t="shared" si="4"/>
        <v>14.930987654320987</v>
      </c>
      <c r="AE69">
        <f t="shared" si="5"/>
        <v>22.140415043209874</v>
      </c>
      <c r="AF69" s="9"/>
      <c r="AG69" s="22">
        <v>0.19714400000000001</v>
      </c>
      <c r="AH69" s="22">
        <v>18.8536</v>
      </c>
      <c r="AI69" s="22">
        <v>-1.3937400000000001E-2</v>
      </c>
      <c r="AJ69" s="22">
        <v>59</v>
      </c>
      <c r="AK69" s="22">
        <v>0.19662499999999999</v>
      </c>
      <c r="AL69">
        <f t="shared" si="6"/>
        <v>17.206666666666667</v>
      </c>
      <c r="AM69">
        <f t="shared" si="7"/>
        <v>3.3921910933333335</v>
      </c>
      <c r="AP69" s="9"/>
      <c r="AQ69" s="22">
        <v>1.48285</v>
      </c>
      <c r="AR69" s="22">
        <v>24.300999999999998</v>
      </c>
      <c r="AS69" s="22">
        <v>-1.2042199999999999E-2</v>
      </c>
      <c r="AT69" s="22">
        <v>59</v>
      </c>
      <c r="AU69" s="22">
        <v>1.48224</v>
      </c>
      <c r="AV69">
        <f t="shared" si="8"/>
        <v>14.866913580246912</v>
      </c>
      <c r="AW69">
        <f t="shared" si="9"/>
        <v>22.045402802469134</v>
      </c>
      <c r="AX69" s="9"/>
      <c r="AY69" s="22">
        <v>0.19714400000000001</v>
      </c>
      <c r="AZ69" s="22">
        <v>28.079899999999999</v>
      </c>
      <c r="BA69" s="22">
        <v>-1.39557E-2</v>
      </c>
      <c r="BB69" s="22">
        <v>59</v>
      </c>
      <c r="BC69" s="22">
        <v>0.19662499999999999</v>
      </c>
      <c r="BD69">
        <f t="shared" si="10"/>
        <v>17.229259259259258</v>
      </c>
      <c r="BE69">
        <f t="shared" si="11"/>
        <v>3.3966450874074074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1.4778100000000001</v>
      </c>
      <c r="H70" s="22">
        <v>5.7945799999999998</v>
      </c>
      <c r="I70" s="22">
        <v>-1.1981199999999999E-2</v>
      </c>
      <c r="J70" s="22">
        <v>60</v>
      </c>
      <c r="K70" s="22">
        <v>1.47675</v>
      </c>
      <c r="L70">
        <f t="shared" si="0"/>
        <v>14.791604938271602</v>
      </c>
      <c r="M70">
        <f t="shared" si="1"/>
        <v>21.859181693827157</v>
      </c>
      <c r="N70" s="9"/>
      <c r="O70" s="22">
        <v>0.202179</v>
      </c>
      <c r="P70" s="22">
        <v>9.5734899999999996</v>
      </c>
      <c r="Q70" s="22">
        <v>-1.39221E-2</v>
      </c>
      <c r="R70" s="22">
        <v>60</v>
      </c>
      <c r="S70" s="22">
        <v>0.20166000000000001</v>
      </c>
      <c r="T70">
        <f t="shared" si="2"/>
        <v>17.187777777777779</v>
      </c>
      <c r="U70">
        <f t="shared" si="3"/>
        <v>3.4750077233333334</v>
      </c>
      <c r="X70" s="9"/>
      <c r="Y70" s="22">
        <v>1.4778100000000001</v>
      </c>
      <c r="Z70" s="22">
        <v>15.0848</v>
      </c>
      <c r="AA70" s="22">
        <v>-1.21429E-2</v>
      </c>
      <c r="AB70" s="22">
        <v>60</v>
      </c>
      <c r="AC70" s="22">
        <v>1.47736</v>
      </c>
      <c r="AD70">
        <f t="shared" si="4"/>
        <v>14.991234567901234</v>
      </c>
      <c r="AE70">
        <f t="shared" si="5"/>
        <v>22.154196356790123</v>
      </c>
      <c r="AF70" s="9"/>
      <c r="AG70" s="22">
        <v>0.202179</v>
      </c>
      <c r="AH70" s="22">
        <v>18.863700000000001</v>
      </c>
      <c r="AI70" s="22">
        <v>-1.3931300000000001E-2</v>
      </c>
      <c r="AJ70" s="22">
        <v>60</v>
      </c>
      <c r="AK70" s="22">
        <v>0.20166000000000001</v>
      </c>
      <c r="AL70">
        <f t="shared" si="6"/>
        <v>17.199135802469137</v>
      </c>
      <c r="AM70">
        <f t="shared" si="7"/>
        <v>3.4773040774074073</v>
      </c>
      <c r="AP70" s="9"/>
      <c r="AQ70" s="22">
        <v>1.4778100000000001</v>
      </c>
      <c r="AR70" s="22">
        <v>24.311</v>
      </c>
      <c r="AS70" s="22">
        <v>-1.20819E-2</v>
      </c>
      <c r="AT70" s="22">
        <v>60</v>
      </c>
      <c r="AU70" s="22">
        <v>1.47675</v>
      </c>
      <c r="AV70">
        <f t="shared" si="8"/>
        <v>14.915925925925924</v>
      </c>
      <c r="AW70">
        <f t="shared" si="9"/>
        <v>22.042904492592591</v>
      </c>
      <c r="AX70" s="9"/>
      <c r="AY70" s="22">
        <v>0.202179</v>
      </c>
      <c r="AZ70" s="22">
        <v>28.09</v>
      </c>
      <c r="BA70" s="22">
        <v>-1.39557E-2</v>
      </c>
      <c r="BB70" s="22">
        <v>60</v>
      </c>
      <c r="BC70" s="22">
        <v>0.20166000000000001</v>
      </c>
      <c r="BD70">
        <f t="shared" si="10"/>
        <v>17.229259259259258</v>
      </c>
      <c r="BE70">
        <f t="shared" si="11"/>
        <v>3.4833944077777774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1.47278</v>
      </c>
      <c r="H71" s="22">
        <v>5.8046499999999996</v>
      </c>
      <c r="I71" s="22">
        <v>-1.20178E-2</v>
      </c>
      <c r="J71" s="22">
        <v>61</v>
      </c>
      <c r="K71" s="22">
        <v>1.47156</v>
      </c>
      <c r="L71">
        <f t="shared" si="0"/>
        <v>14.836790123456788</v>
      </c>
      <c r="M71">
        <f t="shared" si="1"/>
        <v>21.851327758024688</v>
      </c>
      <c r="N71" s="9"/>
      <c r="O71" s="22">
        <v>0.20721400000000001</v>
      </c>
      <c r="P71" s="22">
        <v>9.5835600000000003</v>
      </c>
      <c r="Q71" s="22">
        <v>-1.39191E-2</v>
      </c>
      <c r="R71" s="22">
        <v>61</v>
      </c>
      <c r="S71" s="22">
        <v>0.20669599999999999</v>
      </c>
      <c r="T71">
        <f t="shared" si="2"/>
        <v>17.184074074074076</v>
      </c>
      <c r="U71">
        <f t="shared" si="3"/>
        <v>3.5607807251851855</v>
      </c>
      <c r="X71" s="9"/>
      <c r="Y71" s="22">
        <v>1.47278</v>
      </c>
      <c r="Z71" s="22">
        <v>15.094900000000001</v>
      </c>
      <c r="AA71" s="22">
        <v>-1.21765E-2</v>
      </c>
      <c r="AB71" s="22">
        <v>61</v>
      </c>
      <c r="AC71" s="22">
        <v>1.4718599999999999</v>
      </c>
      <c r="AD71">
        <f t="shared" si="4"/>
        <v>15.032716049382715</v>
      </c>
      <c r="AE71">
        <f t="shared" si="5"/>
        <v>22.139883543209876</v>
      </c>
      <c r="AF71" s="9"/>
      <c r="AG71" s="22">
        <v>0.20721400000000001</v>
      </c>
      <c r="AH71" s="22">
        <v>18.873799999999999</v>
      </c>
      <c r="AI71" s="22">
        <v>-1.39343E-2</v>
      </c>
      <c r="AJ71" s="22">
        <v>61</v>
      </c>
      <c r="AK71" s="22">
        <v>0.20663500000000001</v>
      </c>
      <c r="AL71">
        <f t="shared" si="6"/>
        <v>17.202839506172836</v>
      </c>
      <c r="AM71">
        <f t="shared" si="7"/>
        <v>3.5646691854320984</v>
      </c>
      <c r="AP71" s="9"/>
      <c r="AQ71" s="22">
        <v>1.47278</v>
      </c>
      <c r="AR71" s="22">
        <v>24.321100000000001</v>
      </c>
      <c r="AS71" s="22">
        <v>-1.21155E-2</v>
      </c>
      <c r="AT71" s="22">
        <v>61</v>
      </c>
      <c r="AU71" s="22">
        <v>1.4718599999999999</v>
      </c>
      <c r="AV71">
        <f t="shared" si="8"/>
        <v>14.957407407407405</v>
      </c>
      <c r="AW71">
        <f t="shared" si="9"/>
        <v>22.02897048148148</v>
      </c>
      <c r="AX71" s="9"/>
      <c r="AY71" s="22">
        <v>0.20721400000000001</v>
      </c>
      <c r="AZ71" s="22">
        <v>28.1</v>
      </c>
      <c r="BA71" s="22">
        <v>-1.3952600000000001E-2</v>
      </c>
      <c r="BB71" s="22">
        <v>61</v>
      </c>
      <c r="BC71" s="22">
        <v>0.20669599999999999</v>
      </c>
      <c r="BD71">
        <f t="shared" si="10"/>
        <v>17.225432098765431</v>
      </c>
      <c r="BE71">
        <f t="shared" si="11"/>
        <v>3.5693506869135803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1.46774</v>
      </c>
      <c r="H72" s="22">
        <v>5.81473</v>
      </c>
      <c r="I72" s="22">
        <v>-1.2057500000000001E-2</v>
      </c>
      <c r="J72" s="22">
        <v>62</v>
      </c>
      <c r="K72" s="22">
        <v>1.46759</v>
      </c>
      <c r="L72">
        <f t="shared" si="0"/>
        <v>14.885802469135802</v>
      </c>
      <c r="M72">
        <f t="shared" si="1"/>
        <v>21.848487716049384</v>
      </c>
      <c r="N72" s="9"/>
      <c r="O72" s="22">
        <v>0.21224999999999999</v>
      </c>
      <c r="P72" s="22">
        <v>9.5936299999999992</v>
      </c>
      <c r="Q72" s="22">
        <v>-1.3913E-2</v>
      </c>
      <c r="R72" s="22">
        <v>62</v>
      </c>
      <c r="S72" s="22">
        <v>0.21167</v>
      </c>
      <c r="T72">
        <f t="shared" si="2"/>
        <v>17.176543209876542</v>
      </c>
      <c r="U72">
        <f t="shared" si="3"/>
        <v>3.6457212962962959</v>
      </c>
      <c r="X72" s="9"/>
      <c r="Y72" s="22">
        <v>1.46774</v>
      </c>
      <c r="Z72" s="22">
        <v>15.104900000000001</v>
      </c>
      <c r="AA72" s="22">
        <v>-1.22253E-2</v>
      </c>
      <c r="AB72" s="22">
        <v>62</v>
      </c>
      <c r="AC72" s="22">
        <v>1.46637</v>
      </c>
      <c r="AD72">
        <f t="shared" si="4"/>
        <v>15.092962962962961</v>
      </c>
      <c r="AE72">
        <f t="shared" si="5"/>
        <v>22.152545459259258</v>
      </c>
      <c r="AF72" s="9"/>
      <c r="AG72" s="22">
        <v>0.21224999999999999</v>
      </c>
      <c r="AH72" s="22">
        <v>18.883900000000001</v>
      </c>
      <c r="AI72" s="22">
        <v>-1.39343E-2</v>
      </c>
      <c r="AJ72" s="22">
        <v>62</v>
      </c>
      <c r="AK72" s="22">
        <v>0.21167</v>
      </c>
      <c r="AL72">
        <f t="shared" si="6"/>
        <v>17.202839506172836</v>
      </c>
      <c r="AM72">
        <f t="shared" si="7"/>
        <v>3.6513026851851844</v>
      </c>
      <c r="AP72" s="9"/>
      <c r="AQ72" s="22">
        <v>1.46774</v>
      </c>
      <c r="AR72" s="22">
        <v>24.331199999999999</v>
      </c>
      <c r="AS72" s="22">
        <v>-1.2146000000000001E-2</v>
      </c>
      <c r="AT72" s="22">
        <v>62</v>
      </c>
      <c r="AU72" s="22">
        <v>1.46698</v>
      </c>
      <c r="AV72">
        <f t="shared" si="8"/>
        <v>14.995061728395061</v>
      </c>
      <c r="AW72">
        <f t="shared" si="9"/>
        <v>22.008851901234568</v>
      </c>
      <c r="AX72" s="9"/>
      <c r="AY72" s="22">
        <v>0.21224999999999999</v>
      </c>
      <c r="AZ72" s="22">
        <v>28.110099999999999</v>
      </c>
      <c r="BA72" s="22">
        <v>-1.39557E-2</v>
      </c>
      <c r="BB72" s="22">
        <v>62</v>
      </c>
      <c r="BC72" s="22">
        <v>0.2117</v>
      </c>
      <c r="BD72">
        <f t="shared" si="10"/>
        <v>17.229259259259258</v>
      </c>
      <c r="BE72">
        <f t="shared" si="11"/>
        <v>3.6569102777777776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1.46271</v>
      </c>
      <c r="H73" s="22">
        <v>5.8247999999999998</v>
      </c>
      <c r="I73" s="22">
        <v>-1.20941E-2</v>
      </c>
      <c r="J73" s="22">
        <v>63</v>
      </c>
      <c r="K73" s="22">
        <v>1.4621</v>
      </c>
      <c r="L73">
        <f t="shared" si="0"/>
        <v>14.930987654320987</v>
      </c>
      <c r="M73">
        <f t="shared" si="1"/>
        <v>21.83970495185185</v>
      </c>
      <c r="N73" s="9"/>
      <c r="O73" s="22">
        <v>0.21728500000000001</v>
      </c>
      <c r="P73" s="22">
        <v>9.6036999999999999</v>
      </c>
      <c r="Q73" s="22">
        <v>-1.3913E-2</v>
      </c>
      <c r="R73" s="22">
        <v>63</v>
      </c>
      <c r="S73" s="22">
        <v>0.21673600000000001</v>
      </c>
      <c r="T73">
        <f t="shared" si="2"/>
        <v>17.176543209876542</v>
      </c>
      <c r="U73">
        <f t="shared" si="3"/>
        <v>3.7322051913580245</v>
      </c>
      <c r="X73" s="9"/>
      <c r="Y73" s="22">
        <v>1.46271</v>
      </c>
      <c r="Z73" s="22">
        <v>15.115</v>
      </c>
      <c r="AA73" s="22">
        <v>-1.22589E-2</v>
      </c>
      <c r="AB73" s="22">
        <v>63</v>
      </c>
      <c r="AC73" s="22">
        <v>1.4621</v>
      </c>
      <c r="AD73">
        <f t="shared" si="4"/>
        <v>15.134444444444444</v>
      </c>
      <c r="AE73">
        <f t="shared" si="5"/>
        <v>22.137303233333331</v>
      </c>
      <c r="AF73" s="9"/>
      <c r="AG73" s="22">
        <v>0.21728500000000001</v>
      </c>
      <c r="AH73" s="22">
        <v>18.893899999999999</v>
      </c>
      <c r="AI73" s="22">
        <v>-1.39343E-2</v>
      </c>
      <c r="AJ73" s="22">
        <v>63</v>
      </c>
      <c r="AK73" s="22">
        <v>0.21673600000000001</v>
      </c>
      <c r="AL73">
        <f t="shared" si="6"/>
        <v>17.202839506172836</v>
      </c>
      <c r="AM73">
        <f t="shared" si="7"/>
        <v>3.7379189820987646</v>
      </c>
      <c r="AP73" s="9"/>
      <c r="AQ73" s="22">
        <v>1.46271</v>
      </c>
      <c r="AR73" s="22">
        <v>24.341200000000001</v>
      </c>
      <c r="AS73" s="22">
        <v>-1.21887E-2</v>
      </c>
      <c r="AT73" s="22">
        <v>63</v>
      </c>
      <c r="AU73" s="22">
        <v>1.4621</v>
      </c>
      <c r="AV73">
        <f t="shared" si="8"/>
        <v>15.047777777777776</v>
      </c>
      <c r="AW73">
        <f t="shared" si="9"/>
        <v>22.01053503333333</v>
      </c>
      <c r="AX73" s="9"/>
      <c r="AY73" s="22">
        <v>0.21728500000000001</v>
      </c>
      <c r="AZ73" s="22">
        <v>28.120200000000001</v>
      </c>
      <c r="BA73" s="22">
        <v>-1.39496E-2</v>
      </c>
      <c r="BB73" s="22">
        <v>63</v>
      </c>
      <c r="BC73" s="22">
        <v>0.21670500000000001</v>
      </c>
      <c r="BD73">
        <f t="shared" si="10"/>
        <v>17.221728395061724</v>
      </c>
      <c r="BE73">
        <f t="shared" si="11"/>
        <v>3.742023254320987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1.45767</v>
      </c>
      <c r="H74" s="22">
        <v>5.8348699999999996</v>
      </c>
      <c r="I74" s="22">
        <v>-1.21429E-2</v>
      </c>
      <c r="J74" s="22">
        <v>64</v>
      </c>
      <c r="K74" s="22">
        <v>1.4572099999999999</v>
      </c>
      <c r="L74">
        <f t="shared" si="0"/>
        <v>14.991234567901234</v>
      </c>
      <c r="M74">
        <f t="shared" si="1"/>
        <v>21.852272892592591</v>
      </c>
      <c r="N74" s="9"/>
      <c r="O74" s="22">
        <v>0.22232099999999999</v>
      </c>
      <c r="P74" s="22">
        <v>9.6137700000000006</v>
      </c>
      <c r="Q74" s="22">
        <v>-1.3909899999999999E-2</v>
      </c>
      <c r="R74" s="22">
        <v>64</v>
      </c>
      <c r="S74" s="22">
        <v>0.221771</v>
      </c>
      <c r="T74">
        <f t="shared" si="2"/>
        <v>17.172716049382714</v>
      </c>
      <c r="U74">
        <f t="shared" si="3"/>
        <v>3.8178554048148143</v>
      </c>
      <c r="X74" s="9"/>
      <c r="Y74" s="22">
        <v>1.45767</v>
      </c>
      <c r="Z74" s="22">
        <v>15.1251</v>
      </c>
      <c r="AA74" s="22">
        <v>-1.2274200000000001E-2</v>
      </c>
      <c r="AB74" s="22">
        <v>64</v>
      </c>
      <c r="AC74" s="22">
        <v>1.4569099999999999</v>
      </c>
      <c r="AD74">
        <f t="shared" si="4"/>
        <v>15.153333333333332</v>
      </c>
      <c r="AE74">
        <f t="shared" si="5"/>
        <v>22.088559399999998</v>
      </c>
      <c r="AF74" s="9"/>
      <c r="AG74" s="22">
        <v>0.22232099999999999</v>
      </c>
      <c r="AH74" s="22">
        <v>18.904</v>
      </c>
      <c r="AI74" s="22">
        <v>-1.39343E-2</v>
      </c>
      <c r="AJ74" s="22">
        <v>64</v>
      </c>
      <c r="AK74" s="22">
        <v>0.22174099999999999</v>
      </c>
      <c r="AL74">
        <f t="shared" si="6"/>
        <v>17.202839506172836</v>
      </c>
      <c r="AM74">
        <f t="shared" si="7"/>
        <v>3.824552481851851</v>
      </c>
      <c r="AP74" s="9"/>
      <c r="AQ74" s="22">
        <v>1.45767</v>
      </c>
      <c r="AR74" s="22">
        <v>24.351299999999998</v>
      </c>
      <c r="AS74" s="22">
        <v>-1.22253E-2</v>
      </c>
      <c r="AT74" s="22">
        <v>64</v>
      </c>
      <c r="AU74" s="22">
        <v>1.4565999999999999</v>
      </c>
      <c r="AV74">
        <f t="shared" si="8"/>
        <v>15.092962962962961</v>
      </c>
      <c r="AW74">
        <f t="shared" si="9"/>
        <v>22.00055932222222</v>
      </c>
      <c r="AX74" s="9"/>
      <c r="AY74" s="22">
        <v>0.22232099999999999</v>
      </c>
      <c r="AZ74" s="22">
        <v>28.130299999999998</v>
      </c>
      <c r="BA74" s="22">
        <v>-1.3946500000000001E-2</v>
      </c>
      <c r="BB74" s="22">
        <v>64</v>
      </c>
      <c r="BC74" s="22">
        <v>0.221832</v>
      </c>
      <c r="BD74">
        <f t="shared" si="10"/>
        <v>17.217901234567901</v>
      </c>
      <c r="BE74">
        <f t="shared" si="11"/>
        <v>3.8279010203703701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1.4526399999999999</v>
      </c>
      <c r="H75" s="22">
        <v>5.8449400000000002</v>
      </c>
      <c r="I75" s="22">
        <v>-1.21796E-2</v>
      </c>
      <c r="J75" s="22">
        <v>65</v>
      </c>
      <c r="K75" s="22">
        <v>1.4523299999999999</v>
      </c>
      <c r="L75">
        <f t="shared" si="0"/>
        <v>15.036543209876543</v>
      </c>
      <c r="M75">
        <f t="shared" si="1"/>
        <v>21.84268412839506</v>
      </c>
      <c r="N75" s="9"/>
      <c r="O75" s="22">
        <v>0.227356</v>
      </c>
      <c r="P75" s="22">
        <v>9.6238399999999995</v>
      </c>
      <c r="Q75" s="22">
        <v>-1.3909899999999999E-2</v>
      </c>
      <c r="R75" s="22">
        <v>65</v>
      </c>
      <c r="S75" s="22">
        <v>0.22680700000000001</v>
      </c>
      <c r="T75">
        <f t="shared" si="2"/>
        <v>17.172716049382714</v>
      </c>
      <c r="U75">
        <f t="shared" si="3"/>
        <v>3.9043200301234564</v>
      </c>
      <c r="X75" s="9"/>
      <c r="Y75" s="22">
        <v>1.4526399999999999</v>
      </c>
      <c r="Z75" s="22">
        <v>15.135199999999999</v>
      </c>
      <c r="AA75" s="22">
        <v>-1.2295499999999999E-2</v>
      </c>
      <c r="AB75" s="22">
        <v>65</v>
      </c>
      <c r="AC75" s="22">
        <v>1.4520299999999999</v>
      </c>
      <c r="AD75">
        <f t="shared" si="4"/>
        <v>15.179629629629629</v>
      </c>
      <c r="AE75">
        <f t="shared" si="5"/>
        <v>22.050537185185181</v>
      </c>
      <c r="AF75" s="9"/>
      <c r="AG75" s="22">
        <v>0.227356</v>
      </c>
      <c r="AH75" s="22">
        <v>18.914100000000001</v>
      </c>
      <c r="AI75" s="22">
        <v>-1.3931300000000001E-2</v>
      </c>
      <c r="AJ75" s="22">
        <v>65</v>
      </c>
      <c r="AK75" s="22">
        <v>0.22680700000000001</v>
      </c>
      <c r="AL75">
        <f t="shared" si="6"/>
        <v>17.199135802469137</v>
      </c>
      <c r="AM75">
        <f t="shared" si="7"/>
        <v>3.9103267195061728</v>
      </c>
      <c r="AP75" s="9"/>
      <c r="AQ75" s="22">
        <v>1.4526399999999999</v>
      </c>
      <c r="AR75" s="22">
        <v>24.3614</v>
      </c>
      <c r="AS75" s="22">
        <v>-1.22711E-2</v>
      </c>
      <c r="AT75" s="22">
        <v>65</v>
      </c>
      <c r="AU75" s="22">
        <v>1.4520299999999999</v>
      </c>
      <c r="AV75">
        <f t="shared" si="8"/>
        <v>15.149506172839505</v>
      </c>
      <c r="AW75">
        <f t="shared" si="9"/>
        <v>22.006778646913578</v>
      </c>
      <c r="AX75" s="9"/>
      <c r="AY75" s="22">
        <v>0.227356</v>
      </c>
      <c r="AZ75" s="22">
        <v>28.1403</v>
      </c>
      <c r="BA75" s="22">
        <v>-1.3946500000000001E-2</v>
      </c>
      <c r="BB75" s="22">
        <v>65</v>
      </c>
      <c r="BC75" s="22">
        <v>0.22686799999999999</v>
      </c>
      <c r="BD75">
        <f t="shared" si="10"/>
        <v>17.217901234567901</v>
      </c>
      <c r="BE75">
        <f t="shared" si="11"/>
        <v>3.9145931530864195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1.4476</v>
      </c>
      <c r="H76" s="22">
        <v>5.85501</v>
      </c>
      <c r="I76" s="22">
        <v>-1.22192E-2</v>
      </c>
      <c r="J76" s="22">
        <v>66</v>
      </c>
      <c r="K76" s="22">
        <v>1.4465300000000001</v>
      </c>
      <c r="L76">
        <f t="shared" ref="L76:L139" si="12">-I76/$F$2*1000</f>
        <v>15.08543209876543</v>
      </c>
      <c r="M76">
        <f t="shared" ref="M76:M139" si="13">L76*G76</f>
        <v>21.837671506172835</v>
      </c>
      <c r="N76" s="9"/>
      <c r="O76" s="22">
        <v>0.23239099999999999</v>
      </c>
      <c r="P76" s="22">
        <v>9.6339199999999998</v>
      </c>
      <c r="Q76" s="22">
        <v>-1.3903799999999999E-2</v>
      </c>
      <c r="R76" s="22">
        <v>66</v>
      </c>
      <c r="S76" s="22">
        <v>0.23181199999999999</v>
      </c>
      <c r="T76">
        <f t="shared" ref="T76:T139" si="14">-Q76/$F$2*1000</f>
        <v>17.165185185185184</v>
      </c>
      <c r="U76">
        <f t="shared" ref="U76:U139" si="15">T76*O76</f>
        <v>3.9890345503703699</v>
      </c>
      <c r="X76" s="9"/>
      <c r="Y76" s="22">
        <v>1.4476</v>
      </c>
      <c r="Z76" s="22">
        <v>15.145200000000001</v>
      </c>
      <c r="AA76" s="22">
        <v>-1.23474E-2</v>
      </c>
      <c r="AB76" s="22">
        <v>66</v>
      </c>
      <c r="AC76" s="22">
        <v>1.4471400000000001</v>
      </c>
      <c r="AD76">
        <f t="shared" ref="AD76:AD139" si="16">-AA76/$F$2*1000</f>
        <v>15.243703703703702</v>
      </c>
      <c r="AE76">
        <f t="shared" ref="AE76:AE139" si="17">AD76*Y76</f>
        <v>22.066785481481478</v>
      </c>
      <c r="AF76" s="9"/>
      <c r="AG76" s="22">
        <v>0.23239099999999999</v>
      </c>
      <c r="AH76" s="22">
        <v>18.924099999999999</v>
      </c>
      <c r="AI76" s="22">
        <v>-1.39221E-2</v>
      </c>
      <c r="AJ76" s="22">
        <v>66</v>
      </c>
      <c r="AK76" s="22">
        <v>0.231873</v>
      </c>
      <c r="AL76">
        <f t="shared" ref="AL76:AL139" si="18">-AI76/$F$2*1000</f>
        <v>17.187777777777779</v>
      </c>
      <c r="AM76">
        <f t="shared" ref="AM76:AM139" si="19">AL76*AG76</f>
        <v>3.9942848655555556</v>
      </c>
      <c r="AP76" s="9"/>
      <c r="AQ76" s="22">
        <v>1.4476</v>
      </c>
      <c r="AR76" s="22">
        <v>24.371500000000001</v>
      </c>
      <c r="AS76" s="22">
        <v>-1.2301599999999999E-2</v>
      </c>
      <c r="AT76" s="22">
        <v>66</v>
      </c>
      <c r="AU76" s="22">
        <v>1.4468399999999999</v>
      </c>
      <c r="AV76">
        <f t="shared" ref="AV76:AV139" si="20">-AS76/$F$2*1000</f>
        <v>15.187160493827157</v>
      </c>
      <c r="AW76">
        <f t="shared" ref="AW76:AW139" si="21">AV76*AQ76</f>
        <v>21.984933530864193</v>
      </c>
      <c r="AX76" s="9"/>
      <c r="AY76" s="22">
        <v>0.23239099999999999</v>
      </c>
      <c r="AZ76" s="22">
        <v>28.150400000000001</v>
      </c>
      <c r="BA76" s="22">
        <v>-1.3946500000000001E-2</v>
      </c>
      <c r="BB76" s="22">
        <v>66</v>
      </c>
      <c r="BC76" s="22">
        <v>0.23181199999999999</v>
      </c>
      <c r="BD76">
        <f t="shared" ref="BD76:BD139" si="22">-BA76/$F$2*1000</f>
        <v>17.217901234567901</v>
      </c>
      <c r="BE76">
        <f t="shared" ref="BE76:BE139" si="23">BD76*AY76</f>
        <v>4.001285285802469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1.4425699999999999</v>
      </c>
      <c r="H77" s="22">
        <v>5.8650799999999998</v>
      </c>
      <c r="I77" s="22">
        <v>-1.2262E-2</v>
      </c>
      <c r="J77" s="22">
        <v>67</v>
      </c>
      <c r="K77" s="22">
        <v>1.4416500000000001</v>
      </c>
      <c r="L77">
        <f t="shared" si="12"/>
        <v>15.138271604938272</v>
      </c>
      <c r="M77">
        <f t="shared" si="13"/>
        <v>21.838016469135802</v>
      </c>
      <c r="N77" s="9"/>
      <c r="O77" s="22">
        <v>0.237427</v>
      </c>
      <c r="P77" s="22">
        <v>9.6439900000000005</v>
      </c>
      <c r="Q77" s="22">
        <v>-1.39008E-2</v>
      </c>
      <c r="R77" s="22">
        <v>67</v>
      </c>
      <c r="S77" s="22">
        <v>0.236847</v>
      </c>
      <c r="T77">
        <f t="shared" si="14"/>
        <v>17.161481481481481</v>
      </c>
      <c r="U77">
        <f t="shared" si="15"/>
        <v>4.0745990637037037</v>
      </c>
      <c r="X77" s="9"/>
      <c r="Y77" s="22">
        <v>1.4425699999999999</v>
      </c>
      <c r="Z77" s="22">
        <v>15.1553</v>
      </c>
      <c r="AA77" s="22">
        <v>-1.2381E-2</v>
      </c>
      <c r="AB77" s="22">
        <v>67</v>
      </c>
      <c r="AC77" s="22">
        <v>1.4413499999999999</v>
      </c>
      <c r="AD77">
        <f t="shared" si="16"/>
        <v>15.285185185185183</v>
      </c>
      <c r="AE77">
        <f t="shared" si="17"/>
        <v>22.049949592592586</v>
      </c>
      <c r="AF77" s="9"/>
      <c r="AG77" s="22">
        <v>0.237427</v>
      </c>
      <c r="AH77" s="22">
        <v>18.934200000000001</v>
      </c>
      <c r="AI77" s="22">
        <v>-1.39191E-2</v>
      </c>
      <c r="AJ77" s="22">
        <v>67</v>
      </c>
      <c r="AK77" s="22">
        <v>0.23693800000000001</v>
      </c>
      <c r="AL77">
        <f t="shared" si="18"/>
        <v>17.184074074074076</v>
      </c>
      <c r="AM77">
        <f t="shared" si="19"/>
        <v>4.0799631551851858</v>
      </c>
      <c r="AP77" s="9"/>
      <c r="AQ77" s="22">
        <v>1.4425699999999999</v>
      </c>
      <c r="AR77" s="22">
        <v>24.381499999999999</v>
      </c>
      <c r="AS77" s="22">
        <v>-1.2329100000000001E-2</v>
      </c>
      <c r="AT77" s="22">
        <v>67</v>
      </c>
      <c r="AU77" s="22">
        <v>1.4419599999999999</v>
      </c>
      <c r="AV77">
        <f t="shared" si="20"/>
        <v>15.22111111111111</v>
      </c>
      <c r="AW77">
        <f t="shared" si="21"/>
        <v>21.957518255555552</v>
      </c>
      <c r="AX77" s="9"/>
      <c r="AY77" s="22">
        <v>0.237427</v>
      </c>
      <c r="AZ77" s="22">
        <v>28.160499999999999</v>
      </c>
      <c r="BA77" s="22">
        <v>-1.3943499999999999E-2</v>
      </c>
      <c r="BB77" s="22">
        <v>67</v>
      </c>
      <c r="BC77" s="22">
        <v>0.23690800000000001</v>
      </c>
      <c r="BD77">
        <f t="shared" si="22"/>
        <v>17.214197530864197</v>
      </c>
      <c r="BE77">
        <f t="shared" si="23"/>
        <v>4.0871152771604935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1.43753</v>
      </c>
      <c r="H78" s="22">
        <v>5.8751499999999997</v>
      </c>
      <c r="I78" s="22">
        <v>-1.22833E-2</v>
      </c>
      <c r="J78" s="22">
        <v>68</v>
      </c>
      <c r="K78" s="22">
        <v>1.4361600000000001</v>
      </c>
      <c r="L78">
        <f t="shared" si="12"/>
        <v>15.164567901234568</v>
      </c>
      <c r="M78">
        <f t="shared" si="13"/>
        <v>21.799521295061727</v>
      </c>
      <c r="N78" s="9"/>
      <c r="O78" s="22">
        <v>0.24246200000000001</v>
      </c>
      <c r="P78" s="22">
        <v>9.6540599999999994</v>
      </c>
      <c r="Q78" s="22">
        <v>-1.39008E-2</v>
      </c>
      <c r="R78" s="22">
        <v>68</v>
      </c>
      <c r="S78" s="22">
        <v>0.24191299999999999</v>
      </c>
      <c r="T78">
        <f t="shared" si="14"/>
        <v>17.161481481481481</v>
      </c>
      <c r="U78">
        <f t="shared" si="15"/>
        <v>4.161007122962963</v>
      </c>
      <c r="X78" s="9"/>
      <c r="Y78" s="22">
        <v>1.43753</v>
      </c>
      <c r="Z78" s="22">
        <v>15.1654</v>
      </c>
      <c r="AA78" s="22">
        <v>-1.23993E-2</v>
      </c>
      <c r="AB78" s="22">
        <v>68</v>
      </c>
      <c r="AC78" s="22">
        <v>1.4367700000000001</v>
      </c>
      <c r="AD78">
        <f t="shared" si="16"/>
        <v>15.307777777777778</v>
      </c>
      <c r="AE78">
        <f t="shared" si="17"/>
        <v>22.005389788888888</v>
      </c>
      <c r="AF78" s="9"/>
      <c r="AG78" s="22">
        <v>0.24246200000000001</v>
      </c>
      <c r="AH78" s="22">
        <v>18.944299999999998</v>
      </c>
      <c r="AI78" s="22">
        <v>-1.3916E-2</v>
      </c>
      <c r="AJ78" s="22">
        <v>68</v>
      </c>
      <c r="AK78" s="22">
        <v>0.24185200000000001</v>
      </c>
      <c r="AL78">
        <f t="shared" si="18"/>
        <v>17.180246913580245</v>
      </c>
      <c r="AM78">
        <f t="shared" si="19"/>
        <v>4.1655570271604931</v>
      </c>
      <c r="AP78" s="9"/>
      <c r="AQ78" s="22">
        <v>1.43753</v>
      </c>
      <c r="AR78" s="22">
        <v>24.3916</v>
      </c>
      <c r="AS78" s="22">
        <v>-1.23657E-2</v>
      </c>
      <c r="AT78" s="22">
        <v>68</v>
      </c>
      <c r="AU78" s="22">
        <v>1.4367700000000001</v>
      </c>
      <c r="AV78">
        <f t="shared" si="20"/>
        <v>15.266296296296295</v>
      </c>
      <c r="AW78">
        <f t="shared" si="21"/>
        <v>21.945758914814814</v>
      </c>
      <c r="AX78" s="9"/>
      <c r="AY78" s="22">
        <v>0.24246200000000001</v>
      </c>
      <c r="AZ78" s="22">
        <v>28.170500000000001</v>
      </c>
      <c r="BA78" s="22">
        <v>-1.39404E-2</v>
      </c>
      <c r="BB78" s="22">
        <v>68</v>
      </c>
      <c r="BC78" s="22">
        <v>0.24194299999999999</v>
      </c>
      <c r="BD78">
        <f t="shared" si="22"/>
        <v>17.21037037037037</v>
      </c>
      <c r="BE78">
        <f t="shared" si="23"/>
        <v>4.1728608207407412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1.4325000000000001</v>
      </c>
      <c r="H79" s="22">
        <v>5.8852200000000003</v>
      </c>
      <c r="I79" s="22">
        <v>-1.23108E-2</v>
      </c>
      <c r="J79" s="22">
        <v>69</v>
      </c>
      <c r="K79" s="22">
        <v>1.43127</v>
      </c>
      <c r="L79">
        <f t="shared" si="12"/>
        <v>15.198518518518517</v>
      </c>
      <c r="M79">
        <f t="shared" si="13"/>
        <v>21.771877777777778</v>
      </c>
      <c r="N79" s="9"/>
      <c r="O79" s="22">
        <v>0.247498</v>
      </c>
      <c r="P79" s="22">
        <v>9.6641300000000001</v>
      </c>
      <c r="Q79" s="22">
        <v>-1.3897700000000001E-2</v>
      </c>
      <c r="R79" s="22">
        <v>69</v>
      </c>
      <c r="S79" s="22">
        <v>0.246948</v>
      </c>
      <c r="T79">
        <f t="shared" si="14"/>
        <v>17.157654320987653</v>
      </c>
      <c r="U79">
        <f t="shared" si="15"/>
        <v>4.2464851291358023</v>
      </c>
      <c r="X79" s="9"/>
      <c r="Y79" s="22">
        <v>1.4325000000000001</v>
      </c>
      <c r="Z79" s="22">
        <v>15.1754</v>
      </c>
      <c r="AA79" s="22">
        <v>-1.2439E-2</v>
      </c>
      <c r="AB79" s="22">
        <v>69</v>
      </c>
      <c r="AC79" s="22">
        <v>1.43127</v>
      </c>
      <c r="AD79">
        <f t="shared" si="16"/>
        <v>15.35679012345679</v>
      </c>
      <c r="AE79">
        <f t="shared" si="17"/>
        <v>21.998601851851852</v>
      </c>
      <c r="AF79" s="9"/>
      <c r="AG79" s="22">
        <v>0.247498</v>
      </c>
      <c r="AH79" s="22">
        <v>18.9543</v>
      </c>
      <c r="AI79" s="22">
        <v>-1.3916E-2</v>
      </c>
      <c r="AJ79" s="22">
        <v>69</v>
      </c>
      <c r="AK79" s="22">
        <v>0.246918</v>
      </c>
      <c r="AL79">
        <f t="shared" si="18"/>
        <v>17.180246913580245</v>
      </c>
      <c r="AM79">
        <f t="shared" si="19"/>
        <v>4.2520767506172836</v>
      </c>
      <c r="AP79" s="9"/>
      <c r="AQ79" s="22">
        <v>1.4325000000000001</v>
      </c>
      <c r="AR79" s="22">
        <v>24.401700000000002</v>
      </c>
      <c r="AS79" s="22">
        <v>-1.23993E-2</v>
      </c>
      <c r="AT79" s="22">
        <v>69</v>
      </c>
      <c r="AU79" s="22">
        <v>1.4315800000000001</v>
      </c>
      <c r="AV79">
        <f t="shared" si="20"/>
        <v>15.307777777777778</v>
      </c>
      <c r="AW79">
        <f t="shared" si="21"/>
        <v>21.92839166666667</v>
      </c>
      <c r="AX79" s="9"/>
      <c r="AY79" s="22">
        <v>0.247498</v>
      </c>
      <c r="AZ79" s="22">
        <v>28.180599999999998</v>
      </c>
      <c r="BA79" s="22">
        <v>-1.39404E-2</v>
      </c>
      <c r="BB79" s="22">
        <v>69</v>
      </c>
      <c r="BC79" s="22">
        <v>0.246979</v>
      </c>
      <c r="BD79">
        <f t="shared" si="22"/>
        <v>17.21037037037037</v>
      </c>
      <c r="BE79">
        <f t="shared" si="23"/>
        <v>4.2595322459259259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1.42746</v>
      </c>
      <c r="H80" s="22">
        <v>5.8952900000000001</v>
      </c>
      <c r="I80" s="22">
        <v>-1.2329100000000001E-2</v>
      </c>
      <c r="J80" s="22">
        <v>70</v>
      </c>
      <c r="K80" s="22">
        <v>1.4267000000000001</v>
      </c>
      <c r="L80">
        <f t="shared" si="12"/>
        <v>15.22111111111111</v>
      </c>
      <c r="M80">
        <f t="shared" si="13"/>
        <v>21.727527266666666</v>
      </c>
      <c r="N80" s="9"/>
      <c r="O80" s="22">
        <v>0.25253300000000001</v>
      </c>
      <c r="P80" s="22">
        <v>9.6742000000000008</v>
      </c>
      <c r="Q80" s="22">
        <v>-1.3894699999999999E-2</v>
      </c>
      <c r="R80" s="22">
        <v>70</v>
      </c>
      <c r="S80" s="22">
        <v>0.25198399999999999</v>
      </c>
      <c r="T80">
        <f t="shared" si="14"/>
        <v>17.153950617283947</v>
      </c>
      <c r="U80">
        <f t="shared" si="15"/>
        <v>4.331938611234567</v>
      </c>
      <c r="X80" s="9"/>
      <c r="Y80" s="22">
        <v>1.42746</v>
      </c>
      <c r="Z80" s="22">
        <v>15.185499999999999</v>
      </c>
      <c r="AA80" s="22">
        <v>-1.24695E-2</v>
      </c>
      <c r="AB80" s="22">
        <v>70</v>
      </c>
      <c r="AC80" s="22">
        <v>1.42639</v>
      </c>
      <c r="AD80">
        <f t="shared" si="16"/>
        <v>15.394444444444444</v>
      </c>
      <c r="AE80">
        <f t="shared" si="17"/>
        <v>21.974953666666664</v>
      </c>
      <c r="AF80" s="9"/>
      <c r="AG80" s="22">
        <v>0.25253300000000001</v>
      </c>
      <c r="AH80" s="22">
        <v>18.964400000000001</v>
      </c>
      <c r="AI80" s="22">
        <v>-1.3913E-2</v>
      </c>
      <c r="AJ80" s="22">
        <v>70</v>
      </c>
      <c r="AK80" s="22">
        <v>0.25195299999999998</v>
      </c>
      <c r="AL80">
        <f t="shared" si="18"/>
        <v>17.176543209876542</v>
      </c>
      <c r="AM80">
        <f t="shared" si="19"/>
        <v>4.3376439864197529</v>
      </c>
      <c r="AP80" s="9"/>
      <c r="AQ80" s="22">
        <v>1.42746</v>
      </c>
      <c r="AR80" s="22">
        <v>24.4117</v>
      </c>
      <c r="AS80" s="22">
        <v>-1.24298E-2</v>
      </c>
      <c r="AT80" s="22">
        <v>70</v>
      </c>
      <c r="AU80" s="22">
        <v>1.4267000000000001</v>
      </c>
      <c r="AV80">
        <f t="shared" si="20"/>
        <v>15.34543209876543</v>
      </c>
      <c r="AW80">
        <f t="shared" si="21"/>
        <v>21.904990503703701</v>
      </c>
      <c r="AX80" s="9"/>
      <c r="AY80" s="22">
        <v>0.25253300000000001</v>
      </c>
      <c r="AZ80" s="22">
        <v>28.1907</v>
      </c>
      <c r="BA80" s="22">
        <v>-1.39343E-2</v>
      </c>
      <c r="BB80" s="22">
        <v>70</v>
      </c>
      <c r="BC80" s="22">
        <v>0.25195299999999998</v>
      </c>
      <c r="BD80">
        <f t="shared" si="22"/>
        <v>17.202839506172836</v>
      </c>
      <c r="BE80">
        <f t="shared" si="23"/>
        <v>4.3442846690123451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1.42242</v>
      </c>
      <c r="H81" s="22">
        <v>5.9053599999999999</v>
      </c>
      <c r="I81" s="22">
        <v>-1.2356600000000001E-2</v>
      </c>
      <c r="J81" s="22">
        <v>71</v>
      </c>
      <c r="K81" s="22">
        <v>1.4212</v>
      </c>
      <c r="L81">
        <f t="shared" si="12"/>
        <v>15.255061728395061</v>
      </c>
      <c r="M81">
        <f t="shared" si="13"/>
        <v>21.699104903703702</v>
      </c>
      <c r="N81" s="9"/>
      <c r="O81" s="22">
        <v>0.25756800000000002</v>
      </c>
      <c r="P81" s="22">
        <v>9.6842699999999997</v>
      </c>
      <c r="Q81" s="22">
        <v>-1.38916E-2</v>
      </c>
      <c r="R81" s="22">
        <v>71</v>
      </c>
      <c r="S81" s="22">
        <v>0.257019</v>
      </c>
      <c r="T81">
        <f t="shared" si="14"/>
        <v>17.150123456790123</v>
      </c>
      <c r="U81">
        <f t="shared" si="15"/>
        <v>4.417322998518519</v>
      </c>
      <c r="X81" s="9"/>
      <c r="Y81" s="22">
        <v>1.42242</v>
      </c>
      <c r="Z81" s="22">
        <v>15.195600000000001</v>
      </c>
      <c r="AA81" s="22">
        <v>-1.24939E-2</v>
      </c>
      <c r="AB81" s="22">
        <v>71</v>
      </c>
      <c r="AC81" s="22">
        <v>1.4212</v>
      </c>
      <c r="AD81">
        <f t="shared" si="16"/>
        <v>15.424567901234568</v>
      </c>
      <c r="AE81">
        <f t="shared" si="17"/>
        <v>21.940213874074075</v>
      </c>
      <c r="AF81" s="9"/>
      <c r="AG81" s="22">
        <v>0.25756800000000002</v>
      </c>
      <c r="AH81" s="22">
        <v>18.974499999999999</v>
      </c>
      <c r="AI81" s="22">
        <v>-1.39069E-2</v>
      </c>
      <c r="AJ81" s="22">
        <v>71</v>
      </c>
      <c r="AK81" s="22">
        <v>0.25698900000000002</v>
      </c>
      <c r="AL81">
        <f t="shared" si="18"/>
        <v>17.169012345679011</v>
      </c>
      <c r="AM81">
        <f t="shared" si="19"/>
        <v>4.4221881718518521</v>
      </c>
      <c r="AP81" s="9"/>
      <c r="AQ81" s="22">
        <v>1.42242</v>
      </c>
      <c r="AR81" s="22">
        <v>24.421800000000001</v>
      </c>
      <c r="AS81" s="22">
        <v>-1.2460300000000001E-2</v>
      </c>
      <c r="AT81" s="22">
        <v>71</v>
      </c>
      <c r="AU81" s="22">
        <v>1.42181</v>
      </c>
      <c r="AV81">
        <f t="shared" si="20"/>
        <v>15.383086419753086</v>
      </c>
      <c r="AW81">
        <f t="shared" si="21"/>
        <v>21.881209785185185</v>
      </c>
      <c r="AX81" s="9"/>
      <c r="AY81" s="22">
        <v>0.25756800000000002</v>
      </c>
      <c r="AZ81" s="22">
        <v>28.200800000000001</v>
      </c>
      <c r="BA81" s="22">
        <v>-1.39343E-2</v>
      </c>
      <c r="BB81" s="22">
        <v>71</v>
      </c>
      <c r="BC81" s="22">
        <v>0.257019</v>
      </c>
      <c r="BD81">
        <f t="shared" si="22"/>
        <v>17.202839506172836</v>
      </c>
      <c r="BE81">
        <f t="shared" si="23"/>
        <v>4.4309009659259253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1.4173899999999999</v>
      </c>
      <c r="H82" s="22">
        <v>5.9154400000000003</v>
      </c>
      <c r="I82" s="22">
        <v>-1.23962E-2</v>
      </c>
      <c r="J82" s="22">
        <v>72</v>
      </c>
      <c r="K82" s="22">
        <v>1.4166300000000001</v>
      </c>
      <c r="L82">
        <f t="shared" si="12"/>
        <v>15.303950617283951</v>
      </c>
      <c r="M82">
        <f t="shared" si="13"/>
        <v>21.691666565432097</v>
      </c>
      <c r="N82" s="9"/>
      <c r="O82" s="22">
        <v>0.262604</v>
      </c>
      <c r="P82" s="22">
        <v>9.6943400000000004</v>
      </c>
      <c r="Q82" s="22">
        <v>-1.38855E-2</v>
      </c>
      <c r="R82" s="22">
        <v>72</v>
      </c>
      <c r="S82" s="22">
        <v>0.26214599999999999</v>
      </c>
      <c r="T82">
        <f t="shared" si="14"/>
        <v>17.142592592592592</v>
      </c>
      <c r="U82">
        <f t="shared" si="15"/>
        <v>4.5017133851851856</v>
      </c>
      <c r="X82" s="9"/>
      <c r="Y82" s="22">
        <v>1.4173899999999999</v>
      </c>
      <c r="Z82" s="22">
        <v>15.2057</v>
      </c>
      <c r="AA82" s="22">
        <v>-1.2533600000000001E-2</v>
      </c>
      <c r="AB82" s="22">
        <v>72</v>
      </c>
      <c r="AC82" s="22">
        <v>1.4166300000000001</v>
      </c>
      <c r="AD82">
        <f t="shared" si="16"/>
        <v>15.473580246913581</v>
      </c>
      <c r="AE82">
        <f t="shared" si="17"/>
        <v>21.932097906172839</v>
      </c>
      <c r="AF82" s="9"/>
      <c r="AG82" s="22">
        <v>0.262604</v>
      </c>
      <c r="AH82" s="22">
        <v>18.9846</v>
      </c>
      <c r="AI82" s="22">
        <v>-1.3903799999999999E-2</v>
      </c>
      <c r="AJ82" s="22">
        <v>72</v>
      </c>
      <c r="AK82" s="22">
        <v>0.26202399999999998</v>
      </c>
      <c r="AL82">
        <f t="shared" si="18"/>
        <v>17.165185185185184</v>
      </c>
      <c r="AM82">
        <f t="shared" si="19"/>
        <v>4.5076462903703698</v>
      </c>
      <c r="AP82" s="9"/>
      <c r="AQ82" s="22">
        <v>1.4173899999999999</v>
      </c>
      <c r="AR82" s="22">
        <v>24.431899999999999</v>
      </c>
      <c r="AS82" s="22">
        <v>-1.24939E-2</v>
      </c>
      <c r="AT82" s="22">
        <v>72</v>
      </c>
      <c r="AU82" s="22">
        <v>1.41632</v>
      </c>
      <c r="AV82">
        <f t="shared" si="20"/>
        <v>15.424567901234568</v>
      </c>
      <c r="AW82">
        <f t="shared" si="21"/>
        <v>21.862628297530861</v>
      </c>
      <c r="AX82" s="9"/>
      <c r="AY82" s="22">
        <v>0.262604</v>
      </c>
      <c r="AZ82" s="22">
        <v>28.210799999999999</v>
      </c>
      <c r="BA82" s="22">
        <v>-1.39343E-2</v>
      </c>
      <c r="BB82" s="22">
        <v>72</v>
      </c>
      <c r="BC82" s="22">
        <v>0.261963</v>
      </c>
      <c r="BD82">
        <f t="shared" si="22"/>
        <v>17.202839506172836</v>
      </c>
      <c r="BE82">
        <f t="shared" si="23"/>
        <v>4.5175344656790113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1.41235</v>
      </c>
      <c r="H83" s="22">
        <v>5.9255100000000001</v>
      </c>
      <c r="I83" s="22">
        <v>-1.24329E-2</v>
      </c>
      <c r="J83" s="22">
        <v>73</v>
      </c>
      <c r="K83" s="22">
        <v>1.41144</v>
      </c>
      <c r="L83">
        <f t="shared" si="12"/>
        <v>15.349259259259259</v>
      </c>
      <c r="M83">
        <f t="shared" si="13"/>
        <v>21.678526314814814</v>
      </c>
      <c r="N83" s="9"/>
      <c r="O83" s="22">
        <v>0.26763900000000002</v>
      </c>
      <c r="P83" s="22">
        <v>9.7044099999999993</v>
      </c>
      <c r="Q83" s="22">
        <v>-1.38855E-2</v>
      </c>
      <c r="R83" s="22">
        <v>73</v>
      </c>
      <c r="S83" s="22">
        <v>0.26712000000000002</v>
      </c>
      <c r="T83">
        <f t="shared" si="14"/>
        <v>17.142592592592592</v>
      </c>
      <c r="U83">
        <f t="shared" si="15"/>
        <v>4.5880263388888887</v>
      </c>
      <c r="X83" s="9"/>
      <c r="Y83" s="22">
        <v>1.41235</v>
      </c>
      <c r="Z83" s="22">
        <v>15.2157</v>
      </c>
      <c r="AA83" s="22">
        <v>-1.25702E-2</v>
      </c>
      <c r="AB83" s="22">
        <v>73</v>
      </c>
      <c r="AC83" s="22">
        <v>1.41174</v>
      </c>
      <c r="AD83">
        <f t="shared" si="16"/>
        <v>15.518765432098766</v>
      </c>
      <c r="AE83">
        <f t="shared" si="17"/>
        <v>21.917928358024692</v>
      </c>
      <c r="AF83" s="9"/>
      <c r="AG83" s="22">
        <v>0.26763900000000002</v>
      </c>
      <c r="AH83" s="22">
        <v>18.994599999999998</v>
      </c>
      <c r="AI83" s="22">
        <v>-1.3903799999999999E-2</v>
      </c>
      <c r="AJ83" s="22">
        <v>73</v>
      </c>
      <c r="AK83" s="22">
        <v>0.26705899999999999</v>
      </c>
      <c r="AL83">
        <f t="shared" si="18"/>
        <v>17.165185185185184</v>
      </c>
      <c r="AM83">
        <f t="shared" si="19"/>
        <v>4.5940729977777774</v>
      </c>
      <c r="AP83" s="9"/>
      <c r="AQ83" s="22">
        <v>1.41235</v>
      </c>
      <c r="AR83" s="22">
        <v>24.442</v>
      </c>
      <c r="AS83" s="22">
        <v>-1.25244E-2</v>
      </c>
      <c r="AT83" s="22">
        <v>73</v>
      </c>
      <c r="AU83" s="22">
        <v>1.41144</v>
      </c>
      <c r="AV83">
        <f t="shared" si="20"/>
        <v>15.462222222222222</v>
      </c>
      <c r="AW83">
        <f t="shared" si="21"/>
        <v>21.838069555555556</v>
      </c>
      <c r="AX83" s="9"/>
      <c r="AY83" s="22">
        <v>0.26763900000000002</v>
      </c>
      <c r="AZ83" s="22">
        <v>28.2209</v>
      </c>
      <c r="BA83" s="22">
        <v>-1.39252E-2</v>
      </c>
      <c r="BB83" s="22">
        <v>73</v>
      </c>
      <c r="BC83" s="22">
        <v>0.26705899999999999</v>
      </c>
      <c r="BD83">
        <f t="shared" si="22"/>
        <v>17.191604938271606</v>
      </c>
      <c r="BE83">
        <f t="shared" si="23"/>
        <v>4.6011439540740744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1.4073199999999999</v>
      </c>
      <c r="H84" s="22">
        <v>5.9355799999999999</v>
      </c>
      <c r="I84" s="22">
        <v>-1.24695E-2</v>
      </c>
      <c r="J84" s="22">
        <v>74</v>
      </c>
      <c r="K84" s="22">
        <v>1.40625</v>
      </c>
      <c r="L84">
        <f t="shared" si="12"/>
        <v>15.394444444444444</v>
      </c>
      <c r="M84">
        <f t="shared" si="13"/>
        <v>21.664909555555553</v>
      </c>
      <c r="N84" s="9"/>
      <c r="O84" s="22">
        <v>0.272675</v>
      </c>
      <c r="P84" s="22">
        <v>9.71448</v>
      </c>
      <c r="Q84" s="22">
        <v>-1.38824E-2</v>
      </c>
      <c r="R84" s="22">
        <v>74</v>
      </c>
      <c r="S84" s="22">
        <v>0.27206399999999997</v>
      </c>
      <c r="T84">
        <f t="shared" si="14"/>
        <v>17.138765432098765</v>
      </c>
      <c r="U84">
        <f t="shared" si="15"/>
        <v>4.6733128641975306</v>
      </c>
      <c r="X84" s="9"/>
      <c r="Y84" s="22">
        <v>1.4073199999999999</v>
      </c>
      <c r="Z84" s="22">
        <v>15.2258</v>
      </c>
      <c r="AA84" s="22">
        <v>-1.26068E-2</v>
      </c>
      <c r="AB84" s="22">
        <v>74</v>
      </c>
      <c r="AC84" s="22">
        <v>1.40625</v>
      </c>
      <c r="AD84">
        <f t="shared" si="16"/>
        <v>15.56395061728395</v>
      </c>
      <c r="AE84">
        <f t="shared" si="17"/>
        <v>21.903458982716046</v>
      </c>
      <c r="AF84" s="9"/>
      <c r="AG84" s="22">
        <v>0.272675</v>
      </c>
      <c r="AH84" s="22">
        <v>19.0047</v>
      </c>
      <c r="AI84" s="22">
        <v>-1.39008E-2</v>
      </c>
      <c r="AJ84" s="22">
        <v>74</v>
      </c>
      <c r="AK84" s="22">
        <v>0.27206399999999997</v>
      </c>
      <c r="AL84">
        <f t="shared" si="18"/>
        <v>17.161481481481481</v>
      </c>
      <c r="AM84">
        <f t="shared" si="19"/>
        <v>4.6795069629629626</v>
      </c>
      <c r="AP84" s="9"/>
      <c r="AQ84" s="22">
        <v>1.4073199999999999</v>
      </c>
      <c r="AR84" s="22">
        <v>24.452000000000002</v>
      </c>
      <c r="AS84" s="22">
        <v>-1.2548800000000001E-2</v>
      </c>
      <c r="AT84" s="22">
        <v>74</v>
      </c>
      <c r="AU84" s="22">
        <v>1.40717</v>
      </c>
      <c r="AV84">
        <f t="shared" si="20"/>
        <v>15.492345679012345</v>
      </c>
      <c r="AW84">
        <f t="shared" si="21"/>
        <v>21.802687920987651</v>
      </c>
      <c r="AX84" s="9"/>
      <c r="AY84" s="22">
        <v>0.272675</v>
      </c>
      <c r="AZ84" s="22">
        <v>28.231000000000002</v>
      </c>
      <c r="BA84" s="22">
        <v>-1.39191E-2</v>
      </c>
      <c r="BB84" s="22">
        <v>74</v>
      </c>
      <c r="BC84" s="22">
        <v>0.27209499999999998</v>
      </c>
      <c r="BD84">
        <f t="shared" si="22"/>
        <v>17.184074074074076</v>
      </c>
      <c r="BE84">
        <f t="shared" si="23"/>
        <v>4.6856673981481487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1.40228</v>
      </c>
      <c r="H85" s="22">
        <v>5.9456499999999997</v>
      </c>
      <c r="I85" s="22">
        <v>-1.24969E-2</v>
      </c>
      <c r="J85" s="22">
        <v>75</v>
      </c>
      <c r="K85" s="22">
        <v>1.40167</v>
      </c>
      <c r="L85">
        <f t="shared" si="12"/>
        <v>15.428271604938271</v>
      </c>
      <c r="M85">
        <f t="shared" si="13"/>
        <v>21.634756706172837</v>
      </c>
      <c r="N85" s="9"/>
      <c r="O85" s="22">
        <v>0.27771000000000001</v>
      </c>
      <c r="P85" s="22">
        <v>9.7245500000000007</v>
      </c>
      <c r="Q85" s="22">
        <v>-1.38794E-2</v>
      </c>
      <c r="R85" s="22">
        <v>75</v>
      </c>
      <c r="S85" s="22">
        <v>0.27716099999999999</v>
      </c>
      <c r="T85">
        <f t="shared" si="14"/>
        <v>17.135061728395058</v>
      </c>
      <c r="U85">
        <f t="shared" si="15"/>
        <v>4.758577992592592</v>
      </c>
      <c r="X85" s="9"/>
      <c r="Y85" s="22">
        <v>1.40228</v>
      </c>
      <c r="Z85" s="22">
        <v>15.235900000000001</v>
      </c>
      <c r="AA85" s="22">
        <v>-1.2649499999999999E-2</v>
      </c>
      <c r="AB85" s="22">
        <v>75</v>
      </c>
      <c r="AC85" s="22">
        <v>1.40198</v>
      </c>
      <c r="AD85">
        <f t="shared" si="16"/>
        <v>15.616666666666664</v>
      </c>
      <c r="AE85">
        <f t="shared" si="17"/>
        <v>21.898939333333328</v>
      </c>
      <c r="AF85" s="9"/>
      <c r="AG85" s="22">
        <v>0.27771000000000001</v>
      </c>
      <c r="AH85" s="22">
        <v>19.014800000000001</v>
      </c>
      <c r="AI85" s="22">
        <v>-1.3894699999999999E-2</v>
      </c>
      <c r="AJ85" s="22">
        <v>75</v>
      </c>
      <c r="AK85" s="22">
        <v>0.27719100000000002</v>
      </c>
      <c r="AL85">
        <f t="shared" si="18"/>
        <v>17.153950617283947</v>
      </c>
      <c r="AM85">
        <f t="shared" si="19"/>
        <v>4.7638236259259248</v>
      </c>
      <c r="AP85" s="9"/>
      <c r="AQ85" s="22">
        <v>1.40228</v>
      </c>
      <c r="AR85" s="22">
        <v>24.4621</v>
      </c>
      <c r="AS85" s="22">
        <v>-1.2588500000000001E-2</v>
      </c>
      <c r="AT85" s="22">
        <v>75</v>
      </c>
      <c r="AU85" s="22">
        <v>1.40106</v>
      </c>
      <c r="AV85">
        <f t="shared" si="20"/>
        <v>15.541358024691359</v>
      </c>
      <c r="AW85">
        <f t="shared" si="21"/>
        <v>21.793335530864198</v>
      </c>
      <c r="AX85" s="9"/>
      <c r="AY85" s="22">
        <v>0.27771000000000001</v>
      </c>
      <c r="AZ85" s="22">
        <v>28.241</v>
      </c>
      <c r="BA85" s="22">
        <v>-1.3909899999999999E-2</v>
      </c>
      <c r="BB85" s="22">
        <v>75</v>
      </c>
      <c r="BC85" s="22">
        <v>0.27706900000000001</v>
      </c>
      <c r="BD85">
        <f t="shared" si="22"/>
        <v>17.172716049382714</v>
      </c>
      <c r="BE85">
        <f t="shared" si="23"/>
        <v>4.7690349740740734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1.3972500000000001</v>
      </c>
      <c r="H86" s="22">
        <v>5.9557200000000003</v>
      </c>
      <c r="I86" s="22">
        <v>-1.25244E-2</v>
      </c>
      <c r="J86" s="22">
        <v>76</v>
      </c>
      <c r="K86" s="22">
        <v>1.3958699999999999</v>
      </c>
      <c r="L86">
        <f t="shared" si="12"/>
        <v>15.462222222222222</v>
      </c>
      <c r="M86">
        <f t="shared" si="13"/>
        <v>21.604590000000002</v>
      </c>
      <c r="N86" s="9"/>
      <c r="O86" s="22">
        <v>0.28274500000000002</v>
      </c>
      <c r="P86" s="22">
        <v>9.7346299999999992</v>
      </c>
      <c r="Q86" s="22">
        <v>-1.38733E-2</v>
      </c>
      <c r="R86" s="22">
        <v>76</v>
      </c>
      <c r="S86" s="22">
        <v>0.282196</v>
      </c>
      <c r="T86">
        <f t="shared" si="14"/>
        <v>17.127530864197528</v>
      </c>
      <c r="U86">
        <f t="shared" si="15"/>
        <v>4.8427237141975308</v>
      </c>
      <c r="X86" s="9"/>
      <c r="Y86" s="22">
        <v>1.3972500000000001</v>
      </c>
      <c r="Z86" s="22">
        <v>15.245900000000001</v>
      </c>
      <c r="AA86" s="22">
        <v>-1.27075E-2</v>
      </c>
      <c r="AB86" s="22">
        <v>76</v>
      </c>
      <c r="AC86" s="22">
        <v>1.39618</v>
      </c>
      <c r="AD86">
        <f t="shared" si="16"/>
        <v>15.68827160493827</v>
      </c>
      <c r="AE86">
        <f t="shared" si="17"/>
        <v>21.920437499999998</v>
      </c>
      <c r="AF86" s="9"/>
      <c r="AG86" s="22">
        <v>0.28274500000000002</v>
      </c>
      <c r="AH86" s="22">
        <v>19.024799999999999</v>
      </c>
      <c r="AI86" s="22">
        <v>-1.38916E-2</v>
      </c>
      <c r="AJ86" s="22">
        <v>76</v>
      </c>
      <c r="AK86" s="22">
        <v>0.28225699999999998</v>
      </c>
      <c r="AL86">
        <f t="shared" si="18"/>
        <v>17.150123456790123</v>
      </c>
      <c r="AM86">
        <f t="shared" si="19"/>
        <v>4.8491116567901233</v>
      </c>
      <c r="AP86" s="9"/>
      <c r="AQ86" s="22">
        <v>1.3972500000000001</v>
      </c>
      <c r="AR86" s="22">
        <v>24.472200000000001</v>
      </c>
      <c r="AS86" s="22">
        <v>-1.2622100000000001E-2</v>
      </c>
      <c r="AT86" s="22">
        <v>76</v>
      </c>
      <c r="AU86" s="22">
        <v>1.3958699999999999</v>
      </c>
      <c r="AV86">
        <f t="shared" si="20"/>
        <v>15.582839506172839</v>
      </c>
      <c r="AW86">
        <f t="shared" si="21"/>
        <v>21.773122499999999</v>
      </c>
      <c r="AX86" s="9"/>
      <c r="AY86" s="22">
        <v>0.28274500000000002</v>
      </c>
      <c r="AZ86" s="22">
        <v>28.251100000000001</v>
      </c>
      <c r="BA86" s="22">
        <v>-1.39069E-2</v>
      </c>
      <c r="BB86" s="22">
        <v>76</v>
      </c>
      <c r="BC86" s="22">
        <v>0.282196</v>
      </c>
      <c r="BD86">
        <f t="shared" si="22"/>
        <v>17.169012345679011</v>
      </c>
      <c r="BE86">
        <f t="shared" si="23"/>
        <v>4.8544523956790124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1.3922099999999999</v>
      </c>
      <c r="H87" s="22">
        <v>5.9657900000000001</v>
      </c>
      <c r="I87" s="22">
        <v>-1.2548800000000001E-2</v>
      </c>
      <c r="J87" s="22">
        <v>77</v>
      </c>
      <c r="K87" s="22">
        <v>1.39191</v>
      </c>
      <c r="L87">
        <f t="shared" si="12"/>
        <v>15.492345679012345</v>
      </c>
      <c r="M87">
        <f t="shared" si="13"/>
        <v>21.568598577777777</v>
      </c>
      <c r="N87" s="9"/>
      <c r="O87" s="22">
        <v>0.28778100000000001</v>
      </c>
      <c r="P87" s="22">
        <v>9.7446999999999999</v>
      </c>
      <c r="Q87" s="22">
        <v>-1.38672E-2</v>
      </c>
      <c r="R87" s="22">
        <v>77</v>
      </c>
      <c r="S87" s="22">
        <v>0.28726200000000002</v>
      </c>
      <c r="T87">
        <f t="shared" si="14"/>
        <v>17.12</v>
      </c>
      <c r="U87">
        <f t="shared" si="15"/>
        <v>4.9268107200000006</v>
      </c>
      <c r="X87" s="9"/>
      <c r="Y87" s="22">
        <v>1.3922099999999999</v>
      </c>
      <c r="Z87" s="22">
        <v>15.256</v>
      </c>
      <c r="AA87" s="22">
        <v>-1.2716699999999999E-2</v>
      </c>
      <c r="AB87" s="22">
        <v>77</v>
      </c>
      <c r="AC87" s="22">
        <v>1.3909899999999999</v>
      </c>
      <c r="AD87">
        <f t="shared" si="16"/>
        <v>15.699629629629626</v>
      </c>
      <c r="AE87">
        <f t="shared" si="17"/>
        <v>21.857181366666662</v>
      </c>
      <c r="AF87" s="9"/>
      <c r="AG87" s="22">
        <v>0.28778100000000001</v>
      </c>
      <c r="AH87" s="22">
        <v>19.0349</v>
      </c>
      <c r="AI87" s="22">
        <v>-1.38885E-2</v>
      </c>
      <c r="AJ87" s="22">
        <v>77</v>
      </c>
      <c r="AK87" s="22">
        <v>0.287323</v>
      </c>
      <c r="AL87">
        <f t="shared" si="18"/>
        <v>17.146296296296295</v>
      </c>
      <c r="AM87">
        <f t="shared" si="19"/>
        <v>4.9343782944444445</v>
      </c>
      <c r="AP87" s="9"/>
      <c r="AQ87" s="22">
        <v>1.3922099999999999</v>
      </c>
      <c r="AR87" s="22">
        <v>24.482199999999999</v>
      </c>
      <c r="AS87" s="22">
        <v>-1.2655599999999999E-2</v>
      </c>
      <c r="AT87" s="22">
        <v>77</v>
      </c>
      <c r="AU87" s="22">
        <v>1.3913</v>
      </c>
      <c r="AV87">
        <f t="shared" si="20"/>
        <v>15.624197530864196</v>
      </c>
      <c r="AW87">
        <f t="shared" si="21"/>
        <v>21.752164044444442</v>
      </c>
      <c r="AX87" s="9"/>
      <c r="AY87" s="22">
        <v>0.28778100000000001</v>
      </c>
      <c r="AZ87" s="22">
        <v>28.261199999999999</v>
      </c>
      <c r="BA87" s="22">
        <v>-1.39008E-2</v>
      </c>
      <c r="BB87" s="22">
        <v>77</v>
      </c>
      <c r="BC87" s="22">
        <v>0.28723100000000001</v>
      </c>
      <c r="BD87">
        <f t="shared" si="22"/>
        <v>17.161481481481481</v>
      </c>
      <c r="BE87">
        <f t="shared" si="23"/>
        <v>4.9387483022222218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1.3871800000000001</v>
      </c>
      <c r="H88" s="22">
        <v>5.9758599999999999</v>
      </c>
      <c r="I88" s="22">
        <v>-1.2567099999999999E-2</v>
      </c>
      <c r="J88" s="22">
        <v>78</v>
      </c>
      <c r="K88" s="22">
        <v>1.3864099999999999</v>
      </c>
      <c r="L88">
        <f t="shared" si="12"/>
        <v>15.514938271604937</v>
      </c>
      <c r="M88">
        <f t="shared" si="13"/>
        <v>21.522012071604937</v>
      </c>
      <c r="N88" s="9"/>
      <c r="O88" s="22">
        <v>0.29281600000000002</v>
      </c>
      <c r="P88" s="22">
        <v>9.7547700000000006</v>
      </c>
      <c r="Q88" s="22">
        <v>-1.38672E-2</v>
      </c>
      <c r="R88" s="22">
        <v>78</v>
      </c>
      <c r="S88" s="22">
        <v>0.29220600000000002</v>
      </c>
      <c r="T88">
        <f t="shared" si="14"/>
        <v>17.12</v>
      </c>
      <c r="U88">
        <f t="shared" si="15"/>
        <v>5.0130099200000009</v>
      </c>
      <c r="X88" s="9"/>
      <c r="Y88" s="22">
        <v>1.3871800000000001</v>
      </c>
      <c r="Z88" s="22">
        <v>15.2661</v>
      </c>
      <c r="AA88" s="22">
        <v>-1.2737999999999999E-2</v>
      </c>
      <c r="AB88" s="22">
        <v>78</v>
      </c>
      <c r="AC88" s="22">
        <v>1.3864099999999999</v>
      </c>
      <c r="AD88">
        <f t="shared" si="16"/>
        <v>15.725925925925925</v>
      </c>
      <c r="AE88">
        <f t="shared" si="17"/>
        <v>21.814689925925926</v>
      </c>
      <c r="AF88" s="9"/>
      <c r="AG88" s="22">
        <v>0.29281600000000002</v>
      </c>
      <c r="AH88" s="22">
        <v>19.045000000000002</v>
      </c>
      <c r="AI88" s="22">
        <v>-1.38885E-2</v>
      </c>
      <c r="AJ88" s="22">
        <v>78</v>
      </c>
      <c r="AK88" s="22">
        <v>0.29220600000000002</v>
      </c>
      <c r="AL88">
        <f t="shared" si="18"/>
        <v>17.146296296296295</v>
      </c>
      <c r="AM88">
        <f t="shared" si="19"/>
        <v>5.0207098962962968</v>
      </c>
      <c r="AP88" s="9"/>
      <c r="AQ88" s="22">
        <v>1.3871800000000001</v>
      </c>
      <c r="AR88" s="22">
        <v>24.4923</v>
      </c>
      <c r="AS88" s="22">
        <v>-1.2677000000000001E-2</v>
      </c>
      <c r="AT88" s="22">
        <v>78</v>
      </c>
      <c r="AU88" s="22">
        <v>1.38672</v>
      </c>
      <c r="AV88">
        <f t="shared" si="20"/>
        <v>15.650617283950618</v>
      </c>
      <c r="AW88">
        <f t="shared" si="21"/>
        <v>21.710223283950619</v>
      </c>
      <c r="AX88" s="9"/>
      <c r="AY88" s="22">
        <v>0.29281600000000002</v>
      </c>
      <c r="AZ88" s="22">
        <v>28.2712</v>
      </c>
      <c r="BA88" s="22">
        <v>-1.39008E-2</v>
      </c>
      <c r="BB88" s="22">
        <v>78</v>
      </c>
      <c r="BC88" s="22">
        <v>0.292236</v>
      </c>
      <c r="BD88">
        <f t="shared" si="22"/>
        <v>17.161481481481481</v>
      </c>
      <c r="BE88">
        <f t="shared" si="23"/>
        <v>5.025156361481482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1.3821399999999999</v>
      </c>
      <c r="H89" s="22">
        <v>5.9859299999999998</v>
      </c>
      <c r="I89" s="22">
        <v>-1.25916E-2</v>
      </c>
      <c r="J89" s="22">
        <v>79</v>
      </c>
      <c r="K89" s="22">
        <v>1.3815299999999999</v>
      </c>
      <c r="L89">
        <f t="shared" si="12"/>
        <v>15.545185185185185</v>
      </c>
      <c r="M89">
        <f t="shared" si="13"/>
        <v>21.485622251851851</v>
      </c>
      <c r="N89" s="9"/>
      <c r="O89" s="22">
        <v>0.29785200000000001</v>
      </c>
      <c r="P89" s="22">
        <v>9.7648399999999995</v>
      </c>
      <c r="Q89" s="22">
        <v>-1.3864100000000001E-2</v>
      </c>
      <c r="R89" s="22">
        <v>79</v>
      </c>
      <c r="S89" s="22">
        <v>0.29727199999999998</v>
      </c>
      <c r="T89">
        <f t="shared" si="14"/>
        <v>17.11617283950617</v>
      </c>
      <c r="U89">
        <f t="shared" si="15"/>
        <v>5.0980863125925922</v>
      </c>
      <c r="X89" s="9"/>
      <c r="Y89" s="22">
        <v>1.3821399999999999</v>
      </c>
      <c r="Z89" s="22">
        <v>15.276199999999999</v>
      </c>
      <c r="AA89" s="22">
        <v>-1.2765500000000001E-2</v>
      </c>
      <c r="AB89" s="22">
        <v>79</v>
      </c>
      <c r="AC89" s="22">
        <v>1.3809199999999999</v>
      </c>
      <c r="AD89">
        <f t="shared" si="16"/>
        <v>15.759876543209876</v>
      </c>
      <c r="AE89">
        <f t="shared" si="17"/>
        <v>21.782355765432097</v>
      </c>
      <c r="AF89" s="9"/>
      <c r="AG89" s="22">
        <v>0.29785200000000001</v>
      </c>
      <c r="AH89" s="22">
        <v>19.055099999999999</v>
      </c>
      <c r="AI89" s="22">
        <v>-1.38885E-2</v>
      </c>
      <c r="AJ89" s="22">
        <v>79</v>
      </c>
      <c r="AK89" s="22">
        <v>0.297211</v>
      </c>
      <c r="AL89">
        <f t="shared" si="18"/>
        <v>17.146296296296295</v>
      </c>
      <c r="AM89">
        <f t="shared" si="19"/>
        <v>5.1070586444444439</v>
      </c>
      <c r="AP89" s="9"/>
      <c r="AQ89" s="22">
        <v>1.3821399999999999</v>
      </c>
      <c r="AR89" s="22">
        <v>24.502400000000002</v>
      </c>
      <c r="AS89" s="22">
        <v>-1.26953E-2</v>
      </c>
      <c r="AT89" s="22">
        <v>79</v>
      </c>
      <c r="AU89" s="22">
        <v>1.3809199999999999</v>
      </c>
      <c r="AV89">
        <f t="shared" si="20"/>
        <v>15.67320987654321</v>
      </c>
      <c r="AW89">
        <f t="shared" si="21"/>
        <v>21.662570298765431</v>
      </c>
      <c r="AX89" s="9"/>
      <c r="AY89" s="22">
        <v>0.29785200000000001</v>
      </c>
      <c r="AZ89" s="22">
        <v>28.281300000000002</v>
      </c>
      <c r="BA89" s="22">
        <v>-1.39008E-2</v>
      </c>
      <c r="BB89" s="22">
        <v>79</v>
      </c>
      <c r="BC89" s="22">
        <v>0.297211</v>
      </c>
      <c r="BD89">
        <f t="shared" si="22"/>
        <v>17.161481481481481</v>
      </c>
      <c r="BE89">
        <f t="shared" si="23"/>
        <v>5.1115815822222217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1.3771100000000001</v>
      </c>
      <c r="H90" s="22">
        <v>5.9960000000000004</v>
      </c>
      <c r="I90" s="22">
        <v>-1.26129E-2</v>
      </c>
      <c r="J90" s="22">
        <v>80</v>
      </c>
      <c r="K90" s="22">
        <v>1.3763399999999999</v>
      </c>
      <c r="L90">
        <f t="shared" si="12"/>
        <v>15.571481481481479</v>
      </c>
      <c r="M90">
        <f t="shared" si="13"/>
        <v>21.44364286296296</v>
      </c>
      <c r="N90" s="9"/>
      <c r="O90" s="22">
        <v>0.30288700000000002</v>
      </c>
      <c r="P90" s="22">
        <v>9.7749100000000002</v>
      </c>
      <c r="Q90" s="22">
        <v>-1.3861099999999999E-2</v>
      </c>
      <c r="R90" s="22">
        <v>80</v>
      </c>
      <c r="S90" s="22">
        <v>0.30221599999999998</v>
      </c>
      <c r="T90">
        <f t="shared" si="14"/>
        <v>17.112469135802467</v>
      </c>
      <c r="U90">
        <f t="shared" si="15"/>
        <v>5.1831444391358019</v>
      </c>
      <c r="X90" s="9"/>
      <c r="Y90" s="22">
        <v>1.3771100000000001</v>
      </c>
      <c r="Z90" s="22">
        <v>15.286199999999999</v>
      </c>
      <c r="AA90" s="22">
        <v>-1.2796E-2</v>
      </c>
      <c r="AB90" s="22">
        <v>80</v>
      </c>
      <c r="AC90" s="22">
        <v>1.3763399999999999</v>
      </c>
      <c r="AD90">
        <f t="shared" si="16"/>
        <v>15.79753086419753</v>
      </c>
      <c r="AE90">
        <f t="shared" si="17"/>
        <v>21.75493772839506</v>
      </c>
      <c r="AF90" s="9"/>
      <c r="AG90" s="22">
        <v>0.30288700000000002</v>
      </c>
      <c r="AH90" s="22">
        <v>19.065100000000001</v>
      </c>
      <c r="AI90" s="22">
        <v>-1.38855E-2</v>
      </c>
      <c r="AJ90" s="22">
        <v>80</v>
      </c>
      <c r="AK90" s="22">
        <v>0.30224600000000001</v>
      </c>
      <c r="AL90">
        <f t="shared" si="18"/>
        <v>17.142592592592592</v>
      </c>
      <c r="AM90">
        <f t="shared" si="19"/>
        <v>5.1922684425925931</v>
      </c>
      <c r="AP90" s="9"/>
      <c r="AQ90" s="22">
        <v>1.3771100000000001</v>
      </c>
      <c r="AR90" s="22">
        <v>24.5124</v>
      </c>
      <c r="AS90" s="22">
        <v>-1.2725800000000001E-2</v>
      </c>
      <c r="AT90" s="22">
        <v>80</v>
      </c>
      <c r="AU90" s="22">
        <v>1.3760399999999999</v>
      </c>
      <c r="AV90">
        <f t="shared" si="20"/>
        <v>15.710864197530865</v>
      </c>
      <c r="AW90">
        <f t="shared" si="21"/>
        <v>21.635588195061732</v>
      </c>
      <c r="AX90" s="9"/>
      <c r="AY90" s="22">
        <v>0.30288700000000002</v>
      </c>
      <c r="AZ90" s="22">
        <v>28.291399999999999</v>
      </c>
      <c r="BA90" s="22">
        <v>-1.3897700000000001E-2</v>
      </c>
      <c r="BB90" s="22">
        <v>80</v>
      </c>
      <c r="BC90" s="22">
        <v>0.30230699999999999</v>
      </c>
      <c r="BD90">
        <f t="shared" si="22"/>
        <v>17.157654320987653</v>
      </c>
      <c r="BE90">
        <f t="shared" si="23"/>
        <v>5.1968304443209874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1.3720699999999999</v>
      </c>
      <c r="H91" s="22">
        <v>6.0060700000000002</v>
      </c>
      <c r="I91" s="22">
        <v>-1.2637300000000001E-2</v>
      </c>
      <c r="J91" s="22">
        <v>81</v>
      </c>
      <c r="K91" s="22">
        <v>1.3711500000000001</v>
      </c>
      <c r="L91">
        <f t="shared" si="12"/>
        <v>15.601604938271604</v>
      </c>
      <c r="M91">
        <f t="shared" si="13"/>
        <v>21.40649408765432</v>
      </c>
      <c r="N91" s="9"/>
      <c r="O91" s="22">
        <v>0.30792199999999997</v>
      </c>
      <c r="P91" s="22">
        <v>9.7849799999999991</v>
      </c>
      <c r="Q91" s="22">
        <v>-1.3861099999999999E-2</v>
      </c>
      <c r="R91" s="22">
        <v>81</v>
      </c>
      <c r="S91" s="22">
        <v>0.30731199999999997</v>
      </c>
      <c r="T91">
        <f t="shared" si="14"/>
        <v>17.112469135802467</v>
      </c>
      <c r="U91">
        <f t="shared" si="15"/>
        <v>5.2693057212345664</v>
      </c>
      <c r="X91" s="9"/>
      <c r="Y91" s="22">
        <v>1.3720699999999999</v>
      </c>
      <c r="Z91" s="22">
        <v>15.2963</v>
      </c>
      <c r="AA91" s="22">
        <v>-1.28174E-2</v>
      </c>
      <c r="AB91" s="22">
        <v>81</v>
      </c>
      <c r="AC91" s="22">
        <v>1.3714599999999999</v>
      </c>
      <c r="AD91">
        <f t="shared" si="16"/>
        <v>15.82395061728395</v>
      </c>
      <c r="AE91">
        <f t="shared" si="17"/>
        <v>21.711567923456787</v>
      </c>
      <c r="AF91" s="9"/>
      <c r="AG91" s="22">
        <v>0.30792199999999997</v>
      </c>
      <c r="AH91" s="22">
        <v>19.075199999999999</v>
      </c>
      <c r="AI91" s="22">
        <v>-1.38885E-2</v>
      </c>
      <c r="AJ91" s="22">
        <v>81</v>
      </c>
      <c r="AK91" s="22">
        <v>0.30740400000000001</v>
      </c>
      <c r="AL91">
        <f t="shared" si="18"/>
        <v>17.146296296296295</v>
      </c>
      <c r="AM91">
        <f t="shared" si="19"/>
        <v>5.2797218481481476</v>
      </c>
      <c r="AP91" s="9"/>
      <c r="AQ91" s="22">
        <v>1.3720699999999999</v>
      </c>
      <c r="AR91" s="22">
        <v>24.522500000000001</v>
      </c>
      <c r="AS91" s="22">
        <v>-1.27563E-2</v>
      </c>
      <c r="AT91" s="22">
        <v>81</v>
      </c>
      <c r="AU91" s="22">
        <v>1.3714599999999999</v>
      </c>
      <c r="AV91">
        <f t="shared" si="20"/>
        <v>15.748518518518516</v>
      </c>
      <c r="AW91">
        <f t="shared" si="21"/>
        <v>21.6080698037037</v>
      </c>
      <c r="AX91" s="9"/>
      <c r="AY91" s="22">
        <v>0.30792199999999997</v>
      </c>
      <c r="AZ91" s="22">
        <v>28.301500000000001</v>
      </c>
      <c r="BA91" s="22">
        <v>-1.39008E-2</v>
      </c>
      <c r="BB91" s="22">
        <v>81</v>
      </c>
      <c r="BC91" s="22">
        <v>0.30731199999999997</v>
      </c>
      <c r="BD91">
        <f t="shared" si="22"/>
        <v>17.161481481481481</v>
      </c>
      <c r="BE91">
        <f t="shared" si="23"/>
        <v>5.2843977007407403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1.36703</v>
      </c>
      <c r="H92" s="22">
        <v>6.0161499999999997</v>
      </c>
      <c r="I92" s="22">
        <v>-1.26526E-2</v>
      </c>
      <c r="J92" s="22">
        <v>82</v>
      </c>
      <c r="K92" s="22">
        <v>1.3659699999999999</v>
      </c>
      <c r="L92">
        <f t="shared" si="12"/>
        <v>15.620493827160493</v>
      </c>
      <c r="M92">
        <f t="shared" si="13"/>
        <v>21.353683676543209</v>
      </c>
      <c r="N92" s="9"/>
      <c r="O92" s="22">
        <v>0.31295800000000001</v>
      </c>
      <c r="P92" s="22">
        <v>9.7950499999999998</v>
      </c>
      <c r="Q92" s="22">
        <v>-1.3854999999999999E-2</v>
      </c>
      <c r="R92" s="22">
        <v>82</v>
      </c>
      <c r="S92" s="22">
        <v>0.31237799999999999</v>
      </c>
      <c r="T92">
        <f t="shared" si="14"/>
        <v>17.104938271604937</v>
      </c>
      <c r="U92">
        <f t="shared" si="15"/>
        <v>5.3531272716049383</v>
      </c>
      <c r="X92" s="9"/>
      <c r="Y92" s="22">
        <v>1.36703</v>
      </c>
      <c r="Z92" s="22">
        <v>15.3064</v>
      </c>
      <c r="AA92" s="22">
        <v>-1.28387E-2</v>
      </c>
      <c r="AB92" s="22">
        <v>82</v>
      </c>
      <c r="AC92" s="22">
        <v>1.3665799999999999</v>
      </c>
      <c r="AD92">
        <f t="shared" si="16"/>
        <v>15.850246913580245</v>
      </c>
      <c r="AE92">
        <f t="shared" si="17"/>
        <v>21.667763038271602</v>
      </c>
      <c r="AF92" s="9"/>
      <c r="AG92" s="22">
        <v>0.31295800000000001</v>
      </c>
      <c r="AH92" s="22">
        <v>19.0853</v>
      </c>
      <c r="AI92" s="22">
        <v>-1.38885E-2</v>
      </c>
      <c r="AJ92" s="22">
        <v>82</v>
      </c>
      <c r="AK92" s="22">
        <v>0.31237799999999999</v>
      </c>
      <c r="AL92">
        <f t="shared" si="18"/>
        <v>17.146296296296295</v>
      </c>
      <c r="AM92">
        <f t="shared" si="19"/>
        <v>5.3660705962962965</v>
      </c>
      <c r="AP92" s="9"/>
      <c r="AQ92" s="22">
        <v>1.36703</v>
      </c>
      <c r="AR92" s="22">
        <v>24.532599999999999</v>
      </c>
      <c r="AS92" s="22">
        <v>-1.2777699999999999E-2</v>
      </c>
      <c r="AT92" s="22">
        <v>82</v>
      </c>
      <c r="AU92" s="22">
        <v>1.3653599999999999</v>
      </c>
      <c r="AV92">
        <f t="shared" si="20"/>
        <v>15.774938271604935</v>
      </c>
      <c r="AW92">
        <f t="shared" si="21"/>
        <v>21.564813865432093</v>
      </c>
      <c r="AX92" s="9"/>
      <c r="AY92" s="22">
        <v>0.31295800000000001</v>
      </c>
      <c r="AZ92" s="22">
        <v>28.311499999999999</v>
      </c>
      <c r="BA92" s="22">
        <v>-1.3897700000000001E-2</v>
      </c>
      <c r="BB92" s="22">
        <v>82</v>
      </c>
      <c r="BC92" s="22">
        <v>0.31234699999999999</v>
      </c>
      <c r="BD92">
        <f t="shared" si="22"/>
        <v>17.157654320987653</v>
      </c>
      <c r="BE92">
        <f t="shared" si="23"/>
        <v>5.3696251809876543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1.3620000000000001</v>
      </c>
      <c r="H93" s="22">
        <v>6.0262200000000004</v>
      </c>
      <c r="I93" s="22">
        <v>-1.2674E-2</v>
      </c>
      <c r="J93" s="22">
        <v>83</v>
      </c>
      <c r="K93" s="22">
        <v>1.3610800000000001</v>
      </c>
      <c r="L93">
        <f t="shared" si="12"/>
        <v>15.646913580246911</v>
      </c>
      <c r="M93">
        <f t="shared" si="13"/>
        <v>21.311096296296295</v>
      </c>
      <c r="N93" s="9"/>
      <c r="O93" s="22">
        <v>0.31799300000000003</v>
      </c>
      <c r="P93" s="22">
        <v>9.8051200000000005</v>
      </c>
      <c r="Q93" s="22">
        <v>-1.3848900000000001E-2</v>
      </c>
      <c r="R93" s="22">
        <v>83</v>
      </c>
      <c r="S93" s="22">
        <v>0.31738300000000003</v>
      </c>
      <c r="T93">
        <f t="shared" si="14"/>
        <v>17.09740740740741</v>
      </c>
      <c r="U93">
        <f t="shared" si="15"/>
        <v>5.4368558737037045</v>
      </c>
      <c r="X93" s="9"/>
      <c r="Y93" s="22">
        <v>1.3620000000000001</v>
      </c>
      <c r="Z93" s="22">
        <v>15.3164</v>
      </c>
      <c r="AA93" s="22">
        <v>-1.28571E-2</v>
      </c>
      <c r="AB93" s="22">
        <v>83</v>
      </c>
      <c r="AC93" s="22">
        <v>1.3607800000000001</v>
      </c>
      <c r="AD93">
        <f t="shared" si="16"/>
        <v>15.87296296296296</v>
      </c>
      <c r="AE93">
        <f t="shared" si="17"/>
        <v>21.618975555555554</v>
      </c>
      <c r="AF93" s="9"/>
      <c r="AG93" s="22">
        <v>0.31799300000000003</v>
      </c>
      <c r="AH93" s="22">
        <v>19.095300000000002</v>
      </c>
      <c r="AI93" s="22">
        <v>-1.38885E-2</v>
      </c>
      <c r="AJ93" s="22">
        <v>83</v>
      </c>
      <c r="AK93" s="22">
        <v>0.31738300000000003</v>
      </c>
      <c r="AL93">
        <f t="shared" si="18"/>
        <v>17.146296296296295</v>
      </c>
      <c r="AM93">
        <f t="shared" si="19"/>
        <v>5.4524021981481487</v>
      </c>
      <c r="AP93" s="9"/>
      <c r="AQ93" s="22">
        <v>1.3620000000000001</v>
      </c>
      <c r="AR93" s="22">
        <v>24.5427</v>
      </c>
      <c r="AS93" s="22">
        <v>-1.2799100000000001E-2</v>
      </c>
      <c r="AT93" s="22">
        <v>83</v>
      </c>
      <c r="AU93" s="22">
        <v>1.3604700000000001</v>
      </c>
      <c r="AV93">
        <f t="shared" si="20"/>
        <v>15.801358024691359</v>
      </c>
      <c r="AW93">
        <f t="shared" si="21"/>
        <v>21.521449629629632</v>
      </c>
      <c r="AX93" s="9"/>
      <c r="AY93" s="22">
        <v>0.31799300000000003</v>
      </c>
      <c r="AZ93" s="22">
        <v>28.3216</v>
      </c>
      <c r="BA93" s="22">
        <v>-1.3894699999999999E-2</v>
      </c>
      <c r="BB93" s="22">
        <v>83</v>
      </c>
      <c r="BC93" s="22">
        <v>0.317413</v>
      </c>
      <c r="BD93">
        <f t="shared" si="22"/>
        <v>17.153950617283947</v>
      </c>
      <c r="BE93">
        <f t="shared" si="23"/>
        <v>5.4548362186419741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1.3569599999999999</v>
      </c>
      <c r="H94" s="22">
        <v>6.0362900000000002</v>
      </c>
      <c r="I94" s="22">
        <v>-1.2710600000000001E-2</v>
      </c>
      <c r="J94" s="22">
        <v>84</v>
      </c>
      <c r="K94" s="22">
        <v>1.3562000000000001</v>
      </c>
      <c r="L94">
        <f t="shared" si="12"/>
        <v>15.692098765432098</v>
      </c>
      <c r="M94">
        <f t="shared" si="13"/>
        <v>21.29355034074074</v>
      </c>
      <c r="N94" s="9"/>
      <c r="O94" s="22">
        <v>0.32302900000000001</v>
      </c>
      <c r="P94" s="22">
        <v>9.8151899999999994</v>
      </c>
      <c r="Q94" s="22">
        <v>-1.3848900000000001E-2</v>
      </c>
      <c r="R94" s="22">
        <v>84</v>
      </c>
      <c r="S94" s="22">
        <v>0.32244899999999999</v>
      </c>
      <c r="T94">
        <f t="shared" si="14"/>
        <v>17.09740740740741</v>
      </c>
      <c r="U94">
        <f t="shared" si="15"/>
        <v>5.5229584174074082</v>
      </c>
      <c r="X94" s="9"/>
      <c r="Y94" s="22">
        <v>1.3569599999999999</v>
      </c>
      <c r="Z94" s="22">
        <v>15.326499999999999</v>
      </c>
      <c r="AA94" s="22">
        <v>-1.28723E-2</v>
      </c>
      <c r="AB94" s="22">
        <v>84</v>
      </c>
      <c r="AC94" s="22">
        <v>1.3559000000000001</v>
      </c>
      <c r="AD94">
        <f t="shared" si="16"/>
        <v>15.891728395061728</v>
      </c>
      <c r="AE94">
        <f t="shared" si="17"/>
        <v>21.564439762962962</v>
      </c>
      <c r="AF94" s="9"/>
      <c r="AG94" s="22">
        <v>0.32302900000000001</v>
      </c>
      <c r="AH94" s="22">
        <v>19.105399999999999</v>
      </c>
      <c r="AI94" s="22">
        <v>-1.38855E-2</v>
      </c>
      <c r="AJ94" s="22">
        <v>84</v>
      </c>
      <c r="AK94" s="22">
        <v>0.32241799999999998</v>
      </c>
      <c r="AL94">
        <f t="shared" si="18"/>
        <v>17.142592592592592</v>
      </c>
      <c r="AM94">
        <f t="shared" si="19"/>
        <v>5.5375545425925923</v>
      </c>
      <c r="AP94" s="9"/>
      <c r="AQ94" s="22">
        <v>1.3569599999999999</v>
      </c>
      <c r="AR94" s="22">
        <v>24.552700000000002</v>
      </c>
      <c r="AS94" s="22">
        <v>-1.28174E-2</v>
      </c>
      <c r="AT94" s="22">
        <v>84</v>
      </c>
      <c r="AU94" s="22">
        <v>1.3559000000000001</v>
      </c>
      <c r="AV94">
        <f t="shared" si="20"/>
        <v>15.82395061728395</v>
      </c>
      <c r="AW94">
        <f t="shared" si="21"/>
        <v>21.472468029629628</v>
      </c>
      <c r="AX94" s="9"/>
      <c r="AY94" s="22">
        <v>0.32302900000000001</v>
      </c>
      <c r="AZ94" s="22">
        <v>28.331700000000001</v>
      </c>
      <c r="BA94" s="22">
        <v>-1.38885E-2</v>
      </c>
      <c r="BB94" s="22">
        <v>84</v>
      </c>
      <c r="BC94" s="22">
        <v>0.32244899999999999</v>
      </c>
      <c r="BD94">
        <f t="shared" si="22"/>
        <v>17.146296296296295</v>
      </c>
      <c r="BE94">
        <f t="shared" si="23"/>
        <v>5.5387509462962958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1.3519300000000001</v>
      </c>
      <c r="H95" s="22">
        <v>6.04636</v>
      </c>
      <c r="I95" s="22">
        <v>-1.27411E-2</v>
      </c>
      <c r="J95" s="22">
        <v>85</v>
      </c>
      <c r="K95" s="22">
        <v>1.35101</v>
      </c>
      <c r="L95">
        <f t="shared" si="12"/>
        <v>15.729753086419752</v>
      </c>
      <c r="M95">
        <f t="shared" si="13"/>
        <v>21.265525090123457</v>
      </c>
      <c r="N95" s="9"/>
      <c r="O95" s="22">
        <v>0.32806400000000002</v>
      </c>
      <c r="P95" s="22">
        <v>9.8252600000000001</v>
      </c>
      <c r="Q95" s="22">
        <v>-1.3854999999999999E-2</v>
      </c>
      <c r="R95" s="22">
        <v>85</v>
      </c>
      <c r="S95" s="22">
        <v>0.327515</v>
      </c>
      <c r="T95">
        <f t="shared" si="14"/>
        <v>17.104938271604937</v>
      </c>
      <c r="U95">
        <f t="shared" si="15"/>
        <v>5.6115144691358019</v>
      </c>
      <c r="X95" s="9"/>
      <c r="Y95" s="22">
        <v>1.3519300000000001</v>
      </c>
      <c r="Z95" s="22">
        <v>15.336600000000001</v>
      </c>
      <c r="AA95" s="22">
        <v>-1.28845E-2</v>
      </c>
      <c r="AB95" s="22">
        <v>85</v>
      </c>
      <c r="AC95" s="22">
        <v>1.35101</v>
      </c>
      <c r="AD95">
        <f t="shared" si="16"/>
        <v>15.906790123456791</v>
      </c>
      <c r="AE95">
        <f t="shared" si="17"/>
        <v>21.504866771604942</v>
      </c>
      <c r="AF95" s="9"/>
      <c r="AG95" s="22">
        <v>0.32806400000000002</v>
      </c>
      <c r="AH95" s="22">
        <v>19.115500000000001</v>
      </c>
      <c r="AI95" s="22">
        <v>-1.38824E-2</v>
      </c>
      <c r="AJ95" s="22">
        <v>85</v>
      </c>
      <c r="AK95" s="22">
        <v>0.32742300000000002</v>
      </c>
      <c r="AL95">
        <f t="shared" si="18"/>
        <v>17.138765432098765</v>
      </c>
      <c r="AM95">
        <f t="shared" si="19"/>
        <v>5.6226119427160492</v>
      </c>
      <c r="AP95" s="9"/>
      <c r="AQ95" s="22">
        <v>1.3519300000000001</v>
      </c>
      <c r="AR95" s="22">
        <v>24.562799999999999</v>
      </c>
      <c r="AS95" s="22">
        <v>-1.28448E-2</v>
      </c>
      <c r="AT95" s="22">
        <v>85</v>
      </c>
      <c r="AU95" s="22">
        <v>1.3507100000000001</v>
      </c>
      <c r="AV95">
        <f t="shared" si="20"/>
        <v>15.857777777777777</v>
      </c>
      <c r="AW95">
        <f t="shared" si="21"/>
        <v>21.43860551111111</v>
      </c>
      <c r="AX95" s="9"/>
      <c r="AY95" s="22">
        <v>0.32806400000000002</v>
      </c>
      <c r="AZ95" s="22">
        <v>28.341699999999999</v>
      </c>
      <c r="BA95" s="22">
        <v>-1.38855E-2</v>
      </c>
      <c r="BB95" s="22">
        <v>85</v>
      </c>
      <c r="BC95" s="22">
        <v>0.32745400000000002</v>
      </c>
      <c r="BD95">
        <f t="shared" si="22"/>
        <v>17.142592592592592</v>
      </c>
      <c r="BE95">
        <f t="shared" si="23"/>
        <v>5.6238674962962962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1.3468899999999999</v>
      </c>
      <c r="H96" s="22">
        <v>6.0564299999999998</v>
      </c>
      <c r="I96" s="22">
        <v>-1.2777699999999999E-2</v>
      </c>
      <c r="J96" s="22">
        <v>86</v>
      </c>
      <c r="K96" s="22">
        <v>1.34674</v>
      </c>
      <c r="L96">
        <f t="shared" si="12"/>
        <v>15.774938271604935</v>
      </c>
      <c r="M96">
        <f t="shared" si="13"/>
        <v>21.247106608641968</v>
      </c>
      <c r="N96" s="9"/>
      <c r="O96" s="22">
        <v>0.33309899999999998</v>
      </c>
      <c r="P96" s="22">
        <v>9.8353400000000004</v>
      </c>
      <c r="Q96" s="22">
        <v>-1.38519E-2</v>
      </c>
      <c r="R96" s="22">
        <v>86</v>
      </c>
      <c r="S96" s="22">
        <v>0.332397</v>
      </c>
      <c r="T96">
        <f t="shared" si="14"/>
        <v>17.101111111111113</v>
      </c>
      <c r="U96">
        <f t="shared" si="15"/>
        <v>5.6963630099999998</v>
      </c>
      <c r="X96" s="9"/>
      <c r="Y96" s="22">
        <v>1.3468899999999999</v>
      </c>
      <c r="Z96" s="22">
        <v>15.3467</v>
      </c>
      <c r="AA96" s="22">
        <v>-1.2908899999999999E-2</v>
      </c>
      <c r="AB96" s="22">
        <v>86</v>
      </c>
      <c r="AC96" s="22">
        <v>1.34552</v>
      </c>
      <c r="AD96">
        <f t="shared" si="16"/>
        <v>15.936913580246911</v>
      </c>
      <c r="AE96">
        <f t="shared" si="17"/>
        <v>21.465269532098759</v>
      </c>
      <c r="AF96" s="9"/>
      <c r="AG96" s="22">
        <v>0.33309899999999998</v>
      </c>
      <c r="AH96" s="22">
        <v>19.125599999999999</v>
      </c>
      <c r="AI96" s="22">
        <v>-1.38794E-2</v>
      </c>
      <c r="AJ96" s="22">
        <v>86</v>
      </c>
      <c r="AK96" s="22">
        <v>0.33251999999999998</v>
      </c>
      <c r="AL96">
        <f t="shared" si="18"/>
        <v>17.135061728395058</v>
      </c>
      <c r="AM96">
        <f t="shared" si="19"/>
        <v>5.7076719266666656</v>
      </c>
      <c r="AP96" s="9"/>
      <c r="AQ96" s="22">
        <v>1.3468899999999999</v>
      </c>
      <c r="AR96" s="22">
        <v>24.572900000000001</v>
      </c>
      <c r="AS96" s="22">
        <v>-1.2860099999999999E-2</v>
      </c>
      <c r="AT96" s="22">
        <v>86</v>
      </c>
      <c r="AU96" s="22">
        <v>1.34552</v>
      </c>
      <c r="AV96">
        <f t="shared" si="20"/>
        <v>15.876666666666663</v>
      </c>
      <c r="AW96">
        <f t="shared" si="21"/>
        <v>21.384123566666663</v>
      </c>
      <c r="AX96" s="9"/>
      <c r="AY96" s="22">
        <v>0.33309899999999998</v>
      </c>
      <c r="AZ96" s="22">
        <v>28.351800000000001</v>
      </c>
      <c r="BA96" s="22">
        <v>-1.38824E-2</v>
      </c>
      <c r="BB96" s="22">
        <v>86</v>
      </c>
      <c r="BC96" s="22">
        <v>0.33251999999999998</v>
      </c>
      <c r="BD96">
        <f t="shared" si="22"/>
        <v>17.138765432098765</v>
      </c>
      <c r="BE96">
        <f t="shared" si="23"/>
        <v>5.7089056266666658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1.3418600000000001</v>
      </c>
      <c r="H97" s="22">
        <v>6.0664999999999996</v>
      </c>
      <c r="I97" s="22">
        <v>-1.2799100000000001E-2</v>
      </c>
      <c r="J97" s="22">
        <v>87</v>
      </c>
      <c r="K97" s="22">
        <v>1.3406400000000001</v>
      </c>
      <c r="L97">
        <f t="shared" si="12"/>
        <v>15.801358024691359</v>
      </c>
      <c r="M97">
        <f t="shared" si="13"/>
        <v>21.203210279012346</v>
      </c>
      <c r="N97" s="9"/>
      <c r="O97" s="22">
        <v>0.33813500000000002</v>
      </c>
      <c r="P97" s="22">
        <v>9.8454099999999993</v>
      </c>
      <c r="Q97" s="22">
        <v>-1.38519E-2</v>
      </c>
      <c r="R97" s="22">
        <v>87</v>
      </c>
      <c r="S97" s="22">
        <v>0.33746300000000001</v>
      </c>
      <c r="T97">
        <f t="shared" si="14"/>
        <v>17.101111111111113</v>
      </c>
      <c r="U97">
        <f t="shared" si="15"/>
        <v>5.7824842055555568</v>
      </c>
      <c r="X97" s="9"/>
      <c r="Y97" s="22">
        <v>1.3418600000000001</v>
      </c>
      <c r="Z97" s="22">
        <v>15.3567</v>
      </c>
      <c r="AA97" s="22">
        <v>-1.29395E-2</v>
      </c>
      <c r="AB97" s="22">
        <v>87</v>
      </c>
      <c r="AC97" s="22">
        <v>1.34094</v>
      </c>
      <c r="AD97">
        <f t="shared" si="16"/>
        <v>15.974691358024689</v>
      </c>
      <c r="AE97">
        <f t="shared" si="17"/>
        <v>21.435799345679008</v>
      </c>
      <c r="AF97" s="9"/>
      <c r="AG97" s="22">
        <v>0.33813500000000002</v>
      </c>
      <c r="AH97" s="22">
        <v>19.1356</v>
      </c>
      <c r="AI97" s="22">
        <v>-1.3876299999999999E-2</v>
      </c>
      <c r="AJ97" s="22">
        <v>87</v>
      </c>
      <c r="AK97" s="22">
        <v>0.33755499999999999</v>
      </c>
      <c r="AL97">
        <f t="shared" si="18"/>
        <v>17.131234567901231</v>
      </c>
      <c r="AM97">
        <f t="shared" si="19"/>
        <v>5.7926700006172833</v>
      </c>
      <c r="AP97" s="9"/>
      <c r="AQ97" s="22">
        <v>1.3418600000000001</v>
      </c>
      <c r="AR97" s="22">
        <v>24.582899999999999</v>
      </c>
      <c r="AS97" s="22">
        <v>-1.2881500000000001E-2</v>
      </c>
      <c r="AT97" s="22">
        <v>87</v>
      </c>
      <c r="AU97" s="22">
        <v>1.3406400000000001</v>
      </c>
      <c r="AV97">
        <f t="shared" si="20"/>
        <v>15.903086419753087</v>
      </c>
      <c r="AW97">
        <f t="shared" si="21"/>
        <v>21.339715543209877</v>
      </c>
      <c r="AX97" s="9"/>
      <c r="AY97" s="22">
        <v>0.33813500000000002</v>
      </c>
      <c r="AZ97" s="22">
        <v>28.361899999999999</v>
      </c>
      <c r="BA97" s="22">
        <v>-1.3876299999999999E-2</v>
      </c>
      <c r="BB97" s="22">
        <v>87</v>
      </c>
      <c r="BC97" s="22">
        <v>0.33755499999999999</v>
      </c>
      <c r="BD97">
        <f t="shared" si="22"/>
        <v>17.131234567901231</v>
      </c>
      <c r="BE97">
        <f t="shared" si="23"/>
        <v>5.7926700006172833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1.3368199999999999</v>
      </c>
      <c r="H98" s="22">
        <v>6.0765700000000002</v>
      </c>
      <c r="I98" s="22">
        <v>-1.28174E-2</v>
      </c>
      <c r="J98" s="22">
        <v>88</v>
      </c>
      <c r="K98" s="22">
        <v>1.33606</v>
      </c>
      <c r="L98">
        <f t="shared" si="12"/>
        <v>15.82395061728395</v>
      </c>
      <c r="M98">
        <f t="shared" si="13"/>
        <v>21.15377366419753</v>
      </c>
      <c r="N98" s="9"/>
      <c r="O98" s="22">
        <v>0.34316999999999998</v>
      </c>
      <c r="P98" s="22">
        <v>9.85548</v>
      </c>
      <c r="Q98" s="22">
        <v>-1.38458E-2</v>
      </c>
      <c r="R98" s="22">
        <v>88</v>
      </c>
      <c r="S98" s="22">
        <v>0.34255999999999998</v>
      </c>
      <c r="T98">
        <f t="shared" si="14"/>
        <v>17.093580246913579</v>
      </c>
      <c r="U98">
        <f t="shared" si="15"/>
        <v>5.8660039333333325</v>
      </c>
      <c r="X98" s="9"/>
      <c r="Y98" s="22">
        <v>1.3368199999999999</v>
      </c>
      <c r="Z98" s="22">
        <v>15.3668</v>
      </c>
      <c r="AA98" s="22">
        <v>-1.29578E-2</v>
      </c>
      <c r="AB98" s="22">
        <v>88</v>
      </c>
      <c r="AC98" s="22">
        <v>1.33606</v>
      </c>
      <c r="AD98">
        <f t="shared" si="16"/>
        <v>15.997283950617284</v>
      </c>
      <c r="AE98">
        <f t="shared" si="17"/>
        <v>21.385489130864197</v>
      </c>
      <c r="AF98" s="9"/>
      <c r="AG98" s="22">
        <v>0.34316999999999998</v>
      </c>
      <c r="AH98" s="22">
        <v>19.145700000000001</v>
      </c>
      <c r="AI98" s="22">
        <v>-1.3870199999999999E-2</v>
      </c>
      <c r="AJ98" s="22">
        <v>88</v>
      </c>
      <c r="AK98" s="22">
        <v>0.34262100000000001</v>
      </c>
      <c r="AL98">
        <f t="shared" si="18"/>
        <v>17.123703703703701</v>
      </c>
      <c r="AM98">
        <f t="shared" si="19"/>
        <v>5.8763413999999985</v>
      </c>
      <c r="AP98" s="9"/>
      <c r="AQ98" s="22">
        <v>1.3368199999999999</v>
      </c>
      <c r="AR98" s="22">
        <v>24.593</v>
      </c>
      <c r="AS98" s="22">
        <v>-1.2896700000000001E-2</v>
      </c>
      <c r="AT98" s="22">
        <v>88</v>
      </c>
      <c r="AU98" s="22">
        <v>1.33606</v>
      </c>
      <c r="AV98">
        <f t="shared" si="20"/>
        <v>15.92185185185185</v>
      </c>
      <c r="AW98">
        <f t="shared" si="21"/>
        <v>21.284649992592588</v>
      </c>
      <c r="AX98" s="9"/>
      <c r="AY98" s="22">
        <v>0.34316999999999998</v>
      </c>
      <c r="AZ98" s="22">
        <v>28.372</v>
      </c>
      <c r="BA98" s="22">
        <v>-1.3876299999999999E-2</v>
      </c>
      <c r="BB98" s="22">
        <v>88</v>
      </c>
      <c r="BC98" s="22">
        <v>0.34252899999999997</v>
      </c>
      <c r="BD98">
        <f t="shared" si="22"/>
        <v>17.131234567901231</v>
      </c>
      <c r="BE98">
        <f t="shared" si="23"/>
        <v>5.878925766666665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1.33179</v>
      </c>
      <c r="H99" s="22">
        <v>6.0866400000000001</v>
      </c>
      <c r="I99" s="22">
        <v>-1.28387E-2</v>
      </c>
      <c r="J99" s="22">
        <v>89</v>
      </c>
      <c r="K99" s="22">
        <v>1.33087</v>
      </c>
      <c r="L99">
        <f t="shared" si="12"/>
        <v>15.850246913580245</v>
      </c>
      <c r="M99">
        <f t="shared" si="13"/>
        <v>21.109200337037034</v>
      </c>
      <c r="N99" s="9"/>
      <c r="O99" s="22">
        <v>0.34820600000000002</v>
      </c>
      <c r="P99" s="22">
        <v>9.8655500000000007</v>
      </c>
      <c r="Q99" s="22">
        <v>-1.38397E-2</v>
      </c>
      <c r="R99" s="22">
        <v>89</v>
      </c>
      <c r="S99" s="22">
        <v>0.34756500000000001</v>
      </c>
      <c r="T99">
        <f t="shared" si="14"/>
        <v>17.086049382716048</v>
      </c>
      <c r="U99">
        <f t="shared" si="15"/>
        <v>5.9494649113580245</v>
      </c>
      <c r="X99" s="9"/>
      <c r="Y99" s="22">
        <v>1.33179</v>
      </c>
      <c r="Z99" s="22">
        <v>15.376899999999999</v>
      </c>
      <c r="AA99" s="22">
        <v>-1.29791E-2</v>
      </c>
      <c r="AB99" s="22">
        <v>89</v>
      </c>
      <c r="AC99" s="22">
        <v>1.33087</v>
      </c>
      <c r="AD99">
        <f t="shared" si="16"/>
        <v>16.023580246913578</v>
      </c>
      <c r="AE99">
        <f t="shared" si="17"/>
        <v>21.340043937037034</v>
      </c>
      <c r="AF99" s="9"/>
      <c r="AG99" s="22">
        <v>0.34820600000000002</v>
      </c>
      <c r="AH99" s="22">
        <v>19.155799999999999</v>
      </c>
      <c r="AI99" s="22">
        <v>-1.3861099999999999E-2</v>
      </c>
      <c r="AJ99" s="22">
        <v>89</v>
      </c>
      <c r="AK99" s="22">
        <v>0.34759499999999999</v>
      </c>
      <c r="AL99">
        <f t="shared" si="18"/>
        <v>17.112469135802467</v>
      </c>
      <c r="AM99">
        <f t="shared" si="19"/>
        <v>5.9586644279012342</v>
      </c>
      <c r="AP99" s="9"/>
      <c r="AQ99" s="22">
        <v>1.33179</v>
      </c>
      <c r="AR99" s="22">
        <v>24.603100000000001</v>
      </c>
      <c r="AS99" s="22">
        <v>-1.29211E-2</v>
      </c>
      <c r="AT99" s="22">
        <v>89</v>
      </c>
      <c r="AU99" s="22">
        <v>1.33087</v>
      </c>
      <c r="AV99">
        <f t="shared" si="20"/>
        <v>15.951975308641973</v>
      </c>
      <c r="AW99">
        <f t="shared" si="21"/>
        <v>21.244681196296295</v>
      </c>
      <c r="AX99" s="9"/>
      <c r="AY99" s="22">
        <v>0.34820600000000002</v>
      </c>
      <c r="AZ99" s="22">
        <v>28.382000000000001</v>
      </c>
      <c r="BA99" s="22">
        <v>-1.38794E-2</v>
      </c>
      <c r="BB99" s="22">
        <v>89</v>
      </c>
      <c r="BC99" s="22">
        <v>0.34756500000000001</v>
      </c>
      <c r="BD99">
        <f t="shared" si="22"/>
        <v>17.135061728395058</v>
      </c>
      <c r="BE99">
        <f t="shared" si="23"/>
        <v>5.9665313041975301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1.3267500000000001</v>
      </c>
      <c r="H100" s="22">
        <v>6.0967099999999999</v>
      </c>
      <c r="I100" s="22">
        <v>-1.28662E-2</v>
      </c>
      <c r="J100" s="22">
        <v>90</v>
      </c>
      <c r="K100" s="22">
        <v>1.32599</v>
      </c>
      <c r="L100">
        <f t="shared" si="12"/>
        <v>15.884197530864196</v>
      </c>
      <c r="M100">
        <f t="shared" si="13"/>
        <v>21.074359074074074</v>
      </c>
      <c r="N100" s="9"/>
      <c r="O100" s="22">
        <v>0.35324100000000003</v>
      </c>
      <c r="P100" s="22">
        <v>9.8756199999999996</v>
      </c>
      <c r="Q100" s="22">
        <v>-1.38336E-2</v>
      </c>
      <c r="R100" s="22">
        <v>90</v>
      </c>
      <c r="S100" s="22">
        <v>0.35269200000000001</v>
      </c>
      <c r="T100">
        <f t="shared" si="14"/>
        <v>17.078518518518518</v>
      </c>
      <c r="U100">
        <f t="shared" si="15"/>
        <v>6.0328329600000004</v>
      </c>
      <c r="X100" s="9"/>
      <c r="Y100" s="22">
        <v>1.3267500000000001</v>
      </c>
      <c r="Z100" s="22">
        <v>15.386900000000001</v>
      </c>
      <c r="AA100" s="22">
        <v>-1.30005E-2</v>
      </c>
      <c r="AB100" s="22">
        <v>90</v>
      </c>
      <c r="AC100" s="22">
        <v>1.32568</v>
      </c>
      <c r="AD100">
        <f t="shared" si="16"/>
        <v>16.049999999999997</v>
      </c>
      <c r="AE100">
        <f t="shared" si="17"/>
        <v>21.294337499999997</v>
      </c>
      <c r="AF100" s="9"/>
      <c r="AG100" s="22">
        <v>0.35324100000000003</v>
      </c>
      <c r="AH100" s="22">
        <v>19.165800000000001</v>
      </c>
      <c r="AI100" s="22">
        <v>-1.3858000000000001E-2</v>
      </c>
      <c r="AJ100" s="22">
        <v>90</v>
      </c>
      <c r="AK100" s="22">
        <v>0.352661</v>
      </c>
      <c r="AL100">
        <f t="shared" si="18"/>
        <v>17.10864197530864</v>
      </c>
      <c r="AM100">
        <f t="shared" si="19"/>
        <v>6.0434737999999992</v>
      </c>
      <c r="AP100" s="9"/>
      <c r="AQ100" s="22">
        <v>1.3267500000000001</v>
      </c>
      <c r="AR100" s="22">
        <v>24.613199999999999</v>
      </c>
      <c r="AS100" s="22">
        <v>-1.29517E-2</v>
      </c>
      <c r="AT100" s="22">
        <v>90</v>
      </c>
      <c r="AU100" s="22">
        <v>1.32599</v>
      </c>
      <c r="AV100">
        <f t="shared" si="20"/>
        <v>15.989753086419752</v>
      </c>
      <c r="AW100">
        <f t="shared" si="21"/>
        <v>21.214404907407406</v>
      </c>
      <c r="AX100" s="9"/>
      <c r="AY100" s="22">
        <v>0.35324100000000003</v>
      </c>
      <c r="AZ100" s="22">
        <v>28.392099999999999</v>
      </c>
      <c r="BA100" s="22">
        <v>-1.38794E-2</v>
      </c>
      <c r="BB100" s="22">
        <v>90</v>
      </c>
      <c r="BC100" s="22">
        <v>0.35260000000000002</v>
      </c>
      <c r="BD100">
        <f t="shared" si="22"/>
        <v>17.135061728395058</v>
      </c>
      <c r="BE100">
        <f t="shared" si="23"/>
        <v>6.0528063399999992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1.32172</v>
      </c>
      <c r="H101" s="22">
        <v>6.1067799999999997</v>
      </c>
      <c r="I101" s="22">
        <v>-1.2896700000000001E-2</v>
      </c>
      <c r="J101" s="22">
        <v>91</v>
      </c>
      <c r="K101" s="22">
        <v>1.3205</v>
      </c>
      <c r="L101">
        <f t="shared" si="12"/>
        <v>15.92185185185185</v>
      </c>
      <c r="M101">
        <f t="shared" si="13"/>
        <v>21.044230029629627</v>
      </c>
      <c r="N101" s="9"/>
      <c r="O101" s="22">
        <v>0.35827599999999998</v>
      </c>
      <c r="P101" s="22">
        <v>9.8856900000000003</v>
      </c>
      <c r="Q101" s="22">
        <v>-1.38336E-2</v>
      </c>
      <c r="R101" s="22">
        <v>91</v>
      </c>
      <c r="S101" s="22">
        <v>0.35772700000000002</v>
      </c>
      <c r="T101">
        <f t="shared" si="14"/>
        <v>17.078518518518518</v>
      </c>
      <c r="U101">
        <f t="shared" si="15"/>
        <v>6.1188233007407398</v>
      </c>
      <c r="X101" s="9"/>
      <c r="Y101" s="22">
        <v>1.32172</v>
      </c>
      <c r="Z101" s="22">
        <v>15.397</v>
      </c>
      <c r="AA101" s="22">
        <v>-1.30157E-2</v>
      </c>
      <c r="AB101" s="22">
        <v>91</v>
      </c>
      <c r="AC101" s="22">
        <v>1.3205</v>
      </c>
      <c r="AD101">
        <f t="shared" si="16"/>
        <v>16.068765432098765</v>
      </c>
      <c r="AE101">
        <f t="shared" si="17"/>
        <v>21.23840864691358</v>
      </c>
      <c r="AF101" s="9"/>
      <c r="AG101" s="22">
        <v>0.35827599999999998</v>
      </c>
      <c r="AH101" s="22">
        <v>19.175899999999999</v>
      </c>
      <c r="AI101" s="22">
        <v>-1.3854999999999999E-2</v>
      </c>
      <c r="AJ101" s="22">
        <v>91</v>
      </c>
      <c r="AK101" s="22">
        <v>0.35763499999999998</v>
      </c>
      <c r="AL101">
        <f t="shared" si="18"/>
        <v>17.104938271604937</v>
      </c>
      <c r="AM101">
        <f t="shared" si="19"/>
        <v>6.1282888641975299</v>
      </c>
      <c r="AP101" s="9"/>
      <c r="AQ101" s="22">
        <v>1.32172</v>
      </c>
      <c r="AR101" s="22">
        <v>24.623200000000001</v>
      </c>
      <c r="AS101" s="22">
        <v>-1.2976100000000001E-2</v>
      </c>
      <c r="AT101" s="22">
        <v>91</v>
      </c>
      <c r="AU101" s="22">
        <v>1.3205</v>
      </c>
      <c r="AV101">
        <f t="shared" si="20"/>
        <v>16.019876543209875</v>
      </c>
      <c r="AW101">
        <f t="shared" si="21"/>
        <v>21.173791224691357</v>
      </c>
      <c r="AX101" s="9"/>
      <c r="AY101" s="22">
        <v>0.35827599999999998</v>
      </c>
      <c r="AZ101" s="22">
        <v>28.402200000000001</v>
      </c>
      <c r="BA101" s="22">
        <v>-1.3876299999999999E-2</v>
      </c>
      <c r="BB101" s="22">
        <v>91</v>
      </c>
      <c r="BC101" s="22">
        <v>0.35769699999999999</v>
      </c>
      <c r="BD101">
        <f t="shared" si="22"/>
        <v>17.131234567901231</v>
      </c>
      <c r="BE101">
        <f t="shared" si="23"/>
        <v>6.1377101960493814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1.3166800000000001</v>
      </c>
      <c r="H102" s="22">
        <v>6.11686</v>
      </c>
      <c r="I102" s="22">
        <v>-1.2914999999999999E-2</v>
      </c>
      <c r="J102" s="22">
        <v>92</v>
      </c>
      <c r="K102" s="22">
        <v>1.3162199999999999</v>
      </c>
      <c r="L102">
        <f t="shared" si="12"/>
        <v>15.944444444444441</v>
      </c>
      <c r="M102">
        <f t="shared" si="13"/>
        <v>20.993731111111106</v>
      </c>
      <c r="N102" s="9"/>
      <c r="O102" s="22">
        <v>0.36331200000000002</v>
      </c>
      <c r="P102" s="22">
        <v>9.8957599999999992</v>
      </c>
      <c r="Q102" s="22">
        <v>-1.38306E-2</v>
      </c>
      <c r="R102" s="22">
        <v>92</v>
      </c>
      <c r="S102" s="22">
        <v>0.36264000000000002</v>
      </c>
      <c r="T102">
        <f t="shared" si="14"/>
        <v>17.074814814814815</v>
      </c>
      <c r="U102">
        <f t="shared" si="15"/>
        <v>6.2034851200000007</v>
      </c>
      <c r="X102" s="9"/>
      <c r="Y102" s="22">
        <v>1.3166800000000001</v>
      </c>
      <c r="Z102" s="22">
        <v>15.4071</v>
      </c>
      <c r="AA102" s="22">
        <v>-1.30402E-2</v>
      </c>
      <c r="AB102" s="22">
        <v>92</v>
      </c>
      <c r="AC102" s="22">
        <v>1.31531</v>
      </c>
      <c r="AD102">
        <f t="shared" si="16"/>
        <v>16.099012345679011</v>
      </c>
      <c r="AE102">
        <f t="shared" si="17"/>
        <v>21.197247575308641</v>
      </c>
      <c r="AF102" s="9"/>
      <c r="AG102" s="22">
        <v>0.36331200000000002</v>
      </c>
      <c r="AH102" s="22">
        <v>19.186</v>
      </c>
      <c r="AI102" s="22">
        <v>-1.3854999999999999E-2</v>
      </c>
      <c r="AJ102" s="22">
        <v>92</v>
      </c>
      <c r="AK102" s="22">
        <v>0.36267100000000002</v>
      </c>
      <c r="AL102">
        <f t="shared" si="18"/>
        <v>17.104938271604937</v>
      </c>
      <c r="AM102">
        <f t="shared" si="19"/>
        <v>6.2144293333333334</v>
      </c>
      <c r="AP102" s="9"/>
      <c r="AQ102" s="22">
        <v>1.3166800000000001</v>
      </c>
      <c r="AR102" s="22">
        <v>24.633299999999998</v>
      </c>
      <c r="AS102" s="22">
        <v>-1.2997399999999999E-2</v>
      </c>
      <c r="AT102" s="22">
        <v>92</v>
      </c>
      <c r="AU102" s="22">
        <v>1.3156099999999999</v>
      </c>
      <c r="AV102">
        <f t="shared" si="20"/>
        <v>16.04617283950617</v>
      </c>
      <c r="AW102">
        <f t="shared" si="21"/>
        <v>21.127674854320986</v>
      </c>
      <c r="AX102" s="9"/>
      <c r="AY102" s="22">
        <v>0.36331200000000002</v>
      </c>
      <c r="AZ102" s="22">
        <v>28.412199999999999</v>
      </c>
      <c r="BA102" s="22">
        <v>-1.3870199999999999E-2</v>
      </c>
      <c r="BB102" s="22">
        <v>92</v>
      </c>
      <c r="BC102" s="22">
        <v>0.362701</v>
      </c>
      <c r="BD102">
        <f t="shared" si="22"/>
        <v>17.123703703703701</v>
      </c>
      <c r="BE102">
        <f t="shared" si="23"/>
        <v>6.2212470399999988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1.31165</v>
      </c>
      <c r="H103" s="22">
        <v>6.1269299999999998</v>
      </c>
      <c r="I103" s="22">
        <v>-1.29242E-2</v>
      </c>
      <c r="J103" s="22">
        <v>93</v>
      </c>
      <c r="K103" s="22">
        <v>1.3104199999999999</v>
      </c>
      <c r="L103">
        <f t="shared" si="12"/>
        <v>15.955802469135801</v>
      </c>
      <c r="M103">
        <f t="shared" si="13"/>
        <v>20.928428308641973</v>
      </c>
      <c r="N103" s="9"/>
      <c r="O103" s="22">
        <v>0.36834699999999998</v>
      </c>
      <c r="P103" s="22">
        <v>9.9058299999999999</v>
      </c>
      <c r="Q103" s="22">
        <v>-1.38245E-2</v>
      </c>
      <c r="R103" s="22">
        <v>93</v>
      </c>
      <c r="S103" s="22">
        <v>0.36782799999999999</v>
      </c>
      <c r="T103">
        <f t="shared" si="14"/>
        <v>17.067283950617281</v>
      </c>
      <c r="U103">
        <f t="shared" si="15"/>
        <v>6.2866828413580231</v>
      </c>
      <c r="X103" s="9"/>
      <c r="Y103" s="22">
        <v>1.31165</v>
      </c>
      <c r="Z103" s="22">
        <v>15.4171</v>
      </c>
      <c r="AA103" s="22">
        <v>-1.30554E-2</v>
      </c>
      <c r="AB103" s="22">
        <v>93</v>
      </c>
      <c r="AC103" s="22">
        <v>1.31104</v>
      </c>
      <c r="AD103">
        <f t="shared" si="16"/>
        <v>16.117777777777775</v>
      </c>
      <c r="AE103">
        <f t="shared" si="17"/>
        <v>21.140883222222218</v>
      </c>
      <c r="AF103" s="9"/>
      <c r="AG103" s="22">
        <v>0.36834699999999998</v>
      </c>
      <c r="AH103" s="22">
        <v>19.196100000000001</v>
      </c>
      <c r="AI103" s="22">
        <v>-1.3854999999999999E-2</v>
      </c>
      <c r="AJ103" s="22">
        <v>93</v>
      </c>
      <c r="AK103" s="22">
        <v>0.36773699999999998</v>
      </c>
      <c r="AL103">
        <f t="shared" si="18"/>
        <v>17.104938271604937</v>
      </c>
      <c r="AM103">
        <f t="shared" si="19"/>
        <v>6.300552697530863</v>
      </c>
      <c r="AP103" s="9"/>
      <c r="AQ103" s="22">
        <v>1.31165</v>
      </c>
      <c r="AR103" s="22">
        <v>24.6434</v>
      </c>
      <c r="AS103" s="22">
        <v>-1.30096E-2</v>
      </c>
      <c r="AT103" s="22">
        <v>93</v>
      </c>
      <c r="AU103" s="22">
        <v>1.31073</v>
      </c>
      <c r="AV103">
        <f t="shared" si="20"/>
        <v>16.061234567901234</v>
      </c>
      <c r="AW103">
        <f t="shared" si="21"/>
        <v>21.066718320987654</v>
      </c>
      <c r="AX103" s="9"/>
      <c r="AY103" s="22">
        <v>0.36834699999999998</v>
      </c>
      <c r="AZ103" s="22">
        <v>28.4223</v>
      </c>
      <c r="BA103" s="22">
        <v>-1.3876299999999999E-2</v>
      </c>
      <c r="BB103" s="22">
        <v>93</v>
      </c>
      <c r="BC103" s="22">
        <v>0.36779800000000001</v>
      </c>
      <c r="BD103">
        <f t="shared" si="22"/>
        <v>17.131234567901231</v>
      </c>
      <c r="BE103">
        <f t="shared" si="23"/>
        <v>6.3102388593827143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1.30661</v>
      </c>
      <c r="H104" s="22">
        <v>6.1369999999999996</v>
      </c>
      <c r="I104" s="22">
        <v>-1.2942499999999999E-2</v>
      </c>
      <c r="J104" s="22">
        <v>94</v>
      </c>
      <c r="K104" s="22">
        <v>1.30585</v>
      </c>
      <c r="L104">
        <f t="shared" si="12"/>
        <v>15.978395061728392</v>
      </c>
      <c r="M104">
        <f t="shared" si="13"/>
        <v>20.877530771604935</v>
      </c>
      <c r="N104" s="9"/>
      <c r="O104" s="22">
        <v>0.37338300000000002</v>
      </c>
      <c r="P104" s="22">
        <v>9.9159000000000006</v>
      </c>
      <c r="Q104" s="22">
        <v>-1.3821399999999999E-2</v>
      </c>
      <c r="R104" s="22">
        <v>94</v>
      </c>
      <c r="S104" s="22">
        <v>0.372803</v>
      </c>
      <c r="T104">
        <f t="shared" si="14"/>
        <v>17.063456790123453</v>
      </c>
      <c r="U104">
        <f t="shared" si="15"/>
        <v>6.3712046866666654</v>
      </c>
      <c r="X104" s="9"/>
      <c r="Y104" s="22">
        <v>1.30661</v>
      </c>
      <c r="Z104" s="22">
        <v>15.427199999999999</v>
      </c>
      <c r="AA104" s="22">
        <v>-1.30676E-2</v>
      </c>
      <c r="AB104" s="22">
        <v>94</v>
      </c>
      <c r="AC104" s="22">
        <v>1.3055399999999999</v>
      </c>
      <c r="AD104">
        <f t="shared" si="16"/>
        <v>16.132839506172839</v>
      </c>
      <c r="AE104">
        <f t="shared" si="17"/>
        <v>21.079329427160495</v>
      </c>
      <c r="AF104" s="9"/>
      <c r="AG104" s="22">
        <v>0.37338300000000002</v>
      </c>
      <c r="AH104" s="22">
        <v>19.206099999999999</v>
      </c>
      <c r="AI104" s="22">
        <v>-1.3858000000000001E-2</v>
      </c>
      <c r="AJ104" s="22">
        <v>94</v>
      </c>
      <c r="AK104" s="22">
        <v>0.37277199999999999</v>
      </c>
      <c r="AL104">
        <f t="shared" si="18"/>
        <v>17.10864197530864</v>
      </c>
      <c r="AM104">
        <f t="shared" si="19"/>
        <v>6.3880760666666658</v>
      </c>
      <c r="AP104" s="9"/>
      <c r="AQ104" s="22">
        <v>1.30661</v>
      </c>
      <c r="AR104" s="22">
        <v>24.653400000000001</v>
      </c>
      <c r="AS104" s="22">
        <v>-1.3030999999999999E-2</v>
      </c>
      <c r="AT104" s="22">
        <v>94</v>
      </c>
      <c r="AU104" s="22">
        <v>1.30585</v>
      </c>
      <c r="AV104">
        <f t="shared" si="20"/>
        <v>16.087654320987653</v>
      </c>
      <c r="AW104">
        <f t="shared" si="21"/>
        <v>21.020290012345679</v>
      </c>
      <c r="AX104" s="9"/>
      <c r="AY104" s="22">
        <v>0.37338300000000002</v>
      </c>
      <c r="AZ104" s="22">
        <v>28.432400000000001</v>
      </c>
      <c r="BA104" s="22">
        <v>-1.3876299999999999E-2</v>
      </c>
      <c r="BB104" s="22">
        <v>94</v>
      </c>
      <c r="BC104" s="22">
        <v>0.37277199999999999</v>
      </c>
      <c r="BD104">
        <f t="shared" si="22"/>
        <v>17.131234567901231</v>
      </c>
      <c r="BE104">
        <f t="shared" si="23"/>
        <v>6.3965117566666656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1.3015699999999999</v>
      </c>
      <c r="H105" s="22">
        <v>6.1470700000000003</v>
      </c>
      <c r="I105" s="22">
        <v>-1.29578E-2</v>
      </c>
      <c r="J105" s="22">
        <v>95</v>
      </c>
      <c r="K105" s="22">
        <v>1.3006599999999999</v>
      </c>
      <c r="L105">
        <f t="shared" si="12"/>
        <v>15.997283950617284</v>
      </c>
      <c r="M105">
        <f t="shared" si="13"/>
        <v>20.821584871604937</v>
      </c>
      <c r="N105" s="9"/>
      <c r="O105" s="22">
        <v>0.37841799999999998</v>
      </c>
      <c r="P105" s="22">
        <v>9.9259699999999995</v>
      </c>
      <c r="Q105" s="22">
        <v>-1.3821399999999999E-2</v>
      </c>
      <c r="R105" s="22">
        <v>95</v>
      </c>
      <c r="S105" s="22">
        <v>0.37783800000000001</v>
      </c>
      <c r="T105">
        <f t="shared" si="14"/>
        <v>17.063456790123453</v>
      </c>
      <c r="U105">
        <f t="shared" si="15"/>
        <v>6.4571191916049369</v>
      </c>
      <c r="X105" s="9"/>
      <c r="Y105" s="22">
        <v>1.3015699999999999</v>
      </c>
      <c r="Z105" s="22">
        <v>15.4373</v>
      </c>
      <c r="AA105" s="22">
        <v>-1.30829E-2</v>
      </c>
      <c r="AB105" s="22">
        <v>95</v>
      </c>
      <c r="AC105" s="22">
        <v>1.3009599999999999</v>
      </c>
      <c r="AD105">
        <f t="shared" si="16"/>
        <v>16.151728395061728</v>
      </c>
      <c r="AE105">
        <f t="shared" si="17"/>
        <v>21.022605127160492</v>
      </c>
      <c r="AF105" s="9"/>
      <c r="AG105" s="22">
        <v>0.37841799999999998</v>
      </c>
      <c r="AH105" s="22">
        <v>19.216200000000001</v>
      </c>
      <c r="AI105" s="22">
        <v>-1.3854999999999999E-2</v>
      </c>
      <c r="AJ105" s="22">
        <v>95</v>
      </c>
      <c r="AK105" s="22">
        <v>0.37777699999999997</v>
      </c>
      <c r="AL105">
        <f t="shared" si="18"/>
        <v>17.104938271604937</v>
      </c>
      <c r="AM105">
        <f t="shared" si="19"/>
        <v>6.4728165308641961</v>
      </c>
      <c r="AP105" s="9"/>
      <c r="AQ105" s="22">
        <v>1.3015699999999999</v>
      </c>
      <c r="AR105" s="22">
        <v>24.663499999999999</v>
      </c>
      <c r="AS105" s="22">
        <v>-1.30463E-2</v>
      </c>
      <c r="AT105" s="22">
        <v>95</v>
      </c>
      <c r="AU105" s="22">
        <v>1.3009599999999999</v>
      </c>
      <c r="AV105">
        <f t="shared" si="20"/>
        <v>16.106543209876545</v>
      </c>
      <c r="AW105">
        <f t="shared" si="21"/>
        <v>20.963793445679013</v>
      </c>
      <c r="AX105" s="9"/>
      <c r="AY105" s="22">
        <v>0.37841799999999998</v>
      </c>
      <c r="AZ105" s="22">
        <v>28.442499999999999</v>
      </c>
      <c r="BA105" s="22">
        <v>-1.3876299999999999E-2</v>
      </c>
      <c r="BB105" s="22">
        <v>95</v>
      </c>
      <c r="BC105" s="22">
        <v>0.37786900000000001</v>
      </c>
      <c r="BD105">
        <f t="shared" si="22"/>
        <v>17.131234567901231</v>
      </c>
      <c r="BE105">
        <f t="shared" si="23"/>
        <v>6.4827675227160473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1.29654</v>
      </c>
      <c r="H106" s="22">
        <v>6.1571400000000001</v>
      </c>
      <c r="I106" s="22">
        <v>-1.2982199999999999E-2</v>
      </c>
      <c r="J106" s="22">
        <v>96</v>
      </c>
      <c r="K106" s="22">
        <v>1.2954699999999999</v>
      </c>
      <c r="L106">
        <f t="shared" si="12"/>
        <v>16.027407407407406</v>
      </c>
      <c r="M106">
        <f t="shared" si="13"/>
        <v>20.780174799999998</v>
      </c>
      <c r="N106" s="9"/>
      <c r="O106" s="22">
        <v>0.38345299999999999</v>
      </c>
      <c r="P106" s="22">
        <v>9.9360499999999998</v>
      </c>
      <c r="Q106" s="22">
        <v>-1.38184E-2</v>
      </c>
      <c r="R106" s="22">
        <v>96</v>
      </c>
      <c r="S106" s="22">
        <v>0.38281300000000001</v>
      </c>
      <c r="T106">
        <f t="shared" si="14"/>
        <v>17.05975308641975</v>
      </c>
      <c r="U106">
        <f t="shared" si="15"/>
        <v>6.5416135002469122</v>
      </c>
      <c r="X106" s="9"/>
      <c r="Y106" s="22">
        <v>1.29654</v>
      </c>
      <c r="Z106" s="22">
        <v>15.4474</v>
      </c>
      <c r="AA106" s="22">
        <v>-1.30951E-2</v>
      </c>
      <c r="AB106" s="22">
        <v>96</v>
      </c>
      <c r="AC106" s="22">
        <v>1.2957799999999999</v>
      </c>
      <c r="AD106">
        <f t="shared" si="16"/>
        <v>16.166790123456789</v>
      </c>
      <c r="AE106">
        <f t="shared" si="17"/>
        <v>20.960890066666664</v>
      </c>
      <c r="AF106" s="9"/>
      <c r="AG106" s="22">
        <v>0.38345299999999999</v>
      </c>
      <c r="AH106" s="22">
        <v>19.226299999999998</v>
      </c>
      <c r="AI106" s="22">
        <v>-1.38519E-2</v>
      </c>
      <c r="AJ106" s="22">
        <v>96</v>
      </c>
      <c r="AK106" s="22">
        <v>0.38284299999999999</v>
      </c>
      <c r="AL106">
        <f t="shared" si="18"/>
        <v>17.101111111111113</v>
      </c>
      <c r="AM106">
        <f t="shared" si="19"/>
        <v>6.557472358888889</v>
      </c>
      <c r="AP106" s="9"/>
      <c r="AQ106" s="22">
        <v>1.29654</v>
      </c>
      <c r="AR106" s="22">
        <v>24.6736</v>
      </c>
      <c r="AS106" s="22">
        <v>-1.30554E-2</v>
      </c>
      <c r="AT106" s="22">
        <v>96</v>
      </c>
      <c r="AU106" s="22">
        <v>1.2954699999999999</v>
      </c>
      <c r="AV106">
        <f t="shared" si="20"/>
        <v>16.117777777777775</v>
      </c>
      <c r="AW106">
        <f t="shared" si="21"/>
        <v>20.897343599999996</v>
      </c>
      <c r="AX106" s="9"/>
      <c r="AY106" s="22">
        <v>0.38345299999999999</v>
      </c>
      <c r="AZ106" s="22">
        <v>28.452500000000001</v>
      </c>
      <c r="BA106" s="22">
        <v>-1.3876299999999999E-2</v>
      </c>
      <c r="BB106" s="22">
        <v>96</v>
      </c>
      <c r="BC106" s="22">
        <v>0.38278200000000001</v>
      </c>
      <c r="BD106">
        <f t="shared" si="22"/>
        <v>17.131234567901231</v>
      </c>
      <c r="BE106">
        <f t="shared" si="23"/>
        <v>6.5690232887654307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1.2915000000000001</v>
      </c>
      <c r="H107" s="22">
        <v>6.1672099999999999</v>
      </c>
      <c r="I107" s="22">
        <v>-1.2991300000000001E-2</v>
      </c>
      <c r="J107" s="22">
        <v>97</v>
      </c>
      <c r="K107" s="22">
        <v>1.2915000000000001</v>
      </c>
      <c r="L107">
        <f t="shared" si="12"/>
        <v>16.038641975308643</v>
      </c>
      <c r="M107">
        <f t="shared" si="13"/>
        <v>20.713906111111115</v>
      </c>
      <c r="N107" s="9"/>
      <c r="O107" s="22">
        <v>0.38848899999999997</v>
      </c>
      <c r="P107" s="22">
        <v>9.9461200000000005</v>
      </c>
      <c r="Q107" s="22">
        <v>-1.3815300000000001E-2</v>
      </c>
      <c r="R107" s="22">
        <v>97</v>
      </c>
      <c r="S107" s="22">
        <v>0.387909</v>
      </c>
      <c r="T107">
        <f t="shared" si="14"/>
        <v>17.055925925925926</v>
      </c>
      <c r="U107">
        <f t="shared" si="15"/>
        <v>6.6260396070370371</v>
      </c>
      <c r="X107" s="9"/>
      <c r="Y107" s="22">
        <v>1.2915000000000001</v>
      </c>
      <c r="Z107" s="22">
        <v>15.4574</v>
      </c>
      <c r="AA107" s="22">
        <v>-1.31287E-2</v>
      </c>
      <c r="AB107" s="22">
        <v>97</v>
      </c>
      <c r="AC107" s="22">
        <v>1.2905899999999999</v>
      </c>
      <c r="AD107">
        <f t="shared" si="16"/>
        <v>16.208271604938268</v>
      </c>
      <c r="AE107">
        <f t="shared" si="17"/>
        <v>20.932982777777774</v>
      </c>
      <c r="AF107" s="9"/>
      <c r="AG107" s="22">
        <v>0.38848899999999997</v>
      </c>
      <c r="AH107" s="22">
        <v>19.2363</v>
      </c>
      <c r="AI107" s="22">
        <v>-1.38458E-2</v>
      </c>
      <c r="AJ107" s="22">
        <v>97</v>
      </c>
      <c r="AK107" s="22">
        <v>0.387878</v>
      </c>
      <c r="AL107">
        <f t="shared" si="18"/>
        <v>17.093580246913579</v>
      </c>
      <c r="AM107">
        <f t="shared" si="19"/>
        <v>6.6406678965432091</v>
      </c>
      <c r="AP107" s="9"/>
      <c r="AQ107" s="22">
        <v>1.2915000000000001</v>
      </c>
      <c r="AR107" s="22">
        <v>24.683700000000002</v>
      </c>
      <c r="AS107" s="22">
        <v>-1.30615E-2</v>
      </c>
      <c r="AT107" s="22">
        <v>97</v>
      </c>
      <c r="AU107" s="22">
        <v>1.2905899999999999</v>
      </c>
      <c r="AV107">
        <f t="shared" si="20"/>
        <v>16.125308641975309</v>
      </c>
      <c r="AW107">
        <f t="shared" si="21"/>
        <v>20.825836111111112</v>
      </c>
      <c r="AX107" s="9"/>
      <c r="AY107" s="22">
        <v>0.38848899999999997</v>
      </c>
      <c r="AZ107" s="22">
        <v>28.462599999999998</v>
      </c>
      <c r="BA107" s="22">
        <v>-1.3870199999999999E-2</v>
      </c>
      <c r="BB107" s="22">
        <v>97</v>
      </c>
      <c r="BC107" s="22">
        <v>0.387909</v>
      </c>
      <c r="BD107">
        <f t="shared" si="22"/>
        <v>17.123703703703701</v>
      </c>
      <c r="BE107">
        <f t="shared" si="23"/>
        <v>6.6523705281481469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1.28647</v>
      </c>
      <c r="H108" s="22">
        <v>6.1772799999999997</v>
      </c>
      <c r="I108" s="22">
        <v>-1.30066E-2</v>
      </c>
      <c r="J108" s="22">
        <v>98</v>
      </c>
      <c r="K108" s="22">
        <v>1.2860100000000001</v>
      </c>
      <c r="L108">
        <f t="shared" si="12"/>
        <v>16.057530864197531</v>
      </c>
      <c r="M108">
        <f t="shared" si="13"/>
        <v>20.657531730864196</v>
      </c>
      <c r="N108" s="9"/>
      <c r="O108" s="22">
        <v>0.39352399999999998</v>
      </c>
      <c r="P108" s="22">
        <v>9.9561899999999994</v>
      </c>
      <c r="Q108" s="22">
        <v>-1.3809200000000001E-2</v>
      </c>
      <c r="R108" s="22">
        <v>98</v>
      </c>
      <c r="S108" s="22">
        <v>0.39300499999999999</v>
      </c>
      <c r="T108">
        <f t="shared" si="14"/>
        <v>17.048395061728392</v>
      </c>
      <c r="U108">
        <f t="shared" si="15"/>
        <v>6.7089526182716037</v>
      </c>
      <c r="X108" s="9"/>
      <c r="Y108" s="22">
        <v>1.28647</v>
      </c>
      <c r="Z108" s="22">
        <v>15.467499999999999</v>
      </c>
      <c r="AA108" s="22">
        <v>-1.31409E-2</v>
      </c>
      <c r="AB108" s="22">
        <v>98</v>
      </c>
      <c r="AC108" s="22">
        <v>1.2854000000000001</v>
      </c>
      <c r="AD108">
        <f t="shared" si="16"/>
        <v>16.223333333333333</v>
      </c>
      <c r="AE108">
        <f t="shared" si="17"/>
        <v>20.870831633333331</v>
      </c>
      <c r="AF108" s="9"/>
      <c r="AG108" s="22">
        <v>0.39352399999999998</v>
      </c>
      <c r="AH108" s="22">
        <v>19.246400000000001</v>
      </c>
      <c r="AI108" s="22">
        <v>-1.3842800000000001E-2</v>
      </c>
      <c r="AJ108" s="22">
        <v>98</v>
      </c>
      <c r="AK108" s="22">
        <v>0.39294400000000002</v>
      </c>
      <c r="AL108">
        <f t="shared" si="18"/>
        <v>17.089876543209876</v>
      </c>
      <c r="AM108">
        <f t="shared" si="19"/>
        <v>6.7252765767901233</v>
      </c>
      <c r="AP108" s="9"/>
      <c r="AQ108" s="22">
        <v>1.28647</v>
      </c>
      <c r="AR108" s="22">
        <v>24.6937</v>
      </c>
      <c r="AS108" s="22">
        <v>-1.3073700000000001E-2</v>
      </c>
      <c r="AT108" s="22">
        <v>98</v>
      </c>
      <c r="AU108" s="22">
        <v>1.2857099999999999</v>
      </c>
      <c r="AV108">
        <f t="shared" si="20"/>
        <v>16.14037037037037</v>
      </c>
      <c r="AW108">
        <f t="shared" si="21"/>
        <v>20.764102270370369</v>
      </c>
      <c r="AX108" s="9"/>
      <c r="AY108" s="22">
        <v>0.39352399999999998</v>
      </c>
      <c r="AZ108" s="22">
        <v>28.4727</v>
      </c>
      <c r="BA108" s="22">
        <v>-1.3870199999999999E-2</v>
      </c>
      <c r="BB108" s="22">
        <v>98</v>
      </c>
      <c r="BC108" s="22">
        <v>0.39291399999999999</v>
      </c>
      <c r="BD108">
        <f t="shared" si="22"/>
        <v>17.123703703703701</v>
      </c>
      <c r="BE108">
        <f t="shared" si="23"/>
        <v>6.7385883762962946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1.2814300000000001</v>
      </c>
      <c r="H109" s="22">
        <v>6.1873500000000003</v>
      </c>
      <c r="I109" s="22">
        <v>-1.30127E-2</v>
      </c>
      <c r="J109" s="22">
        <v>99</v>
      </c>
      <c r="K109" s="22">
        <v>1.2805200000000001</v>
      </c>
      <c r="L109">
        <f t="shared" si="12"/>
        <v>16.065061728395062</v>
      </c>
      <c r="M109">
        <f t="shared" si="13"/>
        <v>20.586252050617286</v>
      </c>
      <c r="N109" s="9"/>
      <c r="O109" s="22">
        <v>0.39856000000000003</v>
      </c>
      <c r="P109" s="22">
        <v>9.9662600000000001</v>
      </c>
      <c r="Q109" s="22">
        <v>-1.3809200000000001E-2</v>
      </c>
      <c r="R109" s="22">
        <v>99</v>
      </c>
      <c r="S109" s="22">
        <v>0.397949</v>
      </c>
      <c r="T109">
        <f t="shared" si="14"/>
        <v>17.048395061728392</v>
      </c>
      <c r="U109">
        <f t="shared" si="15"/>
        <v>6.7948083358024682</v>
      </c>
      <c r="X109" s="9"/>
      <c r="Y109" s="22">
        <v>1.2814300000000001</v>
      </c>
      <c r="Z109" s="22">
        <v>15.477600000000001</v>
      </c>
      <c r="AA109" s="22">
        <v>-1.3162200000000001E-2</v>
      </c>
      <c r="AB109" s="22">
        <v>99</v>
      </c>
      <c r="AC109" s="22">
        <v>1.2811300000000001</v>
      </c>
      <c r="AD109">
        <f t="shared" si="16"/>
        <v>16.249629629629627</v>
      </c>
      <c r="AE109">
        <f t="shared" si="17"/>
        <v>20.822762896296293</v>
      </c>
      <c r="AF109" s="9"/>
      <c r="AG109" s="22">
        <v>0.39856000000000003</v>
      </c>
      <c r="AH109" s="22">
        <v>19.256499999999999</v>
      </c>
      <c r="AI109" s="22">
        <v>-1.38367E-2</v>
      </c>
      <c r="AJ109" s="22">
        <v>99</v>
      </c>
      <c r="AK109" s="22">
        <v>0.397949</v>
      </c>
      <c r="AL109">
        <f t="shared" si="18"/>
        <v>17.082345679012345</v>
      </c>
      <c r="AM109">
        <f t="shared" si="19"/>
        <v>6.8083396938271603</v>
      </c>
      <c r="AP109" s="9"/>
      <c r="AQ109" s="22">
        <v>1.2814300000000001</v>
      </c>
      <c r="AR109" s="22">
        <v>24.703800000000001</v>
      </c>
      <c r="AS109" s="22">
        <v>-1.3091999999999999E-2</v>
      </c>
      <c r="AT109" s="22">
        <v>99</v>
      </c>
      <c r="AU109" s="22">
        <v>1.2808200000000001</v>
      </c>
      <c r="AV109">
        <f t="shared" si="20"/>
        <v>16.162962962962961</v>
      </c>
      <c r="AW109">
        <f t="shared" si="21"/>
        <v>20.711705629629627</v>
      </c>
      <c r="AX109" s="9"/>
      <c r="AY109" s="22">
        <v>0.39856000000000003</v>
      </c>
      <c r="AZ109" s="22">
        <v>28.482700000000001</v>
      </c>
      <c r="BA109" s="22">
        <v>-1.3864100000000001E-2</v>
      </c>
      <c r="BB109" s="22">
        <v>99</v>
      </c>
      <c r="BC109" s="22">
        <v>0.39791900000000002</v>
      </c>
      <c r="BD109">
        <f t="shared" si="22"/>
        <v>17.11617283950617</v>
      </c>
      <c r="BE109">
        <f t="shared" si="23"/>
        <v>6.8218218469135792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1.2764</v>
      </c>
      <c r="H110" s="22">
        <v>6.1974200000000002</v>
      </c>
      <c r="I110" s="22">
        <v>-1.3021899999999999E-2</v>
      </c>
      <c r="J110" s="22">
        <v>100</v>
      </c>
      <c r="K110" s="22">
        <v>1.27502</v>
      </c>
      <c r="L110">
        <f t="shared" si="12"/>
        <v>16.076419753086416</v>
      </c>
      <c r="M110">
        <f t="shared" si="13"/>
        <v>20.5199421728395</v>
      </c>
      <c r="N110" s="9"/>
      <c r="O110" s="22">
        <v>0.40359499999999998</v>
      </c>
      <c r="P110" s="22">
        <v>9.9763300000000008</v>
      </c>
      <c r="Q110" s="22">
        <v>-1.3806199999999999E-2</v>
      </c>
      <c r="R110" s="22">
        <v>100</v>
      </c>
      <c r="S110" s="22">
        <v>0.40301500000000001</v>
      </c>
      <c r="T110">
        <f t="shared" si="14"/>
        <v>17.044691358024689</v>
      </c>
      <c r="U110">
        <f t="shared" si="15"/>
        <v>6.8791522086419743</v>
      </c>
      <c r="X110" s="9"/>
      <c r="Y110" s="22">
        <v>1.2764</v>
      </c>
      <c r="Z110" s="22">
        <v>15.4876</v>
      </c>
      <c r="AA110" s="22">
        <v>-1.31836E-2</v>
      </c>
      <c r="AB110" s="22">
        <v>100</v>
      </c>
      <c r="AC110" s="22">
        <v>1.27563</v>
      </c>
      <c r="AD110">
        <f t="shared" si="16"/>
        <v>16.276049382716046</v>
      </c>
      <c r="AE110">
        <f t="shared" si="17"/>
        <v>20.774749432098762</v>
      </c>
      <c r="AF110" s="9"/>
      <c r="AG110" s="22">
        <v>0.40359499999999998</v>
      </c>
      <c r="AH110" s="22">
        <v>19.266500000000001</v>
      </c>
      <c r="AI110" s="22">
        <v>-1.38367E-2</v>
      </c>
      <c r="AJ110" s="22">
        <v>100</v>
      </c>
      <c r="AK110" s="22">
        <v>0.40301500000000001</v>
      </c>
      <c r="AL110">
        <f t="shared" si="18"/>
        <v>17.082345679012345</v>
      </c>
      <c r="AM110">
        <f t="shared" si="19"/>
        <v>6.8943493043209871</v>
      </c>
      <c r="AP110" s="9"/>
      <c r="AQ110" s="22">
        <v>1.2764</v>
      </c>
      <c r="AR110" s="22">
        <v>24.713899999999999</v>
      </c>
      <c r="AS110" s="22">
        <v>-1.31042E-2</v>
      </c>
      <c r="AT110" s="22">
        <v>100</v>
      </c>
      <c r="AU110" s="22">
        <v>1.2753300000000001</v>
      </c>
      <c r="AV110">
        <f t="shared" si="20"/>
        <v>16.178024691358022</v>
      </c>
      <c r="AW110">
        <f t="shared" si="21"/>
        <v>20.64963071604938</v>
      </c>
      <c r="AX110" s="9"/>
      <c r="AY110" s="22">
        <v>0.40359499999999998</v>
      </c>
      <c r="AZ110" s="22">
        <v>28.492799999999999</v>
      </c>
      <c r="BA110" s="22">
        <v>-1.3861099999999999E-2</v>
      </c>
      <c r="BB110" s="22">
        <v>100</v>
      </c>
      <c r="BC110" s="22">
        <v>0.40295399999999998</v>
      </c>
      <c r="BD110">
        <f t="shared" si="22"/>
        <v>17.112469135802467</v>
      </c>
      <c r="BE110">
        <f t="shared" si="23"/>
        <v>6.9065069808641963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1.27136</v>
      </c>
      <c r="H111" s="22">
        <v>6.20749</v>
      </c>
      <c r="I111" s="22">
        <v>-1.3030999999999999E-2</v>
      </c>
      <c r="J111" s="22">
        <v>101</v>
      </c>
      <c r="K111" s="22">
        <v>1.2704500000000001</v>
      </c>
      <c r="L111">
        <f t="shared" si="12"/>
        <v>16.087654320987653</v>
      </c>
      <c r="M111">
        <f t="shared" si="13"/>
        <v>20.453200197530862</v>
      </c>
      <c r="N111" s="9"/>
      <c r="O111" s="22">
        <v>0.40862999999999999</v>
      </c>
      <c r="P111" s="22">
        <v>9.9863999999999997</v>
      </c>
      <c r="Q111" s="22">
        <v>-1.38031E-2</v>
      </c>
      <c r="R111" s="22">
        <v>101</v>
      </c>
      <c r="S111" s="22">
        <v>0.40799000000000002</v>
      </c>
      <c r="T111">
        <f t="shared" si="14"/>
        <v>17.040864197530862</v>
      </c>
      <c r="U111">
        <f t="shared" si="15"/>
        <v>6.9634083370370359</v>
      </c>
      <c r="X111" s="9"/>
      <c r="Y111" s="22">
        <v>1.27136</v>
      </c>
      <c r="Z111" s="22">
        <v>15.4977</v>
      </c>
      <c r="AA111" s="22">
        <v>-1.3201900000000001E-2</v>
      </c>
      <c r="AB111" s="22">
        <v>101</v>
      </c>
      <c r="AC111" s="22">
        <v>1.27075</v>
      </c>
      <c r="AD111">
        <f t="shared" si="16"/>
        <v>16.298641975308641</v>
      </c>
      <c r="AE111">
        <f t="shared" si="17"/>
        <v>20.721441461728393</v>
      </c>
      <c r="AF111" s="9"/>
      <c r="AG111" s="22">
        <v>0.40862999999999999</v>
      </c>
      <c r="AH111" s="22">
        <v>19.276599999999998</v>
      </c>
      <c r="AI111" s="22">
        <v>-1.38336E-2</v>
      </c>
      <c r="AJ111" s="22">
        <v>101</v>
      </c>
      <c r="AK111" s="22">
        <v>0.40801999999999999</v>
      </c>
      <c r="AL111">
        <f t="shared" si="18"/>
        <v>17.078518518518518</v>
      </c>
      <c r="AM111">
        <f t="shared" si="19"/>
        <v>6.9787950222222221</v>
      </c>
      <c r="AP111" s="9"/>
      <c r="AQ111" s="22">
        <v>1.27136</v>
      </c>
      <c r="AR111" s="22">
        <v>24.7239</v>
      </c>
      <c r="AS111" s="22">
        <v>-1.31409E-2</v>
      </c>
      <c r="AT111" s="22">
        <v>101</v>
      </c>
      <c r="AU111" s="22">
        <v>1.2710600000000001</v>
      </c>
      <c r="AV111">
        <f t="shared" si="20"/>
        <v>16.223333333333333</v>
      </c>
      <c r="AW111">
        <f t="shared" si="21"/>
        <v>20.625697066666667</v>
      </c>
      <c r="AX111" s="9"/>
      <c r="AY111" s="22">
        <v>0.40862999999999999</v>
      </c>
      <c r="AZ111" s="22">
        <v>28.5029</v>
      </c>
      <c r="BA111" s="22">
        <v>-1.3858000000000001E-2</v>
      </c>
      <c r="BB111" s="22">
        <v>101</v>
      </c>
      <c r="BC111" s="22">
        <v>0.40801999999999999</v>
      </c>
      <c r="BD111">
        <f t="shared" si="22"/>
        <v>17.10864197530864</v>
      </c>
      <c r="BE111">
        <f t="shared" si="23"/>
        <v>6.991104370370369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1.26633</v>
      </c>
      <c r="H112" s="22">
        <v>6.2175700000000003</v>
      </c>
      <c r="I112" s="22">
        <v>-1.30402E-2</v>
      </c>
      <c r="J112" s="22">
        <v>102</v>
      </c>
      <c r="K112" s="22">
        <v>1.2652600000000001</v>
      </c>
      <c r="L112">
        <f t="shared" si="12"/>
        <v>16.099012345679011</v>
      </c>
      <c r="M112">
        <f t="shared" si="13"/>
        <v>20.386662303703702</v>
      </c>
      <c r="N112" s="9"/>
      <c r="O112" s="22">
        <v>0.41366599999999998</v>
      </c>
      <c r="P112" s="22">
        <v>9.9964700000000004</v>
      </c>
      <c r="Q112" s="22">
        <v>-1.38E-2</v>
      </c>
      <c r="R112" s="22">
        <v>102</v>
      </c>
      <c r="S112" s="22">
        <v>0.41302499999999998</v>
      </c>
      <c r="T112">
        <f t="shared" si="14"/>
        <v>17.037037037037035</v>
      </c>
      <c r="U112">
        <f t="shared" si="15"/>
        <v>7.0476429629629616</v>
      </c>
      <c r="X112" s="9"/>
      <c r="Y112" s="22">
        <v>1.26633</v>
      </c>
      <c r="Z112" s="22">
        <v>15.5078</v>
      </c>
      <c r="AA112" s="22">
        <v>-1.3214099999999999E-2</v>
      </c>
      <c r="AB112" s="22">
        <v>102</v>
      </c>
      <c r="AC112" s="22">
        <v>1.2646500000000001</v>
      </c>
      <c r="AD112">
        <f t="shared" si="16"/>
        <v>16.313703703703702</v>
      </c>
      <c r="AE112">
        <f t="shared" si="17"/>
        <v>20.658532411111107</v>
      </c>
      <c r="AF112" s="9"/>
      <c r="AG112" s="22">
        <v>0.41366599999999998</v>
      </c>
      <c r="AH112" s="22">
        <v>19.2867</v>
      </c>
      <c r="AI112" s="22">
        <v>-1.38306E-2</v>
      </c>
      <c r="AJ112" s="22">
        <v>102</v>
      </c>
      <c r="AK112" s="22">
        <v>0.41305500000000001</v>
      </c>
      <c r="AL112">
        <f t="shared" si="18"/>
        <v>17.074814814814815</v>
      </c>
      <c r="AM112">
        <f t="shared" si="19"/>
        <v>7.0632703451851846</v>
      </c>
      <c r="AP112" s="9"/>
      <c r="AQ112" s="22">
        <v>1.26633</v>
      </c>
      <c r="AR112" s="22">
        <v>24.734000000000002</v>
      </c>
      <c r="AS112" s="22">
        <v>-1.315E-2</v>
      </c>
      <c r="AT112" s="22">
        <v>102</v>
      </c>
      <c r="AU112" s="22">
        <v>1.26556</v>
      </c>
      <c r="AV112">
        <f t="shared" si="20"/>
        <v>16.234567901234566</v>
      </c>
      <c r="AW112">
        <f t="shared" si="21"/>
        <v>20.558320370370367</v>
      </c>
      <c r="AX112" s="9"/>
      <c r="AY112" s="22">
        <v>0.41366599999999998</v>
      </c>
      <c r="AZ112" s="22">
        <v>28.513000000000002</v>
      </c>
      <c r="BA112" s="22">
        <v>-1.3861099999999999E-2</v>
      </c>
      <c r="BB112" s="22">
        <v>102</v>
      </c>
      <c r="BC112" s="22">
        <v>0.41302499999999998</v>
      </c>
      <c r="BD112">
        <f t="shared" si="22"/>
        <v>17.112469135802467</v>
      </c>
      <c r="BE112">
        <f t="shared" si="23"/>
        <v>7.0788466575308631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1.26129</v>
      </c>
      <c r="H113" s="22">
        <v>6.2276400000000001</v>
      </c>
      <c r="I113" s="22">
        <v>-1.3058500000000001E-2</v>
      </c>
      <c r="J113" s="22">
        <v>103</v>
      </c>
      <c r="K113" s="22">
        <v>1.26068</v>
      </c>
      <c r="L113">
        <f t="shared" si="12"/>
        <v>16.121604938271602</v>
      </c>
      <c r="M113">
        <f t="shared" si="13"/>
        <v>20.334019092592591</v>
      </c>
      <c r="N113" s="9"/>
      <c r="O113" s="22">
        <v>0.41870099999999999</v>
      </c>
      <c r="P113" s="22">
        <v>10.006500000000001</v>
      </c>
      <c r="Q113" s="22">
        <v>-1.3797E-2</v>
      </c>
      <c r="R113" s="22">
        <v>103</v>
      </c>
      <c r="S113" s="22">
        <v>0.41803000000000001</v>
      </c>
      <c r="T113">
        <f t="shared" si="14"/>
        <v>17.033333333333331</v>
      </c>
      <c r="U113">
        <f t="shared" si="15"/>
        <v>7.131873699999999</v>
      </c>
      <c r="X113" s="9"/>
      <c r="Y113" s="22">
        <v>1.26129</v>
      </c>
      <c r="Z113" s="22">
        <v>15.517899999999999</v>
      </c>
      <c r="AA113" s="22">
        <v>-1.32385E-2</v>
      </c>
      <c r="AB113" s="22">
        <v>103</v>
      </c>
      <c r="AC113" s="22">
        <v>1.26068</v>
      </c>
      <c r="AD113">
        <f t="shared" si="16"/>
        <v>16.343827160493824</v>
      </c>
      <c r="AE113">
        <f t="shared" si="17"/>
        <v>20.614305759259256</v>
      </c>
      <c r="AF113" s="9"/>
      <c r="AG113" s="22">
        <v>0.41870099999999999</v>
      </c>
      <c r="AH113" s="22">
        <v>19.296800000000001</v>
      </c>
      <c r="AI113" s="22">
        <v>-1.38306E-2</v>
      </c>
      <c r="AJ113" s="22">
        <v>103</v>
      </c>
      <c r="AK113" s="22">
        <v>0.41803000000000001</v>
      </c>
      <c r="AL113">
        <f t="shared" si="18"/>
        <v>17.074814814814815</v>
      </c>
      <c r="AM113">
        <f t="shared" si="19"/>
        <v>7.1492420377777774</v>
      </c>
      <c r="AP113" s="9"/>
      <c r="AQ113" s="22">
        <v>1.26129</v>
      </c>
      <c r="AR113" s="22">
        <v>24.7441</v>
      </c>
      <c r="AS113" s="22">
        <v>-1.3162200000000001E-2</v>
      </c>
      <c r="AT113" s="22">
        <v>103</v>
      </c>
      <c r="AU113" s="22">
        <v>1.26007</v>
      </c>
      <c r="AV113">
        <f t="shared" si="20"/>
        <v>16.249629629629627</v>
      </c>
      <c r="AW113">
        <f t="shared" si="21"/>
        <v>20.495495355555551</v>
      </c>
      <c r="AX113" s="9"/>
      <c r="AY113" s="22">
        <v>0.41870099999999999</v>
      </c>
      <c r="AZ113" s="22">
        <v>28.523</v>
      </c>
      <c r="BA113" s="22">
        <v>-1.3861099999999999E-2</v>
      </c>
      <c r="BB113" s="22">
        <v>103</v>
      </c>
      <c r="BC113" s="22">
        <v>0.41803000000000001</v>
      </c>
      <c r="BD113">
        <f t="shared" si="22"/>
        <v>17.112469135802467</v>
      </c>
      <c r="BE113">
        <f t="shared" si="23"/>
        <v>7.1650079396296285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1.2562599999999999</v>
      </c>
      <c r="H114" s="22">
        <v>6.2377099999999999</v>
      </c>
      <c r="I114" s="22">
        <v>-1.30676E-2</v>
      </c>
      <c r="J114" s="22">
        <v>104</v>
      </c>
      <c r="K114" s="22">
        <v>1.25519</v>
      </c>
      <c r="L114">
        <f t="shared" si="12"/>
        <v>16.132839506172839</v>
      </c>
      <c r="M114">
        <f t="shared" si="13"/>
        <v>20.26704095802469</v>
      </c>
      <c r="N114" s="9"/>
      <c r="O114" s="22">
        <v>0.42373699999999997</v>
      </c>
      <c r="P114" s="22">
        <v>10.0166</v>
      </c>
      <c r="Q114" s="22">
        <v>-1.37939E-2</v>
      </c>
      <c r="R114" s="22">
        <v>104</v>
      </c>
      <c r="S114" s="22">
        <v>0.42309600000000003</v>
      </c>
      <c r="T114">
        <f t="shared" si="14"/>
        <v>17.029506172839504</v>
      </c>
      <c r="U114">
        <f t="shared" si="15"/>
        <v>7.2160318571604929</v>
      </c>
      <c r="X114" s="9"/>
      <c r="Y114" s="22">
        <v>1.2562599999999999</v>
      </c>
      <c r="Z114" s="22">
        <v>15.527900000000001</v>
      </c>
      <c r="AA114" s="22">
        <v>-1.32324E-2</v>
      </c>
      <c r="AB114" s="22">
        <v>104</v>
      </c>
      <c r="AC114" s="22">
        <v>1.25519</v>
      </c>
      <c r="AD114">
        <f t="shared" si="16"/>
        <v>16.336296296296297</v>
      </c>
      <c r="AE114">
        <f t="shared" si="17"/>
        <v>20.522635585185185</v>
      </c>
      <c r="AF114" s="9"/>
      <c r="AG114" s="22">
        <v>0.42373699999999997</v>
      </c>
      <c r="AH114" s="22">
        <v>19.306799999999999</v>
      </c>
      <c r="AI114" s="22">
        <v>-1.38245E-2</v>
      </c>
      <c r="AJ114" s="22">
        <v>104</v>
      </c>
      <c r="AK114" s="22">
        <v>0.42315700000000001</v>
      </c>
      <c r="AL114">
        <f t="shared" si="18"/>
        <v>17.067283950617281</v>
      </c>
      <c r="AM114">
        <f t="shared" si="19"/>
        <v>7.2320396993827138</v>
      </c>
      <c r="AP114" s="9"/>
      <c r="AQ114" s="22">
        <v>1.2562599999999999</v>
      </c>
      <c r="AR114" s="22">
        <v>24.754200000000001</v>
      </c>
      <c r="AS114" s="22">
        <v>-1.31775E-2</v>
      </c>
      <c r="AT114" s="22">
        <v>104</v>
      </c>
      <c r="AU114" s="22">
        <v>1.25519</v>
      </c>
      <c r="AV114">
        <f t="shared" si="20"/>
        <v>16.268518518518519</v>
      </c>
      <c r="AW114">
        <f t="shared" si="21"/>
        <v>20.437489074074072</v>
      </c>
      <c r="AX114" s="9"/>
      <c r="AY114" s="22">
        <v>0.42373699999999997</v>
      </c>
      <c r="AZ114" s="22">
        <v>28.533100000000001</v>
      </c>
      <c r="BA114" s="22">
        <v>-1.3854999999999999E-2</v>
      </c>
      <c r="BB114" s="22">
        <v>104</v>
      </c>
      <c r="BC114" s="22">
        <v>0.42309600000000003</v>
      </c>
      <c r="BD114">
        <f t="shared" si="22"/>
        <v>17.104938271604937</v>
      </c>
      <c r="BE114">
        <f t="shared" si="23"/>
        <v>7.2479952283950606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1.25122</v>
      </c>
      <c r="H115" s="22">
        <v>6.2477799999999997</v>
      </c>
      <c r="I115" s="22">
        <v>-1.3079800000000001E-2</v>
      </c>
      <c r="J115" s="22">
        <v>105</v>
      </c>
      <c r="K115" s="22">
        <v>1.25031</v>
      </c>
      <c r="L115">
        <f t="shared" si="12"/>
        <v>16.147901234567904</v>
      </c>
      <c r="M115">
        <f t="shared" si="13"/>
        <v>20.204576982716052</v>
      </c>
      <c r="N115" s="9"/>
      <c r="O115" s="22">
        <v>0.42877199999999999</v>
      </c>
      <c r="P115" s="22">
        <v>10.0267</v>
      </c>
      <c r="Q115" s="22">
        <v>-1.37909E-2</v>
      </c>
      <c r="R115" s="22">
        <v>105</v>
      </c>
      <c r="S115" s="22">
        <v>0.42819200000000002</v>
      </c>
      <c r="T115">
        <f t="shared" si="14"/>
        <v>17.025802469135801</v>
      </c>
      <c r="U115">
        <f t="shared" si="15"/>
        <v>7.3001873762962957</v>
      </c>
      <c r="X115" s="9"/>
      <c r="Y115" s="22">
        <v>1.25122</v>
      </c>
      <c r="Z115" s="22">
        <v>15.538</v>
      </c>
      <c r="AA115" s="22">
        <v>-1.32385E-2</v>
      </c>
      <c r="AB115" s="22">
        <v>105</v>
      </c>
      <c r="AC115" s="22">
        <v>1.25061</v>
      </c>
      <c r="AD115">
        <f t="shared" si="16"/>
        <v>16.343827160493824</v>
      </c>
      <c r="AE115">
        <f t="shared" si="17"/>
        <v>20.449723419753081</v>
      </c>
      <c r="AF115" s="9"/>
      <c r="AG115" s="22">
        <v>0.42877199999999999</v>
      </c>
      <c r="AH115" s="22">
        <v>19.3169</v>
      </c>
      <c r="AI115" s="22">
        <v>-1.38184E-2</v>
      </c>
      <c r="AJ115" s="22">
        <v>105</v>
      </c>
      <c r="AK115" s="22">
        <v>0.42822300000000002</v>
      </c>
      <c r="AL115">
        <f t="shared" si="18"/>
        <v>17.05975308641975</v>
      </c>
      <c r="AM115">
        <f t="shared" si="19"/>
        <v>7.3147444503703687</v>
      </c>
      <c r="AP115" s="9"/>
      <c r="AQ115" s="22">
        <v>1.25122</v>
      </c>
      <c r="AR115" s="22">
        <v>24.764199999999999</v>
      </c>
      <c r="AS115" s="22">
        <v>-1.3195800000000001E-2</v>
      </c>
      <c r="AT115" s="22">
        <v>105</v>
      </c>
      <c r="AU115" s="22">
        <v>1.25031</v>
      </c>
      <c r="AV115">
        <f t="shared" si="20"/>
        <v>16.29111111111111</v>
      </c>
      <c r="AW115">
        <f t="shared" si="21"/>
        <v>20.383764044444444</v>
      </c>
      <c r="AX115" s="9"/>
      <c r="AY115" s="22">
        <v>0.42877199999999999</v>
      </c>
      <c r="AZ115" s="22">
        <v>28.543199999999999</v>
      </c>
      <c r="BA115" s="22">
        <v>-1.3854999999999999E-2</v>
      </c>
      <c r="BB115" s="22">
        <v>105</v>
      </c>
      <c r="BC115" s="22">
        <v>0.42819200000000002</v>
      </c>
      <c r="BD115">
        <f t="shared" si="22"/>
        <v>17.104938271604937</v>
      </c>
      <c r="BE115">
        <f t="shared" si="23"/>
        <v>7.334118592592592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1.2461899999999999</v>
      </c>
      <c r="H116" s="22">
        <v>6.2578500000000004</v>
      </c>
      <c r="I116" s="22">
        <v>-1.31012E-2</v>
      </c>
      <c r="J116" s="22">
        <v>106</v>
      </c>
      <c r="K116" s="22">
        <v>1.24481</v>
      </c>
      <c r="L116">
        <f t="shared" si="12"/>
        <v>16.174320987654323</v>
      </c>
      <c r="M116">
        <f t="shared" si="13"/>
        <v>20.15627707160494</v>
      </c>
      <c r="N116" s="9"/>
      <c r="O116" s="22">
        <v>0.433807</v>
      </c>
      <c r="P116" s="22">
        <v>10.036799999999999</v>
      </c>
      <c r="Q116" s="22">
        <v>-1.3787799999999999E-2</v>
      </c>
      <c r="R116" s="22">
        <v>106</v>
      </c>
      <c r="S116" s="22">
        <v>0.43328899999999998</v>
      </c>
      <c r="T116">
        <f t="shared" si="14"/>
        <v>17.021975308641974</v>
      </c>
      <c r="U116">
        <f t="shared" si="15"/>
        <v>7.3842520427160485</v>
      </c>
      <c r="X116" s="9"/>
      <c r="Y116" s="22">
        <v>1.2461899999999999</v>
      </c>
      <c r="Z116" s="22">
        <v>15.5481</v>
      </c>
      <c r="AA116" s="22">
        <v>-1.3250700000000001E-2</v>
      </c>
      <c r="AB116" s="22">
        <v>106</v>
      </c>
      <c r="AC116" s="22">
        <v>1.24512</v>
      </c>
      <c r="AD116">
        <f t="shared" si="16"/>
        <v>16.358888888888888</v>
      </c>
      <c r="AE116">
        <f t="shared" si="17"/>
        <v>20.386283744444441</v>
      </c>
      <c r="AF116" s="9"/>
      <c r="AG116" s="22">
        <v>0.433807</v>
      </c>
      <c r="AH116" s="22">
        <v>19.327000000000002</v>
      </c>
      <c r="AI116" s="22">
        <v>-1.38123E-2</v>
      </c>
      <c r="AJ116" s="22">
        <v>106</v>
      </c>
      <c r="AK116" s="22">
        <v>0.433197</v>
      </c>
      <c r="AL116">
        <f t="shared" si="18"/>
        <v>17.052222222222223</v>
      </c>
      <c r="AM116">
        <f t="shared" si="19"/>
        <v>7.3973733655555556</v>
      </c>
      <c r="AP116" s="9"/>
      <c r="AQ116" s="22">
        <v>1.2461899999999999</v>
      </c>
      <c r="AR116" s="22">
        <v>24.7743</v>
      </c>
      <c r="AS116" s="22">
        <v>-1.32172E-2</v>
      </c>
      <c r="AT116" s="22">
        <v>106</v>
      </c>
      <c r="AU116" s="22">
        <v>1.24481</v>
      </c>
      <c r="AV116">
        <f t="shared" si="20"/>
        <v>16.317530864197529</v>
      </c>
      <c r="AW116">
        <f t="shared" si="21"/>
        <v>20.334743787654318</v>
      </c>
      <c r="AX116" s="9"/>
      <c r="AY116" s="22">
        <v>0.433807</v>
      </c>
      <c r="AZ116" s="22">
        <v>28.5532</v>
      </c>
      <c r="BA116" s="22">
        <v>-1.38519E-2</v>
      </c>
      <c r="BB116" s="22">
        <v>106</v>
      </c>
      <c r="BC116" s="22">
        <v>0.43316700000000002</v>
      </c>
      <c r="BD116">
        <f t="shared" si="22"/>
        <v>17.101111111111113</v>
      </c>
      <c r="BE116">
        <f t="shared" si="23"/>
        <v>7.4185817077777783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1.24115</v>
      </c>
      <c r="H117" s="22">
        <v>6.2679200000000002</v>
      </c>
      <c r="I117" s="22">
        <v>-1.31226E-2</v>
      </c>
      <c r="J117" s="22">
        <v>107</v>
      </c>
      <c r="K117" s="22">
        <v>1.24054</v>
      </c>
      <c r="L117">
        <f t="shared" si="12"/>
        <v>16.200740740740741</v>
      </c>
      <c r="M117">
        <f t="shared" si="13"/>
        <v>20.107549370370371</v>
      </c>
      <c r="N117" s="9"/>
      <c r="O117" s="22">
        <v>0.43884299999999998</v>
      </c>
      <c r="P117" s="22">
        <v>10.046799999999999</v>
      </c>
      <c r="Q117" s="22">
        <v>-1.37909E-2</v>
      </c>
      <c r="R117" s="22">
        <v>107</v>
      </c>
      <c r="S117" s="22">
        <v>0.43826300000000001</v>
      </c>
      <c r="T117">
        <f t="shared" si="14"/>
        <v>17.025802469135801</v>
      </c>
      <c r="U117">
        <f t="shared" si="15"/>
        <v>7.4716542329629618</v>
      </c>
      <c r="X117" s="9"/>
      <c r="Y117" s="22">
        <v>1.24115</v>
      </c>
      <c r="Z117" s="22">
        <v>15.5581</v>
      </c>
      <c r="AA117" s="22">
        <v>-1.32599E-2</v>
      </c>
      <c r="AB117" s="22">
        <v>107</v>
      </c>
      <c r="AC117" s="22">
        <v>1.23993</v>
      </c>
      <c r="AD117">
        <f t="shared" si="16"/>
        <v>16.370246913580246</v>
      </c>
      <c r="AE117">
        <f t="shared" si="17"/>
        <v>20.317931956790122</v>
      </c>
      <c r="AF117" s="9"/>
      <c r="AG117" s="22">
        <v>0.43884299999999998</v>
      </c>
      <c r="AH117" s="22">
        <v>19.337</v>
      </c>
      <c r="AI117" s="22">
        <v>-1.38123E-2</v>
      </c>
      <c r="AJ117" s="22">
        <v>107</v>
      </c>
      <c r="AK117" s="22">
        <v>0.43823200000000001</v>
      </c>
      <c r="AL117">
        <f t="shared" si="18"/>
        <v>17.052222222222223</v>
      </c>
      <c r="AM117">
        <f t="shared" si="19"/>
        <v>7.4832483566666665</v>
      </c>
      <c r="AP117" s="9"/>
      <c r="AQ117" s="22">
        <v>1.24115</v>
      </c>
      <c r="AR117" s="22">
        <v>24.784400000000002</v>
      </c>
      <c r="AS117" s="22">
        <v>-1.3235500000000001E-2</v>
      </c>
      <c r="AT117" s="22">
        <v>107</v>
      </c>
      <c r="AU117" s="22">
        <v>1.23993</v>
      </c>
      <c r="AV117">
        <f t="shared" si="20"/>
        <v>16.340123456790124</v>
      </c>
      <c r="AW117">
        <f t="shared" si="21"/>
        <v>20.280544228395062</v>
      </c>
      <c r="AX117" s="9"/>
      <c r="AY117" s="22">
        <v>0.43884299999999998</v>
      </c>
      <c r="AZ117" s="22">
        <v>28.563300000000002</v>
      </c>
      <c r="BA117" s="22">
        <v>-1.38519E-2</v>
      </c>
      <c r="BB117" s="22">
        <v>107</v>
      </c>
      <c r="BC117" s="22">
        <v>0.43817099999999998</v>
      </c>
      <c r="BD117">
        <f t="shared" si="22"/>
        <v>17.101111111111113</v>
      </c>
      <c r="BE117">
        <f t="shared" si="23"/>
        <v>7.5047029033333335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1.23611</v>
      </c>
      <c r="H118" s="22">
        <v>6.27799</v>
      </c>
      <c r="I118" s="22">
        <v>-1.31409E-2</v>
      </c>
      <c r="J118" s="22">
        <v>108</v>
      </c>
      <c r="K118" s="22">
        <v>1.2353499999999999</v>
      </c>
      <c r="L118">
        <f t="shared" si="12"/>
        <v>16.223333333333333</v>
      </c>
      <c r="M118">
        <f t="shared" si="13"/>
        <v>20.053824566666666</v>
      </c>
      <c r="N118" s="9"/>
      <c r="O118" s="22">
        <v>0.44387799999999999</v>
      </c>
      <c r="P118" s="22">
        <v>10.056900000000001</v>
      </c>
      <c r="Q118" s="22">
        <v>-1.3787799999999999E-2</v>
      </c>
      <c r="R118" s="22">
        <v>108</v>
      </c>
      <c r="S118" s="22">
        <v>0.44323699999999999</v>
      </c>
      <c r="T118">
        <f t="shared" si="14"/>
        <v>17.021975308641974</v>
      </c>
      <c r="U118">
        <f t="shared" si="15"/>
        <v>7.5556803560493817</v>
      </c>
      <c r="X118" s="9"/>
      <c r="Y118" s="22">
        <v>1.23611</v>
      </c>
      <c r="Z118" s="22">
        <v>15.568199999999999</v>
      </c>
      <c r="AA118" s="22">
        <v>-1.3266E-2</v>
      </c>
      <c r="AB118" s="22">
        <v>108</v>
      </c>
      <c r="AC118" s="22">
        <v>1.2353499999999999</v>
      </c>
      <c r="AD118">
        <f t="shared" si="16"/>
        <v>16.377777777777776</v>
      </c>
      <c r="AE118">
        <f t="shared" si="17"/>
        <v>20.244734888888889</v>
      </c>
      <c r="AF118" s="9"/>
      <c r="AG118" s="22">
        <v>0.44387799999999999</v>
      </c>
      <c r="AH118" s="22">
        <v>19.347100000000001</v>
      </c>
      <c r="AI118" s="22">
        <v>-1.3815300000000001E-2</v>
      </c>
      <c r="AJ118" s="22">
        <v>108</v>
      </c>
      <c r="AK118" s="22">
        <v>0.443359</v>
      </c>
      <c r="AL118">
        <f t="shared" si="18"/>
        <v>17.055925925925926</v>
      </c>
      <c r="AM118">
        <f t="shared" si="19"/>
        <v>7.5707502881481483</v>
      </c>
      <c r="AP118" s="9"/>
      <c r="AQ118" s="22">
        <v>1.23611</v>
      </c>
      <c r="AR118" s="22">
        <v>24.7944</v>
      </c>
      <c r="AS118" s="22">
        <v>-1.32446E-2</v>
      </c>
      <c r="AT118" s="22">
        <v>108</v>
      </c>
      <c r="AU118" s="22">
        <v>1.2347399999999999</v>
      </c>
      <c r="AV118">
        <f t="shared" si="20"/>
        <v>16.351358024691358</v>
      </c>
      <c r="AW118">
        <f t="shared" si="21"/>
        <v>20.212077167901235</v>
      </c>
      <c r="AX118" s="9"/>
      <c r="AY118" s="22">
        <v>0.44387799999999999</v>
      </c>
      <c r="AZ118" s="22">
        <v>28.573399999999999</v>
      </c>
      <c r="BA118" s="22">
        <v>-1.3848900000000001E-2</v>
      </c>
      <c r="BB118" s="22">
        <v>108</v>
      </c>
      <c r="BC118" s="22">
        <v>0.44323699999999999</v>
      </c>
      <c r="BD118">
        <f t="shared" si="22"/>
        <v>17.09740740740741</v>
      </c>
      <c r="BE118">
        <f t="shared" si="23"/>
        <v>7.5891630051851857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1.23108</v>
      </c>
      <c r="H119" s="22">
        <v>6.2880599999999998</v>
      </c>
      <c r="I119" s="22">
        <v>-1.3162200000000001E-2</v>
      </c>
      <c r="J119" s="22">
        <v>109</v>
      </c>
      <c r="K119" s="22">
        <v>1.23047</v>
      </c>
      <c r="L119">
        <f t="shared" si="12"/>
        <v>16.249629629629627</v>
      </c>
      <c r="M119">
        <f t="shared" si="13"/>
        <v>20.004594044444442</v>
      </c>
      <c r="N119" s="9"/>
      <c r="O119" s="22">
        <v>0.44891399999999998</v>
      </c>
      <c r="P119" s="22">
        <v>10.067</v>
      </c>
      <c r="Q119" s="22">
        <v>-1.37909E-2</v>
      </c>
      <c r="R119" s="22">
        <v>109</v>
      </c>
      <c r="S119" s="22">
        <v>0.44827299999999998</v>
      </c>
      <c r="T119">
        <f t="shared" si="14"/>
        <v>17.025802469135801</v>
      </c>
      <c r="U119">
        <f t="shared" si="15"/>
        <v>7.6431210896296289</v>
      </c>
      <c r="X119" s="9"/>
      <c r="Y119" s="22">
        <v>1.23108</v>
      </c>
      <c r="Z119" s="22">
        <v>15.5783</v>
      </c>
      <c r="AA119" s="22">
        <v>-1.3269E-2</v>
      </c>
      <c r="AB119" s="22">
        <v>109</v>
      </c>
      <c r="AC119" s="22">
        <v>1.22986</v>
      </c>
      <c r="AD119">
        <f t="shared" si="16"/>
        <v>16.38148148148148</v>
      </c>
      <c r="AE119">
        <f t="shared" si="17"/>
        <v>20.166914222222218</v>
      </c>
      <c r="AF119" s="9"/>
      <c r="AG119" s="22">
        <v>0.44891399999999998</v>
      </c>
      <c r="AH119" s="22">
        <v>19.357199999999999</v>
      </c>
      <c r="AI119" s="22">
        <v>-1.38123E-2</v>
      </c>
      <c r="AJ119" s="22">
        <v>109</v>
      </c>
      <c r="AK119" s="22">
        <v>0.44824199999999997</v>
      </c>
      <c r="AL119">
        <f t="shared" si="18"/>
        <v>17.052222222222223</v>
      </c>
      <c r="AM119">
        <f t="shared" si="19"/>
        <v>7.6549812866666667</v>
      </c>
      <c r="AP119" s="9"/>
      <c r="AQ119" s="22">
        <v>1.23108</v>
      </c>
      <c r="AR119" s="22">
        <v>24.804500000000001</v>
      </c>
      <c r="AS119" s="22">
        <v>-1.32599E-2</v>
      </c>
      <c r="AT119" s="22">
        <v>109</v>
      </c>
      <c r="AU119" s="22">
        <v>1.2301599999999999</v>
      </c>
      <c r="AV119">
        <f t="shared" si="20"/>
        <v>16.370246913580246</v>
      </c>
      <c r="AW119">
        <f t="shared" si="21"/>
        <v>20.15308357037037</v>
      </c>
      <c r="AX119" s="9"/>
      <c r="AY119" s="22">
        <v>0.44891399999999998</v>
      </c>
      <c r="AZ119" s="22">
        <v>28.583400000000001</v>
      </c>
      <c r="BA119" s="22">
        <v>-1.38458E-2</v>
      </c>
      <c r="BB119" s="22">
        <v>109</v>
      </c>
      <c r="BC119" s="22">
        <v>0.44830300000000001</v>
      </c>
      <c r="BD119">
        <f t="shared" si="22"/>
        <v>17.093580246913579</v>
      </c>
      <c r="BE119">
        <f t="shared" si="23"/>
        <v>7.6735474829629622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1.22604</v>
      </c>
      <c r="H120" s="22">
        <v>6.2981299999999996</v>
      </c>
      <c r="I120" s="22">
        <v>-1.31775E-2</v>
      </c>
      <c r="J120" s="22">
        <v>110</v>
      </c>
      <c r="K120" s="22">
        <v>1.22437</v>
      </c>
      <c r="L120">
        <f t="shared" si="12"/>
        <v>16.268518518518519</v>
      </c>
      <c r="M120">
        <f t="shared" si="13"/>
        <v>19.945854444444446</v>
      </c>
      <c r="N120" s="9"/>
      <c r="O120" s="22">
        <v>0.45394899999999999</v>
      </c>
      <c r="P120" s="22">
        <v>10.077</v>
      </c>
      <c r="Q120" s="22">
        <v>-1.37909E-2</v>
      </c>
      <c r="R120" s="22">
        <v>110</v>
      </c>
      <c r="S120" s="22">
        <v>0.45327800000000001</v>
      </c>
      <c r="T120">
        <f t="shared" si="14"/>
        <v>17.025802469135801</v>
      </c>
      <c r="U120">
        <f t="shared" si="15"/>
        <v>7.7288460050617278</v>
      </c>
      <c r="X120" s="9"/>
      <c r="Y120" s="22">
        <v>1.22604</v>
      </c>
      <c r="Z120" s="22">
        <v>15.5884</v>
      </c>
      <c r="AA120" s="22">
        <v>-1.32751E-2</v>
      </c>
      <c r="AB120" s="22">
        <v>110</v>
      </c>
      <c r="AC120" s="22">
        <v>1.22498</v>
      </c>
      <c r="AD120">
        <f t="shared" si="16"/>
        <v>16.38901234567901</v>
      </c>
      <c r="AE120">
        <f t="shared" si="17"/>
        <v>20.093584696296293</v>
      </c>
      <c r="AF120" s="9"/>
      <c r="AG120" s="22">
        <v>0.45394899999999999</v>
      </c>
      <c r="AH120" s="22">
        <v>19.3673</v>
      </c>
      <c r="AI120" s="22">
        <v>-1.3809200000000001E-2</v>
      </c>
      <c r="AJ120" s="22">
        <v>110</v>
      </c>
      <c r="AK120" s="22">
        <v>0.45330799999999999</v>
      </c>
      <c r="AL120">
        <f t="shared" si="18"/>
        <v>17.048395061728392</v>
      </c>
      <c r="AM120">
        <f t="shared" si="19"/>
        <v>7.739101889876542</v>
      </c>
      <c r="AP120" s="9"/>
      <c r="AQ120" s="22">
        <v>1.22604</v>
      </c>
      <c r="AR120" s="22">
        <v>24.814599999999999</v>
      </c>
      <c r="AS120" s="22">
        <v>-1.3266E-2</v>
      </c>
      <c r="AT120" s="22">
        <v>110</v>
      </c>
      <c r="AU120" s="22">
        <v>1.2246699999999999</v>
      </c>
      <c r="AV120">
        <f t="shared" si="20"/>
        <v>16.377777777777776</v>
      </c>
      <c r="AW120">
        <f t="shared" si="21"/>
        <v>20.079810666666667</v>
      </c>
      <c r="AX120" s="9"/>
      <c r="AY120" s="22">
        <v>0.45394899999999999</v>
      </c>
      <c r="AZ120" s="22">
        <v>28.593499999999999</v>
      </c>
      <c r="BA120" s="22">
        <v>-1.3842800000000001E-2</v>
      </c>
      <c r="BB120" s="22">
        <v>110</v>
      </c>
      <c r="BC120" s="22">
        <v>0.45336900000000002</v>
      </c>
      <c r="BD120">
        <f t="shared" si="22"/>
        <v>17.089876543209876</v>
      </c>
      <c r="BE120">
        <f t="shared" si="23"/>
        <v>7.7579323669135798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1.2210099999999999</v>
      </c>
      <c r="H121" s="22">
        <v>6.3082000000000003</v>
      </c>
      <c r="I121" s="22">
        <v>-1.31866E-2</v>
      </c>
      <c r="J121" s="22">
        <v>111</v>
      </c>
      <c r="K121" s="22">
        <v>1.2197899999999999</v>
      </c>
      <c r="L121">
        <f t="shared" si="12"/>
        <v>16.279753086419749</v>
      </c>
      <c r="M121">
        <f t="shared" si="13"/>
        <v>19.877741316049377</v>
      </c>
      <c r="N121" s="9"/>
      <c r="O121" s="22">
        <v>0.458984</v>
      </c>
      <c r="P121" s="22">
        <v>10.0871</v>
      </c>
      <c r="Q121" s="22">
        <v>-1.37909E-2</v>
      </c>
      <c r="R121" s="22">
        <v>111</v>
      </c>
      <c r="S121" s="22">
        <v>0.45834399999999997</v>
      </c>
      <c r="T121">
        <f t="shared" si="14"/>
        <v>17.025802469135801</v>
      </c>
      <c r="U121">
        <f t="shared" si="15"/>
        <v>7.8145709204938267</v>
      </c>
      <c r="X121" s="9"/>
      <c r="Y121" s="22">
        <v>1.2210099999999999</v>
      </c>
      <c r="Z121" s="22">
        <v>15.5984</v>
      </c>
      <c r="AA121" s="22">
        <v>-1.32874E-2</v>
      </c>
      <c r="AB121" s="22">
        <v>111</v>
      </c>
      <c r="AC121" s="22">
        <v>1.2210099999999999</v>
      </c>
      <c r="AD121">
        <f t="shared" si="16"/>
        <v>16.404197530864195</v>
      </c>
      <c r="AE121">
        <f t="shared" si="17"/>
        <v>20.029689227160489</v>
      </c>
      <c r="AF121" s="9"/>
      <c r="AG121" s="22">
        <v>0.458984</v>
      </c>
      <c r="AH121" s="22">
        <v>19.377300000000002</v>
      </c>
      <c r="AI121" s="22">
        <v>-1.3806199999999999E-2</v>
      </c>
      <c r="AJ121" s="22">
        <v>111</v>
      </c>
      <c r="AK121" s="22">
        <v>0.45831300000000003</v>
      </c>
      <c r="AL121">
        <f t="shared" si="18"/>
        <v>17.044691358024689</v>
      </c>
      <c r="AM121">
        <f t="shared" si="19"/>
        <v>7.8232406182716039</v>
      </c>
      <c r="AP121" s="9"/>
      <c r="AQ121" s="22">
        <v>1.2210099999999999</v>
      </c>
      <c r="AR121" s="22">
        <v>24.8246</v>
      </c>
      <c r="AS121" s="22">
        <v>-1.32782E-2</v>
      </c>
      <c r="AT121" s="22">
        <v>111</v>
      </c>
      <c r="AU121" s="22">
        <v>1.2197899999999999</v>
      </c>
      <c r="AV121">
        <f t="shared" si="20"/>
        <v>16.392839506172837</v>
      </c>
      <c r="AW121">
        <f t="shared" si="21"/>
        <v>20.015820965432095</v>
      </c>
      <c r="AX121" s="9"/>
      <c r="AY121" s="22">
        <v>0.458984</v>
      </c>
      <c r="AZ121" s="22">
        <v>28.6036</v>
      </c>
      <c r="BA121" s="22">
        <v>-1.38367E-2</v>
      </c>
      <c r="BB121" s="22">
        <v>111</v>
      </c>
      <c r="BC121" s="22">
        <v>0.45834399999999997</v>
      </c>
      <c r="BD121">
        <f t="shared" si="22"/>
        <v>17.082345679012345</v>
      </c>
      <c r="BE121">
        <f t="shared" si="23"/>
        <v>7.8405233491358022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1.21597</v>
      </c>
      <c r="H122" s="22">
        <v>6.3182799999999997</v>
      </c>
      <c r="I122" s="22">
        <v>-1.31897E-2</v>
      </c>
      <c r="J122" s="22">
        <v>112</v>
      </c>
      <c r="K122" s="22">
        <v>1.2152099999999999</v>
      </c>
      <c r="L122">
        <f t="shared" si="12"/>
        <v>16.28358024691358</v>
      </c>
      <c r="M122">
        <f t="shared" si="13"/>
        <v>19.800345072839505</v>
      </c>
      <c r="N122" s="9"/>
      <c r="O122" s="22">
        <v>0.46401999999999999</v>
      </c>
      <c r="P122" s="22">
        <v>10.097200000000001</v>
      </c>
      <c r="Q122" s="22">
        <v>-1.37848E-2</v>
      </c>
      <c r="R122" s="22">
        <v>112</v>
      </c>
      <c r="S122" s="22">
        <v>0.46340900000000002</v>
      </c>
      <c r="T122">
        <f t="shared" si="14"/>
        <v>17.018271604938271</v>
      </c>
      <c r="U122">
        <f t="shared" si="15"/>
        <v>7.8968183901234559</v>
      </c>
      <c r="X122" s="9"/>
      <c r="Y122" s="22">
        <v>1.21597</v>
      </c>
      <c r="Z122" s="22">
        <v>15.608499999999999</v>
      </c>
      <c r="AA122" s="22">
        <v>-1.3296499999999999E-2</v>
      </c>
      <c r="AB122" s="22">
        <v>112</v>
      </c>
      <c r="AC122" s="22">
        <v>1.2149000000000001</v>
      </c>
      <c r="AD122">
        <f t="shared" si="16"/>
        <v>16.415432098765429</v>
      </c>
      <c r="AE122">
        <f t="shared" si="17"/>
        <v>19.9606729691358</v>
      </c>
      <c r="AF122" s="9"/>
      <c r="AG122" s="22">
        <v>0.46401999999999999</v>
      </c>
      <c r="AH122" s="22">
        <v>19.3874</v>
      </c>
      <c r="AI122" s="22">
        <v>-1.38E-2</v>
      </c>
      <c r="AJ122" s="22">
        <v>112</v>
      </c>
      <c r="AK122" s="22">
        <v>0.46340900000000002</v>
      </c>
      <c r="AL122">
        <f t="shared" si="18"/>
        <v>17.037037037037035</v>
      </c>
      <c r="AM122">
        <f t="shared" si="19"/>
        <v>7.9055259259259243</v>
      </c>
      <c r="AP122" s="9"/>
      <c r="AQ122" s="22">
        <v>1.21597</v>
      </c>
      <c r="AR122" s="22">
        <v>24.834700000000002</v>
      </c>
      <c r="AS122" s="22">
        <v>-1.32874E-2</v>
      </c>
      <c r="AT122" s="22">
        <v>112</v>
      </c>
      <c r="AU122" s="22">
        <v>1.2149000000000001</v>
      </c>
      <c r="AV122">
        <f t="shared" si="20"/>
        <v>16.404197530864195</v>
      </c>
      <c r="AW122">
        <f t="shared" si="21"/>
        <v>19.947012071604934</v>
      </c>
      <c r="AX122" s="9"/>
      <c r="AY122" s="22">
        <v>0.46401999999999999</v>
      </c>
      <c r="AZ122" s="22">
        <v>28.613700000000001</v>
      </c>
      <c r="BA122" s="22">
        <v>-1.38306E-2</v>
      </c>
      <c r="BB122" s="22">
        <v>112</v>
      </c>
      <c r="BC122" s="22">
        <v>0.46340900000000002</v>
      </c>
      <c r="BD122">
        <f t="shared" si="22"/>
        <v>17.074814814814815</v>
      </c>
      <c r="BE122">
        <f t="shared" si="23"/>
        <v>7.9230555703703702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1.2109399999999999</v>
      </c>
      <c r="H123" s="22">
        <v>6.3283500000000004</v>
      </c>
      <c r="I123" s="22">
        <v>-1.3201900000000001E-2</v>
      </c>
      <c r="J123" s="22">
        <v>113</v>
      </c>
      <c r="K123" s="22">
        <v>1.2097199999999999</v>
      </c>
      <c r="L123">
        <f t="shared" si="12"/>
        <v>16.298641975308641</v>
      </c>
      <c r="M123">
        <f t="shared" si="13"/>
        <v>19.736677513580243</v>
      </c>
      <c r="N123" s="9"/>
      <c r="O123" s="22">
        <v>0.469055</v>
      </c>
      <c r="P123" s="22">
        <v>10.1073</v>
      </c>
      <c r="Q123" s="22">
        <v>-1.37787E-2</v>
      </c>
      <c r="R123" s="22">
        <v>113</v>
      </c>
      <c r="S123" s="22">
        <v>0.468414</v>
      </c>
      <c r="T123">
        <f t="shared" si="14"/>
        <v>17.01074074074074</v>
      </c>
      <c r="U123">
        <f t="shared" si="15"/>
        <v>7.9789729981481479</v>
      </c>
      <c r="X123" s="9"/>
      <c r="Y123" s="22">
        <v>1.2109399999999999</v>
      </c>
      <c r="Z123" s="22">
        <v>15.618600000000001</v>
      </c>
      <c r="AA123" s="22">
        <v>-1.33118E-2</v>
      </c>
      <c r="AB123" s="22">
        <v>113</v>
      </c>
      <c r="AC123" s="22">
        <v>1.2097199999999999</v>
      </c>
      <c r="AD123">
        <f t="shared" si="16"/>
        <v>16.434320987654321</v>
      </c>
      <c r="AE123">
        <f t="shared" si="17"/>
        <v>19.900976656790121</v>
      </c>
      <c r="AF123" s="9"/>
      <c r="AG123" s="22">
        <v>0.469055</v>
      </c>
      <c r="AH123" s="22">
        <v>19.397500000000001</v>
      </c>
      <c r="AI123" s="22">
        <v>-1.37909E-2</v>
      </c>
      <c r="AJ123" s="22">
        <v>113</v>
      </c>
      <c r="AK123" s="22">
        <v>0.468414</v>
      </c>
      <c r="AL123">
        <f t="shared" si="18"/>
        <v>17.025802469135801</v>
      </c>
      <c r="AM123">
        <f t="shared" si="19"/>
        <v>7.9860377771604929</v>
      </c>
      <c r="AP123" s="9"/>
      <c r="AQ123" s="22">
        <v>1.2109399999999999</v>
      </c>
      <c r="AR123" s="22">
        <v>24.844799999999999</v>
      </c>
      <c r="AS123" s="22">
        <v>-1.3296499999999999E-2</v>
      </c>
      <c r="AT123" s="22">
        <v>113</v>
      </c>
      <c r="AU123" s="22">
        <v>1.2097199999999999</v>
      </c>
      <c r="AV123">
        <f t="shared" si="20"/>
        <v>16.415432098765429</v>
      </c>
      <c r="AW123">
        <f t="shared" si="21"/>
        <v>19.878103345679008</v>
      </c>
      <c r="AX123" s="9"/>
      <c r="AY123" s="22">
        <v>0.469055</v>
      </c>
      <c r="AZ123" s="22">
        <v>28.623699999999999</v>
      </c>
      <c r="BA123" s="22">
        <v>-1.38275E-2</v>
      </c>
      <c r="BB123" s="22">
        <v>113</v>
      </c>
      <c r="BC123" s="22">
        <v>0.468414</v>
      </c>
      <c r="BD123">
        <f t="shared" si="22"/>
        <v>17.070987654320987</v>
      </c>
      <c r="BE123">
        <f t="shared" si="23"/>
        <v>8.0072321141975316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1.2059</v>
      </c>
      <c r="H124" s="22">
        <v>6.3384200000000002</v>
      </c>
      <c r="I124" s="22">
        <v>-1.32111E-2</v>
      </c>
      <c r="J124" s="22">
        <v>114</v>
      </c>
      <c r="K124" s="22">
        <v>1.2048300000000001</v>
      </c>
      <c r="L124">
        <f t="shared" si="12"/>
        <v>16.309999999999999</v>
      </c>
      <c r="M124">
        <f t="shared" si="13"/>
        <v>19.668228999999997</v>
      </c>
      <c r="N124" s="9"/>
      <c r="O124" s="22">
        <v>0.47409099999999998</v>
      </c>
      <c r="P124" s="22">
        <v>10.1173</v>
      </c>
      <c r="Q124" s="22">
        <v>-1.3772599999999999E-2</v>
      </c>
      <c r="R124" s="22">
        <v>114</v>
      </c>
      <c r="S124" s="22">
        <v>0.47348000000000001</v>
      </c>
      <c r="T124">
        <f t="shared" si="14"/>
        <v>17.00320987654321</v>
      </c>
      <c r="U124">
        <f t="shared" si="15"/>
        <v>8.0610687735802458</v>
      </c>
      <c r="X124" s="9"/>
      <c r="Y124" s="22">
        <v>1.2059</v>
      </c>
      <c r="Z124" s="22">
        <v>15.6286</v>
      </c>
      <c r="AA124" s="22">
        <v>-1.3324000000000001E-2</v>
      </c>
      <c r="AB124" s="22">
        <v>114</v>
      </c>
      <c r="AC124" s="22">
        <v>1.2051400000000001</v>
      </c>
      <c r="AD124">
        <f t="shared" si="16"/>
        <v>16.449382716049382</v>
      </c>
      <c r="AE124">
        <f t="shared" si="17"/>
        <v>19.836310617283949</v>
      </c>
      <c r="AF124" s="9"/>
      <c r="AG124" s="22">
        <v>0.47409099999999998</v>
      </c>
      <c r="AH124" s="22">
        <v>19.407499999999999</v>
      </c>
      <c r="AI124" s="22">
        <v>-1.3787799999999999E-2</v>
      </c>
      <c r="AJ124" s="22">
        <v>114</v>
      </c>
      <c r="AK124" s="22">
        <v>0.473389</v>
      </c>
      <c r="AL124">
        <f t="shared" si="18"/>
        <v>17.021975308641974</v>
      </c>
      <c r="AM124">
        <f t="shared" si="19"/>
        <v>8.0699652960493822</v>
      </c>
      <c r="AP124" s="9"/>
      <c r="AQ124" s="22">
        <v>1.2059</v>
      </c>
      <c r="AR124" s="22">
        <v>24.854900000000001</v>
      </c>
      <c r="AS124" s="22">
        <v>-1.3302599999999999E-2</v>
      </c>
      <c r="AT124" s="22">
        <v>114</v>
      </c>
      <c r="AU124" s="22">
        <v>1.2051400000000001</v>
      </c>
      <c r="AV124">
        <f t="shared" si="20"/>
        <v>16.422962962962963</v>
      </c>
      <c r="AW124">
        <f t="shared" si="21"/>
        <v>19.804451037037037</v>
      </c>
      <c r="AX124" s="9"/>
      <c r="AY124" s="22">
        <v>0.47409099999999998</v>
      </c>
      <c r="AZ124" s="22">
        <v>28.633800000000001</v>
      </c>
      <c r="BA124" s="22">
        <v>-1.38275E-2</v>
      </c>
      <c r="BB124" s="22">
        <v>114</v>
      </c>
      <c r="BC124" s="22">
        <v>0.47348000000000001</v>
      </c>
      <c r="BD124">
        <f t="shared" si="22"/>
        <v>17.070987654320987</v>
      </c>
      <c r="BE124">
        <f t="shared" si="23"/>
        <v>8.0932016080246907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1.2008700000000001</v>
      </c>
      <c r="H125" s="22">
        <v>6.34849</v>
      </c>
      <c r="I125" s="22">
        <v>-1.32233E-2</v>
      </c>
      <c r="J125" s="22">
        <v>115</v>
      </c>
      <c r="K125" s="22">
        <v>1.1999500000000001</v>
      </c>
      <c r="L125">
        <f t="shared" si="12"/>
        <v>16.32506172839506</v>
      </c>
      <c r="M125">
        <f t="shared" si="13"/>
        <v>19.604276877777778</v>
      </c>
      <c r="N125" s="9"/>
      <c r="O125" s="22">
        <v>0.479126</v>
      </c>
      <c r="P125" s="22">
        <v>10.1274</v>
      </c>
      <c r="Q125" s="22">
        <v>-1.37695E-2</v>
      </c>
      <c r="R125" s="22">
        <v>115</v>
      </c>
      <c r="S125" s="22">
        <v>0.47845500000000002</v>
      </c>
      <c r="T125">
        <f t="shared" si="14"/>
        <v>16.999382716049382</v>
      </c>
      <c r="U125">
        <f t="shared" si="15"/>
        <v>8.1448462432098765</v>
      </c>
      <c r="X125" s="9"/>
      <c r="Y125" s="22">
        <v>1.2008700000000001</v>
      </c>
      <c r="Z125" s="22">
        <v>15.6387</v>
      </c>
      <c r="AA125" s="22">
        <v>-1.3333100000000001E-2</v>
      </c>
      <c r="AB125" s="22">
        <v>115</v>
      </c>
      <c r="AC125" s="22">
        <v>1.1996500000000001</v>
      </c>
      <c r="AD125">
        <f t="shared" si="16"/>
        <v>16.460617283950615</v>
      </c>
      <c r="AE125">
        <f t="shared" si="17"/>
        <v>19.767061477777776</v>
      </c>
      <c r="AF125" s="9"/>
      <c r="AG125" s="22">
        <v>0.479126</v>
      </c>
      <c r="AH125" s="22">
        <v>19.4176</v>
      </c>
      <c r="AI125" s="22">
        <v>-1.37848E-2</v>
      </c>
      <c r="AJ125" s="22">
        <v>115</v>
      </c>
      <c r="AK125" s="22">
        <v>0.47848499999999999</v>
      </c>
      <c r="AL125">
        <f t="shared" si="18"/>
        <v>17.018271604938271</v>
      </c>
      <c r="AM125">
        <f t="shared" si="19"/>
        <v>8.1538964009876533</v>
      </c>
      <c r="AP125" s="9"/>
      <c r="AQ125" s="22">
        <v>1.2008700000000001</v>
      </c>
      <c r="AR125" s="22">
        <v>24.864899999999999</v>
      </c>
      <c r="AS125" s="22">
        <v>-1.3317900000000001E-2</v>
      </c>
      <c r="AT125" s="22">
        <v>115</v>
      </c>
      <c r="AU125" s="22">
        <v>1.1999500000000001</v>
      </c>
      <c r="AV125">
        <f t="shared" si="20"/>
        <v>16.441851851851851</v>
      </c>
      <c r="AW125">
        <f t="shared" si="21"/>
        <v>19.744526633333333</v>
      </c>
      <c r="AX125" s="9"/>
      <c r="AY125" s="22">
        <v>0.479126</v>
      </c>
      <c r="AZ125" s="22">
        <v>28.643899999999999</v>
      </c>
      <c r="BA125" s="22">
        <v>-1.38275E-2</v>
      </c>
      <c r="BB125" s="22">
        <v>115</v>
      </c>
      <c r="BC125" s="22">
        <v>0.47848499999999999</v>
      </c>
      <c r="BD125">
        <f t="shared" si="22"/>
        <v>17.070987654320987</v>
      </c>
      <c r="BE125">
        <f t="shared" si="23"/>
        <v>8.179154030864197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1.1958299999999999</v>
      </c>
      <c r="H126" s="22">
        <v>6.3585599999999998</v>
      </c>
      <c r="I126" s="22">
        <v>-1.3229400000000001E-2</v>
      </c>
      <c r="J126" s="22">
        <v>116</v>
      </c>
      <c r="K126" s="22">
        <v>1.19537</v>
      </c>
      <c r="L126">
        <f t="shared" si="12"/>
        <v>16.332592592592594</v>
      </c>
      <c r="M126">
        <f t="shared" si="13"/>
        <v>19.531004200000002</v>
      </c>
      <c r="N126" s="9"/>
      <c r="O126" s="22">
        <v>0.48416100000000001</v>
      </c>
      <c r="P126" s="22">
        <v>10.137499999999999</v>
      </c>
      <c r="Q126" s="22">
        <v>-1.3766499999999999E-2</v>
      </c>
      <c r="R126" s="22">
        <v>116</v>
      </c>
      <c r="S126" s="22">
        <v>0.483429</v>
      </c>
      <c r="T126">
        <f t="shared" si="14"/>
        <v>16.995679012345676</v>
      </c>
      <c r="U126">
        <f t="shared" si="15"/>
        <v>8.2286449462962956</v>
      </c>
      <c r="X126" s="9"/>
      <c r="Y126" s="22">
        <v>1.1958299999999999</v>
      </c>
      <c r="Z126" s="22">
        <v>15.6488</v>
      </c>
      <c r="AA126" s="22">
        <v>-1.3339200000000001E-2</v>
      </c>
      <c r="AB126" s="22">
        <v>116</v>
      </c>
      <c r="AC126" s="22">
        <v>1.19537</v>
      </c>
      <c r="AD126">
        <f t="shared" si="16"/>
        <v>16.468148148148149</v>
      </c>
      <c r="AE126">
        <f t="shared" si="17"/>
        <v>19.693105599999999</v>
      </c>
      <c r="AF126" s="9"/>
      <c r="AG126" s="22">
        <v>0.48416100000000001</v>
      </c>
      <c r="AH126" s="22">
        <v>19.427700000000002</v>
      </c>
      <c r="AI126" s="22">
        <v>-1.37848E-2</v>
      </c>
      <c r="AJ126" s="22">
        <v>116</v>
      </c>
      <c r="AK126" s="22">
        <v>0.48355100000000001</v>
      </c>
      <c r="AL126">
        <f t="shared" si="18"/>
        <v>17.018271604938271</v>
      </c>
      <c r="AM126">
        <f t="shared" si="19"/>
        <v>8.2395833985185174</v>
      </c>
      <c r="AP126" s="9"/>
      <c r="AQ126" s="22">
        <v>1.1958299999999999</v>
      </c>
      <c r="AR126" s="22">
        <v>24.875</v>
      </c>
      <c r="AS126" s="22">
        <v>-1.3330099999999999E-2</v>
      </c>
      <c r="AT126" s="22">
        <v>116</v>
      </c>
      <c r="AU126" s="22">
        <v>1.1944600000000001</v>
      </c>
      <c r="AV126">
        <f t="shared" si="20"/>
        <v>16.456913580246912</v>
      </c>
      <c r="AW126">
        <f t="shared" si="21"/>
        <v>19.679670966666663</v>
      </c>
      <c r="AX126" s="9"/>
      <c r="AY126" s="22">
        <v>0.48416100000000001</v>
      </c>
      <c r="AZ126" s="22">
        <v>28.6539</v>
      </c>
      <c r="BA126" s="22">
        <v>-1.38275E-2</v>
      </c>
      <c r="BB126" s="22">
        <v>116</v>
      </c>
      <c r="BC126" s="22">
        <v>0.48348999999999998</v>
      </c>
      <c r="BD126">
        <f t="shared" si="22"/>
        <v>17.070987654320987</v>
      </c>
      <c r="BE126">
        <f t="shared" si="23"/>
        <v>8.2651064537037033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1.1908000000000001</v>
      </c>
      <c r="H127" s="22">
        <v>6.3686299999999996</v>
      </c>
      <c r="I127" s="22">
        <v>-1.32385E-2</v>
      </c>
      <c r="J127" s="22">
        <v>117</v>
      </c>
      <c r="K127" s="22">
        <v>1.1895800000000001</v>
      </c>
      <c r="L127">
        <f t="shared" si="12"/>
        <v>16.343827160493824</v>
      </c>
      <c r="M127">
        <f t="shared" si="13"/>
        <v>19.462229382716046</v>
      </c>
      <c r="N127" s="9"/>
      <c r="O127" s="22">
        <v>0.48919699999999999</v>
      </c>
      <c r="P127" s="22">
        <v>10.147500000000001</v>
      </c>
      <c r="Q127" s="22">
        <v>-1.37634E-2</v>
      </c>
      <c r="R127" s="22">
        <v>117</v>
      </c>
      <c r="S127" s="22">
        <v>0.48849500000000001</v>
      </c>
      <c r="T127">
        <f t="shared" si="14"/>
        <v>16.991851851851852</v>
      </c>
      <c r="U127">
        <f t="shared" si="15"/>
        <v>8.3123629503703711</v>
      </c>
      <c r="X127" s="9"/>
      <c r="Y127" s="22">
        <v>1.1908000000000001</v>
      </c>
      <c r="Z127" s="22">
        <v>15.658899999999999</v>
      </c>
      <c r="AA127" s="22">
        <v>-1.33423E-2</v>
      </c>
      <c r="AB127" s="22">
        <v>117</v>
      </c>
      <c r="AC127" s="22">
        <v>1.18988</v>
      </c>
      <c r="AD127">
        <f t="shared" si="16"/>
        <v>16.471975308641973</v>
      </c>
      <c r="AE127">
        <f t="shared" si="17"/>
        <v>19.614828197530862</v>
      </c>
      <c r="AF127" s="9"/>
      <c r="AG127" s="22">
        <v>0.48919699999999999</v>
      </c>
      <c r="AH127" s="22">
        <v>19.437799999999999</v>
      </c>
      <c r="AI127" s="22">
        <v>-1.3787799999999999E-2</v>
      </c>
      <c r="AJ127" s="22">
        <v>117</v>
      </c>
      <c r="AK127" s="22">
        <v>0.48858600000000002</v>
      </c>
      <c r="AL127">
        <f t="shared" si="18"/>
        <v>17.021975308641974</v>
      </c>
      <c r="AM127">
        <f t="shared" si="19"/>
        <v>8.3270992550617269</v>
      </c>
      <c r="AP127" s="9"/>
      <c r="AQ127" s="22">
        <v>1.1908000000000001</v>
      </c>
      <c r="AR127" s="22">
        <v>24.885100000000001</v>
      </c>
      <c r="AS127" s="22">
        <v>-1.3336199999999999E-2</v>
      </c>
      <c r="AT127" s="22">
        <v>117</v>
      </c>
      <c r="AU127" s="22">
        <v>1.1901900000000001</v>
      </c>
      <c r="AV127">
        <f t="shared" si="20"/>
        <v>16.464444444444442</v>
      </c>
      <c r="AW127">
        <f t="shared" si="21"/>
        <v>19.605860444444442</v>
      </c>
      <c r="AX127" s="9"/>
      <c r="AY127" s="22">
        <v>0.48919699999999999</v>
      </c>
      <c r="AZ127" s="22">
        <v>28.664000000000001</v>
      </c>
      <c r="BA127" s="22">
        <v>-1.38275E-2</v>
      </c>
      <c r="BB127" s="22">
        <v>117</v>
      </c>
      <c r="BC127" s="22">
        <v>0.48849500000000001</v>
      </c>
      <c r="BD127">
        <f t="shared" si="22"/>
        <v>17.070987654320987</v>
      </c>
      <c r="BE127">
        <f t="shared" si="23"/>
        <v>8.3510759475308642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1.1857599999999999</v>
      </c>
      <c r="H128" s="22">
        <v>6.3787000000000003</v>
      </c>
      <c r="I128" s="22">
        <v>-1.32446E-2</v>
      </c>
      <c r="J128" s="22">
        <v>118</v>
      </c>
      <c r="K128" s="22">
        <v>1.18469</v>
      </c>
      <c r="L128">
        <f t="shared" si="12"/>
        <v>16.351358024691358</v>
      </c>
      <c r="M128">
        <f t="shared" si="13"/>
        <v>19.388786291358024</v>
      </c>
      <c r="N128" s="9"/>
      <c r="O128" s="22">
        <v>0.494232</v>
      </c>
      <c r="P128" s="22">
        <v>10.1576</v>
      </c>
      <c r="Q128" s="22">
        <v>-1.37573E-2</v>
      </c>
      <c r="R128" s="22">
        <v>118</v>
      </c>
      <c r="S128" s="22">
        <v>0.493591</v>
      </c>
      <c r="T128">
        <f t="shared" si="14"/>
        <v>16.984320987654321</v>
      </c>
      <c r="U128">
        <f t="shared" si="15"/>
        <v>8.3941949303703698</v>
      </c>
      <c r="X128" s="9"/>
      <c r="Y128" s="22">
        <v>1.1857599999999999</v>
      </c>
      <c r="Z128" s="22">
        <v>15.668900000000001</v>
      </c>
      <c r="AA128" s="22">
        <v>-1.3351399999999999E-2</v>
      </c>
      <c r="AB128" s="22">
        <v>118</v>
      </c>
      <c r="AC128" s="22">
        <v>1.18469</v>
      </c>
      <c r="AD128">
        <f t="shared" si="16"/>
        <v>16.483209876543206</v>
      </c>
      <c r="AE128">
        <f t="shared" si="17"/>
        <v>19.54513094320987</v>
      </c>
      <c r="AF128" s="9"/>
      <c r="AG128" s="22">
        <v>0.494232</v>
      </c>
      <c r="AH128" s="22">
        <v>19.447800000000001</v>
      </c>
      <c r="AI128" s="22">
        <v>-1.3787799999999999E-2</v>
      </c>
      <c r="AJ128" s="22">
        <v>118</v>
      </c>
      <c r="AK128" s="22">
        <v>0.49353000000000002</v>
      </c>
      <c r="AL128">
        <f t="shared" si="18"/>
        <v>17.021975308641974</v>
      </c>
      <c r="AM128">
        <f t="shared" si="19"/>
        <v>8.4128049007407402</v>
      </c>
      <c r="AP128" s="9"/>
      <c r="AQ128" s="22">
        <v>1.1857599999999999</v>
      </c>
      <c r="AR128" s="22">
        <v>24.895099999999999</v>
      </c>
      <c r="AS128" s="22">
        <v>-1.3351399999999999E-2</v>
      </c>
      <c r="AT128" s="22">
        <v>118</v>
      </c>
      <c r="AU128" s="22">
        <v>1.1850000000000001</v>
      </c>
      <c r="AV128">
        <f t="shared" si="20"/>
        <v>16.483209876543206</v>
      </c>
      <c r="AW128">
        <f t="shared" si="21"/>
        <v>19.54513094320987</v>
      </c>
      <c r="AX128" s="9"/>
      <c r="AY128" s="22">
        <v>0.494232</v>
      </c>
      <c r="AZ128" s="22">
        <v>28.674099999999999</v>
      </c>
      <c r="BA128" s="22">
        <v>-1.38245E-2</v>
      </c>
      <c r="BB128" s="22">
        <v>118</v>
      </c>
      <c r="BC128" s="22">
        <v>0.49356100000000003</v>
      </c>
      <c r="BD128">
        <f t="shared" si="22"/>
        <v>17.067283950617281</v>
      </c>
      <c r="BE128">
        <f t="shared" si="23"/>
        <v>8.4351978814814803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1.1807300000000001</v>
      </c>
      <c r="H129" s="22">
        <v>6.3887700000000001</v>
      </c>
      <c r="I129" s="22">
        <v>-1.3256799999999999E-2</v>
      </c>
      <c r="J129" s="22">
        <v>119</v>
      </c>
      <c r="K129" s="22">
        <v>1.1792</v>
      </c>
      <c r="L129">
        <f t="shared" si="12"/>
        <v>16.366419753086415</v>
      </c>
      <c r="M129">
        <f t="shared" si="13"/>
        <v>19.324322795061725</v>
      </c>
      <c r="N129" s="9"/>
      <c r="O129" s="22">
        <v>0.49926799999999999</v>
      </c>
      <c r="P129" s="22">
        <v>10.1677</v>
      </c>
      <c r="Q129" s="22">
        <v>-1.3754300000000001E-2</v>
      </c>
      <c r="R129" s="22">
        <v>119</v>
      </c>
      <c r="S129" s="22">
        <v>0.49859599999999998</v>
      </c>
      <c r="T129">
        <f t="shared" si="14"/>
        <v>16.980617283950615</v>
      </c>
      <c r="U129">
        <f t="shared" si="15"/>
        <v>8.4778788301234549</v>
      </c>
      <c r="X129" s="9"/>
      <c r="Y129" s="22">
        <v>1.1807300000000001</v>
      </c>
      <c r="Z129" s="22">
        <v>15.679</v>
      </c>
      <c r="AA129" s="22">
        <v>-1.3351399999999999E-2</v>
      </c>
      <c r="AB129" s="22">
        <v>119</v>
      </c>
      <c r="AC129" s="22">
        <v>1.1795</v>
      </c>
      <c r="AD129">
        <f t="shared" si="16"/>
        <v>16.483209876543206</v>
      </c>
      <c r="AE129">
        <f t="shared" si="17"/>
        <v>19.46222039753086</v>
      </c>
      <c r="AF129" s="9"/>
      <c r="AG129" s="22">
        <v>0.49926799999999999</v>
      </c>
      <c r="AH129" s="22">
        <v>19.457899999999999</v>
      </c>
      <c r="AI129" s="22">
        <v>-1.37848E-2</v>
      </c>
      <c r="AJ129" s="22">
        <v>119</v>
      </c>
      <c r="AK129" s="22">
        <v>0.49868800000000002</v>
      </c>
      <c r="AL129">
        <f t="shared" si="18"/>
        <v>17.018271604938271</v>
      </c>
      <c r="AM129">
        <f t="shared" si="19"/>
        <v>8.4966784276543201</v>
      </c>
      <c r="AP129" s="9"/>
      <c r="AQ129" s="22">
        <v>1.1807300000000001</v>
      </c>
      <c r="AR129" s="22">
        <v>24.905200000000001</v>
      </c>
      <c r="AS129" s="22">
        <v>-1.33545E-2</v>
      </c>
      <c r="AT129" s="22">
        <v>119</v>
      </c>
      <c r="AU129" s="22">
        <v>1.1792</v>
      </c>
      <c r="AV129">
        <f t="shared" si="20"/>
        <v>16.487037037037037</v>
      </c>
      <c r="AW129">
        <f t="shared" si="21"/>
        <v>19.466739240740743</v>
      </c>
      <c r="AX129" s="9"/>
      <c r="AY129" s="22">
        <v>0.49926799999999999</v>
      </c>
      <c r="AZ129" s="22">
        <v>28.684200000000001</v>
      </c>
      <c r="BA129" s="22">
        <v>-1.3821399999999999E-2</v>
      </c>
      <c r="BB129" s="22">
        <v>119</v>
      </c>
      <c r="BC129" s="22">
        <v>0.49862699999999999</v>
      </c>
      <c r="BD129">
        <f t="shared" si="22"/>
        <v>17.063456790123453</v>
      </c>
      <c r="BE129">
        <f t="shared" si="23"/>
        <v>8.5192379446913566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1.1756899999999999</v>
      </c>
      <c r="H130" s="22">
        <v>6.3988399999999999</v>
      </c>
      <c r="I130" s="22">
        <v>-1.32599E-2</v>
      </c>
      <c r="J130" s="22">
        <v>120</v>
      </c>
      <c r="K130" s="22">
        <v>1.17432</v>
      </c>
      <c r="L130">
        <f t="shared" si="12"/>
        <v>16.370246913580246</v>
      </c>
      <c r="M130">
        <f t="shared" si="13"/>
        <v>19.246335593827158</v>
      </c>
      <c r="N130" s="9"/>
      <c r="O130" s="22">
        <v>0.50430299999999995</v>
      </c>
      <c r="P130" s="22">
        <v>10.1777</v>
      </c>
      <c r="Q130" s="22">
        <v>-1.37512E-2</v>
      </c>
      <c r="R130" s="22">
        <v>120</v>
      </c>
      <c r="S130" s="22">
        <v>0.50363199999999997</v>
      </c>
      <c r="T130">
        <f t="shared" si="14"/>
        <v>16.976790123456787</v>
      </c>
      <c r="U130">
        <f t="shared" si="15"/>
        <v>8.5614461896296277</v>
      </c>
      <c r="X130" s="9"/>
      <c r="Y130" s="22">
        <v>1.1756899999999999</v>
      </c>
      <c r="Z130" s="22">
        <v>15.6891</v>
      </c>
      <c r="AA130" s="22">
        <v>-1.33575E-2</v>
      </c>
      <c r="AB130" s="22">
        <v>120</v>
      </c>
      <c r="AC130" s="22">
        <v>1.17462</v>
      </c>
      <c r="AD130">
        <f t="shared" si="16"/>
        <v>16.49074074074074</v>
      </c>
      <c r="AE130">
        <f t="shared" si="17"/>
        <v>19.387998981481481</v>
      </c>
      <c r="AF130" s="9"/>
      <c r="AG130" s="22">
        <v>0.50430299999999995</v>
      </c>
      <c r="AH130" s="22">
        <v>19.468</v>
      </c>
      <c r="AI130" s="22">
        <v>-1.37787E-2</v>
      </c>
      <c r="AJ130" s="22">
        <v>120</v>
      </c>
      <c r="AK130" s="22">
        <v>0.50353999999999999</v>
      </c>
      <c r="AL130">
        <f t="shared" si="18"/>
        <v>17.01074074074074</v>
      </c>
      <c r="AM130">
        <f t="shared" si="19"/>
        <v>8.5785675877777763</v>
      </c>
      <c r="AP130" s="9"/>
      <c r="AQ130" s="22">
        <v>1.1756899999999999</v>
      </c>
      <c r="AR130" s="22">
        <v>24.915299999999998</v>
      </c>
      <c r="AS130" s="22">
        <v>-1.33606E-2</v>
      </c>
      <c r="AT130" s="22">
        <v>120</v>
      </c>
      <c r="AU130" s="22">
        <v>1.17432</v>
      </c>
      <c r="AV130">
        <f t="shared" si="20"/>
        <v>16.494567901234568</v>
      </c>
      <c r="AW130">
        <f t="shared" si="21"/>
        <v>19.392498535802467</v>
      </c>
      <c r="AX130" s="9"/>
      <c r="AY130" s="22">
        <v>0.50430299999999995</v>
      </c>
      <c r="AZ130" s="22">
        <v>28.694199999999999</v>
      </c>
      <c r="BA130" s="22">
        <v>-1.3815300000000001E-2</v>
      </c>
      <c r="BB130" s="22">
        <v>120</v>
      </c>
      <c r="BC130" s="22">
        <v>0.50353999999999999</v>
      </c>
      <c r="BD130">
        <f t="shared" si="22"/>
        <v>17.055925925925926</v>
      </c>
      <c r="BE130">
        <f t="shared" si="23"/>
        <v>8.601354612222222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1.17065</v>
      </c>
      <c r="H131" s="22">
        <v>6.4089099999999997</v>
      </c>
      <c r="I131" s="22">
        <v>-1.3266E-2</v>
      </c>
      <c r="J131" s="22">
        <v>121</v>
      </c>
      <c r="K131" s="22">
        <v>1.16913</v>
      </c>
      <c r="L131">
        <f t="shared" si="12"/>
        <v>16.377777777777776</v>
      </c>
      <c r="M131">
        <f t="shared" si="13"/>
        <v>19.172645555555555</v>
      </c>
      <c r="N131" s="9"/>
      <c r="O131" s="22">
        <v>0.50933799999999996</v>
      </c>
      <c r="P131" s="22">
        <v>10.187799999999999</v>
      </c>
      <c r="Q131" s="22">
        <v>-1.37482E-2</v>
      </c>
      <c r="R131" s="22">
        <v>121</v>
      </c>
      <c r="S131" s="22">
        <v>0.508606</v>
      </c>
      <c r="T131">
        <f t="shared" si="14"/>
        <v>16.973086419753084</v>
      </c>
      <c r="U131">
        <f t="shared" si="15"/>
        <v>8.6450378908641952</v>
      </c>
      <c r="X131" s="9"/>
      <c r="Y131" s="22">
        <v>1.17065</v>
      </c>
      <c r="Z131" s="22">
        <v>15.6991</v>
      </c>
      <c r="AA131" s="22">
        <v>-1.33606E-2</v>
      </c>
      <c r="AB131" s="22">
        <v>121</v>
      </c>
      <c r="AC131" s="22">
        <v>1.16974</v>
      </c>
      <c r="AD131">
        <f t="shared" si="16"/>
        <v>16.494567901234568</v>
      </c>
      <c r="AE131">
        <f t="shared" si="17"/>
        <v>19.309365913580248</v>
      </c>
      <c r="AF131" s="9"/>
      <c r="AG131" s="22">
        <v>0.50933799999999996</v>
      </c>
      <c r="AH131" s="22">
        <v>19.478000000000002</v>
      </c>
      <c r="AI131" s="22">
        <v>-1.37787E-2</v>
      </c>
      <c r="AJ131" s="22">
        <v>121</v>
      </c>
      <c r="AK131" s="22">
        <v>0.50869799999999998</v>
      </c>
      <c r="AL131">
        <f t="shared" si="18"/>
        <v>17.01074074074074</v>
      </c>
      <c r="AM131">
        <f t="shared" si="19"/>
        <v>8.6642166674074055</v>
      </c>
      <c r="AP131" s="9"/>
      <c r="AQ131" s="22">
        <v>1.17065</v>
      </c>
      <c r="AR131" s="22">
        <v>24.9254</v>
      </c>
      <c r="AS131" s="22">
        <v>-1.33667E-2</v>
      </c>
      <c r="AT131" s="22">
        <v>121</v>
      </c>
      <c r="AU131" s="22">
        <v>1.17004</v>
      </c>
      <c r="AV131">
        <f t="shared" si="20"/>
        <v>16.502098765432098</v>
      </c>
      <c r="AW131">
        <f t="shared" si="21"/>
        <v>19.318181919753087</v>
      </c>
      <c r="AX131" s="9"/>
      <c r="AY131" s="22">
        <v>0.50933799999999996</v>
      </c>
      <c r="AZ131" s="22">
        <v>28.7043</v>
      </c>
      <c r="BA131" s="22">
        <v>-1.38123E-2</v>
      </c>
      <c r="BB131" s="22">
        <v>121</v>
      </c>
      <c r="BC131" s="22">
        <v>0.50866699999999998</v>
      </c>
      <c r="BD131">
        <f t="shared" si="22"/>
        <v>17.052222222222223</v>
      </c>
      <c r="BE131">
        <f t="shared" si="23"/>
        <v>8.685344762222222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1.1656200000000001</v>
      </c>
      <c r="H132" s="22">
        <v>6.41899</v>
      </c>
      <c r="I132" s="22">
        <v>-1.3269E-2</v>
      </c>
      <c r="J132" s="22">
        <v>122</v>
      </c>
      <c r="K132" s="22">
        <v>1.16455</v>
      </c>
      <c r="L132">
        <f t="shared" si="12"/>
        <v>16.38148148148148</v>
      </c>
      <c r="M132">
        <f t="shared" si="13"/>
        <v>19.094582444444445</v>
      </c>
      <c r="N132" s="9"/>
      <c r="O132" s="22">
        <v>0.514374</v>
      </c>
      <c r="P132" s="22">
        <v>10.197900000000001</v>
      </c>
      <c r="Q132" s="22">
        <v>-1.37482E-2</v>
      </c>
      <c r="R132" s="22">
        <v>122</v>
      </c>
      <c r="S132" s="22">
        <v>0.51361100000000004</v>
      </c>
      <c r="T132">
        <f t="shared" si="14"/>
        <v>16.973086419753084</v>
      </c>
      <c r="U132">
        <f t="shared" si="15"/>
        <v>8.7305143540740726</v>
      </c>
      <c r="X132" s="9"/>
      <c r="Y132" s="22">
        <v>1.1656200000000001</v>
      </c>
      <c r="Z132" s="22">
        <v>15.709199999999999</v>
      </c>
      <c r="AA132" s="22">
        <v>-1.33667E-2</v>
      </c>
      <c r="AB132" s="22">
        <v>122</v>
      </c>
      <c r="AC132" s="22">
        <v>1.16516</v>
      </c>
      <c r="AD132">
        <f t="shared" si="16"/>
        <v>16.502098765432098</v>
      </c>
      <c r="AE132">
        <f t="shared" si="17"/>
        <v>19.235176362962964</v>
      </c>
      <c r="AF132" s="9"/>
      <c r="AG132" s="22">
        <v>0.514374</v>
      </c>
      <c r="AH132" s="22">
        <v>19.488099999999999</v>
      </c>
      <c r="AI132" s="22">
        <v>-1.3775600000000001E-2</v>
      </c>
      <c r="AJ132" s="22">
        <v>122</v>
      </c>
      <c r="AK132" s="22">
        <v>0.51370199999999999</v>
      </c>
      <c r="AL132">
        <f t="shared" si="18"/>
        <v>17.006913580246916</v>
      </c>
      <c r="AM132">
        <f t="shared" si="19"/>
        <v>8.747914165925927</v>
      </c>
      <c r="AP132" s="9"/>
      <c r="AQ132" s="22">
        <v>1.1656200000000001</v>
      </c>
      <c r="AR132" s="22">
        <v>24.935400000000001</v>
      </c>
      <c r="AS132" s="22">
        <v>-1.3372800000000001E-2</v>
      </c>
      <c r="AT132" s="22">
        <v>122</v>
      </c>
      <c r="AU132" s="22">
        <v>1.16425</v>
      </c>
      <c r="AV132">
        <f t="shared" si="20"/>
        <v>16.509629629629632</v>
      </c>
      <c r="AW132">
        <f t="shared" si="21"/>
        <v>19.243954488888892</v>
      </c>
      <c r="AX132" s="9"/>
      <c r="AY132" s="22">
        <v>0.514374</v>
      </c>
      <c r="AZ132" s="22">
        <v>28.714400000000001</v>
      </c>
      <c r="BA132" s="22">
        <v>-1.3809200000000001E-2</v>
      </c>
      <c r="BB132" s="22">
        <v>122</v>
      </c>
      <c r="BC132" s="22">
        <v>0.51364100000000001</v>
      </c>
      <c r="BD132">
        <f t="shared" si="22"/>
        <v>17.048395061728392</v>
      </c>
      <c r="BE132">
        <f t="shared" si="23"/>
        <v>8.7692511614814794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1.1605799999999999</v>
      </c>
      <c r="H133" s="22">
        <v>6.4290599999999998</v>
      </c>
      <c r="I133" s="22">
        <v>-1.32721E-2</v>
      </c>
      <c r="J133" s="22">
        <v>123</v>
      </c>
      <c r="K133" s="22">
        <v>1.15906</v>
      </c>
      <c r="L133">
        <f t="shared" si="12"/>
        <v>16.385308641975307</v>
      </c>
      <c r="M133">
        <f t="shared" si="13"/>
        <v>19.016461503703702</v>
      </c>
      <c r="N133" s="9"/>
      <c r="O133" s="22">
        <v>0.51940900000000001</v>
      </c>
      <c r="P133" s="22">
        <v>10.208</v>
      </c>
      <c r="Q133" s="22">
        <v>-1.37482E-2</v>
      </c>
      <c r="R133" s="22">
        <v>123</v>
      </c>
      <c r="S133" s="22">
        <v>0.51870700000000003</v>
      </c>
      <c r="T133">
        <f t="shared" si="14"/>
        <v>16.973086419753084</v>
      </c>
      <c r="U133">
        <f t="shared" si="15"/>
        <v>8.8159738441975293</v>
      </c>
      <c r="X133" s="9"/>
      <c r="Y133" s="22">
        <v>1.1605799999999999</v>
      </c>
      <c r="Z133" s="22">
        <v>15.7193</v>
      </c>
      <c r="AA133" s="22">
        <v>-1.3372800000000001E-2</v>
      </c>
      <c r="AB133" s="22">
        <v>123</v>
      </c>
      <c r="AC133" s="22">
        <v>1.15967</v>
      </c>
      <c r="AD133">
        <f t="shared" si="16"/>
        <v>16.509629629629632</v>
      </c>
      <c r="AE133">
        <f t="shared" si="17"/>
        <v>19.160745955555559</v>
      </c>
      <c r="AF133" s="9"/>
      <c r="AG133" s="22">
        <v>0.51940900000000001</v>
      </c>
      <c r="AH133" s="22">
        <v>19.498200000000001</v>
      </c>
      <c r="AI133" s="22">
        <v>-1.37695E-2</v>
      </c>
      <c r="AJ133" s="22">
        <v>123</v>
      </c>
      <c r="AK133" s="22">
        <v>0.51876800000000001</v>
      </c>
      <c r="AL133">
        <f t="shared" si="18"/>
        <v>16.999382716049382</v>
      </c>
      <c r="AM133">
        <f t="shared" si="19"/>
        <v>8.8296323771604932</v>
      </c>
      <c r="AP133" s="9"/>
      <c r="AQ133" s="22">
        <v>1.1605799999999999</v>
      </c>
      <c r="AR133" s="22">
        <v>24.945499999999999</v>
      </c>
      <c r="AS133" s="22">
        <v>-1.3382E-2</v>
      </c>
      <c r="AT133" s="22">
        <v>123</v>
      </c>
      <c r="AU133" s="22">
        <v>1.1593599999999999</v>
      </c>
      <c r="AV133">
        <f t="shared" si="20"/>
        <v>16.520987654320987</v>
      </c>
      <c r="AW133">
        <f t="shared" si="21"/>
        <v>19.17392785185185</v>
      </c>
      <c r="AX133" s="9"/>
      <c r="AY133" s="22">
        <v>0.51940900000000001</v>
      </c>
      <c r="AZ133" s="22">
        <v>28.724399999999999</v>
      </c>
      <c r="BA133" s="22">
        <v>-1.3806199999999999E-2</v>
      </c>
      <c r="BB133" s="22">
        <v>123</v>
      </c>
      <c r="BC133" s="22">
        <v>0.51876800000000001</v>
      </c>
      <c r="BD133">
        <f t="shared" si="22"/>
        <v>17.044691358024689</v>
      </c>
      <c r="BE133">
        <f t="shared" si="23"/>
        <v>8.8531660935802456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1.1555500000000001</v>
      </c>
      <c r="H134" s="22">
        <v>6.4391299999999996</v>
      </c>
      <c r="I134" s="22">
        <v>-1.32782E-2</v>
      </c>
      <c r="J134" s="22">
        <v>124</v>
      </c>
      <c r="K134" s="22">
        <v>1.15448</v>
      </c>
      <c r="L134">
        <f t="shared" si="12"/>
        <v>16.392839506172837</v>
      </c>
      <c r="M134">
        <f t="shared" si="13"/>
        <v>18.942745691358024</v>
      </c>
      <c r="N134" s="9"/>
      <c r="O134" s="22">
        <v>0.52444500000000005</v>
      </c>
      <c r="P134" s="22">
        <v>10.218</v>
      </c>
      <c r="Q134" s="22">
        <v>-1.37451E-2</v>
      </c>
      <c r="R134" s="22">
        <v>124</v>
      </c>
      <c r="S134" s="22">
        <v>0.52374299999999996</v>
      </c>
      <c r="T134">
        <f t="shared" si="14"/>
        <v>16.969259259259257</v>
      </c>
      <c r="U134">
        <f t="shared" si="15"/>
        <v>8.899443172222222</v>
      </c>
      <c r="X134" s="9"/>
      <c r="Y134" s="22">
        <v>1.1555500000000001</v>
      </c>
      <c r="Z134" s="22">
        <v>15.7293</v>
      </c>
      <c r="AA134" s="22">
        <v>-1.3372800000000001E-2</v>
      </c>
      <c r="AB134" s="22">
        <v>124</v>
      </c>
      <c r="AC134" s="22">
        <v>1.1541699999999999</v>
      </c>
      <c r="AD134">
        <f t="shared" si="16"/>
        <v>16.509629629629632</v>
      </c>
      <c r="AE134">
        <f t="shared" si="17"/>
        <v>19.077702518518524</v>
      </c>
      <c r="AF134" s="9"/>
      <c r="AG134" s="22">
        <v>0.52444500000000005</v>
      </c>
      <c r="AH134" s="22">
        <v>19.508299999999998</v>
      </c>
      <c r="AI134" s="22">
        <v>-1.37695E-2</v>
      </c>
      <c r="AJ134" s="22">
        <v>124</v>
      </c>
      <c r="AK134" s="22">
        <v>0.52380400000000005</v>
      </c>
      <c r="AL134">
        <f t="shared" si="18"/>
        <v>16.999382716049382</v>
      </c>
      <c r="AM134">
        <f t="shared" si="19"/>
        <v>8.9152412685185194</v>
      </c>
      <c r="AP134" s="9"/>
      <c r="AQ134" s="22">
        <v>1.1555500000000001</v>
      </c>
      <c r="AR134" s="22">
        <v>24.9556</v>
      </c>
      <c r="AS134" s="22">
        <v>-1.33881E-2</v>
      </c>
      <c r="AT134" s="22">
        <v>124</v>
      </c>
      <c r="AU134" s="22">
        <v>1.15479</v>
      </c>
      <c r="AV134">
        <f t="shared" si="20"/>
        <v>16.528518518518517</v>
      </c>
      <c r="AW134">
        <f t="shared" si="21"/>
        <v>19.099529574074072</v>
      </c>
      <c r="AX134" s="9"/>
      <c r="AY134" s="22">
        <v>0.52444500000000005</v>
      </c>
      <c r="AZ134" s="22">
        <v>28.734500000000001</v>
      </c>
      <c r="BA134" s="22">
        <v>-1.38031E-2</v>
      </c>
      <c r="BB134" s="22">
        <v>124</v>
      </c>
      <c r="BC134" s="22">
        <v>0.52374299999999996</v>
      </c>
      <c r="BD134">
        <f t="shared" si="22"/>
        <v>17.040864197530862</v>
      </c>
      <c r="BE134">
        <f t="shared" si="23"/>
        <v>8.9369960240740731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1.1505099999999999</v>
      </c>
      <c r="H135" s="22">
        <v>6.4492000000000003</v>
      </c>
      <c r="I135" s="22">
        <v>-1.32874E-2</v>
      </c>
      <c r="J135" s="22">
        <v>125</v>
      </c>
      <c r="K135" s="22">
        <v>1.15021</v>
      </c>
      <c r="L135">
        <f t="shared" si="12"/>
        <v>16.404197530864195</v>
      </c>
      <c r="M135">
        <f t="shared" si="13"/>
        <v>18.873193301234565</v>
      </c>
      <c r="N135" s="9"/>
      <c r="O135" s="22">
        <v>0.52947999999999995</v>
      </c>
      <c r="P135" s="22">
        <v>10.2281</v>
      </c>
      <c r="Q135" s="22">
        <v>-1.37451E-2</v>
      </c>
      <c r="R135" s="22">
        <v>125</v>
      </c>
      <c r="S135" s="22">
        <v>0.528748</v>
      </c>
      <c r="T135">
        <f t="shared" si="14"/>
        <v>16.969259259259257</v>
      </c>
      <c r="U135">
        <f t="shared" si="15"/>
        <v>8.9848833925925913</v>
      </c>
      <c r="X135" s="9"/>
      <c r="Y135" s="22">
        <v>1.1505099999999999</v>
      </c>
      <c r="Z135" s="22">
        <v>15.7394</v>
      </c>
      <c r="AA135" s="22">
        <v>-1.3378900000000001E-2</v>
      </c>
      <c r="AB135" s="22">
        <v>125</v>
      </c>
      <c r="AC135" s="22">
        <v>1.14899</v>
      </c>
      <c r="AD135">
        <f t="shared" si="16"/>
        <v>16.517160493827159</v>
      </c>
      <c r="AE135">
        <f t="shared" si="17"/>
        <v>19.003158319753084</v>
      </c>
      <c r="AF135" s="9"/>
      <c r="AG135" s="22">
        <v>0.52947999999999995</v>
      </c>
      <c r="AH135" s="22">
        <v>19.5183</v>
      </c>
      <c r="AI135" s="22">
        <v>-1.3766499999999999E-2</v>
      </c>
      <c r="AJ135" s="22">
        <v>125</v>
      </c>
      <c r="AK135" s="22">
        <v>0.52877799999999997</v>
      </c>
      <c r="AL135">
        <f t="shared" si="18"/>
        <v>16.995679012345676</v>
      </c>
      <c r="AM135">
        <f t="shared" si="19"/>
        <v>8.9988721234567883</v>
      </c>
      <c r="AP135" s="9"/>
      <c r="AQ135" s="22">
        <v>1.1505099999999999</v>
      </c>
      <c r="AR135" s="22">
        <v>24.965599999999998</v>
      </c>
      <c r="AS135" s="22">
        <v>-1.33911E-2</v>
      </c>
      <c r="AT135" s="22">
        <v>125</v>
      </c>
      <c r="AU135" s="22">
        <v>1.1496</v>
      </c>
      <c r="AV135">
        <f t="shared" si="20"/>
        <v>16.53222222222222</v>
      </c>
      <c r="AW135">
        <f t="shared" si="21"/>
        <v>19.020486988888884</v>
      </c>
      <c r="AX135" s="9"/>
      <c r="AY135" s="22">
        <v>0.52947999999999995</v>
      </c>
      <c r="AZ135" s="22">
        <v>28.744599999999998</v>
      </c>
      <c r="BA135" s="22">
        <v>-1.3797E-2</v>
      </c>
      <c r="BB135" s="22">
        <v>125</v>
      </c>
      <c r="BC135" s="22">
        <v>0.52880899999999997</v>
      </c>
      <c r="BD135">
        <f t="shared" si="22"/>
        <v>17.033333333333331</v>
      </c>
      <c r="BE135">
        <f t="shared" si="23"/>
        <v>9.0188093333333317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1.1454800000000001</v>
      </c>
      <c r="H136" s="22">
        <v>6.4592700000000001</v>
      </c>
      <c r="I136" s="22">
        <v>-1.3302599999999999E-2</v>
      </c>
      <c r="J136" s="22">
        <v>126</v>
      </c>
      <c r="K136" s="22">
        <v>1.1444099999999999</v>
      </c>
      <c r="L136">
        <f t="shared" si="12"/>
        <v>16.422962962962963</v>
      </c>
      <c r="M136">
        <f t="shared" si="13"/>
        <v>18.812175614814816</v>
      </c>
      <c r="N136" s="9"/>
      <c r="O136" s="22">
        <v>0.53451499999999996</v>
      </c>
      <c r="P136" s="22">
        <v>10.238200000000001</v>
      </c>
      <c r="Q136" s="22">
        <v>-1.37421E-2</v>
      </c>
      <c r="R136" s="22">
        <v>126</v>
      </c>
      <c r="S136" s="22">
        <v>0.53384399999999999</v>
      </c>
      <c r="T136">
        <f t="shared" si="14"/>
        <v>16.965555555555554</v>
      </c>
      <c r="U136">
        <f t="shared" si="15"/>
        <v>9.0683439277777769</v>
      </c>
      <c r="X136" s="9"/>
      <c r="Y136" s="22">
        <v>1.1454800000000001</v>
      </c>
      <c r="Z136" s="22">
        <v>15.749499999999999</v>
      </c>
      <c r="AA136" s="22">
        <v>-1.3378900000000001E-2</v>
      </c>
      <c r="AB136" s="22">
        <v>126</v>
      </c>
      <c r="AC136" s="22">
        <v>1.1447099999999999</v>
      </c>
      <c r="AD136">
        <f t="shared" si="16"/>
        <v>16.517160493827159</v>
      </c>
      <c r="AE136">
        <f t="shared" si="17"/>
        <v>18.920077002469135</v>
      </c>
      <c r="AF136" s="9"/>
      <c r="AG136" s="22">
        <v>0.53451499999999996</v>
      </c>
      <c r="AH136" s="22">
        <v>19.528400000000001</v>
      </c>
      <c r="AI136" s="22">
        <v>-1.3766499999999999E-2</v>
      </c>
      <c r="AJ136" s="22">
        <v>126</v>
      </c>
      <c r="AK136" s="22">
        <v>0.53378300000000001</v>
      </c>
      <c r="AL136">
        <f t="shared" si="18"/>
        <v>16.995679012345676</v>
      </c>
      <c r="AM136">
        <f t="shared" si="19"/>
        <v>9.0844453672839478</v>
      </c>
      <c r="AP136" s="9"/>
      <c r="AQ136" s="22">
        <v>1.1454800000000001</v>
      </c>
      <c r="AR136" s="22">
        <v>24.9757</v>
      </c>
      <c r="AS136" s="22">
        <v>-1.33942E-2</v>
      </c>
      <c r="AT136" s="22">
        <v>126</v>
      </c>
      <c r="AU136" s="22">
        <v>1.1437999999999999</v>
      </c>
      <c r="AV136">
        <f t="shared" si="20"/>
        <v>16.536049382716048</v>
      </c>
      <c r="AW136">
        <f t="shared" si="21"/>
        <v>18.941713846913579</v>
      </c>
      <c r="AX136" s="9"/>
      <c r="AY136" s="22">
        <v>0.53451499999999996</v>
      </c>
      <c r="AZ136" s="22">
        <v>28.7547</v>
      </c>
      <c r="BA136" s="22">
        <v>-1.37909E-2</v>
      </c>
      <c r="BB136" s="22">
        <v>126</v>
      </c>
      <c r="BC136" s="22">
        <v>0.53387499999999999</v>
      </c>
      <c r="BD136">
        <f t="shared" si="22"/>
        <v>17.025802469135801</v>
      </c>
      <c r="BE136">
        <f t="shared" si="23"/>
        <v>9.1005468067901223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1.1404399999999999</v>
      </c>
      <c r="H137" s="22">
        <v>6.4693399999999999</v>
      </c>
      <c r="I137" s="22">
        <v>-1.33118E-2</v>
      </c>
      <c r="J137" s="22">
        <v>127</v>
      </c>
      <c r="K137" s="22">
        <v>1.1392199999999999</v>
      </c>
      <c r="L137">
        <f t="shared" si="12"/>
        <v>16.434320987654321</v>
      </c>
      <c r="M137">
        <f t="shared" si="13"/>
        <v>18.742357027160491</v>
      </c>
      <c r="N137" s="9"/>
      <c r="O137" s="22">
        <v>0.539551</v>
      </c>
      <c r="P137" s="22">
        <v>10.248200000000001</v>
      </c>
      <c r="Q137" s="22">
        <v>-1.3738999999999999E-2</v>
      </c>
      <c r="R137" s="22">
        <v>127</v>
      </c>
      <c r="S137" s="22">
        <v>0.53881800000000002</v>
      </c>
      <c r="T137">
        <f t="shared" si="14"/>
        <v>16.961728395061726</v>
      </c>
      <c r="U137">
        <f t="shared" si="15"/>
        <v>9.1517175172839504</v>
      </c>
      <c r="X137" s="9"/>
      <c r="Y137" s="22">
        <v>1.1404399999999999</v>
      </c>
      <c r="Z137" s="22">
        <v>15.759600000000001</v>
      </c>
      <c r="AA137" s="22">
        <v>-1.3382E-2</v>
      </c>
      <c r="AB137" s="22">
        <v>127</v>
      </c>
      <c r="AC137" s="22">
        <v>1.1392199999999999</v>
      </c>
      <c r="AD137">
        <f t="shared" si="16"/>
        <v>16.520987654320987</v>
      </c>
      <c r="AE137">
        <f t="shared" si="17"/>
        <v>18.841195160493825</v>
      </c>
      <c r="AF137" s="9"/>
      <c r="AG137" s="22">
        <v>0.539551</v>
      </c>
      <c r="AH137" s="22">
        <v>19.538499999999999</v>
      </c>
      <c r="AI137" s="22">
        <v>-1.3760400000000001E-2</v>
      </c>
      <c r="AJ137" s="22">
        <v>127</v>
      </c>
      <c r="AK137" s="22">
        <v>0.53884900000000002</v>
      </c>
      <c r="AL137">
        <f t="shared" si="18"/>
        <v>16.988148148148149</v>
      </c>
      <c r="AM137">
        <f t="shared" si="19"/>
        <v>9.1659723214814814</v>
      </c>
      <c r="AP137" s="9"/>
      <c r="AQ137" s="22">
        <v>1.1404399999999999</v>
      </c>
      <c r="AR137" s="22">
        <v>24.985800000000001</v>
      </c>
      <c r="AS137" s="22">
        <v>-1.33942E-2</v>
      </c>
      <c r="AT137" s="22">
        <v>127</v>
      </c>
      <c r="AU137" s="22">
        <v>1.1398299999999999</v>
      </c>
      <c r="AV137">
        <f t="shared" si="20"/>
        <v>16.536049382716048</v>
      </c>
      <c r="AW137">
        <f t="shared" si="21"/>
        <v>18.858372158024686</v>
      </c>
      <c r="AX137" s="9"/>
      <c r="AY137" s="22">
        <v>0.539551</v>
      </c>
      <c r="AZ137" s="22">
        <v>28.764700000000001</v>
      </c>
      <c r="BA137" s="22">
        <v>-1.3787799999999999E-2</v>
      </c>
      <c r="BB137" s="22">
        <v>127</v>
      </c>
      <c r="BC137" s="22">
        <v>0.53881800000000002</v>
      </c>
      <c r="BD137">
        <f t="shared" si="22"/>
        <v>17.021975308641974</v>
      </c>
      <c r="BE137">
        <f t="shared" si="23"/>
        <v>9.1842237997530862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1.13541</v>
      </c>
      <c r="H138" s="22">
        <v>6.4794099999999997</v>
      </c>
      <c r="I138" s="22">
        <v>-1.3327E-2</v>
      </c>
      <c r="J138" s="22">
        <v>128</v>
      </c>
      <c r="K138" s="22">
        <v>1.1343399999999999</v>
      </c>
      <c r="L138">
        <f t="shared" si="12"/>
        <v>16.453086419753085</v>
      </c>
      <c r="M138">
        <f t="shared" si="13"/>
        <v>18.68099885185185</v>
      </c>
      <c r="N138" s="9"/>
      <c r="O138" s="22">
        <v>0.54458600000000001</v>
      </c>
      <c r="P138" s="22">
        <v>10.2583</v>
      </c>
      <c r="Q138" s="22">
        <v>-1.3736E-2</v>
      </c>
      <c r="R138" s="22">
        <v>128</v>
      </c>
      <c r="S138" s="22">
        <v>0.54388400000000003</v>
      </c>
      <c r="T138">
        <f t="shared" si="14"/>
        <v>16.958024691358023</v>
      </c>
      <c r="U138">
        <f t="shared" si="15"/>
        <v>9.2351028345679005</v>
      </c>
      <c r="X138" s="9"/>
      <c r="Y138" s="22">
        <v>1.13541</v>
      </c>
      <c r="Z138" s="22">
        <v>15.769600000000001</v>
      </c>
      <c r="AA138" s="22">
        <v>-1.3384999999999999E-2</v>
      </c>
      <c r="AB138" s="22">
        <v>128</v>
      </c>
      <c r="AC138" s="22">
        <v>1.1343399999999999</v>
      </c>
      <c r="AD138">
        <f t="shared" si="16"/>
        <v>16.52469135802469</v>
      </c>
      <c r="AE138">
        <f t="shared" si="17"/>
        <v>18.762299814814813</v>
      </c>
      <c r="AF138" s="9"/>
      <c r="AG138" s="22">
        <v>0.54458600000000001</v>
      </c>
      <c r="AH138" s="22">
        <v>19.548500000000001</v>
      </c>
      <c r="AI138" s="22">
        <v>-1.3754300000000001E-2</v>
      </c>
      <c r="AJ138" s="22">
        <v>128</v>
      </c>
      <c r="AK138" s="22">
        <v>0.54397600000000002</v>
      </c>
      <c r="AL138">
        <f t="shared" si="18"/>
        <v>16.980617283950615</v>
      </c>
      <c r="AM138">
        <f t="shared" si="19"/>
        <v>9.2474064441975301</v>
      </c>
      <c r="AP138" s="9"/>
      <c r="AQ138" s="22">
        <v>1.13541</v>
      </c>
      <c r="AR138" s="22">
        <v>24.995899999999999</v>
      </c>
      <c r="AS138" s="22">
        <v>-1.33911E-2</v>
      </c>
      <c r="AT138" s="22">
        <v>128</v>
      </c>
      <c r="AU138" s="22">
        <v>1.1352500000000001</v>
      </c>
      <c r="AV138">
        <f t="shared" si="20"/>
        <v>16.53222222222222</v>
      </c>
      <c r="AW138">
        <f t="shared" si="21"/>
        <v>18.770850433333333</v>
      </c>
      <c r="AX138" s="9"/>
      <c r="AY138" s="22">
        <v>0.54458600000000001</v>
      </c>
      <c r="AZ138" s="22">
        <v>28.774799999999999</v>
      </c>
      <c r="BA138" s="22">
        <v>-1.37848E-2</v>
      </c>
      <c r="BB138" s="22">
        <v>128</v>
      </c>
      <c r="BC138" s="22">
        <v>0.54391500000000004</v>
      </c>
      <c r="BD138">
        <f t="shared" si="22"/>
        <v>17.018271604938271</v>
      </c>
      <c r="BE138">
        <f t="shared" si="23"/>
        <v>9.2679124602469134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1.1303700000000001</v>
      </c>
      <c r="H139" s="22">
        <v>6.4894800000000004</v>
      </c>
      <c r="I139" s="22">
        <v>-1.3336199999999999E-2</v>
      </c>
      <c r="J139" s="22">
        <v>129</v>
      </c>
      <c r="K139" s="22">
        <v>1.1294599999999999</v>
      </c>
      <c r="L139">
        <f t="shared" si="12"/>
        <v>16.464444444444442</v>
      </c>
      <c r="M139">
        <f t="shared" si="13"/>
        <v>18.610914066666666</v>
      </c>
      <c r="N139" s="9"/>
      <c r="O139" s="22">
        <v>0.54962200000000005</v>
      </c>
      <c r="P139" s="22">
        <v>10.2684</v>
      </c>
      <c r="Q139" s="22">
        <v>-1.3738999999999999E-2</v>
      </c>
      <c r="R139" s="22">
        <v>129</v>
      </c>
      <c r="S139" s="22">
        <v>0.54895000000000005</v>
      </c>
      <c r="T139">
        <f t="shared" si="14"/>
        <v>16.961728395061726</v>
      </c>
      <c r="U139">
        <f t="shared" si="15"/>
        <v>9.3225390839506179</v>
      </c>
      <c r="X139" s="9"/>
      <c r="Y139" s="22">
        <v>1.1303700000000001</v>
      </c>
      <c r="Z139" s="22">
        <v>15.7797</v>
      </c>
      <c r="AA139" s="22">
        <v>-1.33911E-2</v>
      </c>
      <c r="AB139" s="22">
        <v>129</v>
      </c>
      <c r="AC139" s="22">
        <v>1.1288499999999999</v>
      </c>
      <c r="AD139">
        <f t="shared" si="16"/>
        <v>16.53222222222222</v>
      </c>
      <c r="AE139">
        <f t="shared" si="17"/>
        <v>18.687528033333333</v>
      </c>
      <c r="AF139" s="9"/>
      <c r="AG139" s="22">
        <v>0.54962200000000005</v>
      </c>
      <c r="AH139" s="22">
        <v>19.558599999999998</v>
      </c>
      <c r="AI139" s="22">
        <v>-1.3754300000000001E-2</v>
      </c>
      <c r="AJ139" s="22">
        <v>129</v>
      </c>
      <c r="AK139" s="22">
        <v>0.54888899999999996</v>
      </c>
      <c r="AL139">
        <f t="shared" si="18"/>
        <v>16.980617283950615</v>
      </c>
      <c r="AM139">
        <f t="shared" si="19"/>
        <v>9.3329208328395055</v>
      </c>
      <c r="AP139" s="9"/>
      <c r="AQ139" s="22">
        <v>1.1303700000000001</v>
      </c>
      <c r="AR139" s="22">
        <v>25.0059</v>
      </c>
      <c r="AS139" s="22">
        <v>-1.33881E-2</v>
      </c>
      <c r="AT139" s="22">
        <v>129</v>
      </c>
      <c r="AU139" s="22">
        <v>1.1294599999999999</v>
      </c>
      <c r="AV139">
        <f t="shared" si="20"/>
        <v>16.528518518518517</v>
      </c>
      <c r="AW139">
        <f t="shared" si="21"/>
        <v>18.683341477777777</v>
      </c>
      <c r="AX139" s="9"/>
      <c r="AY139" s="22">
        <v>0.54962200000000005</v>
      </c>
      <c r="AZ139" s="22">
        <v>28.7849</v>
      </c>
      <c r="BA139" s="22">
        <v>-1.37848E-2</v>
      </c>
      <c r="BB139" s="22">
        <v>129</v>
      </c>
      <c r="BC139" s="22">
        <v>0.54901100000000003</v>
      </c>
      <c r="BD139">
        <f t="shared" si="22"/>
        <v>17.018271604938271</v>
      </c>
      <c r="BE139">
        <f t="shared" si="23"/>
        <v>9.3536164760493836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1.12534</v>
      </c>
      <c r="H140" s="22">
        <v>6.4995500000000002</v>
      </c>
      <c r="I140" s="22">
        <v>-1.3345299999999999E-2</v>
      </c>
      <c r="J140" s="22">
        <v>130</v>
      </c>
      <c r="K140" s="22">
        <v>1.1245700000000001</v>
      </c>
      <c r="L140">
        <f t="shared" ref="L140:L203" si="24">-I140/$F$2*1000</f>
        <v>16.475679012345676</v>
      </c>
      <c r="M140">
        <f t="shared" ref="M140:M203" si="25">L140*G140</f>
        <v>18.540740619753084</v>
      </c>
      <c r="N140" s="9"/>
      <c r="O140" s="22">
        <v>0.55465699999999996</v>
      </c>
      <c r="P140" s="22">
        <v>10.278499999999999</v>
      </c>
      <c r="Q140" s="22">
        <v>-1.3738999999999999E-2</v>
      </c>
      <c r="R140" s="22">
        <v>130</v>
      </c>
      <c r="S140" s="22">
        <v>0.55395499999999998</v>
      </c>
      <c r="T140">
        <f t="shared" ref="T140:T203" si="26">-Q140/$F$2*1000</f>
        <v>16.961728395061726</v>
      </c>
      <c r="U140">
        <f t="shared" ref="U140:U203" si="27">T140*O140</f>
        <v>9.4079413864197505</v>
      </c>
      <c r="X140" s="9"/>
      <c r="Y140" s="22">
        <v>1.12534</v>
      </c>
      <c r="Z140" s="22">
        <v>15.7898</v>
      </c>
      <c r="AA140" s="22">
        <v>-1.33972E-2</v>
      </c>
      <c r="AB140" s="22">
        <v>130</v>
      </c>
      <c r="AC140" s="22">
        <v>1.1245700000000001</v>
      </c>
      <c r="AD140">
        <f t="shared" ref="AD140:AD203" si="28">-AA140/$F$2*1000</f>
        <v>16.539753086419751</v>
      </c>
      <c r="AE140">
        <f t="shared" ref="AE140:AE203" si="29">AD140*Y140</f>
        <v>18.612845738271602</v>
      </c>
      <c r="AF140" s="9"/>
      <c r="AG140" s="22">
        <v>0.55465699999999996</v>
      </c>
      <c r="AH140" s="22">
        <v>19.5687</v>
      </c>
      <c r="AI140" s="22">
        <v>-1.37512E-2</v>
      </c>
      <c r="AJ140" s="22">
        <v>130</v>
      </c>
      <c r="AK140" s="22">
        <v>0.55398599999999998</v>
      </c>
      <c r="AL140">
        <f t="shared" ref="AL140:AL203" si="30">-AI140/$F$2*1000</f>
        <v>16.976790123456787</v>
      </c>
      <c r="AM140">
        <f t="shared" ref="AM140:AM203" si="31">AL140*AG140</f>
        <v>9.4162954795061697</v>
      </c>
      <c r="AP140" s="9"/>
      <c r="AQ140" s="22">
        <v>1.12534</v>
      </c>
      <c r="AR140" s="22">
        <v>25.015999999999998</v>
      </c>
      <c r="AS140" s="22">
        <v>-1.33942E-2</v>
      </c>
      <c r="AT140" s="22">
        <v>130</v>
      </c>
      <c r="AU140" s="22">
        <v>1.1245700000000001</v>
      </c>
      <c r="AV140">
        <f t="shared" ref="AV140:AV203" si="32">-AS140/$F$2*1000</f>
        <v>16.536049382716048</v>
      </c>
      <c r="AW140">
        <f t="shared" ref="AW140:AW203" si="33">AV140*AQ140</f>
        <v>18.608677812345675</v>
      </c>
      <c r="AX140" s="9"/>
      <c r="AY140" s="22">
        <v>0.55465699999999996</v>
      </c>
      <c r="AZ140" s="22">
        <v>28.794899999999998</v>
      </c>
      <c r="BA140" s="22">
        <v>-1.37848E-2</v>
      </c>
      <c r="BB140" s="22">
        <v>130</v>
      </c>
      <c r="BC140" s="22">
        <v>0.553925</v>
      </c>
      <c r="BD140">
        <f t="shared" ref="BD140:BD203" si="34">-BA140/$F$2*1000</f>
        <v>17.018271604938271</v>
      </c>
      <c r="BE140">
        <f t="shared" ref="BE140:BE203" si="35">BD140*AY140</f>
        <v>9.4393034735802459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1.1203000000000001</v>
      </c>
      <c r="H141" s="22">
        <v>6.50962</v>
      </c>
      <c r="I141" s="22">
        <v>-1.33484E-2</v>
      </c>
      <c r="J141" s="22">
        <v>131</v>
      </c>
      <c r="K141" s="22">
        <v>1.1196900000000001</v>
      </c>
      <c r="L141">
        <f t="shared" si="24"/>
        <v>16.479506172839503</v>
      </c>
      <c r="M141">
        <f t="shared" si="25"/>
        <v>18.461990765432098</v>
      </c>
      <c r="N141" s="9"/>
      <c r="O141" s="22">
        <v>0.55969199999999997</v>
      </c>
      <c r="P141" s="22">
        <v>10.288500000000001</v>
      </c>
      <c r="Q141" s="22">
        <v>-1.3732899999999999E-2</v>
      </c>
      <c r="R141" s="22">
        <v>131</v>
      </c>
      <c r="S141" s="22">
        <v>0.55908199999999997</v>
      </c>
      <c r="T141">
        <f t="shared" si="26"/>
        <v>16.954197530864196</v>
      </c>
      <c r="U141">
        <f t="shared" si="27"/>
        <v>9.4891287244444431</v>
      </c>
      <c r="X141" s="9"/>
      <c r="Y141" s="22">
        <v>1.1203000000000001</v>
      </c>
      <c r="Z141" s="22">
        <v>15.799799999999999</v>
      </c>
      <c r="AA141" s="22">
        <v>-1.34033E-2</v>
      </c>
      <c r="AB141" s="22">
        <v>131</v>
      </c>
      <c r="AC141" s="22">
        <v>1.1196900000000001</v>
      </c>
      <c r="AD141">
        <f t="shared" si="28"/>
        <v>16.547283950617281</v>
      </c>
      <c r="AE141">
        <f t="shared" si="29"/>
        <v>18.537922209876541</v>
      </c>
      <c r="AF141" s="9"/>
      <c r="AG141" s="22">
        <v>0.55969199999999997</v>
      </c>
      <c r="AH141" s="22">
        <v>19.578800000000001</v>
      </c>
      <c r="AI141" s="22">
        <v>-1.37512E-2</v>
      </c>
      <c r="AJ141" s="22">
        <v>131</v>
      </c>
      <c r="AK141" s="22">
        <v>0.55905199999999999</v>
      </c>
      <c r="AL141">
        <f t="shared" si="30"/>
        <v>16.976790123456787</v>
      </c>
      <c r="AM141">
        <f t="shared" si="31"/>
        <v>9.5017736177777756</v>
      </c>
      <c r="AP141" s="9"/>
      <c r="AQ141" s="22">
        <v>1.1203000000000001</v>
      </c>
      <c r="AR141" s="22">
        <v>25.0261</v>
      </c>
      <c r="AS141" s="22">
        <v>-1.34003E-2</v>
      </c>
      <c r="AT141" s="22">
        <v>131</v>
      </c>
      <c r="AU141" s="22">
        <v>1.1190800000000001</v>
      </c>
      <c r="AV141">
        <f t="shared" si="32"/>
        <v>16.543580246913578</v>
      </c>
      <c r="AW141">
        <f t="shared" si="33"/>
        <v>18.533772950617283</v>
      </c>
      <c r="AX141" s="9"/>
      <c r="AY141" s="22">
        <v>0.55969199999999997</v>
      </c>
      <c r="AZ141" s="22">
        <v>28.805</v>
      </c>
      <c r="BA141" s="22">
        <v>-1.37848E-2</v>
      </c>
      <c r="BB141" s="22">
        <v>131</v>
      </c>
      <c r="BC141" s="22">
        <v>0.55905199999999999</v>
      </c>
      <c r="BD141">
        <f t="shared" si="34"/>
        <v>17.018271604938271</v>
      </c>
      <c r="BE141">
        <f t="shared" si="35"/>
        <v>9.52499047111111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1.1152599999999999</v>
      </c>
      <c r="H142" s="22">
        <v>6.5197000000000003</v>
      </c>
      <c r="I142" s="22">
        <v>-1.3351399999999999E-2</v>
      </c>
      <c r="J142" s="22">
        <v>132</v>
      </c>
      <c r="K142" s="22">
        <v>1.1135900000000001</v>
      </c>
      <c r="L142">
        <f t="shared" si="24"/>
        <v>16.483209876543206</v>
      </c>
      <c r="M142">
        <f t="shared" si="25"/>
        <v>18.383064646913574</v>
      </c>
      <c r="N142" s="9"/>
      <c r="O142" s="22">
        <v>0.56472800000000001</v>
      </c>
      <c r="P142" s="22">
        <v>10.2986</v>
      </c>
      <c r="Q142" s="22">
        <v>-1.3726800000000001E-2</v>
      </c>
      <c r="R142" s="22">
        <v>132</v>
      </c>
      <c r="S142" s="22">
        <v>0.56393400000000005</v>
      </c>
      <c r="T142">
        <f t="shared" si="26"/>
        <v>16.946666666666665</v>
      </c>
      <c r="U142">
        <f t="shared" si="27"/>
        <v>9.5702571733333333</v>
      </c>
      <c r="X142" s="9"/>
      <c r="Y142" s="22">
        <v>1.1152599999999999</v>
      </c>
      <c r="Z142" s="22">
        <v>15.809900000000001</v>
      </c>
      <c r="AA142" s="22">
        <v>-1.34033E-2</v>
      </c>
      <c r="AB142" s="22">
        <v>132</v>
      </c>
      <c r="AC142" s="22">
        <v>1.1145</v>
      </c>
      <c r="AD142">
        <f t="shared" si="28"/>
        <v>16.547283950617281</v>
      </c>
      <c r="AE142">
        <f t="shared" si="29"/>
        <v>18.454523898765427</v>
      </c>
      <c r="AF142" s="9"/>
      <c r="AG142" s="22">
        <v>0.56472800000000001</v>
      </c>
      <c r="AH142" s="22">
        <v>19.588799999999999</v>
      </c>
      <c r="AI142" s="22">
        <v>-1.37482E-2</v>
      </c>
      <c r="AJ142" s="22">
        <v>132</v>
      </c>
      <c r="AK142" s="22">
        <v>0.56402600000000003</v>
      </c>
      <c r="AL142">
        <f t="shared" si="30"/>
        <v>16.973086419753084</v>
      </c>
      <c r="AM142">
        <f t="shared" si="31"/>
        <v>9.5851771476543206</v>
      </c>
      <c r="AP142" s="9"/>
      <c r="AQ142" s="22">
        <v>1.1152599999999999</v>
      </c>
      <c r="AR142" s="22">
        <v>25.036100000000001</v>
      </c>
      <c r="AS142" s="22">
        <v>-1.3406400000000001E-2</v>
      </c>
      <c r="AT142" s="22">
        <v>132</v>
      </c>
      <c r="AU142" s="22">
        <v>1.1135900000000001</v>
      </c>
      <c r="AV142">
        <f t="shared" si="32"/>
        <v>16.551111111111108</v>
      </c>
      <c r="AW142">
        <f t="shared" si="33"/>
        <v>18.458792177777774</v>
      </c>
      <c r="AX142" s="9"/>
      <c r="AY142" s="22">
        <v>0.56472800000000001</v>
      </c>
      <c r="AZ142" s="22">
        <v>28.815100000000001</v>
      </c>
      <c r="BA142" s="22">
        <v>-1.3781699999999999E-2</v>
      </c>
      <c r="BB142" s="22">
        <v>132</v>
      </c>
      <c r="BC142" s="22">
        <v>0.56402600000000003</v>
      </c>
      <c r="BD142">
        <f t="shared" si="34"/>
        <v>17.014444444444443</v>
      </c>
      <c r="BE142">
        <f t="shared" si="35"/>
        <v>9.6085331822222209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1.1102300000000001</v>
      </c>
      <c r="H143" s="22">
        <v>6.5297700000000001</v>
      </c>
      <c r="I143" s="22">
        <v>-1.3351399999999999E-2</v>
      </c>
      <c r="J143" s="22">
        <v>133</v>
      </c>
      <c r="K143" s="22">
        <v>1.10931</v>
      </c>
      <c r="L143">
        <f t="shared" si="24"/>
        <v>16.483209876543206</v>
      </c>
      <c r="M143">
        <f t="shared" si="25"/>
        <v>18.300154101234565</v>
      </c>
      <c r="N143" s="9"/>
      <c r="O143" s="22">
        <v>0.56976300000000002</v>
      </c>
      <c r="P143" s="22">
        <v>10.3087</v>
      </c>
      <c r="Q143" s="22">
        <v>-1.37238E-2</v>
      </c>
      <c r="R143" s="22">
        <v>133</v>
      </c>
      <c r="S143" s="22">
        <v>0.56909200000000004</v>
      </c>
      <c r="T143">
        <f t="shared" si="26"/>
        <v>16.942962962962962</v>
      </c>
      <c r="U143">
        <f t="shared" si="27"/>
        <v>9.6534734066666665</v>
      </c>
      <c r="X143" s="9"/>
      <c r="Y143" s="22">
        <v>1.1102300000000001</v>
      </c>
      <c r="Z143" s="22">
        <v>15.82</v>
      </c>
      <c r="AA143" s="22">
        <v>-1.3406400000000001E-2</v>
      </c>
      <c r="AB143" s="22">
        <v>133</v>
      </c>
      <c r="AC143" s="22">
        <v>1.1090100000000001</v>
      </c>
      <c r="AD143">
        <f t="shared" si="28"/>
        <v>16.551111111111108</v>
      </c>
      <c r="AE143">
        <f t="shared" si="29"/>
        <v>18.375540088888886</v>
      </c>
      <c r="AF143" s="9"/>
      <c r="AG143" s="22">
        <v>0.56976300000000002</v>
      </c>
      <c r="AH143" s="22">
        <v>19.5989</v>
      </c>
      <c r="AI143" s="22">
        <v>-1.37482E-2</v>
      </c>
      <c r="AJ143" s="22">
        <v>133</v>
      </c>
      <c r="AK143" s="22">
        <v>0.56899999999999995</v>
      </c>
      <c r="AL143">
        <f t="shared" si="30"/>
        <v>16.973086419753084</v>
      </c>
      <c r="AM143">
        <f t="shared" si="31"/>
        <v>9.6706366377777773</v>
      </c>
      <c r="AP143" s="9"/>
      <c r="AQ143" s="22">
        <v>1.1102300000000001</v>
      </c>
      <c r="AR143" s="22">
        <v>25.046199999999999</v>
      </c>
      <c r="AS143" s="22">
        <v>-1.3412500000000001E-2</v>
      </c>
      <c r="AT143" s="22">
        <v>133</v>
      </c>
      <c r="AU143" s="22">
        <v>1.1087</v>
      </c>
      <c r="AV143">
        <f t="shared" si="32"/>
        <v>16.558641975308642</v>
      </c>
      <c r="AW143">
        <f t="shared" si="33"/>
        <v>18.383901080246915</v>
      </c>
      <c r="AX143" s="9"/>
      <c r="AY143" s="22">
        <v>0.56976300000000002</v>
      </c>
      <c r="AZ143" s="22">
        <v>28.825199999999999</v>
      </c>
      <c r="BA143" s="22">
        <v>-1.3775600000000001E-2</v>
      </c>
      <c r="BB143" s="22">
        <v>133</v>
      </c>
      <c r="BC143" s="22">
        <v>0.56909200000000004</v>
      </c>
      <c r="BD143">
        <f t="shared" si="34"/>
        <v>17.006913580246916</v>
      </c>
      <c r="BE143">
        <f t="shared" si="35"/>
        <v>9.6899101022222247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1.1051899999999999</v>
      </c>
      <c r="H144" s="22">
        <v>6.5398399999999999</v>
      </c>
      <c r="I144" s="22">
        <v>-1.33545E-2</v>
      </c>
      <c r="J144" s="22">
        <v>134</v>
      </c>
      <c r="K144" s="22">
        <v>1.1047400000000001</v>
      </c>
      <c r="L144">
        <f t="shared" si="24"/>
        <v>16.487037037037037</v>
      </c>
      <c r="M144">
        <f t="shared" si="25"/>
        <v>18.221308462962963</v>
      </c>
      <c r="N144" s="9"/>
      <c r="O144" s="22">
        <v>0.57479899999999995</v>
      </c>
      <c r="P144" s="22">
        <v>10.3187</v>
      </c>
      <c r="Q144" s="22">
        <v>-1.3720700000000001E-2</v>
      </c>
      <c r="R144" s="22">
        <v>134</v>
      </c>
      <c r="S144" s="22">
        <v>0.57409699999999997</v>
      </c>
      <c r="T144">
        <f t="shared" si="26"/>
        <v>16.939135802469135</v>
      </c>
      <c r="U144">
        <f t="shared" si="27"/>
        <v>9.7365983201234556</v>
      </c>
      <c r="X144" s="9"/>
      <c r="Y144" s="22">
        <v>1.1051899999999999</v>
      </c>
      <c r="Z144" s="22">
        <v>15.8301</v>
      </c>
      <c r="AA144" s="22">
        <v>-1.34094E-2</v>
      </c>
      <c r="AB144" s="22">
        <v>134</v>
      </c>
      <c r="AC144" s="22">
        <v>1.10443</v>
      </c>
      <c r="AD144">
        <f t="shared" si="28"/>
        <v>16.554814814814815</v>
      </c>
      <c r="AE144">
        <f t="shared" si="29"/>
        <v>18.296215785185183</v>
      </c>
      <c r="AF144" s="9"/>
      <c r="AG144" s="22">
        <v>0.57479899999999995</v>
      </c>
      <c r="AH144" s="22">
        <v>19.609000000000002</v>
      </c>
      <c r="AI144" s="22">
        <v>-1.37421E-2</v>
      </c>
      <c r="AJ144" s="22">
        <v>134</v>
      </c>
      <c r="AK144" s="22">
        <v>0.57415799999999995</v>
      </c>
      <c r="AL144">
        <f t="shared" si="30"/>
        <v>16.965555555555554</v>
      </c>
      <c r="AM144">
        <f t="shared" si="31"/>
        <v>9.7517843677777751</v>
      </c>
      <c r="AP144" s="9"/>
      <c r="AQ144" s="22">
        <v>1.1051899999999999</v>
      </c>
      <c r="AR144" s="22">
        <v>25.0563</v>
      </c>
      <c r="AS144" s="22">
        <v>-1.34155E-2</v>
      </c>
      <c r="AT144" s="22">
        <v>134</v>
      </c>
      <c r="AU144" s="22">
        <v>1.1041300000000001</v>
      </c>
      <c r="AV144">
        <f t="shared" si="32"/>
        <v>16.562345679012346</v>
      </c>
      <c r="AW144">
        <f t="shared" si="33"/>
        <v>18.304538820987652</v>
      </c>
      <c r="AX144" s="9"/>
      <c r="AY144" s="22">
        <v>0.57479899999999995</v>
      </c>
      <c r="AZ144" s="22">
        <v>28.8352</v>
      </c>
      <c r="BA144" s="22">
        <v>-1.3775600000000001E-2</v>
      </c>
      <c r="BB144" s="22">
        <v>134</v>
      </c>
      <c r="BC144" s="22">
        <v>0.57412700000000005</v>
      </c>
      <c r="BD144">
        <f t="shared" si="34"/>
        <v>17.006913580246916</v>
      </c>
      <c r="BE144">
        <f t="shared" si="35"/>
        <v>9.775556919012347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1.10016</v>
      </c>
      <c r="H145" s="22">
        <v>6.5499099999999997</v>
      </c>
      <c r="I145" s="22">
        <v>-1.33575E-2</v>
      </c>
      <c r="J145" s="22">
        <v>135</v>
      </c>
      <c r="K145" s="22">
        <v>1.09894</v>
      </c>
      <c r="L145">
        <f t="shared" si="24"/>
        <v>16.49074074074074</v>
      </c>
      <c r="M145">
        <f t="shared" si="25"/>
        <v>18.142453333333332</v>
      </c>
      <c r="N145" s="9"/>
      <c r="O145" s="22">
        <v>0.57983399999999996</v>
      </c>
      <c r="P145" s="22">
        <v>10.328799999999999</v>
      </c>
      <c r="Q145" s="22">
        <v>-1.3717699999999999E-2</v>
      </c>
      <c r="R145" s="22">
        <v>135</v>
      </c>
      <c r="S145" s="22">
        <v>0.57913199999999998</v>
      </c>
      <c r="T145">
        <f t="shared" si="26"/>
        <v>16.935432098765432</v>
      </c>
      <c r="U145">
        <f t="shared" si="27"/>
        <v>9.8197393355555551</v>
      </c>
      <c r="X145" s="9"/>
      <c r="Y145" s="22">
        <v>1.10016</v>
      </c>
      <c r="Z145" s="22">
        <v>15.8401</v>
      </c>
      <c r="AA145" s="22">
        <v>-1.3412500000000001E-2</v>
      </c>
      <c r="AB145" s="22">
        <v>135</v>
      </c>
      <c r="AC145" s="22">
        <v>1.09894</v>
      </c>
      <c r="AD145">
        <f t="shared" si="28"/>
        <v>16.558641975308642</v>
      </c>
      <c r="AE145">
        <f t="shared" si="29"/>
        <v>18.217155555555557</v>
      </c>
      <c r="AF145" s="9"/>
      <c r="AG145" s="22">
        <v>0.57983399999999996</v>
      </c>
      <c r="AH145" s="22">
        <v>19.619</v>
      </c>
      <c r="AI145" s="22">
        <v>-1.3738999999999999E-2</v>
      </c>
      <c r="AJ145" s="22">
        <v>135</v>
      </c>
      <c r="AK145" s="22">
        <v>0.57913199999999998</v>
      </c>
      <c r="AL145">
        <f t="shared" si="30"/>
        <v>16.961728395061726</v>
      </c>
      <c r="AM145">
        <f t="shared" si="31"/>
        <v>9.8349868222222199</v>
      </c>
      <c r="AP145" s="9"/>
      <c r="AQ145" s="22">
        <v>1.10016</v>
      </c>
      <c r="AR145" s="22">
        <v>25.066400000000002</v>
      </c>
      <c r="AS145" s="22">
        <v>-1.3418599999999999E-2</v>
      </c>
      <c r="AT145" s="22">
        <v>135</v>
      </c>
      <c r="AU145" s="22">
        <v>1.09863</v>
      </c>
      <c r="AV145">
        <f t="shared" si="32"/>
        <v>16.566172839506169</v>
      </c>
      <c r="AW145">
        <f t="shared" si="33"/>
        <v>18.225440711111109</v>
      </c>
      <c r="AX145" s="9"/>
      <c r="AY145" s="22">
        <v>0.57983399999999996</v>
      </c>
      <c r="AZ145" s="22">
        <v>28.845300000000002</v>
      </c>
      <c r="BA145" s="22">
        <v>-1.37695E-2</v>
      </c>
      <c r="BB145" s="22">
        <v>135</v>
      </c>
      <c r="BC145" s="22">
        <v>0.57916299999999998</v>
      </c>
      <c r="BD145">
        <f t="shared" si="34"/>
        <v>16.999382716049382</v>
      </c>
      <c r="BE145">
        <f t="shared" si="35"/>
        <v>9.8568200777777761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1.0951200000000001</v>
      </c>
      <c r="H146" s="22">
        <v>6.5599800000000004</v>
      </c>
      <c r="I146" s="22">
        <v>-1.33636E-2</v>
      </c>
      <c r="J146" s="22">
        <v>136</v>
      </c>
      <c r="K146" s="22">
        <v>1.09375</v>
      </c>
      <c r="L146">
        <f t="shared" si="24"/>
        <v>16.498271604938271</v>
      </c>
      <c r="M146">
        <f t="shared" si="25"/>
        <v>18.067587200000002</v>
      </c>
      <c r="N146" s="9"/>
      <c r="O146" s="22">
        <v>0.58486899999999997</v>
      </c>
      <c r="P146" s="22">
        <v>10.338900000000001</v>
      </c>
      <c r="Q146" s="22">
        <v>-1.37146E-2</v>
      </c>
      <c r="R146" s="22">
        <v>136</v>
      </c>
      <c r="S146" s="22">
        <v>0.58416699999999999</v>
      </c>
      <c r="T146">
        <f t="shared" si="26"/>
        <v>16.931604938271605</v>
      </c>
      <c r="U146">
        <f t="shared" si="27"/>
        <v>9.9027708486419748</v>
      </c>
      <c r="X146" s="9"/>
      <c r="Y146" s="22">
        <v>1.0951200000000001</v>
      </c>
      <c r="Z146" s="22">
        <v>15.850199999999999</v>
      </c>
      <c r="AA146" s="22">
        <v>-1.34094E-2</v>
      </c>
      <c r="AB146" s="22">
        <v>136</v>
      </c>
      <c r="AC146" s="22">
        <v>1.09436</v>
      </c>
      <c r="AD146">
        <f t="shared" si="28"/>
        <v>16.554814814814815</v>
      </c>
      <c r="AE146">
        <f t="shared" si="29"/>
        <v>18.129508800000004</v>
      </c>
      <c r="AF146" s="9"/>
      <c r="AG146" s="22">
        <v>0.58486899999999997</v>
      </c>
      <c r="AH146" s="22">
        <v>19.629100000000001</v>
      </c>
      <c r="AI146" s="22">
        <v>-1.3736E-2</v>
      </c>
      <c r="AJ146" s="22">
        <v>136</v>
      </c>
      <c r="AK146" s="22">
        <v>0.58416699999999999</v>
      </c>
      <c r="AL146">
        <f t="shared" si="30"/>
        <v>16.958024691358023</v>
      </c>
      <c r="AM146">
        <f t="shared" si="31"/>
        <v>9.9182229432098747</v>
      </c>
      <c r="AP146" s="9"/>
      <c r="AQ146" s="22">
        <v>1.0951200000000001</v>
      </c>
      <c r="AR146" s="22">
        <v>25.0764</v>
      </c>
      <c r="AS146" s="22">
        <v>-1.3421600000000001E-2</v>
      </c>
      <c r="AT146" s="22">
        <v>136</v>
      </c>
      <c r="AU146" s="22">
        <v>1.09406</v>
      </c>
      <c r="AV146">
        <f t="shared" si="32"/>
        <v>16.569876543209876</v>
      </c>
      <c r="AW146">
        <f t="shared" si="33"/>
        <v>18.146003200000003</v>
      </c>
      <c r="AX146" s="9"/>
      <c r="AY146" s="22">
        <v>0.58486899999999997</v>
      </c>
      <c r="AZ146" s="22">
        <v>28.855399999999999</v>
      </c>
      <c r="BA146" s="22">
        <v>-1.3766499999999999E-2</v>
      </c>
      <c r="BB146" s="22">
        <v>136</v>
      </c>
      <c r="BC146" s="22">
        <v>0.584198</v>
      </c>
      <c r="BD146">
        <f t="shared" si="34"/>
        <v>16.995679012345676</v>
      </c>
      <c r="BE146">
        <f t="shared" si="35"/>
        <v>9.9402457882716018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1.09009</v>
      </c>
      <c r="H147" s="22">
        <v>6.5700500000000002</v>
      </c>
      <c r="I147" s="22">
        <v>-1.33667E-2</v>
      </c>
      <c r="J147" s="22">
        <v>137</v>
      </c>
      <c r="K147" s="22">
        <v>1.08826</v>
      </c>
      <c r="L147">
        <f t="shared" si="24"/>
        <v>16.502098765432098</v>
      </c>
      <c r="M147">
        <f t="shared" si="25"/>
        <v>17.988772843209876</v>
      </c>
      <c r="N147" s="9"/>
      <c r="O147" s="22">
        <v>0.58990500000000001</v>
      </c>
      <c r="P147" s="22">
        <v>10.349</v>
      </c>
      <c r="Q147" s="22">
        <v>-1.3717699999999999E-2</v>
      </c>
      <c r="R147" s="22">
        <v>137</v>
      </c>
      <c r="S147" s="22">
        <v>0.58920300000000003</v>
      </c>
      <c r="T147">
        <f t="shared" si="26"/>
        <v>16.935432098765432</v>
      </c>
      <c r="U147">
        <f t="shared" si="27"/>
        <v>9.9902960722222218</v>
      </c>
      <c r="X147" s="9"/>
      <c r="Y147" s="22">
        <v>1.09009</v>
      </c>
      <c r="Z147" s="22">
        <v>15.860300000000001</v>
      </c>
      <c r="AA147" s="22">
        <v>-1.3412500000000001E-2</v>
      </c>
      <c r="AB147" s="22">
        <v>137</v>
      </c>
      <c r="AC147" s="22">
        <v>1.08887</v>
      </c>
      <c r="AD147">
        <f t="shared" si="28"/>
        <v>16.558641975308642</v>
      </c>
      <c r="AE147">
        <f t="shared" si="29"/>
        <v>18.050410030864199</v>
      </c>
      <c r="AF147" s="9"/>
      <c r="AG147" s="22">
        <v>0.58990500000000001</v>
      </c>
      <c r="AH147" s="22">
        <v>19.639199999999999</v>
      </c>
      <c r="AI147" s="22">
        <v>-1.3732899999999999E-2</v>
      </c>
      <c r="AJ147" s="22">
        <v>137</v>
      </c>
      <c r="AK147" s="22">
        <v>0.58923300000000001</v>
      </c>
      <c r="AL147">
        <f t="shared" si="30"/>
        <v>16.954197530864196</v>
      </c>
      <c r="AM147">
        <f t="shared" si="31"/>
        <v>10.001365894444444</v>
      </c>
      <c r="AP147" s="9"/>
      <c r="AQ147" s="22">
        <v>1.09009</v>
      </c>
      <c r="AR147" s="22">
        <v>25.086500000000001</v>
      </c>
      <c r="AS147" s="22">
        <v>-1.3424699999999999E-2</v>
      </c>
      <c r="AT147" s="22">
        <v>137</v>
      </c>
      <c r="AU147" s="22">
        <v>1.08917</v>
      </c>
      <c r="AV147">
        <f t="shared" si="32"/>
        <v>16.5737037037037</v>
      </c>
      <c r="AW147">
        <f t="shared" si="33"/>
        <v>18.066828670370366</v>
      </c>
      <c r="AX147" s="9"/>
      <c r="AY147" s="22">
        <v>0.58990500000000001</v>
      </c>
      <c r="AZ147" s="22">
        <v>28.865400000000001</v>
      </c>
      <c r="BA147" s="22">
        <v>-1.3760400000000001E-2</v>
      </c>
      <c r="BB147" s="22">
        <v>137</v>
      </c>
      <c r="BC147" s="22">
        <v>0.58920300000000003</v>
      </c>
      <c r="BD147">
        <f t="shared" si="34"/>
        <v>16.988148148148149</v>
      </c>
      <c r="BE147">
        <f t="shared" si="35"/>
        <v>10.021393533333335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1.0850500000000001</v>
      </c>
      <c r="H148" s="22">
        <v>6.58012</v>
      </c>
      <c r="I148" s="22">
        <v>-1.3372800000000001E-2</v>
      </c>
      <c r="J148" s="22">
        <v>138</v>
      </c>
      <c r="K148" s="22">
        <v>1.0839799999999999</v>
      </c>
      <c r="L148">
        <f t="shared" si="24"/>
        <v>16.509629629629632</v>
      </c>
      <c r="M148">
        <f t="shared" si="25"/>
        <v>17.913773629629635</v>
      </c>
      <c r="N148" s="9"/>
      <c r="O148" s="22">
        <v>0.59494000000000002</v>
      </c>
      <c r="P148" s="22">
        <v>10.359</v>
      </c>
      <c r="Q148" s="22">
        <v>-1.37146E-2</v>
      </c>
      <c r="R148" s="22">
        <v>138</v>
      </c>
      <c r="S148" s="22">
        <v>0.59423800000000004</v>
      </c>
      <c r="T148">
        <f t="shared" si="26"/>
        <v>16.931604938271605</v>
      </c>
      <c r="U148">
        <f t="shared" si="27"/>
        <v>10.073289041975309</v>
      </c>
      <c r="X148" s="9"/>
      <c r="Y148" s="22">
        <v>1.0850500000000001</v>
      </c>
      <c r="Z148" s="22">
        <v>15.8703</v>
      </c>
      <c r="AA148" s="22">
        <v>-1.3412500000000001E-2</v>
      </c>
      <c r="AB148" s="22">
        <v>138</v>
      </c>
      <c r="AC148" s="22">
        <v>1.08429</v>
      </c>
      <c r="AD148">
        <f t="shared" si="28"/>
        <v>16.558641975308642</v>
      </c>
      <c r="AE148">
        <f t="shared" si="29"/>
        <v>17.966954475308643</v>
      </c>
      <c r="AF148" s="9"/>
      <c r="AG148" s="22">
        <v>0.59494000000000002</v>
      </c>
      <c r="AH148" s="22">
        <v>19.6492</v>
      </c>
      <c r="AI148" s="22">
        <v>-1.3726800000000001E-2</v>
      </c>
      <c r="AJ148" s="22">
        <v>138</v>
      </c>
      <c r="AK148" s="22">
        <v>0.59417699999999996</v>
      </c>
      <c r="AL148">
        <f t="shared" si="30"/>
        <v>16.946666666666665</v>
      </c>
      <c r="AM148">
        <f t="shared" si="31"/>
        <v>10.082249866666666</v>
      </c>
      <c r="AP148" s="9"/>
      <c r="AQ148" s="22">
        <v>1.0850500000000001</v>
      </c>
      <c r="AR148" s="22">
        <v>25.096599999999999</v>
      </c>
      <c r="AS148" s="22">
        <v>-1.3424699999999999E-2</v>
      </c>
      <c r="AT148" s="22">
        <v>138</v>
      </c>
      <c r="AU148" s="22">
        <v>1.08429</v>
      </c>
      <c r="AV148">
        <f t="shared" si="32"/>
        <v>16.5737037037037</v>
      </c>
      <c r="AW148">
        <f t="shared" si="33"/>
        <v>17.9832972037037</v>
      </c>
      <c r="AX148" s="9"/>
      <c r="AY148" s="22">
        <v>0.59494000000000002</v>
      </c>
      <c r="AZ148" s="22">
        <v>28.875499999999999</v>
      </c>
      <c r="BA148" s="22">
        <v>-1.3754300000000001E-2</v>
      </c>
      <c r="BB148" s="22">
        <v>138</v>
      </c>
      <c r="BC148" s="22">
        <v>0.59423800000000004</v>
      </c>
      <c r="BD148">
        <f t="shared" si="34"/>
        <v>16.980617283950615</v>
      </c>
      <c r="BE148">
        <f t="shared" si="35"/>
        <v>10.102448446913579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1.08002</v>
      </c>
      <c r="H149" s="22">
        <v>6.5901899999999998</v>
      </c>
      <c r="I149" s="22">
        <v>-1.3378900000000001E-2</v>
      </c>
      <c r="J149" s="22">
        <v>139</v>
      </c>
      <c r="K149" s="22">
        <v>1.0790999999999999</v>
      </c>
      <c r="L149">
        <f t="shared" si="24"/>
        <v>16.517160493827159</v>
      </c>
      <c r="M149">
        <f t="shared" si="25"/>
        <v>17.838863676543209</v>
      </c>
      <c r="N149" s="9"/>
      <c r="O149" s="22">
        <v>0.59997599999999995</v>
      </c>
      <c r="P149" s="22">
        <v>10.3691</v>
      </c>
      <c r="Q149" s="22">
        <v>-1.37085E-2</v>
      </c>
      <c r="R149" s="22">
        <v>139</v>
      </c>
      <c r="S149" s="22">
        <v>0.59936500000000004</v>
      </c>
      <c r="T149">
        <f t="shared" si="26"/>
        <v>16.924074074074074</v>
      </c>
      <c r="U149">
        <f t="shared" si="27"/>
        <v>10.154038266666666</v>
      </c>
      <c r="X149" s="9"/>
      <c r="Y149" s="22">
        <v>1.08002</v>
      </c>
      <c r="Z149" s="22">
        <v>15.8804</v>
      </c>
      <c r="AA149" s="22">
        <v>-1.3412500000000001E-2</v>
      </c>
      <c r="AB149" s="22">
        <v>139</v>
      </c>
      <c r="AC149" s="22">
        <v>1.07941</v>
      </c>
      <c r="AD149">
        <f t="shared" si="28"/>
        <v>16.558641975308642</v>
      </c>
      <c r="AE149">
        <f t="shared" si="29"/>
        <v>17.883664506172838</v>
      </c>
      <c r="AF149" s="9"/>
      <c r="AG149" s="22">
        <v>0.59997599999999995</v>
      </c>
      <c r="AH149" s="22">
        <v>19.659300000000002</v>
      </c>
      <c r="AI149" s="22">
        <v>-1.3720700000000001E-2</v>
      </c>
      <c r="AJ149" s="22">
        <v>139</v>
      </c>
      <c r="AK149" s="22">
        <v>0.59927399999999997</v>
      </c>
      <c r="AL149">
        <f t="shared" si="30"/>
        <v>16.939135802469135</v>
      </c>
      <c r="AM149">
        <f t="shared" si="31"/>
        <v>10.16307494222222</v>
      </c>
      <c r="AP149" s="9"/>
      <c r="AQ149" s="22">
        <v>1.08002</v>
      </c>
      <c r="AR149" s="22">
        <v>25.1066</v>
      </c>
      <c r="AS149" s="22">
        <v>-1.3424699999999999E-2</v>
      </c>
      <c r="AT149" s="22">
        <v>139</v>
      </c>
      <c r="AU149" s="22">
        <v>1.0788</v>
      </c>
      <c r="AV149">
        <f t="shared" si="32"/>
        <v>16.5737037037037</v>
      </c>
      <c r="AW149">
        <f t="shared" si="33"/>
        <v>17.899931474074069</v>
      </c>
      <c r="AX149" s="9"/>
      <c r="AY149" s="22">
        <v>0.59997599999999995</v>
      </c>
      <c r="AZ149" s="22">
        <v>28.8856</v>
      </c>
      <c r="BA149" s="22">
        <v>-1.37512E-2</v>
      </c>
      <c r="BB149" s="22">
        <v>139</v>
      </c>
      <c r="BC149" s="22">
        <v>0.59930399999999995</v>
      </c>
      <c r="BD149">
        <f t="shared" si="34"/>
        <v>16.976790123456787</v>
      </c>
      <c r="BE149">
        <f t="shared" si="35"/>
        <v>10.185666631111109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1.07498</v>
      </c>
      <c r="H150" s="22">
        <v>6.6002599999999996</v>
      </c>
      <c r="I150" s="22">
        <v>-1.3382E-2</v>
      </c>
      <c r="J150" s="22">
        <v>140</v>
      </c>
      <c r="K150" s="22">
        <v>1.07422</v>
      </c>
      <c r="L150">
        <f t="shared" si="24"/>
        <v>16.520987654320987</v>
      </c>
      <c r="M150">
        <f t="shared" si="25"/>
        <v>17.759731308641975</v>
      </c>
      <c r="N150" s="9"/>
      <c r="O150" s="22">
        <v>0.60501099999999997</v>
      </c>
      <c r="P150" s="22">
        <v>10.379200000000001</v>
      </c>
      <c r="Q150" s="22">
        <v>-1.37054E-2</v>
      </c>
      <c r="R150" s="22">
        <v>140</v>
      </c>
      <c r="S150" s="22">
        <v>0.60430899999999999</v>
      </c>
      <c r="T150">
        <f t="shared" si="26"/>
        <v>16.920246913580247</v>
      </c>
      <c r="U150">
        <f t="shared" si="27"/>
        <v>10.236935505432099</v>
      </c>
      <c r="X150" s="9"/>
      <c r="Y150" s="22">
        <v>1.07498</v>
      </c>
      <c r="Z150" s="22">
        <v>15.890499999999999</v>
      </c>
      <c r="AA150" s="22">
        <v>-1.34155E-2</v>
      </c>
      <c r="AB150" s="22">
        <v>140</v>
      </c>
      <c r="AC150" s="22">
        <v>1.07361</v>
      </c>
      <c r="AD150">
        <f t="shared" si="28"/>
        <v>16.562345679012346</v>
      </c>
      <c r="AE150">
        <f t="shared" si="29"/>
        <v>17.804190358024691</v>
      </c>
      <c r="AF150" s="9"/>
      <c r="AG150" s="22">
        <v>0.60501099999999997</v>
      </c>
      <c r="AH150" s="22">
        <v>19.6694</v>
      </c>
      <c r="AI150" s="22">
        <v>-1.3720700000000001E-2</v>
      </c>
      <c r="AJ150" s="22">
        <v>140</v>
      </c>
      <c r="AK150" s="22">
        <v>0.60430899999999999</v>
      </c>
      <c r="AL150">
        <f t="shared" si="30"/>
        <v>16.939135802469135</v>
      </c>
      <c r="AM150">
        <f t="shared" si="31"/>
        <v>10.248363490987654</v>
      </c>
      <c r="AP150" s="9"/>
      <c r="AQ150" s="22">
        <v>1.07498</v>
      </c>
      <c r="AR150" s="22">
        <v>25.116700000000002</v>
      </c>
      <c r="AS150" s="22">
        <v>-1.3427700000000001E-2</v>
      </c>
      <c r="AT150" s="22">
        <v>140</v>
      </c>
      <c r="AU150" s="22">
        <v>1.07361</v>
      </c>
      <c r="AV150">
        <f t="shared" si="32"/>
        <v>16.57740740740741</v>
      </c>
      <c r="AW150">
        <f t="shared" si="33"/>
        <v>17.820381414814818</v>
      </c>
      <c r="AX150" s="9"/>
      <c r="AY150" s="22">
        <v>0.60501099999999997</v>
      </c>
      <c r="AZ150" s="22">
        <v>28.895700000000001</v>
      </c>
      <c r="BA150" s="22">
        <v>-1.37482E-2</v>
      </c>
      <c r="BB150" s="22">
        <v>140</v>
      </c>
      <c r="BC150" s="22">
        <v>0.60430899999999999</v>
      </c>
      <c r="BD150">
        <f t="shared" si="34"/>
        <v>16.973086419753084</v>
      </c>
      <c r="BE150">
        <f t="shared" si="35"/>
        <v>10.268903987901233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1.06995</v>
      </c>
      <c r="H151" s="22">
        <v>6.6103300000000003</v>
      </c>
      <c r="I151" s="22">
        <v>-1.3384999999999999E-2</v>
      </c>
      <c r="J151" s="22">
        <v>141</v>
      </c>
      <c r="K151" s="22">
        <v>1.0684199999999999</v>
      </c>
      <c r="L151">
        <f t="shared" si="24"/>
        <v>16.52469135802469</v>
      </c>
      <c r="M151">
        <f t="shared" si="25"/>
        <v>17.680593518518517</v>
      </c>
      <c r="N151" s="9"/>
      <c r="O151" s="22">
        <v>0.61004599999999998</v>
      </c>
      <c r="P151" s="22">
        <v>10.389200000000001</v>
      </c>
      <c r="Q151" s="22">
        <v>-1.37024E-2</v>
      </c>
      <c r="R151" s="22">
        <v>141</v>
      </c>
      <c r="S151" s="22">
        <v>0.60931400000000002</v>
      </c>
      <c r="T151">
        <f t="shared" si="26"/>
        <v>16.916543209876544</v>
      </c>
      <c r="U151">
        <f t="shared" si="27"/>
        <v>10.319869519012345</v>
      </c>
      <c r="X151" s="9"/>
      <c r="Y151" s="22">
        <v>1.06995</v>
      </c>
      <c r="Z151" s="22">
        <v>15.900600000000001</v>
      </c>
      <c r="AA151" s="22">
        <v>-1.3418599999999999E-2</v>
      </c>
      <c r="AB151" s="22">
        <v>141</v>
      </c>
      <c r="AC151" s="22">
        <v>1.06934</v>
      </c>
      <c r="AD151">
        <f t="shared" si="28"/>
        <v>16.566172839506169</v>
      </c>
      <c r="AE151">
        <f t="shared" si="29"/>
        <v>17.724976629629627</v>
      </c>
      <c r="AF151" s="9"/>
      <c r="AG151" s="22">
        <v>0.61004599999999998</v>
      </c>
      <c r="AH151" s="22">
        <v>19.679500000000001</v>
      </c>
      <c r="AI151" s="22">
        <v>-1.3726800000000001E-2</v>
      </c>
      <c r="AJ151" s="22">
        <v>141</v>
      </c>
      <c r="AK151" s="22">
        <v>0.60928300000000002</v>
      </c>
      <c r="AL151">
        <f t="shared" si="30"/>
        <v>16.946666666666665</v>
      </c>
      <c r="AM151">
        <f t="shared" si="31"/>
        <v>10.338246213333333</v>
      </c>
      <c r="AP151" s="9"/>
      <c r="AQ151" s="22">
        <v>1.06995</v>
      </c>
      <c r="AR151" s="22">
        <v>25.126799999999999</v>
      </c>
      <c r="AS151" s="22">
        <v>-1.3427700000000001E-2</v>
      </c>
      <c r="AT151" s="22">
        <v>141</v>
      </c>
      <c r="AU151" s="22">
        <v>1.06873</v>
      </c>
      <c r="AV151">
        <f t="shared" si="32"/>
        <v>16.57740740740741</v>
      </c>
      <c r="AW151">
        <f t="shared" si="33"/>
        <v>17.736997055555559</v>
      </c>
      <c r="AX151" s="9"/>
      <c r="AY151" s="22">
        <v>0.61004599999999998</v>
      </c>
      <c r="AZ151" s="22">
        <v>28.9057</v>
      </c>
      <c r="BA151" s="22">
        <v>-1.37482E-2</v>
      </c>
      <c r="BB151" s="22">
        <v>141</v>
      </c>
      <c r="BC151" s="22">
        <v>0.609344</v>
      </c>
      <c r="BD151">
        <f t="shared" si="34"/>
        <v>16.973086419753084</v>
      </c>
      <c r="BE151">
        <f t="shared" si="35"/>
        <v>10.354363478024689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1.06491</v>
      </c>
      <c r="H152" s="22">
        <v>6.6204099999999997</v>
      </c>
      <c r="I152" s="22">
        <v>-1.3384999999999999E-2</v>
      </c>
      <c r="J152" s="22">
        <v>142</v>
      </c>
      <c r="K152" s="22">
        <v>1.0635399999999999</v>
      </c>
      <c r="L152">
        <f t="shared" si="24"/>
        <v>16.52469135802469</v>
      </c>
      <c r="M152">
        <f t="shared" si="25"/>
        <v>17.597309074074072</v>
      </c>
      <c r="N152" s="9"/>
      <c r="O152" s="22">
        <v>0.61508200000000002</v>
      </c>
      <c r="P152" s="22">
        <v>10.3993</v>
      </c>
      <c r="Q152" s="22">
        <v>-1.3699299999999999E-2</v>
      </c>
      <c r="R152" s="22">
        <v>142</v>
      </c>
      <c r="S152" s="22">
        <v>0.61431899999999995</v>
      </c>
      <c r="T152">
        <f t="shared" si="26"/>
        <v>16.912716049382716</v>
      </c>
      <c r="U152">
        <f t="shared" si="27"/>
        <v>10.402707213086421</v>
      </c>
      <c r="X152" s="9"/>
      <c r="Y152" s="22">
        <v>1.06491</v>
      </c>
      <c r="Z152" s="22">
        <v>15.910600000000001</v>
      </c>
      <c r="AA152" s="22">
        <v>-1.3427700000000001E-2</v>
      </c>
      <c r="AB152" s="22">
        <v>142</v>
      </c>
      <c r="AC152" s="22">
        <v>1.0635399999999999</v>
      </c>
      <c r="AD152">
        <f t="shared" si="28"/>
        <v>16.57740740740741</v>
      </c>
      <c r="AE152">
        <f t="shared" si="29"/>
        <v>17.653446922222226</v>
      </c>
      <c r="AF152" s="9"/>
      <c r="AG152" s="22">
        <v>0.61508200000000002</v>
      </c>
      <c r="AH152" s="22">
        <v>19.689499999999999</v>
      </c>
      <c r="AI152" s="22">
        <v>-1.3726800000000001E-2</v>
      </c>
      <c r="AJ152" s="22">
        <v>142</v>
      </c>
      <c r="AK152" s="22">
        <v>0.61441000000000001</v>
      </c>
      <c r="AL152">
        <f t="shared" si="30"/>
        <v>16.946666666666665</v>
      </c>
      <c r="AM152">
        <f t="shared" si="31"/>
        <v>10.423589626666667</v>
      </c>
      <c r="AP152" s="9"/>
      <c r="AQ152" s="22">
        <v>1.06491</v>
      </c>
      <c r="AR152" s="22">
        <v>25.136900000000001</v>
      </c>
      <c r="AS152" s="22">
        <v>-1.34308E-2</v>
      </c>
      <c r="AT152" s="22">
        <v>142</v>
      </c>
      <c r="AU152" s="22">
        <v>1.0638399999999999</v>
      </c>
      <c r="AV152">
        <f t="shared" si="32"/>
        <v>16.581234567901234</v>
      </c>
      <c r="AW152">
        <f t="shared" si="33"/>
        <v>17.657522503703703</v>
      </c>
      <c r="AX152" s="9"/>
      <c r="AY152" s="22">
        <v>0.61508200000000002</v>
      </c>
      <c r="AZ152" s="22">
        <v>28.915800000000001</v>
      </c>
      <c r="BA152" s="22">
        <v>-1.37421E-2</v>
      </c>
      <c r="BB152" s="22">
        <v>142</v>
      </c>
      <c r="BC152" s="22">
        <v>0.61438000000000004</v>
      </c>
      <c r="BD152">
        <f t="shared" si="34"/>
        <v>16.965555555555554</v>
      </c>
      <c r="BE152">
        <f t="shared" si="35"/>
        <v>10.435207842222221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1.0598799999999999</v>
      </c>
      <c r="H153" s="22">
        <v>6.6304800000000004</v>
      </c>
      <c r="I153" s="22">
        <v>-1.33881E-2</v>
      </c>
      <c r="J153" s="22">
        <v>143</v>
      </c>
      <c r="K153" s="22">
        <v>1.0586500000000001</v>
      </c>
      <c r="L153">
        <f t="shared" si="24"/>
        <v>16.528518518518517</v>
      </c>
      <c r="M153">
        <f t="shared" si="25"/>
        <v>17.518246207407405</v>
      </c>
      <c r="N153" s="9"/>
      <c r="O153" s="22">
        <v>0.62011700000000003</v>
      </c>
      <c r="P153" s="22">
        <v>10.4094</v>
      </c>
      <c r="Q153" s="22">
        <v>-1.36963E-2</v>
      </c>
      <c r="R153" s="22">
        <v>143</v>
      </c>
      <c r="S153" s="22">
        <v>0.61938499999999996</v>
      </c>
      <c r="T153">
        <f t="shared" si="26"/>
        <v>16.90901234567901</v>
      </c>
      <c r="U153">
        <f t="shared" si="27"/>
        <v>10.485566008765431</v>
      </c>
      <c r="X153" s="9"/>
      <c r="Y153" s="22">
        <v>1.0598799999999999</v>
      </c>
      <c r="Z153" s="22">
        <v>15.9207</v>
      </c>
      <c r="AA153" s="22">
        <v>-1.3427700000000001E-2</v>
      </c>
      <c r="AB153" s="22">
        <v>143</v>
      </c>
      <c r="AC153" s="22">
        <v>1.0586500000000001</v>
      </c>
      <c r="AD153">
        <f t="shared" si="28"/>
        <v>16.57740740740741</v>
      </c>
      <c r="AE153">
        <f t="shared" si="29"/>
        <v>17.570062562962963</v>
      </c>
      <c r="AF153" s="9"/>
      <c r="AG153" s="22">
        <v>0.62011700000000003</v>
      </c>
      <c r="AH153" s="22">
        <v>19.6996</v>
      </c>
      <c r="AI153" s="22">
        <v>-1.3726800000000001E-2</v>
      </c>
      <c r="AJ153" s="22">
        <v>143</v>
      </c>
      <c r="AK153" s="22">
        <v>0.61935399999999996</v>
      </c>
      <c r="AL153">
        <f t="shared" si="30"/>
        <v>16.946666666666665</v>
      </c>
      <c r="AM153">
        <f t="shared" si="31"/>
        <v>10.508916093333333</v>
      </c>
      <c r="AP153" s="9"/>
      <c r="AQ153" s="22">
        <v>1.0598799999999999</v>
      </c>
      <c r="AR153" s="22">
        <v>25.146899999999999</v>
      </c>
      <c r="AS153" s="22">
        <v>-1.34369E-2</v>
      </c>
      <c r="AT153" s="22">
        <v>143</v>
      </c>
      <c r="AU153" s="22">
        <v>1.0586500000000001</v>
      </c>
      <c r="AV153">
        <f t="shared" si="32"/>
        <v>16.588765432098764</v>
      </c>
      <c r="AW153">
        <f t="shared" si="33"/>
        <v>17.582100706172838</v>
      </c>
      <c r="AX153" s="9"/>
      <c r="AY153" s="22">
        <v>0.62011700000000003</v>
      </c>
      <c r="AZ153" s="22">
        <v>28.925899999999999</v>
      </c>
      <c r="BA153" s="22">
        <v>-1.3738999999999999E-2</v>
      </c>
      <c r="BB153" s="22">
        <v>143</v>
      </c>
      <c r="BC153" s="22">
        <v>0.61944600000000005</v>
      </c>
      <c r="BD153">
        <f t="shared" si="34"/>
        <v>16.961728395061726</v>
      </c>
      <c r="BE153">
        <f t="shared" si="35"/>
        <v>10.518256127160493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1.05484</v>
      </c>
      <c r="H154" s="22">
        <v>6.6405500000000002</v>
      </c>
      <c r="I154" s="22">
        <v>-1.33881E-2</v>
      </c>
      <c r="J154" s="22">
        <v>144</v>
      </c>
      <c r="K154" s="22">
        <v>1.0537700000000001</v>
      </c>
      <c r="L154">
        <f t="shared" si="24"/>
        <v>16.528518518518517</v>
      </c>
      <c r="M154">
        <f t="shared" si="25"/>
        <v>17.434942474074074</v>
      </c>
      <c r="N154" s="9"/>
      <c r="O154" s="22">
        <v>0.62515299999999996</v>
      </c>
      <c r="P154" s="22">
        <v>10.419499999999999</v>
      </c>
      <c r="Q154" s="22">
        <v>-1.3687100000000001E-2</v>
      </c>
      <c r="R154" s="22">
        <v>144</v>
      </c>
      <c r="S154" s="22">
        <v>0.62445099999999998</v>
      </c>
      <c r="T154">
        <f t="shared" si="26"/>
        <v>16.897654320987655</v>
      </c>
      <c r="U154">
        <f t="shared" si="27"/>
        <v>10.563619291728395</v>
      </c>
      <c r="X154" s="9"/>
      <c r="Y154" s="22">
        <v>1.05484</v>
      </c>
      <c r="Z154" s="22">
        <v>15.9308</v>
      </c>
      <c r="AA154" s="22">
        <v>-1.34308E-2</v>
      </c>
      <c r="AB154" s="22">
        <v>144</v>
      </c>
      <c r="AC154" s="22">
        <v>1.0534699999999999</v>
      </c>
      <c r="AD154">
        <f t="shared" si="28"/>
        <v>16.581234567901234</v>
      </c>
      <c r="AE154">
        <f t="shared" si="29"/>
        <v>17.490549471604936</v>
      </c>
      <c r="AF154" s="9"/>
      <c r="AG154" s="22">
        <v>0.62515299999999996</v>
      </c>
      <c r="AH154" s="22">
        <v>19.709700000000002</v>
      </c>
      <c r="AI154" s="22">
        <v>-1.37238E-2</v>
      </c>
      <c r="AJ154" s="22">
        <v>144</v>
      </c>
      <c r="AK154" s="22">
        <v>0.62441999999999998</v>
      </c>
      <c r="AL154">
        <f t="shared" si="30"/>
        <v>16.942962962962962</v>
      </c>
      <c r="AM154">
        <f t="shared" si="31"/>
        <v>10.591944125185185</v>
      </c>
      <c r="AP154" s="9"/>
      <c r="AQ154" s="22">
        <v>1.05484</v>
      </c>
      <c r="AR154" s="22">
        <v>25.157</v>
      </c>
      <c r="AS154" s="22">
        <v>-1.3439899999999999E-2</v>
      </c>
      <c r="AT154" s="22">
        <v>144</v>
      </c>
      <c r="AU154" s="22">
        <v>1.0540799999999999</v>
      </c>
      <c r="AV154">
        <f t="shared" si="32"/>
        <v>16.592469135802467</v>
      </c>
      <c r="AW154">
        <f t="shared" si="33"/>
        <v>17.502400143209876</v>
      </c>
      <c r="AX154" s="9"/>
      <c r="AY154" s="22">
        <v>0.62515299999999996</v>
      </c>
      <c r="AZ154" s="22">
        <v>28.9359</v>
      </c>
      <c r="BA154" s="22">
        <v>-1.3738999999999999E-2</v>
      </c>
      <c r="BB154" s="22">
        <v>144</v>
      </c>
      <c r="BC154" s="22">
        <v>0.62451199999999996</v>
      </c>
      <c r="BD154">
        <f t="shared" si="34"/>
        <v>16.961728395061726</v>
      </c>
      <c r="BE154">
        <f t="shared" si="35"/>
        <v>10.603675391358022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1.0498000000000001</v>
      </c>
      <c r="H155" s="22">
        <v>6.65062</v>
      </c>
      <c r="I155" s="22">
        <v>-1.33942E-2</v>
      </c>
      <c r="J155" s="22">
        <v>145</v>
      </c>
      <c r="K155" s="22">
        <v>1.0488900000000001</v>
      </c>
      <c r="L155">
        <f t="shared" si="24"/>
        <v>16.536049382716048</v>
      </c>
      <c r="M155">
        <f t="shared" si="25"/>
        <v>17.359544641975308</v>
      </c>
      <c r="N155" s="9"/>
      <c r="O155" s="22">
        <v>0.63018799999999997</v>
      </c>
      <c r="P155" s="22">
        <v>10.429500000000001</v>
      </c>
      <c r="Q155" s="22">
        <v>-1.3687100000000001E-2</v>
      </c>
      <c r="R155" s="22">
        <v>145</v>
      </c>
      <c r="S155" s="22">
        <v>0.62939500000000004</v>
      </c>
      <c r="T155">
        <f t="shared" si="26"/>
        <v>16.897654320987655</v>
      </c>
      <c r="U155">
        <f t="shared" si="27"/>
        <v>10.648698981234569</v>
      </c>
      <c r="X155" s="9"/>
      <c r="Y155" s="22">
        <v>1.0498000000000001</v>
      </c>
      <c r="Z155" s="22">
        <v>15.940799999999999</v>
      </c>
      <c r="AA155" s="22">
        <v>-1.3433799999999999E-2</v>
      </c>
      <c r="AB155" s="22">
        <v>145</v>
      </c>
      <c r="AC155" s="22">
        <v>1.0485800000000001</v>
      </c>
      <c r="AD155">
        <f t="shared" si="28"/>
        <v>16.584938271604937</v>
      </c>
      <c r="AE155">
        <f t="shared" si="29"/>
        <v>17.410868197530863</v>
      </c>
      <c r="AF155" s="9"/>
      <c r="AG155" s="22">
        <v>0.63018799999999997</v>
      </c>
      <c r="AH155" s="22">
        <v>19.7197</v>
      </c>
      <c r="AI155" s="22">
        <v>-1.3717699999999999E-2</v>
      </c>
      <c r="AJ155" s="22">
        <v>145</v>
      </c>
      <c r="AK155" s="22">
        <v>0.62945600000000002</v>
      </c>
      <c r="AL155">
        <f t="shared" si="30"/>
        <v>16.935432098765432</v>
      </c>
      <c r="AM155">
        <f t="shared" si="31"/>
        <v>10.67250608345679</v>
      </c>
      <c r="AP155" s="9"/>
      <c r="AQ155" s="22">
        <v>1.0498000000000001</v>
      </c>
      <c r="AR155" s="22">
        <v>25.167100000000001</v>
      </c>
      <c r="AS155" s="22">
        <v>-1.3446E-2</v>
      </c>
      <c r="AT155" s="22">
        <v>145</v>
      </c>
      <c r="AU155" s="22">
        <v>1.0488900000000001</v>
      </c>
      <c r="AV155">
        <f t="shared" si="32"/>
        <v>16.599999999999998</v>
      </c>
      <c r="AW155">
        <f t="shared" si="33"/>
        <v>17.426679999999998</v>
      </c>
      <c r="AX155" s="9"/>
      <c r="AY155" s="22">
        <v>0.63018799999999997</v>
      </c>
      <c r="AZ155" s="22">
        <v>28.946000000000002</v>
      </c>
      <c r="BA155" s="22">
        <v>-1.3732899999999999E-2</v>
      </c>
      <c r="BB155" s="22">
        <v>145</v>
      </c>
      <c r="BC155" s="22">
        <v>0.62948599999999999</v>
      </c>
      <c r="BD155">
        <f t="shared" si="34"/>
        <v>16.954197530864196</v>
      </c>
      <c r="BE155">
        <f t="shared" si="35"/>
        <v>10.684331833580245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1.04477</v>
      </c>
      <c r="H156" s="22">
        <v>6.6606899999999998</v>
      </c>
      <c r="I156" s="22">
        <v>-1.33972E-2</v>
      </c>
      <c r="J156" s="22">
        <v>146</v>
      </c>
      <c r="K156" s="22">
        <v>1.0437000000000001</v>
      </c>
      <c r="L156">
        <f t="shared" si="24"/>
        <v>16.539753086419751</v>
      </c>
      <c r="M156">
        <f t="shared" si="25"/>
        <v>17.280237832098763</v>
      </c>
      <c r="N156" s="9"/>
      <c r="O156" s="22">
        <v>0.63522299999999998</v>
      </c>
      <c r="P156" s="22">
        <v>10.4396</v>
      </c>
      <c r="Q156" s="22">
        <v>-1.3687100000000001E-2</v>
      </c>
      <c r="R156" s="22">
        <v>146</v>
      </c>
      <c r="S156" s="22">
        <v>0.634552</v>
      </c>
      <c r="T156">
        <f t="shared" si="26"/>
        <v>16.897654320987655</v>
      </c>
      <c r="U156">
        <f t="shared" si="27"/>
        <v>10.73377867074074</v>
      </c>
      <c r="X156" s="9"/>
      <c r="Y156" s="22">
        <v>1.04477</v>
      </c>
      <c r="Z156" s="22">
        <v>15.950900000000001</v>
      </c>
      <c r="AA156" s="22">
        <v>-1.34369E-2</v>
      </c>
      <c r="AB156" s="22">
        <v>146</v>
      </c>
      <c r="AC156" s="22">
        <v>1.0440100000000001</v>
      </c>
      <c r="AD156">
        <f t="shared" si="28"/>
        <v>16.588765432098764</v>
      </c>
      <c r="AE156">
        <f t="shared" si="29"/>
        <v>17.331444460493827</v>
      </c>
      <c r="AF156" s="9"/>
      <c r="AG156" s="22">
        <v>0.63522299999999998</v>
      </c>
      <c r="AH156" s="22">
        <v>19.729800000000001</v>
      </c>
      <c r="AI156" s="22">
        <v>-1.37146E-2</v>
      </c>
      <c r="AJ156" s="22">
        <v>146</v>
      </c>
      <c r="AK156" s="22">
        <v>0.63443000000000005</v>
      </c>
      <c r="AL156">
        <f t="shared" si="30"/>
        <v>16.931604938271605</v>
      </c>
      <c r="AM156">
        <f t="shared" si="31"/>
        <v>10.755344883703703</v>
      </c>
      <c r="AP156" s="9"/>
      <c r="AQ156" s="22">
        <v>1.04477</v>
      </c>
      <c r="AR156" s="22">
        <v>25.177099999999999</v>
      </c>
      <c r="AS156" s="22">
        <v>-1.34491E-2</v>
      </c>
      <c r="AT156" s="22">
        <v>146</v>
      </c>
      <c r="AU156" s="22">
        <v>1.0430900000000001</v>
      </c>
      <c r="AV156">
        <f t="shared" si="32"/>
        <v>16.603827160493829</v>
      </c>
      <c r="AW156">
        <f t="shared" si="33"/>
        <v>17.347180502469136</v>
      </c>
      <c r="AX156" s="9"/>
      <c r="AY156" s="22">
        <v>0.63522299999999998</v>
      </c>
      <c r="AZ156" s="22">
        <v>28.956099999999999</v>
      </c>
      <c r="BA156" s="22">
        <v>-1.3732899999999999E-2</v>
      </c>
      <c r="BB156" s="22">
        <v>146</v>
      </c>
      <c r="BC156" s="22">
        <v>0.63446000000000002</v>
      </c>
      <c r="BD156">
        <f t="shared" si="34"/>
        <v>16.954197530864196</v>
      </c>
      <c r="BE156">
        <f t="shared" si="35"/>
        <v>10.769696218148146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1.03973</v>
      </c>
      <c r="H157" s="22">
        <v>6.6707599999999996</v>
      </c>
      <c r="I157" s="22">
        <v>-1.33972E-2</v>
      </c>
      <c r="J157" s="22">
        <v>147</v>
      </c>
      <c r="K157" s="22">
        <v>1.03851</v>
      </c>
      <c r="L157">
        <f t="shared" si="24"/>
        <v>16.539753086419751</v>
      </c>
      <c r="M157">
        <f t="shared" si="25"/>
        <v>17.196877476543207</v>
      </c>
      <c r="N157" s="9"/>
      <c r="O157" s="22">
        <v>0.64025900000000002</v>
      </c>
      <c r="P157" s="22">
        <v>10.4497</v>
      </c>
      <c r="Q157" s="22">
        <v>-1.3693200000000001E-2</v>
      </c>
      <c r="R157" s="22">
        <v>147</v>
      </c>
      <c r="S157" s="22">
        <v>0.63955700000000004</v>
      </c>
      <c r="T157">
        <f t="shared" si="26"/>
        <v>16.905185185185186</v>
      </c>
      <c r="U157">
        <f t="shared" si="27"/>
        <v>10.823696961481483</v>
      </c>
      <c r="X157" s="9"/>
      <c r="Y157" s="22">
        <v>1.03973</v>
      </c>
      <c r="Z157" s="22">
        <v>15.961</v>
      </c>
      <c r="AA157" s="22">
        <v>-1.3443E-2</v>
      </c>
      <c r="AB157" s="22">
        <v>147</v>
      </c>
      <c r="AC157" s="22">
        <v>1.03851</v>
      </c>
      <c r="AD157">
        <f t="shared" si="28"/>
        <v>16.596296296296295</v>
      </c>
      <c r="AE157">
        <f t="shared" si="29"/>
        <v>17.255667148148149</v>
      </c>
      <c r="AF157" s="9"/>
      <c r="AG157" s="22">
        <v>0.64025900000000002</v>
      </c>
      <c r="AH157" s="22">
        <v>19.739899999999999</v>
      </c>
      <c r="AI157" s="22">
        <v>-1.37085E-2</v>
      </c>
      <c r="AJ157" s="22">
        <v>147</v>
      </c>
      <c r="AK157" s="22">
        <v>0.63958700000000002</v>
      </c>
      <c r="AL157">
        <f t="shared" si="30"/>
        <v>16.924074074074074</v>
      </c>
      <c r="AM157">
        <f t="shared" si="31"/>
        <v>10.835790742592593</v>
      </c>
      <c r="AP157" s="9"/>
      <c r="AQ157" s="22">
        <v>1.03973</v>
      </c>
      <c r="AR157" s="22">
        <v>25.187200000000001</v>
      </c>
      <c r="AS157" s="22">
        <v>-1.34552E-2</v>
      </c>
      <c r="AT157" s="22">
        <v>147</v>
      </c>
      <c r="AU157" s="22">
        <v>1.0394300000000001</v>
      </c>
      <c r="AV157">
        <f t="shared" si="32"/>
        <v>16.611358024691356</v>
      </c>
      <c r="AW157">
        <f t="shared" si="33"/>
        <v>17.271327279012343</v>
      </c>
      <c r="AX157" s="9"/>
      <c r="AY157" s="22">
        <v>0.64025900000000002</v>
      </c>
      <c r="AZ157" s="22">
        <v>28.966100000000001</v>
      </c>
      <c r="BA157" s="22">
        <v>-1.37299E-2</v>
      </c>
      <c r="BB157" s="22">
        <v>147</v>
      </c>
      <c r="BC157" s="22">
        <v>0.63955700000000004</v>
      </c>
      <c r="BD157">
        <f t="shared" si="34"/>
        <v>16.950493827160493</v>
      </c>
      <c r="BE157">
        <f t="shared" si="35"/>
        <v>10.852706227283951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1.0347</v>
      </c>
      <c r="H158" s="22">
        <v>6.6808300000000003</v>
      </c>
      <c r="I158" s="22">
        <v>-1.34033E-2</v>
      </c>
      <c r="J158" s="22">
        <v>148</v>
      </c>
      <c r="K158" s="22">
        <v>1.03363</v>
      </c>
      <c r="L158">
        <f t="shared" si="24"/>
        <v>16.547283950617281</v>
      </c>
      <c r="M158">
        <f t="shared" si="25"/>
        <v>17.121474703703701</v>
      </c>
      <c r="N158" s="9"/>
      <c r="O158" s="22">
        <v>0.64529400000000003</v>
      </c>
      <c r="P158" s="22">
        <v>10.4597</v>
      </c>
      <c r="Q158" s="22">
        <v>-1.36902E-2</v>
      </c>
      <c r="R158" s="22">
        <v>148</v>
      </c>
      <c r="S158" s="22">
        <v>0.64456199999999997</v>
      </c>
      <c r="T158">
        <f t="shared" si="26"/>
        <v>16.901481481481479</v>
      </c>
      <c r="U158">
        <f t="shared" si="27"/>
        <v>10.90642459111111</v>
      </c>
      <c r="X158" s="9"/>
      <c r="Y158" s="22">
        <v>1.0347</v>
      </c>
      <c r="Z158" s="22">
        <v>15.9711</v>
      </c>
      <c r="AA158" s="22">
        <v>-1.3443E-2</v>
      </c>
      <c r="AB158" s="22">
        <v>148</v>
      </c>
      <c r="AC158" s="22">
        <v>1.03363</v>
      </c>
      <c r="AD158">
        <f t="shared" si="28"/>
        <v>16.596296296296295</v>
      </c>
      <c r="AE158">
        <f t="shared" si="29"/>
        <v>17.172187777777776</v>
      </c>
      <c r="AF158" s="9"/>
      <c r="AG158" s="22">
        <v>0.64529400000000003</v>
      </c>
      <c r="AH158" s="22">
        <v>19.75</v>
      </c>
      <c r="AI158" s="22">
        <v>-1.37054E-2</v>
      </c>
      <c r="AJ158" s="22">
        <v>148</v>
      </c>
      <c r="AK158" s="22">
        <v>0.64459200000000005</v>
      </c>
      <c r="AL158">
        <f t="shared" si="30"/>
        <v>16.920246913580247</v>
      </c>
      <c r="AM158">
        <f t="shared" si="31"/>
        <v>10.918533811851852</v>
      </c>
      <c r="AP158" s="9"/>
      <c r="AQ158" s="22">
        <v>1.0347</v>
      </c>
      <c r="AR158" s="22">
        <v>25.197299999999998</v>
      </c>
      <c r="AS158" s="22">
        <v>-1.34644E-2</v>
      </c>
      <c r="AT158" s="22">
        <v>148</v>
      </c>
      <c r="AU158" s="22">
        <v>1.03363</v>
      </c>
      <c r="AV158">
        <f t="shared" si="32"/>
        <v>16.622716049382717</v>
      </c>
      <c r="AW158">
        <f t="shared" si="33"/>
        <v>17.199524296296296</v>
      </c>
      <c r="AX158" s="9"/>
      <c r="AY158" s="22">
        <v>0.64529400000000003</v>
      </c>
      <c r="AZ158" s="22">
        <v>28.976199999999999</v>
      </c>
      <c r="BA158" s="22">
        <v>-1.37299E-2</v>
      </c>
      <c r="BB158" s="22">
        <v>148</v>
      </c>
      <c r="BC158" s="22">
        <v>0.64459200000000005</v>
      </c>
      <c r="BD158">
        <f t="shared" si="34"/>
        <v>16.950493827160493</v>
      </c>
      <c r="BE158">
        <f t="shared" si="35"/>
        <v>10.938051963703703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1.02966</v>
      </c>
      <c r="H159" s="22">
        <v>6.6909000000000001</v>
      </c>
      <c r="I159" s="22">
        <v>-1.34094E-2</v>
      </c>
      <c r="J159" s="22">
        <v>149</v>
      </c>
      <c r="K159" s="22">
        <v>1.0293600000000001</v>
      </c>
      <c r="L159">
        <f t="shared" si="24"/>
        <v>16.554814814814815</v>
      </c>
      <c r="M159">
        <f t="shared" si="25"/>
        <v>17.045830622222223</v>
      </c>
      <c r="N159" s="9"/>
      <c r="O159" s="22">
        <v>0.65032999999999996</v>
      </c>
      <c r="P159" s="22">
        <v>10.469799999999999</v>
      </c>
      <c r="Q159" s="22">
        <v>-1.36902E-2</v>
      </c>
      <c r="R159" s="22">
        <v>149</v>
      </c>
      <c r="S159" s="22">
        <v>0.64965799999999996</v>
      </c>
      <c r="T159">
        <f t="shared" si="26"/>
        <v>16.901481481481479</v>
      </c>
      <c r="U159">
        <f t="shared" si="27"/>
        <v>10.991540451851849</v>
      </c>
      <c r="X159" s="9"/>
      <c r="Y159" s="22">
        <v>1.02966</v>
      </c>
      <c r="Z159" s="22">
        <v>15.9811</v>
      </c>
      <c r="AA159" s="22">
        <v>-1.34491E-2</v>
      </c>
      <c r="AB159" s="22">
        <v>149</v>
      </c>
      <c r="AC159" s="22">
        <v>1.02844</v>
      </c>
      <c r="AD159">
        <f t="shared" si="28"/>
        <v>16.603827160493829</v>
      </c>
      <c r="AE159">
        <f t="shared" si="29"/>
        <v>17.096296674074075</v>
      </c>
      <c r="AF159" s="9"/>
      <c r="AG159" s="22">
        <v>0.65032999999999996</v>
      </c>
      <c r="AH159" s="22">
        <v>19.760000000000002</v>
      </c>
      <c r="AI159" s="22">
        <v>-1.3699299999999999E-2</v>
      </c>
      <c r="AJ159" s="22">
        <v>149</v>
      </c>
      <c r="AK159" s="22">
        <v>0.64959699999999998</v>
      </c>
      <c r="AL159">
        <f t="shared" si="30"/>
        <v>16.912716049382716</v>
      </c>
      <c r="AM159">
        <f t="shared" si="31"/>
        <v>10.998846628395061</v>
      </c>
      <c r="AP159" s="9"/>
      <c r="AQ159" s="22">
        <v>1.02966</v>
      </c>
      <c r="AR159" s="22">
        <v>25.2073</v>
      </c>
      <c r="AS159" s="22">
        <v>-1.3473499999999999E-2</v>
      </c>
      <c r="AT159" s="22">
        <v>149</v>
      </c>
      <c r="AU159" s="22">
        <v>1.0287500000000001</v>
      </c>
      <c r="AV159">
        <f t="shared" si="32"/>
        <v>16.633950617283947</v>
      </c>
      <c r="AW159">
        <f t="shared" si="33"/>
        <v>17.127313592592589</v>
      </c>
      <c r="AX159" s="9"/>
      <c r="AY159" s="22">
        <v>0.65032999999999996</v>
      </c>
      <c r="AZ159" s="22">
        <v>28.9863</v>
      </c>
      <c r="BA159" s="22">
        <v>-1.37299E-2</v>
      </c>
      <c r="BB159" s="22">
        <v>149</v>
      </c>
      <c r="BC159" s="22">
        <v>0.64965799999999996</v>
      </c>
      <c r="BD159">
        <f t="shared" si="34"/>
        <v>16.950493827160493</v>
      </c>
      <c r="BE159">
        <f t="shared" si="35"/>
        <v>11.023414650617283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1.0246299999999999</v>
      </c>
      <c r="H160" s="22">
        <v>6.7009699999999999</v>
      </c>
      <c r="I160" s="22">
        <v>-1.3412500000000001E-2</v>
      </c>
      <c r="J160" s="22">
        <v>150</v>
      </c>
      <c r="K160" s="22">
        <v>1.02356</v>
      </c>
      <c r="L160">
        <f t="shared" si="24"/>
        <v>16.558641975308642</v>
      </c>
      <c r="M160">
        <f t="shared" si="25"/>
        <v>16.966481327160494</v>
      </c>
      <c r="N160" s="9"/>
      <c r="O160" s="22">
        <v>0.65536499999999998</v>
      </c>
      <c r="P160" s="22">
        <v>10.479900000000001</v>
      </c>
      <c r="Q160" s="22">
        <v>-1.36902E-2</v>
      </c>
      <c r="R160" s="22">
        <v>150</v>
      </c>
      <c r="S160" s="22">
        <v>0.654694</v>
      </c>
      <c r="T160">
        <f t="shared" si="26"/>
        <v>16.901481481481479</v>
      </c>
      <c r="U160">
        <f t="shared" si="27"/>
        <v>11.07663941111111</v>
      </c>
      <c r="X160" s="9"/>
      <c r="Y160" s="22">
        <v>1.0246299999999999</v>
      </c>
      <c r="Z160" s="22">
        <v>15.991199999999999</v>
      </c>
      <c r="AA160" s="22">
        <v>-1.34552E-2</v>
      </c>
      <c r="AB160" s="22">
        <v>150</v>
      </c>
      <c r="AC160" s="22">
        <v>1.02386</v>
      </c>
      <c r="AD160">
        <f t="shared" si="28"/>
        <v>16.611358024691356</v>
      </c>
      <c r="AE160">
        <f t="shared" si="29"/>
        <v>17.020495772839503</v>
      </c>
      <c r="AF160" s="9"/>
      <c r="AG160" s="22">
        <v>0.65536499999999998</v>
      </c>
      <c r="AH160" s="22">
        <v>19.770099999999999</v>
      </c>
      <c r="AI160" s="22">
        <v>-1.36963E-2</v>
      </c>
      <c r="AJ160" s="22">
        <v>150</v>
      </c>
      <c r="AK160" s="22">
        <v>0.65466299999999999</v>
      </c>
      <c r="AL160">
        <f t="shared" si="30"/>
        <v>16.90901234567901</v>
      </c>
      <c r="AM160">
        <f t="shared" si="31"/>
        <v>11.081574875925924</v>
      </c>
      <c r="AP160" s="9"/>
      <c r="AQ160" s="22">
        <v>1.0246299999999999</v>
      </c>
      <c r="AR160" s="22">
        <v>25.217400000000001</v>
      </c>
      <c r="AS160" s="22">
        <v>-1.34766E-2</v>
      </c>
      <c r="AT160" s="22">
        <v>150</v>
      </c>
      <c r="AU160" s="22">
        <v>1.02386</v>
      </c>
      <c r="AV160">
        <f t="shared" si="32"/>
        <v>16.637777777777774</v>
      </c>
      <c r="AW160">
        <f t="shared" si="33"/>
        <v>17.04756624444444</v>
      </c>
      <c r="AX160" s="9"/>
      <c r="AY160" s="22">
        <v>0.65536499999999998</v>
      </c>
      <c r="AZ160" s="22">
        <v>28.996400000000001</v>
      </c>
      <c r="BA160" s="22">
        <v>-1.3726800000000001E-2</v>
      </c>
      <c r="BB160" s="22">
        <v>150</v>
      </c>
      <c r="BC160" s="22">
        <v>0.65466299999999999</v>
      </c>
      <c r="BD160">
        <f t="shared" si="34"/>
        <v>16.946666666666665</v>
      </c>
      <c r="BE160">
        <f t="shared" si="35"/>
        <v>11.106252199999998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1.01959</v>
      </c>
      <c r="H161" s="22">
        <v>6.7110399999999997</v>
      </c>
      <c r="I161" s="22">
        <v>-1.3412500000000001E-2</v>
      </c>
      <c r="J161" s="22">
        <v>151</v>
      </c>
      <c r="K161" s="22">
        <v>1.01837</v>
      </c>
      <c r="L161">
        <f t="shared" si="24"/>
        <v>16.558641975308642</v>
      </c>
      <c r="M161">
        <f t="shared" si="25"/>
        <v>16.883025771604938</v>
      </c>
      <c r="N161" s="9"/>
      <c r="O161" s="22">
        <v>0.66039999999999999</v>
      </c>
      <c r="P161" s="22">
        <v>10.49</v>
      </c>
      <c r="Q161" s="22">
        <v>-1.3687100000000001E-2</v>
      </c>
      <c r="R161" s="22">
        <v>151</v>
      </c>
      <c r="S161" s="22">
        <v>0.65969800000000001</v>
      </c>
      <c r="T161">
        <f t="shared" si="26"/>
        <v>16.897654320987655</v>
      </c>
      <c r="U161">
        <f t="shared" si="27"/>
        <v>11.159210913580248</v>
      </c>
      <c r="X161" s="9"/>
      <c r="Y161" s="22">
        <v>1.01959</v>
      </c>
      <c r="Z161" s="22">
        <v>16.001300000000001</v>
      </c>
      <c r="AA161" s="22">
        <v>-1.34552E-2</v>
      </c>
      <c r="AB161" s="22">
        <v>151</v>
      </c>
      <c r="AC161" s="22">
        <v>1.01868</v>
      </c>
      <c r="AD161">
        <f t="shared" si="28"/>
        <v>16.611358024691356</v>
      </c>
      <c r="AE161">
        <f t="shared" si="29"/>
        <v>16.936774528395059</v>
      </c>
      <c r="AF161" s="9"/>
      <c r="AG161" s="22">
        <v>0.66039999999999999</v>
      </c>
      <c r="AH161" s="22">
        <v>19.780200000000001</v>
      </c>
      <c r="AI161" s="22">
        <v>-1.36963E-2</v>
      </c>
      <c r="AJ161" s="22">
        <v>151</v>
      </c>
      <c r="AK161" s="22">
        <v>0.65972900000000001</v>
      </c>
      <c r="AL161">
        <f t="shared" si="30"/>
        <v>16.90901234567901</v>
      </c>
      <c r="AM161">
        <f t="shared" si="31"/>
        <v>11.166711753086418</v>
      </c>
      <c r="AP161" s="9"/>
      <c r="AQ161" s="22">
        <v>1.01959</v>
      </c>
      <c r="AR161" s="22">
        <v>25.227499999999999</v>
      </c>
      <c r="AS161" s="22">
        <v>-1.34766E-2</v>
      </c>
      <c r="AT161" s="22">
        <v>151</v>
      </c>
      <c r="AU161" s="22">
        <v>1.01837</v>
      </c>
      <c r="AV161">
        <f t="shared" si="32"/>
        <v>16.637777777777774</v>
      </c>
      <c r="AW161">
        <f t="shared" si="33"/>
        <v>16.96371184444444</v>
      </c>
      <c r="AX161" s="9"/>
      <c r="AY161" s="22">
        <v>0.66039999999999999</v>
      </c>
      <c r="AZ161" s="22">
        <v>29.006399999999999</v>
      </c>
      <c r="BA161" s="22">
        <v>-1.3726800000000001E-2</v>
      </c>
      <c r="BB161" s="22">
        <v>151</v>
      </c>
      <c r="BC161" s="22">
        <v>0.65966800000000003</v>
      </c>
      <c r="BD161">
        <f t="shared" si="34"/>
        <v>16.946666666666665</v>
      </c>
      <c r="BE161">
        <f t="shared" si="35"/>
        <v>11.191578666666665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1.0145599999999999</v>
      </c>
      <c r="H162" s="22">
        <v>6.72112</v>
      </c>
      <c r="I162" s="22">
        <v>-1.34155E-2</v>
      </c>
      <c r="J162" s="22">
        <v>152</v>
      </c>
      <c r="K162" s="22">
        <v>1.01318</v>
      </c>
      <c r="L162">
        <f t="shared" si="24"/>
        <v>16.562345679012346</v>
      </c>
      <c r="M162">
        <f t="shared" si="25"/>
        <v>16.803493432098765</v>
      </c>
      <c r="N162" s="9"/>
      <c r="O162" s="22">
        <v>0.66543600000000003</v>
      </c>
      <c r="P162" s="22">
        <v>10.5</v>
      </c>
      <c r="Q162" s="22">
        <v>-1.3684099999999999E-2</v>
      </c>
      <c r="R162" s="22">
        <v>152</v>
      </c>
      <c r="S162" s="22">
        <v>0.66467299999999996</v>
      </c>
      <c r="T162">
        <f t="shared" si="26"/>
        <v>16.893950617283949</v>
      </c>
      <c r="U162">
        <f t="shared" si="27"/>
        <v>11.241842922962961</v>
      </c>
      <c r="X162" s="9"/>
      <c r="Y162" s="22">
        <v>1.0145599999999999</v>
      </c>
      <c r="Z162" s="22">
        <v>16.011299999999999</v>
      </c>
      <c r="AA162" s="22">
        <v>-1.3458299999999999E-2</v>
      </c>
      <c r="AB162" s="22">
        <v>152</v>
      </c>
      <c r="AC162" s="22">
        <v>1.01349</v>
      </c>
      <c r="AD162">
        <f t="shared" si="28"/>
        <v>16.615185185185183</v>
      </c>
      <c r="AE162">
        <f t="shared" si="29"/>
        <v>16.857102281481477</v>
      </c>
      <c r="AF162" s="9"/>
      <c r="AG162" s="22">
        <v>0.66543600000000003</v>
      </c>
      <c r="AH162" s="22">
        <v>19.790199999999999</v>
      </c>
      <c r="AI162" s="22">
        <v>-1.3693200000000001E-2</v>
      </c>
      <c r="AJ162" s="22">
        <v>152</v>
      </c>
      <c r="AK162" s="22">
        <v>0.66467299999999996</v>
      </c>
      <c r="AL162">
        <f t="shared" si="30"/>
        <v>16.905185185185186</v>
      </c>
      <c r="AM162">
        <f t="shared" si="31"/>
        <v>11.249318808888889</v>
      </c>
      <c r="AP162" s="9"/>
      <c r="AQ162" s="22">
        <v>1.0145599999999999</v>
      </c>
      <c r="AR162" s="22">
        <v>25.2376</v>
      </c>
      <c r="AS162" s="22">
        <v>-1.34796E-2</v>
      </c>
      <c r="AT162" s="22">
        <v>152</v>
      </c>
      <c r="AU162" s="22">
        <v>1.01379</v>
      </c>
      <c r="AV162">
        <f t="shared" si="32"/>
        <v>16.641481481481478</v>
      </c>
      <c r="AW162">
        <f t="shared" si="33"/>
        <v>16.883781451851846</v>
      </c>
      <c r="AX162" s="9"/>
      <c r="AY162" s="22">
        <v>0.66543600000000003</v>
      </c>
      <c r="AZ162" s="22">
        <v>29.016500000000001</v>
      </c>
      <c r="BA162" s="22">
        <v>-1.3726800000000001E-2</v>
      </c>
      <c r="BB162" s="22">
        <v>152</v>
      </c>
      <c r="BC162" s="22">
        <v>0.66476400000000002</v>
      </c>
      <c r="BD162">
        <f t="shared" si="34"/>
        <v>16.946666666666665</v>
      </c>
      <c r="BE162">
        <f t="shared" si="35"/>
        <v>11.27692208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1.00952</v>
      </c>
      <c r="H163" s="22">
        <v>6.7311899999999998</v>
      </c>
      <c r="I163" s="22">
        <v>-1.3421600000000001E-2</v>
      </c>
      <c r="J163" s="22">
        <v>153</v>
      </c>
      <c r="K163" s="22">
        <v>1.00861</v>
      </c>
      <c r="L163">
        <f t="shared" si="24"/>
        <v>16.569876543209876</v>
      </c>
      <c r="M163">
        <f t="shared" si="25"/>
        <v>16.727621767901233</v>
      </c>
      <c r="N163" s="9"/>
      <c r="O163" s="22">
        <v>0.67047100000000004</v>
      </c>
      <c r="P163" s="22">
        <v>10.5101</v>
      </c>
      <c r="Q163" s="22">
        <v>-1.36749E-2</v>
      </c>
      <c r="R163" s="22">
        <v>153</v>
      </c>
      <c r="S163" s="22">
        <v>0.66970799999999997</v>
      </c>
      <c r="T163">
        <f t="shared" si="26"/>
        <v>16.882592592592591</v>
      </c>
      <c r="U163">
        <f t="shared" si="27"/>
        <v>11.319288738148147</v>
      </c>
      <c r="X163" s="9"/>
      <c r="Y163" s="22">
        <v>1.00952</v>
      </c>
      <c r="Z163" s="22">
        <v>16.0214</v>
      </c>
      <c r="AA163" s="22">
        <v>-1.3461300000000001E-2</v>
      </c>
      <c r="AB163" s="22">
        <v>153</v>
      </c>
      <c r="AC163" s="22">
        <v>1.0083</v>
      </c>
      <c r="AD163">
        <f t="shared" si="28"/>
        <v>16.618888888888886</v>
      </c>
      <c r="AE163">
        <f t="shared" si="29"/>
        <v>16.777100711111107</v>
      </c>
      <c r="AF163" s="9"/>
      <c r="AG163" s="22">
        <v>0.67047100000000004</v>
      </c>
      <c r="AH163" s="22">
        <v>19.8003</v>
      </c>
      <c r="AI163" s="22">
        <v>-1.3687100000000001E-2</v>
      </c>
      <c r="AJ163" s="22">
        <v>153</v>
      </c>
      <c r="AK163" s="22">
        <v>0.66973899999999997</v>
      </c>
      <c r="AL163">
        <f t="shared" si="30"/>
        <v>16.897654320987655</v>
      </c>
      <c r="AM163">
        <f t="shared" si="31"/>
        <v>11.329387190246916</v>
      </c>
      <c r="AP163" s="9"/>
      <c r="AQ163" s="22">
        <v>1.00952</v>
      </c>
      <c r="AR163" s="22">
        <v>25.247599999999998</v>
      </c>
      <c r="AS163" s="22">
        <v>-1.34796E-2</v>
      </c>
      <c r="AT163" s="22">
        <v>153</v>
      </c>
      <c r="AU163" s="22">
        <v>1.00861</v>
      </c>
      <c r="AV163">
        <f t="shared" si="32"/>
        <v>16.641481481481478</v>
      </c>
      <c r="AW163">
        <f t="shared" si="33"/>
        <v>16.79990838518518</v>
      </c>
      <c r="AX163" s="9"/>
      <c r="AY163" s="22">
        <v>0.67047100000000004</v>
      </c>
      <c r="AZ163" s="22">
        <v>29.026599999999998</v>
      </c>
      <c r="BA163" s="22">
        <v>-1.3726800000000001E-2</v>
      </c>
      <c r="BB163" s="22">
        <v>153</v>
      </c>
      <c r="BC163" s="22">
        <v>0.66983000000000004</v>
      </c>
      <c r="BD163">
        <f t="shared" si="34"/>
        <v>16.946666666666665</v>
      </c>
      <c r="BE163">
        <f t="shared" si="35"/>
        <v>11.362248546666667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1.0044900000000001</v>
      </c>
      <c r="H164" s="22">
        <v>6.7412599999999996</v>
      </c>
      <c r="I164" s="22">
        <v>-1.3421600000000001E-2</v>
      </c>
      <c r="J164" s="22">
        <v>154</v>
      </c>
      <c r="K164" s="22">
        <v>1.00342</v>
      </c>
      <c r="L164">
        <f t="shared" si="24"/>
        <v>16.569876543209876</v>
      </c>
      <c r="M164">
        <f t="shared" si="25"/>
        <v>16.644275288888892</v>
      </c>
      <c r="N164" s="9"/>
      <c r="O164" s="22">
        <v>0.67550699999999997</v>
      </c>
      <c r="P164" s="22">
        <v>10.520200000000001</v>
      </c>
      <c r="Q164" s="22">
        <v>-1.3671900000000001E-2</v>
      </c>
      <c r="R164" s="22">
        <v>154</v>
      </c>
      <c r="S164" s="22">
        <v>0.67474400000000001</v>
      </c>
      <c r="T164">
        <f t="shared" si="26"/>
        <v>16.878888888888888</v>
      </c>
      <c r="U164">
        <f t="shared" si="27"/>
        <v>11.401807596666666</v>
      </c>
      <c r="X164" s="9"/>
      <c r="Y164" s="22">
        <v>1.0044900000000001</v>
      </c>
      <c r="Z164" s="22">
        <v>16.031500000000001</v>
      </c>
      <c r="AA164" s="22">
        <v>-1.3467399999999999E-2</v>
      </c>
      <c r="AB164" s="22">
        <v>154</v>
      </c>
      <c r="AC164" s="22">
        <v>1.00342</v>
      </c>
      <c r="AD164">
        <f t="shared" si="28"/>
        <v>16.626419753086417</v>
      </c>
      <c r="AE164">
        <f t="shared" si="29"/>
        <v>16.701072377777777</v>
      </c>
      <c r="AF164" s="9"/>
      <c r="AG164" s="22">
        <v>0.67550699999999997</v>
      </c>
      <c r="AH164" s="22">
        <v>19.810400000000001</v>
      </c>
      <c r="AI164" s="22">
        <v>-1.3684099999999999E-2</v>
      </c>
      <c r="AJ164" s="22">
        <v>154</v>
      </c>
      <c r="AK164" s="22">
        <v>0.67468300000000003</v>
      </c>
      <c r="AL164">
        <f t="shared" si="30"/>
        <v>16.893950617283949</v>
      </c>
      <c r="AM164">
        <f t="shared" si="31"/>
        <v>11.411981899629629</v>
      </c>
      <c r="AP164" s="9"/>
      <c r="AQ164" s="22">
        <v>1.0044900000000001</v>
      </c>
      <c r="AR164" s="22">
        <v>25.2577</v>
      </c>
      <c r="AS164" s="22">
        <v>-1.34827E-2</v>
      </c>
      <c r="AT164" s="22">
        <v>154</v>
      </c>
      <c r="AU164" s="22">
        <v>1.0037199999999999</v>
      </c>
      <c r="AV164">
        <f t="shared" si="32"/>
        <v>16.645308641975308</v>
      </c>
      <c r="AW164">
        <f t="shared" si="33"/>
        <v>16.720046077777781</v>
      </c>
      <c r="AX164" s="9"/>
      <c r="AY164" s="22">
        <v>0.67550699999999997</v>
      </c>
      <c r="AZ164" s="22">
        <v>29.0366</v>
      </c>
      <c r="BA164" s="22">
        <v>-1.3720700000000001E-2</v>
      </c>
      <c r="BB164" s="22">
        <v>154</v>
      </c>
      <c r="BC164" s="22">
        <v>0.67483499999999996</v>
      </c>
      <c r="BD164">
        <f t="shared" si="34"/>
        <v>16.939135802469135</v>
      </c>
      <c r="BE164">
        <f t="shared" si="35"/>
        <v>11.442504808518517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0.99945099999999998</v>
      </c>
      <c r="H165" s="22">
        <v>6.7513300000000003</v>
      </c>
      <c r="I165" s="22">
        <v>-1.3418599999999999E-2</v>
      </c>
      <c r="J165" s="22">
        <v>155</v>
      </c>
      <c r="K165" s="22">
        <v>0.99822999999999995</v>
      </c>
      <c r="L165">
        <f t="shared" si="24"/>
        <v>16.566172839506169</v>
      </c>
      <c r="M165">
        <f t="shared" si="25"/>
        <v>16.557078010617278</v>
      </c>
      <c r="N165" s="9"/>
      <c r="O165" s="22">
        <v>0.68054199999999998</v>
      </c>
      <c r="P165" s="22">
        <v>10.530200000000001</v>
      </c>
      <c r="Q165" s="22">
        <v>-1.36597E-2</v>
      </c>
      <c r="R165" s="22">
        <v>155</v>
      </c>
      <c r="S165" s="22">
        <v>0.67981000000000003</v>
      </c>
      <c r="T165">
        <f t="shared" si="26"/>
        <v>16.863827160493827</v>
      </c>
      <c r="U165">
        <f t="shared" si="27"/>
        <v>11.47654266345679</v>
      </c>
      <c r="X165" s="9"/>
      <c r="Y165" s="22">
        <v>0.99945099999999998</v>
      </c>
      <c r="Z165" s="22">
        <v>16.041599999999999</v>
      </c>
      <c r="AA165" s="22">
        <v>-1.3467399999999999E-2</v>
      </c>
      <c r="AB165" s="22">
        <v>155</v>
      </c>
      <c r="AC165" s="22">
        <v>0.99853499999999995</v>
      </c>
      <c r="AD165">
        <f t="shared" si="28"/>
        <v>16.626419753086417</v>
      </c>
      <c r="AE165">
        <f t="shared" si="29"/>
        <v>16.617291848641973</v>
      </c>
      <c r="AF165" s="9"/>
      <c r="AG165" s="22">
        <v>0.68054199999999998</v>
      </c>
      <c r="AH165" s="22">
        <v>19.820499999999999</v>
      </c>
      <c r="AI165" s="22">
        <v>-1.3677999999999999E-2</v>
      </c>
      <c r="AJ165" s="22">
        <v>155</v>
      </c>
      <c r="AK165" s="22">
        <v>0.67977900000000002</v>
      </c>
      <c r="AL165">
        <f t="shared" si="30"/>
        <v>16.886419753086418</v>
      </c>
      <c r="AM165">
        <f t="shared" si="31"/>
        <v>11.491917871604937</v>
      </c>
      <c r="AP165" s="9"/>
      <c r="AQ165" s="22">
        <v>0.99945099999999998</v>
      </c>
      <c r="AR165" s="22">
        <v>25.267800000000001</v>
      </c>
      <c r="AS165" s="22">
        <v>-1.34827E-2</v>
      </c>
      <c r="AT165" s="22">
        <v>155</v>
      </c>
      <c r="AU165" s="22">
        <v>0.99853499999999995</v>
      </c>
      <c r="AV165">
        <f t="shared" si="32"/>
        <v>16.645308641975308</v>
      </c>
      <c r="AW165">
        <f t="shared" si="33"/>
        <v>16.636170367530863</v>
      </c>
      <c r="AX165" s="9"/>
      <c r="AY165" s="22">
        <v>0.68054199999999998</v>
      </c>
      <c r="AZ165" s="22">
        <v>29.046700000000001</v>
      </c>
      <c r="BA165" s="22">
        <v>-1.37146E-2</v>
      </c>
      <c r="BB165" s="22">
        <v>155</v>
      </c>
      <c r="BC165" s="22">
        <v>0.67990099999999998</v>
      </c>
      <c r="BD165">
        <f t="shared" si="34"/>
        <v>16.931604938271605</v>
      </c>
      <c r="BE165">
        <f t="shared" si="35"/>
        <v>11.522668287901235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0.99441500000000005</v>
      </c>
      <c r="H166" s="22">
        <v>6.7614000000000001</v>
      </c>
      <c r="I166" s="22">
        <v>-1.34155E-2</v>
      </c>
      <c r="J166" s="22">
        <v>156</v>
      </c>
      <c r="K166" s="22">
        <v>0.99334699999999998</v>
      </c>
      <c r="L166">
        <f t="shared" si="24"/>
        <v>16.562345679012346</v>
      </c>
      <c r="M166">
        <f t="shared" si="25"/>
        <v>16.469844978395063</v>
      </c>
      <c r="N166" s="9"/>
      <c r="O166" s="22">
        <v>0.68557699999999999</v>
      </c>
      <c r="P166" s="22">
        <v>10.5403</v>
      </c>
      <c r="Q166" s="22">
        <v>-1.36536E-2</v>
      </c>
      <c r="R166" s="22">
        <v>156</v>
      </c>
      <c r="S166" s="22">
        <v>0.68487500000000001</v>
      </c>
      <c r="T166">
        <f t="shared" si="26"/>
        <v>16.856296296296296</v>
      </c>
      <c r="U166">
        <f t="shared" si="27"/>
        <v>11.556289045925926</v>
      </c>
      <c r="X166" s="9"/>
      <c r="Y166" s="22">
        <v>0.99441500000000005</v>
      </c>
      <c r="Z166" s="22">
        <v>16.051600000000001</v>
      </c>
      <c r="AA166" s="22">
        <v>-1.3467399999999999E-2</v>
      </c>
      <c r="AB166" s="22">
        <v>156</v>
      </c>
      <c r="AC166" s="22">
        <v>0.99334699999999998</v>
      </c>
      <c r="AD166">
        <f t="shared" si="28"/>
        <v>16.626419753086417</v>
      </c>
      <c r="AE166">
        <f t="shared" si="29"/>
        <v>16.53356119876543</v>
      </c>
      <c r="AF166" s="9"/>
      <c r="AG166" s="22">
        <v>0.68557699999999999</v>
      </c>
      <c r="AH166" s="22">
        <v>19.830500000000001</v>
      </c>
      <c r="AI166" s="22">
        <v>-1.36688E-2</v>
      </c>
      <c r="AJ166" s="22">
        <v>156</v>
      </c>
      <c r="AK166" s="22">
        <v>0.68484500000000004</v>
      </c>
      <c r="AL166">
        <f t="shared" si="30"/>
        <v>16.87506172839506</v>
      </c>
      <c r="AM166">
        <f t="shared" si="31"/>
        <v>11.569154194567901</v>
      </c>
      <c r="AP166" s="9"/>
      <c r="AQ166" s="22">
        <v>0.99441500000000005</v>
      </c>
      <c r="AR166" s="22">
        <v>25.277799999999999</v>
      </c>
      <c r="AS166" s="22">
        <v>-1.34827E-2</v>
      </c>
      <c r="AT166" s="22">
        <v>156</v>
      </c>
      <c r="AU166" s="22">
        <v>0.99334699999999998</v>
      </c>
      <c r="AV166">
        <f t="shared" si="32"/>
        <v>16.645308641975308</v>
      </c>
      <c r="AW166">
        <f t="shared" si="33"/>
        <v>16.552344593209877</v>
      </c>
      <c r="AX166" s="9"/>
      <c r="AY166" s="22">
        <v>0.68557699999999999</v>
      </c>
      <c r="AZ166" s="22">
        <v>29.056799999999999</v>
      </c>
      <c r="BA166" s="22">
        <v>-1.37054E-2</v>
      </c>
      <c r="BB166" s="22">
        <v>156</v>
      </c>
      <c r="BC166" s="22">
        <v>0.68484500000000004</v>
      </c>
      <c r="BD166">
        <f t="shared" si="34"/>
        <v>16.920246913580247</v>
      </c>
      <c r="BE166">
        <f t="shared" si="35"/>
        <v>11.600132118271604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0.98938000000000004</v>
      </c>
      <c r="H167" s="22">
        <v>6.7714699999999999</v>
      </c>
      <c r="I167" s="22">
        <v>-1.3418599999999999E-2</v>
      </c>
      <c r="J167" s="22">
        <v>157</v>
      </c>
      <c r="K167" s="22">
        <v>0.98846400000000001</v>
      </c>
      <c r="L167">
        <f t="shared" si="24"/>
        <v>16.566172839506169</v>
      </c>
      <c r="M167">
        <f t="shared" si="25"/>
        <v>16.390240083950616</v>
      </c>
      <c r="N167" s="9"/>
      <c r="O167" s="22">
        <v>0.69061300000000003</v>
      </c>
      <c r="P167" s="22">
        <v>10.5504</v>
      </c>
      <c r="Q167" s="22">
        <v>-1.3650499999999999E-2</v>
      </c>
      <c r="R167" s="22">
        <v>157</v>
      </c>
      <c r="S167" s="22">
        <v>0.68994100000000003</v>
      </c>
      <c r="T167">
        <f t="shared" si="26"/>
        <v>16.852469135802469</v>
      </c>
      <c r="U167">
        <f t="shared" si="27"/>
        <v>11.638534267283951</v>
      </c>
      <c r="X167" s="9"/>
      <c r="Y167" s="22">
        <v>0.98938000000000004</v>
      </c>
      <c r="Z167" s="22">
        <v>16.061699999999998</v>
      </c>
      <c r="AA167" s="22">
        <v>-1.3473499999999999E-2</v>
      </c>
      <c r="AB167" s="22">
        <v>157</v>
      </c>
      <c r="AC167" s="22">
        <v>0.98815900000000001</v>
      </c>
      <c r="AD167">
        <f t="shared" si="28"/>
        <v>16.633950617283947</v>
      </c>
      <c r="AE167">
        <f t="shared" si="29"/>
        <v>16.457298061728391</v>
      </c>
      <c r="AF167" s="9"/>
      <c r="AG167" s="22">
        <v>0.69061300000000003</v>
      </c>
      <c r="AH167" s="22">
        <v>19.840599999999998</v>
      </c>
      <c r="AI167" s="22">
        <v>-1.36597E-2</v>
      </c>
      <c r="AJ167" s="22">
        <v>157</v>
      </c>
      <c r="AK167" s="22">
        <v>0.68994100000000003</v>
      </c>
      <c r="AL167">
        <f t="shared" si="30"/>
        <v>16.863827160493827</v>
      </c>
      <c r="AM167">
        <f t="shared" si="31"/>
        <v>11.646378266790125</v>
      </c>
      <c r="AP167" s="9"/>
      <c r="AQ167" s="22">
        <v>0.98938000000000004</v>
      </c>
      <c r="AR167" s="22">
        <v>25.2879</v>
      </c>
      <c r="AS167" s="22">
        <v>-1.34857E-2</v>
      </c>
      <c r="AT167" s="22">
        <v>157</v>
      </c>
      <c r="AU167" s="22">
        <v>0.98907500000000004</v>
      </c>
      <c r="AV167">
        <f t="shared" si="32"/>
        <v>16.649012345679012</v>
      </c>
      <c r="AW167">
        <f t="shared" si="33"/>
        <v>16.472199834567903</v>
      </c>
      <c r="AX167" s="9"/>
      <c r="AY167" s="22">
        <v>0.69061300000000003</v>
      </c>
      <c r="AZ167" s="22">
        <v>29.0669</v>
      </c>
      <c r="BA167" s="22">
        <v>-1.37054E-2</v>
      </c>
      <c r="BB167" s="22">
        <v>157</v>
      </c>
      <c r="BC167" s="22">
        <v>0.68988000000000005</v>
      </c>
      <c r="BD167">
        <f t="shared" si="34"/>
        <v>16.920246913580247</v>
      </c>
      <c r="BE167">
        <f t="shared" si="35"/>
        <v>11.685342481728396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0.984344</v>
      </c>
      <c r="H168" s="22">
        <v>6.7815399999999997</v>
      </c>
      <c r="I168" s="22">
        <v>-1.3427700000000001E-2</v>
      </c>
      <c r="J168" s="22">
        <v>158</v>
      </c>
      <c r="K168" s="22">
        <v>0.98388699999999996</v>
      </c>
      <c r="L168">
        <f t="shared" si="24"/>
        <v>16.57740740740741</v>
      </c>
      <c r="M168">
        <f t="shared" si="25"/>
        <v>16.317871517037041</v>
      </c>
      <c r="N168" s="9"/>
      <c r="O168" s="22">
        <v>0.69564800000000004</v>
      </c>
      <c r="P168" s="22">
        <v>10.5604</v>
      </c>
      <c r="Q168" s="22">
        <v>-1.3650499999999999E-2</v>
      </c>
      <c r="R168" s="22">
        <v>158</v>
      </c>
      <c r="S168" s="22">
        <v>0.69500700000000004</v>
      </c>
      <c r="T168">
        <f t="shared" si="26"/>
        <v>16.852469135802469</v>
      </c>
      <c r="U168">
        <f t="shared" si="27"/>
        <v>11.723386449382717</v>
      </c>
      <c r="X168" s="9"/>
      <c r="Y168" s="22">
        <v>0.984344</v>
      </c>
      <c r="Z168" s="22">
        <v>16.0718</v>
      </c>
      <c r="AA168" s="22">
        <v>-1.34796E-2</v>
      </c>
      <c r="AB168" s="22">
        <v>158</v>
      </c>
      <c r="AC168" s="22">
        <v>0.98297100000000004</v>
      </c>
      <c r="AD168">
        <f t="shared" si="28"/>
        <v>16.641481481481478</v>
      </c>
      <c r="AE168">
        <f t="shared" si="29"/>
        <v>16.380942447407403</v>
      </c>
      <c r="AF168" s="9"/>
      <c r="AG168" s="22">
        <v>0.69564800000000004</v>
      </c>
      <c r="AH168" s="22">
        <v>19.8507</v>
      </c>
      <c r="AI168" s="22">
        <v>-1.36536E-2</v>
      </c>
      <c r="AJ168" s="22">
        <v>158</v>
      </c>
      <c r="AK168" s="22">
        <v>0.69500700000000004</v>
      </c>
      <c r="AL168">
        <f t="shared" si="30"/>
        <v>16.856296296296296</v>
      </c>
      <c r="AM168">
        <f t="shared" si="31"/>
        <v>11.726048805925927</v>
      </c>
      <c r="AP168" s="9"/>
      <c r="AQ168" s="22">
        <v>0.984344</v>
      </c>
      <c r="AR168" s="22">
        <v>25.297999999999998</v>
      </c>
      <c r="AS168" s="22">
        <v>-1.34888E-2</v>
      </c>
      <c r="AT168" s="22">
        <v>158</v>
      </c>
      <c r="AU168" s="22">
        <v>0.98327600000000004</v>
      </c>
      <c r="AV168">
        <f t="shared" si="32"/>
        <v>16.652839506172839</v>
      </c>
      <c r="AW168">
        <f t="shared" si="33"/>
        <v>16.392122650864199</v>
      </c>
      <c r="AX168" s="9"/>
      <c r="AY168" s="22">
        <v>0.69564800000000004</v>
      </c>
      <c r="AZ168" s="22">
        <v>29.076899999999998</v>
      </c>
      <c r="BA168" s="22">
        <v>-1.3699299999999999E-2</v>
      </c>
      <c r="BB168" s="22">
        <v>158</v>
      </c>
      <c r="BC168" s="22">
        <v>0.69494599999999995</v>
      </c>
      <c r="BD168">
        <f t="shared" si="34"/>
        <v>16.912716049382716</v>
      </c>
      <c r="BE168">
        <f t="shared" si="35"/>
        <v>11.765297094320989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0.97930899999999999</v>
      </c>
      <c r="H169" s="22">
        <v>6.7916100000000004</v>
      </c>
      <c r="I169" s="22">
        <v>-1.3433799999999999E-2</v>
      </c>
      <c r="J169" s="22">
        <v>159</v>
      </c>
      <c r="K169" s="22">
        <v>0.97839399999999999</v>
      </c>
      <c r="L169">
        <f t="shared" si="24"/>
        <v>16.584938271604937</v>
      </c>
      <c r="M169">
        <f t="shared" si="25"/>
        <v>16.241779313827159</v>
      </c>
      <c r="N169" s="9"/>
      <c r="O169" s="22">
        <v>0.70068399999999997</v>
      </c>
      <c r="P169" s="22">
        <v>10.570499999999999</v>
      </c>
      <c r="Q169" s="22">
        <v>-1.3650499999999999E-2</v>
      </c>
      <c r="R169" s="22">
        <v>159</v>
      </c>
      <c r="S169" s="22">
        <v>0.69998199999999999</v>
      </c>
      <c r="T169">
        <f t="shared" si="26"/>
        <v>16.852469135802469</v>
      </c>
      <c r="U169">
        <f t="shared" si="27"/>
        <v>11.808255483950617</v>
      </c>
      <c r="X169" s="9"/>
      <c r="Y169" s="22">
        <v>0.97930899999999999</v>
      </c>
      <c r="Z169" s="22">
        <v>16.081800000000001</v>
      </c>
      <c r="AA169" s="22">
        <v>-1.34857E-2</v>
      </c>
      <c r="AB169" s="22">
        <v>159</v>
      </c>
      <c r="AC169" s="22">
        <v>0.97839399999999999</v>
      </c>
      <c r="AD169">
        <f t="shared" si="28"/>
        <v>16.649012345679012</v>
      </c>
      <c r="AE169">
        <f t="shared" si="29"/>
        <v>16.304527631234567</v>
      </c>
      <c r="AF169" s="9"/>
      <c r="AG169" s="22">
        <v>0.70068399999999997</v>
      </c>
      <c r="AH169" s="22">
        <v>19.860700000000001</v>
      </c>
      <c r="AI169" s="22">
        <v>-1.3650499999999999E-2</v>
      </c>
      <c r="AJ169" s="22">
        <v>159</v>
      </c>
      <c r="AK169" s="22">
        <v>0.70001199999999997</v>
      </c>
      <c r="AL169">
        <f t="shared" si="30"/>
        <v>16.852469135802469</v>
      </c>
      <c r="AM169">
        <f t="shared" si="31"/>
        <v>11.808255483950617</v>
      </c>
      <c r="AP169" s="9"/>
      <c r="AQ169" s="22">
        <v>0.97930899999999999</v>
      </c>
      <c r="AR169" s="22">
        <v>25.3081</v>
      </c>
      <c r="AS169" s="22">
        <v>-1.3494900000000001E-2</v>
      </c>
      <c r="AT169" s="22">
        <v>159</v>
      </c>
      <c r="AU169" s="22">
        <v>0.97778299999999996</v>
      </c>
      <c r="AV169">
        <f t="shared" si="32"/>
        <v>16.660370370370369</v>
      </c>
      <c r="AW169">
        <f t="shared" si="33"/>
        <v>16.315650647037035</v>
      </c>
      <c r="AX169" s="9"/>
      <c r="AY169" s="22">
        <v>0.70068399999999997</v>
      </c>
      <c r="AZ169" s="22">
        <v>29.087</v>
      </c>
      <c r="BA169" s="22">
        <v>-1.3693200000000001E-2</v>
      </c>
      <c r="BB169" s="22">
        <v>159</v>
      </c>
      <c r="BC169" s="22">
        <v>0.69992100000000002</v>
      </c>
      <c r="BD169">
        <f t="shared" si="34"/>
        <v>16.905185185185186</v>
      </c>
      <c r="BE169">
        <f t="shared" si="35"/>
        <v>11.845192776296296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0.97427399999999997</v>
      </c>
      <c r="H170" s="22">
        <v>6.8016800000000002</v>
      </c>
      <c r="I170" s="22">
        <v>-1.3439899999999999E-2</v>
      </c>
      <c r="J170" s="22">
        <v>160</v>
      </c>
      <c r="K170" s="22">
        <v>0.97351100000000002</v>
      </c>
      <c r="L170">
        <f t="shared" si="24"/>
        <v>16.592469135802467</v>
      </c>
      <c r="M170">
        <f t="shared" si="25"/>
        <v>16.165611274814811</v>
      </c>
      <c r="N170" s="9"/>
      <c r="O170" s="22">
        <v>0.70571899999999999</v>
      </c>
      <c r="P170" s="22">
        <v>10.5806</v>
      </c>
      <c r="Q170" s="22">
        <v>-1.3644399999999999E-2</v>
      </c>
      <c r="R170" s="22">
        <v>160</v>
      </c>
      <c r="S170" s="22">
        <v>0.70507799999999998</v>
      </c>
      <c r="T170">
        <f t="shared" si="26"/>
        <v>16.844938271604939</v>
      </c>
      <c r="U170">
        <f t="shared" si="27"/>
        <v>11.887792992098765</v>
      </c>
      <c r="X170" s="9"/>
      <c r="Y170" s="22">
        <v>0.97427399999999997</v>
      </c>
      <c r="Z170" s="22">
        <v>16.091899999999999</v>
      </c>
      <c r="AA170" s="22">
        <v>-1.34918E-2</v>
      </c>
      <c r="AB170" s="22">
        <v>160</v>
      </c>
      <c r="AC170" s="22">
        <v>0.97320600000000002</v>
      </c>
      <c r="AD170">
        <f t="shared" si="28"/>
        <v>16.656543209876542</v>
      </c>
      <c r="AE170">
        <f t="shared" si="29"/>
        <v>16.228036979259258</v>
      </c>
      <c r="AF170" s="9"/>
      <c r="AG170" s="22">
        <v>0.70571899999999999</v>
      </c>
      <c r="AH170" s="22">
        <v>19.870799999999999</v>
      </c>
      <c r="AI170" s="22">
        <v>-1.36475E-2</v>
      </c>
      <c r="AJ170" s="22">
        <v>160</v>
      </c>
      <c r="AK170" s="22">
        <v>0.705017</v>
      </c>
      <c r="AL170">
        <f t="shared" si="30"/>
        <v>16.848765432098766</v>
      </c>
      <c r="AM170">
        <f t="shared" si="31"/>
        <v>11.890493891975309</v>
      </c>
      <c r="AP170" s="9"/>
      <c r="AQ170" s="22">
        <v>0.97427399999999997</v>
      </c>
      <c r="AR170" s="22">
        <v>25.318100000000001</v>
      </c>
      <c r="AS170" s="22">
        <v>-1.3501000000000001E-2</v>
      </c>
      <c r="AT170" s="22">
        <v>160</v>
      </c>
      <c r="AU170" s="22">
        <v>0.97289999999999999</v>
      </c>
      <c r="AV170">
        <f t="shared" si="32"/>
        <v>16.667901234567903</v>
      </c>
      <c r="AW170">
        <f t="shared" si="33"/>
        <v>16.239102807407409</v>
      </c>
      <c r="AX170" s="9"/>
      <c r="AY170" s="22">
        <v>0.70571899999999999</v>
      </c>
      <c r="AZ170" s="22">
        <v>29.097100000000001</v>
      </c>
      <c r="BA170" s="22">
        <v>-1.36902E-2</v>
      </c>
      <c r="BB170" s="22">
        <v>160</v>
      </c>
      <c r="BC170" s="22">
        <v>0.705017</v>
      </c>
      <c r="BD170">
        <f t="shared" si="34"/>
        <v>16.901481481481479</v>
      </c>
      <c r="BE170">
        <f t="shared" si="35"/>
        <v>11.927696609629628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0.96923800000000004</v>
      </c>
      <c r="H171" s="22">
        <v>6.81175</v>
      </c>
      <c r="I171" s="22">
        <v>-1.3446E-2</v>
      </c>
      <c r="J171" s="22">
        <v>161</v>
      </c>
      <c r="K171" s="22">
        <v>0.96832300000000004</v>
      </c>
      <c r="L171">
        <f t="shared" si="24"/>
        <v>16.599999999999998</v>
      </c>
      <c r="M171">
        <f t="shared" si="25"/>
        <v>16.089350799999998</v>
      </c>
      <c r="N171" s="9"/>
      <c r="O171" s="22">
        <v>0.710754</v>
      </c>
      <c r="P171" s="22">
        <v>10.5907</v>
      </c>
      <c r="Q171" s="22">
        <v>-1.3638300000000001E-2</v>
      </c>
      <c r="R171" s="22">
        <v>161</v>
      </c>
      <c r="S171" s="22">
        <v>0.71002200000000004</v>
      </c>
      <c r="T171">
        <f t="shared" si="26"/>
        <v>16.837407407407408</v>
      </c>
      <c r="U171">
        <f t="shared" si="27"/>
        <v>11.967254664444445</v>
      </c>
      <c r="X171" s="9"/>
      <c r="Y171" s="22">
        <v>0.96923800000000004</v>
      </c>
      <c r="Z171" s="22">
        <v>16.102</v>
      </c>
      <c r="AA171" s="22">
        <v>-1.34918E-2</v>
      </c>
      <c r="AB171" s="22">
        <v>161</v>
      </c>
      <c r="AC171" s="22">
        <v>0.96832300000000004</v>
      </c>
      <c r="AD171">
        <f t="shared" si="28"/>
        <v>16.656543209876542</v>
      </c>
      <c r="AE171">
        <f t="shared" si="29"/>
        <v>16.14415462765432</v>
      </c>
      <c r="AF171" s="9"/>
      <c r="AG171" s="22">
        <v>0.710754</v>
      </c>
      <c r="AH171" s="22">
        <v>19.8809</v>
      </c>
      <c r="AI171" s="22">
        <v>-1.36475E-2</v>
      </c>
      <c r="AJ171" s="22">
        <v>161</v>
      </c>
      <c r="AK171" s="22">
        <v>0.71002200000000004</v>
      </c>
      <c r="AL171">
        <f t="shared" si="30"/>
        <v>16.848765432098766</v>
      </c>
      <c r="AM171">
        <f t="shared" si="31"/>
        <v>11.975327425925926</v>
      </c>
      <c r="AP171" s="9"/>
      <c r="AQ171" s="22">
        <v>0.96923800000000004</v>
      </c>
      <c r="AR171" s="22">
        <v>25.328199999999999</v>
      </c>
      <c r="AS171" s="22">
        <v>-1.3504E-2</v>
      </c>
      <c r="AT171" s="22">
        <v>161</v>
      </c>
      <c r="AU171" s="22">
        <v>0.96832300000000004</v>
      </c>
      <c r="AV171">
        <f t="shared" si="32"/>
        <v>16.671604938271606</v>
      </c>
      <c r="AW171">
        <f t="shared" si="33"/>
        <v>16.158753027160497</v>
      </c>
      <c r="AX171" s="9"/>
      <c r="AY171" s="22">
        <v>0.710754</v>
      </c>
      <c r="AZ171" s="22">
        <v>29.107099999999999</v>
      </c>
      <c r="BA171" s="22">
        <v>-1.36902E-2</v>
      </c>
      <c r="BB171" s="22">
        <v>161</v>
      </c>
      <c r="BC171" s="22">
        <v>0.71008300000000002</v>
      </c>
      <c r="BD171">
        <f t="shared" si="34"/>
        <v>16.901481481481479</v>
      </c>
      <c r="BE171">
        <f t="shared" si="35"/>
        <v>12.012795568888887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0.96420300000000003</v>
      </c>
      <c r="H172" s="22">
        <v>6.8218300000000003</v>
      </c>
      <c r="I172" s="22">
        <v>-1.34552E-2</v>
      </c>
      <c r="J172" s="22">
        <v>162</v>
      </c>
      <c r="K172" s="22">
        <v>0.96282999999999996</v>
      </c>
      <c r="L172">
        <f t="shared" si="24"/>
        <v>16.611358024691356</v>
      </c>
      <c r="M172">
        <f t="shared" si="25"/>
        <v>16.016721241481481</v>
      </c>
      <c r="N172" s="9"/>
      <c r="O172" s="22">
        <v>0.71579000000000004</v>
      </c>
      <c r="P172" s="22">
        <v>10.6007</v>
      </c>
      <c r="Q172" s="22">
        <v>-1.3638300000000001E-2</v>
      </c>
      <c r="R172" s="22">
        <v>162</v>
      </c>
      <c r="S172" s="22">
        <v>0.71511800000000003</v>
      </c>
      <c r="T172">
        <f t="shared" si="26"/>
        <v>16.837407407407408</v>
      </c>
      <c r="U172">
        <f t="shared" si="27"/>
        <v>12.052047848148149</v>
      </c>
      <c r="X172" s="9"/>
      <c r="Y172" s="22">
        <v>0.96420300000000003</v>
      </c>
      <c r="Z172" s="22">
        <v>16.111999999999998</v>
      </c>
      <c r="AA172" s="22">
        <v>-1.34918E-2</v>
      </c>
      <c r="AB172" s="22">
        <v>162</v>
      </c>
      <c r="AC172" s="22">
        <v>0.96313499999999996</v>
      </c>
      <c r="AD172">
        <f t="shared" si="28"/>
        <v>16.656543209876542</v>
      </c>
      <c r="AE172">
        <f t="shared" si="29"/>
        <v>16.060288932592591</v>
      </c>
      <c r="AF172" s="9"/>
      <c r="AG172" s="22">
        <v>0.71579000000000004</v>
      </c>
      <c r="AH172" s="22">
        <v>19.890999999999998</v>
      </c>
      <c r="AI172" s="22">
        <v>-1.3650499999999999E-2</v>
      </c>
      <c r="AJ172" s="22">
        <v>162</v>
      </c>
      <c r="AK172" s="22">
        <v>0.71499599999999996</v>
      </c>
      <c r="AL172">
        <f t="shared" si="30"/>
        <v>16.852469135802469</v>
      </c>
      <c r="AM172">
        <f t="shared" si="31"/>
        <v>12.062828882716049</v>
      </c>
      <c r="AP172" s="9"/>
      <c r="AQ172" s="22">
        <v>0.96420300000000003</v>
      </c>
      <c r="AR172" s="22">
        <v>25.3383</v>
      </c>
      <c r="AS172" s="22">
        <v>-1.3507099999999999E-2</v>
      </c>
      <c r="AT172" s="22">
        <v>162</v>
      </c>
      <c r="AU172" s="22">
        <v>0.96374499999999996</v>
      </c>
      <c r="AV172">
        <f t="shared" si="32"/>
        <v>16.67543209876543</v>
      </c>
      <c r="AW172">
        <f t="shared" si="33"/>
        <v>16.078501655925926</v>
      </c>
      <c r="AX172" s="9"/>
      <c r="AY172" s="22">
        <v>0.71579000000000004</v>
      </c>
      <c r="AZ172" s="22">
        <v>29.1172</v>
      </c>
      <c r="BA172" s="22">
        <v>-1.36902E-2</v>
      </c>
      <c r="BB172" s="22">
        <v>162</v>
      </c>
      <c r="BC172" s="22">
        <v>0.71511800000000003</v>
      </c>
      <c r="BD172">
        <f t="shared" si="34"/>
        <v>16.901481481481479</v>
      </c>
      <c r="BE172">
        <f t="shared" si="35"/>
        <v>12.097911429629628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0.95916699999999999</v>
      </c>
      <c r="H173" s="22">
        <v>6.8319000000000001</v>
      </c>
      <c r="I173" s="22">
        <v>-1.3461300000000001E-2</v>
      </c>
      <c r="J173" s="22">
        <v>163</v>
      </c>
      <c r="K173" s="22">
        <v>0.95825199999999999</v>
      </c>
      <c r="L173">
        <f t="shared" si="24"/>
        <v>16.618888888888886</v>
      </c>
      <c r="M173">
        <f t="shared" si="25"/>
        <v>15.940289798888886</v>
      </c>
      <c r="N173" s="9"/>
      <c r="O173" s="22">
        <v>0.72082500000000005</v>
      </c>
      <c r="P173" s="22">
        <v>10.610799999999999</v>
      </c>
      <c r="Q173" s="22">
        <v>-1.36353E-2</v>
      </c>
      <c r="R173" s="22">
        <v>163</v>
      </c>
      <c r="S173" s="22">
        <v>0.72012299999999996</v>
      </c>
      <c r="T173">
        <f t="shared" si="26"/>
        <v>16.833703703703701</v>
      </c>
      <c r="U173">
        <f t="shared" si="27"/>
        <v>12.134154472222221</v>
      </c>
      <c r="X173" s="9"/>
      <c r="Y173" s="22">
        <v>0.95916699999999999</v>
      </c>
      <c r="Z173" s="22">
        <v>16.1221</v>
      </c>
      <c r="AA173" s="22">
        <v>-1.3494900000000001E-2</v>
      </c>
      <c r="AB173" s="22">
        <v>163</v>
      </c>
      <c r="AC173" s="22">
        <v>0.95794699999999999</v>
      </c>
      <c r="AD173">
        <f t="shared" si="28"/>
        <v>16.660370370370369</v>
      </c>
      <c r="AE173">
        <f t="shared" si="29"/>
        <v>15.980077467037036</v>
      </c>
      <c r="AF173" s="9"/>
      <c r="AG173" s="22">
        <v>0.72082500000000005</v>
      </c>
      <c r="AH173" s="22">
        <v>19.901</v>
      </c>
      <c r="AI173" s="22">
        <v>-1.36475E-2</v>
      </c>
      <c r="AJ173" s="22">
        <v>163</v>
      </c>
      <c r="AK173" s="22">
        <v>0.72015399999999996</v>
      </c>
      <c r="AL173">
        <f t="shared" si="30"/>
        <v>16.848765432098766</v>
      </c>
      <c r="AM173">
        <f t="shared" si="31"/>
        <v>12.145011342592595</v>
      </c>
      <c r="AP173" s="9"/>
      <c r="AQ173" s="22">
        <v>0.95916699999999999</v>
      </c>
      <c r="AR173" s="22">
        <v>25.348299999999998</v>
      </c>
      <c r="AS173" s="22">
        <v>-1.3507099999999999E-2</v>
      </c>
      <c r="AT173" s="22">
        <v>163</v>
      </c>
      <c r="AU173" s="22">
        <v>0.95825199999999999</v>
      </c>
      <c r="AV173">
        <f t="shared" si="32"/>
        <v>16.67543209876543</v>
      </c>
      <c r="AW173">
        <f t="shared" si="33"/>
        <v>15.994524179876541</v>
      </c>
      <c r="AX173" s="9"/>
      <c r="AY173" s="22">
        <v>0.72082500000000005</v>
      </c>
      <c r="AZ173" s="22">
        <v>29.127300000000002</v>
      </c>
      <c r="BA173" s="22">
        <v>-1.3684099999999999E-2</v>
      </c>
      <c r="BB173" s="22">
        <v>163</v>
      </c>
      <c r="BC173" s="22">
        <v>0.720001</v>
      </c>
      <c r="BD173">
        <f t="shared" si="34"/>
        <v>16.893950617283949</v>
      </c>
      <c r="BE173">
        <f t="shared" si="35"/>
        <v>12.177581953703703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0.95413199999999998</v>
      </c>
      <c r="H174" s="22">
        <v>6.8419699999999999</v>
      </c>
      <c r="I174" s="22">
        <v>-1.3461300000000001E-2</v>
      </c>
      <c r="J174" s="22">
        <v>164</v>
      </c>
      <c r="K174" s="22">
        <v>0.95306400000000002</v>
      </c>
      <c r="L174">
        <f t="shared" si="24"/>
        <v>16.618888888888886</v>
      </c>
      <c r="M174">
        <f t="shared" si="25"/>
        <v>15.85661369333333</v>
      </c>
      <c r="N174" s="9"/>
      <c r="O174" s="22">
        <v>0.72586099999999998</v>
      </c>
      <c r="P174" s="22">
        <v>10.620900000000001</v>
      </c>
      <c r="Q174" s="22">
        <v>-1.36353E-2</v>
      </c>
      <c r="R174" s="22">
        <v>164</v>
      </c>
      <c r="S174" s="22">
        <v>0.72512799999999999</v>
      </c>
      <c r="T174">
        <f t="shared" si="26"/>
        <v>16.833703703703701</v>
      </c>
      <c r="U174">
        <f t="shared" si="27"/>
        <v>12.218929004074072</v>
      </c>
      <c r="X174" s="9"/>
      <c r="Y174" s="22">
        <v>0.95413199999999998</v>
      </c>
      <c r="Z174" s="22">
        <v>16.132200000000001</v>
      </c>
      <c r="AA174" s="22">
        <v>-1.3501000000000001E-2</v>
      </c>
      <c r="AB174" s="22">
        <v>164</v>
      </c>
      <c r="AC174" s="22">
        <v>0.95275900000000002</v>
      </c>
      <c r="AD174">
        <f t="shared" si="28"/>
        <v>16.667901234567903</v>
      </c>
      <c r="AE174">
        <f t="shared" si="29"/>
        <v>15.903377940740743</v>
      </c>
      <c r="AF174" s="9"/>
      <c r="AG174" s="22">
        <v>0.72586099999999998</v>
      </c>
      <c r="AH174" s="22">
        <v>19.911100000000001</v>
      </c>
      <c r="AI174" s="22">
        <v>-1.3644399999999999E-2</v>
      </c>
      <c r="AJ174" s="22">
        <v>164</v>
      </c>
      <c r="AK174" s="22">
        <v>0.72512799999999999</v>
      </c>
      <c r="AL174">
        <f t="shared" si="30"/>
        <v>16.844938271604939</v>
      </c>
      <c r="AM174">
        <f t="shared" si="31"/>
        <v>12.227083738765431</v>
      </c>
      <c r="AP174" s="9"/>
      <c r="AQ174" s="22">
        <v>0.95413199999999998</v>
      </c>
      <c r="AR174" s="22">
        <v>25.3584</v>
      </c>
      <c r="AS174" s="22">
        <v>-1.3516200000000001E-2</v>
      </c>
      <c r="AT174" s="22">
        <v>164</v>
      </c>
      <c r="AU174" s="22">
        <v>0.95336900000000002</v>
      </c>
      <c r="AV174">
        <f t="shared" si="32"/>
        <v>16.686666666666664</v>
      </c>
      <c r="AW174">
        <f t="shared" si="33"/>
        <v>15.921282639999998</v>
      </c>
      <c r="AX174" s="9"/>
      <c r="AY174" s="22">
        <v>0.72586099999999998</v>
      </c>
      <c r="AZ174" s="22">
        <v>29.1374</v>
      </c>
      <c r="BA174" s="22">
        <v>-1.36749E-2</v>
      </c>
      <c r="BB174" s="22">
        <v>164</v>
      </c>
      <c r="BC174" s="22">
        <v>0.725159</v>
      </c>
      <c r="BD174">
        <f t="shared" si="34"/>
        <v>16.882592592592591</v>
      </c>
      <c r="BE174">
        <f t="shared" si="35"/>
        <v>12.25441554185185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0.94909699999999997</v>
      </c>
      <c r="H175" s="22">
        <v>6.8520399999999997</v>
      </c>
      <c r="I175" s="22">
        <v>-1.34644E-2</v>
      </c>
      <c r="J175" s="22">
        <v>165</v>
      </c>
      <c r="K175" s="22">
        <v>0.94818100000000005</v>
      </c>
      <c r="L175">
        <f t="shared" si="24"/>
        <v>16.622716049382717</v>
      </c>
      <c r="M175">
        <f t="shared" si="25"/>
        <v>15.776569934320989</v>
      </c>
      <c r="N175" s="9"/>
      <c r="O175" s="22">
        <v>0.73089599999999999</v>
      </c>
      <c r="P175" s="22">
        <v>10.6309</v>
      </c>
      <c r="Q175" s="22">
        <v>-1.3629199999999999E-2</v>
      </c>
      <c r="R175" s="22">
        <v>165</v>
      </c>
      <c r="S175" s="22">
        <v>0.73025499999999999</v>
      </c>
      <c r="T175">
        <f t="shared" si="26"/>
        <v>16.826172839506171</v>
      </c>
      <c r="U175">
        <f t="shared" si="27"/>
        <v>12.298182423703702</v>
      </c>
      <c r="X175" s="9"/>
      <c r="Y175" s="22">
        <v>0.94909699999999997</v>
      </c>
      <c r="Z175" s="22">
        <v>16.142299999999999</v>
      </c>
      <c r="AA175" s="22">
        <v>-1.3504E-2</v>
      </c>
      <c r="AB175" s="22">
        <v>165</v>
      </c>
      <c r="AC175" s="22">
        <v>0.94818100000000005</v>
      </c>
      <c r="AD175">
        <f t="shared" si="28"/>
        <v>16.671604938271606</v>
      </c>
      <c r="AE175">
        <f t="shared" si="29"/>
        <v>15.822970232098767</v>
      </c>
      <c r="AF175" s="9"/>
      <c r="AG175" s="22">
        <v>0.73089599999999999</v>
      </c>
      <c r="AH175" s="22">
        <v>19.921199999999999</v>
      </c>
      <c r="AI175" s="22">
        <v>-1.3644399999999999E-2</v>
      </c>
      <c r="AJ175" s="22">
        <v>165</v>
      </c>
      <c r="AK175" s="22">
        <v>0.73016400000000004</v>
      </c>
      <c r="AL175">
        <f t="shared" si="30"/>
        <v>16.844938271604939</v>
      </c>
      <c r="AM175">
        <f t="shared" si="31"/>
        <v>12.311898002962963</v>
      </c>
      <c r="AP175" s="9"/>
      <c r="AQ175" s="22">
        <v>0.94909699999999997</v>
      </c>
      <c r="AR175" s="22">
        <v>25.368500000000001</v>
      </c>
      <c r="AS175" s="22">
        <v>-1.35193E-2</v>
      </c>
      <c r="AT175" s="22">
        <v>165</v>
      </c>
      <c r="AU175" s="22">
        <v>0.94848600000000005</v>
      </c>
      <c r="AV175">
        <f t="shared" si="32"/>
        <v>16.690493827160495</v>
      </c>
      <c r="AW175">
        <f t="shared" si="33"/>
        <v>15.840897619876543</v>
      </c>
      <c r="AX175" s="9"/>
      <c r="AY175" s="22">
        <v>0.73089599999999999</v>
      </c>
      <c r="AZ175" s="22">
        <v>29.147400000000001</v>
      </c>
      <c r="BA175" s="22">
        <v>-1.3677999999999999E-2</v>
      </c>
      <c r="BB175" s="22">
        <v>165</v>
      </c>
      <c r="BC175" s="22">
        <v>0.73013300000000003</v>
      </c>
      <c r="BD175">
        <f t="shared" si="34"/>
        <v>16.886419753086418</v>
      </c>
      <c r="BE175">
        <f t="shared" si="35"/>
        <v>12.342216651851851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0.94406100000000004</v>
      </c>
      <c r="H176" s="22">
        <v>6.8621100000000004</v>
      </c>
      <c r="I176" s="22">
        <v>-1.3467399999999999E-2</v>
      </c>
      <c r="J176" s="22">
        <v>166</v>
      </c>
      <c r="K176" s="22">
        <v>0.94268799999999997</v>
      </c>
      <c r="L176">
        <f t="shared" si="24"/>
        <v>16.626419753086417</v>
      </c>
      <c r="M176">
        <f t="shared" si="25"/>
        <v>15.696354458518517</v>
      </c>
      <c r="N176" s="9"/>
      <c r="O176" s="22">
        <v>0.735931</v>
      </c>
      <c r="P176" s="22">
        <v>10.641</v>
      </c>
      <c r="Q176" s="22">
        <v>-1.3629199999999999E-2</v>
      </c>
      <c r="R176" s="22">
        <v>166</v>
      </c>
      <c r="S176" s="22">
        <v>0.73522900000000002</v>
      </c>
      <c r="T176">
        <f t="shared" si="26"/>
        <v>16.826172839506171</v>
      </c>
      <c r="U176">
        <f t="shared" si="27"/>
        <v>12.382902203950616</v>
      </c>
      <c r="X176" s="9"/>
      <c r="Y176" s="22">
        <v>0.94406100000000004</v>
      </c>
      <c r="Z176" s="22">
        <v>16.1523</v>
      </c>
      <c r="AA176" s="22">
        <v>-1.3510100000000001E-2</v>
      </c>
      <c r="AB176" s="22">
        <v>166</v>
      </c>
      <c r="AC176" s="22">
        <v>0.94299299999999997</v>
      </c>
      <c r="AD176">
        <f t="shared" si="28"/>
        <v>16.679135802469133</v>
      </c>
      <c r="AE176">
        <f t="shared" si="29"/>
        <v>15.746121624814814</v>
      </c>
      <c r="AF176" s="9"/>
      <c r="AG176" s="22">
        <v>0.735931</v>
      </c>
      <c r="AH176" s="22">
        <v>19.9312</v>
      </c>
      <c r="AI176" s="22">
        <v>-1.3638300000000001E-2</v>
      </c>
      <c r="AJ176" s="22">
        <v>166</v>
      </c>
      <c r="AK176" s="22">
        <v>0.73522900000000002</v>
      </c>
      <c r="AL176">
        <f t="shared" si="30"/>
        <v>16.837407407407408</v>
      </c>
      <c r="AM176">
        <f t="shared" si="31"/>
        <v>12.391170070740742</v>
      </c>
      <c r="AP176" s="9"/>
      <c r="AQ176" s="22">
        <v>0.94406100000000004</v>
      </c>
      <c r="AR176" s="22">
        <v>25.378599999999999</v>
      </c>
      <c r="AS176" s="22">
        <v>-1.3522299999999999E-2</v>
      </c>
      <c r="AT176" s="22">
        <v>166</v>
      </c>
      <c r="AU176" s="22">
        <v>0.943909</v>
      </c>
      <c r="AV176">
        <f t="shared" si="32"/>
        <v>16.694197530864194</v>
      </c>
      <c r="AW176">
        <f t="shared" si="33"/>
        <v>15.760340815185183</v>
      </c>
      <c r="AX176" s="9"/>
      <c r="AY176" s="22">
        <v>0.735931</v>
      </c>
      <c r="AZ176" s="22">
        <v>29.157499999999999</v>
      </c>
      <c r="BA176" s="22">
        <v>-1.36749E-2</v>
      </c>
      <c r="BB176" s="22">
        <v>166</v>
      </c>
      <c r="BC176" s="22">
        <v>0.73522900000000002</v>
      </c>
      <c r="BD176">
        <f t="shared" si="34"/>
        <v>16.882592592592591</v>
      </c>
      <c r="BE176">
        <f t="shared" si="35"/>
        <v>12.424423249259258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0.93902600000000003</v>
      </c>
      <c r="H177" s="22">
        <v>6.8721800000000002</v>
      </c>
      <c r="I177" s="22">
        <v>-1.34705E-2</v>
      </c>
      <c r="J177" s="22">
        <v>167</v>
      </c>
      <c r="K177" s="22">
        <v>0.93811</v>
      </c>
      <c r="L177">
        <f t="shared" si="24"/>
        <v>16.630246913580244</v>
      </c>
      <c r="M177">
        <f t="shared" si="25"/>
        <v>15.616234238271602</v>
      </c>
      <c r="N177" s="9"/>
      <c r="O177" s="22">
        <v>0.74096700000000004</v>
      </c>
      <c r="P177" s="22">
        <v>10.6511</v>
      </c>
      <c r="Q177" s="22">
        <v>-1.3623E-2</v>
      </c>
      <c r="R177" s="22">
        <v>167</v>
      </c>
      <c r="S177" s="22">
        <v>0.74029500000000004</v>
      </c>
      <c r="T177">
        <f t="shared" si="26"/>
        <v>16.818518518518516</v>
      </c>
      <c r="U177">
        <f t="shared" si="27"/>
        <v>12.46196721111111</v>
      </c>
      <c r="X177" s="9"/>
      <c r="Y177" s="22">
        <v>0.93902600000000003</v>
      </c>
      <c r="Z177" s="22">
        <v>16.162400000000002</v>
      </c>
      <c r="AA177" s="22">
        <v>-1.3510100000000001E-2</v>
      </c>
      <c r="AB177" s="22">
        <v>167</v>
      </c>
      <c r="AC177" s="22">
        <v>0.9375</v>
      </c>
      <c r="AD177">
        <f t="shared" si="28"/>
        <v>16.679135802469133</v>
      </c>
      <c r="AE177">
        <f t="shared" si="29"/>
        <v>15.662142176049381</v>
      </c>
      <c r="AF177" s="9"/>
      <c r="AG177" s="22">
        <v>0.74096700000000004</v>
      </c>
      <c r="AH177" s="22">
        <v>19.941299999999998</v>
      </c>
      <c r="AI177" s="22">
        <v>-1.36414E-2</v>
      </c>
      <c r="AJ177" s="22">
        <v>167</v>
      </c>
      <c r="AK177" s="22">
        <v>0.74029500000000004</v>
      </c>
      <c r="AL177">
        <f t="shared" si="30"/>
        <v>16.841234567901232</v>
      </c>
      <c r="AM177">
        <f t="shared" si="31"/>
        <v>12.478799054074074</v>
      </c>
      <c r="AP177" s="9"/>
      <c r="AQ177" s="22">
        <v>0.93902600000000003</v>
      </c>
      <c r="AR177" s="22">
        <v>25.3886</v>
      </c>
      <c r="AS177" s="22">
        <v>-1.3528399999999999E-2</v>
      </c>
      <c r="AT177" s="22">
        <v>167</v>
      </c>
      <c r="AU177" s="22">
        <v>0.93841600000000003</v>
      </c>
      <c r="AV177">
        <f t="shared" si="32"/>
        <v>16.701728395061725</v>
      </c>
      <c r="AW177">
        <f t="shared" si="33"/>
        <v>15.683357207901231</v>
      </c>
      <c r="AX177" s="9"/>
      <c r="AY177" s="22">
        <v>0.74096700000000004</v>
      </c>
      <c r="AZ177" s="22">
        <v>29.1676</v>
      </c>
      <c r="BA177" s="22">
        <v>-1.3677999999999999E-2</v>
      </c>
      <c r="BB177" s="22">
        <v>167</v>
      </c>
      <c r="BC177" s="22">
        <v>0.74029500000000004</v>
      </c>
      <c r="BD177">
        <f t="shared" si="34"/>
        <v>16.886419753086418</v>
      </c>
      <c r="BE177">
        <f t="shared" si="35"/>
        <v>12.512279785185184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0.93398999999999999</v>
      </c>
      <c r="H178" s="22">
        <v>6.88225</v>
      </c>
      <c r="I178" s="22">
        <v>-1.3473499999999999E-2</v>
      </c>
      <c r="J178" s="22">
        <v>168</v>
      </c>
      <c r="K178" s="22">
        <v>0.93261700000000003</v>
      </c>
      <c r="L178">
        <f t="shared" si="24"/>
        <v>16.633950617283947</v>
      </c>
      <c r="M178">
        <f t="shared" si="25"/>
        <v>15.535943537037033</v>
      </c>
      <c r="N178" s="9"/>
      <c r="O178" s="22">
        <v>0.74600200000000005</v>
      </c>
      <c r="P178" s="22">
        <v>10.661199999999999</v>
      </c>
      <c r="Q178" s="22">
        <v>-1.3623E-2</v>
      </c>
      <c r="R178" s="22">
        <v>168</v>
      </c>
      <c r="S178" s="22">
        <v>0.74526999999999999</v>
      </c>
      <c r="T178">
        <f t="shared" si="26"/>
        <v>16.818518518518516</v>
      </c>
      <c r="U178">
        <f t="shared" si="27"/>
        <v>12.546648451851851</v>
      </c>
      <c r="X178" s="9"/>
      <c r="Y178" s="22">
        <v>0.93398999999999999</v>
      </c>
      <c r="Z178" s="22">
        <v>16.172499999999999</v>
      </c>
      <c r="AA178" s="22">
        <v>-1.35132E-2</v>
      </c>
      <c r="AB178" s="22">
        <v>168</v>
      </c>
      <c r="AC178" s="22">
        <v>0.93292200000000003</v>
      </c>
      <c r="AD178">
        <f t="shared" si="28"/>
        <v>16.682962962962961</v>
      </c>
      <c r="AE178">
        <f t="shared" si="29"/>
        <v>15.581720577777775</v>
      </c>
      <c r="AF178" s="9"/>
      <c r="AG178" s="22">
        <v>0.74600200000000005</v>
      </c>
      <c r="AH178" s="22">
        <v>19.9514</v>
      </c>
      <c r="AI178" s="22">
        <v>-1.3644399999999999E-2</v>
      </c>
      <c r="AJ178" s="22">
        <v>168</v>
      </c>
      <c r="AK178" s="22">
        <v>0.74526999999999999</v>
      </c>
      <c r="AL178">
        <f t="shared" si="30"/>
        <v>16.844938271604939</v>
      </c>
      <c r="AM178">
        <f t="shared" si="31"/>
        <v>12.566357640493829</v>
      </c>
      <c r="AP178" s="9"/>
      <c r="AQ178" s="22">
        <v>0.93398999999999999</v>
      </c>
      <c r="AR178" s="22">
        <v>25.398700000000002</v>
      </c>
      <c r="AS178" s="22">
        <v>-1.35345E-2</v>
      </c>
      <c r="AT178" s="22">
        <v>168</v>
      </c>
      <c r="AU178" s="22">
        <v>0.93322799999999995</v>
      </c>
      <c r="AV178">
        <f t="shared" si="32"/>
        <v>16.709259259259255</v>
      </c>
      <c r="AW178">
        <f t="shared" si="33"/>
        <v>15.606281055555552</v>
      </c>
      <c r="AX178" s="9"/>
      <c r="AY178" s="22">
        <v>0.74600200000000005</v>
      </c>
      <c r="AZ178" s="22">
        <v>29.177600000000002</v>
      </c>
      <c r="BA178" s="22">
        <v>-1.3677999999999999E-2</v>
      </c>
      <c r="BB178" s="22">
        <v>168</v>
      </c>
      <c r="BC178" s="22">
        <v>0.74526999999999999</v>
      </c>
      <c r="BD178">
        <f t="shared" si="34"/>
        <v>16.886419753086418</v>
      </c>
      <c r="BE178">
        <f t="shared" si="35"/>
        <v>12.597302908641975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0.92895499999999998</v>
      </c>
      <c r="H179" s="22">
        <v>6.8923199999999998</v>
      </c>
      <c r="I179" s="22">
        <v>-1.34766E-2</v>
      </c>
      <c r="J179" s="22">
        <v>169</v>
      </c>
      <c r="K179" s="22">
        <v>0.92803999999999998</v>
      </c>
      <c r="L179">
        <f t="shared" si="24"/>
        <v>16.637777777777774</v>
      </c>
      <c r="M179">
        <f t="shared" si="25"/>
        <v>15.455746855555551</v>
      </c>
      <c r="N179" s="9"/>
      <c r="O179" s="22">
        <v>0.75103799999999998</v>
      </c>
      <c r="P179" s="22">
        <v>10.671200000000001</v>
      </c>
      <c r="Q179" s="22">
        <v>-1.362E-2</v>
      </c>
      <c r="R179" s="22">
        <v>169</v>
      </c>
      <c r="S179" s="22">
        <v>0.750336</v>
      </c>
      <c r="T179">
        <f t="shared" si="26"/>
        <v>16.814814814814813</v>
      </c>
      <c r="U179">
        <f t="shared" si="27"/>
        <v>12.628564888888887</v>
      </c>
      <c r="X179" s="9"/>
      <c r="Y179" s="22">
        <v>0.92895499999999998</v>
      </c>
      <c r="Z179" s="22">
        <v>16.182500000000001</v>
      </c>
      <c r="AA179" s="22">
        <v>-1.3516200000000001E-2</v>
      </c>
      <c r="AB179" s="22">
        <v>169</v>
      </c>
      <c r="AC179" s="22">
        <v>0.92803999999999998</v>
      </c>
      <c r="AD179">
        <f t="shared" si="28"/>
        <v>16.686666666666664</v>
      </c>
      <c r="AE179">
        <f t="shared" si="29"/>
        <v>15.501162433333331</v>
      </c>
      <c r="AF179" s="9"/>
      <c r="AG179" s="22">
        <v>0.75103799999999998</v>
      </c>
      <c r="AH179" s="22">
        <v>19.961400000000001</v>
      </c>
      <c r="AI179" s="22">
        <v>-1.3644399999999999E-2</v>
      </c>
      <c r="AJ179" s="22">
        <v>169</v>
      </c>
      <c r="AK179" s="22">
        <v>0.750305</v>
      </c>
      <c r="AL179">
        <f t="shared" si="30"/>
        <v>16.844938271604939</v>
      </c>
      <c r="AM179">
        <f t="shared" si="31"/>
        <v>12.651188749629629</v>
      </c>
      <c r="AP179" s="9"/>
      <c r="AQ179" s="22">
        <v>0.92895499999999998</v>
      </c>
      <c r="AR179" s="22">
        <v>25.408799999999999</v>
      </c>
      <c r="AS179" s="22">
        <v>-1.35376E-2</v>
      </c>
      <c r="AT179" s="22">
        <v>169</v>
      </c>
      <c r="AU179" s="22">
        <v>0.92803999999999998</v>
      </c>
      <c r="AV179">
        <f t="shared" si="32"/>
        <v>16.713086419753086</v>
      </c>
      <c r="AW179">
        <f t="shared" si="33"/>
        <v>15.525705195061727</v>
      </c>
      <c r="AX179" s="9"/>
      <c r="AY179" s="22">
        <v>0.75103799999999998</v>
      </c>
      <c r="AZ179" s="22">
        <v>29.1877</v>
      </c>
      <c r="BA179" s="22">
        <v>-1.3671900000000001E-2</v>
      </c>
      <c r="BB179" s="22">
        <v>169</v>
      </c>
      <c r="BC179" s="22">
        <v>0.75036599999999998</v>
      </c>
      <c r="BD179">
        <f t="shared" si="34"/>
        <v>16.878888888888888</v>
      </c>
      <c r="BE179">
        <f t="shared" si="35"/>
        <v>12.676686953333332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0.92391999999999996</v>
      </c>
      <c r="H180" s="22">
        <v>6.9023899999999996</v>
      </c>
      <c r="I180" s="22">
        <v>-1.34796E-2</v>
      </c>
      <c r="J180" s="22">
        <v>170</v>
      </c>
      <c r="K180" s="22">
        <v>0.92346200000000001</v>
      </c>
      <c r="L180">
        <f t="shared" si="24"/>
        <v>16.641481481481478</v>
      </c>
      <c r="M180">
        <f t="shared" si="25"/>
        <v>15.375397570370366</v>
      </c>
      <c r="N180" s="9"/>
      <c r="O180" s="22">
        <v>0.756073</v>
      </c>
      <c r="P180" s="22">
        <v>10.6813</v>
      </c>
      <c r="Q180" s="22">
        <v>-1.3616899999999999E-2</v>
      </c>
      <c r="R180" s="22">
        <v>170</v>
      </c>
      <c r="S180" s="22">
        <v>0.75470000000000004</v>
      </c>
      <c r="T180">
        <f t="shared" si="26"/>
        <v>16.810987654320986</v>
      </c>
      <c r="U180">
        <f t="shared" si="27"/>
        <v>12.71033386876543</v>
      </c>
      <c r="X180" s="9"/>
      <c r="Y180" s="22">
        <v>0.92391999999999996</v>
      </c>
      <c r="Z180" s="22">
        <v>16.192599999999999</v>
      </c>
      <c r="AA180" s="22">
        <v>-1.3516200000000001E-2</v>
      </c>
      <c r="AB180" s="22">
        <v>170</v>
      </c>
      <c r="AC180" s="22">
        <v>0.92254599999999998</v>
      </c>
      <c r="AD180">
        <f t="shared" si="28"/>
        <v>16.686666666666664</v>
      </c>
      <c r="AE180">
        <f t="shared" si="29"/>
        <v>15.417145066666663</v>
      </c>
      <c r="AF180" s="9"/>
      <c r="AG180" s="22">
        <v>0.756073</v>
      </c>
      <c r="AH180" s="22">
        <v>19.971499999999999</v>
      </c>
      <c r="AI180" s="22">
        <v>-1.3638300000000001E-2</v>
      </c>
      <c r="AJ180" s="22">
        <v>170</v>
      </c>
      <c r="AK180" s="22">
        <v>0.75470000000000004</v>
      </c>
      <c r="AL180">
        <f t="shared" si="30"/>
        <v>16.837407407407408</v>
      </c>
      <c r="AM180">
        <f t="shared" si="31"/>
        <v>12.730309130740741</v>
      </c>
      <c r="AP180" s="9"/>
      <c r="AQ180" s="22">
        <v>0.92391999999999996</v>
      </c>
      <c r="AR180" s="22">
        <v>25.418800000000001</v>
      </c>
      <c r="AS180" s="22">
        <v>-1.35406E-2</v>
      </c>
      <c r="AT180" s="22">
        <v>170</v>
      </c>
      <c r="AU180" s="22">
        <v>0.92315700000000001</v>
      </c>
      <c r="AV180">
        <f t="shared" si="32"/>
        <v>16.716790123456789</v>
      </c>
      <c r="AW180">
        <f t="shared" si="33"/>
        <v>15.444976730864196</v>
      </c>
      <c r="AX180" s="9"/>
      <c r="AY180" s="22">
        <v>0.756073</v>
      </c>
      <c r="AZ180" s="22">
        <v>29.197800000000001</v>
      </c>
      <c r="BA180" s="22">
        <v>-1.3665800000000001E-2</v>
      </c>
      <c r="BB180" s="22">
        <v>170</v>
      </c>
      <c r="BC180" s="22">
        <v>0.75531000000000004</v>
      </c>
      <c r="BD180">
        <f t="shared" si="34"/>
        <v>16.871358024691357</v>
      </c>
      <c r="BE180">
        <f t="shared" si="35"/>
        <v>12.755978275802468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0.91888400000000003</v>
      </c>
      <c r="H181" s="22">
        <v>6.9124600000000003</v>
      </c>
      <c r="I181" s="22">
        <v>-1.34857E-2</v>
      </c>
      <c r="J181" s="22">
        <v>171</v>
      </c>
      <c r="K181" s="22">
        <v>0.91766400000000004</v>
      </c>
      <c r="L181">
        <f t="shared" si="24"/>
        <v>16.649012345679012</v>
      </c>
      <c r="M181">
        <f t="shared" si="25"/>
        <v>15.298511060246913</v>
      </c>
      <c r="N181" s="9"/>
      <c r="O181" s="22">
        <v>0.76110800000000001</v>
      </c>
      <c r="P181" s="22">
        <v>10.6914</v>
      </c>
      <c r="Q181" s="22">
        <v>-1.36139E-2</v>
      </c>
      <c r="R181" s="22">
        <v>171</v>
      </c>
      <c r="S181" s="22">
        <v>0.76049800000000001</v>
      </c>
      <c r="T181">
        <f t="shared" si="26"/>
        <v>16.807283950617283</v>
      </c>
      <c r="U181">
        <f t="shared" si="27"/>
        <v>12.792158273086418</v>
      </c>
      <c r="X181" s="9"/>
      <c r="Y181" s="22">
        <v>0.91888400000000003</v>
      </c>
      <c r="Z181" s="22">
        <v>16.2027</v>
      </c>
      <c r="AA181" s="22">
        <v>-1.3522299999999999E-2</v>
      </c>
      <c r="AB181" s="22">
        <v>171</v>
      </c>
      <c r="AC181" s="22">
        <v>0.91705300000000001</v>
      </c>
      <c r="AD181">
        <f t="shared" si="28"/>
        <v>16.694197530864194</v>
      </c>
      <c r="AE181">
        <f t="shared" si="29"/>
        <v>15.340031003950616</v>
      </c>
      <c r="AF181" s="9"/>
      <c r="AG181" s="22">
        <v>0.76110800000000001</v>
      </c>
      <c r="AH181" s="22">
        <v>19.9816</v>
      </c>
      <c r="AI181" s="22">
        <v>-1.3632200000000001E-2</v>
      </c>
      <c r="AJ181" s="22">
        <v>171</v>
      </c>
      <c r="AK181" s="22">
        <v>0.76019300000000001</v>
      </c>
      <c r="AL181">
        <f t="shared" si="30"/>
        <v>16.829876543209878</v>
      </c>
      <c r="AM181">
        <f t="shared" si="31"/>
        <v>12.809353676049383</v>
      </c>
      <c r="AP181" s="9"/>
      <c r="AQ181" s="22">
        <v>0.91888400000000003</v>
      </c>
      <c r="AR181" s="22">
        <v>25.428899999999999</v>
      </c>
      <c r="AS181" s="22">
        <v>-1.35406E-2</v>
      </c>
      <c r="AT181" s="22">
        <v>171</v>
      </c>
      <c r="AU181" s="22">
        <v>0.91766400000000004</v>
      </c>
      <c r="AV181">
        <f t="shared" si="32"/>
        <v>16.716790123456789</v>
      </c>
      <c r="AW181">
        <f t="shared" si="33"/>
        <v>15.36079097580247</v>
      </c>
      <c r="AX181" s="9"/>
      <c r="AY181" s="22">
        <v>0.76110800000000001</v>
      </c>
      <c r="AZ181" s="22">
        <v>29.207899999999999</v>
      </c>
      <c r="BA181" s="22">
        <v>-1.36597E-2</v>
      </c>
      <c r="BB181" s="22">
        <v>171</v>
      </c>
      <c r="BC181" s="22">
        <v>0.76049800000000001</v>
      </c>
      <c r="BD181">
        <f t="shared" si="34"/>
        <v>16.863827160493827</v>
      </c>
      <c r="BE181">
        <f t="shared" si="35"/>
        <v>12.835193762469135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0.91384900000000002</v>
      </c>
      <c r="H182" s="22">
        <v>6.9225399999999997</v>
      </c>
      <c r="I182" s="22">
        <v>-1.3494900000000001E-2</v>
      </c>
      <c r="J182" s="22">
        <v>172</v>
      </c>
      <c r="K182" s="22">
        <v>0.91247599999999995</v>
      </c>
      <c r="L182">
        <f t="shared" si="24"/>
        <v>16.660370370370369</v>
      </c>
      <c r="M182">
        <f t="shared" si="25"/>
        <v>15.225062802592593</v>
      </c>
      <c r="N182" s="9"/>
      <c r="O182" s="22">
        <v>0.76614400000000005</v>
      </c>
      <c r="P182" s="22">
        <v>10.7014</v>
      </c>
      <c r="Q182" s="22">
        <v>-1.36078E-2</v>
      </c>
      <c r="R182" s="22">
        <v>172</v>
      </c>
      <c r="S182" s="22">
        <v>0.76538099999999998</v>
      </c>
      <c r="T182">
        <f t="shared" si="26"/>
        <v>16.799753086419752</v>
      </c>
      <c r="U182">
        <f t="shared" si="27"/>
        <v>12.871030028641975</v>
      </c>
      <c r="X182" s="9"/>
      <c r="Y182" s="22">
        <v>0.91384900000000002</v>
      </c>
      <c r="Z182" s="22">
        <v>16.212800000000001</v>
      </c>
      <c r="AA182" s="22">
        <v>-1.3528399999999999E-2</v>
      </c>
      <c r="AB182" s="22">
        <v>172</v>
      </c>
      <c r="AC182" s="22">
        <v>0.91278099999999995</v>
      </c>
      <c r="AD182">
        <f t="shared" si="28"/>
        <v>16.701728395061725</v>
      </c>
      <c r="AE182">
        <f t="shared" si="29"/>
        <v>15.262857792098762</v>
      </c>
      <c r="AF182" s="9"/>
      <c r="AG182" s="22">
        <v>0.76614400000000005</v>
      </c>
      <c r="AH182" s="22">
        <v>19.991700000000002</v>
      </c>
      <c r="AI182" s="22">
        <v>-1.36261E-2</v>
      </c>
      <c r="AJ182" s="22">
        <v>172</v>
      </c>
      <c r="AK182" s="22">
        <v>0.76477099999999998</v>
      </c>
      <c r="AL182">
        <f t="shared" si="30"/>
        <v>16.822345679012344</v>
      </c>
      <c r="AM182">
        <f t="shared" si="31"/>
        <v>12.888339207901234</v>
      </c>
      <c r="AP182" s="9"/>
      <c r="AQ182" s="22">
        <v>0.91384900000000002</v>
      </c>
      <c r="AR182" s="22">
        <v>25.439</v>
      </c>
      <c r="AS182" s="22">
        <v>-1.3543700000000001E-2</v>
      </c>
      <c r="AT182" s="22">
        <v>172</v>
      </c>
      <c r="AU182" s="22">
        <v>0.91278099999999995</v>
      </c>
      <c r="AV182">
        <f t="shared" si="32"/>
        <v>16.720617283950617</v>
      </c>
      <c r="AW182">
        <f t="shared" si="33"/>
        <v>15.280119384320987</v>
      </c>
      <c r="AX182" s="9"/>
      <c r="AY182" s="22">
        <v>0.76614400000000005</v>
      </c>
      <c r="AZ182" s="22">
        <v>29.2179</v>
      </c>
      <c r="BA182" s="22">
        <v>-1.36597E-2</v>
      </c>
      <c r="BB182" s="22">
        <v>172</v>
      </c>
      <c r="BC182" s="22">
        <v>0.76568599999999998</v>
      </c>
      <c r="BD182">
        <f t="shared" si="34"/>
        <v>16.863827160493827</v>
      </c>
      <c r="BE182">
        <f t="shared" si="35"/>
        <v>12.920119996049383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0.90881299999999998</v>
      </c>
      <c r="H183" s="22">
        <v>6.9326100000000004</v>
      </c>
      <c r="I183" s="22">
        <v>-1.3494900000000001E-2</v>
      </c>
      <c r="J183" s="22">
        <v>173</v>
      </c>
      <c r="K183" s="22">
        <v>0.90820299999999998</v>
      </c>
      <c r="L183">
        <f t="shared" si="24"/>
        <v>16.660370370370369</v>
      </c>
      <c r="M183">
        <f t="shared" si="25"/>
        <v>15.141161177407406</v>
      </c>
      <c r="N183" s="9"/>
      <c r="O183" s="22">
        <v>0.77117899999999995</v>
      </c>
      <c r="P183" s="22">
        <v>10.711499999999999</v>
      </c>
      <c r="Q183" s="22">
        <v>-1.3598600000000001E-2</v>
      </c>
      <c r="R183" s="22">
        <v>173</v>
      </c>
      <c r="S183" s="22">
        <v>0.77056899999999995</v>
      </c>
      <c r="T183">
        <f t="shared" si="26"/>
        <v>16.788395061728394</v>
      </c>
      <c r="U183">
        <f t="shared" si="27"/>
        <v>12.94685771530864</v>
      </c>
      <c r="X183" s="9"/>
      <c r="Y183" s="22">
        <v>0.90881299999999998</v>
      </c>
      <c r="Z183" s="22">
        <v>16.222799999999999</v>
      </c>
      <c r="AA183" s="22">
        <v>-1.35315E-2</v>
      </c>
      <c r="AB183" s="22">
        <v>173</v>
      </c>
      <c r="AC183" s="22">
        <v>0.90789799999999998</v>
      </c>
      <c r="AD183">
        <f t="shared" si="28"/>
        <v>16.705555555555552</v>
      </c>
      <c r="AE183">
        <f t="shared" si="29"/>
        <v>15.182226061111107</v>
      </c>
      <c r="AF183" s="9"/>
      <c r="AG183" s="22">
        <v>0.77117899999999995</v>
      </c>
      <c r="AH183" s="22">
        <v>20.0017</v>
      </c>
      <c r="AI183" s="22">
        <v>-1.3623E-2</v>
      </c>
      <c r="AJ183" s="22">
        <v>173</v>
      </c>
      <c r="AK183" s="22">
        <v>0.77056899999999995</v>
      </c>
      <c r="AL183">
        <f t="shared" si="30"/>
        <v>16.818518518518516</v>
      </c>
      <c r="AM183">
        <f t="shared" si="31"/>
        <v>12.970088292592591</v>
      </c>
      <c r="AP183" s="9"/>
      <c r="AQ183" s="22">
        <v>0.90881299999999998</v>
      </c>
      <c r="AR183" s="22">
        <v>25.449100000000001</v>
      </c>
      <c r="AS183" s="22">
        <v>-1.3549800000000001E-2</v>
      </c>
      <c r="AT183" s="22">
        <v>173</v>
      </c>
      <c r="AU183" s="22">
        <v>0.90820299999999998</v>
      </c>
      <c r="AV183">
        <f t="shared" si="32"/>
        <v>16.728148148148147</v>
      </c>
      <c r="AW183">
        <f t="shared" si="33"/>
        <v>15.202758502962961</v>
      </c>
      <c r="AX183" s="9"/>
      <c r="AY183" s="22">
        <v>0.77117899999999995</v>
      </c>
      <c r="AZ183" s="22">
        <v>29.228000000000002</v>
      </c>
      <c r="BA183" s="22">
        <v>-1.36536E-2</v>
      </c>
      <c r="BB183" s="22">
        <v>173</v>
      </c>
      <c r="BC183" s="22">
        <v>0.77056899999999995</v>
      </c>
      <c r="BD183">
        <f t="shared" si="34"/>
        <v>16.856296296296296</v>
      </c>
      <c r="BE183">
        <f t="shared" si="35"/>
        <v>12.999221721481481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0.90377799999999997</v>
      </c>
      <c r="H184" s="22">
        <v>6.9426800000000002</v>
      </c>
      <c r="I184" s="22">
        <v>-1.34979E-2</v>
      </c>
      <c r="J184" s="22">
        <v>174</v>
      </c>
      <c r="K184" s="22">
        <v>0.90271000000000001</v>
      </c>
      <c r="L184">
        <f t="shared" si="24"/>
        <v>16.664074074074072</v>
      </c>
      <c r="M184">
        <f t="shared" si="25"/>
        <v>15.060623538518517</v>
      </c>
      <c r="N184" s="9"/>
      <c r="O184" s="22">
        <v>0.77621499999999999</v>
      </c>
      <c r="P184" s="22">
        <v>10.7216</v>
      </c>
      <c r="Q184" s="22">
        <v>-1.3589499999999999E-2</v>
      </c>
      <c r="R184" s="22">
        <v>174</v>
      </c>
      <c r="S184" s="22">
        <v>0.77545200000000003</v>
      </c>
      <c r="T184">
        <f t="shared" si="26"/>
        <v>16.777160493827161</v>
      </c>
      <c r="U184">
        <f t="shared" si="27"/>
        <v>13.022683632716049</v>
      </c>
      <c r="X184" s="9"/>
      <c r="Y184" s="22">
        <v>0.90377799999999997</v>
      </c>
      <c r="Z184" s="22">
        <v>16.232900000000001</v>
      </c>
      <c r="AA184" s="22">
        <v>-1.35315E-2</v>
      </c>
      <c r="AB184" s="22">
        <v>174</v>
      </c>
      <c r="AC184" s="22">
        <v>0.90301500000000001</v>
      </c>
      <c r="AD184">
        <f t="shared" si="28"/>
        <v>16.705555555555552</v>
      </c>
      <c r="AE184">
        <f t="shared" si="29"/>
        <v>15.098113588888886</v>
      </c>
      <c r="AF184" s="9"/>
      <c r="AG184" s="22">
        <v>0.77621499999999999</v>
      </c>
      <c r="AH184" s="22">
        <v>20.011800000000001</v>
      </c>
      <c r="AI184" s="22">
        <v>-1.362E-2</v>
      </c>
      <c r="AJ184" s="22">
        <v>174</v>
      </c>
      <c r="AK184" s="22">
        <v>0.774841</v>
      </c>
      <c r="AL184">
        <f t="shared" si="30"/>
        <v>16.814814814814813</v>
      </c>
      <c r="AM184">
        <f t="shared" si="31"/>
        <v>13.051911481481479</v>
      </c>
      <c r="AP184" s="9"/>
      <c r="AQ184" s="22">
        <v>0.90377799999999997</v>
      </c>
      <c r="AR184" s="22">
        <v>25.459099999999999</v>
      </c>
      <c r="AS184" s="22">
        <v>-1.3549800000000001E-2</v>
      </c>
      <c r="AT184" s="22">
        <v>174</v>
      </c>
      <c r="AU184" s="22">
        <v>0.90301500000000001</v>
      </c>
      <c r="AV184">
        <f t="shared" si="32"/>
        <v>16.728148148148147</v>
      </c>
      <c r="AW184">
        <f t="shared" si="33"/>
        <v>15.118532277037035</v>
      </c>
      <c r="AX184" s="9"/>
      <c r="AY184" s="22">
        <v>0.77621499999999999</v>
      </c>
      <c r="AZ184" s="22">
        <v>29.238099999999999</v>
      </c>
      <c r="BA184" s="22">
        <v>-1.3644399999999999E-2</v>
      </c>
      <c r="BB184" s="22">
        <v>174</v>
      </c>
      <c r="BC184" s="22">
        <v>0.77545200000000003</v>
      </c>
      <c r="BD184">
        <f t="shared" si="34"/>
        <v>16.844938271604939</v>
      </c>
      <c r="BE184">
        <f t="shared" si="35"/>
        <v>13.075293760493826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0.89874299999999996</v>
      </c>
      <c r="H185" s="22">
        <v>6.95275</v>
      </c>
      <c r="I185" s="22">
        <v>-1.34979E-2</v>
      </c>
      <c r="J185" s="22">
        <v>175</v>
      </c>
      <c r="K185" s="22">
        <v>0.89752200000000004</v>
      </c>
      <c r="L185">
        <f t="shared" si="24"/>
        <v>16.664074074074072</v>
      </c>
      <c r="M185">
        <f t="shared" si="25"/>
        <v>14.976719925555553</v>
      </c>
      <c r="N185" s="9"/>
      <c r="O185" s="22">
        <v>0.78125</v>
      </c>
      <c r="P185" s="22">
        <v>10.7317</v>
      </c>
      <c r="Q185" s="22">
        <v>-1.35864E-2</v>
      </c>
      <c r="R185" s="22">
        <v>175</v>
      </c>
      <c r="S185" s="22">
        <v>0.780945</v>
      </c>
      <c r="T185">
        <f t="shared" si="26"/>
        <v>16.77333333333333</v>
      </c>
      <c r="U185">
        <f t="shared" si="27"/>
        <v>13.104166666666664</v>
      </c>
      <c r="X185" s="9"/>
      <c r="Y185" s="22">
        <v>0.89874299999999996</v>
      </c>
      <c r="Z185" s="22">
        <v>16.242999999999999</v>
      </c>
      <c r="AA185" s="22">
        <v>-1.3528399999999999E-2</v>
      </c>
      <c r="AB185" s="22">
        <v>175</v>
      </c>
      <c r="AC185" s="22">
        <v>0.89752200000000004</v>
      </c>
      <c r="AD185">
        <f t="shared" si="28"/>
        <v>16.701728395061725</v>
      </c>
      <c r="AE185">
        <f t="shared" si="29"/>
        <v>15.010561482962959</v>
      </c>
      <c r="AF185" s="9"/>
      <c r="AG185" s="22">
        <v>0.78125</v>
      </c>
      <c r="AH185" s="22">
        <v>20.021899999999999</v>
      </c>
      <c r="AI185" s="22">
        <v>-1.3616899999999999E-2</v>
      </c>
      <c r="AJ185" s="22">
        <v>175</v>
      </c>
      <c r="AK185" s="22">
        <v>0.77972399999999997</v>
      </c>
      <c r="AL185">
        <f t="shared" si="30"/>
        <v>16.810987654320986</v>
      </c>
      <c r="AM185">
        <f t="shared" si="31"/>
        <v>13.13358410493827</v>
      </c>
      <c r="AP185" s="9"/>
      <c r="AQ185" s="22">
        <v>0.89874299999999996</v>
      </c>
      <c r="AR185" s="22">
        <v>25.469200000000001</v>
      </c>
      <c r="AS185" s="22">
        <v>-1.35529E-2</v>
      </c>
      <c r="AT185" s="22">
        <v>175</v>
      </c>
      <c r="AU185" s="22">
        <v>0.89782700000000004</v>
      </c>
      <c r="AV185">
        <f t="shared" si="32"/>
        <v>16.731975308641974</v>
      </c>
      <c r="AW185">
        <f t="shared" si="33"/>
        <v>15.037745684814814</v>
      </c>
      <c r="AX185" s="9"/>
      <c r="AY185" s="22">
        <v>0.78125</v>
      </c>
      <c r="AZ185" s="22">
        <v>29.248100000000001</v>
      </c>
      <c r="BA185" s="22">
        <v>-1.3638300000000001E-2</v>
      </c>
      <c r="BB185" s="22">
        <v>175</v>
      </c>
      <c r="BC185" s="22">
        <v>0.78033399999999997</v>
      </c>
      <c r="BD185">
        <f t="shared" si="34"/>
        <v>16.837407407407408</v>
      </c>
      <c r="BE185">
        <f t="shared" si="35"/>
        <v>13.154224537037038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0.89370700000000003</v>
      </c>
      <c r="H186" s="22">
        <v>6.9628199999999998</v>
      </c>
      <c r="I186" s="22">
        <v>-1.34979E-2</v>
      </c>
      <c r="J186" s="22">
        <v>176</v>
      </c>
      <c r="K186" s="22">
        <v>0.89233399999999996</v>
      </c>
      <c r="L186">
        <f t="shared" si="24"/>
        <v>16.664074074074072</v>
      </c>
      <c r="M186">
        <f t="shared" si="25"/>
        <v>14.892799648518517</v>
      </c>
      <c r="N186" s="9"/>
      <c r="O186" s="22">
        <v>0.78628500000000001</v>
      </c>
      <c r="P186" s="22">
        <v>10.7417</v>
      </c>
      <c r="Q186" s="22">
        <v>-1.35864E-2</v>
      </c>
      <c r="R186" s="22">
        <v>176</v>
      </c>
      <c r="S186" s="22">
        <v>0.78491200000000005</v>
      </c>
      <c r="T186">
        <f t="shared" si="26"/>
        <v>16.77333333333333</v>
      </c>
      <c r="U186">
        <f t="shared" si="27"/>
        <v>13.188620399999998</v>
      </c>
      <c r="X186" s="9"/>
      <c r="Y186" s="22">
        <v>0.89370700000000003</v>
      </c>
      <c r="Z186" s="22">
        <v>16.253</v>
      </c>
      <c r="AA186" s="22">
        <v>-1.3528399999999999E-2</v>
      </c>
      <c r="AB186" s="22">
        <v>176</v>
      </c>
      <c r="AC186" s="22">
        <v>0.89324999999999999</v>
      </c>
      <c r="AD186">
        <f t="shared" si="28"/>
        <v>16.701728395061725</v>
      </c>
      <c r="AE186">
        <f t="shared" si="29"/>
        <v>14.926451578765429</v>
      </c>
      <c r="AF186" s="9"/>
      <c r="AG186" s="22">
        <v>0.78628500000000001</v>
      </c>
      <c r="AH186" s="22">
        <v>20.0319</v>
      </c>
      <c r="AI186" s="22">
        <v>-1.3616899999999999E-2</v>
      </c>
      <c r="AJ186" s="22">
        <v>176</v>
      </c>
      <c r="AK186" s="22">
        <v>0.78521700000000005</v>
      </c>
      <c r="AL186">
        <f t="shared" si="30"/>
        <v>16.810987654320986</v>
      </c>
      <c r="AM186">
        <f t="shared" si="31"/>
        <v>13.218227427777776</v>
      </c>
      <c r="AP186" s="9"/>
      <c r="AQ186" s="22">
        <v>0.89370700000000003</v>
      </c>
      <c r="AR186" s="22">
        <v>25.479299999999999</v>
      </c>
      <c r="AS186" s="22">
        <v>-1.3555899999999999E-2</v>
      </c>
      <c r="AT186" s="22">
        <v>176</v>
      </c>
      <c r="AU186" s="22">
        <v>0.89294399999999996</v>
      </c>
      <c r="AV186">
        <f t="shared" si="32"/>
        <v>16.735679012345678</v>
      </c>
      <c r="AW186">
        <f t="shared" si="33"/>
        <v>14.956793483086418</v>
      </c>
      <c r="AX186" s="9"/>
      <c r="AY186" s="22">
        <v>0.78628500000000001</v>
      </c>
      <c r="AZ186" s="22">
        <v>29.258199999999999</v>
      </c>
      <c r="BA186" s="22">
        <v>-1.3638300000000001E-2</v>
      </c>
      <c r="BB186" s="22">
        <v>176</v>
      </c>
      <c r="BC186" s="22">
        <v>0.78552200000000005</v>
      </c>
      <c r="BD186">
        <f t="shared" si="34"/>
        <v>16.837407407407408</v>
      </c>
      <c r="BE186">
        <f t="shared" si="35"/>
        <v>13.239000883333334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0.88867200000000002</v>
      </c>
      <c r="H187" s="22">
        <v>6.9728899999999996</v>
      </c>
      <c r="I187" s="22">
        <v>-1.3501000000000001E-2</v>
      </c>
      <c r="J187" s="22">
        <v>177</v>
      </c>
      <c r="K187" s="22">
        <v>0.88806200000000002</v>
      </c>
      <c r="L187">
        <f t="shared" si="24"/>
        <v>16.667901234567903</v>
      </c>
      <c r="M187">
        <f t="shared" si="25"/>
        <v>14.812297125925928</v>
      </c>
      <c r="N187" s="9"/>
      <c r="O187" s="22">
        <v>0.79132100000000005</v>
      </c>
      <c r="P187" s="22">
        <v>10.751799999999999</v>
      </c>
      <c r="Q187" s="22">
        <v>-1.3583400000000001E-2</v>
      </c>
      <c r="R187" s="22">
        <v>177</v>
      </c>
      <c r="S187" s="22">
        <v>0.79010000000000002</v>
      </c>
      <c r="T187">
        <f t="shared" si="26"/>
        <v>16.76962962962963</v>
      </c>
      <c r="U187">
        <f t="shared" si="27"/>
        <v>13.270160088148149</v>
      </c>
      <c r="X187" s="9"/>
      <c r="Y187" s="22">
        <v>0.88867200000000002</v>
      </c>
      <c r="Z187" s="22">
        <v>16.263100000000001</v>
      </c>
      <c r="AA187" s="22">
        <v>-1.35315E-2</v>
      </c>
      <c r="AB187" s="22">
        <v>177</v>
      </c>
      <c r="AC187" s="22">
        <v>0.88806200000000002</v>
      </c>
      <c r="AD187">
        <f t="shared" si="28"/>
        <v>16.705555555555552</v>
      </c>
      <c r="AE187">
        <f t="shared" si="29"/>
        <v>14.845759466666664</v>
      </c>
      <c r="AF187" s="9"/>
      <c r="AG187" s="22">
        <v>0.79132100000000005</v>
      </c>
      <c r="AH187" s="22">
        <v>20.042000000000002</v>
      </c>
      <c r="AI187" s="22">
        <v>-1.3616899999999999E-2</v>
      </c>
      <c r="AJ187" s="22">
        <v>177</v>
      </c>
      <c r="AK187" s="22">
        <v>0.79071000000000002</v>
      </c>
      <c r="AL187">
        <f t="shared" si="30"/>
        <v>16.810987654320986</v>
      </c>
      <c r="AM187">
        <f t="shared" si="31"/>
        <v>13.302887561604937</v>
      </c>
      <c r="AP187" s="9"/>
      <c r="AQ187" s="22">
        <v>0.88867200000000002</v>
      </c>
      <c r="AR187" s="22">
        <v>25.4893</v>
      </c>
      <c r="AS187" s="22">
        <v>-1.3559E-2</v>
      </c>
      <c r="AT187" s="22">
        <v>177</v>
      </c>
      <c r="AU187" s="22">
        <v>0.88836700000000002</v>
      </c>
      <c r="AV187">
        <f t="shared" si="32"/>
        <v>16.739506172839505</v>
      </c>
      <c r="AW187">
        <f t="shared" si="33"/>
        <v>14.875930429629628</v>
      </c>
      <c r="AX187" s="9"/>
      <c r="AY187" s="22">
        <v>0.79132100000000005</v>
      </c>
      <c r="AZ187" s="22">
        <v>29.2683</v>
      </c>
      <c r="BA187" s="22">
        <v>-1.3638300000000001E-2</v>
      </c>
      <c r="BB187" s="22">
        <v>177</v>
      </c>
      <c r="BC187" s="22">
        <v>0.79010000000000002</v>
      </c>
      <c r="BD187">
        <f t="shared" si="34"/>
        <v>16.837407407407408</v>
      </c>
      <c r="BE187">
        <f t="shared" si="35"/>
        <v>13.323794067037039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0.88363599999999998</v>
      </c>
      <c r="H188" s="22">
        <v>6.9829600000000003</v>
      </c>
      <c r="I188" s="22">
        <v>-1.34979E-2</v>
      </c>
      <c r="J188" s="22">
        <v>178</v>
      </c>
      <c r="K188" s="22">
        <v>0.88317900000000005</v>
      </c>
      <c r="L188">
        <f t="shared" si="24"/>
        <v>16.664074074074072</v>
      </c>
      <c r="M188">
        <f t="shared" si="25"/>
        <v>14.724975758518516</v>
      </c>
      <c r="N188" s="9"/>
      <c r="O188" s="22">
        <v>0.79635599999999995</v>
      </c>
      <c r="P188" s="22">
        <v>10.761900000000001</v>
      </c>
      <c r="Q188" s="22">
        <v>-1.35864E-2</v>
      </c>
      <c r="R188" s="22">
        <v>178</v>
      </c>
      <c r="S188" s="22">
        <v>0.79528799999999999</v>
      </c>
      <c r="T188">
        <f t="shared" si="26"/>
        <v>16.77333333333333</v>
      </c>
      <c r="U188">
        <f t="shared" si="27"/>
        <v>13.357544639999997</v>
      </c>
      <c r="X188" s="9"/>
      <c r="Y188" s="22">
        <v>0.88363599999999998</v>
      </c>
      <c r="Z188" s="22">
        <v>16.273199999999999</v>
      </c>
      <c r="AA188" s="22">
        <v>-1.35345E-2</v>
      </c>
      <c r="AB188" s="22">
        <v>178</v>
      </c>
      <c r="AC188" s="22">
        <v>0.88226300000000002</v>
      </c>
      <c r="AD188">
        <f t="shared" si="28"/>
        <v>16.709259259259255</v>
      </c>
      <c r="AE188">
        <f t="shared" si="29"/>
        <v>14.764903014814811</v>
      </c>
      <c r="AF188" s="9"/>
      <c r="AG188" s="22">
        <v>0.79635599999999995</v>
      </c>
      <c r="AH188" s="22">
        <v>20.052099999999999</v>
      </c>
      <c r="AI188" s="22">
        <v>-1.36139E-2</v>
      </c>
      <c r="AJ188" s="22">
        <v>178</v>
      </c>
      <c r="AK188" s="22">
        <v>0.79528799999999999</v>
      </c>
      <c r="AL188">
        <f t="shared" si="30"/>
        <v>16.807283950617283</v>
      </c>
      <c r="AM188">
        <f t="shared" si="31"/>
        <v>13.384581417777776</v>
      </c>
      <c r="AP188" s="9"/>
      <c r="AQ188" s="22">
        <v>0.88363599999999998</v>
      </c>
      <c r="AR188" s="22">
        <v>25.499400000000001</v>
      </c>
      <c r="AS188" s="22">
        <v>-1.3561999999999999E-2</v>
      </c>
      <c r="AT188" s="22">
        <v>178</v>
      </c>
      <c r="AU188" s="22">
        <v>0.88287400000000005</v>
      </c>
      <c r="AV188">
        <f t="shared" si="32"/>
        <v>16.743209876543208</v>
      </c>
      <c r="AW188">
        <f t="shared" si="33"/>
        <v>14.794903002469134</v>
      </c>
      <c r="AX188" s="9"/>
      <c r="AY188" s="22">
        <v>0.79635599999999995</v>
      </c>
      <c r="AZ188" s="22">
        <v>29.278300000000002</v>
      </c>
      <c r="BA188" s="22">
        <v>-1.3638300000000001E-2</v>
      </c>
      <c r="BB188" s="22">
        <v>178</v>
      </c>
      <c r="BC188" s="22">
        <v>0.794983</v>
      </c>
      <c r="BD188">
        <f t="shared" si="34"/>
        <v>16.837407407407408</v>
      </c>
      <c r="BE188">
        <f t="shared" si="35"/>
        <v>13.408570413333333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0.87860099999999997</v>
      </c>
      <c r="H189" s="22">
        <v>6.9930300000000001</v>
      </c>
      <c r="I189" s="22">
        <v>-1.3504E-2</v>
      </c>
      <c r="J189" s="22">
        <v>179</v>
      </c>
      <c r="K189" s="22">
        <v>0.87738000000000005</v>
      </c>
      <c r="L189">
        <f t="shared" si="24"/>
        <v>16.671604938271606</v>
      </c>
      <c r="M189">
        <f t="shared" si="25"/>
        <v>14.647688770370371</v>
      </c>
      <c r="N189" s="9"/>
      <c r="O189" s="22">
        <v>0.80139199999999999</v>
      </c>
      <c r="P189" s="22">
        <v>10.7719</v>
      </c>
      <c r="Q189" s="22">
        <v>-1.35803E-2</v>
      </c>
      <c r="R189" s="22">
        <v>179</v>
      </c>
      <c r="S189" s="22">
        <v>0.80078099999999997</v>
      </c>
      <c r="T189">
        <f t="shared" si="26"/>
        <v>16.765802469135803</v>
      </c>
      <c r="U189">
        <f t="shared" si="27"/>
        <v>13.435979972345679</v>
      </c>
      <c r="X189" s="9"/>
      <c r="Y189" s="22">
        <v>0.87860099999999997</v>
      </c>
      <c r="Z189" s="22">
        <v>16.283300000000001</v>
      </c>
      <c r="AA189" s="22">
        <v>-1.35406E-2</v>
      </c>
      <c r="AB189" s="22">
        <v>179</v>
      </c>
      <c r="AC189" s="22">
        <v>0.87738000000000005</v>
      </c>
      <c r="AD189">
        <f t="shared" si="28"/>
        <v>16.716790123456789</v>
      </c>
      <c r="AE189">
        <f t="shared" si="29"/>
        <v>14.687388519259258</v>
      </c>
      <c r="AF189" s="9"/>
      <c r="AG189" s="22">
        <v>0.80139199999999999</v>
      </c>
      <c r="AH189" s="22">
        <v>20.062200000000001</v>
      </c>
      <c r="AI189" s="22">
        <v>-1.3610799999999999E-2</v>
      </c>
      <c r="AJ189" s="22">
        <v>179</v>
      </c>
      <c r="AK189" s="22">
        <v>0.80078099999999997</v>
      </c>
      <c r="AL189">
        <f t="shared" si="30"/>
        <v>16.803456790123455</v>
      </c>
      <c r="AM189">
        <f t="shared" si="31"/>
        <v>13.466155843950617</v>
      </c>
      <c r="AP189" s="9"/>
      <c r="AQ189" s="22">
        <v>0.87860099999999997</v>
      </c>
      <c r="AR189" s="22">
        <v>25.509499999999999</v>
      </c>
      <c r="AS189" s="22">
        <v>-1.35681E-2</v>
      </c>
      <c r="AT189" s="22">
        <v>179</v>
      </c>
      <c r="AU189" s="22">
        <v>0.87738000000000005</v>
      </c>
      <c r="AV189">
        <f t="shared" si="32"/>
        <v>16.750740740740738</v>
      </c>
      <c r="AW189">
        <f t="shared" si="33"/>
        <v>14.717217565555552</v>
      </c>
      <c r="AX189" s="9"/>
      <c r="AY189" s="22">
        <v>0.80139199999999999</v>
      </c>
      <c r="AZ189" s="22">
        <v>29.288399999999999</v>
      </c>
      <c r="BA189" s="22">
        <v>-1.3638300000000001E-2</v>
      </c>
      <c r="BB189" s="22">
        <v>179</v>
      </c>
      <c r="BC189" s="22">
        <v>0.80078099999999997</v>
      </c>
      <c r="BD189">
        <f t="shared" si="34"/>
        <v>16.837407407407408</v>
      </c>
      <c r="BE189">
        <f t="shared" si="35"/>
        <v>13.493363597037037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0.87356599999999995</v>
      </c>
      <c r="H190" s="22">
        <v>7.0030999999999999</v>
      </c>
      <c r="I190" s="22">
        <v>-1.3504E-2</v>
      </c>
      <c r="J190" s="22">
        <v>180</v>
      </c>
      <c r="K190" s="22">
        <v>0.872803</v>
      </c>
      <c r="L190">
        <f t="shared" si="24"/>
        <v>16.671604938271606</v>
      </c>
      <c r="M190">
        <f t="shared" si="25"/>
        <v>14.563747239506174</v>
      </c>
      <c r="N190" s="9"/>
      <c r="O190" s="22">
        <v>0.806427</v>
      </c>
      <c r="P190" s="22">
        <v>10.782</v>
      </c>
      <c r="Q190" s="22">
        <v>-1.35773E-2</v>
      </c>
      <c r="R190" s="22">
        <v>180</v>
      </c>
      <c r="S190" s="22">
        <v>0.80474900000000005</v>
      </c>
      <c r="T190">
        <f t="shared" si="26"/>
        <v>16.7620987654321</v>
      </c>
      <c r="U190">
        <f t="shared" si="27"/>
        <v>13.517409021111112</v>
      </c>
      <c r="X190" s="9"/>
      <c r="Y190" s="22">
        <v>0.87356599999999995</v>
      </c>
      <c r="Z190" s="22">
        <v>16.293299999999999</v>
      </c>
      <c r="AA190" s="22">
        <v>-1.3543700000000001E-2</v>
      </c>
      <c r="AB190" s="22">
        <v>180</v>
      </c>
      <c r="AC190" s="22">
        <v>0.872803</v>
      </c>
      <c r="AD190">
        <f t="shared" si="28"/>
        <v>16.720617283950617</v>
      </c>
      <c r="AE190">
        <f t="shared" si="29"/>
        <v>14.606562758271604</v>
      </c>
      <c r="AF190" s="9"/>
      <c r="AG190" s="22">
        <v>0.806427</v>
      </c>
      <c r="AH190" s="22">
        <v>20.072199999999999</v>
      </c>
      <c r="AI190" s="22">
        <v>-1.3610799999999999E-2</v>
      </c>
      <c r="AJ190" s="22">
        <v>180</v>
      </c>
      <c r="AK190" s="22">
        <v>0.80535900000000005</v>
      </c>
      <c r="AL190">
        <f t="shared" si="30"/>
        <v>16.803456790123455</v>
      </c>
      <c r="AM190">
        <f t="shared" si="31"/>
        <v>13.550761248888888</v>
      </c>
      <c r="AP190" s="9"/>
      <c r="AQ190" s="22">
        <v>0.87356599999999995</v>
      </c>
      <c r="AR190" s="22">
        <v>25.519500000000001</v>
      </c>
      <c r="AS190" s="22">
        <v>-1.35712E-2</v>
      </c>
      <c r="AT190" s="22">
        <v>180</v>
      </c>
      <c r="AU190" s="22">
        <v>0.872803</v>
      </c>
      <c r="AV190">
        <f t="shared" si="32"/>
        <v>16.754567901234566</v>
      </c>
      <c r="AW190">
        <f t="shared" si="33"/>
        <v>14.636220863209873</v>
      </c>
      <c r="AX190" s="9"/>
      <c r="AY190" s="22">
        <v>0.806427</v>
      </c>
      <c r="AZ190" s="22">
        <v>29.298500000000001</v>
      </c>
      <c r="BA190" s="22">
        <v>-1.36353E-2</v>
      </c>
      <c r="BB190" s="22">
        <v>180</v>
      </c>
      <c r="BC190" s="22">
        <v>0.80505400000000005</v>
      </c>
      <c r="BD190">
        <f t="shared" si="34"/>
        <v>16.833703703703701</v>
      </c>
      <c r="BE190">
        <f t="shared" si="35"/>
        <v>13.575153176666666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0.86853000000000002</v>
      </c>
      <c r="H191" s="22">
        <v>7.0131699999999997</v>
      </c>
      <c r="I191" s="22">
        <v>-1.3501000000000001E-2</v>
      </c>
      <c r="J191" s="22">
        <v>181</v>
      </c>
      <c r="K191" s="22">
        <v>0.86731000000000003</v>
      </c>
      <c r="L191">
        <f t="shared" si="24"/>
        <v>16.667901234567903</v>
      </c>
      <c r="M191">
        <f t="shared" si="25"/>
        <v>14.476572259259262</v>
      </c>
      <c r="N191" s="9"/>
      <c r="O191" s="22">
        <v>0.81146200000000002</v>
      </c>
      <c r="P191" s="22">
        <v>10.7921</v>
      </c>
      <c r="Q191" s="22">
        <v>-1.35773E-2</v>
      </c>
      <c r="R191" s="22">
        <v>181</v>
      </c>
      <c r="S191" s="22">
        <v>0.81024200000000002</v>
      </c>
      <c r="T191">
        <f t="shared" si="26"/>
        <v>16.7620987654321</v>
      </c>
      <c r="U191">
        <f t="shared" si="27"/>
        <v>13.601806188395063</v>
      </c>
      <c r="X191" s="9"/>
      <c r="Y191" s="22">
        <v>0.86853000000000002</v>
      </c>
      <c r="Z191" s="22">
        <v>16.3034</v>
      </c>
      <c r="AA191" s="22">
        <v>-1.3546799999999999E-2</v>
      </c>
      <c r="AB191" s="22">
        <v>181</v>
      </c>
      <c r="AC191" s="22">
        <v>0.86822500000000002</v>
      </c>
      <c r="AD191">
        <f t="shared" si="28"/>
        <v>16.72444444444444</v>
      </c>
      <c r="AE191">
        <f t="shared" si="29"/>
        <v>14.525681733333331</v>
      </c>
      <c r="AF191" s="9"/>
      <c r="AG191" s="22">
        <v>0.81146200000000002</v>
      </c>
      <c r="AH191" s="22">
        <v>20.0823</v>
      </c>
      <c r="AI191" s="22">
        <v>-1.36017E-2</v>
      </c>
      <c r="AJ191" s="22">
        <v>181</v>
      </c>
      <c r="AK191" s="22">
        <v>0.81054700000000002</v>
      </c>
      <c r="AL191">
        <f t="shared" si="30"/>
        <v>16.792222222222222</v>
      </c>
      <c r="AM191">
        <f t="shared" si="31"/>
        <v>13.626250228888889</v>
      </c>
      <c r="AP191" s="9"/>
      <c r="AQ191" s="22">
        <v>0.86853000000000002</v>
      </c>
      <c r="AR191" s="22">
        <v>25.529599999999999</v>
      </c>
      <c r="AS191" s="22">
        <v>-1.35742E-2</v>
      </c>
      <c r="AT191" s="22">
        <v>181</v>
      </c>
      <c r="AU191" s="22">
        <v>0.86761500000000003</v>
      </c>
      <c r="AV191">
        <f t="shared" si="32"/>
        <v>16.758271604938273</v>
      </c>
      <c r="AW191">
        <f t="shared" si="33"/>
        <v>14.555061637037038</v>
      </c>
      <c r="AX191" s="9"/>
      <c r="AY191" s="22">
        <v>0.81146200000000002</v>
      </c>
      <c r="AZ191" s="22">
        <v>29.308599999999998</v>
      </c>
      <c r="BA191" s="22">
        <v>-1.3629199999999999E-2</v>
      </c>
      <c r="BB191" s="22">
        <v>181</v>
      </c>
      <c r="BC191" s="22">
        <v>0.81024200000000002</v>
      </c>
      <c r="BD191">
        <f t="shared" si="34"/>
        <v>16.826172839506171</v>
      </c>
      <c r="BE191">
        <f t="shared" si="35"/>
        <v>13.653799864691356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0.86349500000000001</v>
      </c>
      <c r="H192" s="22">
        <v>7.02325</v>
      </c>
      <c r="I192" s="22">
        <v>-1.3507099999999999E-2</v>
      </c>
      <c r="J192" s="22">
        <v>182</v>
      </c>
      <c r="K192" s="22">
        <v>0.86212200000000005</v>
      </c>
      <c r="L192">
        <f t="shared" si="24"/>
        <v>16.67543209876543</v>
      </c>
      <c r="M192">
        <f t="shared" si="25"/>
        <v>14.399152240123456</v>
      </c>
      <c r="N192" s="9"/>
      <c r="O192" s="22">
        <v>0.81649799999999995</v>
      </c>
      <c r="P192" s="22">
        <v>10.802199999999999</v>
      </c>
      <c r="Q192" s="22">
        <v>-1.35742E-2</v>
      </c>
      <c r="R192" s="22">
        <v>182</v>
      </c>
      <c r="S192" s="22">
        <v>0.81542999999999999</v>
      </c>
      <c r="T192">
        <f t="shared" si="26"/>
        <v>16.758271604938273</v>
      </c>
      <c r="U192">
        <f t="shared" si="27"/>
        <v>13.683095248888888</v>
      </c>
      <c r="X192" s="9"/>
      <c r="Y192" s="22">
        <v>0.86349500000000001</v>
      </c>
      <c r="Z192" s="22">
        <v>16.313500000000001</v>
      </c>
      <c r="AA192" s="22">
        <v>-1.35529E-2</v>
      </c>
      <c r="AB192" s="22">
        <v>182</v>
      </c>
      <c r="AC192" s="22">
        <v>0.86212200000000005</v>
      </c>
      <c r="AD192">
        <f t="shared" si="28"/>
        <v>16.731975308641974</v>
      </c>
      <c r="AE192">
        <f t="shared" si="29"/>
        <v>14.447977019135802</v>
      </c>
      <c r="AF192" s="9"/>
      <c r="AG192" s="22">
        <v>0.81649799999999995</v>
      </c>
      <c r="AH192" s="22">
        <v>20.092400000000001</v>
      </c>
      <c r="AI192" s="22">
        <v>-1.36017E-2</v>
      </c>
      <c r="AJ192" s="22">
        <v>182</v>
      </c>
      <c r="AK192" s="22">
        <v>0.81603999999999999</v>
      </c>
      <c r="AL192">
        <f t="shared" si="30"/>
        <v>16.792222222222222</v>
      </c>
      <c r="AM192">
        <f t="shared" si="31"/>
        <v>13.710815859999999</v>
      </c>
      <c r="AP192" s="9"/>
      <c r="AQ192" s="22">
        <v>0.86349500000000001</v>
      </c>
      <c r="AR192" s="22">
        <v>25.5397</v>
      </c>
      <c r="AS192" s="22">
        <v>-1.35742E-2</v>
      </c>
      <c r="AT192" s="22">
        <v>182</v>
      </c>
      <c r="AU192" s="22">
        <v>0.86273200000000005</v>
      </c>
      <c r="AV192">
        <f t="shared" si="32"/>
        <v>16.758271604938273</v>
      </c>
      <c r="AW192">
        <f t="shared" si="33"/>
        <v>14.470683739506175</v>
      </c>
      <c r="AX192" s="9"/>
      <c r="AY192" s="22">
        <v>0.81649799999999995</v>
      </c>
      <c r="AZ192" s="22">
        <v>29.3186</v>
      </c>
      <c r="BA192" s="22">
        <v>-1.3623E-2</v>
      </c>
      <c r="BB192" s="22">
        <v>182</v>
      </c>
      <c r="BC192" s="22">
        <v>0.81542999999999999</v>
      </c>
      <c r="BD192">
        <f t="shared" si="34"/>
        <v>16.818518518518516</v>
      </c>
      <c r="BE192">
        <f t="shared" si="35"/>
        <v>13.73228673333333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0.85845899999999997</v>
      </c>
      <c r="H193" s="22">
        <v>7.0333199999999998</v>
      </c>
      <c r="I193" s="22">
        <v>-1.3510100000000001E-2</v>
      </c>
      <c r="J193" s="22">
        <v>183</v>
      </c>
      <c r="K193" s="22">
        <v>0.85754399999999997</v>
      </c>
      <c r="L193">
        <f t="shared" si="24"/>
        <v>16.679135802469133</v>
      </c>
      <c r="M193">
        <f t="shared" si="25"/>
        <v>14.31835424185185</v>
      </c>
      <c r="N193" s="9"/>
      <c r="O193" s="22">
        <v>0.82153299999999996</v>
      </c>
      <c r="P193" s="22">
        <v>10.812200000000001</v>
      </c>
      <c r="Q193" s="22">
        <v>-1.35742E-2</v>
      </c>
      <c r="R193" s="22">
        <v>183</v>
      </c>
      <c r="S193" s="22">
        <v>0.82061799999999996</v>
      </c>
      <c r="T193">
        <f t="shared" si="26"/>
        <v>16.758271604938273</v>
      </c>
      <c r="U193">
        <f t="shared" si="27"/>
        <v>13.767473146419754</v>
      </c>
      <c r="X193" s="9"/>
      <c r="Y193" s="22">
        <v>0.85845899999999997</v>
      </c>
      <c r="Z193" s="22">
        <v>16.323499999999999</v>
      </c>
      <c r="AA193" s="22">
        <v>-1.3559E-2</v>
      </c>
      <c r="AB193" s="22">
        <v>183</v>
      </c>
      <c r="AC193" s="22">
        <v>0.85754399999999997</v>
      </c>
      <c r="AD193">
        <f t="shared" si="28"/>
        <v>16.739506172839505</v>
      </c>
      <c r="AE193">
        <f t="shared" si="29"/>
        <v>14.370179729629628</v>
      </c>
      <c r="AF193" s="9"/>
      <c r="AG193" s="22">
        <v>0.82153299999999996</v>
      </c>
      <c r="AH193" s="22">
        <v>20.102399999999999</v>
      </c>
      <c r="AI193" s="22">
        <v>-1.3595599999999999E-2</v>
      </c>
      <c r="AJ193" s="22">
        <v>183</v>
      </c>
      <c r="AK193" s="22">
        <v>0.82061799999999996</v>
      </c>
      <c r="AL193">
        <f t="shared" si="30"/>
        <v>16.784691358024691</v>
      </c>
      <c r="AM193">
        <f t="shared" si="31"/>
        <v>13.789177845432098</v>
      </c>
      <c r="AP193" s="9"/>
      <c r="AQ193" s="22">
        <v>0.85845899999999997</v>
      </c>
      <c r="AR193" s="22">
        <v>25.549800000000001</v>
      </c>
      <c r="AS193" s="22">
        <v>-1.35803E-2</v>
      </c>
      <c r="AT193" s="22">
        <v>183</v>
      </c>
      <c r="AU193" s="22">
        <v>0.85784899999999997</v>
      </c>
      <c r="AV193">
        <f t="shared" si="32"/>
        <v>16.765802469135803</v>
      </c>
      <c r="AW193">
        <f t="shared" si="33"/>
        <v>14.392754021851852</v>
      </c>
      <c r="AX193" s="9"/>
      <c r="AY193" s="22">
        <v>0.82153299999999996</v>
      </c>
      <c r="AZ193" s="22">
        <v>29.328700000000001</v>
      </c>
      <c r="BA193" s="22">
        <v>-1.3616899999999999E-2</v>
      </c>
      <c r="BB193" s="22">
        <v>183</v>
      </c>
      <c r="BC193" s="22">
        <v>0.82000700000000004</v>
      </c>
      <c r="BD193">
        <f t="shared" si="34"/>
        <v>16.810987654320986</v>
      </c>
      <c r="BE193">
        <f t="shared" si="35"/>
        <v>13.810781120617282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0.85342399999999996</v>
      </c>
      <c r="H194" s="22">
        <v>7.0433899999999996</v>
      </c>
      <c r="I194" s="22">
        <v>-1.3516200000000001E-2</v>
      </c>
      <c r="J194" s="22">
        <v>184</v>
      </c>
      <c r="K194" s="22">
        <v>0.852966</v>
      </c>
      <c r="L194">
        <f t="shared" si="24"/>
        <v>16.686666666666664</v>
      </c>
      <c r="M194">
        <f t="shared" si="25"/>
        <v>14.240801813333331</v>
      </c>
      <c r="N194" s="9"/>
      <c r="O194" s="22">
        <v>0.826569</v>
      </c>
      <c r="P194" s="22">
        <v>10.8223</v>
      </c>
      <c r="Q194" s="22">
        <v>-1.35742E-2</v>
      </c>
      <c r="R194" s="22">
        <v>184</v>
      </c>
      <c r="S194" s="22">
        <v>0.82580600000000004</v>
      </c>
      <c r="T194">
        <f t="shared" si="26"/>
        <v>16.758271604938273</v>
      </c>
      <c r="U194">
        <f t="shared" si="27"/>
        <v>13.851867802222223</v>
      </c>
      <c r="X194" s="9"/>
      <c r="Y194" s="22">
        <v>0.85342399999999996</v>
      </c>
      <c r="Z194" s="22">
        <v>16.333600000000001</v>
      </c>
      <c r="AA194" s="22">
        <v>-1.3555899999999999E-2</v>
      </c>
      <c r="AB194" s="22">
        <v>184</v>
      </c>
      <c r="AC194" s="22">
        <v>0.852356</v>
      </c>
      <c r="AD194">
        <f t="shared" si="28"/>
        <v>16.735679012345678</v>
      </c>
      <c r="AE194">
        <f t="shared" si="29"/>
        <v>14.282630125432096</v>
      </c>
      <c r="AF194" s="9"/>
      <c r="AG194" s="22">
        <v>0.826569</v>
      </c>
      <c r="AH194" s="22">
        <v>20.112500000000001</v>
      </c>
      <c r="AI194" s="22">
        <v>-1.3589499999999999E-2</v>
      </c>
      <c r="AJ194" s="22">
        <v>184</v>
      </c>
      <c r="AK194" s="22">
        <v>0.82550000000000001</v>
      </c>
      <c r="AL194">
        <f t="shared" si="30"/>
        <v>16.777160493827161</v>
      </c>
      <c r="AM194">
        <f t="shared" si="31"/>
        <v>13.867480772222223</v>
      </c>
      <c r="AP194" s="9"/>
      <c r="AQ194" s="22">
        <v>0.85342399999999996</v>
      </c>
      <c r="AR194" s="22">
        <v>25.559799999999999</v>
      </c>
      <c r="AS194" s="22">
        <v>-1.3589499999999999E-2</v>
      </c>
      <c r="AT194" s="22">
        <v>184</v>
      </c>
      <c r="AU194" s="22">
        <v>0.852051</v>
      </c>
      <c r="AV194">
        <f t="shared" si="32"/>
        <v>16.777160493827161</v>
      </c>
      <c r="AW194">
        <f t="shared" si="33"/>
        <v>14.318031417283951</v>
      </c>
      <c r="AX194" s="9"/>
      <c r="AY194" s="22">
        <v>0.826569</v>
      </c>
      <c r="AZ194" s="22">
        <v>29.338799999999999</v>
      </c>
      <c r="BA194" s="22">
        <v>-1.36139E-2</v>
      </c>
      <c r="BB194" s="22">
        <v>184</v>
      </c>
      <c r="BC194" s="22">
        <v>0.82611100000000004</v>
      </c>
      <c r="BD194">
        <f t="shared" si="34"/>
        <v>16.807283950617283</v>
      </c>
      <c r="BE194">
        <f t="shared" si="35"/>
        <v>13.892379887777777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0.84838899999999995</v>
      </c>
      <c r="H195" s="22">
        <v>7.0534600000000003</v>
      </c>
      <c r="I195" s="22">
        <v>-1.35193E-2</v>
      </c>
      <c r="J195" s="22">
        <v>185</v>
      </c>
      <c r="K195" s="22">
        <v>0.84747300000000003</v>
      </c>
      <c r="L195">
        <f t="shared" si="24"/>
        <v>16.690493827160495</v>
      </c>
      <c r="M195">
        <f t="shared" si="25"/>
        <v>14.160031367530864</v>
      </c>
      <c r="N195" s="9"/>
      <c r="O195" s="22">
        <v>0.83160400000000001</v>
      </c>
      <c r="P195" s="22">
        <v>10.8324</v>
      </c>
      <c r="Q195" s="22">
        <v>-1.35712E-2</v>
      </c>
      <c r="R195" s="22">
        <v>185</v>
      </c>
      <c r="S195" s="22">
        <v>0.83068799999999998</v>
      </c>
      <c r="T195">
        <f t="shared" si="26"/>
        <v>16.754567901234566</v>
      </c>
      <c r="U195">
        <f t="shared" si="27"/>
        <v>13.93316568493827</v>
      </c>
      <c r="X195" s="9"/>
      <c r="Y195" s="22">
        <v>0.84838899999999995</v>
      </c>
      <c r="Z195" s="22">
        <v>16.343699999999998</v>
      </c>
      <c r="AA195" s="22">
        <v>-1.3559E-2</v>
      </c>
      <c r="AB195" s="22">
        <v>185</v>
      </c>
      <c r="AC195" s="22">
        <v>0.84747300000000003</v>
      </c>
      <c r="AD195">
        <f t="shared" si="28"/>
        <v>16.739506172839505</v>
      </c>
      <c r="AE195">
        <f t="shared" si="29"/>
        <v>14.201612902469133</v>
      </c>
      <c r="AF195" s="9"/>
      <c r="AG195" s="22">
        <v>0.83160400000000001</v>
      </c>
      <c r="AH195" s="22">
        <v>20.122599999999998</v>
      </c>
      <c r="AI195" s="22">
        <v>-1.35803E-2</v>
      </c>
      <c r="AJ195" s="22">
        <v>185</v>
      </c>
      <c r="AK195" s="22">
        <v>0.83099400000000001</v>
      </c>
      <c r="AL195">
        <f t="shared" si="30"/>
        <v>16.765802469135803</v>
      </c>
      <c r="AM195">
        <f t="shared" si="31"/>
        <v>13.942508396543211</v>
      </c>
      <c r="AP195" s="9"/>
      <c r="AQ195" s="22">
        <v>0.84838899999999995</v>
      </c>
      <c r="AR195" s="22">
        <v>25.569900000000001</v>
      </c>
      <c r="AS195" s="22">
        <v>-1.3595599999999999E-2</v>
      </c>
      <c r="AT195" s="22">
        <v>185</v>
      </c>
      <c r="AU195" s="22">
        <v>0.84777800000000003</v>
      </c>
      <c r="AV195">
        <f t="shared" si="32"/>
        <v>16.784691358024691</v>
      </c>
      <c r="AW195">
        <f t="shared" si="33"/>
        <v>14.239947516543209</v>
      </c>
      <c r="AX195" s="9"/>
      <c r="AY195" s="22">
        <v>0.83160400000000001</v>
      </c>
      <c r="AZ195" s="22">
        <v>29.348800000000001</v>
      </c>
      <c r="BA195" s="22">
        <v>-1.3610799999999999E-2</v>
      </c>
      <c r="BB195" s="22">
        <v>185</v>
      </c>
      <c r="BC195" s="22">
        <v>0.83099400000000001</v>
      </c>
      <c r="BD195">
        <f t="shared" si="34"/>
        <v>16.803456790123455</v>
      </c>
      <c r="BE195">
        <f t="shared" si="35"/>
        <v>13.973821880493826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0.84335300000000002</v>
      </c>
      <c r="H196" s="22">
        <v>7.0635300000000001</v>
      </c>
      <c r="I196" s="22">
        <v>-1.3522299999999999E-2</v>
      </c>
      <c r="J196" s="22">
        <v>186</v>
      </c>
      <c r="K196" s="22">
        <v>0.84289599999999998</v>
      </c>
      <c r="L196">
        <f t="shared" si="24"/>
        <v>16.694197530864194</v>
      </c>
      <c r="M196">
        <f t="shared" si="25"/>
        <v>14.079101570246911</v>
      </c>
      <c r="N196" s="9"/>
      <c r="O196" s="22">
        <v>0.83663900000000002</v>
      </c>
      <c r="P196" s="22">
        <v>10.8424</v>
      </c>
      <c r="Q196" s="22">
        <v>-1.35681E-2</v>
      </c>
      <c r="R196" s="22">
        <v>186</v>
      </c>
      <c r="S196" s="22">
        <v>0.83557099999999995</v>
      </c>
      <c r="T196">
        <f t="shared" si="26"/>
        <v>16.750740740740738</v>
      </c>
      <c r="U196">
        <f t="shared" si="27"/>
        <v>14.01432298259259</v>
      </c>
      <c r="X196" s="9"/>
      <c r="Y196" s="22">
        <v>0.84335300000000002</v>
      </c>
      <c r="Z196" s="22">
        <v>16.3538</v>
      </c>
      <c r="AA196" s="22">
        <v>-1.3561999999999999E-2</v>
      </c>
      <c r="AB196" s="22">
        <v>186</v>
      </c>
      <c r="AC196" s="22">
        <v>0.84258999999999995</v>
      </c>
      <c r="AD196">
        <f t="shared" si="28"/>
        <v>16.743209876543208</v>
      </c>
      <c r="AE196">
        <f t="shared" si="29"/>
        <v>14.120436279012344</v>
      </c>
      <c r="AF196" s="9"/>
      <c r="AG196" s="22">
        <v>0.83663900000000002</v>
      </c>
      <c r="AH196" s="22">
        <v>20.1327</v>
      </c>
      <c r="AI196" s="22">
        <v>-1.35773E-2</v>
      </c>
      <c r="AJ196" s="22">
        <v>186</v>
      </c>
      <c r="AK196" s="22">
        <v>0.83496099999999995</v>
      </c>
      <c r="AL196">
        <f t="shared" si="30"/>
        <v>16.7620987654321</v>
      </c>
      <c r="AM196">
        <f t="shared" si="31"/>
        <v>14.023825549012347</v>
      </c>
      <c r="AP196" s="9"/>
      <c r="AQ196" s="22">
        <v>0.84335300000000002</v>
      </c>
      <c r="AR196" s="22">
        <v>25.58</v>
      </c>
      <c r="AS196" s="22">
        <v>-1.3598600000000001E-2</v>
      </c>
      <c r="AT196" s="22">
        <v>186</v>
      </c>
      <c r="AU196" s="22">
        <v>0.84228499999999995</v>
      </c>
      <c r="AV196">
        <f t="shared" si="32"/>
        <v>16.788395061728394</v>
      </c>
      <c r="AW196">
        <f t="shared" si="33"/>
        <v>14.158543340493827</v>
      </c>
      <c r="AX196" s="9"/>
      <c r="AY196" s="22">
        <v>0.83663900000000002</v>
      </c>
      <c r="AZ196" s="22">
        <v>29.358899999999998</v>
      </c>
      <c r="BA196" s="22">
        <v>-1.3610799999999999E-2</v>
      </c>
      <c r="BB196" s="22">
        <v>186</v>
      </c>
      <c r="BC196" s="22">
        <v>0.83587599999999995</v>
      </c>
      <c r="BD196">
        <f t="shared" si="34"/>
        <v>16.803456790123455</v>
      </c>
      <c r="BE196">
        <f t="shared" si="35"/>
        <v>14.058427285432098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0.83831800000000001</v>
      </c>
      <c r="H197" s="22">
        <v>7.0735999999999999</v>
      </c>
      <c r="I197" s="22">
        <v>-1.3528399999999999E-2</v>
      </c>
      <c r="J197" s="22">
        <v>187</v>
      </c>
      <c r="K197" s="22">
        <v>0.83709699999999998</v>
      </c>
      <c r="L197">
        <f t="shared" si="24"/>
        <v>16.701728395061725</v>
      </c>
      <c r="M197">
        <f t="shared" si="25"/>
        <v>14.001359544691356</v>
      </c>
      <c r="N197" s="9"/>
      <c r="O197" s="22">
        <v>0.84167499999999995</v>
      </c>
      <c r="P197" s="22">
        <v>10.852499999999999</v>
      </c>
      <c r="Q197" s="22">
        <v>-1.35651E-2</v>
      </c>
      <c r="R197" s="22">
        <v>187</v>
      </c>
      <c r="S197" s="22">
        <v>0.84167499999999995</v>
      </c>
      <c r="T197">
        <f t="shared" si="26"/>
        <v>16.747037037037035</v>
      </c>
      <c r="U197">
        <f t="shared" si="27"/>
        <v>14.095562398148147</v>
      </c>
      <c r="X197" s="9"/>
      <c r="Y197" s="22">
        <v>0.83831800000000001</v>
      </c>
      <c r="Z197" s="22">
        <v>16.363800000000001</v>
      </c>
      <c r="AA197" s="22">
        <v>-1.3561999999999999E-2</v>
      </c>
      <c r="AB197" s="22">
        <v>187</v>
      </c>
      <c r="AC197" s="22">
        <v>0.83740199999999998</v>
      </c>
      <c r="AD197">
        <f t="shared" si="28"/>
        <v>16.743209876543208</v>
      </c>
      <c r="AE197">
        <f t="shared" si="29"/>
        <v>14.03613421728395</v>
      </c>
      <c r="AF197" s="9"/>
      <c r="AG197" s="22">
        <v>0.84167499999999995</v>
      </c>
      <c r="AH197" s="22">
        <v>20.142700000000001</v>
      </c>
      <c r="AI197" s="22">
        <v>-1.35712E-2</v>
      </c>
      <c r="AJ197" s="22">
        <v>187</v>
      </c>
      <c r="AK197" s="22">
        <v>0.84106400000000003</v>
      </c>
      <c r="AL197">
        <f t="shared" si="30"/>
        <v>16.754567901234566</v>
      </c>
      <c r="AM197">
        <f t="shared" si="31"/>
        <v>14.101900938271603</v>
      </c>
      <c r="AP197" s="9"/>
      <c r="AQ197" s="22">
        <v>0.83831800000000001</v>
      </c>
      <c r="AR197" s="22">
        <v>25.59</v>
      </c>
      <c r="AS197" s="22">
        <v>-1.36017E-2</v>
      </c>
      <c r="AT197" s="22">
        <v>187</v>
      </c>
      <c r="AU197" s="22">
        <v>0.83770800000000001</v>
      </c>
      <c r="AV197">
        <f t="shared" si="32"/>
        <v>16.792222222222222</v>
      </c>
      <c r="AW197">
        <f t="shared" si="33"/>
        <v>14.077222148888888</v>
      </c>
      <c r="AX197" s="9"/>
      <c r="AY197" s="22">
        <v>0.84167499999999995</v>
      </c>
      <c r="AZ197" s="22">
        <v>29.369</v>
      </c>
      <c r="BA197" s="22">
        <v>-1.36139E-2</v>
      </c>
      <c r="BB197" s="22">
        <v>187</v>
      </c>
      <c r="BC197" s="22">
        <v>0.84045400000000003</v>
      </c>
      <c r="BD197">
        <f t="shared" si="34"/>
        <v>16.807283950617283</v>
      </c>
      <c r="BE197">
        <f t="shared" si="35"/>
        <v>14.146270719135801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0.83328199999999997</v>
      </c>
      <c r="H198" s="22">
        <v>7.0836699999999997</v>
      </c>
      <c r="I198" s="22">
        <v>-1.3528399999999999E-2</v>
      </c>
      <c r="J198" s="22">
        <v>188</v>
      </c>
      <c r="K198" s="22">
        <v>0.83221400000000001</v>
      </c>
      <c r="L198">
        <f t="shared" si="24"/>
        <v>16.701728395061725</v>
      </c>
      <c r="M198">
        <f t="shared" si="25"/>
        <v>13.917249640493823</v>
      </c>
      <c r="N198" s="9"/>
      <c r="O198" s="22">
        <v>0.84670999999999996</v>
      </c>
      <c r="P198" s="22">
        <v>10.8626</v>
      </c>
      <c r="Q198" s="22">
        <v>-1.3561999999999999E-2</v>
      </c>
      <c r="R198" s="22">
        <v>188</v>
      </c>
      <c r="S198" s="22">
        <v>0.845642</v>
      </c>
      <c r="T198">
        <f t="shared" si="26"/>
        <v>16.743209876543208</v>
      </c>
      <c r="U198">
        <f t="shared" si="27"/>
        <v>14.1766432345679</v>
      </c>
      <c r="X198" s="9"/>
      <c r="Y198" s="22">
        <v>0.83328199999999997</v>
      </c>
      <c r="Z198" s="22">
        <v>16.373899999999999</v>
      </c>
      <c r="AA198" s="22">
        <v>-1.35651E-2</v>
      </c>
      <c r="AB198" s="22">
        <v>188</v>
      </c>
      <c r="AC198" s="22">
        <v>0.83252000000000004</v>
      </c>
      <c r="AD198">
        <f t="shared" si="28"/>
        <v>16.747037037037035</v>
      </c>
      <c r="AE198">
        <f t="shared" si="29"/>
        <v>13.955004516296295</v>
      </c>
      <c r="AF198" s="9"/>
      <c r="AG198" s="22">
        <v>0.84670999999999996</v>
      </c>
      <c r="AH198" s="22">
        <v>20.152799999999999</v>
      </c>
      <c r="AI198" s="22">
        <v>-1.35651E-2</v>
      </c>
      <c r="AJ198" s="22">
        <v>188</v>
      </c>
      <c r="AK198" s="22">
        <v>0.845642</v>
      </c>
      <c r="AL198">
        <f t="shared" si="30"/>
        <v>16.747037037037035</v>
      </c>
      <c r="AM198">
        <f t="shared" si="31"/>
        <v>14.179883729629628</v>
      </c>
      <c r="AP198" s="9"/>
      <c r="AQ198" s="22">
        <v>0.83328199999999997</v>
      </c>
      <c r="AR198" s="22">
        <v>25.600100000000001</v>
      </c>
      <c r="AS198" s="22">
        <v>-1.3604700000000001E-2</v>
      </c>
      <c r="AT198" s="22">
        <v>188</v>
      </c>
      <c r="AU198" s="22">
        <v>0.83282500000000004</v>
      </c>
      <c r="AV198">
        <f t="shared" si="32"/>
        <v>16.795925925925925</v>
      </c>
      <c r="AW198">
        <f t="shared" si="33"/>
        <v>13.995742747407405</v>
      </c>
      <c r="AX198" s="9"/>
      <c r="AY198" s="22">
        <v>0.84670999999999996</v>
      </c>
      <c r="AZ198" s="22">
        <v>29.379100000000001</v>
      </c>
      <c r="BA198" s="22">
        <v>-1.36139E-2</v>
      </c>
      <c r="BB198" s="22">
        <v>188</v>
      </c>
      <c r="BC198" s="22">
        <v>0.845947</v>
      </c>
      <c r="BD198">
        <f t="shared" si="34"/>
        <v>16.807283950617283</v>
      </c>
      <c r="BE198">
        <f t="shared" si="35"/>
        <v>14.23089539382716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0.82824699999999996</v>
      </c>
      <c r="H199" s="22">
        <v>7.0937400000000004</v>
      </c>
      <c r="I199" s="22">
        <v>-1.35345E-2</v>
      </c>
      <c r="J199" s="22">
        <v>189</v>
      </c>
      <c r="K199" s="22">
        <v>0.82794199999999996</v>
      </c>
      <c r="L199">
        <f t="shared" si="24"/>
        <v>16.709259259259255</v>
      </c>
      <c r="M199">
        <f t="shared" si="25"/>
        <v>13.839393853703699</v>
      </c>
      <c r="N199" s="9"/>
      <c r="O199" s="22">
        <v>0.851746</v>
      </c>
      <c r="P199" s="22">
        <v>10.8726</v>
      </c>
      <c r="Q199" s="22">
        <v>-1.3555899999999999E-2</v>
      </c>
      <c r="R199" s="22">
        <v>189</v>
      </c>
      <c r="S199" s="22">
        <v>0.85082999999999998</v>
      </c>
      <c r="T199">
        <f t="shared" si="26"/>
        <v>16.735679012345678</v>
      </c>
      <c r="U199">
        <f t="shared" si="27"/>
        <v>14.254547656049381</v>
      </c>
      <c r="X199" s="9"/>
      <c r="Y199" s="22">
        <v>0.82824699999999996</v>
      </c>
      <c r="Z199" s="22">
        <v>16.384</v>
      </c>
      <c r="AA199" s="22">
        <v>-1.35712E-2</v>
      </c>
      <c r="AB199" s="22">
        <v>189</v>
      </c>
      <c r="AC199" s="22">
        <v>0.82733199999999996</v>
      </c>
      <c r="AD199">
        <f t="shared" si="28"/>
        <v>16.754567901234566</v>
      </c>
      <c r="AE199">
        <f t="shared" si="29"/>
        <v>13.876920600493825</v>
      </c>
      <c r="AF199" s="9"/>
      <c r="AG199" s="22">
        <v>0.851746</v>
      </c>
      <c r="AH199" s="22">
        <v>20.1629</v>
      </c>
      <c r="AI199" s="22">
        <v>-1.3559E-2</v>
      </c>
      <c r="AJ199" s="22">
        <v>189</v>
      </c>
      <c r="AK199" s="22">
        <v>0.85082999999999998</v>
      </c>
      <c r="AL199">
        <f t="shared" si="30"/>
        <v>16.739506172839505</v>
      </c>
      <c r="AM199">
        <f t="shared" si="31"/>
        <v>14.257807424691357</v>
      </c>
      <c r="AP199" s="9"/>
      <c r="AQ199" s="22">
        <v>0.82824699999999996</v>
      </c>
      <c r="AR199" s="22">
        <v>25.610199999999999</v>
      </c>
      <c r="AS199" s="22">
        <v>-1.3610799999999999E-2</v>
      </c>
      <c r="AT199" s="22">
        <v>189</v>
      </c>
      <c r="AU199" s="22">
        <v>0.82672100000000004</v>
      </c>
      <c r="AV199">
        <f t="shared" si="32"/>
        <v>16.803456790123455</v>
      </c>
      <c r="AW199">
        <f t="shared" si="33"/>
        <v>13.917412676049381</v>
      </c>
      <c r="AX199" s="9"/>
      <c r="AY199" s="22">
        <v>0.851746</v>
      </c>
      <c r="AZ199" s="22">
        <v>29.389099999999999</v>
      </c>
      <c r="BA199" s="22">
        <v>-1.3610799999999999E-2</v>
      </c>
      <c r="BB199" s="22">
        <v>189</v>
      </c>
      <c r="BC199" s="22">
        <v>0.85021999999999998</v>
      </c>
      <c r="BD199">
        <f t="shared" si="34"/>
        <v>16.803456790123455</v>
      </c>
      <c r="BE199">
        <f t="shared" si="35"/>
        <v>14.312277107160492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0.82321200000000005</v>
      </c>
      <c r="H200" s="22">
        <v>7.1038100000000002</v>
      </c>
      <c r="I200" s="22">
        <v>-1.35376E-2</v>
      </c>
      <c r="J200" s="22">
        <v>190</v>
      </c>
      <c r="K200" s="22">
        <v>0.82275399999999999</v>
      </c>
      <c r="L200">
        <f t="shared" si="24"/>
        <v>16.713086419753086</v>
      </c>
      <c r="M200">
        <f t="shared" si="25"/>
        <v>13.758413297777778</v>
      </c>
      <c r="N200" s="9"/>
      <c r="O200" s="22">
        <v>0.85678100000000001</v>
      </c>
      <c r="P200" s="22">
        <v>10.8827</v>
      </c>
      <c r="Q200" s="22">
        <v>-1.35529E-2</v>
      </c>
      <c r="R200" s="22">
        <v>190</v>
      </c>
      <c r="S200" s="22">
        <v>0.85601799999999995</v>
      </c>
      <c r="T200">
        <f t="shared" si="26"/>
        <v>16.731975308641974</v>
      </c>
      <c r="U200">
        <f t="shared" si="27"/>
        <v>14.33563853691358</v>
      </c>
      <c r="X200" s="9"/>
      <c r="Y200" s="22">
        <v>0.82321200000000005</v>
      </c>
      <c r="Z200" s="22">
        <v>16.393999999999998</v>
      </c>
      <c r="AA200" s="22">
        <v>-1.35773E-2</v>
      </c>
      <c r="AB200" s="22">
        <v>190</v>
      </c>
      <c r="AC200" s="22">
        <v>0.82244899999999999</v>
      </c>
      <c r="AD200">
        <f t="shared" si="28"/>
        <v>16.7620987654321</v>
      </c>
      <c r="AE200">
        <f t="shared" si="29"/>
        <v>13.798760848888891</v>
      </c>
      <c r="AF200" s="9"/>
      <c r="AG200" s="22">
        <v>0.85678100000000001</v>
      </c>
      <c r="AH200" s="22">
        <v>20.172899999999998</v>
      </c>
      <c r="AI200" s="22">
        <v>-1.35529E-2</v>
      </c>
      <c r="AJ200" s="22">
        <v>190</v>
      </c>
      <c r="AK200" s="22">
        <v>0.85601799999999995</v>
      </c>
      <c r="AL200">
        <f t="shared" si="30"/>
        <v>16.731975308641974</v>
      </c>
      <c r="AM200">
        <f t="shared" si="31"/>
        <v>14.33563853691358</v>
      </c>
      <c r="AP200" s="9"/>
      <c r="AQ200" s="22">
        <v>0.82321200000000005</v>
      </c>
      <c r="AR200" s="22">
        <v>25.6203</v>
      </c>
      <c r="AS200" s="22">
        <v>-1.36139E-2</v>
      </c>
      <c r="AT200" s="22">
        <v>190</v>
      </c>
      <c r="AU200" s="22">
        <v>0.82214399999999999</v>
      </c>
      <c r="AV200">
        <f t="shared" si="32"/>
        <v>16.807283950617283</v>
      </c>
      <c r="AW200">
        <f t="shared" si="33"/>
        <v>13.835957835555556</v>
      </c>
      <c r="AX200" s="9"/>
      <c r="AY200" s="22">
        <v>0.85678100000000001</v>
      </c>
      <c r="AZ200" s="22">
        <v>29.3992</v>
      </c>
      <c r="BA200" s="22">
        <v>-1.36078E-2</v>
      </c>
      <c r="BB200" s="22">
        <v>190</v>
      </c>
      <c r="BC200" s="22">
        <v>0.85601799999999995</v>
      </c>
      <c r="BD200">
        <f t="shared" si="34"/>
        <v>16.799753086419752</v>
      </c>
      <c r="BE200">
        <f t="shared" si="35"/>
        <v>14.393709249135801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0.81817600000000001</v>
      </c>
      <c r="H201" s="22">
        <v>7.11388</v>
      </c>
      <c r="I201" s="22">
        <v>-1.3543700000000001E-2</v>
      </c>
      <c r="J201" s="22">
        <v>191</v>
      </c>
      <c r="K201" s="22">
        <v>0.81726100000000002</v>
      </c>
      <c r="L201">
        <f t="shared" si="24"/>
        <v>16.720617283950617</v>
      </c>
      <c r="M201">
        <f t="shared" si="25"/>
        <v>13.68040776691358</v>
      </c>
      <c r="N201" s="9"/>
      <c r="O201" s="22">
        <v>0.86181600000000003</v>
      </c>
      <c r="P201" s="22">
        <v>10.892799999999999</v>
      </c>
      <c r="Q201" s="22">
        <v>-1.35529E-2</v>
      </c>
      <c r="R201" s="22">
        <v>191</v>
      </c>
      <c r="S201" s="22">
        <v>0.86059600000000003</v>
      </c>
      <c r="T201">
        <f t="shared" si="26"/>
        <v>16.731975308641974</v>
      </c>
      <c r="U201">
        <f t="shared" si="27"/>
        <v>14.419884032592591</v>
      </c>
      <c r="X201" s="9"/>
      <c r="Y201" s="22">
        <v>0.81817600000000001</v>
      </c>
      <c r="Z201" s="22">
        <v>16.4041</v>
      </c>
      <c r="AA201" s="22">
        <v>-1.3583400000000001E-2</v>
      </c>
      <c r="AB201" s="22">
        <v>191</v>
      </c>
      <c r="AC201" s="22">
        <v>0.81756600000000001</v>
      </c>
      <c r="AD201">
        <f t="shared" si="28"/>
        <v>16.76962962962963</v>
      </c>
      <c r="AE201">
        <f t="shared" si="29"/>
        <v>13.720508491851852</v>
      </c>
      <c r="AF201" s="9"/>
      <c r="AG201" s="22">
        <v>0.86181600000000003</v>
      </c>
      <c r="AH201" s="22">
        <v>20.183</v>
      </c>
      <c r="AI201" s="22">
        <v>-1.3555899999999999E-2</v>
      </c>
      <c r="AJ201" s="22">
        <v>191</v>
      </c>
      <c r="AK201" s="22">
        <v>0.86090100000000003</v>
      </c>
      <c r="AL201">
        <f t="shared" si="30"/>
        <v>16.735679012345678</v>
      </c>
      <c r="AM201">
        <f t="shared" si="31"/>
        <v>14.423075943703703</v>
      </c>
      <c r="AP201" s="9"/>
      <c r="AQ201" s="22">
        <v>0.81817600000000001</v>
      </c>
      <c r="AR201" s="22">
        <v>25.630299999999998</v>
      </c>
      <c r="AS201" s="22">
        <v>-1.362E-2</v>
      </c>
      <c r="AT201" s="22">
        <v>191</v>
      </c>
      <c r="AU201" s="22">
        <v>0.81726100000000002</v>
      </c>
      <c r="AV201">
        <f t="shared" si="32"/>
        <v>16.814814814814813</v>
      </c>
      <c r="AW201">
        <f t="shared" si="33"/>
        <v>13.757477925925924</v>
      </c>
      <c r="AX201" s="9"/>
      <c r="AY201" s="22">
        <v>0.86181600000000003</v>
      </c>
      <c r="AZ201" s="22">
        <v>29.409300000000002</v>
      </c>
      <c r="BA201" s="22">
        <v>-1.3604700000000001E-2</v>
      </c>
      <c r="BB201" s="22">
        <v>191</v>
      </c>
      <c r="BC201" s="22">
        <v>0.86120600000000003</v>
      </c>
      <c r="BD201">
        <f t="shared" si="34"/>
        <v>16.795925925925925</v>
      </c>
      <c r="BE201">
        <f t="shared" si="35"/>
        <v>14.474997697777777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0.813141</v>
      </c>
      <c r="H202" s="22">
        <v>7.1239600000000003</v>
      </c>
      <c r="I202" s="22">
        <v>-1.3549800000000001E-2</v>
      </c>
      <c r="J202" s="22">
        <v>192</v>
      </c>
      <c r="K202" s="22">
        <v>0.81207300000000004</v>
      </c>
      <c r="L202">
        <f t="shared" si="24"/>
        <v>16.728148148148147</v>
      </c>
      <c r="M202">
        <f t="shared" si="25"/>
        <v>13.602343113333333</v>
      </c>
      <c r="N202" s="9"/>
      <c r="O202" s="22">
        <v>0.86685199999999996</v>
      </c>
      <c r="P202" s="22">
        <v>10.902900000000001</v>
      </c>
      <c r="Q202" s="22">
        <v>-1.35529E-2</v>
      </c>
      <c r="R202" s="22">
        <v>192</v>
      </c>
      <c r="S202" s="22">
        <v>0.866089</v>
      </c>
      <c r="T202">
        <f t="shared" si="26"/>
        <v>16.731975308641974</v>
      </c>
      <c r="U202">
        <f t="shared" si="27"/>
        <v>14.504146260246912</v>
      </c>
      <c r="X202" s="9"/>
      <c r="Y202" s="22">
        <v>0.813141</v>
      </c>
      <c r="Z202" s="22">
        <v>16.414200000000001</v>
      </c>
      <c r="AA202" s="22">
        <v>-1.3589499999999999E-2</v>
      </c>
      <c r="AB202" s="22">
        <v>192</v>
      </c>
      <c r="AC202" s="22">
        <v>0.81207300000000004</v>
      </c>
      <c r="AD202">
        <f t="shared" si="28"/>
        <v>16.777160493827161</v>
      </c>
      <c r="AE202">
        <f t="shared" si="29"/>
        <v>13.642197061111112</v>
      </c>
      <c r="AF202" s="9"/>
      <c r="AG202" s="22">
        <v>0.86685199999999996</v>
      </c>
      <c r="AH202" s="22">
        <v>20.193100000000001</v>
      </c>
      <c r="AI202" s="22">
        <v>-1.3555899999999999E-2</v>
      </c>
      <c r="AJ202" s="22">
        <v>192</v>
      </c>
      <c r="AK202" s="22">
        <v>0.866089</v>
      </c>
      <c r="AL202">
        <f t="shared" si="30"/>
        <v>16.735679012345678</v>
      </c>
      <c r="AM202">
        <f t="shared" si="31"/>
        <v>14.507356823209875</v>
      </c>
      <c r="AP202" s="9"/>
      <c r="AQ202" s="22">
        <v>0.813141</v>
      </c>
      <c r="AR202" s="22">
        <v>25.6404</v>
      </c>
      <c r="AS202" s="22">
        <v>-1.3623E-2</v>
      </c>
      <c r="AT202" s="22">
        <v>192</v>
      </c>
      <c r="AU202" s="22">
        <v>0.81268300000000004</v>
      </c>
      <c r="AV202">
        <f t="shared" si="32"/>
        <v>16.818518518518516</v>
      </c>
      <c r="AW202">
        <f t="shared" si="33"/>
        <v>13.675826966666666</v>
      </c>
      <c r="AX202" s="9"/>
      <c r="AY202" s="22">
        <v>0.86685199999999996</v>
      </c>
      <c r="AZ202" s="22">
        <v>29.4193</v>
      </c>
      <c r="BA202" s="22">
        <v>-1.36017E-2</v>
      </c>
      <c r="BB202" s="22">
        <v>192</v>
      </c>
      <c r="BC202" s="22">
        <v>0.866089</v>
      </c>
      <c r="BD202">
        <f t="shared" si="34"/>
        <v>16.792222222222222</v>
      </c>
      <c r="BE202">
        <f t="shared" si="35"/>
        <v>14.556371417777777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0.80810499999999996</v>
      </c>
      <c r="H203" s="22">
        <v>7.1340300000000001</v>
      </c>
      <c r="I203" s="22">
        <v>-1.35529E-2</v>
      </c>
      <c r="J203" s="22">
        <v>193</v>
      </c>
      <c r="K203" s="22">
        <v>0.80718999999999996</v>
      </c>
      <c r="L203">
        <f t="shared" si="24"/>
        <v>16.731975308641974</v>
      </c>
      <c r="M203">
        <f t="shared" si="25"/>
        <v>13.521192906790121</v>
      </c>
      <c r="N203" s="9"/>
      <c r="O203" s="22">
        <v>0.87188699999999997</v>
      </c>
      <c r="P203" s="22">
        <v>10.9129</v>
      </c>
      <c r="Q203" s="22">
        <v>-1.35529E-2</v>
      </c>
      <c r="R203" s="22">
        <v>193</v>
      </c>
      <c r="S203" s="22">
        <v>0.87097199999999997</v>
      </c>
      <c r="T203">
        <f t="shared" si="26"/>
        <v>16.731975308641974</v>
      </c>
      <c r="U203">
        <f t="shared" si="27"/>
        <v>14.588391755925924</v>
      </c>
      <c r="X203" s="9"/>
      <c r="Y203" s="22">
        <v>0.80810499999999996</v>
      </c>
      <c r="Z203" s="22">
        <v>16.424199999999999</v>
      </c>
      <c r="AA203" s="22">
        <v>-1.35925E-2</v>
      </c>
      <c r="AB203" s="22">
        <v>193</v>
      </c>
      <c r="AC203" s="22">
        <v>0.80749499999999996</v>
      </c>
      <c r="AD203">
        <f t="shared" si="28"/>
        <v>16.780864197530864</v>
      </c>
      <c r="AE203">
        <f t="shared" si="29"/>
        <v>13.560700262345678</v>
      </c>
      <c r="AF203" s="9"/>
      <c r="AG203" s="22">
        <v>0.87188699999999997</v>
      </c>
      <c r="AH203" s="22">
        <v>20.203199999999999</v>
      </c>
      <c r="AI203" s="22">
        <v>-1.3555899999999999E-2</v>
      </c>
      <c r="AJ203" s="22">
        <v>193</v>
      </c>
      <c r="AK203" s="22">
        <v>0.87066699999999997</v>
      </c>
      <c r="AL203">
        <f t="shared" si="30"/>
        <v>16.735679012345678</v>
      </c>
      <c r="AM203">
        <f t="shared" si="31"/>
        <v>14.591620967037036</v>
      </c>
      <c r="AP203" s="9"/>
      <c r="AQ203" s="22">
        <v>0.80810499999999996</v>
      </c>
      <c r="AR203" s="22">
        <v>25.650500000000001</v>
      </c>
      <c r="AS203" s="22">
        <v>-1.36261E-2</v>
      </c>
      <c r="AT203" s="22">
        <v>193</v>
      </c>
      <c r="AU203" s="22">
        <v>0.80718999999999996</v>
      </c>
      <c r="AV203">
        <f t="shared" si="32"/>
        <v>16.822345679012344</v>
      </c>
      <c r="AW203">
        <f t="shared" si="33"/>
        <v>13.59422165493827</v>
      </c>
      <c r="AX203" s="9"/>
      <c r="AY203" s="22">
        <v>0.87188699999999997</v>
      </c>
      <c r="AZ203" s="22">
        <v>29.429400000000001</v>
      </c>
      <c r="BA203" s="22">
        <v>-1.35925E-2</v>
      </c>
      <c r="BB203" s="22">
        <v>193</v>
      </c>
      <c r="BC203" s="22">
        <v>0.87158199999999997</v>
      </c>
      <c r="BD203">
        <f t="shared" si="34"/>
        <v>16.780864197530864</v>
      </c>
      <c r="BE203">
        <f t="shared" si="35"/>
        <v>14.631017342592592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0.80306999999999995</v>
      </c>
      <c r="H204" s="22">
        <v>7.1440999999999999</v>
      </c>
      <c r="I204" s="22">
        <v>-1.3555899999999999E-2</v>
      </c>
      <c r="J204" s="22">
        <v>194</v>
      </c>
      <c r="K204" s="22">
        <v>0.80200199999999999</v>
      </c>
      <c r="L204">
        <f t="shared" ref="L204:L267" si="36">-I204/$F$2*1000</f>
        <v>16.735679012345678</v>
      </c>
      <c r="M204">
        <f t="shared" ref="M204:M267" si="37">L204*G204</f>
        <v>13.439921744444442</v>
      </c>
      <c r="N204" s="9"/>
      <c r="O204" s="22">
        <v>0.87692300000000001</v>
      </c>
      <c r="P204" s="22">
        <v>10.923</v>
      </c>
      <c r="Q204" s="22">
        <v>-1.35529E-2</v>
      </c>
      <c r="R204" s="22">
        <v>194</v>
      </c>
      <c r="S204" s="22">
        <v>0.87554900000000002</v>
      </c>
      <c r="T204">
        <f t="shared" ref="T204:T267" si="38">-Q204/$F$2*1000</f>
        <v>16.731975308641974</v>
      </c>
      <c r="U204">
        <f t="shared" ref="U204:U267" si="39">T204*O204</f>
        <v>14.672653983580247</v>
      </c>
      <c r="X204" s="9"/>
      <c r="Y204" s="22">
        <v>0.80306999999999995</v>
      </c>
      <c r="Z204" s="22">
        <v>16.4343</v>
      </c>
      <c r="AA204" s="22">
        <v>-1.3595599999999999E-2</v>
      </c>
      <c r="AB204" s="22">
        <v>194</v>
      </c>
      <c r="AC204" s="22">
        <v>0.80230699999999999</v>
      </c>
      <c r="AD204">
        <f t="shared" ref="AD204:AD267" si="40">-AA204/$F$2*1000</f>
        <v>16.784691358024691</v>
      </c>
      <c r="AE204">
        <f t="shared" ref="AE204:AE267" si="41">AD204*Y204</f>
        <v>13.479282088888889</v>
      </c>
      <c r="AF204" s="9"/>
      <c r="AG204" s="22">
        <v>0.87692300000000001</v>
      </c>
      <c r="AH204" s="22">
        <v>20.213200000000001</v>
      </c>
      <c r="AI204" s="22">
        <v>-1.35529E-2</v>
      </c>
      <c r="AJ204" s="22">
        <v>194</v>
      </c>
      <c r="AK204" s="22">
        <v>0.87554900000000002</v>
      </c>
      <c r="AL204">
        <f t="shared" ref="AL204:AL267" si="42">-AI204/$F$2*1000</f>
        <v>16.731975308641974</v>
      </c>
      <c r="AM204">
        <f t="shared" ref="AM204:AM267" si="43">AL204*AG204</f>
        <v>14.672653983580247</v>
      </c>
      <c r="AP204" s="9"/>
      <c r="AQ204" s="22">
        <v>0.80306999999999995</v>
      </c>
      <c r="AR204" s="22">
        <v>25.660499999999999</v>
      </c>
      <c r="AS204" s="22">
        <v>-1.36261E-2</v>
      </c>
      <c r="AT204" s="22">
        <v>194</v>
      </c>
      <c r="AU204" s="22">
        <v>0.80230699999999999</v>
      </c>
      <c r="AV204">
        <f t="shared" ref="AV204:AV267" si="44">-AS204/$F$2*1000</f>
        <v>16.822345679012344</v>
      </c>
      <c r="AW204">
        <f t="shared" ref="AW204:AW267" si="45">AV204*AQ204</f>
        <v>13.509521144444442</v>
      </c>
      <c r="AX204" s="9"/>
      <c r="AY204" s="22">
        <v>0.87692300000000001</v>
      </c>
      <c r="AZ204" s="22">
        <v>29.439499999999999</v>
      </c>
      <c r="BA204" s="22">
        <v>-1.35925E-2</v>
      </c>
      <c r="BB204" s="22">
        <v>194</v>
      </c>
      <c r="BC204" s="22">
        <v>0.87524400000000002</v>
      </c>
      <c r="BD204">
        <f t="shared" ref="BD204:BD267" si="46">-BA204/$F$2*1000</f>
        <v>16.780864197530864</v>
      </c>
      <c r="BE204">
        <f t="shared" ref="BE204:BE267" si="47">BD204*AY204</f>
        <v>14.715525774691358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0.79803500000000005</v>
      </c>
      <c r="H205" s="22">
        <v>7.1541699999999997</v>
      </c>
      <c r="I205" s="22">
        <v>-1.3559E-2</v>
      </c>
      <c r="J205" s="22">
        <v>195</v>
      </c>
      <c r="K205" s="22">
        <v>0.79742400000000002</v>
      </c>
      <c r="L205">
        <f t="shared" si="36"/>
        <v>16.739506172839505</v>
      </c>
      <c r="M205">
        <f t="shared" si="37"/>
        <v>13.358711808641974</v>
      </c>
      <c r="N205" s="9"/>
      <c r="O205" s="22">
        <v>0.88195800000000002</v>
      </c>
      <c r="P205" s="22">
        <v>10.9331</v>
      </c>
      <c r="Q205" s="22">
        <v>-1.3546799999999999E-2</v>
      </c>
      <c r="R205" s="22">
        <v>195</v>
      </c>
      <c r="S205" s="22">
        <v>0.88104199999999999</v>
      </c>
      <c r="T205">
        <f t="shared" si="38"/>
        <v>16.72444444444444</v>
      </c>
      <c r="U205">
        <f t="shared" si="39"/>
        <v>14.750257573333331</v>
      </c>
      <c r="X205" s="9"/>
      <c r="Y205" s="22">
        <v>0.79803500000000005</v>
      </c>
      <c r="Z205" s="22">
        <v>16.444400000000002</v>
      </c>
      <c r="AA205" s="22">
        <v>-1.36017E-2</v>
      </c>
      <c r="AB205" s="22">
        <v>195</v>
      </c>
      <c r="AC205" s="22">
        <v>0.79650900000000002</v>
      </c>
      <c r="AD205">
        <f t="shared" si="40"/>
        <v>16.792222222222222</v>
      </c>
      <c r="AE205">
        <f t="shared" si="41"/>
        <v>13.400781061111111</v>
      </c>
      <c r="AF205" s="9"/>
      <c r="AG205" s="22">
        <v>0.88195800000000002</v>
      </c>
      <c r="AH205" s="22">
        <v>20.223299999999998</v>
      </c>
      <c r="AI205" s="22">
        <v>-1.3546799999999999E-2</v>
      </c>
      <c r="AJ205" s="22">
        <v>195</v>
      </c>
      <c r="AK205" s="22">
        <v>0.88043199999999999</v>
      </c>
      <c r="AL205">
        <f t="shared" si="42"/>
        <v>16.72444444444444</v>
      </c>
      <c r="AM205">
        <f t="shared" si="43"/>
        <v>14.750257573333331</v>
      </c>
      <c r="AP205" s="9"/>
      <c r="AQ205" s="22">
        <v>0.79803500000000005</v>
      </c>
      <c r="AR205" s="22">
        <v>25.6706</v>
      </c>
      <c r="AS205" s="22">
        <v>-1.3629199999999999E-2</v>
      </c>
      <c r="AT205" s="22">
        <v>195</v>
      </c>
      <c r="AU205" s="22">
        <v>0.79742400000000002</v>
      </c>
      <c r="AV205">
        <f t="shared" si="44"/>
        <v>16.826172839506171</v>
      </c>
      <c r="AW205">
        <f t="shared" si="45"/>
        <v>13.427874841975308</v>
      </c>
      <c r="AX205" s="9"/>
      <c r="AY205" s="22">
        <v>0.88195800000000002</v>
      </c>
      <c r="AZ205" s="22">
        <v>29.4496</v>
      </c>
      <c r="BA205" s="22">
        <v>-1.35864E-2</v>
      </c>
      <c r="BB205" s="22">
        <v>195</v>
      </c>
      <c r="BC205" s="22">
        <v>0.88043199999999999</v>
      </c>
      <c r="BD205">
        <f t="shared" si="46"/>
        <v>16.77333333333333</v>
      </c>
      <c r="BE205">
        <f t="shared" si="47"/>
        <v>14.793375519999998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0.79299900000000001</v>
      </c>
      <c r="H206" s="22">
        <v>7.1642400000000004</v>
      </c>
      <c r="I206" s="22">
        <v>-1.3561999999999999E-2</v>
      </c>
      <c r="J206" s="22">
        <v>196</v>
      </c>
      <c r="K206" s="22">
        <v>0.79254199999999997</v>
      </c>
      <c r="L206">
        <f t="shared" si="36"/>
        <v>16.743209876543208</v>
      </c>
      <c r="M206">
        <f t="shared" si="37"/>
        <v>13.277348688888887</v>
      </c>
      <c r="N206" s="9"/>
      <c r="O206" s="22">
        <v>0.88699300000000003</v>
      </c>
      <c r="P206" s="22">
        <v>10.943099999999999</v>
      </c>
      <c r="Q206" s="22">
        <v>-1.35406E-2</v>
      </c>
      <c r="R206" s="22">
        <v>196</v>
      </c>
      <c r="S206" s="22">
        <v>0.88592499999999996</v>
      </c>
      <c r="T206">
        <f t="shared" si="38"/>
        <v>16.716790123456789</v>
      </c>
      <c r="U206">
        <f t="shared" si="39"/>
        <v>14.827675821975308</v>
      </c>
      <c r="X206" s="9"/>
      <c r="Y206" s="22">
        <v>0.79299900000000001</v>
      </c>
      <c r="Z206" s="22">
        <v>16.454499999999999</v>
      </c>
      <c r="AA206" s="22">
        <v>-1.36017E-2</v>
      </c>
      <c r="AB206" s="22">
        <v>196</v>
      </c>
      <c r="AC206" s="22">
        <v>0.79223600000000005</v>
      </c>
      <c r="AD206">
        <f t="shared" si="40"/>
        <v>16.792222222222222</v>
      </c>
      <c r="AE206">
        <f t="shared" si="41"/>
        <v>13.31621543</v>
      </c>
      <c r="AF206" s="9"/>
      <c r="AG206" s="22">
        <v>0.88699300000000003</v>
      </c>
      <c r="AH206" s="22">
        <v>20.2334</v>
      </c>
      <c r="AI206" s="22">
        <v>-1.3543700000000001E-2</v>
      </c>
      <c r="AJ206" s="22">
        <v>196</v>
      </c>
      <c r="AK206" s="22">
        <v>0.88622999999999996</v>
      </c>
      <c r="AL206">
        <f t="shared" si="42"/>
        <v>16.720617283950617</v>
      </c>
      <c r="AM206">
        <f t="shared" si="43"/>
        <v>14.83107048654321</v>
      </c>
      <c r="AP206" s="9"/>
      <c r="AQ206" s="22">
        <v>0.79299900000000001</v>
      </c>
      <c r="AR206" s="22">
        <v>25.680700000000002</v>
      </c>
      <c r="AS206" s="22">
        <v>-1.3632200000000001E-2</v>
      </c>
      <c r="AT206" s="22">
        <v>196</v>
      </c>
      <c r="AU206" s="22">
        <v>0.79162600000000005</v>
      </c>
      <c r="AV206">
        <f t="shared" si="44"/>
        <v>16.829876543209878</v>
      </c>
      <c r="AW206">
        <f t="shared" si="45"/>
        <v>13.346075268888891</v>
      </c>
      <c r="AX206" s="9"/>
      <c r="AY206" s="22">
        <v>0.88699300000000003</v>
      </c>
      <c r="AZ206" s="22">
        <v>29.459599999999998</v>
      </c>
      <c r="BA206" s="22">
        <v>-1.35864E-2</v>
      </c>
      <c r="BB206" s="22">
        <v>196</v>
      </c>
      <c r="BC206" s="22">
        <v>0.88592499999999996</v>
      </c>
      <c r="BD206">
        <f t="shared" si="46"/>
        <v>16.77333333333333</v>
      </c>
      <c r="BE206">
        <f t="shared" si="47"/>
        <v>14.877829253333331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0.787964</v>
      </c>
      <c r="H207" s="22">
        <v>7.1743100000000002</v>
      </c>
      <c r="I207" s="22">
        <v>-1.35651E-2</v>
      </c>
      <c r="J207" s="22">
        <v>197</v>
      </c>
      <c r="K207" s="22">
        <v>0.78704799999999997</v>
      </c>
      <c r="L207">
        <f t="shared" si="36"/>
        <v>16.747037037037035</v>
      </c>
      <c r="M207">
        <f t="shared" si="37"/>
        <v>13.196062291851851</v>
      </c>
      <c r="N207" s="9"/>
      <c r="O207" s="22">
        <v>0.89202899999999996</v>
      </c>
      <c r="P207" s="22">
        <v>10.953200000000001</v>
      </c>
      <c r="Q207" s="22">
        <v>-1.35406E-2</v>
      </c>
      <c r="R207" s="22">
        <v>197</v>
      </c>
      <c r="S207" s="22">
        <v>0.89111300000000004</v>
      </c>
      <c r="T207">
        <f t="shared" si="38"/>
        <v>16.716790123456789</v>
      </c>
      <c r="U207">
        <f t="shared" si="39"/>
        <v>14.911861577037035</v>
      </c>
      <c r="X207" s="9"/>
      <c r="Y207" s="22">
        <v>0.787964</v>
      </c>
      <c r="Z207" s="22">
        <v>16.464500000000001</v>
      </c>
      <c r="AA207" s="22">
        <v>-1.3598600000000001E-2</v>
      </c>
      <c r="AB207" s="22">
        <v>197</v>
      </c>
      <c r="AC207" s="22">
        <v>0.78704799999999997</v>
      </c>
      <c r="AD207">
        <f t="shared" si="40"/>
        <v>16.788395061728394</v>
      </c>
      <c r="AE207">
        <f t="shared" si="41"/>
        <v>13.228650926419753</v>
      </c>
      <c r="AF207" s="9"/>
      <c r="AG207" s="22">
        <v>0.89202899999999996</v>
      </c>
      <c r="AH207" s="22">
        <v>20.243400000000001</v>
      </c>
      <c r="AI207" s="22">
        <v>-1.3543700000000001E-2</v>
      </c>
      <c r="AJ207" s="22">
        <v>197</v>
      </c>
      <c r="AK207" s="22">
        <v>0.89141800000000004</v>
      </c>
      <c r="AL207">
        <f t="shared" si="42"/>
        <v>16.720617283950617</v>
      </c>
      <c r="AM207">
        <f t="shared" si="43"/>
        <v>14.915275515185185</v>
      </c>
      <c r="AP207" s="9"/>
      <c r="AQ207" s="22">
        <v>0.787964</v>
      </c>
      <c r="AR207" s="22">
        <v>25.690799999999999</v>
      </c>
      <c r="AS207" s="22">
        <v>-1.36353E-2</v>
      </c>
      <c r="AT207" s="22">
        <v>197</v>
      </c>
      <c r="AU207" s="22">
        <v>0.78704799999999997</v>
      </c>
      <c r="AV207">
        <f t="shared" si="44"/>
        <v>16.833703703703701</v>
      </c>
      <c r="AW207">
        <f t="shared" si="45"/>
        <v>13.264352505185183</v>
      </c>
      <c r="AX207" s="9"/>
      <c r="AY207" s="22">
        <v>0.89202899999999996</v>
      </c>
      <c r="AZ207" s="22">
        <v>29.4697</v>
      </c>
      <c r="BA207" s="22">
        <v>-1.35803E-2</v>
      </c>
      <c r="BB207" s="22">
        <v>197</v>
      </c>
      <c r="BC207" s="22">
        <v>0.89141800000000004</v>
      </c>
      <c r="BD207">
        <f t="shared" si="46"/>
        <v>16.765802469135803</v>
      </c>
      <c r="BE207">
        <f t="shared" si="47"/>
        <v>14.955582010740741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0.78292799999999996</v>
      </c>
      <c r="H208" s="22">
        <v>7.18438</v>
      </c>
      <c r="I208" s="22">
        <v>-1.35681E-2</v>
      </c>
      <c r="J208" s="22">
        <v>198</v>
      </c>
      <c r="K208" s="22">
        <v>0.78186</v>
      </c>
      <c r="L208">
        <f t="shared" si="36"/>
        <v>16.750740740740738</v>
      </c>
      <c r="M208">
        <f t="shared" si="37"/>
        <v>13.114623946666665</v>
      </c>
      <c r="N208" s="9"/>
      <c r="O208" s="22">
        <v>0.89706399999999997</v>
      </c>
      <c r="P208" s="22">
        <v>10.9633</v>
      </c>
      <c r="Q208" s="22">
        <v>-1.35376E-2</v>
      </c>
      <c r="R208" s="22">
        <v>198</v>
      </c>
      <c r="S208" s="22">
        <v>0.89599600000000001</v>
      </c>
      <c r="T208">
        <f t="shared" si="38"/>
        <v>16.713086419753086</v>
      </c>
      <c r="U208">
        <f t="shared" si="39"/>
        <v>14.992708156049382</v>
      </c>
      <c r="X208" s="9"/>
      <c r="Y208" s="22">
        <v>0.78292799999999996</v>
      </c>
      <c r="Z208" s="22">
        <v>16.474599999999999</v>
      </c>
      <c r="AA208" s="22">
        <v>-1.3595599999999999E-2</v>
      </c>
      <c r="AB208" s="22">
        <v>198</v>
      </c>
      <c r="AC208" s="22">
        <v>0.78216600000000003</v>
      </c>
      <c r="AD208">
        <f t="shared" si="40"/>
        <v>16.784691358024691</v>
      </c>
      <c r="AE208">
        <f t="shared" si="41"/>
        <v>13.141204835555556</v>
      </c>
      <c r="AF208" s="9"/>
      <c r="AG208" s="22">
        <v>0.89706399999999997</v>
      </c>
      <c r="AH208" s="22">
        <v>20.253499999999999</v>
      </c>
      <c r="AI208" s="22">
        <v>-1.3543700000000001E-2</v>
      </c>
      <c r="AJ208" s="22">
        <v>198</v>
      </c>
      <c r="AK208" s="22">
        <v>0.89691200000000004</v>
      </c>
      <c r="AL208">
        <f t="shared" si="42"/>
        <v>16.720617283950617</v>
      </c>
      <c r="AM208">
        <f t="shared" si="43"/>
        <v>14.999463823209876</v>
      </c>
      <c r="AP208" s="9"/>
      <c r="AQ208" s="22">
        <v>0.78292799999999996</v>
      </c>
      <c r="AR208" s="22">
        <v>25.700800000000001</v>
      </c>
      <c r="AS208" s="22">
        <v>-1.36353E-2</v>
      </c>
      <c r="AT208" s="22">
        <v>198</v>
      </c>
      <c r="AU208" s="22">
        <v>0.78216600000000003</v>
      </c>
      <c r="AV208">
        <f t="shared" si="44"/>
        <v>16.833703703703701</v>
      </c>
      <c r="AW208">
        <f t="shared" si="45"/>
        <v>13.17957797333333</v>
      </c>
      <c r="AX208" s="9"/>
      <c r="AY208" s="22">
        <v>0.89706399999999997</v>
      </c>
      <c r="AZ208" s="22">
        <v>29.479800000000001</v>
      </c>
      <c r="BA208" s="22">
        <v>-1.35742E-2</v>
      </c>
      <c r="BB208" s="22">
        <v>198</v>
      </c>
      <c r="BC208" s="22">
        <v>0.89569100000000001</v>
      </c>
      <c r="BD208">
        <f t="shared" si="46"/>
        <v>16.758271604938273</v>
      </c>
      <c r="BE208">
        <f t="shared" si="47"/>
        <v>15.033242159012346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0.77789299999999995</v>
      </c>
      <c r="H209" s="22">
        <v>7.1944499999999998</v>
      </c>
      <c r="I209" s="22">
        <v>-1.35712E-2</v>
      </c>
      <c r="J209" s="22">
        <v>199</v>
      </c>
      <c r="K209" s="22">
        <v>0.77697799999999995</v>
      </c>
      <c r="L209">
        <f t="shared" si="36"/>
        <v>16.754567901234566</v>
      </c>
      <c r="M209">
        <f t="shared" si="37"/>
        <v>13.03326108839506</v>
      </c>
      <c r="N209" s="9"/>
      <c r="O209" s="22">
        <v>0.90210000000000001</v>
      </c>
      <c r="P209" s="22">
        <v>10.9734</v>
      </c>
      <c r="Q209" s="22">
        <v>-1.35315E-2</v>
      </c>
      <c r="R209" s="22">
        <v>199</v>
      </c>
      <c r="S209" s="22">
        <v>0.90118399999999999</v>
      </c>
      <c r="T209">
        <f t="shared" si="38"/>
        <v>16.705555555555552</v>
      </c>
      <c r="U209">
        <f t="shared" si="39"/>
        <v>15.070081666666663</v>
      </c>
      <c r="X209" s="9"/>
      <c r="Y209" s="22">
        <v>0.77789299999999995</v>
      </c>
      <c r="Z209" s="22">
        <v>16.4847</v>
      </c>
      <c r="AA209" s="22">
        <v>-1.35925E-2</v>
      </c>
      <c r="AB209" s="22">
        <v>199</v>
      </c>
      <c r="AC209" s="22">
        <v>0.77728299999999995</v>
      </c>
      <c r="AD209">
        <f t="shared" si="40"/>
        <v>16.780864197530864</v>
      </c>
      <c r="AE209">
        <f t="shared" si="41"/>
        <v>13.053716793209876</v>
      </c>
      <c r="AF209" s="9"/>
      <c r="AG209" s="22">
        <v>0.90210000000000001</v>
      </c>
      <c r="AH209" s="22">
        <v>20.2636</v>
      </c>
      <c r="AI209" s="22">
        <v>-1.35376E-2</v>
      </c>
      <c r="AJ209" s="22">
        <v>199</v>
      </c>
      <c r="AK209" s="22">
        <v>0.90118399999999999</v>
      </c>
      <c r="AL209">
        <f t="shared" si="42"/>
        <v>16.713086419753086</v>
      </c>
      <c r="AM209">
        <f t="shared" si="43"/>
        <v>15.076875259259259</v>
      </c>
      <c r="AP209" s="9"/>
      <c r="AQ209" s="22">
        <v>0.77789299999999995</v>
      </c>
      <c r="AR209" s="22">
        <v>25.710899999999999</v>
      </c>
      <c r="AS209" s="22">
        <v>-1.36353E-2</v>
      </c>
      <c r="AT209" s="22">
        <v>199</v>
      </c>
      <c r="AU209" s="22">
        <v>0.77728299999999995</v>
      </c>
      <c r="AV209">
        <f t="shared" si="44"/>
        <v>16.833703703703701</v>
      </c>
      <c r="AW209">
        <f t="shared" si="45"/>
        <v>13.094820275185182</v>
      </c>
      <c r="AX209" s="9"/>
      <c r="AY209" s="22">
        <v>0.90210000000000001</v>
      </c>
      <c r="AZ209" s="22">
        <v>29.489799999999999</v>
      </c>
      <c r="BA209" s="22">
        <v>-1.35742E-2</v>
      </c>
      <c r="BB209" s="22">
        <v>199</v>
      </c>
      <c r="BC209" s="22">
        <v>0.90118399999999999</v>
      </c>
      <c r="BD209">
        <f t="shared" si="46"/>
        <v>16.758271604938273</v>
      </c>
      <c r="BE209">
        <f t="shared" si="47"/>
        <v>15.117636814814816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0.77285800000000004</v>
      </c>
      <c r="H210" s="22">
        <v>7.2045199999999996</v>
      </c>
      <c r="I210" s="22">
        <v>-1.35773E-2</v>
      </c>
      <c r="J210" s="22">
        <v>200</v>
      </c>
      <c r="K210" s="22">
        <v>0.77239999999999998</v>
      </c>
      <c r="L210">
        <f t="shared" si="36"/>
        <v>16.7620987654321</v>
      </c>
      <c r="M210">
        <f t="shared" si="37"/>
        <v>12.954722127654323</v>
      </c>
      <c r="N210" s="9"/>
      <c r="O210" s="22">
        <v>0.90713500000000002</v>
      </c>
      <c r="P210" s="22">
        <v>10.9834</v>
      </c>
      <c r="Q210" s="22">
        <v>-1.3528399999999999E-2</v>
      </c>
      <c r="R210" s="22">
        <v>200</v>
      </c>
      <c r="S210" s="22">
        <v>0.90637199999999996</v>
      </c>
      <c r="T210">
        <f t="shared" si="38"/>
        <v>16.701728395061725</v>
      </c>
      <c r="U210">
        <f t="shared" si="39"/>
        <v>15.150722387654318</v>
      </c>
      <c r="X210" s="9"/>
      <c r="Y210" s="22">
        <v>0.77285800000000004</v>
      </c>
      <c r="Z210" s="22">
        <v>16.494700000000002</v>
      </c>
      <c r="AA210" s="22">
        <v>-1.3595599999999999E-2</v>
      </c>
      <c r="AB210" s="22">
        <v>200</v>
      </c>
      <c r="AC210" s="22">
        <v>0.77148399999999995</v>
      </c>
      <c r="AD210">
        <f t="shared" si="40"/>
        <v>16.784691358024691</v>
      </c>
      <c r="AE210">
        <f t="shared" si="41"/>
        <v>12.972182993580248</v>
      </c>
      <c r="AF210" s="9"/>
      <c r="AG210" s="22">
        <v>0.90713500000000002</v>
      </c>
      <c r="AH210" s="22">
        <v>20.273599999999998</v>
      </c>
      <c r="AI210" s="22">
        <v>-1.35345E-2</v>
      </c>
      <c r="AJ210" s="22">
        <v>200</v>
      </c>
      <c r="AK210" s="22">
        <v>0.90606699999999996</v>
      </c>
      <c r="AL210">
        <f t="shared" si="42"/>
        <v>16.709259259259255</v>
      </c>
      <c r="AM210">
        <f t="shared" si="43"/>
        <v>15.157553898148144</v>
      </c>
      <c r="AP210" s="9"/>
      <c r="AQ210" s="22">
        <v>0.77285800000000004</v>
      </c>
      <c r="AR210" s="22">
        <v>25.721</v>
      </c>
      <c r="AS210" s="22">
        <v>-1.36414E-2</v>
      </c>
      <c r="AT210" s="22">
        <v>200</v>
      </c>
      <c r="AU210" s="22">
        <v>0.77209499999999998</v>
      </c>
      <c r="AV210">
        <f t="shared" si="44"/>
        <v>16.841234567901232</v>
      </c>
      <c r="AW210">
        <f t="shared" si="45"/>
        <v>13.015882865679011</v>
      </c>
      <c r="AX210" s="9"/>
      <c r="AY210" s="22">
        <v>0.90713500000000002</v>
      </c>
      <c r="AZ210" s="22">
        <v>29.4999</v>
      </c>
      <c r="BA210" s="22">
        <v>-1.35681E-2</v>
      </c>
      <c r="BB210" s="22">
        <v>200</v>
      </c>
      <c r="BC210" s="22">
        <v>0.90637199999999996</v>
      </c>
      <c r="BD210">
        <f t="shared" si="46"/>
        <v>16.750740740740738</v>
      </c>
      <c r="BE210">
        <f t="shared" si="47"/>
        <v>15.195183201851851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0.767822</v>
      </c>
      <c r="H211" s="22">
        <v>7.2145900000000003</v>
      </c>
      <c r="I211" s="22">
        <v>-1.3583400000000001E-2</v>
      </c>
      <c r="J211" s="22">
        <v>201</v>
      </c>
      <c r="K211" s="22">
        <v>0.76721200000000001</v>
      </c>
      <c r="L211">
        <f t="shared" si="36"/>
        <v>16.76962962962963</v>
      </c>
      <c r="M211">
        <f t="shared" si="37"/>
        <v>12.876090561481481</v>
      </c>
      <c r="N211" s="9"/>
      <c r="O211" s="22">
        <v>0.91217000000000004</v>
      </c>
      <c r="P211" s="22">
        <v>10.993499999999999</v>
      </c>
      <c r="Q211" s="22">
        <v>-1.35254E-2</v>
      </c>
      <c r="R211" s="22">
        <v>201</v>
      </c>
      <c r="S211" s="22">
        <v>0.91125500000000004</v>
      </c>
      <c r="T211">
        <f t="shared" si="38"/>
        <v>16.698024691358025</v>
      </c>
      <c r="U211">
        <f t="shared" si="39"/>
        <v>15.23143718271605</v>
      </c>
      <c r="X211" s="9"/>
      <c r="Y211" s="22">
        <v>0.767822</v>
      </c>
      <c r="Z211" s="22">
        <v>16.504799999999999</v>
      </c>
      <c r="AA211" s="22">
        <v>-1.3604700000000001E-2</v>
      </c>
      <c r="AB211" s="22">
        <v>201</v>
      </c>
      <c r="AC211" s="22">
        <v>0.76690700000000001</v>
      </c>
      <c r="AD211">
        <f t="shared" si="40"/>
        <v>16.795925925925925</v>
      </c>
      <c r="AE211">
        <f t="shared" si="41"/>
        <v>12.896281436296295</v>
      </c>
      <c r="AF211" s="9"/>
      <c r="AG211" s="22">
        <v>0.91217000000000004</v>
      </c>
      <c r="AH211" s="22">
        <v>20.2837</v>
      </c>
      <c r="AI211" s="22">
        <v>-1.3528399999999999E-2</v>
      </c>
      <c r="AJ211" s="22">
        <v>201</v>
      </c>
      <c r="AK211" s="22">
        <v>0.91125500000000004</v>
      </c>
      <c r="AL211">
        <f t="shared" si="42"/>
        <v>16.701728395061725</v>
      </c>
      <c r="AM211">
        <f t="shared" si="43"/>
        <v>15.234815590123453</v>
      </c>
      <c r="AP211" s="9"/>
      <c r="AQ211" s="22">
        <v>0.767822</v>
      </c>
      <c r="AR211" s="22">
        <v>25.731000000000002</v>
      </c>
      <c r="AS211" s="22">
        <v>-1.36414E-2</v>
      </c>
      <c r="AT211" s="22">
        <v>201</v>
      </c>
      <c r="AU211" s="22">
        <v>0.767517</v>
      </c>
      <c r="AV211">
        <f t="shared" si="44"/>
        <v>16.841234567901232</v>
      </c>
      <c r="AW211">
        <f t="shared" si="45"/>
        <v>12.93107040839506</v>
      </c>
      <c r="AX211" s="9"/>
      <c r="AY211" s="22">
        <v>0.91217000000000004</v>
      </c>
      <c r="AZ211" s="22">
        <v>29.51</v>
      </c>
      <c r="BA211" s="22">
        <v>-1.35651E-2</v>
      </c>
      <c r="BB211" s="22">
        <v>201</v>
      </c>
      <c r="BC211" s="22">
        <v>0.91156000000000004</v>
      </c>
      <c r="BD211">
        <f t="shared" si="46"/>
        <v>16.747037037037035</v>
      </c>
      <c r="BE211">
        <f t="shared" si="47"/>
        <v>15.276144774074073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0.76278699999999999</v>
      </c>
      <c r="H212" s="22">
        <v>7.2246699999999997</v>
      </c>
      <c r="I212" s="22">
        <v>-1.3589499999999999E-2</v>
      </c>
      <c r="J212" s="22">
        <v>202</v>
      </c>
      <c r="K212" s="22">
        <v>0.76141400000000004</v>
      </c>
      <c r="L212">
        <f t="shared" si="36"/>
        <v>16.777160493827161</v>
      </c>
      <c r="M212">
        <f t="shared" si="37"/>
        <v>12.797399921604939</v>
      </c>
      <c r="N212" s="9"/>
      <c r="O212" s="22">
        <v>0.91720599999999997</v>
      </c>
      <c r="P212" s="22">
        <v>11.0036</v>
      </c>
      <c r="Q212" s="22">
        <v>-1.3522299999999999E-2</v>
      </c>
      <c r="R212" s="22">
        <v>202</v>
      </c>
      <c r="S212" s="22">
        <v>0.91644300000000001</v>
      </c>
      <c r="T212">
        <f t="shared" si="38"/>
        <v>16.694197530864194</v>
      </c>
      <c r="U212">
        <f t="shared" si="39"/>
        <v>15.312018140493823</v>
      </c>
      <c r="X212" s="9"/>
      <c r="Y212" s="22">
        <v>0.76278699999999999</v>
      </c>
      <c r="Z212" s="22">
        <v>16.514900000000001</v>
      </c>
      <c r="AA212" s="22">
        <v>-1.3610799999999999E-2</v>
      </c>
      <c r="AB212" s="22">
        <v>202</v>
      </c>
      <c r="AC212" s="22">
        <v>0.76202400000000003</v>
      </c>
      <c r="AD212">
        <f t="shared" si="40"/>
        <v>16.803456790123455</v>
      </c>
      <c r="AE212">
        <f t="shared" si="41"/>
        <v>12.8174583945679</v>
      </c>
      <c r="AF212" s="9"/>
      <c r="AG212" s="22">
        <v>0.91720599999999997</v>
      </c>
      <c r="AH212" s="22">
        <v>20.293800000000001</v>
      </c>
      <c r="AI212" s="22">
        <v>-1.3522299999999999E-2</v>
      </c>
      <c r="AJ212" s="22">
        <v>202</v>
      </c>
      <c r="AK212" s="22">
        <v>0.91674800000000001</v>
      </c>
      <c r="AL212">
        <f t="shared" si="42"/>
        <v>16.694197530864194</v>
      </c>
      <c r="AM212">
        <f t="shared" si="43"/>
        <v>15.312018140493823</v>
      </c>
      <c r="AP212" s="9"/>
      <c r="AQ212" s="22">
        <v>0.76278699999999999</v>
      </c>
      <c r="AR212" s="22">
        <v>25.741099999999999</v>
      </c>
      <c r="AS212" s="22">
        <v>-1.3650499999999999E-2</v>
      </c>
      <c r="AT212" s="22">
        <v>202</v>
      </c>
      <c r="AU212" s="22">
        <v>0.76171900000000003</v>
      </c>
      <c r="AV212">
        <f t="shared" si="44"/>
        <v>16.852469135802469</v>
      </c>
      <c r="AW212">
        <f t="shared" si="45"/>
        <v>12.854844374691357</v>
      </c>
      <c r="AX212" s="9"/>
      <c r="AY212" s="22">
        <v>0.91720599999999997</v>
      </c>
      <c r="AZ212" s="22">
        <v>29.520099999999999</v>
      </c>
      <c r="BA212" s="22">
        <v>-1.3561999999999999E-2</v>
      </c>
      <c r="BB212" s="22">
        <v>202</v>
      </c>
      <c r="BC212" s="22">
        <v>0.91613800000000001</v>
      </c>
      <c r="BD212">
        <f t="shared" si="46"/>
        <v>16.743209876543208</v>
      </c>
      <c r="BE212">
        <f t="shared" si="47"/>
        <v>15.356972558024689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0.75775099999999995</v>
      </c>
      <c r="H213" s="22">
        <v>7.2347400000000004</v>
      </c>
      <c r="I213" s="22">
        <v>-1.35925E-2</v>
      </c>
      <c r="J213" s="22">
        <v>203</v>
      </c>
      <c r="K213" s="22">
        <v>0.75653099999999995</v>
      </c>
      <c r="L213">
        <f t="shared" si="36"/>
        <v>16.780864197530864</v>
      </c>
      <c r="M213">
        <f t="shared" si="37"/>
        <v>12.715716626543209</v>
      </c>
      <c r="N213" s="9"/>
      <c r="O213" s="22">
        <v>0.92224099999999998</v>
      </c>
      <c r="P213" s="22">
        <v>11.0136</v>
      </c>
      <c r="Q213" s="22">
        <v>-1.3516200000000001E-2</v>
      </c>
      <c r="R213" s="22">
        <v>203</v>
      </c>
      <c r="S213" s="22">
        <v>0.92132599999999998</v>
      </c>
      <c r="T213">
        <f t="shared" si="38"/>
        <v>16.686666666666664</v>
      </c>
      <c r="U213">
        <f t="shared" si="39"/>
        <v>15.38912815333333</v>
      </c>
      <c r="X213" s="9"/>
      <c r="Y213" s="22">
        <v>0.75775099999999995</v>
      </c>
      <c r="Z213" s="22">
        <v>16.524999999999999</v>
      </c>
      <c r="AA213" s="22">
        <v>-1.36078E-2</v>
      </c>
      <c r="AB213" s="22">
        <v>203</v>
      </c>
      <c r="AC213" s="22">
        <v>0.75622599999999995</v>
      </c>
      <c r="AD213">
        <f t="shared" si="40"/>
        <v>16.799753086419752</v>
      </c>
      <c r="AE213">
        <f t="shared" si="41"/>
        <v>12.730029700987652</v>
      </c>
      <c r="AF213" s="9"/>
      <c r="AG213" s="22">
        <v>0.92224099999999998</v>
      </c>
      <c r="AH213" s="22">
        <v>20.303899999999999</v>
      </c>
      <c r="AI213" s="22">
        <v>-1.3516200000000001E-2</v>
      </c>
      <c r="AJ213" s="22">
        <v>203</v>
      </c>
      <c r="AK213" s="22">
        <v>0.92163099999999998</v>
      </c>
      <c r="AL213">
        <f t="shared" si="42"/>
        <v>16.686666666666664</v>
      </c>
      <c r="AM213">
        <f t="shared" si="43"/>
        <v>15.38912815333333</v>
      </c>
      <c r="AP213" s="9"/>
      <c r="AQ213" s="22">
        <v>0.75775099999999995</v>
      </c>
      <c r="AR213" s="22">
        <v>25.751200000000001</v>
      </c>
      <c r="AS213" s="22">
        <v>-1.36536E-2</v>
      </c>
      <c r="AT213" s="22">
        <v>203</v>
      </c>
      <c r="AU213" s="22">
        <v>0.75714099999999995</v>
      </c>
      <c r="AV213">
        <f t="shared" si="44"/>
        <v>16.856296296296296</v>
      </c>
      <c r="AW213">
        <f t="shared" si="45"/>
        <v>12.772875374814815</v>
      </c>
      <c r="AX213" s="9"/>
      <c r="AY213" s="22">
        <v>0.92224099999999998</v>
      </c>
      <c r="AZ213" s="22">
        <v>29.530100000000001</v>
      </c>
      <c r="BA213" s="22">
        <v>-1.3559E-2</v>
      </c>
      <c r="BB213" s="22">
        <v>203</v>
      </c>
      <c r="BC213" s="22">
        <v>0.92132599999999998</v>
      </c>
      <c r="BD213">
        <f t="shared" si="46"/>
        <v>16.739506172839505</v>
      </c>
      <c r="BE213">
        <f t="shared" si="47"/>
        <v>15.437858912345677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0.75271600000000005</v>
      </c>
      <c r="H214" s="22">
        <v>7.2448100000000002</v>
      </c>
      <c r="I214" s="22">
        <v>-1.35925E-2</v>
      </c>
      <c r="J214" s="22">
        <v>204</v>
      </c>
      <c r="K214" s="22">
        <v>0.75195299999999998</v>
      </c>
      <c r="L214">
        <f t="shared" si="36"/>
        <v>16.780864197530864</v>
      </c>
      <c r="M214">
        <f t="shared" si="37"/>
        <v>12.631224975308642</v>
      </c>
      <c r="N214" s="9"/>
      <c r="O214" s="22">
        <v>0.92727700000000002</v>
      </c>
      <c r="P214" s="22">
        <v>11.0237</v>
      </c>
      <c r="Q214" s="22">
        <v>-1.3510100000000001E-2</v>
      </c>
      <c r="R214" s="22">
        <v>204</v>
      </c>
      <c r="S214" s="22">
        <v>0.92681899999999995</v>
      </c>
      <c r="T214">
        <f t="shared" si="38"/>
        <v>16.679135802469133</v>
      </c>
      <c r="U214">
        <f t="shared" si="39"/>
        <v>15.46617900950617</v>
      </c>
      <c r="X214" s="9"/>
      <c r="Y214" s="22">
        <v>0.75271600000000005</v>
      </c>
      <c r="Z214" s="22">
        <v>16.535</v>
      </c>
      <c r="AA214" s="22">
        <v>-1.3610799999999999E-2</v>
      </c>
      <c r="AB214" s="22">
        <v>204</v>
      </c>
      <c r="AC214" s="22">
        <v>0.75134299999999998</v>
      </c>
      <c r="AD214">
        <f t="shared" si="40"/>
        <v>16.803456790123455</v>
      </c>
      <c r="AE214">
        <f t="shared" si="41"/>
        <v>12.648230781234568</v>
      </c>
      <c r="AF214" s="9"/>
      <c r="AG214" s="22">
        <v>0.92727700000000002</v>
      </c>
      <c r="AH214" s="22">
        <v>20.3139</v>
      </c>
      <c r="AI214" s="22">
        <v>-1.35132E-2</v>
      </c>
      <c r="AJ214" s="22">
        <v>204</v>
      </c>
      <c r="AK214" s="22">
        <v>0.92651399999999995</v>
      </c>
      <c r="AL214">
        <f t="shared" si="42"/>
        <v>16.682962962962961</v>
      </c>
      <c r="AM214">
        <f t="shared" si="43"/>
        <v>15.469727847407405</v>
      </c>
      <c r="AP214" s="9"/>
      <c r="AQ214" s="22">
        <v>0.75271600000000005</v>
      </c>
      <c r="AR214" s="22">
        <v>25.761299999999999</v>
      </c>
      <c r="AS214" s="22">
        <v>-1.36536E-2</v>
      </c>
      <c r="AT214" s="22">
        <v>204</v>
      </c>
      <c r="AU214" s="22">
        <v>0.75164799999999998</v>
      </c>
      <c r="AV214">
        <f t="shared" si="44"/>
        <v>16.856296296296296</v>
      </c>
      <c r="AW214">
        <f t="shared" si="45"/>
        <v>12.688003922962963</v>
      </c>
      <c r="AX214" s="9"/>
      <c r="AY214" s="22">
        <v>0.92727700000000002</v>
      </c>
      <c r="AZ214" s="22">
        <v>29.540199999999999</v>
      </c>
      <c r="BA214" s="22">
        <v>-1.3555899999999999E-2</v>
      </c>
      <c r="BB214" s="22">
        <v>204</v>
      </c>
      <c r="BC214" s="22">
        <v>0.92620800000000003</v>
      </c>
      <c r="BD214">
        <f t="shared" si="46"/>
        <v>16.735679012345678</v>
      </c>
      <c r="BE214">
        <f t="shared" si="47"/>
        <v>15.518610227530862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0.74768100000000004</v>
      </c>
      <c r="H215" s="22">
        <v>7.25488</v>
      </c>
      <c r="I215" s="22">
        <v>-1.35925E-2</v>
      </c>
      <c r="J215" s="22">
        <v>205</v>
      </c>
      <c r="K215" s="22">
        <v>0.74694799999999995</v>
      </c>
      <c r="L215">
        <f t="shared" si="36"/>
        <v>16.780864197530864</v>
      </c>
      <c r="M215">
        <f t="shared" si="37"/>
        <v>12.546733324074074</v>
      </c>
      <c r="N215" s="9"/>
      <c r="O215" s="22">
        <v>0.93231200000000003</v>
      </c>
      <c r="P215" s="22">
        <v>11.033799999999999</v>
      </c>
      <c r="Q215" s="22">
        <v>-1.3507099999999999E-2</v>
      </c>
      <c r="R215" s="22">
        <v>205</v>
      </c>
      <c r="S215" s="22">
        <v>0.931091</v>
      </c>
      <c r="T215">
        <f t="shared" si="38"/>
        <v>16.67543209876543</v>
      </c>
      <c r="U215">
        <f t="shared" si="39"/>
        <v>15.546705450864197</v>
      </c>
      <c r="X215" s="9"/>
      <c r="Y215" s="22">
        <v>0.74768100000000004</v>
      </c>
      <c r="Z215" s="22">
        <v>16.545100000000001</v>
      </c>
      <c r="AA215" s="22">
        <v>-1.36139E-2</v>
      </c>
      <c r="AB215" s="22">
        <v>205</v>
      </c>
      <c r="AC215" s="22">
        <v>0.74694799999999995</v>
      </c>
      <c r="AD215">
        <f t="shared" si="40"/>
        <v>16.807283950617283</v>
      </c>
      <c r="AE215">
        <f t="shared" si="41"/>
        <v>12.566486871481482</v>
      </c>
      <c r="AF215" s="9"/>
      <c r="AG215" s="22">
        <v>0.93231200000000003</v>
      </c>
      <c r="AH215" s="22">
        <v>20.324000000000002</v>
      </c>
      <c r="AI215" s="22">
        <v>-1.3510100000000001E-2</v>
      </c>
      <c r="AJ215" s="22">
        <v>205</v>
      </c>
      <c r="AK215" s="22">
        <v>0.931396</v>
      </c>
      <c r="AL215">
        <f t="shared" si="42"/>
        <v>16.679135802469133</v>
      </c>
      <c r="AM215">
        <f t="shared" si="43"/>
        <v>15.550158458271603</v>
      </c>
      <c r="AP215" s="9"/>
      <c r="AQ215" s="22">
        <v>0.74768100000000004</v>
      </c>
      <c r="AR215" s="22">
        <v>25.7713</v>
      </c>
      <c r="AS215" s="22">
        <v>-1.3650499999999999E-2</v>
      </c>
      <c r="AT215" s="22">
        <v>205</v>
      </c>
      <c r="AU215" s="22">
        <v>0.74697899999999995</v>
      </c>
      <c r="AV215">
        <f t="shared" si="44"/>
        <v>16.852469135802469</v>
      </c>
      <c r="AW215">
        <f t="shared" si="45"/>
        <v>12.600270975925927</v>
      </c>
      <c r="AX215" s="9"/>
      <c r="AY215" s="22">
        <v>0.93231200000000003</v>
      </c>
      <c r="AZ215" s="22">
        <v>29.5503</v>
      </c>
      <c r="BA215" s="22">
        <v>-1.3555899999999999E-2</v>
      </c>
      <c r="BB215" s="22">
        <v>205</v>
      </c>
      <c r="BC215" s="22">
        <v>0.931396</v>
      </c>
      <c r="BD215">
        <f t="shared" si="46"/>
        <v>16.735679012345678</v>
      </c>
      <c r="BE215">
        <f t="shared" si="47"/>
        <v>15.602874371358023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0.742645</v>
      </c>
      <c r="H216" s="22">
        <v>7.2649499999999998</v>
      </c>
      <c r="I216" s="22">
        <v>-1.3598600000000001E-2</v>
      </c>
      <c r="J216" s="22">
        <v>206</v>
      </c>
      <c r="K216" s="22">
        <v>0.74188200000000004</v>
      </c>
      <c r="L216">
        <f t="shared" si="36"/>
        <v>16.788395061728394</v>
      </c>
      <c r="M216">
        <f t="shared" si="37"/>
        <v>12.467817650617283</v>
      </c>
      <c r="N216" s="9"/>
      <c r="O216" s="22">
        <v>0.93734700000000004</v>
      </c>
      <c r="P216" s="22">
        <v>11.043900000000001</v>
      </c>
      <c r="Q216" s="22">
        <v>-1.3504E-2</v>
      </c>
      <c r="R216" s="22">
        <v>206</v>
      </c>
      <c r="S216" s="22">
        <v>0.93689</v>
      </c>
      <c r="T216">
        <f t="shared" si="38"/>
        <v>16.671604938271606</v>
      </c>
      <c r="U216">
        <f t="shared" si="39"/>
        <v>15.627078874074076</v>
      </c>
      <c r="X216" s="9"/>
      <c r="Y216" s="22">
        <v>0.742645</v>
      </c>
      <c r="Z216" s="22">
        <v>16.555199999999999</v>
      </c>
      <c r="AA216" s="22">
        <v>-1.36139E-2</v>
      </c>
      <c r="AB216" s="22">
        <v>206</v>
      </c>
      <c r="AC216" s="22">
        <v>0.74194300000000002</v>
      </c>
      <c r="AD216">
        <f t="shared" si="40"/>
        <v>16.807283950617283</v>
      </c>
      <c r="AE216">
        <f t="shared" si="41"/>
        <v>12.481845389506171</v>
      </c>
      <c r="AF216" s="9"/>
      <c r="AG216" s="22">
        <v>0.93734700000000004</v>
      </c>
      <c r="AH216" s="22">
        <v>20.334099999999999</v>
      </c>
      <c r="AI216" s="22">
        <v>-1.3510100000000001E-2</v>
      </c>
      <c r="AJ216" s="22">
        <v>206</v>
      </c>
      <c r="AK216" s="22">
        <v>0.93627899999999997</v>
      </c>
      <c r="AL216">
        <f t="shared" si="42"/>
        <v>16.679135802469133</v>
      </c>
      <c r="AM216">
        <f t="shared" si="43"/>
        <v>15.634137907037035</v>
      </c>
      <c r="AP216" s="9"/>
      <c r="AQ216" s="22">
        <v>0.742645</v>
      </c>
      <c r="AR216" s="22">
        <v>25.781400000000001</v>
      </c>
      <c r="AS216" s="22">
        <v>-1.3650499999999999E-2</v>
      </c>
      <c r="AT216" s="22">
        <v>206</v>
      </c>
      <c r="AU216" s="22">
        <v>0.74194300000000002</v>
      </c>
      <c r="AV216">
        <f t="shared" si="44"/>
        <v>16.852469135802469</v>
      </c>
      <c r="AW216">
        <f t="shared" si="45"/>
        <v>12.515401941358025</v>
      </c>
      <c r="AX216" s="9"/>
      <c r="AY216" s="22">
        <v>0.93734700000000004</v>
      </c>
      <c r="AZ216" s="22">
        <v>29.560300000000002</v>
      </c>
      <c r="BA216" s="22">
        <v>-1.35529E-2</v>
      </c>
      <c r="BB216" s="22">
        <v>206</v>
      </c>
      <c r="BC216" s="22">
        <v>0.93689</v>
      </c>
      <c r="BD216">
        <f t="shared" si="46"/>
        <v>16.731975308641974</v>
      </c>
      <c r="BE216">
        <f t="shared" si="47"/>
        <v>15.68366685962963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0.73760999999999999</v>
      </c>
      <c r="H217" s="22">
        <v>7.2750199999999996</v>
      </c>
      <c r="I217" s="22">
        <v>-1.3604700000000001E-2</v>
      </c>
      <c r="J217" s="22">
        <v>207</v>
      </c>
      <c r="K217" s="22">
        <v>0.73690800000000001</v>
      </c>
      <c r="L217">
        <f t="shared" si="36"/>
        <v>16.795925925925925</v>
      </c>
      <c r="M217">
        <f t="shared" si="37"/>
        <v>12.388842922222221</v>
      </c>
      <c r="N217" s="9"/>
      <c r="O217" s="22">
        <v>0.94238299999999997</v>
      </c>
      <c r="P217" s="22">
        <v>11.053900000000001</v>
      </c>
      <c r="Q217" s="22">
        <v>-1.3501000000000001E-2</v>
      </c>
      <c r="R217" s="22">
        <v>207</v>
      </c>
      <c r="S217" s="22">
        <v>0.94146700000000005</v>
      </c>
      <c r="T217">
        <f t="shared" si="38"/>
        <v>16.667901234567903</v>
      </c>
      <c r="U217">
        <f t="shared" si="39"/>
        <v>15.707546769135805</v>
      </c>
      <c r="X217" s="9"/>
      <c r="Y217" s="22">
        <v>0.73760999999999999</v>
      </c>
      <c r="Z217" s="22">
        <v>16.565200000000001</v>
      </c>
      <c r="AA217" s="22">
        <v>-1.3616899999999999E-2</v>
      </c>
      <c r="AB217" s="22">
        <v>207</v>
      </c>
      <c r="AC217" s="22">
        <v>0.73684700000000003</v>
      </c>
      <c r="AD217">
        <f t="shared" si="40"/>
        <v>16.810987654320986</v>
      </c>
      <c r="AE217">
        <f t="shared" si="41"/>
        <v>12.399952603703703</v>
      </c>
      <c r="AF217" s="9"/>
      <c r="AG217" s="22">
        <v>0.94238299999999997</v>
      </c>
      <c r="AH217" s="22">
        <v>20.344100000000001</v>
      </c>
      <c r="AI217" s="22">
        <v>-1.3510100000000001E-2</v>
      </c>
      <c r="AJ217" s="22">
        <v>207</v>
      </c>
      <c r="AK217" s="22">
        <v>0.94146700000000005</v>
      </c>
      <c r="AL217">
        <f t="shared" si="42"/>
        <v>16.679135802469133</v>
      </c>
      <c r="AM217">
        <f t="shared" si="43"/>
        <v>15.718134034938268</v>
      </c>
      <c r="AP217" s="9"/>
      <c r="AQ217" s="22">
        <v>0.73760999999999999</v>
      </c>
      <c r="AR217" s="22">
        <v>25.791499999999999</v>
      </c>
      <c r="AS217" s="22">
        <v>-1.3650499999999999E-2</v>
      </c>
      <c r="AT217" s="22">
        <v>207</v>
      </c>
      <c r="AU217" s="22">
        <v>0.736877</v>
      </c>
      <c r="AV217">
        <f t="shared" si="44"/>
        <v>16.852469135802469</v>
      </c>
      <c r="AW217">
        <f t="shared" si="45"/>
        <v>12.430549759259259</v>
      </c>
      <c r="AX217" s="9"/>
      <c r="AY217" s="22">
        <v>0.94238299999999997</v>
      </c>
      <c r="AZ217" s="22">
        <v>29.570399999999999</v>
      </c>
      <c r="BA217" s="22">
        <v>-1.3546799999999999E-2</v>
      </c>
      <c r="BB217" s="22">
        <v>207</v>
      </c>
      <c r="BC217" s="22">
        <v>0.94177200000000005</v>
      </c>
      <c r="BD217">
        <f t="shared" si="46"/>
        <v>16.72444444444444</v>
      </c>
      <c r="BE217">
        <f t="shared" si="47"/>
        <v>15.760832128888884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0.73257399999999995</v>
      </c>
      <c r="H218" s="22">
        <v>7.2850900000000003</v>
      </c>
      <c r="I218" s="22">
        <v>-1.36078E-2</v>
      </c>
      <c r="J218" s="22">
        <v>208</v>
      </c>
      <c r="K218" s="22">
        <v>0.73181200000000002</v>
      </c>
      <c r="L218">
        <f t="shared" si="36"/>
        <v>16.799753086419752</v>
      </c>
      <c r="M218">
        <f t="shared" si="37"/>
        <v>12.307062317530862</v>
      </c>
      <c r="N218" s="9"/>
      <c r="O218" s="22">
        <v>0.94741799999999998</v>
      </c>
      <c r="P218" s="22">
        <v>11.064</v>
      </c>
      <c r="Q218" s="22">
        <v>-1.34979E-2</v>
      </c>
      <c r="R218" s="22">
        <v>208</v>
      </c>
      <c r="S218" s="22">
        <v>0.94635000000000002</v>
      </c>
      <c r="T218">
        <f t="shared" si="38"/>
        <v>16.664074074074072</v>
      </c>
      <c r="U218">
        <f t="shared" si="39"/>
        <v>15.78784373111111</v>
      </c>
      <c r="X218" s="9"/>
      <c r="Y218" s="22">
        <v>0.73257399999999995</v>
      </c>
      <c r="Z218" s="22">
        <v>16.575299999999999</v>
      </c>
      <c r="AA218" s="22">
        <v>-1.362E-2</v>
      </c>
      <c r="AB218" s="22">
        <v>208</v>
      </c>
      <c r="AC218" s="22">
        <v>0.73184199999999999</v>
      </c>
      <c r="AD218">
        <f t="shared" si="40"/>
        <v>16.814814814814813</v>
      </c>
      <c r="AE218">
        <f t="shared" si="41"/>
        <v>12.318096148148147</v>
      </c>
      <c r="AF218" s="9"/>
      <c r="AG218" s="22">
        <v>0.94741799999999998</v>
      </c>
      <c r="AH218" s="22">
        <v>20.354199999999999</v>
      </c>
      <c r="AI218" s="22">
        <v>-1.3510100000000001E-2</v>
      </c>
      <c r="AJ218" s="22">
        <v>208</v>
      </c>
      <c r="AK218" s="22">
        <v>0.94635000000000002</v>
      </c>
      <c r="AL218">
        <f t="shared" si="42"/>
        <v>16.679135802469133</v>
      </c>
      <c r="AM218">
        <f t="shared" si="43"/>
        <v>15.802113483703701</v>
      </c>
      <c r="AP218" s="9"/>
      <c r="AQ218" s="22">
        <v>0.73257399999999995</v>
      </c>
      <c r="AR218" s="22">
        <v>25.801500000000001</v>
      </c>
      <c r="AS218" s="22">
        <v>-1.36597E-2</v>
      </c>
      <c r="AT218" s="22">
        <v>208</v>
      </c>
      <c r="AU218" s="22">
        <v>0.73190299999999997</v>
      </c>
      <c r="AV218">
        <f t="shared" si="44"/>
        <v>16.863827160493827</v>
      </c>
      <c r="AW218">
        <f t="shared" si="45"/>
        <v>12.354001318271603</v>
      </c>
      <c r="AX218" s="9"/>
      <c r="AY218" s="22">
        <v>0.94741799999999998</v>
      </c>
      <c r="AZ218" s="22">
        <v>29.580500000000001</v>
      </c>
      <c r="BA218" s="22">
        <v>-1.35406E-2</v>
      </c>
      <c r="BB218" s="22">
        <v>208</v>
      </c>
      <c r="BC218" s="22">
        <v>0.94574000000000003</v>
      </c>
      <c r="BD218">
        <f t="shared" si="46"/>
        <v>16.716790123456789</v>
      </c>
      <c r="BE218">
        <f t="shared" si="47"/>
        <v>15.837787865185184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0.72753900000000005</v>
      </c>
      <c r="H219" s="22">
        <v>7.2951600000000001</v>
      </c>
      <c r="I219" s="22">
        <v>-1.36139E-2</v>
      </c>
      <c r="J219" s="22">
        <v>209</v>
      </c>
      <c r="K219" s="22">
        <v>0.72677599999999998</v>
      </c>
      <c r="L219">
        <f t="shared" si="36"/>
        <v>16.807283950617283</v>
      </c>
      <c r="M219">
        <f t="shared" si="37"/>
        <v>12.227954558148149</v>
      </c>
      <c r="N219" s="9"/>
      <c r="O219" s="22">
        <v>0.95245400000000002</v>
      </c>
      <c r="P219" s="22">
        <v>11.0741</v>
      </c>
      <c r="Q219" s="22">
        <v>-1.3494900000000001E-2</v>
      </c>
      <c r="R219" s="22">
        <v>209</v>
      </c>
      <c r="S219" s="22">
        <v>0.95214799999999999</v>
      </c>
      <c r="T219">
        <f t="shared" si="38"/>
        <v>16.660370370370369</v>
      </c>
      <c r="U219">
        <f t="shared" si="39"/>
        <v>15.86823640074074</v>
      </c>
      <c r="X219" s="9"/>
      <c r="Y219" s="22">
        <v>0.72753900000000005</v>
      </c>
      <c r="Z219" s="22">
        <v>16.5854</v>
      </c>
      <c r="AA219" s="22">
        <v>-1.3629199999999999E-2</v>
      </c>
      <c r="AB219" s="22">
        <v>209</v>
      </c>
      <c r="AC219" s="22">
        <v>0.72683699999999996</v>
      </c>
      <c r="AD219">
        <f t="shared" si="40"/>
        <v>16.826172839506171</v>
      </c>
      <c r="AE219">
        <f t="shared" si="41"/>
        <v>12.24169696148148</v>
      </c>
      <c r="AF219" s="9"/>
      <c r="AG219" s="22">
        <v>0.95245400000000002</v>
      </c>
      <c r="AH219" s="22">
        <v>20.3643</v>
      </c>
      <c r="AI219" s="22">
        <v>-1.3507099999999999E-2</v>
      </c>
      <c r="AJ219" s="22">
        <v>209</v>
      </c>
      <c r="AK219" s="22">
        <v>0.950928</v>
      </c>
      <c r="AL219">
        <f t="shared" si="42"/>
        <v>16.67543209876543</v>
      </c>
      <c r="AM219">
        <f t="shared" si="43"/>
        <v>15.882582004197529</v>
      </c>
      <c r="AP219" s="9"/>
      <c r="AQ219" s="22">
        <v>0.72753900000000005</v>
      </c>
      <c r="AR219" s="22">
        <v>25.811599999999999</v>
      </c>
      <c r="AS219" s="22">
        <v>-1.36688E-2</v>
      </c>
      <c r="AT219" s="22">
        <v>209</v>
      </c>
      <c r="AU219" s="22">
        <v>0.72683699999999996</v>
      </c>
      <c r="AV219">
        <f t="shared" si="44"/>
        <v>16.87506172839506</v>
      </c>
      <c r="AW219">
        <f t="shared" si="45"/>
        <v>12.277265534814815</v>
      </c>
      <c r="AX219" s="9"/>
      <c r="AY219" s="22">
        <v>0.95245400000000002</v>
      </c>
      <c r="AZ219" s="22">
        <v>29.590499999999999</v>
      </c>
      <c r="BA219" s="22">
        <v>-1.35376E-2</v>
      </c>
      <c r="BB219" s="22">
        <v>209</v>
      </c>
      <c r="BC219" s="22">
        <v>0.95153799999999999</v>
      </c>
      <c r="BD219">
        <f t="shared" si="46"/>
        <v>16.713086419753086</v>
      </c>
      <c r="BE219">
        <f t="shared" si="47"/>
        <v>15.918446012839507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0.72250400000000004</v>
      </c>
      <c r="H220" s="22">
        <v>7.3052299999999999</v>
      </c>
      <c r="I220" s="22">
        <v>-1.36139E-2</v>
      </c>
      <c r="J220" s="22">
        <v>210</v>
      </c>
      <c r="K220" s="22">
        <v>0.72189300000000001</v>
      </c>
      <c r="L220">
        <f t="shared" si="36"/>
        <v>16.807283950617283</v>
      </c>
      <c r="M220">
        <f t="shared" si="37"/>
        <v>12.14332988345679</v>
      </c>
      <c r="N220" s="9"/>
      <c r="O220" s="22">
        <v>0.95748900000000003</v>
      </c>
      <c r="P220" s="22">
        <v>11.084099999999999</v>
      </c>
      <c r="Q220" s="22">
        <v>-1.3494900000000001E-2</v>
      </c>
      <c r="R220" s="22">
        <v>210</v>
      </c>
      <c r="S220" s="22">
        <v>0.95642099999999997</v>
      </c>
      <c r="T220">
        <f t="shared" si="38"/>
        <v>16.660370370370369</v>
      </c>
      <c r="U220">
        <f t="shared" si="39"/>
        <v>15.952121365555556</v>
      </c>
      <c r="X220" s="9"/>
      <c r="Y220" s="22">
        <v>0.72250400000000004</v>
      </c>
      <c r="Z220" s="22">
        <v>16.595500000000001</v>
      </c>
      <c r="AA220" s="22">
        <v>-1.36353E-2</v>
      </c>
      <c r="AB220" s="22">
        <v>210</v>
      </c>
      <c r="AC220" s="22">
        <v>0.72174099999999997</v>
      </c>
      <c r="AD220">
        <f t="shared" si="40"/>
        <v>16.833703703703701</v>
      </c>
      <c r="AE220">
        <f t="shared" si="41"/>
        <v>12.16241826074074</v>
      </c>
      <c r="AF220" s="9"/>
      <c r="AG220" s="22">
        <v>0.95748900000000003</v>
      </c>
      <c r="AH220" s="22">
        <v>20.374400000000001</v>
      </c>
      <c r="AI220" s="22">
        <v>-1.3507099999999999E-2</v>
      </c>
      <c r="AJ220" s="22">
        <v>210</v>
      </c>
      <c r="AK220" s="22">
        <v>0.95611599999999997</v>
      </c>
      <c r="AL220">
        <f t="shared" si="42"/>
        <v>16.67543209876543</v>
      </c>
      <c r="AM220">
        <f t="shared" si="43"/>
        <v>15.966542804814814</v>
      </c>
      <c r="AP220" s="9"/>
      <c r="AQ220" s="22">
        <v>0.72250400000000004</v>
      </c>
      <c r="AR220" s="22">
        <v>25.8217</v>
      </c>
      <c r="AS220" s="22">
        <v>-1.36688E-2</v>
      </c>
      <c r="AT220" s="22">
        <v>210</v>
      </c>
      <c r="AU220" s="22">
        <v>0.72177100000000005</v>
      </c>
      <c r="AV220">
        <f t="shared" si="44"/>
        <v>16.87506172839506</v>
      </c>
      <c r="AW220">
        <f t="shared" si="45"/>
        <v>12.192299599012346</v>
      </c>
      <c r="AX220" s="9"/>
      <c r="AY220" s="22">
        <v>0.95748900000000003</v>
      </c>
      <c r="AZ220" s="22">
        <v>29.6006</v>
      </c>
      <c r="BA220" s="22">
        <v>-1.35345E-2</v>
      </c>
      <c r="BB220" s="22">
        <v>210</v>
      </c>
      <c r="BC220" s="22">
        <v>0.95703099999999997</v>
      </c>
      <c r="BD220">
        <f t="shared" si="46"/>
        <v>16.709259259259255</v>
      </c>
      <c r="BE220">
        <f t="shared" si="47"/>
        <v>15.998931938888886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0.71746799999999999</v>
      </c>
      <c r="H221" s="22">
        <v>7.3152999999999997</v>
      </c>
      <c r="I221" s="22">
        <v>-1.36139E-2</v>
      </c>
      <c r="J221" s="22">
        <v>211</v>
      </c>
      <c r="K221" s="22">
        <v>0.71676600000000001</v>
      </c>
      <c r="L221">
        <f t="shared" si="36"/>
        <v>16.807283950617283</v>
      </c>
      <c r="M221">
        <f t="shared" si="37"/>
        <v>12.058688401481481</v>
      </c>
      <c r="N221" s="9"/>
      <c r="O221" s="22">
        <v>0.96252400000000005</v>
      </c>
      <c r="P221" s="22">
        <v>11.094200000000001</v>
      </c>
      <c r="Q221" s="22">
        <v>-1.34888E-2</v>
      </c>
      <c r="R221" s="22">
        <v>211</v>
      </c>
      <c r="S221" s="22">
        <v>0.96099900000000005</v>
      </c>
      <c r="T221">
        <f t="shared" si="38"/>
        <v>16.652839506172839</v>
      </c>
      <c r="U221">
        <f t="shared" si="39"/>
        <v>16.028757692839505</v>
      </c>
      <c r="X221" s="9"/>
      <c r="Y221" s="22">
        <v>0.71746799999999999</v>
      </c>
      <c r="Z221" s="22">
        <v>16.605499999999999</v>
      </c>
      <c r="AA221" s="22">
        <v>-1.36414E-2</v>
      </c>
      <c r="AB221" s="22">
        <v>211</v>
      </c>
      <c r="AC221" s="22">
        <v>0.71679700000000002</v>
      </c>
      <c r="AD221">
        <f t="shared" si="40"/>
        <v>16.841234567901232</v>
      </c>
      <c r="AE221">
        <f t="shared" si="41"/>
        <v>12.083046882962961</v>
      </c>
      <c r="AF221" s="9"/>
      <c r="AG221" s="22">
        <v>0.96252400000000005</v>
      </c>
      <c r="AH221" s="22">
        <v>20.384399999999999</v>
      </c>
      <c r="AI221" s="22">
        <v>-1.3501000000000001E-2</v>
      </c>
      <c r="AJ221" s="22">
        <v>211</v>
      </c>
      <c r="AK221" s="22">
        <v>0.96191400000000005</v>
      </c>
      <c r="AL221">
        <f t="shared" si="42"/>
        <v>16.667901234567903</v>
      </c>
      <c r="AM221">
        <f t="shared" si="43"/>
        <v>16.043254967901238</v>
      </c>
      <c r="AP221" s="9"/>
      <c r="AQ221" s="22">
        <v>0.71746799999999999</v>
      </c>
      <c r="AR221" s="22">
        <v>25.831700000000001</v>
      </c>
      <c r="AS221" s="22">
        <v>-1.36688E-2</v>
      </c>
      <c r="AT221" s="22">
        <v>211</v>
      </c>
      <c r="AU221" s="22">
        <v>0.71679700000000002</v>
      </c>
      <c r="AV221">
        <f t="shared" si="44"/>
        <v>16.87506172839506</v>
      </c>
      <c r="AW221">
        <f t="shared" si="45"/>
        <v>12.107316788148147</v>
      </c>
      <c r="AX221" s="9"/>
      <c r="AY221" s="22">
        <v>0.96252400000000005</v>
      </c>
      <c r="AZ221" s="22">
        <v>29.610700000000001</v>
      </c>
      <c r="BA221" s="22">
        <v>-1.35315E-2</v>
      </c>
      <c r="BB221" s="22">
        <v>211</v>
      </c>
      <c r="BC221" s="22">
        <v>0.96160900000000005</v>
      </c>
      <c r="BD221">
        <f t="shared" si="46"/>
        <v>16.705555555555552</v>
      </c>
      <c r="BE221">
        <f t="shared" si="47"/>
        <v>16.079498155555552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0.71243299999999998</v>
      </c>
      <c r="H222" s="22">
        <v>7.32538</v>
      </c>
      <c r="I222" s="22">
        <v>-1.3616899999999999E-2</v>
      </c>
      <c r="J222" s="22">
        <v>212</v>
      </c>
      <c r="K222" s="22">
        <v>0.71176099999999998</v>
      </c>
      <c r="L222">
        <f t="shared" si="36"/>
        <v>16.810987654320986</v>
      </c>
      <c r="M222">
        <f t="shared" si="37"/>
        <v>11.976702367530862</v>
      </c>
      <c r="N222" s="9"/>
      <c r="O222" s="22">
        <v>0.96755999999999998</v>
      </c>
      <c r="P222" s="22">
        <v>11.1043</v>
      </c>
      <c r="Q222" s="22">
        <v>-1.34857E-2</v>
      </c>
      <c r="R222" s="22">
        <v>212</v>
      </c>
      <c r="S222" s="22">
        <v>0.96649200000000002</v>
      </c>
      <c r="T222">
        <f t="shared" si="38"/>
        <v>16.649012345679012</v>
      </c>
      <c r="U222">
        <f t="shared" si="39"/>
        <v>16.108918385185184</v>
      </c>
      <c r="X222" s="9"/>
      <c r="Y222" s="22">
        <v>0.71243299999999998</v>
      </c>
      <c r="Z222" s="22">
        <v>16.615600000000001</v>
      </c>
      <c r="AA222" s="22">
        <v>-1.3644399999999999E-2</v>
      </c>
      <c r="AB222" s="22">
        <v>212</v>
      </c>
      <c r="AC222" s="22">
        <v>0.71176099999999998</v>
      </c>
      <c r="AD222">
        <f t="shared" si="40"/>
        <v>16.844938271604939</v>
      </c>
      <c r="AE222">
        <f t="shared" si="41"/>
        <v>12.000889907654321</v>
      </c>
      <c r="AF222" s="9"/>
      <c r="AG222" s="22">
        <v>0.96755999999999998</v>
      </c>
      <c r="AH222" s="22">
        <v>20.394500000000001</v>
      </c>
      <c r="AI222" s="22">
        <v>-1.34979E-2</v>
      </c>
      <c r="AJ222" s="22">
        <v>212</v>
      </c>
      <c r="AK222" s="22">
        <v>0.96710200000000002</v>
      </c>
      <c r="AL222">
        <f t="shared" si="42"/>
        <v>16.664074074074072</v>
      </c>
      <c r="AM222">
        <f t="shared" si="43"/>
        <v>16.123491511111109</v>
      </c>
      <c r="AP222" s="9"/>
      <c r="AQ222" s="22">
        <v>0.71243299999999998</v>
      </c>
      <c r="AR222" s="22">
        <v>25.841799999999999</v>
      </c>
      <c r="AS222" s="22">
        <v>-1.36688E-2</v>
      </c>
      <c r="AT222" s="22">
        <v>212</v>
      </c>
      <c r="AU222" s="22">
        <v>0.7117</v>
      </c>
      <c r="AV222">
        <f t="shared" si="44"/>
        <v>16.87506172839506</v>
      </c>
      <c r="AW222">
        <f t="shared" si="45"/>
        <v>12.022350852345678</v>
      </c>
      <c r="AX222" s="9"/>
      <c r="AY222" s="22">
        <v>0.96755999999999998</v>
      </c>
      <c r="AZ222" s="22">
        <v>29.620799999999999</v>
      </c>
      <c r="BA222" s="22">
        <v>-1.35254E-2</v>
      </c>
      <c r="BB222" s="22">
        <v>212</v>
      </c>
      <c r="BC222" s="22">
        <v>0.96618700000000002</v>
      </c>
      <c r="BD222">
        <f t="shared" si="46"/>
        <v>16.698024691358025</v>
      </c>
      <c r="BE222">
        <f t="shared" si="47"/>
        <v>16.15634077037037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0.70739700000000005</v>
      </c>
      <c r="H223" s="22">
        <v>7.3354499999999998</v>
      </c>
      <c r="I223" s="22">
        <v>-1.3623E-2</v>
      </c>
      <c r="J223" s="22">
        <v>213</v>
      </c>
      <c r="K223" s="22">
        <v>0.70672599999999997</v>
      </c>
      <c r="L223">
        <f t="shared" si="36"/>
        <v>16.818518518518516</v>
      </c>
      <c r="M223">
        <f t="shared" si="37"/>
        <v>11.897369544444445</v>
      </c>
      <c r="N223" s="9"/>
      <c r="O223" s="22">
        <v>0.97259499999999999</v>
      </c>
      <c r="P223" s="22">
        <v>11.1144</v>
      </c>
      <c r="Q223" s="22">
        <v>-1.34766E-2</v>
      </c>
      <c r="R223" s="22">
        <v>213</v>
      </c>
      <c r="S223" s="22">
        <v>0.97167999999999999</v>
      </c>
      <c r="T223">
        <f t="shared" si="38"/>
        <v>16.637777777777774</v>
      </c>
      <c r="U223">
        <f t="shared" si="39"/>
        <v>16.181819477777776</v>
      </c>
      <c r="X223" s="9"/>
      <c r="Y223" s="22">
        <v>0.70739700000000005</v>
      </c>
      <c r="Z223" s="22">
        <v>16.625699999999998</v>
      </c>
      <c r="AA223" s="22">
        <v>-1.36475E-2</v>
      </c>
      <c r="AB223" s="22">
        <v>213</v>
      </c>
      <c r="AC223" s="22">
        <v>0.70678700000000005</v>
      </c>
      <c r="AD223">
        <f t="shared" si="40"/>
        <v>16.848765432098766</v>
      </c>
      <c r="AE223">
        <f t="shared" si="41"/>
        <v>11.918766120370371</v>
      </c>
      <c r="AF223" s="9"/>
      <c r="AG223" s="22">
        <v>0.97259499999999999</v>
      </c>
      <c r="AH223" s="22">
        <v>20.404599999999999</v>
      </c>
      <c r="AI223" s="22">
        <v>-1.3494900000000001E-2</v>
      </c>
      <c r="AJ223" s="22">
        <v>213</v>
      </c>
      <c r="AK223" s="22">
        <v>0.97167999999999999</v>
      </c>
      <c r="AL223">
        <f t="shared" si="42"/>
        <v>16.660370370370369</v>
      </c>
      <c r="AM223">
        <f t="shared" si="43"/>
        <v>16.203792920370368</v>
      </c>
      <c r="AP223" s="9"/>
      <c r="AQ223" s="22">
        <v>0.70739700000000005</v>
      </c>
      <c r="AR223" s="22">
        <v>25.851900000000001</v>
      </c>
      <c r="AS223" s="22">
        <v>-1.36749E-2</v>
      </c>
      <c r="AT223" s="22">
        <v>213</v>
      </c>
      <c r="AU223" s="22">
        <v>0.70669599999999999</v>
      </c>
      <c r="AV223">
        <f t="shared" si="44"/>
        <v>16.882592592592591</v>
      </c>
      <c r="AW223">
        <f t="shared" si="45"/>
        <v>11.942695352222222</v>
      </c>
      <c r="AX223" s="9"/>
      <c r="AY223" s="22">
        <v>0.97259499999999999</v>
      </c>
      <c r="AZ223" s="22">
        <v>29.630800000000001</v>
      </c>
      <c r="BA223" s="22">
        <v>-1.3522299999999999E-2</v>
      </c>
      <c r="BB223" s="22">
        <v>213</v>
      </c>
      <c r="BC223" s="22">
        <v>0.97137499999999999</v>
      </c>
      <c r="BD223">
        <f t="shared" si="46"/>
        <v>16.694197530864194</v>
      </c>
      <c r="BE223">
        <f t="shared" si="47"/>
        <v>16.23669304753086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0.70236200000000004</v>
      </c>
      <c r="H224" s="22">
        <v>7.3455199999999996</v>
      </c>
      <c r="I224" s="22">
        <v>-1.3623E-2</v>
      </c>
      <c r="J224" s="22">
        <v>214</v>
      </c>
      <c r="K224" s="22">
        <v>0.70162999999999998</v>
      </c>
      <c r="L224">
        <f t="shared" si="36"/>
        <v>16.818518518518516</v>
      </c>
      <c r="M224">
        <f t="shared" si="37"/>
        <v>11.812688303703704</v>
      </c>
      <c r="N224" s="9"/>
      <c r="O224" s="22">
        <v>0.97763100000000003</v>
      </c>
      <c r="P224" s="22">
        <v>11.1244</v>
      </c>
      <c r="Q224" s="22">
        <v>-1.34705E-2</v>
      </c>
      <c r="R224" s="22">
        <v>214</v>
      </c>
      <c r="S224" s="22">
        <v>0.97717299999999996</v>
      </c>
      <c r="T224">
        <f t="shared" si="38"/>
        <v>16.630246913580244</v>
      </c>
      <c r="U224">
        <f t="shared" si="39"/>
        <v>16.25824492037037</v>
      </c>
      <c r="X224" s="9"/>
      <c r="Y224" s="22">
        <v>0.70236200000000004</v>
      </c>
      <c r="Z224" s="22">
        <v>16.6357</v>
      </c>
      <c r="AA224" s="22">
        <v>-1.36566E-2</v>
      </c>
      <c r="AB224" s="22">
        <v>214</v>
      </c>
      <c r="AC224" s="22">
        <v>0.70162999999999998</v>
      </c>
      <c r="AD224">
        <f t="shared" si="40"/>
        <v>16.86</v>
      </c>
      <c r="AE224">
        <f t="shared" si="41"/>
        <v>11.84182332</v>
      </c>
      <c r="AF224" s="9"/>
      <c r="AG224" s="22">
        <v>0.97763100000000003</v>
      </c>
      <c r="AH224" s="22">
        <v>20.4146</v>
      </c>
      <c r="AI224" s="22">
        <v>-1.3494900000000001E-2</v>
      </c>
      <c r="AJ224" s="22">
        <v>214</v>
      </c>
      <c r="AK224" s="22">
        <v>0.97717299999999996</v>
      </c>
      <c r="AL224">
        <f t="shared" si="42"/>
        <v>16.660370370370369</v>
      </c>
      <c r="AM224">
        <f t="shared" si="43"/>
        <v>16.287694545555556</v>
      </c>
      <c r="AP224" s="9"/>
      <c r="AQ224" s="22">
        <v>0.70236200000000004</v>
      </c>
      <c r="AR224" s="22">
        <v>25.861999999999998</v>
      </c>
      <c r="AS224" s="22">
        <v>-1.3684099999999999E-2</v>
      </c>
      <c r="AT224" s="22">
        <v>214</v>
      </c>
      <c r="AU224" s="22">
        <v>0.70165999999999995</v>
      </c>
      <c r="AV224">
        <f t="shared" si="44"/>
        <v>16.893950617283949</v>
      </c>
      <c r="AW224">
        <f t="shared" si="45"/>
        <v>11.865668943456789</v>
      </c>
      <c r="AX224" s="9"/>
      <c r="AY224" s="22">
        <v>0.97763100000000003</v>
      </c>
      <c r="AZ224" s="22">
        <v>29.640899999999998</v>
      </c>
      <c r="BA224" s="22">
        <v>-1.35193E-2</v>
      </c>
      <c r="BB224" s="22">
        <v>214</v>
      </c>
      <c r="BC224" s="22">
        <v>0.97686799999999996</v>
      </c>
      <c r="BD224">
        <f t="shared" si="46"/>
        <v>16.690493827160495</v>
      </c>
      <c r="BE224">
        <f t="shared" si="47"/>
        <v>16.317144170740743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0.69732700000000003</v>
      </c>
      <c r="H225" s="22">
        <v>7.3555900000000003</v>
      </c>
      <c r="I225" s="22">
        <v>-1.3623E-2</v>
      </c>
      <c r="J225" s="22">
        <v>215</v>
      </c>
      <c r="K225" s="22">
        <v>0.69665500000000002</v>
      </c>
      <c r="L225">
        <f t="shared" si="36"/>
        <v>16.818518518518516</v>
      </c>
      <c r="M225">
        <f t="shared" si="37"/>
        <v>11.728007062962963</v>
      </c>
      <c r="N225" s="9"/>
      <c r="O225" s="22">
        <v>0.98266600000000004</v>
      </c>
      <c r="P225" s="22">
        <v>11.134499999999999</v>
      </c>
      <c r="Q225" s="22">
        <v>-1.3467399999999999E-2</v>
      </c>
      <c r="R225" s="22">
        <v>215</v>
      </c>
      <c r="S225" s="22">
        <v>0.98205600000000004</v>
      </c>
      <c r="T225">
        <f t="shared" si="38"/>
        <v>16.626419753086417</v>
      </c>
      <c r="U225">
        <f t="shared" si="39"/>
        <v>16.338217393086417</v>
      </c>
      <c r="X225" s="9"/>
      <c r="Y225" s="22">
        <v>0.69732700000000003</v>
      </c>
      <c r="Z225" s="22">
        <v>16.645800000000001</v>
      </c>
      <c r="AA225" s="22">
        <v>-1.36627E-2</v>
      </c>
      <c r="AB225" s="22">
        <v>215</v>
      </c>
      <c r="AC225" s="22">
        <v>0.69668600000000003</v>
      </c>
      <c r="AD225">
        <f t="shared" si="40"/>
        <v>16.86753086419753</v>
      </c>
      <c r="AE225">
        <f t="shared" si="41"/>
        <v>11.762184694938272</v>
      </c>
      <c r="AF225" s="9"/>
      <c r="AG225" s="22">
        <v>0.98266600000000004</v>
      </c>
      <c r="AH225" s="22">
        <v>20.424700000000001</v>
      </c>
      <c r="AI225" s="22">
        <v>-1.34918E-2</v>
      </c>
      <c r="AJ225" s="22">
        <v>215</v>
      </c>
      <c r="AK225" s="22">
        <v>0.98144500000000001</v>
      </c>
      <c r="AL225">
        <f t="shared" si="42"/>
        <v>16.656543209876542</v>
      </c>
      <c r="AM225">
        <f t="shared" si="43"/>
        <v>16.367818689876543</v>
      </c>
      <c r="AP225" s="9"/>
      <c r="AQ225" s="22">
        <v>0.69732700000000003</v>
      </c>
      <c r="AR225" s="22">
        <v>25.872</v>
      </c>
      <c r="AS225" s="22">
        <v>-1.3687100000000001E-2</v>
      </c>
      <c r="AT225" s="22">
        <v>215</v>
      </c>
      <c r="AU225" s="22">
        <v>0.69659400000000005</v>
      </c>
      <c r="AV225">
        <f t="shared" si="44"/>
        <v>16.897654320987655</v>
      </c>
      <c r="AW225">
        <f t="shared" si="45"/>
        <v>11.783190594691359</v>
      </c>
      <c r="AX225" s="9"/>
      <c r="AY225" s="22">
        <v>0.98266600000000004</v>
      </c>
      <c r="AZ225" s="22">
        <v>29.651</v>
      </c>
      <c r="BA225" s="22">
        <v>-1.35193E-2</v>
      </c>
      <c r="BB225" s="22">
        <v>215</v>
      </c>
      <c r="BC225" s="22">
        <v>0.98236100000000004</v>
      </c>
      <c r="BD225">
        <f t="shared" si="46"/>
        <v>16.690493827160495</v>
      </c>
      <c r="BE225">
        <f t="shared" si="47"/>
        <v>16.401180807160497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0.69229099999999999</v>
      </c>
      <c r="H226" s="22">
        <v>7.3656600000000001</v>
      </c>
      <c r="I226" s="22">
        <v>-1.36261E-2</v>
      </c>
      <c r="J226" s="22">
        <v>216</v>
      </c>
      <c r="K226" s="22">
        <v>0.69158900000000001</v>
      </c>
      <c r="L226">
        <f t="shared" si="36"/>
        <v>16.822345679012344</v>
      </c>
      <c r="M226">
        <f t="shared" si="37"/>
        <v>11.645958512469134</v>
      </c>
      <c r="N226" s="9"/>
      <c r="O226" s="22">
        <v>0.98770100000000005</v>
      </c>
      <c r="P226" s="22">
        <v>11.144600000000001</v>
      </c>
      <c r="Q226" s="22">
        <v>-1.3461300000000001E-2</v>
      </c>
      <c r="R226" s="22">
        <v>216</v>
      </c>
      <c r="S226" s="22">
        <v>0.98693799999999998</v>
      </c>
      <c r="T226">
        <f t="shared" si="38"/>
        <v>16.618888888888886</v>
      </c>
      <c r="U226">
        <f t="shared" si="39"/>
        <v>16.414493174444441</v>
      </c>
      <c r="X226" s="9"/>
      <c r="Y226" s="22">
        <v>0.69229099999999999</v>
      </c>
      <c r="Z226" s="22">
        <v>16.655899999999999</v>
      </c>
      <c r="AA226" s="22">
        <v>-1.36688E-2</v>
      </c>
      <c r="AB226" s="22">
        <v>216</v>
      </c>
      <c r="AC226" s="22">
        <v>0.69162000000000001</v>
      </c>
      <c r="AD226">
        <f t="shared" si="40"/>
        <v>16.87506172839506</v>
      </c>
      <c r="AE226">
        <f t="shared" si="41"/>
        <v>11.682453359012344</v>
      </c>
      <c r="AF226" s="9"/>
      <c r="AG226" s="22">
        <v>0.98770100000000005</v>
      </c>
      <c r="AH226" s="22">
        <v>20.434799999999999</v>
      </c>
      <c r="AI226" s="22">
        <v>-1.34857E-2</v>
      </c>
      <c r="AJ226" s="22">
        <v>216</v>
      </c>
      <c r="AK226" s="22">
        <v>0.98602299999999998</v>
      </c>
      <c r="AL226">
        <f t="shared" si="42"/>
        <v>16.649012345679012</v>
      </c>
      <c r="AM226">
        <f t="shared" si="43"/>
        <v>16.444246142839507</v>
      </c>
      <c r="AP226" s="9"/>
      <c r="AQ226" s="22">
        <v>0.69229099999999999</v>
      </c>
      <c r="AR226" s="22">
        <v>25.882100000000001</v>
      </c>
      <c r="AS226" s="22">
        <v>-1.36902E-2</v>
      </c>
      <c r="AT226" s="22">
        <v>216</v>
      </c>
      <c r="AU226" s="22">
        <v>0.69164999999999999</v>
      </c>
      <c r="AV226">
        <f t="shared" si="44"/>
        <v>16.901481481481479</v>
      </c>
      <c r="AW226">
        <f t="shared" si="45"/>
        <v>11.700743516296294</v>
      </c>
      <c r="AX226" s="9"/>
      <c r="AY226" s="22">
        <v>0.98770100000000005</v>
      </c>
      <c r="AZ226" s="22">
        <v>29.661000000000001</v>
      </c>
      <c r="BA226" s="22">
        <v>-1.3516200000000001E-2</v>
      </c>
      <c r="BB226" s="22">
        <v>216</v>
      </c>
      <c r="BC226" s="22">
        <v>0.98693799999999998</v>
      </c>
      <c r="BD226">
        <f t="shared" si="46"/>
        <v>16.686666666666664</v>
      </c>
      <c r="BE226">
        <f t="shared" si="47"/>
        <v>16.48143735333333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0.68725599999999998</v>
      </c>
      <c r="H227" s="22">
        <v>7.3757299999999999</v>
      </c>
      <c r="I227" s="22">
        <v>-1.36261E-2</v>
      </c>
      <c r="J227" s="22">
        <v>217</v>
      </c>
      <c r="K227" s="22">
        <v>0.68646200000000002</v>
      </c>
      <c r="L227">
        <f t="shared" si="36"/>
        <v>16.822345679012344</v>
      </c>
      <c r="M227">
        <f t="shared" si="37"/>
        <v>11.561258001975308</v>
      </c>
      <c r="N227" s="9"/>
      <c r="O227" s="22">
        <v>0.99273699999999998</v>
      </c>
      <c r="P227" s="22">
        <v>11.1546</v>
      </c>
      <c r="Q227" s="22">
        <v>-1.3461300000000001E-2</v>
      </c>
      <c r="R227" s="22">
        <v>217</v>
      </c>
      <c r="S227" s="22">
        <v>0.99243199999999998</v>
      </c>
      <c r="T227">
        <f t="shared" si="38"/>
        <v>16.618888888888886</v>
      </c>
      <c r="U227">
        <f t="shared" si="39"/>
        <v>16.498185898888885</v>
      </c>
      <c r="X227" s="9"/>
      <c r="Y227" s="22">
        <v>0.68725599999999998</v>
      </c>
      <c r="Z227" s="22">
        <v>16.666</v>
      </c>
      <c r="AA227" s="22">
        <v>-1.3671900000000001E-2</v>
      </c>
      <c r="AB227" s="22">
        <v>217</v>
      </c>
      <c r="AC227" s="22">
        <v>0.68658399999999997</v>
      </c>
      <c r="AD227">
        <f t="shared" si="40"/>
        <v>16.878888888888888</v>
      </c>
      <c r="AE227">
        <f t="shared" si="41"/>
        <v>11.600117662222221</v>
      </c>
      <c r="AF227" s="9"/>
      <c r="AG227" s="22">
        <v>0.99273699999999998</v>
      </c>
      <c r="AH227" s="22">
        <v>20.444900000000001</v>
      </c>
      <c r="AI227" s="22">
        <v>-1.34827E-2</v>
      </c>
      <c r="AJ227" s="22">
        <v>217</v>
      </c>
      <c r="AK227" s="22">
        <v>0.99182099999999995</v>
      </c>
      <c r="AL227">
        <f t="shared" si="42"/>
        <v>16.645308641975308</v>
      </c>
      <c r="AM227">
        <f t="shared" si="43"/>
        <v>16.52441376530864</v>
      </c>
      <c r="AP227" s="9"/>
      <c r="AQ227" s="22">
        <v>0.68725599999999998</v>
      </c>
      <c r="AR227" s="22">
        <v>25.892199999999999</v>
      </c>
      <c r="AS227" s="22">
        <v>-1.36963E-2</v>
      </c>
      <c r="AT227" s="22">
        <v>217</v>
      </c>
      <c r="AU227" s="22">
        <v>0.68652299999999999</v>
      </c>
      <c r="AV227">
        <f t="shared" si="44"/>
        <v>16.90901234567901</v>
      </c>
      <c r="AW227">
        <f t="shared" si="45"/>
        <v>11.620820188641973</v>
      </c>
      <c r="AX227" s="9"/>
      <c r="AY227" s="22">
        <v>0.99273699999999998</v>
      </c>
      <c r="AZ227" s="22">
        <v>29.671099999999999</v>
      </c>
      <c r="BA227" s="22">
        <v>-1.35132E-2</v>
      </c>
      <c r="BB227" s="22">
        <v>217</v>
      </c>
      <c r="BC227" s="22">
        <v>0.99121099999999995</v>
      </c>
      <c r="BD227">
        <f t="shared" si="46"/>
        <v>16.682962962962961</v>
      </c>
      <c r="BE227">
        <f t="shared" si="47"/>
        <v>16.561794602962962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0.68222000000000005</v>
      </c>
      <c r="H228" s="22">
        <v>7.3857999999999997</v>
      </c>
      <c r="I228" s="22">
        <v>-1.3629199999999999E-2</v>
      </c>
      <c r="J228" s="22">
        <v>218</v>
      </c>
      <c r="K228" s="22">
        <v>0.68154899999999996</v>
      </c>
      <c r="L228">
        <f t="shared" si="36"/>
        <v>16.826172839506171</v>
      </c>
      <c r="M228">
        <f t="shared" si="37"/>
        <v>11.4791516345679</v>
      </c>
      <c r="N228" s="9"/>
      <c r="O228" s="22">
        <v>0.99777199999999999</v>
      </c>
      <c r="P228" s="22">
        <v>11.1647</v>
      </c>
      <c r="Q228" s="22">
        <v>-1.34552E-2</v>
      </c>
      <c r="R228" s="22">
        <v>218</v>
      </c>
      <c r="S228" s="22">
        <v>0.99639900000000003</v>
      </c>
      <c r="T228">
        <f t="shared" si="38"/>
        <v>16.611358024691356</v>
      </c>
      <c r="U228">
        <f t="shared" si="39"/>
        <v>16.574347919012343</v>
      </c>
      <c r="X228" s="9"/>
      <c r="Y228" s="22">
        <v>0.68222000000000005</v>
      </c>
      <c r="Z228" s="22">
        <v>16.675999999999998</v>
      </c>
      <c r="AA228" s="22">
        <v>-1.3671900000000001E-2</v>
      </c>
      <c r="AB228" s="22">
        <v>218</v>
      </c>
      <c r="AC228" s="22">
        <v>0.68148799999999998</v>
      </c>
      <c r="AD228">
        <f t="shared" si="40"/>
        <v>16.878888888888888</v>
      </c>
      <c r="AE228">
        <f t="shared" si="41"/>
        <v>11.515115577777777</v>
      </c>
      <c r="AF228" s="9"/>
      <c r="AG228" s="22">
        <v>0.99777199999999999</v>
      </c>
      <c r="AH228" s="22">
        <v>20.454899999999999</v>
      </c>
      <c r="AI228" s="22">
        <v>-1.34796E-2</v>
      </c>
      <c r="AJ228" s="22">
        <v>218</v>
      </c>
      <c r="AK228" s="22">
        <v>0.99639900000000003</v>
      </c>
      <c r="AL228">
        <f t="shared" si="42"/>
        <v>16.641481481481478</v>
      </c>
      <c r="AM228">
        <f t="shared" si="43"/>
        <v>16.604404260740736</v>
      </c>
      <c r="AP228" s="9"/>
      <c r="AQ228" s="22">
        <v>0.68222000000000005</v>
      </c>
      <c r="AR228" s="22">
        <v>25.902200000000001</v>
      </c>
      <c r="AS228" s="22">
        <v>-1.36963E-2</v>
      </c>
      <c r="AT228" s="22">
        <v>218</v>
      </c>
      <c r="AU228" s="22">
        <v>0.68145800000000001</v>
      </c>
      <c r="AV228">
        <f t="shared" si="44"/>
        <v>16.90901234567901</v>
      </c>
      <c r="AW228">
        <f t="shared" si="45"/>
        <v>11.535666402469134</v>
      </c>
      <c r="AX228" s="9"/>
      <c r="AY228" s="22">
        <v>0.99777199999999999</v>
      </c>
      <c r="AZ228" s="22">
        <v>29.6812</v>
      </c>
      <c r="BA228" s="22">
        <v>-1.3510100000000001E-2</v>
      </c>
      <c r="BB228" s="22">
        <v>218</v>
      </c>
      <c r="BC228" s="22">
        <v>0.99670400000000003</v>
      </c>
      <c r="BD228">
        <f t="shared" si="46"/>
        <v>16.679135802469133</v>
      </c>
      <c r="BE228">
        <f t="shared" si="47"/>
        <v>16.641974687901232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0.67718500000000004</v>
      </c>
      <c r="H229" s="22">
        <v>7.3958700000000004</v>
      </c>
      <c r="I229" s="22">
        <v>-1.3632200000000001E-2</v>
      </c>
      <c r="J229" s="22">
        <v>219</v>
      </c>
      <c r="K229" s="22">
        <v>0.67651399999999995</v>
      </c>
      <c r="L229">
        <f t="shared" si="36"/>
        <v>16.829876543209878</v>
      </c>
      <c r="M229">
        <f t="shared" si="37"/>
        <v>11.396939946913582</v>
      </c>
      <c r="N229" s="9"/>
      <c r="O229" s="22">
        <v>1.00281</v>
      </c>
      <c r="P229" s="22">
        <v>11.174799999999999</v>
      </c>
      <c r="Q229" s="22">
        <v>-1.34552E-2</v>
      </c>
      <c r="R229" s="22">
        <v>219</v>
      </c>
      <c r="S229" s="22">
        <v>1.00159</v>
      </c>
      <c r="T229">
        <f t="shared" si="38"/>
        <v>16.611358024691356</v>
      </c>
      <c r="U229">
        <f t="shared" si="39"/>
        <v>16.658035940740739</v>
      </c>
      <c r="X229" s="9"/>
      <c r="Y229" s="22">
        <v>0.67718500000000004</v>
      </c>
      <c r="Z229" s="22">
        <v>16.6861</v>
      </c>
      <c r="AA229" s="22">
        <v>-1.36749E-2</v>
      </c>
      <c r="AB229" s="22">
        <v>219</v>
      </c>
      <c r="AC229" s="22">
        <v>0.67654400000000003</v>
      </c>
      <c r="AD229">
        <f t="shared" si="40"/>
        <v>16.882592592592591</v>
      </c>
      <c r="AE229">
        <f t="shared" si="41"/>
        <v>11.432638464814815</v>
      </c>
      <c r="AF229" s="9"/>
      <c r="AG229" s="22">
        <v>1.00281</v>
      </c>
      <c r="AH229" s="22">
        <v>20.465</v>
      </c>
      <c r="AI229" s="22">
        <v>-1.34766E-2</v>
      </c>
      <c r="AJ229" s="22">
        <v>219</v>
      </c>
      <c r="AK229" s="22">
        <v>1.0012799999999999</v>
      </c>
      <c r="AL229">
        <f t="shared" si="42"/>
        <v>16.637777777777774</v>
      </c>
      <c r="AM229">
        <f t="shared" si="43"/>
        <v>16.68452993333333</v>
      </c>
      <c r="AP229" s="9"/>
      <c r="AQ229" s="22">
        <v>0.67718500000000004</v>
      </c>
      <c r="AR229" s="22">
        <v>25.912299999999998</v>
      </c>
      <c r="AS229" s="22">
        <v>-1.37054E-2</v>
      </c>
      <c r="AT229" s="22">
        <v>219</v>
      </c>
      <c r="AU229" s="22">
        <v>0.67648299999999995</v>
      </c>
      <c r="AV229">
        <f t="shared" si="44"/>
        <v>16.920246913580247</v>
      </c>
      <c r="AW229">
        <f t="shared" si="45"/>
        <v>11.45813740617284</v>
      </c>
      <c r="AX229" s="9"/>
      <c r="AY229" s="22">
        <v>1.00281</v>
      </c>
      <c r="AZ229" s="22">
        <v>29.691299999999998</v>
      </c>
      <c r="BA229" s="22">
        <v>-1.3507099999999999E-2</v>
      </c>
      <c r="BB229" s="22">
        <v>219</v>
      </c>
      <c r="BC229" s="22">
        <v>1.0018899999999999</v>
      </c>
      <c r="BD229">
        <f t="shared" si="46"/>
        <v>16.67543209876543</v>
      </c>
      <c r="BE229">
        <f t="shared" si="47"/>
        <v>16.722290062962962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0.67215000000000003</v>
      </c>
      <c r="H230" s="22">
        <v>7.4059400000000002</v>
      </c>
      <c r="I230" s="22">
        <v>-1.3632200000000001E-2</v>
      </c>
      <c r="J230" s="22">
        <v>220</v>
      </c>
      <c r="K230" s="22">
        <v>0.67144800000000004</v>
      </c>
      <c r="L230">
        <f t="shared" si="36"/>
        <v>16.829876543209878</v>
      </c>
      <c r="M230">
        <f t="shared" si="37"/>
        <v>11.312201518518521</v>
      </c>
      <c r="N230" s="9"/>
      <c r="O230" s="22">
        <v>1.0078400000000001</v>
      </c>
      <c r="P230" s="22">
        <v>11.184799999999999</v>
      </c>
      <c r="Q230" s="22">
        <v>-1.34521E-2</v>
      </c>
      <c r="R230" s="22">
        <v>220</v>
      </c>
      <c r="S230" s="22">
        <v>1.00708</v>
      </c>
      <c r="T230">
        <f t="shared" si="38"/>
        <v>16.607530864197528</v>
      </c>
      <c r="U230">
        <f t="shared" si="39"/>
        <v>16.737733906172839</v>
      </c>
      <c r="X230" s="9"/>
      <c r="Y230" s="22">
        <v>0.67215000000000003</v>
      </c>
      <c r="Z230" s="22">
        <v>16.696200000000001</v>
      </c>
      <c r="AA230" s="22">
        <v>-1.36749E-2</v>
      </c>
      <c r="AB230" s="22">
        <v>220</v>
      </c>
      <c r="AC230" s="22">
        <v>0.67144800000000004</v>
      </c>
      <c r="AD230">
        <f t="shared" si="40"/>
        <v>16.882592592592591</v>
      </c>
      <c r="AE230">
        <f t="shared" si="41"/>
        <v>11.347634611111109</v>
      </c>
      <c r="AF230" s="9"/>
      <c r="AG230" s="22">
        <v>1.0078400000000001</v>
      </c>
      <c r="AH230" s="22">
        <v>20.475100000000001</v>
      </c>
      <c r="AI230" s="22">
        <v>-1.34766E-2</v>
      </c>
      <c r="AJ230" s="22">
        <v>220</v>
      </c>
      <c r="AK230" s="22">
        <v>1.00647</v>
      </c>
      <c r="AL230">
        <f t="shared" si="42"/>
        <v>16.637777777777774</v>
      </c>
      <c r="AM230">
        <f t="shared" si="43"/>
        <v>16.768217955555553</v>
      </c>
      <c r="AP230" s="9"/>
      <c r="AQ230" s="22">
        <v>0.67215000000000003</v>
      </c>
      <c r="AR230" s="22">
        <v>25.9224</v>
      </c>
      <c r="AS230" s="22">
        <v>-1.37054E-2</v>
      </c>
      <c r="AT230" s="22">
        <v>220</v>
      </c>
      <c r="AU230" s="22">
        <v>0.67144800000000004</v>
      </c>
      <c r="AV230">
        <f t="shared" si="44"/>
        <v>16.920246913580247</v>
      </c>
      <c r="AW230">
        <f t="shared" si="45"/>
        <v>11.372943962962964</v>
      </c>
      <c r="AX230" s="9"/>
      <c r="AY230" s="22">
        <v>1.0078400000000001</v>
      </c>
      <c r="AZ230" s="22">
        <v>29.7013</v>
      </c>
      <c r="BA230" s="22">
        <v>-1.3504E-2</v>
      </c>
      <c r="BB230" s="22">
        <v>220</v>
      </c>
      <c r="BC230" s="22">
        <v>1.00708</v>
      </c>
      <c r="BD230">
        <f t="shared" si="46"/>
        <v>16.671604938271606</v>
      </c>
      <c r="BE230">
        <f t="shared" si="47"/>
        <v>16.802310320987658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0.66711399999999998</v>
      </c>
      <c r="H231" s="22">
        <v>7.41601</v>
      </c>
      <c r="I231" s="22">
        <v>-1.36353E-2</v>
      </c>
      <c r="J231" s="22">
        <v>221</v>
      </c>
      <c r="K231" s="22">
        <v>0.66644300000000001</v>
      </c>
      <c r="L231">
        <f t="shared" si="36"/>
        <v>16.833703703703701</v>
      </c>
      <c r="M231">
        <f t="shared" si="37"/>
        <v>11.229999412592591</v>
      </c>
      <c r="N231" s="9"/>
      <c r="O231" s="22">
        <v>1.01288</v>
      </c>
      <c r="P231" s="22">
        <v>11.194900000000001</v>
      </c>
      <c r="Q231" s="22">
        <v>-1.34521E-2</v>
      </c>
      <c r="R231" s="22">
        <v>221</v>
      </c>
      <c r="S231" s="22">
        <v>1.01196</v>
      </c>
      <c r="T231">
        <f t="shared" si="38"/>
        <v>16.607530864197528</v>
      </c>
      <c r="U231">
        <f t="shared" si="39"/>
        <v>16.821435861728393</v>
      </c>
      <c r="X231" s="9"/>
      <c r="Y231" s="22">
        <v>0.66711399999999998</v>
      </c>
      <c r="Z231" s="22">
        <v>16.706199999999999</v>
      </c>
      <c r="AA231" s="22">
        <v>-1.3681E-2</v>
      </c>
      <c r="AB231" s="22">
        <v>221</v>
      </c>
      <c r="AC231" s="22">
        <v>0.66638200000000003</v>
      </c>
      <c r="AD231">
        <f t="shared" si="40"/>
        <v>16.890123456790121</v>
      </c>
      <c r="AE231">
        <f t="shared" si="41"/>
        <v>11.267637819753086</v>
      </c>
      <c r="AF231" s="9"/>
      <c r="AG231" s="22">
        <v>1.01288</v>
      </c>
      <c r="AH231" s="22">
        <v>20.485099999999999</v>
      </c>
      <c r="AI231" s="22">
        <v>-1.34705E-2</v>
      </c>
      <c r="AJ231" s="22">
        <v>221</v>
      </c>
      <c r="AK231" s="22">
        <v>1.01227</v>
      </c>
      <c r="AL231">
        <f t="shared" si="42"/>
        <v>16.630246913580244</v>
      </c>
      <c r="AM231">
        <f t="shared" si="43"/>
        <v>16.844444493827158</v>
      </c>
      <c r="AP231" s="9"/>
      <c r="AQ231" s="22">
        <v>0.66711399999999998</v>
      </c>
      <c r="AR231" s="22">
        <v>25.932500000000001</v>
      </c>
      <c r="AS231" s="22">
        <v>-1.37085E-2</v>
      </c>
      <c r="AT231" s="22">
        <v>221</v>
      </c>
      <c r="AU231" s="22">
        <v>0.66638200000000003</v>
      </c>
      <c r="AV231">
        <f t="shared" si="44"/>
        <v>16.924074074074074</v>
      </c>
      <c r="AW231">
        <f t="shared" si="45"/>
        <v>11.290286751851852</v>
      </c>
      <c r="AX231" s="9"/>
      <c r="AY231" s="22">
        <v>1.01288</v>
      </c>
      <c r="AZ231" s="22">
        <v>29.711400000000001</v>
      </c>
      <c r="BA231" s="22">
        <v>-1.3501000000000001E-2</v>
      </c>
      <c r="BB231" s="22">
        <v>221</v>
      </c>
      <c r="BC231" s="22">
        <v>1.01257</v>
      </c>
      <c r="BD231">
        <f t="shared" si="46"/>
        <v>16.667901234567903</v>
      </c>
      <c r="BE231">
        <f t="shared" si="47"/>
        <v>16.882583802469139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0.66207899999999997</v>
      </c>
      <c r="H232" s="22">
        <v>7.4260900000000003</v>
      </c>
      <c r="I232" s="22">
        <v>-1.3644399999999999E-2</v>
      </c>
      <c r="J232" s="22">
        <v>222</v>
      </c>
      <c r="K232" s="22">
        <v>0.66134599999999999</v>
      </c>
      <c r="L232">
        <f t="shared" si="36"/>
        <v>16.844938271604939</v>
      </c>
      <c r="M232">
        <f t="shared" si="37"/>
        <v>11.152679885925926</v>
      </c>
      <c r="N232" s="9"/>
      <c r="O232" s="22">
        <v>1.0179100000000001</v>
      </c>
      <c r="P232" s="22">
        <v>11.205</v>
      </c>
      <c r="Q232" s="22">
        <v>-1.34521E-2</v>
      </c>
      <c r="R232" s="22">
        <v>222</v>
      </c>
      <c r="S232" s="22">
        <v>1.01685</v>
      </c>
      <c r="T232">
        <f t="shared" si="38"/>
        <v>16.607530864197528</v>
      </c>
      <c r="U232">
        <f t="shared" si="39"/>
        <v>16.904971741975306</v>
      </c>
      <c r="X232" s="9"/>
      <c r="Y232" s="22">
        <v>0.66207899999999997</v>
      </c>
      <c r="Z232" s="22">
        <v>16.7163</v>
      </c>
      <c r="AA232" s="22">
        <v>-1.3684099999999999E-2</v>
      </c>
      <c r="AB232" s="22">
        <v>222</v>
      </c>
      <c r="AC232" s="22">
        <v>0.66140699999999997</v>
      </c>
      <c r="AD232">
        <f t="shared" si="40"/>
        <v>16.893950617283949</v>
      </c>
      <c r="AE232">
        <f t="shared" si="41"/>
        <v>11.185129930740739</v>
      </c>
      <c r="AF232" s="9"/>
      <c r="AG232" s="22">
        <v>1.0179100000000001</v>
      </c>
      <c r="AH232" s="22">
        <v>20.495200000000001</v>
      </c>
      <c r="AI232" s="22">
        <v>-1.34705E-2</v>
      </c>
      <c r="AJ232" s="22">
        <v>222</v>
      </c>
      <c r="AK232" s="22">
        <v>1.01715</v>
      </c>
      <c r="AL232">
        <f t="shared" si="42"/>
        <v>16.630246913580244</v>
      </c>
      <c r="AM232">
        <f t="shared" si="43"/>
        <v>16.928094635802466</v>
      </c>
      <c r="AP232" s="9"/>
      <c r="AQ232" s="22">
        <v>0.66207899999999997</v>
      </c>
      <c r="AR232" s="22">
        <v>25.942499999999999</v>
      </c>
      <c r="AS232" s="22">
        <v>-1.37085E-2</v>
      </c>
      <c r="AT232" s="22">
        <v>222</v>
      </c>
      <c r="AU232" s="22">
        <v>0.66143799999999997</v>
      </c>
      <c r="AV232">
        <f t="shared" si="44"/>
        <v>16.924074074074074</v>
      </c>
      <c r="AW232">
        <f t="shared" si="45"/>
        <v>11.205074038888888</v>
      </c>
      <c r="AX232" s="9"/>
      <c r="AY232" s="22">
        <v>1.0179100000000001</v>
      </c>
      <c r="AZ232" s="22">
        <v>29.721499999999999</v>
      </c>
      <c r="BA232" s="22">
        <v>-1.34979E-2</v>
      </c>
      <c r="BB232" s="22">
        <v>222</v>
      </c>
      <c r="BC232" s="22">
        <v>1.01746</v>
      </c>
      <c r="BD232">
        <f t="shared" si="46"/>
        <v>16.664074074074072</v>
      </c>
      <c r="BE232">
        <f t="shared" si="47"/>
        <v>16.962527640740742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0.65704300000000004</v>
      </c>
      <c r="H233" s="22">
        <v>7.4361600000000001</v>
      </c>
      <c r="I233" s="22">
        <v>-1.36475E-2</v>
      </c>
      <c r="J233" s="22">
        <v>223</v>
      </c>
      <c r="K233" s="22">
        <v>0.65634199999999998</v>
      </c>
      <c r="L233">
        <f t="shared" si="36"/>
        <v>16.848765432098766</v>
      </c>
      <c r="M233">
        <f t="shared" si="37"/>
        <v>11.070363385802469</v>
      </c>
      <c r="N233" s="9"/>
      <c r="O233" s="22">
        <v>1.02295</v>
      </c>
      <c r="P233" s="22">
        <v>11.2151</v>
      </c>
      <c r="Q233" s="22">
        <v>-1.34521E-2</v>
      </c>
      <c r="R233" s="22">
        <v>223</v>
      </c>
      <c r="S233" s="22">
        <v>1.02173</v>
      </c>
      <c r="T233">
        <f t="shared" si="38"/>
        <v>16.607530864197528</v>
      </c>
      <c r="U233">
        <f t="shared" si="39"/>
        <v>16.988673697530864</v>
      </c>
      <c r="X233" s="9"/>
      <c r="Y233" s="22">
        <v>0.65704300000000004</v>
      </c>
      <c r="Z233" s="22">
        <v>16.726400000000002</v>
      </c>
      <c r="AA233" s="22">
        <v>-1.3687100000000001E-2</v>
      </c>
      <c r="AB233" s="22">
        <v>223</v>
      </c>
      <c r="AC233" s="22">
        <v>0.65634199999999998</v>
      </c>
      <c r="AD233">
        <f t="shared" si="40"/>
        <v>16.897654320987655</v>
      </c>
      <c r="AE233">
        <f t="shared" si="41"/>
        <v>11.102485488024692</v>
      </c>
      <c r="AF233" s="9"/>
      <c r="AG233" s="22">
        <v>1.02295</v>
      </c>
      <c r="AH233" s="22">
        <v>20.505299999999998</v>
      </c>
      <c r="AI233" s="22">
        <v>-1.3467399999999999E-2</v>
      </c>
      <c r="AJ233" s="22">
        <v>223</v>
      </c>
      <c r="AK233" s="22">
        <v>1.02173</v>
      </c>
      <c r="AL233">
        <f t="shared" si="42"/>
        <v>16.626419753086417</v>
      </c>
      <c r="AM233">
        <f t="shared" si="43"/>
        <v>17.007996086419752</v>
      </c>
      <c r="AP233" s="9"/>
      <c r="AQ233" s="22">
        <v>0.65704300000000004</v>
      </c>
      <c r="AR233" s="22">
        <v>25.9526</v>
      </c>
      <c r="AS233" s="22">
        <v>-1.37085E-2</v>
      </c>
      <c r="AT233" s="22">
        <v>223</v>
      </c>
      <c r="AU233" s="22">
        <v>0.65637199999999996</v>
      </c>
      <c r="AV233">
        <f t="shared" si="44"/>
        <v>16.924074074074074</v>
      </c>
      <c r="AW233">
        <f t="shared" si="45"/>
        <v>11.119844401851852</v>
      </c>
      <c r="AX233" s="9"/>
      <c r="AY233" s="22">
        <v>1.02295</v>
      </c>
      <c r="AZ233" s="22">
        <v>29.7315</v>
      </c>
      <c r="BA233" s="22">
        <v>-1.34979E-2</v>
      </c>
      <c r="BB233" s="22">
        <v>223</v>
      </c>
      <c r="BC233" s="22">
        <v>1.02234</v>
      </c>
      <c r="BD233">
        <f t="shared" si="46"/>
        <v>16.664074074074072</v>
      </c>
      <c r="BE233">
        <f t="shared" si="47"/>
        <v>17.046514574074074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0.65200800000000003</v>
      </c>
      <c r="H234" s="22">
        <v>7.4462299999999999</v>
      </c>
      <c r="I234" s="22">
        <v>-1.36475E-2</v>
      </c>
      <c r="J234" s="22">
        <v>224</v>
      </c>
      <c r="K234" s="22">
        <v>0.65139800000000003</v>
      </c>
      <c r="L234">
        <f t="shared" si="36"/>
        <v>16.848765432098766</v>
      </c>
      <c r="M234">
        <f t="shared" si="37"/>
        <v>10.985529851851853</v>
      </c>
      <c r="N234" s="9"/>
      <c r="O234" s="22">
        <v>1.0279799999999999</v>
      </c>
      <c r="P234" s="22">
        <v>11.225099999999999</v>
      </c>
      <c r="Q234" s="22">
        <v>-1.34491E-2</v>
      </c>
      <c r="R234" s="22">
        <v>224</v>
      </c>
      <c r="S234" s="22">
        <v>1.02661</v>
      </c>
      <c r="T234">
        <f t="shared" si="38"/>
        <v>16.603827160493829</v>
      </c>
      <c r="U234">
        <f t="shared" si="39"/>
        <v>17.068402244444446</v>
      </c>
      <c r="X234" s="9"/>
      <c r="Y234" s="22">
        <v>0.65200800000000003</v>
      </c>
      <c r="Z234" s="22">
        <v>16.7364</v>
      </c>
      <c r="AA234" s="22">
        <v>-1.36902E-2</v>
      </c>
      <c r="AB234" s="22">
        <v>224</v>
      </c>
      <c r="AC234" s="22">
        <v>0.65130600000000005</v>
      </c>
      <c r="AD234">
        <f t="shared" si="40"/>
        <v>16.901481481481479</v>
      </c>
      <c r="AE234">
        <f t="shared" si="41"/>
        <v>11.019901137777778</v>
      </c>
      <c r="AF234" s="9"/>
      <c r="AG234" s="22">
        <v>1.0279799999999999</v>
      </c>
      <c r="AH234" s="22">
        <v>20.5154</v>
      </c>
      <c r="AI234" s="22">
        <v>-1.34644E-2</v>
      </c>
      <c r="AJ234" s="22">
        <v>224</v>
      </c>
      <c r="AK234" s="22">
        <v>1.0275300000000001</v>
      </c>
      <c r="AL234">
        <f t="shared" si="42"/>
        <v>16.622716049382717</v>
      </c>
      <c r="AM234">
        <f t="shared" si="43"/>
        <v>17.087819644444444</v>
      </c>
      <c r="AP234" s="9"/>
      <c r="AQ234" s="22">
        <v>0.65200800000000003</v>
      </c>
      <c r="AR234" s="22">
        <v>25.962700000000002</v>
      </c>
      <c r="AS234" s="22">
        <v>-1.37115E-2</v>
      </c>
      <c r="AT234" s="22">
        <v>224</v>
      </c>
      <c r="AU234" s="22">
        <v>0.65133700000000005</v>
      </c>
      <c r="AV234">
        <f t="shared" si="44"/>
        <v>16.927777777777777</v>
      </c>
      <c r="AW234">
        <f t="shared" si="45"/>
        <v>11.037046533333333</v>
      </c>
      <c r="AX234" s="9"/>
      <c r="AY234" s="22">
        <v>1.0279799999999999</v>
      </c>
      <c r="AZ234" s="22">
        <v>29.741599999999998</v>
      </c>
      <c r="BA234" s="22">
        <v>-1.3494900000000001E-2</v>
      </c>
      <c r="BB234" s="22">
        <v>224</v>
      </c>
      <c r="BC234" s="22">
        <v>1.02722</v>
      </c>
      <c r="BD234">
        <f t="shared" si="46"/>
        <v>16.660370370370369</v>
      </c>
      <c r="BE234">
        <f t="shared" si="47"/>
        <v>17.126527533333331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0.64697300000000002</v>
      </c>
      <c r="H235" s="22">
        <v>7.4562999999999997</v>
      </c>
      <c r="I235" s="22">
        <v>-1.3650499999999999E-2</v>
      </c>
      <c r="J235" s="22">
        <v>225</v>
      </c>
      <c r="K235" s="22">
        <v>0.64627100000000004</v>
      </c>
      <c r="L235">
        <f t="shared" si="36"/>
        <v>16.852469135802469</v>
      </c>
      <c r="M235">
        <f t="shared" si="37"/>
        <v>10.903092514197532</v>
      </c>
      <c r="N235" s="9"/>
      <c r="O235" s="22">
        <v>1.03302</v>
      </c>
      <c r="P235" s="22">
        <v>11.235200000000001</v>
      </c>
      <c r="Q235" s="22">
        <v>-1.3446E-2</v>
      </c>
      <c r="R235" s="22">
        <v>225</v>
      </c>
      <c r="S235" s="22">
        <v>1.0318000000000001</v>
      </c>
      <c r="T235">
        <f t="shared" si="38"/>
        <v>16.599999999999998</v>
      </c>
      <c r="U235">
        <f t="shared" si="39"/>
        <v>17.148132</v>
      </c>
      <c r="X235" s="9"/>
      <c r="Y235" s="22">
        <v>0.64697300000000002</v>
      </c>
      <c r="Z235" s="22">
        <v>16.746500000000001</v>
      </c>
      <c r="AA235" s="22">
        <v>-1.3687100000000001E-2</v>
      </c>
      <c r="AB235" s="22">
        <v>225</v>
      </c>
      <c r="AC235" s="22">
        <v>0.64633200000000002</v>
      </c>
      <c r="AD235">
        <f t="shared" si="40"/>
        <v>16.897654320987655</v>
      </c>
      <c r="AE235">
        <f t="shared" si="41"/>
        <v>10.932326109012347</v>
      </c>
      <c r="AF235" s="9"/>
      <c r="AG235" s="22">
        <v>1.03302</v>
      </c>
      <c r="AH235" s="22">
        <v>20.525400000000001</v>
      </c>
      <c r="AI235" s="22">
        <v>-1.3458299999999999E-2</v>
      </c>
      <c r="AJ235" s="22">
        <v>225</v>
      </c>
      <c r="AK235" s="22">
        <v>1.0318000000000001</v>
      </c>
      <c r="AL235">
        <f t="shared" si="42"/>
        <v>16.615185185185183</v>
      </c>
      <c r="AM235">
        <f t="shared" si="43"/>
        <v>17.163818599999999</v>
      </c>
      <c r="AP235" s="9"/>
      <c r="AQ235" s="22">
        <v>0.64697300000000002</v>
      </c>
      <c r="AR235" s="22">
        <v>25.9727</v>
      </c>
      <c r="AS235" s="22">
        <v>-1.37115E-2</v>
      </c>
      <c r="AT235" s="22">
        <v>225</v>
      </c>
      <c r="AU235" s="22">
        <v>0.64630100000000001</v>
      </c>
      <c r="AV235">
        <f t="shared" si="44"/>
        <v>16.927777777777777</v>
      </c>
      <c r="AW235">
        <f t="shared" si="45"/>
        <v>10.951815172222222</v>
      </c>
      <c r="AX235" s="9"/>
      <c r="AY235" s="22">
        <v>1.03302</v>
      </c>
      <c r="AZ235" s="22">
        <v>29.7517</v>
      </c>
      <c r="BA235" s="22">
        <v>-1.34918E-2</v>
      </c>
      <c r="BB235" s="22">
        <v>225</v>
      </c>
      <c r="BC235" s="22">
        <v>1.0311900000000001</v>
      </c>
      <c r="BD235">
        <f t="shared" si="46"/>
        <v>16.656543209876542</v>
      </c>
      <c r="BE235">
        <f t="shared" si="47"/>
        <v>17.206542266666666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0.64193699999999998</v>
      </c>
      <c r="H236" s="22">
        <v>7.4663700000000004</v>
      </c>
      <c r="I236" s="22">
        <v>-1.3650499999999999E-2</v>
      </c>
      <c r="J236" s="22">
        <v>226</v>
      </c>
      <c r="K236" s="22">
        <v>0.641266</v>
      </c>
      <c r="L236">
        <f t="shared" si="36"/>
        <v>16.852469135802469</v>
      </c>
      <c r="M236">
        <f t="shared" si="37"/>
        <v>10.81822347962963</v>
      </c>
      <c r="N236" s="9"/>
      <c r="O236" s="22">
        <v>1.03806</v>
      </c>
      <c r="P236" s="22">
        <v>11.2453</v>
      </c>
      <c r="Q236" s="22">
        <v>-1.3443E-2</v>
      </c>
      <c r="R236" s="22">
        <v>226</v>
      </c>
      <c r="S236" s="22">
        <v>1.03668</v>
      </c>
      <c r="T236">
        <f t="shared" si="38"/>
        <v>16.596296296296295</v>
      </c>
      <c r="U236">
        <f t="shared" si="39"/>
        <v>17.22795133333333</v>
      </c>
      <c r="X236" s="9"/>
      <c r="Y236" s="22">
        <v>0.64193699999999998</v>
      </c>
      <c r="Z236" s="22">
        <v>16.756599999999999</v>
      </c>
      <c r="AA236" s="22">
        <v>-1.3684099999999999E-2</v>
      </c>
      <c r="AB236" s="22">
        <v>226</v>
      </c>
      <c r="AC236" s="22">
        <v>0.641266</v>
      </c>
      <c r="AD236">
        <f t="shared" si="40"/>
        <v>16.893950617283949</v>
      </c>
      <c r="AE236">
        <f t="shared" si="41"/>
        <v>10.844851977407405</v>
      </c>
      <c r="AF236" s="9"/>
      <c r="AG236" s="22">
        <v>1.03806</v>
      </c>
      <c r="AH236" s="22">
        <v>20.535499999999999</v>
      </c>
      <c r="AI236" s="22">
        <v>-1.34552E-2</v>
      </c>
      <c r="AJ236" s="22">
        <v>226</v>
      </c>
      <c r="AK236" s="22">
        <v>1.0369900000000001</v>
      </c>
      <c r="AL236">
        <f t="shared" si="42"/>
        <v>16.611358024691356</v>
      </c>
      <c r="AM236">
        <f t="shared" si="43"/>
        <v>17.243586311111109</v>
      </c>
      <c r="AP236" s="9"/>
      <c r="AQ236" s="22">
        <v>0.64193699999999998</v>
      </c>
      <c r="AR236" s="22">
        <v>25.982800000000001</v>
      </c>
      <c r="AS236" s="22">
        <v>-1.37146E-2</v>
      </c>
      <c r="AT236" s="22">
        <v>226</v>
      </c>
      <c r="AU236" s="22">
        <v>0.641235</v>
      </c>
      <c r="AV236">
        <f t="shared" si="44"/>
        <v>16.931604938271605</v>
      </c>
      <c r="AW236">
        <f t="shared" si="45"/>
        <v>10.869023679259259</v>
      </c>
      <c r="AX236" s="9"/>
      <c r="AY236" s="22">
        <v>1.03806</v>
      </c>
      <c r="AZ236" s="22">
        <v>29.761800000000001</v>
      </c>
      <c r="BA236" s="22">
        <v>-1.34857E-2</v>
      </c>
      <c r="BB236" s="22">
        <v>226</v>
      </c>
      <c r="BC236" s="22">
        <v>1.0369900000000001</v>
      </c>
      <c r="BD236">
        <f t="shared" si="46"/>
        <v>16.649012345679012</v>
      </c>
      <c r="BE236">
        <f t="shared" si="47"/>
        <v>17.282673755555553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0.63690199999999997</v>
      </c>
      <c r="H237" s="22">
        <v>7.4764400000000002</v>
      </c>
      <c r="I237" s="22">
        <v>-1.36475E-2</v>
      </c>
      <c r="J237" s="22">
        <v>227</v>
      </c>
      <c r="K237" s="22">
        <v>0.63619999999999999</v>
      </c>
      <c r="L237">
        <f t="shared" si="36"/>
        <v>16.848765432098766</v>
      </c>
      <c r="M237">
        <f t="shared" si="37"/>
        <v>10.731012401234567</v>
      </c>
      <c r="N237" s="9"/>
      <c r="O237" s="22">
        <v>1.0430900000000001</v>
      </c>
      <c r="P237" s="22">
        <v>11.2553</v>
      </c>
      <c r="Q237" s="22">
        <v>-1.34369E-2</v>
      </c>
      <c r="R237" s="22">
        <v>227</v>
      </c>
      <c r="S237" s="22">
        <v>1.0418700000000001</v>
      </c>
      <c r="T237">
        <f t="shared" si="38"/>
        <v>16.588765432098764</v>
      </c>
      <c r="U237">
        <f t="shared" si="39"/>
        <v>17.303575334567903</v>
      </c>
      <c r="X237" s="9"/>
      <c r="Y237" s="22">
        <v>0.63690199999999997</v>
      </c>
      <c r="Z237" s="22">
        <v>16.7667</v>
      </c>
      <c r="AA237" s="22">
        <v>-1.3684099999999999E-2</v>
      </c>
      <c r="AB237" s="22">
        <v>227</v>
      </c>
      <c r="AC237" s="22">
        <v>0.63616899999999998</v>
      </c>
      <c r="AD237">
        <f t="shared" si="40"/>
        <v>16.893950617283949</v>
      </c>
      <c r="AE237">
        <f t="shared" si="41"/>
        <v>10.759790936049381</v>
      </c>
      <c r="AF237" s="9"/>
      <c r="AG237" s="22">
        <v>1.0430900000000001</v>
      </c>
      <c r="AH237" s="22">
        <v>20.5456</v>
      </c>
      <c r="AI237" s="22">
        <v>-1.34552E-2</v>
      </c>
      <c r="AJ237" s="22">
        <v>227</v>
      </c>
      <c r="AK237" s="22">
        <v>1.0421800000000001</v>
      </c>
      <c r="AL237">
        <f t="shared" si="42"/>
        <v>16.611358024691356</v>
      </c>
      <c r="AM237">
        <f t="shared" si="43"/>
        <v>17.327141441975307</v>
      </c>
      <c r="AP237" s="9"/>
      <c r="AQ237" s="22">
        <v>0.63690199999999997</v>
      </c>
      <c r="AR237" s="22">
        <v>25.992899999999999</v>
      </c>
      <c r="AS237" s="22">
        <v>-1.37146E-2</v>
      </c>
      <c r="AT237" s="22">
        <v>227</v>
      </c>
      <c r="AU237" s="22">
        <v>0.63616899999999998</v>
      </c>
      <c r="AV237">
        <f t="shared" si="44"/>
        <v>16.931604938271605</v>
      </c>
      <c r="AW237">
        <f t="shared" si="45"/>
        <v>10.78377304839506</v>
      </c>
      <c r="AX237" s="9"/>
      <c r="AY237" s="22">
        <v>1.0430900000000001</v>
      </c>
      <c r="AZ237" s="22">
        <v>29.771799999999999</v>
      </c>
      <c r="BA237" s="22">
        <v>-1.34827E-2</v>
      </c>
      <c r="BB237" s="22">
        <v>227</v>
      </c>
      <c r="BC237" s="22">
        <v>1.0418700000000001</v>
      </c>
      <c r="BD237">
        <f t="shared" si="46"/>
        <v>16.645308641975308</v>
      </c>
      <c r="BE237">
        <f t="shared" si="47"/>
        <v>17.362554991358024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0.63186600000000004</v>
      </c>
      <c r="H238" s="22">
        <v>7.48651</v>
      </c>
      <c r="I238" s="22">
        <v>-1.3650499999999999E-2</v>
      </c>
      <c r="J238" s="22">
        <v>228</v>
      </c>
      <c r="K238" s="22">
        <v>0.63113399999999997</v>
      </c>
      <c r="L238">
        <f t="shared" si="36"/>
        <v>16.852469135802469</v>
      </c>
      <c r="M238">
        <f t="shared" si="37"/>
        <v>10.648502262962964</v>
      </c>
      <c r="N238" s="9"/>
      <c r="O238" s="22">
        <v>1.04813</v>
      </c>
      <c r="P238" s="22">
        <v>11.2654</v>
      </c>
      <c r="Q238" s="22">
        <v>-1.3433799999999999E-2</v>
      </c>
      <c r="R238" s="22">
        <v>228</v>
      </c>
      <c r="S238" s="22">
        <v>1.0464500000000001</v>
      </c>
      <c r="T238">
        <f t="shared" si="38"/>
        <v>16.584938271604937</v>
      </c>
      <c r="U238">
        <f t="shared" si="39"/>
        <v>17.383171350617282</v>
      </c>
      <c r="X238" s="9"/>
      <c r="Y238" s="22">
        <v>0.63186600000000004</v>
      </c>
      <c r="Z238" s="22">
        <v>16.776700000000002</v>
      </c>
      <c r="AA238" s="22">
        <v>-1.3687100000000001E-2</v>
      </c>
      <c r="AB238" s="22">
        <v>228</v>
      </c>
      <c r="AC238" s="22">
        <v>0.63116499999999998</v>
      </c>
      <c r="AD238">
        <f t="shared" si="40"/>
        <v>16.897654320987655</v>
      </c>
      <c r="AE238">
        <f t="shared" si="41"/>
        <v>10.677053245185187</v>
      </c>
      <c r="AF238" s="9"/>
      <c r="AG238" s="22">
        <v>1.04813</v>
      </c>
      <c r="AH238" s="22">
        <v>20.555599999999998</v>
      </c>
      <c r="AI238" s="22">
        <v>-1.34521E-2</v>
      </c>
      <c r="AJ238" s="22">
        <v>228</v>
      </c>
      <c r="AK238" s="22">
        <v>1.0470600000000001</v>
      </c>
      <c r="AL238">
        <f t="shared" si="42"/>
        <v>16.607530864197528</v>
      </c>
      <c r="AM238">
        <f t="shared" si="43"/>
        <v>17.406851324691356</v>
      </c>
      <c r="AP238" s="9"/>
      <c r="AQ238" s="22">
        <v>0.63186600000000004</v>
      </c>
      <c r="AR238" s="22">
        <v>26.003</v>
      </c>
      <c r="AS238" s="22">
        <v>-1.3717699999999999E-2</v>
      </c>
      <c r="AT238" s="22">
        <v>228</v>
      </c>
      <c r="AU238" s="22">
        <v>0.63119499999999995</v>
      </c>
      <c r="AV238">
        <f t="shared" si="44"/>
        <v>16.935432098765432</v>
      </c>
      <c r="AW238">
        <f t="shared" si="45"/>
        <v>10.700923738518519</v>
      </c>
      <c r="AX238" s="9"/>
      <c r="AY238" s="22">
        <v>1.04813</v>
      </c>
      <c r="AZ238" s="22">
        <v>29.7819</v>
      </c>
      <c r="BA238" s="22">
        <v>-1.34796E-2</v>
      </c>
      <c r="BB238" s="22">
        <v>228</v>
      </c>
      <c r="BC238" s="22">
        <v>1.0470600000000001</v>
      </c>
      <c r="BD238">
        <f t="shared" si="46"/>
        <v>16.641481481481478</v>
      </c>
      <c r="BE238">
        <f t="shared" si="47"/>
        <v>17.442435985185181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0.62683100000000003</v>
      </c>
      <c r="H239" s="22">
        <v>7.4965799999999998</v>
      </c>
      <c r="I239" s="22">
        <v>-1.36566E-2</v>
      </c>
      <c r="J239" s="22">
        <v>229</v>
      </c>
      <c r="K239" s="22">
        <v>0.62616000000000005</v>
      </c>
      <c r="L239">
        <f t="shared" si="36"/>
        <v>16.86</v>
      </c>
      <c r="M239">
        <f t="shared" si="37"/>
        <v>10.568370659999999</v>
      </c>
      <c r="N239" s="9"/>
      <c r="O239" s="22">
        <v>1.0531600000000001</v>
      </c>
      <c r="P239" s="22">
        <v>11.275499999999999</v>
      </c>
      <c r="Q239" s="22">
        <v>-1.3433799999999999E-2</v>
      </c>
      <c r="R239" s="22">
        <v>229</v>
      </c>
      <c r="S239" s="22">
        <v>1.0516399999999999</v>
      </c>
      <c r="T239">
        <f t="shared" si="38"/>
        <v>16.584938271604937</v>
      </c>
      <c r="U239">
        <f t="shared" si="39"/>
        <v>17.466593590123455</v>
      </c>
      <c r="X239" s="9"/>
      <c r="Y239" s="22">
        <v>0.62683100000000003</v>
      </c>
      <c r="Z239" s="22">
        <v>16.786799999999999</v>
      </c>
      <c r="AA239" s="22">
        <v>-1.3693200000000001E-2</v>
      </c>
      <c r="AB239" s="22">
        <v>229</v>
      </c>
      <c r="AC239" s="22">
        <v>0.62612900000000005</v>
      </c>
      <c r="AD239">
        <f t="shared" si="40"/>
        <v>16.905185185185186</v>
      </c>
      <c r="AE239">
        <f t="shared" si="41"/>
        <v>10.596694134814816</v>
      </c>
      <c r="AF239" s="9"/>
      <c r="AG239" s="22">
        <v>1.0531600000000001</v>
      </c>
      <c r="AH239" s="22">
        <v>20.5657</v>
      </c>
      <c r="AI239" s="22">
        <v>-1.3446E-2</v>
      </c>
      <c r="AJ239" s="22">
        <v>229</v>
      </c>
      <c r="AK239" s="22">
        <v>1.0522499999999999</v>
      </c>
      <c r="AL239">
        <f t="shared" si="42"/>
        <v>16.599999999999998</v>
      </c>
      <c r="AM239">
        <f t="shared" si="43"/>
        <v>17.482455999999999</v>
      </c>
      <c r="AP239" s="9"/>
      <c r="AQ239" s="22">
        <v>0.62683100000000003</v>
      </c>
      <c r="AR239" s="22">
        <v>26.013000000000002</v>
      </c>
      <c r="AS239" s="22">
        <v>-1.37238E-2</v>
      </c>
      <c r="AT239" s="22">
        <v>229</v>
      </c>
      <c r="AU239" s="22">
        <v>0.62619000000000002</v>
      </c>
      <c r="AV239">
        <f t="shared" si="44"/>
        <v>16.942962962962962</v>
      </c>
      <c r="AW239">
        <f t="shared" si="45"/>
        <v>10.620374417037038</v>
      </c>
      <c r="AX239" s="9"/>
      <c r="AY239" s="22">
        <v>1.0531600000000001</v>
      </c>
      <c r="AZ239" s="22">
        <v>29.792000000000002</v>
      </c>
      <c r="BA239" s="22">
        <v>-1.34796E-2</v>
      </c>
      <c r="BB239" s="22">
        <v>229</v>
      </c>
      <c r="BC239" s="22">
        <v>1.0528599999999999</v>
      </c>
      <c r="BD239">
        <f t="shared" si="46"/>
        <v>16.641481481481478</v>
      </c>
      <c r="BE239">
        <f t="shared" si="47"/>
        <v>17.526142637037033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0.62179600000000002</v>
      </c>
      <c r="H240" s="22">
        <v>7.5066499999999996</v>
      </c>
      <c r="I240" s="22">
        <v>-1.36597E-2</v>
      </c>
      <c r="J240" s="22">
        <v>230</v>
      </c>
      <c r="K240" s="22">
        <v>0.62103299999999995</v>
      </c>
      <c r="L240">
        <f t="shared" si="36"/>
        <v>16.863827160493827</v>
      </c>
      <c r="M240">
        <f t="shared" si="37"/>
        <v>10.48586027308642</v>
      </c>
      <c r="N240" s="9"/>
      <c r="O240" s="22">
        <v>1.0582</v>
      </c>
      <c r="P240" s="22">
        <v>11.285600000000001</v>
      </c>
      <c r="Q240" s="22">
        <v>-1.3433799999999999E-2</v>
      </c>
      <c r="R240" s="22">
        <v>230</v>
      </c>
      <c r="S240" s="22">
        <v>1.0562100000000001</v>
      </c>
      <c r="T240">
        <f t="shared" si="38"/>
        <v>16.584938271604937</v>
      </c>
      <c r="U240">
        <f t="shared" si="39"/>
        <v>17.550181679012343</v>
      </c>
      <c r="X240" s="9"/>
      <c r="Y240" s="22">
        <v>0.62179600000000002</v>
      </c>
      <c r="Z240" s="22">
        <v>16.796900000000001</v>
      </c>
      <c r="AA240" s="22">
        <v>-1.3699299999999999E-2</v>
      </c>
      <c r="AB240" s="22">
        <v>230</v>
      </c>
      <c r="AC240" s="22">
        <v>0.62103299999999995</v>
      </c>
      <c r="AD240">
        <f t="shared" si="40"/>
        <v>16.912716049382716</v>
      </c>
      <c r="AE240">
        <f t="shared" si="41"/>
        <v>10.516259188641977</v>
      </c>
      <c r="AF240" s="9"/>
      <c r="AG240" s="22">
        <v>1.0582</v>
      </c>
      <c r="AH240" s="22">
        <v>20.575800000000001</v>
      </c>
      <c r="AI240" s="22">
        <v>-1.3439899999999999E-2</v>
      </c>
      <c r="AJ240" s="22">
        <v>230</v>
      </c>
      <c r="AK240" s="22">
        <v>1.0571299999999999</v>
      </c>
      <c r="AL240">
        <f t="shared" si="42"/>
        <v>16.592469135802467</v>
      </c>
      <c r="AM240">
        <f t="shared" si="43"/>
        <v>17.558150839506173</v>
      </c>
      <c r="AP240" s="9"/>
      <c r="AQ240" s="22">
        <v>0.62179600000000002</v>
      </c>
      <c r="AR240" s="22">
        <v>26.023099999999999</v>
      </c>
      <c r="AS240" s="22">
        <v>-1.37238E-2</v>
      </c>
      <c r="AT240" s="22">
        <v>230</v>
      </c>
      <c r="AU240" s="22">
        <v>0.62112400000000001</v>
      </c>
      <c r="AV240">
        <f t="shared" si="44"/>
        <v>16.942962962962962</v>
      </c>
      <c r="AW240">
        <f t="shared" si="45"/>
        <v>10.535066598518519</v>
      </c>
      <c r="AX240" s="9"/>
      <c r="AY240" s="22">
        <v>1.0582</v>
      </c>
      <c r="AZ240" s="22">
        <v>29.802</v>
      </c>
      <c r="BA240" s="22">
        <v>-1.34796E-2</v>
      </c>
      <c r="BB240" s="22">
        <v>230</v>
      </c>
      <c r="BC240" s="22">
        <v>1.0568200000000001</v>
      </c>
      <c r="BD240">
        <f t="shared" si="46"/>
        <v>16.641481481481478</v>
      </c>
      <c r="BE240">
        <f t="shared" si="47"/>
        <v>17.610015703703699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0.61675999999999997</v>
      </c>
      <c r="H241" s="22">
        <v>7.5167200000000003</v>
      </c>
      <c r="I241" s="22">
        <v>-1.36627E-2</v>
      </c>
      <c r="J241" s="22">
        <v>231</v>
      </c>
      <c r="K241" s="22">
        <v>0.61599700000000002</v>
      </c>
      <c r="L241">
        <f t="shared" si="36"/>
        <v>16.86753086419753</v>
      </c>
      <c r="M241">
        <f t="shared" si="37"/>
        <v>10.403218335802467</v>
      </c>
      <c r="N241" s="9"/>
      <c r="O241" s="22">
        <v>1.0632299999999999</v>
      </c>
      <c r="P241" s="22">
        <v>11.2956</v>
      </c>
      <c r="Q241" s="22">
        <v>-1.3433799999999999E-2</v>
      </c>
      <c r="R241" s="22">
        <v>231</v>
      </c>
      <c r="S241" s="22">
        <v>1.0620099999999999</v>
      </c>
      <c r="T241">
        <f t="shared" si="38"/>
        <v>16.584938271604937</v>
      </c>
      <c r="U241">
        <f t="shared" si="39"/>
        <v>17.633603918518517</v>
      </c>
      <c r="X241" s="9"/>
      <c r="Y241" s="22">
        <v>0.61675999999999997</v>
      </c>
      <c r="Z241" s="22">
        <v>16.806899999999999</v>
      </c>
      <c r="AA241" s="22">
        <v>-1.37024E-2</v>
      </c>
      <c r="AB241" s="22">
        <v>231</v>
      </c>
      <c r="AC241" s="22">
        <v>0.616089</v>
      </c>
      <c r="AD241">
        <f t="shared" si="40"/>
        <v>16.916543209876544</v>
      </c>
      <c r="AE241">
        <f t="shared" si="41"/>
        <v>10.433447190123456</v>
      </c>
      <c r="AF241" s="9"/>
      <c r="AG241" s="22">
        <v>1.0632299999999999</v>
      </c>
      <c r="AH241" s="22">
        <v>20.585899999999999</v>
      </c>
      <c r="AI241" s="22">
        <v>-1.3433799999999999E-2</v>
      </c>
      <c r="AJ241" s="22">
        <v>231</v>
      </c>
      <c r="AK241" s="22">
        <v>1.0623199999999999</v>
      </c>
      <c r="AL241">
        <f t="shared" si="42"/>
        <v>16.584938271604937</v>
      </c>
      <c r="AM241">
        <f t="shared" si="43"/>
        <v>17.633603918518517</v>
      </c>
      <c r="AP241" s="9"/>
      <c r="AQ241" s="22">
        <v>0.61675999999999997</v>
      </c>
      <c r="AR241" s="22">
        <v>26.033200000000001</v>
      </c>
      <c r="AS241" s="22">
        <v>-1.3726800000000001E-2</v>
      </c>
      <c r="AT241" s="22">
        <v>231</v>
      </c>
      <c r="AU241" s="22">
        <v>0.61602800000000002</v>
      </c>
      <c r="AV241">
        <f t="shared" si="44"/>
        <v>16.946666666666665</v>
      </c>
      <c r="AW241">
        <f t="shared" si="45"/>
        <v>10.452026133333332</v>
      </c>
      <c r="AX241" s="9"/>
      <c r="AY241" s="22">
        <v>1.0632299999999999</v>
      </c>
      <c r="AZ241" s="22">
        <v>29.812100000000001</v>
      </c>
      <c r="BA241" s="22">
        <v>-1.3473499999999999E-2</v>
      </c>
      <c r="BB241" s="22">
        <v>231</v>
      </c>
      <c r="BC241" s="22">
        <v>1.0620099999999999</v>
      </c>
      <c r="BD241">
        <f t="shared" si="46"/>
        <v>16.633950617283947</v>
      </c>
      <c r="BE241">
        <f t="shared" si="47"/>
        <v>17.685715314814811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0.61172499999999996</v>
      </c>
      <c r="H242" s="22">
        <v>7.5267999999999997</v>
      </c>
      <c r="I242" s="22">
        <v>-1.3665800000000001E-2</v>
      </c>
      <c r="J242" s="22">
        <v>232</v>
      </c>
      <c r="K242" s="22">
        <v>0.61102299999999998</v>
      </c>
      <c r="L242">
        <f t="shared" si="36"/>
        <v>16.871358024691357</v>
      </c>
      <c r="M242">
        <f t="shared" si="37"/>
        <v>10.320631487654319</v>
      </c>
      <c r="N242" s="9"/>
      <c r="O242" s="22">
        <v>1.0682700000000001</v>
      </c>
      <c r="P242" s="22">
        <v>11.3057</v>
      </c>
      <c r="Q242" s="22">
        <v>-1.3427700000000001E-2</v>
      </c>
      <c r="R242" s="22">
        <v>232</v>
      </c>
      <c r="S242" s="22">
        <v>1.0668899999999999</v>
      </c>
      <c r="T242">
        <f t="shared" si="38"/>
        <v>16.57740740740741</v>
      </c>
      <c r="U242">
        <f t="shared" si="39"/>
        <v>17.709147011111114</v>
      </c>
      <c r="X242" s="9"/>
      <c r="Y242" s="22">
        <v>0.61172499999999996</v>
      </c>
      <c r="Z242" s="22">
        <v>16.817</v>
      </c>
      <c r="AA242" s="22">
        <v>-1.37024E-2</v>
      </c>
      <c r="AB242" s="22">
        <v>232</v>
      </c>
      <c r="AC242" s="22">
        <v>0.61099199999999998</v>
      </c>
      <c r="AD242">
        <f t="shared" si="40"/>
        <v>16.916543209876544</v>
      </c>
      <c r="AE242">
        <f t="shared" si="41"/>
        <v>10.348272395061729</v>
      </c>
      <c r="AF242" s="9"/>
      <c r="AG242" s="22">
        <v>1.0682700000000001</v>
      </c>
      <c r="AH242" s="22">
        <v>20.5959</v>
      </c>
      <c r="AI242" s="22">
        <v>-1.3433799999999999E-2</v>
      </c>
      <c r="AJ242" s="22">
        <v>232</v>
      </c>
      <c r="AK242" s="22">
        <v>1.0668899999999999</v>
      </c>
      <c r="AL242">
        <f t="shared" si="42"/>
        <v>16.584938271604937</v>
      </c>
      <c r="AM242">
        <f t="shared" si="43"/>
        <v>17.717192007407405</v>
      </c>
      <c r="AP242" s="9"/>
      <c r="AQ242" s="22">
        <v>0.61172499999999996</v>
      </c>
      <c r="AR242" s="22">
        <v>26.043199999999999</v>
      </c>
      <c r="AS242" s="22">
        <v>-1.37299E-2</v>
      </c>
      <c r="AT242" s="22">
        <v>232</v>
      </c>
      <c r="AU242" s="22">
        <v>0.61099199999999998</v>
      </c>
      <c r="AV242">
        <f t="shared" si="44"/>
        <v>16.950493827160493</v>
      </c>
      <c r="AW242">
        <f t="shared" si="45"/>
        <v>10.369040836419751</v>
      </c>
      <c r="AX242" s="9"/>
      <c r="AY242" s="22">
        <v>1.0682700000000001</v>
      </c>
      <c r="AZ242" s="22">
        <v>29.822199999999999</v>
      </c>
      <c r="BA242" s="22">
        <v>-1.34705E-2</v>
      </c>
      <c r="BB242" s="22">
        <v>232</v>
      </c>
      <c r="BC242" s="22">
        <v>1.0671999999999999</v>
      </c>
      <c r="BD242">
        <f t="shared" si="46"/>
        <v>16.630246913580244</v>
      </c>
      <c r="BE242">
        <f t="shared" si="47"/>
        <v>17.765593870370367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0.60668900000000003</v>
      </c>
      <c r="H243" s="22">
        <v>7.5368700000000004</v>
      </c>
      <c r="I243" s="22">
        <v>-1.36688E-2</v>
      </c>
      <c r="J243" s="22">
        <v>233</v>
      </c>
      <c r="K243" s="22">
        <v>0.60592699999999999</v>
      </c>
      <c r="L243">
        <f t="shared" si="36"/>
        <v>16.87506172839506</v>
      </c>
      <c r="M243">
        <f t="shared" si="37"/>
        <v>10.237914324938272</v>
      </c>
      <c r="N243" s="9"/>
      <c r="O243" s="22">
        <v>1.0732999999999999</v>
      </c>
      <c r="P243" s="22">
        <v>11.315799999999999</v>
      </c>
      <c r="Q243" s="22">
        <v>-1.3418599999999999E-2</v>
      </c>
      <c r="R243" s="22">
        <v>233</v>
      </c>
      <c r="S243" s="22">
        <v>1.07239</v>
      </c>
      <c r="T243">
        <f t="shared" si="38"/>
        <v>16.566172839506169</v>
      </c>
      <c r="U243">
        <f t="shared" si="39"/>
        <v>17.78047330864197</v>
      </c>
      <c r="X243" s="9"/>
      <c r="Y243" s="22">
        <v>0.60668900000000003</v>
      </c>
      <c r="Z243" s="22">
        <v>16.827100000000002</v>
      </c>
      <c r="AA243" s="22">
        <v>-1.37115E-2</v>
      </c>
      <c r="AB243" s="22">
        <v>233</v>
      </c>
      <c r="AC243" s="22">
        <v>0.60607900000000003</v>
      </c>
      <c r="AD243">
        <f t="shared" si="40"/>
        <v>16.927777777777777</v>
      </c>
      <c r="AE243">
        <f t="shared" si="41"/>
        <v>10.269896572222223</v>
      </c>
      <c r="AF243" s="9"/>
      <c r="AG243" s="22">
        <v>1.0732999999999999</v>
      </c>
      <c r="AH243" s="22">
        <v>20.606000000000002</v>
      </c>
      <c r="AI243" s="22">
        <v>-1.34308E-2</v>
      </c>
      <c r="AJ243" s="22">
        <v>233</v>
      </c>
      <c r="AK243" s="22">
        <v>1.0720799999999999</v>
      </c>
      <c r="AL243">
        <f t="shared" si="42"/>
        <v>16.581234567901234</v>
      </c>
      <c r="AM243">
        <f t="shared" si="43"/>
        <v>17.796639061728392</v>
      </c>
      <c r="AP243" s="9"/>
      <c r="AQ243" s="22">
        <v>0.60668900000000003</v>
      </c>
      <c r="AR243" s="22">
        <v>26.0533</v>
      </c>
      <c r="AS243" s="22">
        <v>-1.3732899999999999E-2</v>
      </c>
      <c r="AT243" s="22">
        <v>233</v>
      </c>
      <c r="AU243" s="22">
        <v>0.60601799999999995</v>
      </c>
      <c r="AV243">
        <f t="shared" si="44"/>
        <v>16.954197530864196</v>
      </c>
      <c r="AW243">
        <f t="shared" si="45"/>
        <v>10.285925145802469</v>
      </c>
      <c r="AX243" s="9"/>
      <c r="AY243" s="22">
        <v>1.0732999999999999</v>
      </c>
      <c r="AZ243" s="22">
        <v>29.8323</v>
      </c>
      <c r="BA243" s="22">
        <v>-1.34644E-2</v>
      </c>
      <c r="BB243" s="22">
        <v>233</v>
      </c>
      <c r="BC243" s="22">
        <v>1.0714699999999999</v>
      </c>
      <c r="BD243">
        <f t="shared" si="46"/>
        <v>16.622716049382717</v>
      </c>
      <c r="BE243">
        <f t="shared" si="47"/>
        <v>17.841161135802469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0.60165400000000002</v>
      </c>
      <c r="H244" s="22">
        <v>7.5469400000000002</v>
      </c>
      <c r="I244" s="22">
        <v>-1.3671900000000001E-2</v>
      </c>
      <c r="J244" s="22">
        <v>234</v>
      </c>
      <c r="K244" s="22">
        <v>0.60098300000000004</v>
      </c>
      <c r="L244">
        <f t="shared" si="36"/>
        <v>16.878888888888888</v>
      </c>
      <c r="M244">
        <f t="shared" si="37"/>
        <v>10.155251015555555</v>
      </c>
      <c r="N244" s="9"/>
      <c r="O244" s="22">
        <v>1.0783400000000001</v>
      </c>
      <c r="P244" s="22">
        <v>11.325799999999999</v>
      </c>
      <c r="Q244" s="22">
        <v>-1.34155E-2</v>
      </c>
      <c r="R244" s="22">
        <v>234</v>
      </c>
      <c r="S244" s="22">
        <v>1.07758</v>
      </c>
      <c r="T244">
        <f t="shared" si="38"/>
        <v>16.562345679012346</v>
      </c>
      <c r="U244">
        <f t="shared" si="39"/>
        <v>17.859839839506176</v>
      </c>
      <c r="X244" s="9"/>
      <c r="Y244" s="22">
        <v>0.60165400000000002</v>
      </c>
      <c r="Z244" s="22">
        <v>16.837199999999999</v>
      </c>
      <c r="AA244" s="22">
        <v>-1.37146E-2</v>
      </c>
      <c r="AB244" s="22">
        <v>234</v>
      </c>
      <c r="AC244" s="22">
        <v>0.60095200000000004</v>
      </c>
      <c r="AD244">
        <f t="shared" si="40"/>
        <v>16.931604938271605</v>
      </c>
      <c r="AE244">
        <f t="shared" si="41"/>
        <v>10.186967837530863</v>
      </c>
      <c r="AF244" s="9"/>
      <c r="AG244" s="22">
        <v>1.0783400000000001</v>
      </c>
      <c r="AH244" s="22">
        <v>20.616099999999999</v>
      </c>
      <c r="AI244" s="22">
        <v>-1.34308E-2</v>
      </c>
      <c r="AJ244" s="22">
        <v>234</v>
      </c>
      <c r="AK244" s="22">
        <v>1.0772699999999999</v>
      </c>
      <c r="AL244">
        <f t="shared" si="42"/>
        <v>16.581234567901234</v>
      </c>
      <c r="AM244">
        <f t="shared" si="43"/>
        <v>17.880208483950618</v>
      </c>
      <c r="AP244" s="9"/>
      <c r="AQ244" s="22">
        <v>0.60165400000000002</v>
      </c>
      <c r="AR244" s="22">
        <v>26.063400000000001</v>
      </c>
      <c r="AS244" s="22">
        <v>-1.3736E-2</v>
      </c>
      <c r="AT244" s="22">
        <v>234</v>
      </c>
      <c r="AU244" s="22">
        <v>0.60086099999999998</v>
      </c>
      <c r="AV244">
        <f t="shared" si="44"/>
        <v>16.958024691358023</v>
      </c>
      <c r="AW244">
        <f t="shared" si="45"/>
        <v>10.20286338765432</v>
      </c>
      <c r="AX244" s="9"/>
      <c r="AY244" s="22">
        <v>1.0783400000000001</v>
      </c>
      <c r="AZ244" s="22">
        <v>29.842300000000002</v>
      </c>
      <c r="BA244" s="22">
        <v>-1.3458299999999999E-2</v>
      </c>
      <c r="BB244" s="22">
        <v>234</v>
      </c>
      <c r="BC244" s="22">
        <v>1.07758</v>
      </c>
      <c r="BD244">
        <f t="shared" si="46"/>
        <v>16.615185185185183</v>
      </c>
      <c r="BE244">
        <f t="shared" si="47"/>
        <v>17.91681879259259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0.59661900000000001</v>
      </c>
      <c r="H245" s="22">
        <v>7.55701</v>
      </c>
      <c r="I245" s="22">
        <v>-1.3671900000000001E-2</v>
      </c>
      <c r="J245" s="22">
        <v>235</v>
      </c>
      <c r="K245" s="22">
        <v>0.59588600000000003</v>
      </c>
      <c r="L245">
        <f t="shared" si="36"/>
        <v>16.878888888888888</v>
      </c>
      <c r="M245">
        <f t="shared" si="37"/>
        <v>10.070265809999999</v>
      </c>
      <c r="N245" s="9"/>
      <c r="O245" s="22">
        <v>1.0833699999999999</v>
      </c>
      <c r="P245" s="22">
        <v>11.335900000000001</v>
      </c>
      <c r="Q245" s="22">
        <v>-1.34094E-2</v>
      </c>
      <c r="R245" s="22">
        <v>235</v>
      </c>
      <c r="S245" s="22">
        <v>1.0827599999999999</v>
      </c>
      <c r="T245">
        <f t="shared" si="38"/>
        <v>16.554814814814815</v>
      </c>
      <c r="U245">
        <f t="shared" si="39"/>
        <v>17.934989725925924</v>
      </c>
      <c r="X245" s="9"/>
      <c r="Y245" s="22">
        <v>0.59661900000000001</v>
      </c>
      <c r="Z245" s="22">
        <v>16.847200000000001</v>
      </c>
      <c r="AA245" s="22">
        <v>-1.37146E-2</v>
      </c>
      <c r="AB245" s="22">
        <v>235</v>
      </c>
      <c r="AC245" s="22">
        <v>0.595947</v>
      </c>
      <c r="AD245">
        <f t="shared" si="40"/>
        <v>16.931604938271605</v>
      </c>
      <c r="AE245">
        <f t="shared" si="41"/>
        <v>10.101717206666667</v>
      </c>
      <c r="AF245" s="9"/>
      <c r="AG245" s="22">
        <v>1.0833699999999999</v>
      </c>
      <c r="AH245" s="22">
        <v>20.626100000000001</v>
      </c>
      <c r="AI245" s="22">
        <v>-1.3427700000000001E-2</v>
      </c>
      <c r="AJ245" s="22">
        <v>235</v>
      </c>
      <c r="AK245" s="22">
        <v>1.0821499999999999</v>
      </c>
      <c r="AL245">
        <f t="shared" si="42"/>
        <v>16.57740740740741</v>
      </c>
      <c r="AM245">
        <f t="shared" si="43"/>
        <v>17.959465862962965</v>
      </c>
      <c r="AP245" s="9"/>
      <c r="AQ245" s="22">
        <v>0.59661900000000001</v>
      </c>
      <c r="AR245" s="22">
        <v>26.073499999999999</v>
      </c>
      <c r="AS245" s="22">
        <v>-1.3736E-2</v>
      </c>
      <c r="AT245" s="22">
        <v>235</v>
      </c>
      <c r="AU245" s="22">
        <v>0.59588600000000003</v>
      </c>
      <c r="AV245">
        <f t="shared" si="44"/>
        <v>16.958024691358023</v>
      </c>
      <c r="AW245">
        <f t="shared" si="45"/>
        <v>10.117479733333333</v>
      </c>
      <c r="AX245" s="9"/>
      <c r="AY245" s="22">
        <v>1.0833699999999999</v>
      </c>
      <c r="AZ245" s="22">
        <v>29.852399999999999</v>
      </c>
      <c r="BA245" s="22">
        <v>-1.34521E-2</v>
      </c>
      <c r="BB245" s="22">
        <v>235</v>
      </c>
      <c r="BC245" s="22">
        <v>1.0821499999999999</v>
      </c>
      <c r="BD245">
        <f t="shared" si="46"/>
        <v>16.607530864197528</v>
      </c>
      <c r="BE245">
        <f t="shared" si="47"/>
        <v>17.992100712345675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0.59158299999999997</v>
      </c>
      <c r="H246" s="22">
        <v>7.5670799999999998</v>
      </c>
      <c r="I246" s="22">
        <v>-1.36749E-2</v>
      </c>
      <c r="J246" s="22">
        <v>236</v>
      </c>
      <c r="K246" s="22">
        <v>0.59091199999999999</v>
      </c>
      <c r="L246">
        <f t="shared" si="36"/>
        <v>16.882592592592591</v>
      </c>
      <c r="M246">
        <f t="shared" si="37"/>
        <v>9.9874547737037016</v>
      </c>
      <c r="N246" s="9"/>
      <c r="O246" s="22">
        <v>1.0884100000000001</v>
      </c>
      <c r="P246" s="22">
        <v>11.346</v>
      </c>
      <c r="Q246" s="22">
        <v>-1.34094E-2</v>
      </c>
      <c r="R246" s="22">
        <v>236</v>
      </c>
      <c r="S246" s="22">
        <v>1.08765</v>
      </c>
      <c r="T246">
        <f t="shared" si="38"/>
        <v>16.554814814814815</v>
      </c>
      <c r="U246">
        <f t="shared" si="39"/>
        <v>18.018425992592594</v>
      </c>
      <c r="X246" s="9"/>
      <c r="Y246" s="22">
        <v>0.59158299999999997</v>
      </c>
      <c r="Z246" s="22">
        <v>16.857299999999999</v>
      </c>
      <c r="AA246" s="22">
        <v>-1.37146E-2</v>
      </c>
      <c r="AB246" s="22">
        <v>236</v>
      </c>
      <c r="AC246" s="22">
        <v>0.59091199999999999</v>
      </c>
      <c r="AD246">
        <f t="shared" si="40"/>
        <v>16.931604938271605</v>
      </c>
      <c r="AE246">
        <f t="shared" si="41"/>
        <v>10.016449644197531</v>
      </c>
      <c r="AF246" s="9"/>
      <c r="AG246" s="22">
        <v>1.0884100000000001</v>
      </c>
      <c r="AH246" s="22">
        <v>20.636199999999999</v>
      </c>
      <c r="AI246" s="22">
        <v>-1.3421600000000001E-2</v>
      </c>
      <c r="AJ246" s="22">
        <v>236</v>
      </c>
      <c r="AK246" s="22">
        <v>1.08765</v>
      </c>
      <c r="AL246">
        <f t="shared" si="42"/>
        <v>16.569876543209876</v>
      </c>
      <c r="AM246">
        <f t="shared" si="43"/>
        <v>18.034819328395063</v>
      </c>
      <c r="AP246" s="9"/>
      <c r="AQ246" s="22">
        <v>0.59158299999999997</v>
      </c>
      <c r="AR246" s="22">
        <v>26.083500000000001</v>
      </c>
      <c r="AS246" s="22">
        <v>-1.3736E-2</v>
      </c>
      <c r="AT246" s="22">
        <v>236</v>
      </c>
      <c r="AU246" s="22">
        <v>0.59088099999999999</v>
      </c>
      <c r="AV246">
        <f t="shared" si="44"/>
        <v>16.958024691358023</v>
      </c>
      <c r="AW246">
        <f t="shared" si="45"/>
        <v>10.032079120987653</v>
      </c>
      <c r="AX246" s="9"/>
      <c r="AY246" s="22">
        <v>1.0884100000000001</v>
      </c>
      <c r="AZ246" s="22">
        <v>29.862500000000001</v>
      </c>
      <c r="BA246" s="22">
        <v>-1.34491E-2</v>
      </c>
      <c r="BB246" s="22">
        <v>236</v>
      </c>
      <c r="BC246" s="22">
        <v>1.08734</v>
      </c>
      <c r="BD246">
        <f t="shared" si="46"/>
        <v>16.603827160493829</v>
      </c>
      <c r="BE246">
        <f t="shared" si="47"/>
        <v>18.071771519753089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0.58654799999999996</v>
      </c>
      <c r="H247" s="22">
        <v>7.5771499999999996</v>
      </c>
      <c r="I247" s="22">
        <v>-1.3681E-2</v>
      </c>
      <c r="J247" s="22">
        <v>237</v>
      </c>
      <c r="K247" s="22">
        <v>0.58587599999999995</v>
      </c>
      <c r="L247">
        <f t="shared" si="36"/>
        <v>16.890123456790121</v>
      </c>
      <c r="M247">
        <f t="shared" si="37"/>
        <v>9.9068681333333313</v>
      </c>
      <c r="N247" s="9"/>
      <c r="O247" s="22">
        <v>1.09344</v>
      </c>
      <c r="P247" s="22">
        <v>11.3561</v>
      </c>
      <c r="Q247" s="22">
        <v>-1.34033E-2</v>
      </c>
      <c r="R247" s="22">
        <v>237</v>
      </c>
      <c r="S247" s="22">
        <v>1.09222</v>
      </c>
      <c r="T247">
        <f t="shared" si="38"/>
        <v>16.547283950617281</v>
      </c>
      <c r="U247">
        <f t="shared" si="39"/>
        <v>18.093462162962961</v>
      </c>
      <c r="X247" s="9"/>
      <c r="Y247" s="22">
        <v>0.58654799999999996</v>
      </c>
      <c r="Z247" s="22">
        <v>16.8674</v>
      </c>
      <c r="AA247" s="22">
        <v>-1.37146E-2</v>
      </c>
      <c r="AB247" s="22">
        <v>237</v>
      </c>
      <c r="AC247" s="22">
        <v>0.58590699999999996</v>
      </c>
      <c r="AD247">
        <f t="shared" si="40"/>
        <v>16.931604938271605</v>
      </c>
      <c r="AE247">
        <f t="shared" si="41"/>
        <v>9.9311990133333321</v>
      </c>
      <c r="AF247" s="9"/>
      <c r="AG247" s="22">
        <v>1.09344</v>
      </c>
      <c r="AH247" s="22">
        <v>20.6463</v>
      </c>
      <c r="AI247" s="22">
        <v>-1.3412500000000001E-2</v>
      </c>
      <c r="AJ247" s="22">
        <v>237</v>
      </c>
      <c r="AK247" s="22">
        <v>1.09283</v>
      </c>
      <c r="AL247">
        <f t="shared" si="42"/>
        <v>16.558641975308642</v>
      </c>
      <c r="AM247">
        <f t="shared" si="43"/>
        <v>18.105881481481482</v>
      </c>
      <c r="AP247" s="9"/>
      <c r="AQ247" s="22">
        <v>0.58654799999999996</v>
      </c>
      <c r="AR247" s="22">
        <v>26.093599999999999</v>
      </c>
      <c r="AS247" s="22">
        <v>-1.3738999999999999E-2</v>
      </c>
      <c r="AT247" s="22">
        <v>237</v>
      </c>
      <c r="AU247" s="22">
        <v>0.58590699999999996</v>
      </c>
      <c r="AV247">
        <f t="shared" si="44"/>
        <v>16.961728395061726</v>
      </c>
      <c r="AW247">
        <f t="shared" si="45"/>
        <v>9.9488678666666654</v>
      </c>
      <c r="AX247" s="9"/>
      <c r="AY247" s="22">
        <v>1.09344</v>
      </c>
      <c r="AZ247" s="22">
        <v>29.872499999999999</v>
      </c>
      <c r="BA247" s="22">
        <v>-1.34491E-2</v>
      </c>
      <c r="BB247" s="22">
        <v>237</v>
      </c>
      <c r="BC247" s="22">
        <v>1.09192</v>
      </c>
      <c r="BD247">
        <f t="shared" si="46"/>
        <v>16.603827160493829</v>
      </c>
      <c r="BE247">
        <f t="shared" si="47"/>
        <v>18.155288770370372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0.58151200000000003</v>
      </c>
      <c r="H248" s="22">
        <v>7.5872200000000003</v>
      </c>
      <c r="I248" s="22">
        <v>-1.3684099999999999E-2</v>
      </c>
      <c r="J248" s="22">
        <v>238</v>
      </c>
      <c r="K248" s="22">
        <v>0.58084100000000005</v>
      </c>
      <c r="L248">
        <f t="shared" si="36"/>
        <v>16.893950617283949</v>
      </c>
      <c r="M248">
        <f t="shared" si="37"/>
        <v>9.8240350113580241</v>
      </c>
      <c r="N248" s="9"/>
      <c r="O248" s="22">
        <v>1.0984799999999999</v>
      </c>
      <c r="P248" s="22">
        <v>11.366099999999999</v>
      </c>
      <c r="Q248" s="22">
        <v>-1.34003E-2</v>
      </c>
      <c r="R248" s="22">
        <v>238</v>
      </c>
      <c r="S248" s="22">
        <v>1.09772</v>
      </c>
      <c r="T248">
        <f t="shared" si="38"/>
        <v>16.543580246913578</v>
      </c>
      <c r="U248">
        <f t="shared" si="39"/>
        <v>18.172792029629626</v>
      </c>
      <c r="X248" s="9"/>
      <c r="Y248" s="22">
        <v>0.58151200000000003</v>
      </c>
      <c r="Z248" s="22">
        <v>16.877400000000002</v>
      </c>
      <c r="AA248" s="22">
        <v>-1.3717699999999999E-2</v>
      </c>
      <c r="AB248" s="22">
        <v>238</v>
      </c>
      <c r="AC248" s="22">
        <v>0.58081099999999997</v>
      </c>
      <c r="AD248">
        <f t="shared" si="40"/>
        <v>16.935432098765432</v>
      </c>
      <c r="AE248">
        <f t="shared" si="41"/>
        <v>9.8481569906172837</v>
      </c>
      <c r="AF248" s="9"/>
      <c r="AG248" s="22">
        <v>1.0984799999999999</v>
      </c>
      <c r="AH248" s="22">
        <v>20.656300000000002</v>
      </c>
      <c r="AI248" s="22">
        <v>-1.34094E-2</v>
      </c>
      <c r="AJ248" s="22">
        <v>238</v>
      </c>
      <c r="AK248" s="22">
        <v>1.09711</v>
      </c>
      <c r="AL248">
        <f t="shared" si="42"/>
        <v>16.554814814814815</v>
      </c>
      <c r="AM248">
        <f t="shared" si="43"/>
        <v>18.185132977777776</v>
      </c>
      <c r="AP248" s="9"/>
      <c r="AQ248" s="22">
        <v>0.58151200000000003</v>
      </c>
      <c r="AR248" s="22">
        <v>26.1037</v>
      </c>
      <c r="AS248" s="22">
        <v>-1.37421E-2</v>
      </c>
      <c r="AT248" s="22">
        <v>238</v>
      </c>
      <c r="AU248" s="22">
        <v>0.58077999999999996</v>
      </c>
      <c r="AV248">
        <f t="shared" si="44"/>
        <v>16.965555555555554</v>
      </c>
      <c r="AW248">
        <f t="shared" si="45"/>
        <v>9.8656741422222218</v>
      </c>
      <c r="AX248" s="9"/>
      <c r="AY248" s="22">
        <v>1.0984799999999999</v>
      </c>
      <c r="AZ248" s="22">
        <v>29.8826</v>
      </c>
      <c r="BA248" s="22">
        <v>-1.34491E-2</v>
      </c>
      <c r="BB248" s="22">
        <v>238</v>
      </c>
      <c r="BC248" s="22">
        <v>1.09772</v>
      </c>
      <c r="BD248">
        <f t="shared" si="46"/>
        <v>16.603827160493829</v>
      </c>
      <c r="BE248">
        <f t="shared" si="47"/>
        <v>18.238972059259261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0.57647700000000002</v>
      </c>
      <c r="H249" s="22">
        <v>7.5972900000000001</v>
      </c>
      <c r="I249" s="22">
        <v>-1.3687100000000001E-2</v>
      </c>
      <c r="J249" s="22">
        <v>239</v>
      </c>
      <c r="K249" s="22">
        <v>0.57580600000000004</v>
      </c>
      <c r="L249">
        <f t="shared" si="36"/>
        <v>16.897654320987655</v>
      </c>
      <c r="M249">
        <f t="shared" si="37"/>
        <v>9.7411090700000003</v>
      </c>
      <c r="N249" s="9"/>
      <c r="O249" s="22">
        <v>1.1035200000000001</v>
      </c>
      <c r="P249" s="22">
        <v>11.376200000000001</v>
      </c>
      <c r="Q249" s="22">
        <v>-1.33942E-2</v>
      </c>
      <c r="R249" s="22">
        <v>239</v>
      </c>
      <c r="S249" s="22">
        <v>1.1029100000000001</v>
      </c>
      <c r="T249">
        <f t="shared" si="38"/>
        <v>16.536049382716048</v>
      </c>
      <c r="U249">
        <f t="shared" si="39"/>
        <v>18.247861214814815</v>
      </c>
      <c r="X249" s="9"/>
      <c r="Y249" s="22">
        <v>0.57647700000000002</v>
      </c>
      <c r="Z249" s="22">
        <v>16.887499999999999</v>
      </c>
      <c r="AA249" s="22">
        <v>-1.3717699999999999E-2</v>
      </c>
      <c r="AB249" s="22">
        <v>239</v>
      </c>
      <c r="AC249" s="22">
        <v>0.57583600000000001</v>
      </c>
      <c r="AD249">
        <f t="shared" si="40"/>
        <v>16.935432098765432</v>
      </c>
      <c r="AE249">
        <f t="shared" si="41"/>
        <v>9.7628870899999995</v>
      </c>
      <c r="AF249" s="9"/>
      <c r="AG249" s="22">
        <v>1.1035200000000001</v>
      </c>
      <c r="AH249" s="22">
        <v>20.666399999999999</v>
      </c>
      <c r="AI249" s="22">
        <v>-1.3406400000000001E-2</v>
      </c>
      <c r="AJ249" s="22">
        <v>239</v>
      </c>
      <c r="AK249" s="22">
        <v>1.1029100000000001</v>
      </c>
      <c r="AL249">
        <f t="shared" si="42"/>
        <v>16.551111111111108</v>
      </c>
      <c r="AM249">
        <f t="shared" si="43"/>
        <v>18.264482133333331</v>
      </c>
      <c r="AP249" s="9"/>
      <c r="AQ249" s="22">
        <v>0.57647700000000002</v>
      </c>
      <c r="AR249" s="22">
        <v>26.113700000000001</v>
      </c>
      <c r="AS249" s="22">
        <v>-1.37451E-2</v>
      </c>
      <c r="AT249" s="22">
        <v>239</v>
      </c>
      <c r="AU249" s="22">
        <v>0.57580600000000004</v>
      </c>
      <c r="AV249">
        <f t="shared" si="44"/>
        <v>16.969259259259257</v>
      </c>
      <c r="AW249">
        <f t="shared" si="45"/>
        <v>9.7823876699999985</v>
      </c>
      <c r="AX249" s="9"/>
      <c r="AY249" s="22">
        <v>1.1035200000000001</v>
      </c>
      <c r="AZ249" s="22">
        <v>29.892700000000001</v>
      </c>
      <c r="BA249" s="22">
        <v>-1.34521E-2</v>
      </c>
      <c r="BB249" s="22">
        <v>239</v>
      </c>
      <c r="BC249" s="22">
        <v>1.10229</v>
      </c>
      <c r="BD249">
        <f t="shared" si="46"/>
        <v>16.607530864197528</v>
      </c>
      <c r="BE249">
        <f t="shared" si="47"/>
        <v>18.326742459259258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0.57144200000000001</v>
      </c>
      <c r="H250" s="22">
        <v>7.6073599999999999</v>
      </c>
      <c r="I250" s="22">
        <v>-1.36902E-2</v>
      </c>
      <c r="J250" s="22">
        <v>240</v>
      </c>
      <c r="K250" s="22">
        <v>0.57067900000000005</v>
      </c>
      <c r="L250">
        <f t="shared" si="36"/>
        <v>16.901481481481479</v>
      </c>
      <c r="M250">
        <f t="shared" si="37"/>
        <v>9.6582163807407397</v>
      </c>
      <c r="N250" s="9"/>
      <c r="O250" s="22">
        <v>1.1085499999999999</v>
      </c>
      <c r="P250" s="22">
        <v>11.3863</v>
      </c>
      <c r="Q250" s="22">
        <v>-1.33881E-2</v>
      </c>
      <c r="R250" s="22">
        <v>240</v>
      </c>
      <c r="S250" s="22">
        <v>1.10748</v>
      </c>
      <c r="T250">
        <f t="shared" si="38"/>
        <v>16.528518518518517</v>
      </c>
      <c r="U250">
        <f t="shared" si="39"/>
        <v>18.3226892037037</v>
      </c>
      <c r="X250" s="9"/>
      <c r="Y250" s="22">
        <v>0.57144200000000001</v>
      </c>
      <c r="Z250" s="22">
        <v>16.897600000000001</v>
      </c>
      <c r="AA250" s="22">
        <v>-1.3720700000000001E-2</v>
      </c>
      <c r="AB250" s="22">
        <v>240</v>
      </c>
      <c r="AC250" s="22">
        <v>0.57077</v>
      </c>
      <c r="AD250">
        <f t="shared" si="40"/>
        <v>16.939135802469135</v>
      </c>
      <c r="AE250">
        <f t="shared" si="41"/>
        <v>9.6797336412345683</v>
      </c>
      <c r="AF250" s="9"/>
      <c r="AG250" s="22">
        <v>1.1085499999999999</v>
      </c>
      <c r="AH250" s="22">
        <v>20.676500000000001</v>
      </c>
      <c r="AI250" s="22">
        <v>-1.34003E-2</v>
      </c>
      <c r="AJ250" s="22">
        <v>240</v>
      </c>
      <c r="AK250" s="22">
        <v>1.10748</v>
      </c>
      <c r="AL250">
        <f t="shared" si="42"/>
        <v>16.543580246913578</v>
      </c>
      <c r="AM250">
        <f t="shared" si="43"/>
        <v>18.339385882716044</v>
      </c>
      <c r="AP250" s="9"/>
      <c r="AQ250" s="22">
        <v>0.57144200000000001</v>
      </c>
      <c r="AR250" s="22">
        <v>26.123799999999999</v>
      </c>
      <c r="AS250" s="22">
        <v>-1.3754300000000001E-2</v>
      </c>
      <c r="AT250" s="22">
        <v>240</v>
      </c>
      <c r="AU250" s="22">
        <v>0.57074000000000003</v>
      </c>
      <c r="AV250">
        <f t="shared" si="44"/>
        <v>16.980617283950615</v>
      </c>
      <c r="AW250">
        <f t="shared" si="45"/>
        <v>9.7034379019753079</v>
      </c>
      <c r="AX250" s="9"/>
      <c r="AY250" s="22">
        <v>1.1085499999999999</v>
      </c>
      <c r="AZ250" s="22">
        <v>29.902799999999999</v>
      </c>
      <c r="BA250" s="22">
        <v>-1.3458299999999999E-2</v>
      </c>
      <c r="BB250" s="22">
        <v>240</v>
      </c>
      <c r="BC250" s="22">
        <v>1.1071800000000001</v>
      </c>
      <c r="BD250">
        <f t="shared" si="46"/>
        <v>16.615185185185183</v>
      </c>
      <c r="BE250">
        <f t="shared" si="47"/>
        <v>18.418763537037034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0.56640599999999997</v>
      </c>
      <c r="H251" s="22">
        <v>7.6174299999999997</v>
      </c>
      <c r="I251" s="22">
        <v>-1.3693200000000001E-2</v>
      </c>
      <c r="J251" s="22">
        <v>241</v>
      </c>
      <c r="K251" s="22">
        <v>0.56567400000000001</v>
      </c>
      <c r="L251">
        <f t="shared" si="36"/>
        <v>16.905185185185186</v>
      </c>
      <c r="M251">
        <f t="shared" si="37"/>
        <v>9.5751983200000002</v>
      </c>
      <c r="N251" s="9"/>
      <c r="O251" s="22">
        <v>1.1135900000000001</v>
      </c>
      <c r="P251" s="22">
        <v>11.3963</v>
      </c>
      <c r="Q251" s="22">
        <v>-1.3384999999999999E-2</v>
      </c>
      <c r="R251" s="22">
        <v>241</v>
      </c>
      <c r="S251" s="22">
        <v>1.11206</v>
      </c>
      <c r="T251">
        <f t="shared" si="38"/>
        <v>16.52469135802469</v>
      </c>
      <c r="U251">
        <f t="shared" si="39"/>
        <v>18.401731049382715</v>
      </c>
      <c r="X251" s="9"/>
      <c r="Y251" s="22">
        <v>0.56640599999999997</v>
      </c>
      <c r="Z251" s="22">
        <v>16.907699999999998</v>
      </c>
      <c r="AA251" s="22">
        <v>-1.37238E-2</v>
      </c>
      <c r="AB251" s="22">
        <v>241</v>
      </c>
      <c r="AC251" s="22">
        <v>0.56573499999999999</v>
      </c>
      <c r="AD251">
        <f t="shared" si="40"/>
        <v>16.942962962962962</v>
      </c>
      <c r="AE251">
        <f t="shared" si="41"/>
        <v>9.5965958799999989</v>
      </c>
      <c r="AF251" s="9"/>
      <c r="AG251" s="22">
        <v>1.1135900000000001</v>
      </c>
      <c r="AH251" s="22">
        <v>20.686599999999999</v>
      </c>
      <c r="AI251" s="22">
        <v>-1.33972E-2</v>
      </c>
      <c r="AJ251" s="22">
        <v>241</v>
      </c>
      <c r="AK251" s="22">
        <v>1.11206</v>
      </c>
      <c r="AL251">
        <f t="shared" si="42"/>
        <v>16.539753086419751</v>
      </c>
      <c r="AM251">
        <f t="shared" si="43"/>
        <v>18.41850363950617</v>
      </c>
      <c r="AP251" s="9"/>
      <c r="AQ251" s="22">
        <v>0.56640599999999997</v>
      </c>
      <c r="AR251" s="22">
        <v>26.133900000000001</v>
      </c>
      <c r="AS251" s="22">
        <v>-1.3760400000000001E-2</v>
      </c>
      <c r="AT251" s="22">
        <v>241</v>
      </c>
      <c r="AU251" s="22">
        <v>0.56567400000000001</v>
      </c>
      <c r="AV251">
        <f t="shared" si="44"/>
        <v>16.988148148148149</v>
      </c>
      <c r="AW251">
        <f t="shared" si="45"/>
        <v>9.6221890400000003</v>
      </c>
      <c r="AX251" s="9"/>
      <c r="AY251" s="22">
        <v>1.1135900000000001</v>
      </c>
      <c r="AZ251" s="22">
        <v>29.912800000000001</v>
      </c>
      <c r="BA251" s="22">
        <v>-1.34552E-2</v>
      </c>
      <c r="BB251" s="22">
        <v>241</v>
      </c>
      <c r="BC251" s="22">
        <v>1.1123700000000001</v>
      </c>
      <c r="BD251">
        <f t="shared" si="46"/>
        <v>16.611358024691356</v>
      </c>
      <c r="BE251">
        <f t="shared" si="47"/>
        <v>18.498242182716048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0.56137099999999995</v>
      </c>
      <c r="H252" s="22">
        <v>7.62751</v>
      </c>
      <c r="I252" s="22">
        <v>-1.3699299999999999E-2</v>
      </c>
      <c r="J252" s="22">
        <v>242</v>
      </c>
      <c r="K252" s="22">
        <v>0.56066899999999997</v>
      </c>
      <c r="L252">
        <f t="shared" si="36"/>
        <v>16.912716049382716</v>
      </c>
      <c r="M252">
        <f t="shared" si="37"/>
        <v>9.4943083213580248</v>
      </c>
      <c r="N252" s="9"/>
      <c r="O252" s="22">
        <v>1.1186199999999999</v>
      </c>
      <c r="P252" s="22">
        <v>11.4064</v>
      </c>
      <c r="Q252" s="22">
        <v>-1.3382E-2</v>
      </c>
      <c r="R252" s="22">
        <v>242</v>
      </c>
      <c r="S252" s="22">
        <v>1.1172500000000001</v>
      </c>
      <c r="T252">
        <f t="shared" si="38"/>
        <v>16.520987654320987</v>
      </c>
      <c r="U252">
        <f t="shared" si="39"/>
        <v>18.480707209876542</v>
      </c>
      <c r="X252" s="9"/>
      <c r="Y252" s="22">
        <v>0.56137099999999995</v>
      </c>
      <c r="Z252" s="22">
        <v>16.9177</v>
      </c>
      <c r="AA252" s="22">
        <v>-1.37299E-2</v>
      </c>
      <c r="AB252" s="22">
        <v>242</v>
      </c>
      <c r="AC252" s="22">
        <v>0.56069899999999995</v>
      </c>
      <c r="AD252">
        <f t="shared" si="40"/>
        <v>16.950493827160493</v>
      </c>
      <c r="AE252">
        <f t="shared" si="41"/>
        <v>9.5155156702469128</v>
      </c>
      <c r="AF252" s="9"/>
      <c r="AG252" s="22">
        <v>1.1186199999999999</v>
      </c>
      <c r="AH252" s="22">
        <v>20.6966</v>
      </c>
      <c r="AI252" s="22">
        <v>-1.33942E-2</v>
      </c>
      <c r="AJ252" s="22">
        <v>242</v>
      </c>
      <c r="AK252" s="22">
        <v>1.1178600000000001</v>
      </c>
      <c r="AL252">
        <f t="shared" si="42"/>
        <v>16.536049382716048</v>
      </c>
      <c r="AM252">
        <f t="shared" si="43"/>
        <v>18.497555560493826</v>
      </c>
      <c r="AP252" s="9"/>
      <c r="AQ252" s="22">
        <v>0.56137099999999995</v>
      </c>
      <c r="AR252" s="22">
        <v>26.143999999999998</v>
      </c>
      <c r="AS252" s="22">
        <v>-1.3760400000000001E-2</v>
      </c>
      <c r="AT252" s="22">
        <v>242</v>
      </c>
      <c r="AU252" s="22">
        <v>0.56063799999999997</v>
      </c>
      <c r="AV252">
        <f t="shared" si="44"/>
        <v>16.988148148148149</v>
      </c>
      <c r="AW252">
        <f t="shared" si="45"/>
        <v>9.5366537140740739</v>
      </c>
      <c r="AX252" s="9"/>
      <c r="AY252" s="22">
        <v>1.1186199999999999</v>
      </c>
      <c r="AZ252" s="22">
        <v>29.922899999999998</v>
      </c>
      <c r="BA252" s="22">
        <v>-1.34491E-2</v>
      </c>
      <c r="BB252" s="22">
        <v>242</v>
      </c>
      <c r="BC252" s="22">
        <v>1.11755</v>
      </c>
      <c r="BD252">
        <f t="shared" si="46"/>
        <v>16.603827160493829</v>
      </c>
      <c r="BE252">
        <f t="shared" si="47"/>
        <v>18.573373138271606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0.55633500000000002</v>
      </c>
      <c r="H253" s="22">
        <v>7.6375799999999998</v>
      </c>
      <c r="I253" s="22">
        <v>-1.37024E-2</v>
      </c>
      <c r="J253" s="22">
        <v>243</v>
      </c>
      <c r="K253" s="22">
        <v>0.55569500000000005</v>
      </c>
      <c r="L253">
        <f t="shared" si="36"/>
        <v>16.916543209876544</v>
      </c>
      <c r="M253">
        <f t="shared" si="37"/>
        <v>9.4112650666666671</v>
      </c>
      <c r="N253" s="9"/>
      <c r="O253" s="22">
        <v>1.1236600000000001</v>
      </c>
      <c r="P253" s="22">
        <v>11.416499999999999</v>
      </c>
      <c r="Q253" s="22">
        <v>-1.3382E-2</v>
      </c>
      <c r="R253" s="22">
        <v>243</v>
      </c>
      <c r="S253" s="22">
        <v>1.1227400000000001</v>
      </c>
      <c r="T253">
        <f t="shared" si="38"/>
        <v>16.520987654320987</v>
      </c>
      <c r="U253">
        <f t="shared" si="39"/>
        <v>18.563972987654321</v>
      </c>
      <c r="X253" s="9"/>
      <c r="Y253" s="22">
        <v>0.55633500000000002</v>
      </c>
      <c r="Z253" s="22">
        <v>16.927800000000001</v>
      </c>
      <c r="AA253" s="22">
        <v>-1.3736E-2</v>
      </c>
      <c r="AB253" s="22">
        <v>243</v>
      </c>
      <c r="AC253" s="22">
        <v>0.55566400000000005</v>
      </c>
      <c r="AD253">
        <f t="shared" si="40"/>
        <v>16.958024691358023</v>
      </c>
      <c r="AE253">
        <f t="shared" si="41"/>
        <v>9.4343426666666659</v>
      </c>
      <c r="AF253" s="9"/>
      <c r="AG253" s="22">
        <v>1.1236600000000001</v>
      </c>
      <c r="AH253" s="22">
        <v>20.706700000000001</v>
      </c>
      <c r="AI253" s="22">
        <v>-1.3384999999999999E-2</v>
      </c>
      <c r="AJ253" s="22">
        <v>243</v>
      </c>
      <c r="AK253" s="22">
        <v>1.1221300000000001</v>
      </c>
      <c r="AL253">
        <f t="shared" si="42"/>
        <v>16.52469135802469</v>
      </c>
      <c r="AM253">
        <f t="shared" si="43"/>
        <v>18.568134691358026</v>
      </c>
      <c r="AP253" s="9"/>
      <c r="AQ253" s="22">
        <v>0.55633500000000002</v>
      </c>
      <c r="AR253" s="22">
        <v>26.154</v>
      </c>
      <c r="AS253" s="22">
        <v>-1.3766499999999999E-2</v>
      </c>
      <c r="AT253" s="22">
        <v>243</v>
      </c>
      <c r="AU253" s="22">
        <v>0.55560299999999996</v>
      </c>
      <c r="AV253">
        <f t="shared" si="44"/>
        <v>16.995679012345676</v>
      </c>
      <c r="AW253">
        <f t="shared" si="45"/>
        <v>9.4552910833333321</v>
      </c>
      <c r="AX253" s="9"/>
      <c r="AY253" s="22">
        <v>1.1236600000000001</v>
      </c>
      <c r="AZ253" s="22">
        <v>29.933</v>
      </c>
      <c r="BA253" s="22">
        <v>-1.3439899999999999E-2</v>
      </c>
      <c r="BB253" s="22">
        <v>243</v>
      </c>
      <c r="BC253" s="22">
        <v>1.1227400000000001</v>
      </c>
      <c r="BD253">
        <f t="shared" si="46"/>
        <v>16.592469135802467</v>
      </c>
      <c r="BE253">
        <f t="shared" si="47"/>
        <v>18.644293869135801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0.55130000000000001</v>
      </c>
      <c r="H254" s="22">
        <v>7.6476499999999996</v>
      </c>
      <c r="I254" s="22">
        <v>-1.37024E-2</v>
      </c>
      <c r="J254" s="22">
        <v>244</v>
      </c>
      <c r="K254" s="22">
        <v>0.55065900000000001</v>
      </c>
      <c r="L254">
        <f t="shared" si="36"/>
        <v>16.916543209876544</v>
      </c>
      <c r="M254">
        <f t="shared" si="37"/>
        <v>9.3260902716049383</v>
      </c>
      <c r="N254" s="9"/>
      <c r="O254" s="22">
        <v>1.12869</v>
      </c>
      <c r="P254" s="22">
        <v>11.426600000000001</v>
      </c>
      <c r="Q254" s="22">
        <v>-1.33759E-2</v>
      </c>
      <c r="R254" s="22">
        <v>244</v>
      </c>
      <c r="S254" s="22">
        <v>1.1282300000000001</v>
      </c>
      <c r="T254">
        <f t="shared" si="38"/>
        <v>16.513456790123456</v>
      </c>
      <c r="U254">
        <f t="shared" si="39"/>
        <v>18.638573544444444</v>
      </c>
      <c r="X254" s="9"/>
      <c r="Y254" s="22">
        <v>0.55130000000000001</v>
      </c>
      <c r="Z254" s="22">
        <v>16.937899999999999</v>
      </c>
      <c r="AA254" s="22">
        <v>-1.3738999999999999E-2</v>
      </c>
      <c r="AB254" s="22">
        <v>244</v>
      </c>
      <c r="AC254" s="22">
        <v>0.55062900000000004</v>
      </c>
      <c r="AD254">
        <f t="shared" si="40"/>
        <v>16.961728395061726</v>
      </c>
      <c r="AE254">
        <f t="shared" si="41"/>
        <v>9.3510008641975304</v>
      </c>
      <c r="AF254" s="9"/>
      <c r="AG254" s="22">
        <v>1.12869</v>
      </c>
      <c r="AH254" s="22">
        <v>20.716799999999999</v>
      </c>
      <c r="AI254" s="22">
        <v>-1.3382E-2</v>
      </c>
      <c r="AJ254" s="22">
        <v>244</v>
      </c>
      <c r="AK254" s="22">
        <v>1.1273200000000001</v>
      </c>
      <c r="AL254">
        <f t="shared" si="42"/>
        <v>16.520987654320987</v>
      </c>
      <c r="AM254">
        <f t="shared" si="43"/>
        <v>18.647073555555554</v>
      </c>
      <c r="AP254" s="9"/>
      <c r="AQ254" s="22">
        <v>0.55130000000000001</v>
      </c>
      <c r="AR254" s="22">
        <v>26.164100000000001</v>
      </c>
      <c r="AS254" s="22">
        <v>-1.3766499999999999E-2</v>
      </c>
      <c r="AT254" s="22">
        <v>244</v>
      </c>
      <c r="AU254" s="22">
        <v>0.55065900000000001</v>
      </c>
      <c r="AV254">
        <f t="shared" si="44"/>
        <v>16.995679012345676</v>
      </c>
      <c r="AW254">
        <f t="shared" si="45"/>
        <v>9.3697178395061709</v>
      </c>
      <c r="AX254" s="9"/>
      <c r="AY254" s="22">
        <v>1.12869</v>
      </c>
      <c r="AZ254" s="22">
        <v>29.943000000000001</v>
      </c>
      <c r="BA254" s="22">
        <v>-1.3433799999999999E-2</v>
      </c>
      <c r="BB254" s="22">
        <v>244</v>
      </c>
      <c r="BC254" s="22">
        <v>1.1273200000000001</v>
      </c>
      <c r="BD254">
        <f t="shared" si="46"/>
        <v>16.584938271604937</v>
      </c>
      <c r="BE254">
        <f t="shared" si="47"/>
        <v>18.719253977777775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0.546265</v>
      </c>
      <c r="H255" s="22">
        <v>7.6577200000000003</v>
      </c>
      <c r="I255" s="22">
        <v>-1.37024E-2</v>
      </c>
      <c r="J255" s="22">
        <v>245</v>
      </c>
      <c r="K255" s="22">
        <v>0.54556300000000002</v>
      </c>
      <c r="L255">
        <f t="shared" si="36"/>
        <v>16.916543209876544</v>
      </c>
      <c r="M255">
        <f t="shared" si="37"/>
        <v>9.2409154765432096</v>
      </c>
      <c r="N255" s="9"/>
      <c r="O255" s="22">
        <v>1.1337299999999999</v>
      </c>
      <c r="P255" s="22">
        <v>11.4366</v>
      </c>
      <c r="Q255" s="22">
        <v>-1.3369799999999999E-2</v>
      </c>
      <c r="R255" s="22">
        <v>245</v>
      </c>
      <c r="S255" s="22">
        <v>1.1322000000000001</v>
      </c>
      <c r="T255">
        <f t="shared" si="38"/>
        <v>16.505925925925922</v>
      </c>
      <c r="U255">
        <f t="shared" si="39"/>
        <v>18.713263399999995</v>
      </c>
      <c r="X255" s="9"/>
      <c r="Y255" s="22">
        <v>0.546265</v>
      </c>
      <c r="Z255" s="22">
        <v>16.947900000000001</v>
      </c>
      <c r="AA255" s="22">
        <v>-1.37482E-2</v>
      </c>
      <c r="AB255" s="22">
        <v>245</v>
      </c>
      <c r="AC255" s="22">
        <v>0.54553200000000002</v>
      </c>
      <c r="AD255">
        <f t="shared" si="40"/>
        <v>16.973086419753084</v>
      </c>
      <c r="AE255">
        <f t="shared" si="41"/>
        <v>9.2718030530864191</v>
      </c>
      <c r="AF255" s="9"/>
      <c r="AG255" s="22">
        <v>1.1337299999999999</v>
      </c>
      <c r="AH255" s="22">
        <v>20.726800000000001</v>
      </c>
      <c r="AI255" s="22">
        <v>-1.3382E-2</v>
      </c>
      <c r="AJ255" s="22">
        <v>245</v>
      </c>
      <c r="AK255" s="22">
        <v>1.1328100000000001</v>
      </c>
      <c r="AL255">
        <f t="shared" si="42"/>
        <v>16.520987654320987</v>
      </c>
      <c r="AM255">
        <f t="shared" si="43"/>
        <v>18.73033933333333</v>
      </c>
      <c r="AP255" s="9"/>
      <c r="AQ255" s="22">
        <v>0.546265</v>
      </c>
      <c r="AR255" s="22">
        <v>26.174199999999999</v>
      </c>
      <c r="AS255" s="22">
        <v>-1.3766499999999999E-2</v>
      </c>
      <c r="AT255" s="22">
        <v>245</v>
      </c>
      <c r="AU255" s="22">
        <v>0.54559299999999999</v>
      </c>
      <c r="AV255">
        <f t="shared" si="44"/>
        <v>16.995679012345676</v>
      </c>
      <c r="AW255">
        <f t="shared" si="45"/>
        <v>9.2841445956790096</v>
      </c>
      <c r="AX255" s="9"/>
      <c r="AY255" s="22">
        <v>1.1337299999999999</v>
      </c>
      <c r="AZ255" s="22">
        <v>29.953099999999999</v>
      </c>
      <c r="BA255" s="22">
        <v>-1.3427700000000001E-2</v>
      </c>
      <c r="BB255" s="22">
        <v>245</v>
      </c>
      <c r="BC255" s="22">
        <v>1.1322000000000001</v>
      </c>
      <c r="BD255">
        <f t="shared" si="46"/>
        <v>16.57740740740741</v>
      </c>
      <c r="BE255">
        <f t="shared" si="47"/>
        <v>18.794304100000002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0.54122899999999996</v>
      </c>
      <c r="H256" s="22">
        <v>7.6677900000000001</v>
      </c>
      <c r="I256" s="22">
        <v>-1.3699299999999999E-2</v>
      </c>
      <c r="J256" s="22">
        <v>246</v>
      </c>
      <c r="K256" s="22">
        <v>0.54055799999999998</v>
      </c>
      <c r="L256">
        <f t="shared" si="36"/>
        <v>16.912716049382716</v>
      </c>
      <c r="M256">
        <f t="shared" si="37"/>
        <v>9.1536523946913579</v>
      </c>
      <c r="N256" s="9"/>
      <c r="O256" s="22">
        <v>1.13876</v>
      </c>
      <c r="P256" s="22">
        <v>11.4467</v>
      </c>
      <c r="Q256" s="22">
        <v>-1.33636E-2</v>
      </c>
      <c r="R256" s="22">
        <v>246</v>
      </c>
      <c r="S256" s="22">
        <v>1.1373899999999999</v>
      </c>
      <c r="T256">
        <f t="shared" si="38"/>
        <v>16.498271604938271</v>
      </c>
      <c r="U256">
        <f t="shared" si="39"/>
        <v>18.787571772839506</v>
      </c>
      <c r="X256" s="9"/>
      <c r="Y256" s="22">
        <v>0.54122899999999996</v>
      </c>
      <c r="Z256" s="22">
        <v>16.957999999999998</v>
      </c>
      <c r="AA256" s="22">
        <v>-1.37573E-2</v>
      </c>
      <c r="AB256" s="22">
        <v>246</v>
      </c>
      <c r="AC256" s="22">
        <v>0.54058799999999996</v>
      </c>
      <c r="AD256">
        <f t="shared" si="40"/>
        <v>16.984320987654321</v>
      </c>
      <c r="AE256">
        <f t="shared" si="41"/>
        <v>9.1924070638271598</v>
      </c>
      <c r="AF256" s="9"/>
      <c r="AG256" s="22">
        <v>1.13876</v>
      </c>
      <c r="AH256" s="22">
        <v>20.736899999999999</v>
      </c>
      <c r="AI256" s="22">
        <v>-1.3382E-2</v>
      </c>
      <c r="AJ256" s="22">
        <v>246</v>
      </c>
      <c r="AK256" s="22">
        <v>1.1376999999999999</v>
      </c>
      <c r="AL256">
        <f t="shared" si="42"/>
        <v>16.520987654320987</v>
      </c>
      <c r="AM256">
        <f t="shared" si="43"/>
        <v>18.813439901234567</v>
      </c>
      <c r="AP256" s="9"/>
      <c r="AQ256" s="22">
        <v>0.54122899999999996</v>
      </c>
      <c r="AR256" s="22">
        <v>26.184200000000001</v>
      </c>
      <c r="AS256" s="22">
        <v>-1.3775600000000001E-2</v>
      </c>
      <c r="AT256" s="22">
        <v>246</v>
      </c>
      <c r="AU256" s="22">
        <v>0.54052699999999998</v>
      </c>
      <c r="AV256">
        <f t="shared" si="44"/>
        <v>17.006913580246916</v>
      </c>
      <c r="AW256">
        <f t="shared" si="45"/>
        <v>9.2046348301234584</v>
      </c>
      <c r="AX256" s="9"/>
      <c r="AY256" s="22">
        <v>1.13876</v>
      </c>
      <c r="AZ256" s="22">
        <v>29.963200000000001</v>
      </c>
      <c r="BA256" s="22">
        <v>-1.3421600000000001E-2</v>
      </c>
      <c r="BB256" s="22">
        <v>246</v>
      </c>
      <c r="BC256" s="22">
        <v>1.1379999999999999</v>
      </c>
      <c r="BD256">
        <f t="shared" si="46"/>
        <v>16.569876543209876</v>
      </c>
      <c r="BE256">
        <f t="shared" si="47"/>
        <v>18.869112612345678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0.53619399999999995</v>
      </c>
      <c r="H257" s="22">
        <v>7.6778599999999999</v>
      </c>
      <c r="I257" s="22">
        <v>-1.37085E-2</v>
      </c>
      <c r="J257" s="22">
        <v>247</v>
      </c>
      <c r="K257" s="22">
        <v>0.53552200000000005</v>
      </c>
      <c r="L257">
        <f t="shared" si="36"/>
        <v>16.924074074074074</v>
      </c>
      <c r="M257">
        <f t="shared" si="37"/>
        <v>9.074586974074073</v>
      </c>
      <c r="N257" s="9"/>
      <c r="O257" s="22">
        <v>1.1437999999999999</v>
      </c>
      <c r="P257" s="22">
        <v>11.456799999999999</v>
      </c>
      <c r="Q257" s="22">
        <v>-1.33636E-2</v>
      </c>
      <c r="R257" s="22">
        <v>247</v>
      </c>
      <c r="S257" s="22">
        <v>1.1428799999999999</v>
      </c>
      <c r="T257">
        <f t="shared" si="38"/>
        <v>16.498271604938271</v>
      </c>
      <c r="U257">
        <f t="shared" si="39"/>
        <v>18.870723061728395</v>
      </c>
      <c r="X257" s="9"/>
      <c r="Y257" s="22">
        <v>0.53619399999999995</v>
      </c>
      <c r="Z257" s="22">
        <v>16.9681</v>
      </c>
      <c r="AA257" s="22">
        <v>-1.3760400000000001E-2</v>
      </c>
      <c r="AB257" s="22">
        <v>247</v>
      </c>
      <c r="AC257" s="22">
        <v>0.53555299999999995</v>
      </c>
      <c r="AD257">
        <f t="shared" si="40"/>
        <v>16.988148148148149</v>
      </c>
      <c r="AE257">
        <f t="shared" si="41"/>
        <v>9.1089431081481482</v>
      </c>
      <c r="AF257" s="9"/>
      <c r="AG257" s="22">
        <v>1.1437999999999999</v>
      </c>
      <c r="AH257" s="22">
        <v>20.747</v>
      </c>
      <c r="AI257" s="22">
        <v>-1.3378900000000001E-2</v>
      </c>
      <c r="AJ257" s="22">
        <v>247</v>
      </c>
      <c r="AK257" s="22">
        <v>1.1428799999999999</v>
      </c>
      <c r="AL257">
        <f t="shared" si="42"/>
        <v>16.517160493827159</v>
      </c>
      <c r="AM257">
        <f t="shared" si="43"/>
        <v>18.892328172839502</v>
      </c>
      <c r="AP257" s="9"/>
      <c r="AQ257" s="22">
        <v>0.53619399999999995</v>
      </c>
      <c r="AR257" s="22">
        <v>26.194299999999998</v>
      </c>
      <c r="AS257" s="22">
        <v>-1.3781699999999999E-2</v>
      </c>
      <c r="AT257" s="22">
        <v>247</v>
      </c>
      <c r="AU257" s="22">
        <v>0.53549199999999997</v>
      </c>
      <c r="AV257">
        <f t="shared" si="44"/>
        <v>17.014444444444443</v>
      </c>
      <c r="AW257">
        <f t="shared" si="45"/>
        <v>9.123043024444442</v>
      </c>
      <c r="AX257" s="9"/>
      <c r="AY257" s="22">
        <v>1.1437999999999999</v>
      </c>
      <c r="AZ257" s="22">
        <v>29.973199999999999</v>
      </c>
      <c r="BA257" s="22">
        <v>-1.3421600000000001E-2</v>
      </c>
      <c r="BB257" s="22">
        <v>247</v>
      </c>
      <c r="BC257" s="22">
        <v>1.1428799999999999</v>
      </c>
      <c r="BD257">
        <f t="shared" si="46"/>
        <v>16.569876543209876</v>
      </c>
      <c r="BE257">
        <f t="shared" si="47"/>
        <v>18.952624790123455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0.53115800000000002</v>
      </c>
      <c r="H258" s="22">
        <v>7.6879299999999997</v>
      </c>
      <c r="I258" s="22">
        <v>-1.37146E-2</v>
      </c>
      <c r="J258" s="22">
        <v>248</v>
      </c>
      <c r="K258" s="22">
        <v>0.53048700000000004</v>
      </c>
      <c r="L258">
        <f t="shared" si="36"/>
        <v>16.931604938271605</v>
      </c>
      <c r="M258">
        <f t="shared" si="37"/>
        <v>8.9933574158024694</v>
      </c>
      <c r="N258" s="9"/>
      <c r="O258" s="22">
        <v>1.14883</v>
      </c>
      <c r="P258" s="22">
        <v>11.466799999999999</v>
      </c>
      <c r="Q258" s="22">
        <v>-1.33606E-2</v>
      </c>
      <c r="R258" s="22">
        <v>248</v>
      </c>
      <c r="S258" s="22">
        <v>1.1474599999999999</v>
      </c>
      <c r="T258">
        <f t="shared" si="38"/>
        <v>16.494567901234568</v>
      </c>
      <c r="U258">
        <f t="shared" si="39"/>
        <v>18.949454441975309</v>
      </c>
      <c r="X258" s="9"/>
      <c r="Y258" s="22">
        <v>0.53115800000000002</v>
      </c>
      <c r="Z258" s="22">
        <v>16.978200000000001</v>
      </c>
      <c r="AA258" s="22">
        <v>-1.37634E-2</v>
      </c>
      <c r="AB258" s="22">
        <v>248</v>
      </c>
      <c r="AC258" s="22">
        <v>0.53054800000000002</v>
      </c>
      <c r="AD258">
        <f t="shared" si="40"/>
        <v>16.991851851851852</v>
      </c>
      <c r="AE258">
        <f t="shared" si="41"/>
        <v>9.0253580459259268</v>
      </c>
      <c r="AF258" s="9"/>
      <c r="AG258" s="22">
        <v>1.14883</v>
      </c>
      <c r="AH258" s="22">
        <v>20.757100000000001</v>
      </c>
      <c r="AI258" s="22">
        <v>-1.33759E-2</v>
      </c>
      <c r="AJ258" s="22">
        <v>248</v>
      </c>
      <c r="AK258" s="22">
        <v>1.14777</v>
      </c>
      <c r="AL258">
        <f t="shared" si="42"/>
        <v>16.513456790123456</v>
      </c>
      <c r="AM258">
        <f t="shared" si="43"/>
        <v>18.97115456419753</v>
      </c>
      <c r="AP258" s="9"/>
      <c r="AQ258" s="22">
        <v>0.53115800000000002</v>
      </c>
      <c r="AR258" s="22">
        <v>26.2044</v>
      </c>
      <c r="AS258" s="22">
        <v>-1.3787799999999999E-2</v>
      </c>
      <c r="AT258" s="22">
        <v>248</v>
      </c>
      <c r="AU258" s="22">
        <v>0.53048700000000004</v>
      </c>
      <c r="AV258">
        <f t="shared" si="44"/>
        <v>17.021975308641974</v>
      </c>
      <c r="AW258">
        <f t="shared" si="45"/>
        <v>9.0413583609876529</v>
      </c>
      <c r="AX258" s="9"/>
      <c r="AY258" s="22">
        <v>1.14883</v>
      </c>
      <c r="AZ258" s="22">
        <v>29.9833</v>
      </c>
      <c r="BA258" s="22">
        <v>-1.3421600000000001E-2</v>
      </c>
      <c r="BB258" s="22">
        <v>248</v>
      </c>
      <c r="BC258" s="22">
        <v>1.14777</v>
      </c>
      <c r="BD258">
        <f t="shared" si="46"/>
        <v>16.569876543209876</v>
      </c>
      <c r="BE258">
        <f t="shared" si="47"/>
        <v>19.035971269135803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0.52612300000000001</v>
      </c>
      <c r="H259" s="22">
        <v>7.6980000000000004</v>
      </c>
      <c r="I259" s="22">
        <v>-1.37238E-2</v>
      </c>
      <c r="J259" s="22">
        <v>249</v>
      </c>
      <c r="K259" s="22">
        <v>0.52545200000000003</v>
      </c>
      <c r="L259">
        <f t="shared" si="36"/>
        <v>16.942962962962962</v>
      </c>
      <c r="M259">
        <f t="shared" si="37"/>
        <v>8.9140825029629625</v>
      </c>
      <c r="N259" s="9"/>
      <c r="O259" s="22">
        <v>1.15387</v>
      </c>
      <c r="P259" s="22">
        <v>11.476900000000001</v>
      </c>
      <c r="Q259" s="22">
        <v>-1.33606E-2</v>
      </c>
      <c r="R259" s="22">
        <v>249</v>
      </c>
      <c r="S259" s="22">
        <v>1.15265</v>
      </c>
      <c r="T259">
        <f t="shared" si="38"/>
        <v>16.494567901234568</v>
      </c>
      <c r="U259">
        <f t="shared" si="39"/>
        <v>19.032587064197529</v>
      </c>
      <c r="X259" s="9"/>
      <c r="Y259" s="22">
        <v>0.52612300000000001</v>
      </c>
      <c r="Z259" s="22">
        <v>16.988199999999999</v>
      </c>
      <c r="AA259" s="22">
        <v>-1.3760400000000001E-2</v>
      </c>
      <c r="AB259" s="22">
        <v>249</v>
      </c>
      <c r="AC259" s="22">
        <v>0.52539100000000005</v>
      </c>
      <c r="AD259">
        <f t="shared" si="40"/>
        <v>16.988148148148149</v>
      </c>
      <c r="AE259">
        <f t="shared" si="41"/>
        <v>8.9378554681481486</v>
      </c>
      <c r="AF259" s="9"/>
      <c r="AG259" s="22">
        <v>1.15387</v>
      </c>
      <c r="AH259" s="22">
        <v>20.767099999999999</v>
      </c>
      <c r="AI259" s="22">
        <v>-1.3378900000000001E-2</v>
      </c>
      <c r="AJ259" s="22">
        <v>249</v>
      </c>
      <c r="AK259" s="22">
        <v>1.15265</v>
      </c>
      <c r="AL259">
        <f t="shared" si="42"/>
        <v>16.517160493827159</v>
      </c>
      <c r="AM259">
        <f t="shared" si="43"/>
        <v>19.058655979012343</v>
      </c>
      <c r="AP259" s="9"/>
      <c r="AQ259" s="22">
        <v>0.52612300000000001</v>
      </c>
      <c r="AR259" s="22">
        <v>26.214400000000001</v>
      </c>
      <c r="AS259" s="22">
        <v>-1.37939E-2</v>
      </c>
      <c r="AT259" s="22">
        <v>249</v>
      </c>
      <c r="AU259" s="22">
        <v>0.52545200000000003</v>
      </c>
      <c r="AV259">
        <f t="shared" si="44"/>
        <v>17.029506172839504</v>
      </c>
      <c r="AW259">
        <f t="shared" si="45"/>
        <v>8.9596148761728394</v>
      </c>
      <c r="AX259" s="9"/>
      <c r="AY259" s="22">
        <v>1.15387</v>
      </c>
      <c r="AZ259" s="22">
        <v>29.993400000000001</v>
      </c>
      <c r="BA259" s="22">
        <v>-1.3421600000000001E-2</v>
      </c>
      <c r="BB259" s="22">
        <v>249</v>
      </c>
      <c r="BC259" s="22">
        <v>1.15326</v>
      </c>
      <c r="BD259">
        <f t="shared" si="46"/>
        <v>16.569876543209876</v>
      </c>
      <c r="BE259">
        <f t="shared" si="47"/>
        <v>19.119483446913581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0.521088</v>
      </c>
      <c r="H260" s="22">
        <v>7.7080700000000002</v>
      </c>
      <c r="I260" s="22">
        <v>-1.37299E-2</v>
      </c>
      <c r="J260" s="22">
        <v>250</v>
      </c>
      <c r="K260" s="22">
        <v>0.52050799999999997</v>
      </c>
      <c r="L260">
        <f t="shared" si="36"/>
        <v>16.950493827160493</v>
      </c>
      <c r="M260">
        <f t="shared" si="37"/>
        <v>8.8326989274074066</v>
      </c>
      <c r="N260" s="9"/>
      <c r="O260" s="22">
        <v>1.1589100000000001</v>
      </c>
      <c r="P260" s="22">
        <v>11.487</v>
      </c>
      <c r="Q260" s="22">
        <v>-1.33606E-2</v>
      </c>
      <c r="R260" s="22">
        <v>250</v>
      </c>
      <c r="S260" s="22">
        <v>1.15845</v>
      </c>
      <c r="T260">
        <f t="shared" si="38"/>
        <v>16.494567901234568</v>
      </c>
      <c r="U260">
        <f t="shared" si="39"/>
        <v>19.115719686419755</v>
      </c>
      <c r="X260" s="9"/>
      <c r="Y260" s="22">
        <v>0.521088</v>
      </c>
      <c r="Z260" s="22">
        <v>16.9983</v>
      </c>
      <c r="AA260" s="22">
        <v>-1.3766499999999999E-2</v>
      </c>
      <c r="AB260" s="22">
        <v>250</v>
      </c>
      <c r="AC260" s="22">
        <v>0.52041599999999999</v>
      </c>
      <c r="AD260">
        <f t="shared" si="40"/>
        <v>16.995679012345676</v>
      </c>
      <c r="AE260">
        <f t="shared" si="41"/>
        <v>8.8562443851851835</v>
      </c>
      <c r="AF260" s="9"/>
      <c r="AG260" s="22">
        <v>1.1589100000000001</v>
      </c>
      <c r="AH260" s="22">
        <v>20.777200000000001</v>
      </c>
      <c r="AI260" s="22">
        <v>-1.33759E-2</v>
      </c>
      <c r="AJ260" s="22">
        <v>250</v>
      </c>
      <c r="AK260" s="22">
        <v>1.15784</v>
      </c>
      <c r="AL260">
        <f t="shared" si="42"/>
        <v>16.513456790123456</v>
      </c>
      <c r="AM260">
        <f t="shared" si="43"/>
        <v>19.137610208641977</v>
      </c>
      <c r="AP260" s="9"/>
      <c r="AQ260" s="22">
        <v>0.521088</v>
      </c>
      <c r="AR260" s="22">
        <v>26.224499999999999</v>
      </c>
      <c r="AS260" s="22">
        <v>-1.37939E-2</v>
      </c>
      <c r="AT260" s="22">
        <v>250</v>
      </c>
      <c r="AU260" s="22">
        <v>0.52047699999999997</v>
      </c>
      <c r="AV260">
        <f t="shared" si="44"/>
        <v>17.029506172839504</v>
      </c>
      <c r="AW260">
        <f t="shared" si="45"/>
        <v>8.8738713125925912</v>
      </c>
      <c r="AX260" s="9"/>
      <c r="AY260" s="22">
        <v>1.1589100000000001</v>
      </c>
      <c r="AZ260" s="22">
        <v>30.003499999999999</v>
      </c>
      <c r="BA260" s="22">
        <v>-1.3418599999999999E-2</v>
      </c>
      <c r="BB260" s="22">
        <v>250</v>
      </c>
      <c r="BC260" s="22">
        <v>1.1569199999999999</v>
      </c>
      <c r="BD260">
        <f t="shared" si="46"/>
        <v>16.566172839506169</v>
      </c>
      <c r="BE260">
        <f t="shared" si="47"/>
        <v>19.198703365432095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0.51605199999999996</v>
      </c>
      <c r="H261" s="22">
        <v>7.71814</v>
      </c>
      <c r="I261" s="22">
        <v>-1.37299E-2</v>
      </c>
      <c r="J261" s="22">
        <v>251</v>
      </c>
      <c r="K261" s="22">
        <v>0.51538099999999998</v>
      </c>
      <c r="L261">
        <f t="shared" si="36"/>
        <v>16.950493827160493</v>
      </c>
      <c r="M261">
        <f t="shared" si="37"/>
        <v>8.7473362404938264</v>
      </c>
      <c r="N261" s="9"/>
      <c r="O261" s="22">
        <v>1.16394</v>
      </c>
      <c r="P261" s="22">
        <v>11.4971</v>
      </c>
      <c r="Q261" s="22">
        <v>-1.33606E-2</v>
      </c>
      <c r="R261" s="22">
        <v>251</v>
      </c>
      <c r="S261" s="22">
        <v>1.1630199999999999</v>
      </c>
      <c r="T261">
        <f t="shared" si="38"/>
        <v>16.494567901234568</v>
      </c>
      <c r="U261">
        <f t="shared" si="39"/>
        <v>19.198687362962964</v>
      </c>
      <c r="X261" s="9"/>
      <c r="Y261" s="22">
        <v>0.51605199999999996</v>
      </c>
      <c r="Z261" s="22">
        <v>17.008400000000002</v>
      </c>
      <c r="AA261" s="22">
        <v>-1.3766499999999999E-2</v>
      </c>
      <c r="AB261" s="22">
        <v>251</v>
      </c>
      <c r="AC261" s="22">
        <v>0.51534999999999997</v>
      </c>
      <c r="AD261">
        <f t="shared" si="40"/>
        <v>16.995679012345676</v>
      </c>
      <c r="AE261">
        <f t="shared" si="41"/>
        <v>8.7706541456790106</v>
      </c>
      <c r="AF261" s="9"/>
      <c r="AG261" s="22">
        <v>1.16394</v>
      </c>
      <c r="AH261" s="22">
        <v>20.787299999999998</v>
      </c>
      <c r="AI261" s="22">
        <v>-1.3372800000000001E-2</v>
      </c>
      <c r="AJ261" s="22">
        <v>251</v>
      </c>
      <c r="AK261" s="22">
        <v>1.16364</v>
      </c>
      <c r="AL261">
        <f t="shared" si="42"/>
        <v>16.509629629629632</v>
      </c>
      <c r="AM261">
        <f t="shared" si="43"/>
        <v>19.216218311111113</v>
      </c>
      <c r="AP261" s="9"/>
      <c r="AQ261" s="22">
        <v>0.51605199999999996</v>
      </c>
      <c r="AR261" s="22">
        <v>26.2346</v>
      </c>
      <c r="AS261" s="22">
        <v>-1.37909E-2</v>
      </c>
      <c r="AT261" s="22">
        <v>251</v>
      </c>
      <c r="AU261" s="22">
        <v>0.51532</v>
      </c>
      <c r="AV261">
        <f t="shared" si="44"/>
        <v>17.025802469135801</v>
      </c>
      <c r="AW261">
        <f t="shared" si="45"/>
        <v>8.7861994158024679</v>
      </c>
      <c r="AX261" s="9"/>
      <c r="AY261" s="22">
        <v>1.16394</v>
      </c>
      <c r="AZ261" s="22">
        <v>30.013500000000001</v>
      </c>
      <c r="BA261" s="22">
        <v>-1.3412500000000001E-2</v>
      </c>
      <c r="BB261" s="22">
        <v>251</v>
      </c>
      <c r="BC261" s="22">
        <v>1.16333</v>
      </c>
      <c r="BD261">
        <f t="shared" si="46"/>
        <v>16.558641975308642</v>
      </c>
      <c r="BE261">
        <f t="shared" si="47"/>
        <v>19.27326574074074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0.51101700000000005</v>
      </c>
      <c r="H262" s="22">
        <v>7.7282200000000003</v>
      </c>
      <c r="I262" s="22">
        <v>-1.3736E-2</v>
      </c>
      <c r="J262" s="22">
        <v>252</v>
      </c>
      <c r="K262" s="22">
        <v>0.51037600000000005</v>
      </c>
      <c r="L262">
        <f t="shared" si="36"/>
        <v>16.958024691358023</v>
      </c>
      <c r="M262">
        <f t="shared" si="37"/>
        <v>8.6658389037037047</v>
      </c>
      <c r="N262" s="9"/>
      <c r="O262" s="22">
        <v>1.1689799999999999</v>
      </c>
      <c r="P262" s="22">
        <v>11.507099999999999</v>
      </c>
      <c r="Q262" s="22">
        <v>-1.33575E-2</v>
      </c>
      <c r="R262" s="22">
        <v>252</v>
      </c>
      <c r="S262" s="22">
        <v>1.16791</v>
      </c>
      <c r="T262">
        <f t="shared" si="38"/>
        <v>16.49074074074074</v>
      </c>
      <c r="U262">
        <f t="shared" si="39"/>
        <v>19.277346111111108</v>
      </c>
      <c r="X262" s="9"/>
      <c r="Y262" s="22">
        <v>0.51101700000000005</v>
      </c>
      <c r="Z262" s="22">
        <v>17.0184</v>
      </c>
      <c r="AA262" s="22">
        <v>-1.3766499999999999E-2</v>
      </c>
      <c r="AB262" s="22">
        <v>252</v>
      </c>
      <c r="AC262" s="22">
        <v>0.51034500000000005</v>
      </c>
      <c r="AD262">
        <f t="shared" si="40"/>
        <v>16.995679012345676</v>
      </c>
      <c r="AE262">
        <f t="shared" si="41"/>
        <v>8.6850809018518511</v>
      </c>
      <c r="AF262" s="9"/>
      <c r="AG262" s="22">
        <v>1.1689799999999999</v>
      </c>
      <c r="AH262" s="22">
        <v>20.7973</v>
      </c>
      <c r="AI262" s="22">
        <v>-1.33636E-2</v>
      </c>
      <c r="AJ262" s="22">
        <v>252</v>
      </c>
      <c r="AK262" s="22">
        <v>1.16791</v>
      </c>
      <c r="AL262">
        <f t="shared" si="42"/>
        <v>16.498271604938271</v>
      </c>
      <c r="AM262">
        <f t="shared" si="43"/>
        <v>19.286149540740738</v>
      </c>
      <c r="AP262" s="9"/>
      <c r="AQ262" s="22">
        <v>0.51101700000000005</v>
      </c>
      <c r="AR262" s="22">
        <v>26.244700000000002</v>
      </c>
      <c r="AS262" s="22">
        <v>-1.37909E-2</v>
      </c>
      <c r="AT262" s="22">
        <v>252</v>
      </c>
      <c r="AU262" s="22">
        <v>0.51040600000000003</v>
      </c>
      <c r="AV262">
        <f t="shared" si="44"/>
        <v>17.025802469135801</v>
      </c>
      <c r="AW262">
        <f t="shared" si="45"/>
        <v>8.7004745003703707</v>
      </c>
      <c r="AX262" s="9"/>
      <c r="AY262" s="22">
        <v>1.1689799999999999</v>
      </c>
      <c r="AZ262" s="22">
        <v>30.023599999999998</v>
      </c>
      <c r="BA262" s="22">
        <v>-1.34033E-2</v>
      </c>
      <c r="BB262" s="22">
        <v>252</v>
      </c>
      <c r="BC262" s="22">
        <v>1.16791</v>
      </c>
      <c r="BD262">
        <f t="shared" si="46"/>
        <v>16.547283950617281</v>
      </c>
      <c r="BE262">
        <f t="shared" si="47"/>
        <v>19.343443992592587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0.50598100000000001</v>
      </c>
      <c r="H263" s="22">
        <v>7.7382900000000001</v>
      </c>
      <c r="I263" s="22">
        <v>-1.3736E-2</v>
      </c>
      <c r="J263" s="22">
        <v>253</v>
      </c>
      <c r="K263" s="22">
        <v>0.50531000000000004</v>
      </c>
      <c r="L263">
        <f t="shared" si="36"/>
        <v>16.958024691358023</v>
      </c>
      <c r="M263">
        <f t="shared" si="37"/>
        <v>8.5804382913580248</v>
      </c>
      <c r="N263" s="9"/>
      <c r="O263" s="22">
        <v>1.17401</v>
      </c>
      <c r="P263" s="22">
        <v>11.517200000000001</v>
      </c>
      <c r="Q263" s="22">
        <v>-1.33606E-2</v>
      </c>
      <c r="R263" s="22">
        <v>253</v>
      </c>
      <c r="S263" s="22">
        <v>1.17249</v>
      </c>
      <c r="T263">
        <f t="shared" si="38"/>
        <v>16.494567901234568</v>
      </c>
      <c r="U263">
        <f t="shared" si="39"/>
        <v>19.364787661728396</v>
      </c>
      <c r="X263" s="9"/>
      <c r="Y263" s="22">
        <v>0.50598100000000001</v>
      </c>
      <c r="Z263" s="22">
        <v>17.028500000000001</v>
      </c>
      <c r="AA263" s="22">
        <v>-1.3766499999999999E-2</v>
      </c>
      <c r="AB263" s="22">
        <v>253</v>
      </c>
      <c r="AC263" s="22">
        <v>0.50527999999999995</v>
      </c>
      <c r="AD263">
        <f t="shared" si="40"/>
        <v>16.995679012345676</v>
      </c>
      <c r="AE263">
        <f t="shared" si="41"/>
        <v>8.5994906623456782</v>
      </c>
      <c r="AF263" s="9"/>
      <c r="AG263" s="22">
        <v>1.17401</v>
      </c>
      <c r="AH263" s="22">
        <v>20.807400000000001</v>
      </c>
      <c r="AI263" s="22">
        <v>-1.3351399999999999E-2</v>
      </c>
      <c r="AJ263" s="22">
        <v>253</v>
      </c>
      <c r="AK263" s="22">
        <v>1.1734</v>
      </c>
      <c r="AL263">
        <f t="shared" si="42"/>
        <v>16.483209876543206</v>
      </c>
      <c r="AM263">
        <f t="shared" si="43"/>
        <v>19.351453227160491</v>
      </c>
      <c r="AP263" s="9"/>
      <c r="AQ263" s="22">
        <v>0.50598100000000001</v>
      </c>
      <c r="AR263" s="22">
        <v>26.2547</v>
      </c>
      <c r="AS263" s="22">
        <v>-1.37909E-2</v>
      </c>
      <c r="AT263" s="22">
        <v>253</v>
      </c>
      <c r="AU263" s="22">
        <v>0.50534100000000004</v>
      </c>
      <c r="AV263">
        <f t="shared" si="44"/>
        <v>17.025802469135801</v>
      </c>
      <c r="AW263">
        <f t="shared" si="45"/>
        <v>8.6147325591358026</v>
      </c>
      <c r="AX263" s="9"/>
      <c r="AY263" s="22">
        <v>1.17401</v>
      </c>
      <c r="AZ263" s="22">
        <v>30.0337</v>
      </c>
      <c r="BA263" s="22">
        <v>-1.33972E-2</v>
      </c>
      <c r="BB263" s="22">
        <v>253</v>
      </c>
      <c r="BC263" s="22">
        <v>1.1731</v>
      </c>
      <c r="BD263">
        <f t="shared" si="46"/>
        <v>16.539753086419751</v>
      </c>
      <c r="BE263">
        <f t="shared" si="47"/>
        <v>19.417835520987651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0.500946</v>
      </c>
      <c r="H264" s="22">
        <v>7.7483599999999999</v>
      </c>
      <c r="I264" s="22">
        <v>-1.37421E-2</v>
      </c>
      <c r="J264" s="22">
        <v>254</v>
      </c>
      <c r="K264" s="22">
        <v>0.50027500000000003</v>
      </c>
      <c r="L264">
        <f t="shared" si="36"/>
        <v>16.965555555555554</v>
      </c>
      <c r="M264">
        <f t="shared" si="37"/>
        <v>8.4988271933333319</v>
      </c>
      <c r="N264" s="9"/>
      <c r="O264" s="22">
        <v>1.1790499999999999</v>
      </c>
      <c r="P264" s="22">
        <v>11.5273</v>
      </c>
      <c r="Q264" s="22">
        <v>-1.33545E-2</v>
      </c>
      <c r="R264" s="22">
        <v>254</v>
      </c>
      <c r="S264" s="22">
        <v>1.17798</v>
      </c>
      <c r="T264">
        <f t="shared" si="38"/>
        <v>16.487037037037037</v>
      </c>
      <c r="U264">
        <f t="shared" si="39"/>
        <v>19.439041018518516</v>
      </c>
      <c r="X264" s="9"/>
      <c r="Y264" s="22">
        <v>0.500946</v>
      </c>
      <c r="Z264" s="22">
        <v>17.038599999999999</v>
      </c>
      <c r="AA264" s="22">
        <v>-1.37695E-2</v>
      </c>
      <c r="AB264" s="22">
        <v>254</v>
      </c>
      <c r="AC264" s="22">
        <v>0.500305</v>
      </c>
      <c r="AD264">
        <f t="shared" si="40"/>
        <v>16.999382716049382</v>
      </c>
      <c r="AE264">
        <f t="shared" si="41"/>
        <v>8.5157727740740743</v>
      </c>
      <c r="AF264" s="9"/>
      <c r="AG264" s="22">
        <v>1.1790499999999999</v>
      </c>
      <c r="AH264" s="22">
        <v>20.817499999999999</v>
      </c>
      <c r="AI264" s="22">
        <v>-1.33423E-2</v>
      </c>
      <c r="AJ264" s="22">
        <v>254</v>
      </c>
      <c r="AK264" s="22">
        <v>1.17767</v>
      </c>
      <c r="AL264">
        <f t="shared" si="42"/>
        <v>16.471975308641973</v>
      </c>
      <c r="AM264">
        <f t="shared" si="43"/>
        <v>19.421282487654317</v>
      </c>
      <c r="AP264" s="9"/>
      <c r="AQ264" s="22">
        <v>0.500946</v>
      </c>
      <c r="AR264" s="22">
        <v>26.264800000000001</v>
      </c>
      <c r="AS264" s="22">
        <v>-1.37939E-2</v>
      </c>
      <c r="AT264" s="22">
        <v>254</v>
      </c>
      <c r="AU264" s="22">
        <v>0.500305</v>
      </c>
      <c r="AV264">
        <f t="shared" si="44"/>
        <v>17.029506172839504</v>
      </c>
      <c r="AW264">
        <f t="shared" si="45"/>
        <v>8.5308629992592575</v>
      </c>
      <c r="AX264" s="9"/>
      <c r="AY264" s="22">
        <v>1.1790499999999999</v>
      </c>
      <c r="AZ264" s="22">
        <v>30.043700000000001</v>
      </c>
      <c r="BA264" s="22">
        <v>-1.33911E-2</v>
      </c>
      <c r="BB264" s="22">
        <v>254</v>
      </c>
      <c r="BC264" s="22">
        <v>1.17706</v>
      </c>
      <c r="BD264">
        <f t="shared" si="46"/>
        <v>16.53222222222222</v>
      </c>
      <c r="BE264">
        <f t="shared" si="47"/>
        <v>19.492316611111107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0.49591099999999999</v>
      </c>
      <c r="H265" s="22">
        <v>7.7584299999999997</v>
      </c>
      <c r="I265" s="22">
        <v>-1.37451E-2</v>
      </c>
      <c r="J265" s="22">
        <v>255</v>
      </c>
      <c r="K265" s="22">
        <v>0.49523899999999998</v>
      </c>
      <c r="L265">
        <f t="shared" si="36"/>
        <v>16.969259259259257</v>
      </c>
      <c r="M265">
        <f t="shared" si="37"/>
        <v>8.4152423285185165</v>
      </c>
      <c r="N265" s="9"/>
      <c r="O265" s="22">
        <v>1.18408</v>
      </c>
      <c r="P265" s="22">
        <v>11.5373</v>
      </c>
      <c r="Q265" s="22">
        <v>-1.33484E-2</v>
      </c>
      <c r="R265" s="22">
        <v>255</v>
      </c>
      <c r="S265" s="22">
        <v>1.1831700000000001</v>
      </c>
      <c r="T265">
        <f t="shared" si="38"/>
        <v>16.479506172839503</v>
      </c>
      <c r="U265">
        <f t="shared" si="39"/>
        <v>19.5130536691358</v>
      </c>
      <c r="X265" s="9"/>
      <c r="Y265" s="22">
        <v>0.49591099999999999</v>
      </c>
      <c r="Z265" s="22">
        <v>17.0487</v>
      </c>
      <c r="AA265" s="22">
        <v>-1.3772599999999999E-2</v>
      </c>
      <c r="AB265" s="22">
        <v>255</v>
      </c>
      <c r="AC265" s="22">
        <v>0.49517800000000001</v>
      </c>
      <c r="AD265">
        <f t="shared" si="40"/>
        <v>17.00320987654321</v>
      </c>
      <c r="AE265">
        <f t="shared" si="41"/>
        <v>8.4320788130864202</v>
      </c>
      <c r="AF265" s="9"/>
      <c r="AG265" s="22">
        <v>1.18408</v>
      </c>
      <c r="AH265" s="22">
        <v>20.8276</v>
      </c>
      <c r="AI265" s="22">
        <v>-1.3330099999999999E-2</v>
      </c>
      <c r="AJ265" s="22">
        <v>255</v>
      </c>
      <c r="AK265" s="22">
        <v>1.1831700000000001</v>
      </c>
      <c r="AL265">
        <f t="shared" si="42"/>
        <v>16.456913580246912</v>
      </c>
      <c r="AM265">
        <f t="shared" si="43"/>
        <v>19.486302232098765</v>
      </c>
      <c r="AP265" s="9"/>
      <c r="AQ265" s="22">
        <v>0.49591099999999999</v>
      </c>
      <c r="AR265" s="22">
        <v>26.274899999999999</v>
      </c>
      <c r="AS265" s="22">
        <v>-1.37939E-2</v>
      </c>
      <c r="AT265" s="22">
        <v>255</v>
      </c>
      <c r="AU265" s="22">
        <v>0.49526999999999999</v>
      </c>
      <c r="AV265">
        <f t="shared" si="44"/>
        <v>17.029506172839504</v>
      </c>
      <c r="AW265">
        <f t="shared" si="45"/>
        <v>8.4451194356790111</v>
      </c>
      <c r="AX265" s="9"/>
      <c r="AY265" s="22">
        <v>1.18408</v>
      </c>
      <c r="AZ265" s="22">
        <v>30.053799999999999</v>
      </c>
      <c r="BA265" s="22">
        <v>-1.3384999999999999E-2</v>
      </c>
      <c r="BB265" s="22">
        <v>255</v>
      </c>
      <c r="BC265" s="22">
        <v>1.18286</v>
      </c>
      <c r="BD265">
        <f t="shared" si="46"/>
        <v>16.52469135802469</v>
      </c>
      <c r="BE265">
        <f t="shared" si="47"/>
        <v>19.566556543209874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0.49087500000000001</v>
      </c>
      <c r="H266" s="22">
        <v>7.7685000000000004</v>
      </c>
      <c r="I266" s="22">
        <v>-1.37421E-2</v>
      </c>
      <c r="J266" s="22">
        <v>256</v>
      </c>
      <c r="K266" s="22">
        <v>0.490234</v>
      </c>
      <c r="L266">
        <f t="shared" si="36"/>
        <v>16.965555555555554</v>
      </c>
      <c r="M266">
        <f t="shared" si="37"/>
        <v>8.3279670833333324</v>
      </c>
      <c r="N266" s="9"/>
      <c r="O266" s="22">
        <v>1.18912</v>
      </c>
      <c r="P266" s="22">
        <v>11.5474</v>
      </c>
      <c r="Q266" s="22">
        <v>-1.33423E-2</v>
      </c>
      <c r="R266" s="22">
        <v>256</v>
      </c>
      <c r="S266" s="22">
        <v>1.1880500000000001</v>
      </c>
      <c r="T266">
        <f t="shared" si="38"/>
        <v>16.471975308641973</v>
      </c>
      <c r="U266">
        <f t="shared" si="39"/>
        <v>19.587155279012343</v>
      </c>
      <c r="X266" s="9"/>
      <c r="Y266" s="22">
        <v>0.49087500000000001</v>
      </c>
      <c r="Z266" s="22">
        <v>17.058700000000002</v>
      </c>
      <c r="AA266" s="22">
        <v>-1.3775600000000001E-2</v>
      </c>
      <c r="AB266" s="22">
        <v>256</v>
      </c>
      <c r="AC266" s="22">
        <v>0.49029499999999998</v>
      </c>
      <c r="AD266">
        <f t="shared" si="40"/>
        <v>17.006913580246916</v>
      </c>
      <c r="AE266">
        <f t="shared" si="41"/>
        <v>8.348268703703706</v>
      </c>
      <c r="AF266" s="9"/>
      <c r="AG266" s="22">
        <v>1.18912</v>
      </c>
      <c r="AH266" s="22">
        <v>20.837599999999998</v>
      </c>
      <c r="AI266" s="22">
        <v>-1.3324000000000001E-2</v>
      </c>
      <c r="AJ266" s="22">
        <v>256</v>
      </c>
      <c r="AK266" s="22">
        <v>1.1880500000000001</v>
      </c>
      <c r="AL266">
        <f t="shared" si="42"/>
        <v>16.449382716049382</v>
      </c>
      <c r="AM266">
        <f t="shared" si="43"/>
        <v>19.560289975308638</v>
      </c>
      <c r="AP266" s="9"/>
      <c r="AQ266" s="22">
        <v>0.49087500000000001</v>
      </c>
      <c r="AR266" s="22">
        <v>26.2849</v>
      </c>
      <c r="AS266" s="22">
        <v>-1.38E-2</v>
      </c>
      <c r="AT266" s="22">
        <v>256</v>
      </c>
      <c r="AU266" s="22">
        <v>0.49020399999999997</v>
      </c>
      <c r="AV266">
        <f t="shared" si="44"/>
        <v>17.037037037037035</v>
      </c>
      <c r="AW266">
        <f t="shared" si="45"/>
        <v>8.3630555555555546</v>
      </c>
      <c r="AX266" s="9"/>
      <c r="AY266" s="22">
        <v>1.18912</v>
      </c>
      <c r="AZ266" s="22">
        <v>30.0639</v>
      </c>
      <c r="BA266" s="22">
        <v>-1.3384999999999999E-2</v>
      </c>
      <c r="BB266" s="22">
        <v>256</v>
      </c>
      <c r="BC266" s="22">
        <v>1.18774</v>
      </c>
      <c r="BD266">
        <f t="shared" si="46"/>
        <v>16.52469135802469</v>
      </c>
      <c r="BE266">
        <f t="shared" si="47"/>
        <v>19.649840987654319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0.48583999999999999</v>
      </c>
      <c r="H267" s="22">
        <v>7.7785700000000002</v>
      </c>
      <c r="I267" s="22">
        <v>-1.37421E-2</v>
      </c>
      <c r="J267" s="22">
        <v>257</v>
      </c>
      <c r="K267" s="22">
        <v>0.48516799999999999</v>
      </c>
      <c r="L267">
        <f t="shared" si="36"/>
        <v>16.965555555555554</v>
      </c>
      <c r="M267">
        <f t="shared" si="37"/>
        <v>8.2425455111111106</v>
      </c>
      <c r="N267" s="9"/>
      <c r="O267" s="22">
        <v>1.19415</v>
      </c>
      <c r="P267" s="22">
        <v>11.557499999999999</v>
      </c>
      <c r="Q267" s="22">
        <v>-1.3333100000000001E-2</v>
      </c>
      <c r="R267" s="22">
        <v>257</v>
      </c>
      <c r="S267" s="22">
        <v>1.1932400000000001</v>
      </c>
      <c r="T267">
        <f t="shared" si="38"/>
        <v>16.460617283950615</v>
      </c>
      <c r="U267">
        <f t="shared" si="39"/>
        <v>19.656446129629629</v>
      </c>
      <c r="X267" s="9"/>
      <c r="Y267" s="22">
        <v>0.48583999999999999</v>
      </c>
      <c r="Z267" s="22">
        <v>17.0688</v>
      </c>
      <c r="AA267" s="22">
        <v>-1.3775600000000001E-2</v>
      </c>
      <c r="AB267" s="22">
        <v>257</v>
      </c>
      <c r="AC267" s="22">
        <v>0.48516799999999999</v>
      </c>
      <c r="AD267">
        <f t="shared" si="40"/>
        <v>17.006913580246916</v>
      </c>
      <c r="AE267">
        <f t="shared" si="41"/>
        <v>8.2626388938271624</v>
      </c>
      <c r="AF267" s="9"/>
      <c r="AG267" s="22">
        <v>1.19415</v>
      </c>
      <c r="AH267" s="22">
        <v>20.8477</v>
      </c>
      <c r="AI267" s="22">
        <v>-1.3317900000000001E-2</v>
      </c>
      <c r="AJ267" s="22">
        <v>257</v>
      </c>
      <c r="AK267" s="22">
        <v>1.19293</v>
      </c>
      <c r="AL267">
        <f t="shared" si="42"/>
        <v>16.441851851851851</v>
      </c>
      <c r="AM267">
        <f t="shared" si="43"/>
        <v>19.634037388888888</v>
      </c>
      <c r="AP267" s="9"/>
      <c r="AQ267" s="22">
        <v>0.48583999999999999</v>
      </c>
      <c r="AR267" s="22">
        <v>26.295000000000002</v>
      </c>
      <c r="AS267" s="22">
        <v>-1.38E-2</v>
      </c>
      <c r="AT267" s="22">
        <v>257</v>
      </c>
      <c r="AU267" s="22">
        <v>0.48522900000000002</v>
      </c>
      <c r="AV267">
        <f t="shared" si="44"/>
        <v>17.037037037037035</v>
      </c>
      <c r="AW267">
        <f t="shared" si="45"/>
        <v>8.2772740740740733</v>
      </c>
      <c r="AX267" s="9"/>
      <c r="AY267" s="22">
        <v>1.19415</v>
      </c>
      <c r="AZ267" s="22">
        <v>30.074000000000002</v>
      </c>
      <c r="BA267" s="22">
        <v>-1.3378900000000001E-2</v>
      </c>
      <c r="BB267" s="22">
        <v>257</v>
      </c>
      <c r="BC267" s="22">
        <v>1.19354</v>
      </c>
      <c r="BD267">
        <f t="shared" si="46"/>
        <v>16.517160493827159</v>
      </c>
      <c r="BE267">
        <f t="shared" si="47"/>
        <v>19.723967203703705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0.48080400000000001</v>
      </c>
      <c r="H268" s="22">
        <v>7.78864</v>
      </c>
      <c r="I268" s="22">
        <v>-1.37421E-2</v>
      </c>
      <c r="J268" s="22">
        <v>258</v>
      </c>
      <c r="K268" s="22">
        <v>0.48016399999999998</v>
      </c>
      <c r="L268">
        <f t="shared" ref="L268:L331" si="48">-I268/$F$2*1000</f>
        <v>16.965555555555554</v>
      </c>
      <c r="M268">
        <f t="shared" ref="M268:M331" si="49">L268*G268</f>
        <v>8.1571069733333328</v>
      </c>
      <c r="N268" s="9"/>
      <c r="O268" s="22">
        <v>1.19919</v>
      </c>
      <c r="P268" s="22">
        <v>11.567500000000001</v>
      </c>
      <c r="Q268" s="22">
        <v>-1.3317900000000001E-2</v>
      </c>
      <c r="R268" s="22">
        <v>258</v>
      </c>
      <c r="S268" s="22">
        <v>1.1981200000000001</v>
      </c>
      <c r="T268">
        <f t="shared" ref="T268:T331" si="50">-Q268/$F$2*1000</f>
        <v>16.441851851851851</v>
      </c>
      <c r="U268">
        <f t="shared" ref="U268:U331" si="51">T268*O268</f>
        <v>19.71690432222222</v>
      </c>
      <c r="X268" s="9"/>
      <c r="Y268" s="22">
        <v>0.48080400000000001</v>
      </c>
      <c r="Z268" s="22">
        <v>17.078900000000001</v>
      </c>
      <c r="AA268" s="22">
        <v>-1.3775600000000001E-2</v>
      </c>
      <c r="AB268" s="22">
        <v>258</v>
      </c>
      <c r="AC268" s="22">
        <v>0.48016399999999998</v>
      </c>
      <c r="AD268">
        <f t="shared" ref="AD268:AD331" si="52">-AA268/$F$2*1000</f>
        <v>17.006913580246916</v>
      </c>
      <c r="AE268">
        <f t="shared" ref="AE268:AE331" si="53">AD268*Y268</f>
        <v>8.1769920770370383</v>
      </c>
      <c r="AF268" s="9"/>
      <c r="AG268" s="22">
        <v>1.19919</v>
      </c>
      <c r="AH268" s="22">
        <v>20.857800000000001</v>
      </c>
      <c r="AI268" s="22">
        <v>-1.33148E-2</v>
      </c>
      <c r="AJ268" s="22">
        <v>258</v>
      </c>
      <c r="AK268" s="22">
        <v>1.1984300000000001</v>
      </c>
      <c r="AL268">
        <f t="shared" ref="AL268:AL331" si="54">-AI268/$F$2*1000</f>
        <v>16.438024691358024</v>
      </c>
      <c r="AM268">
        <f t="shared" ref="AM268:AM331" si="55">AL268*AG268</f>
        <v>19.712314829629626</v>
      </c>
      <c r="AP268" s="9"/>
      <c r="AQ268" s="22">
        <v>0.48080400000000001</v>
      </c>
      <c r="AR268" s="22">
        <v>26.305099999999999</v>
      </c>
      <c r="AS268" s="22">
        <v>-1.38E-2</v>
      </c>
      <c r="AT268" s="22">
        <v>258</v>
      </c>
      <c r="AU268" s="22">
        <v>0.48013299999999998</v>
      </c>
      <c r="AV268">
        <f t="shared" ref="AV268:AV331" si="56">-AS268/$F$2*1000</f>
        <v>17.037037037037035</v>
      </c>
      <c r="AW268">
        <f t="shared" ref="AW268:AW331" si="57">AV268*AQ268</f>
        <v>8.1914755555555541</v>
      </c>
      <c r="AX268" s="9"/>
      <c r="AY268" s="22">
        <v>1.19919</v>
      </c>
      <c r="AZ268" s="22">
        <v>30.084</v>
      </c>
      <c r="BA268" s="22">
        <v>-1.3372800000000001E-2</v>
      </c>
      <c r="BB268" s="22">
        <v>258</v>
      </c>
      <c r="BC268" s="22">
        <v>1.19781</v>
      </c>
      <c r="BD268">
        <f t="shared" ref="BD268:BD331" si="58">-BA268/$F$2*1000</f>
        <v>16.509629629629632</v>
      </c>
      <c r="BE268">
        <f t="shared" ref="BE268:BE331" si="59">BD268*AY268</f>
        <v>19.798182755555558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0.475769</v>
      </c>
      <c r="H269" s="22">
        <v>7.7987099999999998</v>
      </c>
      <c r="I269" s="22">
        <v>-1.37451E-2</v>
      </c>
      <c r="J269" s="22">
        <v>259</v>
      </c>
      <c r="K269" s="22">
        <v>0.47512799999999999</v>
      </c>
      <c r="L269">
        <f t="shared" si="48"/>
        <v>16.969259259259257</v>
      </c>
      <c r="M269">
        <f t="shared" si="49"/>
        <v>8.0734475085185178</v>
      </c>
      <c r="N269" s="9"/>
      <c r="O269" s="22">
        <v>1.2042200000000001</v>
      </c>
      <c r="P269" s="22">
        <v>11.5776</v>
      </c>
      <c r="Q269" s="22">
        <v>-1.33087E-2</v>
      </c>
      <c r="R269" s="22">
        <v>259</v>
      </c>
      <c r="S269" s="22">
        <v>1.2030000000000001</v>
      </c>
      <c r="T269">
        <f t="shared" si="50"/>
        <v>16.430493827160493</v>
      </c>
      <c r="U269">
        <f t="shared" si="51"/>
        <v>19.785929276543211</v>
      </c>
      <c r="X269" s="9"/>
      <c r="Y269" s="22">
        <v>0.475769</v>
      </c>
      <c r="Z269" s="22">
        <v>17.088899999999999</v>
      </c>
      <c r="AA269" s="22">
        <v>-1.3781699999999999E-2</v>
      </c>
      <c r="AB269" s="22">
        <v>259</v>
      </c>
      <c r="AC269" s="22">
        <v>0.47509800000000002</v>
      </c>
      <c r="AD269">
        <f t="shared" si="52"/>
        <v>17.014444444444443</v>
      </c>
      <c r="AE269">
        <f t="shared" si="53"/>
        <v>8.0949452188888884</v>
      </c>
      <c r="AF269" s="9"/>
      <c r="AG269" s="22">
        <v>1.2042200000000001</v>
      </c>
      <c r="AH269" s="22">
        <v>20.867799999999999</v>
      </c>
      <c r="AI269" s="22">
        <v>-1.33087E-2</v>
      </c>
      <c r="AJ269" s="22">
        <v>259</v>
      </c>
      <c r="AK269" s="22">
        <v>1.2030000000000001</v>
      </c>
      <c r="AL269">
        <f t="shared" si="54"/>
        <v>16.430493827160493</v>
      </c>
      <c r="AM269">
        <f t="shared" si="55"/>
        <v>19.785929276543211</v>
      </c>
      <c r="AP269" s="9"/>
      <c r="AQ269" s="22">
        <v>0.475769</v>
      </c>
      <c r="AR269" s="22">
        <v>26.315200000000001</v>
      </c>
      <c r="AS269" s="22">
        <v>-1.38031E-2</v>
      </c>
      <c r="AT269" s="22">
        <v>259</v>
      </c>
      <c r="AU269" s="22">
        <v>0.47503699999999999</v>
      </c>
      <c r="AV269">
        <f t="shared" si="56"/>
        <v>17.040864197530862</v>
      </c>
      <c r="AW269">
        <f t="shared" si="57"/>
        <v>8.1075149183950614</v>
      </c>
      <c r="AX269" s="9"/>
      <c r="AY269" s="22">
        <v>1.2042200000000001</v>
      </c>
      <c r="AZ269" s="22">
        <v>30.094100000000001</v>
      </c>
      <c r="BA269" s="22">
        <v>-1.33667E-2</v>
      </c>
      <c r="BB269" s="22">
        <v>259</v>
      </c>
      <c r="BC269" s="22">
        <v>1.2030000000000001</v>
      </c>
      <c r="BD269">
        <f t="shared" si="58"/>
        <v>16.502098765432098</v>
      </c>
      <c r="BE269">
        <f t="shared" si="59"/>
        <v>19.872157375308642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0.47073399999999999</v>
      </c>
      <c r="H270" s="22">
        <v>7.8087799999999996</v>
      </c>
      <c r="I270" s="22">
        <v>-1.37512E-2</v>
      </c>
      <c r="J270" s="22">
        <v>260</v>
      </c>
      <c r="K270" s="22">
        <v>0.47009299999999998</v>
      </c>
      <c r="L270">
        <f t="shared" si="48"/>
        <v>16.976790123456787</v>
      </c>
      <c r="M270">
        <f t="shared" si="49"/>
        <v>7.9915523219753073</v>
      </c>
      <c r="N270" s="9"/>
      <c r="O270" s="22">
        <v>1.20926</v>
      </c>
      <c r="P270" s="22">
        <v>11.5877</v>
      </c>
      <c r="Q270" s="22">
        <v>-1.3302599999999999E-2</v>
      </c>
      <c r="R270" s="22">
        <v>260</v>
      </c>
      <c r="S270" s="22">
        <v>1.2078899999999999</v>
      </c>
      <c r="T270">
        <f t="shared" si="50"/>
        <v>16.422962962962963</v>
      </c>
      <c r="U270">
        <f t="shared" si="51"/>
        <v>19.859632192592592</v>
      </c>
      <c r="X270" s="9"/>
      <c r="Y270" s="22">
        <v>0.47073399999999999</v>
      </c>
      <c r="Z270" s="22">
        <v>17.099</v>
      </c>
      <c r="AA270" s="22">
        <v>-1.3781699999999999E-2</v>
      </c>
      <c r="AB270" s="22">
        <v>260</v>
      </c>
      <c r="AC270" s="22">
        <v>0.47012300000000001</v>
      </c>
      <c r="AD270">
        <f t="shared" si="52"/>
        <v>17.014444444444443</v>
      </c>
      <c r="AE270">
        <f t="shared" si="53"/>
        <v>8.00927749111111</v>
      </c>
      <c r="AF270" s="9"/>
      <c r="AG270" s="22">
        <v>1.20926</v>
      </c>
      <c r="AH270" s="22">
        <v>20.8779</v>
      </c>
      <c r="AI270" s="22">
        <v>-1.33057E-2</v>
      </c>
      <c r="AJ270" s="22">
        <v>260</v>
      </c>
      <c r="AK270" s="22">
        <v>1.2081900000000001</v>
      </c>
      <c r="AL270">
        <f t="shared" si="54"/>
        <v>16.42679012345679</v>
      </c>
      <c r="AM270">
        <f t="shared" si="55"/>
        <v>19.864260224691357</v>
      </c>
      <c r="AP270" s="9"/>
      <c r="AQ270" s="22">
        <v>0.47073399999999999</v>
      </c>
      <c r="AR270" s="22">
        <v>26.325199999999999</v>
      </c>
      <c r="AS270" s="22">
        <v>-1.3809200000000001E-2</v>
      </c>
      <c r="AT270" s="22">
        <v>260</v>
      </c>
      <c r="AU270" s="22">
        <v>0.47006199999999998</v>
      </c>
      <c r="AV270">
        <f t="shared" si="56"/>
        <v>17.048395061728392</v>
      </c>
      <c r="AW270">
        <f t="shared" si="57"/>
        <v>8.0252592009876533</v>
      </c>
      <c r="AX270" s="9"/>
      <c r="AY270" s="22">
        <v>1.20926</v>
      </c>
      <c r="AZ270" s="22">
        <v>30.104199999999999</v>
      </c>
      <c r="BA270" s="22">
        <v>-1.33606E-2</v>
      </c>
      <c r="BB270" s="22">
        <v>260</v>
      </c>
      <c r="BC270" s="22">
        <v>1.2081900000000001</v>
      </c>
      <c r="BD270">
        <f t="shared" si="58"/>
        <v>16.494567901234568</v>
      </c>
      <c r="BE270">
        <f t="shared" si="59"/>
        <v>19.946221180246912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0.465698</v>
      </c>
      <c r="H271" s="22">
        <v>7.8188500000000003</v>
      </c>
      <c r="I271" s="22">
        <v>-1.37573E-2</v>
      </c>
      <c r="J271" s="22">
        <v>261</v>
      </c>
      <c r="K271" s="22">
        <v>0.465088</v>
      </c>
      <c r="L271">
        <f t="shared" si="48"/>
        <v>16.984320987654321</v>
      </c>
      <c r="M271">
        <f t="shared" si="49"/>
        <v>7.9095643153086419</v>
      </c>
      <c r="N271" s="9"/>
      <c r="O271" s="22">
        <v>1.2142900000000001</v>
      </c>
      <c r="P271" s="22">
        <v>11.597799999999999</v>
      </c>
      <c r="Q271" s="22">
        <v>-1.32874E-2</v>
      </c>
      <c r="R271" s="22">
        <v>261</v>
      </c>
      <c r="S271" s="22">
        <v>1.2136800000000001</v>
      </c>
      <c r="T271">
        <f t="shared" si="50"/>
        <v>16.404197530864195</v>
      </c>
      <c r="U271">
        <f t="shared" si="51"/>
        <v>19.919453019753085</v>
      </c>
      <c r="X271" s="9"/>
      <c r="Y271" s="22">
        <v>0.465698</v>
      </c>
      <c r="Z271" s="22">
        <v>17.109100000000002</v>
      </c>
      <c r="AA271" s="22">
        <v>-1.3781699999999999E-2</v>
      </c>
      <c r="AB271" s="22">
        <v>261</v>
      </c>
      <c r="AC271" s="22">
        <v>0.465088</v>
      </c>
      <c r="AD271">
        <f t="shared" si="52"/>
        <v>17.014444444444443</v>
      </c>
      <c r="AE271">
        <f t="shared" si="53"/>
        <v>7.923592748888888</v>
      </c>
      <c r="AF271" s="9"/>
      <c r="AG271" s="22">
        <v>1.2142900000000001</v>
      </c>
      <c r="AH271" s="22">
        <v>20.888000000000002</v>
      </c>
      <c r="AI271" s="22">
        <v>-1.32996E-2</v>
      </c>
      <c r="AJ271" s="22">
        <v>261</v>
      </c>
      <c r="AK271" s="22">
        <v>1.2133799999999999</v>
      </c>
      <c r="AL271">
        <f t="shared" si="54"/>
        <v>16.41925925925926</v>
      </c>
      <c r="AM271">
        <f t="shared" si="55"/>
        <v>19.937742325925928</v>
      </c>
      <c r="AP271" s="9"/>
      <c r="AQ271" s="22">
        <v>0.465698</v>
      </c>
      <c r="AR271" s="22">
        <v>26.3353</v>
      </c>
      <c r="AS271" s="22">
        <v>-1.38123E-2</v>
      </c>
      <c r="AT271" s="22">
        <v>261</v>
      </c>
      <c r="AU271" s="22">
        <v>0.465088</v>
      </c>
      <c r="AV271">
        <f t="shared" si="56"/>
        <v>17.052222222222223</v>
      </c>
      <c r="AW271">
        <f t="shared" si="57"/>
        <v>7.9411857844444453</v>
      </c>
      <c r="AX271" s="9"/>
      <c r="AY271" s="22">
        <v>1.2142900000000001</v>
      </c>
      <c r="AZ271" s="22">
        <v>30.1142</v>
      </c>
      <c r="BA271" s="22">
        <v>-1.33545E-2</v>
      </c>
      <c r="BB271" s="22">
        <v>261</v>
      </c>
      <c r="BC271" s="22">
        <v>1.2142900000000001</v>
      </c>
      <c r="BD271">
        <f t="shared" si="58"/>
        <v>16.487037037037037</v>
      </c>
      <c r="BE271">
        <f t="shared" si="59"/>
        <v>20.020044203703705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0.46066299999999999</v>
      </c>
      <c r="H272" s="22">
        <v>7.8289299999999997</v>
      </c>
      <c r="I272" s="22">
        <v>-1.37634E-2</v>
      </c>
      <c r="J272" s="22">
        <v>262</v>
      </c>
      <c r="K272" s="22">
        <v>0.45999099999999998</v>
      </c>
      <c r="L272">
        <f t="shared" si="48"/>
        <v>16.991851851851852</v>
      </c>
      <c r="M272">
        <f t="shared" si="49"/>
        <v>7.8275174496296298</v>
      </c>
      <c r="N272" s="9"/>
      <c r="O272" s="22">
        <v>1.21933</v>
      </c>
      <c r="P272" s="22">
        <v>11.607799999999999</v>
      </c>
      <c r="Q272" s="22">
        <v>-1.32782E-2</v>
      </c>
      <c r="R272" s="22">
        <v>262</v>
      </c>
      <c r="S272" s="22">
        <v>1.2179599999999999</v>
      </c>
      <c r="T272">
        <f t="shared" si="50"/>
        <v>16.392839506172837</v>
      </c>
      <c r="U272">
        <f t="shared" si="51"/>
        <v>19.988280995061725</v>
      </c>
      <c r="X272" s="9"/>
      <c r="Y272" s="22">
        <v>0.46066299999999999</v>
      </c>
      <c r="Z272" s="22">
        <v>17.1191</v>
      </c>
      <c r="AA272" s="22">
        <v>-1.37848E-2</v>
      </c>
      <c r="AB272" s="22">
        <v>262</v>
      </c>
      <c r="AC272" s="22">
        <v>0.46011400000000002</v>
      </c>
      <c r="AD272">
        <f t="shared" si="52"/>
        <v>17.018271604938271</v>
      </c>
      <c r="AE272">
        <f t="shared" si="53"/>
        <v>7.8396880523456787</v>
      </c>
      <c r="AF272" s="9"/>
      <c r="AG272" s="22">
        <v>1.21933</v>
      </c>
      <c r="AH272" s="22">
        <v>20.898099999999999</v>
      </c>
      <c r="AI272" s="22">
        <v>-1.3290400000000001E-2</v>
      </c>
      <c r="AJ272" s="22">
        <v>262</v>
      </c>
      <c r="AK272" s="22">
        <v>1.2188699999999999</v>
      </c>
      <c r="AL272">
        <f t="shared" si="54"/>
        <v>16.407901234567902</v>
      </c>
      <c r="AM272">
        <f t="shared" si="55"/>
        <v>20.006646212345679</v>
      </c>
      <c r="AP272" s="9"/>
      <c r="AQ272" s="22">
        <v>0.46066299999999999</v>
      </c>
      <c r="AR272" s="22">
        <v>26.345400000000001</v>
      </c>
      <c r="AS272" s="22">
        <v>-1.3821399999999999E-2</v>
      </c>
      <c r="AT272" s="22">
        <v>262</v>
      </c>
      <c r="AU272" s="22">
        <v>0.46002199999999999</v>
      </c>
      <c r="AV272">
        <f t="shared" si="56"/>
        <v>17.063456790123453</v>
      </c>
      <c r="AW272">
        <f t="shared" si="57"/>
        <v>7.8605031953086399</v>
      </c>
      <c r="AX272" s="9"/>
      <c r="AY272" s="22">
        <v>1.21933</v>
      </c>
      <c r="AZ272" s="22">
        <v>30.124300000000002</v>
      </c>
      <c r="BA272" s="22">
        <v>-1.33545E-2</v>
      </c>
      <c r="BB272" s="22">
        <v>262</v>
      </c>
      <c r="BC272" s="22">
        <v>1.2179599999999999</v>
      </c>
      <c r="BD272">
        <f t="shared" si="58"/>
        <v>16.487037037037037</v>
      </c>
      <c r="BE272">
        <f t="shared" si="59"/>
        <v>20.103138870370373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0.455627</v>
      </c>
      <c r="H273" s="22">
        <v>7.8390000000000004</v>
      </c>
      <c r="I273" s="22">
        <v>-1.37634E-2</v>
      </c>
      <c r="J273" s="22">
        <v>263</v>
      </c>
      <c r="K273" s="22">
        <v>0.45495600000000003</v>
      </c>
      <c r="L273">
        <f t="shared" si="48"/>
        <v>16.991851851851852</v>
      </c>
      <c r="M273">
        <f t="shared" si="49"/>
        <v>7.7419464837037033</v>
      </c>
      <c r="N273" s="9"/>
      <c r="O273" s="22">
        <v>1.22437</v>
      </c>
      <c r="P273" s="22">
        <v>11.617900000000001</v>
      </c>
      <c r="Q273" s="22">
        <v>-1.32782E-2</v>
      </c>
      <c r="R273" s="22">
        <v>263</v>
      </c>
      <c r="S273" s="22">
        <v>1.2231399999999999</v>
      </c>
      <c r="T273">
        <f t="shared" si="50"/>
        <v>16.392839506172837</v>
      </c>
      <c r="U273">
        <f t="shared" si="51"/>
        <v>20.070900906172835</v>
      </c>
      <c r="X273" s="9"/>
      <c r="Y273" s="22">
        <v>0.455627</v>
      </c>
      <c r="Z273" s="22">
        <v>17.129200000000001</v>
      </c>
      <c r="AA273" s="22">
        <v>-1.3781699999999999E-2</v>
      </c>
      <c r="AB273" s="22">
        <v>263</v>
      </c>
      <c r="AC273" s="22">
        <v>0.455017</v>
      </c>
      <c r="AD273">
        <f t="shared" si="52"/>
        <v>17.014444444444443</v>
      </c>
      <c r="AE273">
        <f t="shared" si="53"/>
        <v>7.7522402788888884</v>
      </c>
      <c r="AF273" s="9"/>
      <c r="AG273" s="22">
        <v>1.22437</v>
      </c>
      <c r="AH273" s="22">
        <v>20.908100000000001</v>
      </c>
      <c r="AI273" s="22">
        <v>-1.3284300000000001E-2</v>
      </c>
      <c r="AJ273" s="22">
        <v>263</v>
      </c>
      <c r="AK273" s="22">
        <v>1.2237499999999999</v>
      </c>
      <c r="AL273">
        <f t="shared" si="54"/>
        <v>16.400370370370371</v>
      </c>
      <c r="AM273">
        <f t="shared" si="55"/>
        <v>20.080121470370372</v>
      </c>
      <c r="AP273" s="9"/>
      <c r="AQ273" s="22">
        <v>0.455627</v>
      </c>
      <c r="AR273" s="22">
        <v>26.355399999999999</v>
      </c>
      <c r="AS273" s="22">
        <v>-1.38275E-2</v>
      </c>
      <c r="AT273" s="22">
        <v>263</v>
      </c>
      <c r="AU273" s="22">
        <v>0.455017</v>
      </c>
      <c r="AV273">
        <f t="shared" si="56"/>
        <v>17.070987654320987</v>
      </c>
      <c r="AW273">
        <f t="shared" si="57"/>
        <v>7.7780028919753086</v>
      </c>
      <c r="AX273" s="9"/>
      <c r="AY273" s="22">
        <v>1.22437</v>
      </c>
      <c r="AZ273" s="22">
        <v>30.134399999999999</v>
      </c>
      <c r="BA273" s="22">
        <v>-1.33484E-2</v>
      </c>
      <c r="BB273" s="22">
        <v>263</v>
      </c>
      <c r="BC273" s="22">
        <v>1.2237499999999999</v>
      </c>
      <c r="BD273">
        <f t="shared" si="58"/>
        <v>16.479506172839503</v>
      </c>
      <c r="BE273">
        <f t="shared" si="59"/>
        <v>20.177012972839503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0.45059199999999999</v>
      </c>
      <c r="H274" s="22">
        <v>7.8490700000000002</v>
      </c>
      <c r="I274" s="22">
        <v>-1.37695E-2</v>
      </c>
      <c r="J274" s="22">
        <v>264</v>
      </c>
      <c r="K274" s="22">
        <v>0.44995099999999999</v>
      </c>
      <c r="L274">
        <f t="shared" si="48"/>
        <v>16.999382716049382</v>
      </c>
      <c r="M274">
        <f t="shared" si="49"/>
        <v>7.6597858567901227</v>
      </c>
      <c r="N274" s="9"/>
      <c r="O274" s="22">
        <v>1.2294</v>
      </c>
      <c r="P274" s="22">
        <v>11.628</v>
      </c>
      <c r="Q274" s="22">
        <v>-1.32721E-2</v>
      </c>
      <c r="R274" s="22">
        <v>264</v>
      </c>
      <c r="S274" s="22">
        <v>1.2283299999999999</v>
      </c>
      <c r="T274">
        <f t="shared" si="50"/>
        <v>16.385308641975307</v>
      </c>
      <c r="U274">
        <f t="shared" si="51"/>
        <v>20.144098444444442</v>
      </c>
      <c r="X274" s="9"/>
      <c r="Y274" s="22">
        <v>0.45059199999999999</v>
      </c>
      <c r="Z274" s="22">
        <v>17.139299999999999</v>
      </c>
      <c r="AA274" s="22">
        <v>-1.3781699999999999E-2</v>
      </c>
      <c r="AB274" s="22">
        <v>264</v>
      </c>
      <c r="AC274" s="22">
        <v>0.44995099999999999</v>
      </c>
      <c r="AD274">
        <f t="shared" si="52"/>
        <v>17.014444444444443</v>
      </c>
      <c r="AE274">
        <f t="shared" si="53"/>
        <v>7.66657255111111</v>
      </c>
      <c r="AF274" s="9"/>
      <c r="AG274" s="22">
        <v>1.2294</v>
      </c>
      <c r="AH274" s="22">
        <v>20.918199999999999</v>
      </c>
      <c r="AI274" s="22">
        <v>-1.32751E-2</v>
      </c>
      <c r="AJ274" s="22">
        <v>264</v>
      </c>
      <c r="AK274" s="22">
        <v>1.22803</v>
      </c>
      <c r="AL274">
        <f t="shared" si="54"/>
        <v>16.38901234567901</v>
      </c>
      <c r="AM274">
        <f t="shared" si="55"/>
        <v>20.148651777777776</v>
      </c>
      <c r="AP274" s="9"/>
      <c r="AQ274" s="22">
        <v>0.45059199999999999</v>
      </c>
      <c r="AR274" s="22">
        <v>26.365500000000001</v>
      </c>
      <c r="AS274" s="22">
        <v>-1.38336E-2</v>
      </c>
      <c r="AT274" s="22">
        <v>264</v>
      </c>
      <c r="AU274" s="22">
        <v>0.44998199999999999</v>
      </c>
      <c r="AV274">
        <f t="shared" si="56"/>
        <v>17.078518518518518</v>
      </c>
      <c r="AW274">
        <f t="shared" si="57"/>
        <v>7.6954438162962955</v>
      </c>
      <c r="AX274" s="9"/>
      <c r="AY274" s="22">
        <v>1.2294</v>
      </c>
      <c r="AZ274" s="22">
        <v>30.144500000000001</v>
      </c>
      <c r="BA274" s="22">
        <v>-1.3339200000000001E-2</v>
      </c>
      <c r="BB274" s="22">
        <v>264</v>
      </c>
      <c r="BC274" s="22">
        <v>1.22803</v>
      </c>
      <c r="BD274">
        <f t="shared" si="58"/>
        <v>16.468148148148149</v>
      </c>
      <c r="BE274">
        <f t="shared" si="59"/>
        <v>20.245941333333334</v>
      </c>
    </row>
    <row r="275" spans="6:101">
      <c r="F275" s="9"/>
      <c r="G275" s="22">
        <v>0.44555699999999998</v>
      </c>
      <c r="H275" s="22">
        <v>7.85914</v>
      </c>
      <c r="I275" s="22">
        <v>-1.3772599999999999E-2</v>
      </c>
      <c r="J275" s="22">
        <v>265</v>
      </c>
      <c r="K275" s="22">
        <v>0.44494600000000001</v>
      </c>
      <c r="L275">
        <f t="shared" si="48"/>
        <v>17.00320987654321</v>
      </c>
      <c r="M275">
        <f t="shared" si="49"/>
        <v>7.5758991829629627</v>
      </c>
      <c r="N275" s="9"/>
      <c r="O275" s="22">
        <v>1.23444</v>
      </c>
      <c r="P275" s="22">
        <v>11.638</v>
      </c>
      <c r="Q275" s="22">
        <v>-1.3262899999999999E-2</v>
      </c>
      <c r="R275" s="22">
        <v>265</v>
      </c>
      <c r="S275" s="22">
        <v>1.23291</v>
      </c>
      <c r="T275">
        <f t="shared" si="50"/>
        <v>16.373950617283949</v>
      </c>
      <c r="U275">
        <f t="shared" si="51"/>
        <v>20.212659599999999</v>
      </c>
      <c r="X275" s="9"/>
      <c r="Y275" s="22">
        <v>0.44555699999999998</v>
      </c>
      <c r="Z275" s="22">
        <v>17.1494</v>
      </c>
      <c r="AA275" s="22">
        <v>-1.3781699999999999E-2</v>
      </c>
      <c r="AB275" s="22">
        <v>265</v>
      </c>
      <c r="AC275" s="22">
        <v>0.44491599999999998</v>
      </c>
      <c r="AD275">
        <f t="shared" si="52"/>
        <v>17.014444444444443</v>
      </c>
      <c r="AE275">
        <f t="shared" si="53"/>
        <v>7.5809048233333325</v>
      </c>
      <c r="AF275" s="9"/>
      <c r="AG275" s="22">
        <v>1.23444</v>
      </c>
      <c r="AH275" s="22">
        <v>20.9283</v>
      </c>
      <c r="AI275" s="22">
        <v>-1.3266E-2</v>
      </c>
      <c r="AJ275" s="22">
        <v>265</v>
      </c>
      <c r="AK275" s="22">
        <v>1.2335199999999999</v>
      </c>
      <c r="AL275">
        <f t="shared" si="54"/>
        <v>16.377777777777776</v>
      </c>
      <c r="AM275">
        <f t="shared" si="55"/>
        <v>20.217383999999999</v>
      </c>
      <c r="AP275" s="9"/>
      <c r="AQ275" s="22">
        <v>0.44555699999999998</v>
      </c>
      <c r="AR275" s="22">
        <v>26.375599999999999</v>
      </c>
      <c r="AS275" s="22">
        <v>-1.38367E-2</v>
      </c>
      <c r="AT275" s="22">
        <v>265</v>
      </c>
      <c r="AU275" s="22">
        <v>0.44494600000000001</v>
      </c>
      <c r="AV275">
        <f t="shared" si="56"/>
        <v>17.082345679012345</v>
      </c>
      <c r="AW275">
        <f t="shared" si="57"/>
        <v>7.611158693703703</v>
      </c>
      <c r="AX275" s="9"/>
      <c r="AY275" s="22">
        <v>1.23444</v>
      </c>
      <c r="AZ275" s="22">
        <v>30.154499999999999</v>
      </c>
      <c r="BA275" s="22">
        <v>-1.3324000000000001E-2</v>
      </c>
      <c r="BB275" s="22">
        <v>265</v>
      </c>
      <c r="BC275" s="22">
        <v>1.2335199999999999</v>
      </c>
      <c r="BD275">
        <f t="shared" si="58"/>
        <v>16.449382716049382</v>
      </c>
      <c r="BE275">
        <f t="shared" si="59"/>
        <v>20.305775999999998</v>
      </c>
    </row>
    <row r="276" spans="6:101">
      <c r="F276" s="9"/>
      <c r="G276" s="22">
        <v>0.440521</v>
      </c>
      <c r="H276" s="22">
        <v>7.8692099999999998</v>
      </c>
      <c r="I276" s="22">
        <v>-1.37787E-2</v>
      </c>
      <c r="J276" s="22">
        <v>266</v>
      </c>
      <c r="K276" s="22">
        <v>0.439911</v>
      </c>
      <c r="L276">
        <f t="shared" si="48"/>
        <v>17.01074074074074</v>
      </c>
      <c r="M276">
        <f t="shared" si="49"/>
        <v>7.4935885218518514</v>
      </c>
      <c r="N276" s="9"/>
      <c r="O276" s="22">
        <v>1.2394700000000001</v>
      </c>
      <c r="P276" s="22">
        <v>11.648099999999999</v>
      </c>
      <c r="Q276" s="22">
        <v>-1.32538E-2</v>
      </c>
      <c r="R276" s="22">
        <v>266</v>
      </c>
      <c r="S276" s="22">
        <v>1.2390099999999999</v>
      </c>
      <c r="T276">
        <f t="shared" si="50"/>
        <v>16.362716049382716</v>
      </c>
      <c r="U276">
        <f t="shared" si="51"/>
        <v>20.281095661728397</v>
      </c>
      <c r="X276" s="9"/>
      <c r="Y276" s="22">
        <v>0.440521</v>
      </c>
      <c r="Z276" s="22">
        <v>17.159400000000002</v>
      </c>
      <c r="AA276" s="22">
        <v>-1.3787799999999999E-2</v>
      </c>
      <c r="AB276" s="22">
        <v>266</v>
      </c>
      <c r="AC276" s="22">
        <v>0.43985000000000002</v>
      </c>
      <c r="AD276">
        <f t="shared" si="52"/>
        <v>17.021975308641974</v>
      </c>
      <c r="AE276">
        <f t="shared" si="53"/>
        <v>7.4985375849382709</v>
      </c>
      <c r="AF276" s="9"/>
      <c r="AG276" s="22">
        <v>1.2394700000000001</v>
      </c>
      <c r="AH276" s="22">
        <v>20.938300000000002</v>
      </c>
      <c r="AI276" s="22">
        <v>-1.3256799999999999E-2</v>
      </c>
      <c r="AJ276" s="22">
        <v>266</v>
      </c>
      <c r="AK276" s="22">
        <v>1.23871</v>
      </c>
      <c r="AL276">
        <f t="shared" si="54"/>
        <v>16.366419753086415</v>
      </c>
      <c r="AM276">
        <f t="shared" si="55"/>
        <v>20.285686291358019</v>
      </c>
      <c r="AP276" s="9"/>
      <c r="AQ276" s="22">
        <v>0.440521</v>
      </c>
      <c r="AR276" s="22">
        <v>26.3857</v>
      </c>
      <c r="AS276" s="22">
        <v>-1.38367E-2</v>
      </c>
      <c r="AT276" s="22">
        <v>266</v>
      </c>
      <c r="AU276" s="22">
        <v>0.43981900000000002</v>
      </c>
      <c r="AV276">
        <f t="shared" si="56"/>
        <v>17.082345679012345</v>
      </c>
      <c r="AW276">
        <f t="shared" si="57"/>
        <v>7.5251320008641969</v>
      </c>
      <c r="AX276" s="9"/>
      <c r="AY276" s="22">
        <v>1.2394700000000001</v>
      </c>
      <c r="AZ276" s="22">
        <v>30.1646</v>
      </c>
      <c r="BA276" s="22">
        <v>-1.33118E-2</v>
      </c>
      <c r="BB276" s="22">
        <v>266</v>
      </c>
      <c r="BC276" s="22">
        <v>1.2383999999999999</v>
      </c>
      <c r="BD276">
        <f t="shared" si="58"/>
        <v>16.434320987654321</v>
      </c>
      <c r="BE276">
        <f t="shared" si="59"/>
        <v>20.369847834567903</v>
      </c>
    </row>
    <row r="277" spans="6:101">
      <c r="F277" s="9"/>
      <c r="G277" s="22">
        <v>0.43548599999999998</v>
      </c>
      <c r="H277" s="22">
        <v>7.8792799999999996</v>
      </c>
      <c r="I277" s="22">
        <v>-1.3781699999999999E-2</v>
      </c>
      <c r="J277" s="22">
        <v>267</v>
      </c>
      <c r="K277" s="22">
        <v>0.43484499999999998</v>
      </c>
      <c r="L277">
        <f t="shared" si="48"/>
        <v>17.014444444444443</v>
      </c>
      <c r="M277">
        <f t="shared" si="49"/>
        <v>7.4095523533333321</v>
      </c>
      <c r="N277" s="9"/>
      <c r="O277" s="22">
        <v>1.24451</v>
      </c>
      <c r="P277" s="22">
        <v>11.658200000000001</v>
      </c>
      <c r="Q277" s="22">
        <v>-1.32385E-2</v>
      </c>
      <c r="R277" s="22">
        <v>267</v>
      </c>
      <c r="S277" s="22">
        <v>1.2439</v>
      </c>
      <c r="T277">
        <f t="shared" si="50"/>
        <v>16.343827160493824</v>
      </c>
      <c r="U277">
        <f t="shared" si="51"/>
        <v>20.34005633950617</v>
      </c>
      <c r="X277" s="9"/>
      <c r="Y277" s="22">
        <v>0.43548599999999998</v>
      </c>
      <c r="Z277" s="22">
        <v>17.169499999999999</v>
      </c>
      <c r="AA277" s="22">
        <v>-1.37909E-2</v>
      </c>
      <c r="AB277" s="22">
        <v>267</v>
      </c>
      <c r="AC277" s="22">
        <v>0.43487500000000001</v>
      </c>
      <c r="AD277">
        <f t="shared" si="52"/>
        <v>17.025802469135801</v>
      </c>
      <c r="AE277">
        <f t="shared" si="53"/>
        <v>7.4144986140740734</v>
      </c>
      <c r="AF277" s="9"/>
      <c r="AG277" s="22">
        <v>1.24451</v>
      </c>
      <c r="AH277" s="22">
        <v>20.948399999999999</v>
      </c>
      <c r="AI277" s="22">
        <v>-1.3250700000000001E-2</v>
      </c>
      <c r="AJ277" s="22">
        <v>267</v>
      </c>
      <c r="AK277" s="22">
        <v>1.24329</v>
      </c>
      <c r="AL277">
        <f t="shared" si="54"/>
        <v>16.358888888888888</v>
      </c>
      <c r="AM277">
        <f t="shared" si="55"/>
        <v>20.358800811111109</v>
      </c>
      <c r="AP277" s="9"/>
      <c r="AQ277" s="22">
        <v>0.43548599999999998</v>
      </c>
      <c r="AR277" s="22">
        <v>26.395700000000001</v>
      </c>
      <c r="AS277" s="22">
        <v>-1.38367E-2</v>
      </c>
      <c r="AT277" s="22">
        <v>267</v>
      </c>
      <c r="AU277" s="22">
        <v>0.43493700000000002</v>
      </c>
      <c r="AV277">
        <f t="shared" si="56"/>
        <v>17.082345679012345</v>
      </c>
      <c r="AW277">
        <f t="shared" si="57"/>
        <v>7.43912239037037</v>
      </c>
      <c r="AX277" s="9"/>
      <c r="AY277" s="22">
        <v>1.24451</v>
      </c>
      <c r="AZ277" s="22">
        <v>30.174700000000001</v>
      </c>
      <c r="BA277" s="22">
        <v>-1.3296499999999999E-2</v>
      </c>
      <c r="BB277" s="22">
        <v>267</v>
      </c>
      <c r="BC277" s="22">
        <v>1.24329</v>
      </c>
      <c r="BD277">
        <f t="shared" si="58"/>
        <v>16.415432098765429</v>
      </c>
      <c r="BE277">
        <f t="shared" si="59"/>
        <v>20.429169401234564</v>
      </c>
    </row>
    <row r="278" spans="6:101">
      <c r="F278" s="9"/>
      <c r="G278" s="22">
        <v>0.43045</v>
      </c>
      <c r="H278" s="22">
        <v>7.8893500000000003</v>
      </c>
      <c r="I278" s="22">
        <v>-1.3781699999999999E-2</v>
      </c>
      <c r="J278" s="22">
        <v>268</v>
      </c>
      <c r="K278" s="22">
        <v>0.42984</v>
      </c>
      <c r="L278">
        <f t="shared" si="48"/>
        <v>17.014444444444443</v>
      </c>
      <c r="M278">
        <f t="shared" si="49"/>
        <v>7.323867611111111</v>
      </c>
      <c r="N278" s="9"/>
      <c r="O278" s="22">
        <v>1.2495400000000001</v>
      </c>
      <c r="P278" s="22">
        <v>11.6683</v>
      </c>
      <c r="Q278" s="22">
        <v>-1.32233E-2</v>
      </c>
      <c r="R278" s="22">
        <v>268</v>
      </c>
      <c r="S278" s="22">
        <v>1.24878</v>
      </c>
      <c r="T278">
        <f t="shared" si="50"/>
        <v>16.32506172839506</v>
      </c>
      <c r="U278">
        <f t="shared" si="51"/>
        <v>20.398817632098766</v>
      </c>
      <c r="X278" s="9"/>
      <c r="Y278" s="22">
        <v>0.43045</v>
      </c>
      <c r="Z278" s="22">
        <v>17.179600000000001</v>
      </c>
      <c r="AA278" s="22">
        <v>-1.3797E-2</v>
      </c>
      <c r="AB278" s="22">
        <v>268</v>
      </c>
      <c r="AC278" s="22">
        <v>0.42990099999999998</v>
      </c>
      <c r="AD278">
        <f t="shared" si="52"/>
        <v>17.033333333333331</v>
      </c>
      <c r="AE278">
        <f t="shared" si="53"/>
        <v>7.3319983333333321</v>
      </c>
      <c r="AF278" s="9"/>
      <c r="AG278" s="22">
        <v>1.2495400000000001</v>
      </c>
      <c r="AH278" s="22">
        <v>20.958500000000001</v>
      </c>
      <c r="AI278" s="22">
        <v>-1.3241599999999999E-2</v>
      </c>
      <c r="AJ278" s="22">
        <v>268</v>
      </c>
      <c r="AK278" s="22">
        <v>1.24786</v>
      </c>
      <c r="AL278">
        <f t="shared" si="54"/>
        <v>16.347654320987651</v>
      </c>
      <c r="AM278">
        <f t="shared" si="55"/>
        <v>20.427047980246911</v>
      </c>
      <c r="AP278" s="9"/>
      <c r="AQ278" s="22">
        <v>0.43045</v>
      </c>
      <c r="AR278" s="22">
        <v>26.405799999999999</v>
      </c>
      <c r="AS278" s="22">
        <v>-1.38397E-2</v>
      </c>
      <c r="AT278" s="22">
        <v>268</v>
      </c>
      <c r="AU278" s="22">
        <v>0.42981000000000003</v>
      </c>
      <c r="AV278">
        <f t="shared" si="56"/>
        <v>17.086049382716048</v>
      </c>
      <c r="AW278">
        <f t="shared" si="57"/>
        <v>7.3546899567901232</v>
      </c>
      <c r="AX278" s="9"/>
      <c r="AY278" s="22">
        <v>1.2495400000000001</v>
      </c>
      <c r="AZ278" s="22">
        <v>30.184699999999999</v>
      </c>
      <c r="BA278" s="22">
        <v>-1.3281299999999999E-2</v>
      </c>
      <c r="BB278" s="22">
        <v>268</v>
      </c>
      <c r="BC278" s="22">
        <v>1.24878</v>
      </c>
      <c r="BD278">
        <f t="shared" si="58"/>
        <v>16.396666666666665</v>
      </c>
      <c r="BE278">
        <f t="shared" si="59"/>
        <v>20.488290866666667</v>
      </c>
    </row>
    <row r="279" spans="6:101">
      <c r="F279" s="9"/>
      <c r="G279" s="22">
        <v>0.42541499999999999</v>
      </c>
      <c r="H279" s="22">
        <v>7.8994200000000001</v>
      </c>
      <c r="I279" s="22">
        <v>-1.37848E-2</v>
      </c>
      <c r="J279" s="22">
        <v>269</v>
      </c>
      <c r="K279" s="22">
        <v>0.42480499999999999</v>
      </c>
      <c r="L279">
        <f t="shared" si="48"/>
        <v>17.018271604938271</v>
      </c>
      <c r="M279">
        <f t="shared" si="49"/>
        <v>7.2398280148148144</v>
      </c>
      <c r="N279" s="9"/>
      <c r="O279" s="22">
        <v>1.25458</v>
      </c>
      <c r="P279" s="22">
        <v>11.6783</v>
      </c>
      <c r="Q279" s="22">
        <v>-1.32111E-2</v>
      </c>
      <c r="R279" s="22">
        <v>269</v>
      </c>
      <c r="S279" s="22">
        <v>1.25336</v>
      </c>
      <c r="T279">
        <f t="shared" si="50"/>
        <v>16.309999999999999</v>
      </c>
      <c r="U279">
        <f t="shared" si="51"/>
        <v>20.4621998</v>
      </c>
      <c r="X279" s="9"/>
      <c r="Y279" s="22">
        <v>0.42541499999999999</v>
      </c>
      <c r="Z279" s="22">
        <v>17.189599999999999</v>
      </c>
      <c r="AA279" s="22">
        <v>-1.3806199999999999E-2</v>
      </c>
      <c r="AB279" s="22">
        <v>269</v>
      </c>
      <c r="AC279" s="22">
        <v>0.42477399999999998</v>
      </c>
      <c r="AD279">
        <f t="shared" si="52"/>
        <v>17.044691358024689</v>
      </c>
      <c r="AE279">
        <f t="shared" si="53"/>
        <v>7.251067374074073</v>
      </c>
      <c r="AF279" s="9"/>
      <c r="AG279" s="22">
        <v>1.25458</v>
      </c>
      <c r="AH279" s="22">
        <v>20.968499999999999</v>
      </c>
      <c r="AI279" s="22">
        <v>-1.32233E-2</v>
      </c>
      <c r="AJ279" s="22">
        <v>269</v>
      </c>
      <c r="AK279" s="22">
        <v>1.25397</v>
      </c>
      <c r="AL279">
        <f t="shared" si="54"/>
        <v>16.32506172839506</v>
      </c>
      <c r="AM279">
        <f t="shared" si="55"/>
        <v>20.481095943209873</v>
      </c>
      <c r="AP279" s="9"/>
      <c r="AQ279" s="22">
        <v>0.42541499999999999</v>
      </c>
      <c r="AR279" s="22">
        <v>26.415900000000001</v>
      </c>
      <c r="AS279" s="22">
        <v>-1.3842800000000001E-2</v>
      </c>
      <c r="AT279" s="22">
        <v>269</v>
      </c>
      <c r="AU279" s="22">
        <v>0.42471300000000001</v>
      </c>
      <c r="AV279">
        <f t="shared" si="56"/>
        <v>17.089876543209876</v>
      </c>
      <c r="AW279">
        <f t="shared" si="57"/>
        <v>7.270289829629629</v>
      </c>
      <c r="AX279" s="9"/>
      <c r="AY279" s="22">
        <v>1.25458</v>
      </c>
      <c r="AZ279" s="22">
        <v>30.194800000000001</v>
      </c>
      <c r="BA279" s="22">
        <v>-1.3266E-2</v>
      </c>
      <c r="BB279" s="22">
        <v>269</v>
      </c>
      <c r="BC279" s="22">
        <v>1.25397</v>
      </c>
      <c r="BD279">
        <f t="shared" si="58"/>
        <v>16.377777777777776</v>
      </c>
      <c r="BE279">
        <f t="shared" si="59"/>
        <v>20.547232444444443</v>
      </c>
    </row>
    <row r="280" spans="6:101">
      <c r="F280" s="9"/>
      <c r="G280" s="22">
        <v>0.42037999999999998</v>
      </c>
      <c r="H280" s="22">
        <v>7.9094899999999999</v>
      </c>
      <c r="I280" s="22">
        <v>-1.37848E-2</v>
      </c>
      <c r="J280" s="22">
        <v>270</v>
      </c>
      <c r="K280" s="22">
        <v>0.41973899999999997</v>
      </c>
      <c r="L280">
        <f t="shared" si="48"/>
        <v>17.018271604938271</v>
      </c>
      <c r="M280">
        <f t="shared" si="49"/>
        <v>7.1541410172839495</v>
      </c>
      <c r="N280" s="9"/>
      <c r="O280" s="22">
        <v>1.2596099999999999</v>
      </c>
      <c r="P280" s="22">
        <v>11.6884</v>
      </c>
      <c r="Q280" s="22">
        <v>-1.32111E-2</v>
      </c>
      <c r="R280" s="22">
        <v>270</v>
      </c>
      <c r="S280" s="22">
        <v>1.25885</v>
      </c>
      <c r="T280">
        <f t="shared" si="50"/>
        <v>16.309999999999999</v>
      </c>
      <c r="U280">
        <f t="shared" si="51"/>
        <v>20.544239099999995</v>
      </c>
      <c r="X280" s="9"/>
      <c r="Y280" s="22">
        <v>0.42037999999999998</v>
      </c>
      <c r="Z280" s="22">
        <v>17.1997</v>
      </c>
      <c r="AA280" s="22">
        <v>-1.38123E-2</v>
      </c>
      <c r="AB280" s="22">
        <v>270</v>
      </c>
      <c r="AC280" s="22">
        <v>0.41970800000000003</v>
      </c>
      <c r="AD280">
        <f t="shared" si="52"/>
        <v>17.052222222222223</v>
      </c>
      <c r="AE280">
        <f t="shared" si="53"/>
        <v>7.1684131777777775</v>
      </c>
      <c r="AF280" s="9"/>
      <c r="AG280" s="22">
        <v>1.2596099999999999</v>
      </c>
      <c r="AH280" s="22">
        <v>20.9786</v>
      </c>
      <c r="AI280" s="22">
        <v>-1.3205E-2</v>
      </c>
      <c r="AJ280" s="22">
        <v>270</v>
      </c>
      <c r="AK280" s="22">
        <v>1.25946</v>
      </c>
      <c r="AL280">
        <f t="shared" si="54"/>
        <v>16.302469135802468</v>
      </c>
      <c r="AM280">
        <f t="shared" si="55"/>
        <v>20.534753148148145</v>
      </c>
      <c r="AP280" s="9"/>
      <c r="AQ280" s="22">
        <v>0.42037999999999998</v>
      </c>
      <c r="AR280" s="22">
        <v>26.425899999999999</v>
      </c>
      <c r="AS280" s="22">
        <v>-1.38458E-2</v>
      </c>
      <c r="AT280" s="22">
        <v>270</v>
      </c>
      <c r="AU280" s="22">
        <v>0.41973899999999997</v>
      </c>
      <c r="AV280">
        <f t="shared" si="56"/>
        <v>17.093580246913579</v>
      </c>
      <c r="AW280">
        <f t="shared" si="57"/>
        <v>7.1857992641975299</v>
      </c>
      <c r="AX280" s="9"/>
      <c r="AY280" s="22">
        <v>1.2596099999999999</v>
      </c>
      <c r="AZ280" s="22">
        <v>30.204899999999999</v>
      </c>
      <c r="BA280" s="22">
        <v>-1.3250700000000001E-2</v>
      </c>
      <c r="BB280" s="22">
        <v>270</v>
      </c>
      <c r="BC280" s="22">
        <v>1.25854</v>
      </c>
      <c r="BD280">
        <f t="shared" si="58"/>
        <v>16.358888888888888</v>
      </c>
      <c r="BE280">
        <f t="shared" si="59"/>
        <v>20.60582003333333</v>
      </c>
    </row>
    <row r="281" spans="6:101">
      <c r="F281" s="9"/>
      <c r="G281" s="22">
        <v>0.41534399999999999</v>
      </c>
      <c r="H281" s="22">
        <v>7.9195599999999997</v>
      </c>
      <c r="I281" s="22">
        <v>-1.37909E-2</v>
      </c>
      <c r="J281" s="22">
        <v>271</v>
      </c>
      <c r="K281" s="22">
        <v>0.41464200000000001</v>
      </c>
      <c r="L281">
        <f t="shared" si="48"/>
        <v>17.025802469135801</v>
      </c>
      <c r="M281">
        <f t="shared" si="49"/>
        <v>7.0715649007407402</v>
      </c>
      <c r="N281" s="9"/>
      <c r="O281" s="22">
        <v>1.2646500000000001</v>
      </c>
      <c r="P281" s="22">
        <v>11.698499999999999</v>
      </c>
      <c r="Q281" s="22">
        <v>-1.3195800000000001E-2</v>
      </c>
      <c r="R281" s="22">
        <v>271</v>
      </c>
      <c r="S281" s="22">
        <v>1.2634300000000001</v>
      </c>
      <c r="T281">
        <f t="shared" si="50"/>
        <v>16.29111111111111</v>
      </c>
      <c r="U281">
        <f t="shared" si="51"/>
        <v>20.602553666666665</v>
      </c>
      <c r="X281" s="9"/>
      <c r="Y281" s="22">
        <v>0.41534399999999999</v>
      </c>
      <c r="Z281" s="22">
        <v>17.209800000000001</v>
      </c>
      <c r="AA281" s="22">
        <v>-1.38184E-2</v>
      </c>
      <c r="AB281" s="22">
        <v>271</v>
      </c>
      <c r="AC281" s="22">
        <v>0.41479500000000002</v>
      </c>
      <c r="AD281">
        <f t="shared" si="52"/>
        <v>17.05975308641975</v>
      </c>
      <c r="AE281">
        <f t="shared" si="53"/>
        <v>7.0856660859259248</v>
      </c>
      <c r="AF281" s="9"/>
      <c r="AG281" s="22">
        <v>1.2646500000000001</v>
      </c>
      <c r="AH281" s="22">
        <v>20.988700000000001</v>
      </c>
      <c r="AI281" s="22">
        <v>-1.31805E-2</v>
      </c>
      <c r="AJ281" s="22">
        <v>271</v>
      </c>
      <c r="AK281" s="22">
        <v>1.2634300000000001</v>
      </c>
      <c r="AL281">
        <f t="shared" si="54"/>
        <v>16.272222222222219</v>
      </c>
      <c r="AM281">
        <f t="shared" si="55"/>
        <v>20.578665833333329</v>
      </c>
      <c r="AP281" s="9"/>
      <c r="AQ281" s="22">
        <v>0.41534399999999999</v>
      </c>
      <c r="AR281" s="22">
        <v>26.436</v>
      </c>
      <c r="AS281" s="22">
        <v>-1.38458E-2</v>
      </c>
      <c r="AT281" s="22">
        <v>271</v>
      </c>
      <c r="AU281" s="22">
        <v>0.41473399999999999</v>
      </c>
      <c r="AV281">
        <f t="shared" si="56"/>
        <v>17.093580246913579</v>
      </c>
      <c r="AW281">
        <f t="shared" si="57"/>
        <v>7.0997159940740735</v>
      </c>
      <c r="AX281" s="9"/>
      <c r="AY281" s="22">
        <v>1.2646500000000001</v>
      </c>
      <c r="AZ281" s="22">
        <v>30.215</v>
      </c>
      <c r="BA281" s="22">
        <v>-1.3235500000000001E-2</v>
      </c>
      <c r="BB281" s="22">
        <v>271</v>
      </c>
      <c r="BC281" s="22">
        <v>1.2640400000000001</v>
      </c>
      <c r="BD281">
        <f t="shared" si="58"/>
        <v>16.340123456790124</v>
      </c>
      <c r="BE281">
        <f t="shared" si="59"/>
        <v>20.664537129629633</v>
      </c>
    </row>
    <row r="282" spans="6:101">
      <c r="F282" s="9"/>
      <c r="G282" s="22">
        <v>0.41030899999999998</v>
      </c>
      <c r="H282" s="22">
        <v>7.92964</v>
      </c>
      <c r="I282" s="22">
        <v>-1.37939E-2</v>
      </c>
      <c r="J282" s="22">
        <v>272</v>
      </c>
      <c r="K282" s="22">
        <v>0.40972900000000001</v>
      </c>
      <c r="L282">
        <f t="shared" si="48"/>
        <v>17.029506172839504</v>
      </c>
      <c r="M282">
        <f t="shared" si="49"/>
        <v>6.9873596482716041</v>
      </c>
      <c r="N282" s="9"/>
      <c r="O282" s="22">
        <v>1.2696799999999999</v>
      </c>
      <c r="P282" s="22">
        <v>11.708500000000001</v>
      </c>
      <c r="Q282" s="22">
        <v>-1.31805E-2</v>
      </c>
      <c r="R282" s="22">
        <v>272</v>
      </c>
      <c r="S282" s="22">
        <v>1.2686200000000001</v>
      </c>
      <c r="T282">
        <f t="shared" si="50"/>
        <v>16.272222222222219</v>
      </c>
      <c r="U282">
        <f t="shared" si="51"/>
        <v>20.660515111111106</v>
      </c>
      <c r="X282" s="9"/>
      <c r="Y282" s="22">
        <v>0.41030899999999998</v>
      </c>
      <c r="Z282" s="22">
        <v>17.219899999999999</v>
      </c>
      <c r="AA282" s="22">
        <v>-1.38275E-2</v>
      </c>
      <c r="AB282" s="22">
        <v>272</v>
      </c>
      <c r="AC282" s="22">
        <v>0.40972900000000001</v>
      </c>
      <c r="AD282">
        <f t="shared" si="52"/>
        <v>17.070987654320987</v>
      </c>
      <c r="AE282">
        <f t="shared" si="53"/>
        <v>7.0043798734567897</v>
      </c>
      <c r="AF282" s="9"/>
      <c r="AG282" s="22">
        <v>1.2696799999999999</v>
      </c>
      <c r="AH282" s="22">
        <v>20.998799999999999</v>
      </c>
      <c r="AI282" s="22">
        <v>-1.31561E-2</v>
      </c>
      <c r="AJ282" s="22">
        <v>272</v>
      </c>
      <c r="AK282" s="22">
        <v>1.26831</v>
      </c>
      <c r="AL282">
        <f t="shared" si="54"/>
        <v>16.2420987654321</v>
      </c>
      <c r="AM282">
        <f t="shared" si="55"/>
        <v>20.622267960493829</v>
      </c>
      <c r="AP282" s="9"/>
      <c r="AQ282" s="22">
        <v>0.41030899999999998</v>
      </c>
      <c r="AR282" s="22">
        <v>26.446100000000001</v>
      </c>
      <c r="AS282" s="22">
        <v>-1.3848900000000001E-2</v>
      </c>
      <c r="AT282" s="22">
        <v>272</v>
      </c>
      <c r="AU282" s="22">
        <v>0.40963699999999997</v>
      </c>
      <c r="AV282">
        <f t="shared" si="56"/>
        <v>17.09740740740741</v>
      </c>
      <c r="AW282">
        <f t="shared" si="57"/>
        <v>7.0152201359259267</v>
      </c>
      <c r="AX282" s="9"/>
      <c r="AY282" s="22">
        <v>1.2696799999999999</v>
      </c>
      <c r="AZ282" s="22">
        <v>30.225000000000001</v>
      </c>
      <c r="BA282" s="22">
        <v>-1.32263E-2</v>
      </c>
      <c r="BB282" s="22">
        <v>272</v>
      </c>
      <c r="BC282" s="22">
        <v>1.26892</v>
      </c>
      <c r="BD282">
        <f t="shared" si="58"/>
        <v>16.328765432098766</v>
      </c>
      <c r="BE282">
        <f t="shared" si="59"/>
        <v>20.732306893827161</v>
      </c>
    </row>
    <row r="283" spans="6:101">
      <c r="F283" s="9"/>
      <c r="G283" s="22">
        <v>0.40527299999999999</v>
      </c>
      <c r="H283" s="22">
        <v>7.9397099999999998</v>
      </c>
      <c r="I283" s="22">
        <v>-1.3797E-2</v>
      </c>
      <c r="J283" s="22">
        <v>273</v>
      </c>
      <c r="K283" s="22">
        <v>0.40460200000000002</v>
      </c>
      <c r="L283">
        <f t="shared" si="48"/>
        <v>17.033333333333331</v>
      </c>
      <c r="M283">
        <f t="shared" si="49"/>
        <v>6.9031500999999995</v>
      </c>
      <c r="N283" s="9"/>
      <c r="O283" s="22">
        <v>1.2747200000000001</v>
      </c>
      <c r="P283" s="22">
        <v>11.7186</v>
      </c>
      <c r="Q283" s="22">
        <v>-1.31561E-2</v>
      </c>
      <c r="R283" s="22">
        <v>273</v>
      </c>
      <c r="S283" s="22">
        <v>1.2738</v>
      </c>
      <c r="T283">
        <f t="shared" si="50"/>
        <v>16.2420987654321</v>
      </c>
      <c r="U283">
        <f t="shared" si="51"/>
        <v>20.704128138271606</v>
      </c>
      <c r="X283" s="9"/>
      <c r="Y283" s="22">
        <v>0.40527299999999999</v>
      </c>
      <c r="Z283" s="22">
        <v>17.229900000000001</v>
      </c>
      <c r="AA283" s="22">
        <v>-1.38306E-2</v>
      </c>
      <c r="AB283" s="22">
        <v>273</v>
      </c>
      <c r="AC283" s="22">
        <v>0.40463300000000002</v>
      </c>
      <c r="AD283">
        <f t="shared" si="52"/>
        <v>17.074814814814815</v>
      </c>
      <c r="AE283">
        <f t="shared" si="53"/>
        <v>6.9199614244444447</v>
      </c>
      <c r="AF283" s="9"/>
      <c r="AG283" s="22">
        <v>1.2747200000000001</v>
      </c>
      <c r="AH283" s="22">
        <v>21.008800000000001</v>
      </c>
      <c r="AI283" s="22">
        <v>-1.31409E-2</v>
      </c>
      <c r="AJ283" s="22">
        <v>273</v>
      </c>
      <c r="AK283" s="22">
        <v>1.2728900000000001</v>
      </c>
      <c r="AL283">
        <f t="shared" si="54"/>
        <v>16.223333333333333</v>
      </c>
      <c r="AM283">
        <f t="shared" si="55"/>
        <v>20.680207466666666</v>
      </c>
      <c r="AP283" s="9"/>
      <c r="AQ283" s="22">
        <v>0.40527299999999999</v>
      </c>
      <c r="AR283" s="22">
        <v>26.456199999999999</v>
      </c>
      <c r="AS283" s="22">
        <v>-1.38458E-2</v>
      </c>
      <c r="AT283" s="22">
        <v>273</v>
      </c>
      <c r="AU283" s="22">
        <v>0.40466299999999999</v>
      </c>
      <c r="AV283">
        <f t="shared" si="56"/>
        <v>17.093580246913579</v>
      </c>
      <c r="AW283">
        <f t="shared" si="57"/>
        <v>6.9275665474074071</v>
      </c>
      <c r="AX283" s="9"/>
      <c r="AY283" s="22">
        <v>1.2747200000000001</v>
      </c>
      <c r="AZ283" s="22">
        <v>30.235099999999999</v>
      </c>
      <c r="BA283" s="22">
        <v>-1.32172E-2</v>
      </c>
      <c r="BB283" s="22">
        <v>273</v>
      </c>
      <c r="BC283" s="22">
        <v>1.2741100000000001</v>
      </c>
      <c r="BD283">
        <f t="shared" si="58"/>
        <v>16.317530864197529</v>
      </c>
      <c r="BE283">
        <f t="shared" si="59"/>
        <v>20.800282943209876</v>
      </c>
    </row>
    <row r="284" spans="6:101">
      <c r="F284" s="9"/>
      <c r="G284" s="22">
        <v>0.40023799999999998</v>
      </c>
      <c r="H284" s="22">
        <v>7.9497799999999996</v>
      </c>
      <c r="I284" s="22">
        <v>-1.38031E-2</v>
      </c>
      <c r="J284" s="22">
        <v>274</v>
      </c>
      <c r="K284" s="22">
        <v>0.39965800000000001</v>
      </c>
      <c r="L284">
        <f t="shared" si="48"/>
        <v>17.040864197530862</v>
      </c>
      <c r="M284">
        <f t="shared" si="49"/>
        <v>6.8204014046913572</v>
      </c>
      <c r="N284" s="9"/>
      <c r="O284" s="22">
        <v>1.2797499999999999</v>
      </c>
      <c r="P284" s="22">
        <v>11.7287</v>
      </c>
      <c r="Q284" s="22">
        <v>-1.31348E-2</v>
      </c>
      <c r="R284" s="22">
        <v>274</v>
      </c>
      <c r="S284" s="22">
        <v>1.2783800000000001</v>
      </c>
      <c r="T284">
        <f t="shared" si="50"/>
        <v>16.215802469135802</v>
      </c>
      <c r="U284">
        <f t="shared" si="51"/>
        <v>20.752173209876542</v>
      </c>
      <c r="X284" s="9"/>
      <c r="Y284" s="22">
        <v>0.40023799999999998</v>
      </c>
      <c r="Z284" s="22">
        <v>17.239999999999998</v>
      </c>
      <c r="AA284" s="22">
        <v>-1.38336E-2</v>
      </c>
      <c r="AB284" s="22">
        <v>274</v>
      </c>
      <c r="AC284" s="22">
        <v>0.39962799999999998</v>
      </c>
      <c r="AD284">
        <f t="shared" si="52"/>
        <v>17.078518518518518</v>
      </c>
      <c r="AE284">
        <f t="shared" si="53"/>
        <v>6.835472094814814</v>
      </c>
      <c r="AF284" s="9"/>
      <c r="AG284" s="22">
        <v>1.2797499999999999</v>
      </c>
      <c r="AH284" s="22">
        <v>21.018899999999999</v>
      </c>
      <c r="AI284" s="22">
        <v>-1.31165E-2</v>
      </c>
      <c r="AJ284" s="22">
        <v>274</v>
      </c>
      <c r="AK284" s="22">
        <v>1.2793000000000001</v>
      </c>
      <c r="AL284">
        <f t="shared" si="54"/>
        <v>16.193209876543211</v>
      </c>
      <c r="AM284">
        <f t="shared" si="55"/>
        <v>20.723260339506172</v>
      </c>
      <c r="AP284" s="9"/>
      <c r="AQ284" s="22">
        <v>0.40023799999999998</v>
      </c>
      <c r="AR284" s="22">
        <v>26.466200000000001</v>
      </c>
      <c r="AS284" s="22">
        <v>-1.3848900000000001E-2</v>
      </c>
      <c r="AT284" s="22">
        <v>274</v>
      </c>
      <c r="AU284" s="22">
        <v>0.39965800000000001</v>
      </c>
      <c r="AV284">
        <f t="shared" si="56"/>
        <v>17.09740740740741</v>
      </c>
      <c r="AW284">
        <f t="shared" si="57"/>
        <v>6.8430321459259265</v>
      </c>
      <c r="AX284" s="9"/>
      <c r="AY284" s="22">
        <v>1.2797499999999999</v>
      </c>
      <c r="AZ284" s="22">
        <v>30.245200000000001</v>
      </c>
      <c r="BA284" s="22">
        <v>-1.31989E-2</v>
      </c>
      <c r="BB284" s="22">
        <v>274</v>
      </c>
      <c r="BC284" s="22">
        <v>1.2789900000000001</v>
      </c>
      <c r="BD284">
        <f t="shared" si="58"/>
        <v>16.294938271604938</v>
      </c>
      <c r="BE284">
        <f t="shared" si="59"/>
        <v>20.853447253086419</v>
      </c>
    </row>
    <row r="285" spans="6:101">
      <c r="F285" s="9"/>
      <c r="G285" s="22">
        <v>0.39520300000000003</v>
      </c>
      <c r="H285" s="22">
        <v>7.9598500000000003</v>
      </c>
      <c r="I285" s="22">
        <v>-1.3806199999999999E-2</v>
      </c>
      <c r="J285" s="22">
        <v>275</v>
      </c>
      <c r="K285" s="22">
        <v>0.39456200000000002</v>
      </c>
      <c r="L285">
        <f t="shared" si="48"/>
        <v>17.044691358024689</v>
      </c>
      <c r="M285">
        <f t="shared" si="49"/>
        <v>6.7361131587654315</v>
      </c>
      <c r="N285" s="9"/>
      <c r="O285" s="22">
        <v>1.2847900000000001</v>
      </c>
      <c r="P285" s="22">
        <v>11.738799999999999</v>
      </c>
      <c r="Q285" s="22">
        <v>-1.3110399999999999E-2</v>
      </c>
      <c r="R285" s="22">
        <v>275</v>
      </c>
      <c r="S285" s="22">
        <v>1.2838700000000001</v>
      </c>
      <c r="T285">
        <f t="shared" si="50"/>
        <v>16.185679012345677</v>
      </c>
      <c r="U285">
        <f t="shared" si="51"/>
        <v>20.795198538271602</v>
      </c>
      <c r="X285" s="9"/>
      <c r="Y285" s="22">
        <v>0.39520300000000003</v>
      </c>
      <c r="Z285" s="22">
        <v>17.2501</v>
      </c>
      <c r="AA285" s="22">
        <v>-1.3842800000000001E-2</v>
      </c>
      <c r="AB285" s="22">
        <v>275</v>
      </c>
      <c r="AC285" s="22">
        <v>0.39465299999999998</v>
      </c>
      <c r="AD285">
        <f t="shared" si="52"/>
        <v>17.089876543209876</v>
      </c>
      <c r="AE285">
        <f t="shared" si="53"/>
        <v>6.7539704795061732</v>
      </c>
      <c r="AF285" s="9"/>
      <c r="AG285" s="22">
        <v>1.2847900000000001</v>
      </c>
      <c r="AH285" s="22">
        <v>21.029</v>
      </c>
      <c r="AI285" s="22">
        <v>-1.30981E-2</v>
      </c>
      <c r="AJ285" s="22">
        <v>275</v>
      </c>
      <c r="AK285" s="22">
        <v>1.2835700000000001</v>
      </c>
      <c r="AL285">
        <f t="shared" si="54"/>
        <v>16.170493827160495</v>
      </c>
      <c r="AM285">
        <f t="shared" si="55"/>
        <v>20.775688764197533</v>
      </c>
      <c r="AP285" s="9"/>
      <c r="AQ285" s="22">
        <v>0.39520300000000003</v>
      </c>
      <c r="AR285" s="22">
        <v>26.476299999999998</v>
      </c>
      <c r="AS285" s="22">
        <v>-1.38519E-2</v>
      </c>
      <c r="AT285" s="22">
        <v>275</v>
      </c>
      <c r="AU285" s="22">
        <v>0.394592</v>
      </c>
      <c r="AV285">
        <f t="shared" si="56"/>
        <v>17.101111111111113</v>
      </c>
      <c r="AW285">
        <f t="shared" si="57"/>
        <v>6.7584104144444455</v>
      </c>
      <c r="AX285" s="9"/>
      <c r="AY285" s="22">
        <v>1.2847900000000001</v>
      </c>
      <c r="AZ285" s="22">
        <v>30.255199999999999</v>
      </c>
      <c r="BA285" s="22">
        <v>-1.31714E-2</v>
      </c>
      <c r="BB285" s="22">
        <v>275</v>
      </c>
      <c r="BC285" s="22">
        <v>1.2838700000000001</v>
      </c>
      <c r="BD285">
        <f t="shared" si="58"/>
        <v>16.260987654320989</v>
      </c>
      <c r="BE285">
        <f t="shared" si="59"/>
        <v>20.891954328395066</v>
      </c>
    </row>
    <row r="286" spans="6:101">
      <c r="F286" s="9"/>
      <c r="G286" s="22">
        <v>0.39016699999999999</v>
      </c>
      <c r="H286" s="22">
        <v>7.9699200000000001</v>
      </c>
      <c r="I286" s="22">
        <v>-1.3809200000000001E-2</v>
      </c>
      <c r="J286" s="22">
        <v>276</v>
      </c>
      <c r="K286" s="22">
        <v>0.38958700000000002</v>
      </c>
      <c r="L286">
        <f t="shared" si="48"/>
        <v>17.048395061728392</v>
      </c>
      <c r="M286">
        <f t="shared" si="49"/>
        <v>6.6517211560493816</v>
      </c>
      <c r="N286" s="9"/>
      <c r="O286" s="22">
        <v>1.28983</v>
      </c>
      <c r="P286" s="22">
        <v>11.748799999999999</v>
      </c>
      <c r="Q286" s="22">
        <v>-1.30981E-2</v>
      </c>
      <c r="R286" s="22">
        <v>276</v>
      </c>
      <c r="S286" s="22">
        <v>1.2887599999999999</v>
      </c>
      <c r="T286">
        <f t="shared" si="50"/>
        <v>16.170493827160495</v>
      </c>
      <c r="U286">
        <f t="shared" si="51"/>
        <v>20.857188053086421</v>
      </c>
      <c r="X286" s="9"/>
      <c r="Y286" s="22">
        <v>0.39016699999999999</v>
      </c>
      <c r="Z286" s="22">
        <v>17.260100000000001</v>
      </c>
      <c r="AA286" s="22">
        <v>-1.3848900000000001E-2</v>
      </c>
      <c r="AB286" s="22">
        <v>276</v>
      </c>
      <c r="AC286" s="22">
        <v>0.38958700000000002</v>
      </c>
      <c r="AD286">
        <f t="shared" si="52"/>
        <v>17.09740740740741</v>
      </c>
      <c r="AE286">
        <f t="shared" si="53"/>
        <v>6.6708441559259262</v>
      </c>
      <c r="AF286" s="9"/>
      <c r="AG286" s="22">
        <v>1.28983</v>
      </c>
      <c r="AH286" s="22">
        <v>21.039000000000001</v>
      </c>
      <c r="AI286" s="22">
        <v>-1.30829E-2</v>
      </c>
      <c r="AJ286" s="22">
        <v>276</v>
      </c>
      <c r="AK286" s="22">
        <v>1.2884500000000001</v>
      </c>
      <c r="AL286">
        <f t="shared" si="54"/>
        <v>16.151728395061728</v>
      </c>
      <c r="AM286">
        <f t="shared" si="55"/>
        <v>20.832983835802469</v>
      </c>
      <c r="AP286" s="9"/>
      <c r="AQ286" s="22">
        <v>0.39016699999999999</v>
      </c>
      <c r="AR286" s="22">
        <v>26.4864</v>
      </c>
      <c r="AS286" s="22">
        <v>-1.3858000000000001E-2</v>
      </c>
      <c r="AT286" s="22">
        <v>276</v>
      </c>
      <c r="AU286" s="22">
        <v>0.38955699999999999</v>
      </c>
      <c r="AV286">
        <f t="shared" si="56"/>
        <v>17.10864197530864</v>
      </c>
      <c r="AW286">
        <f t="shared" si="57"/>
        <v>6.6752275135802455</v>
      </c>
      <c r="AX286" s="9"/>
      <c r="AY286" s="22">
        <v>1.28983</v>
      </c>
      <c r="AZ286" s="22">
        <v>30.2653</v>
      </c>
      <c r="BA286" s="22">
        <v>-1.31561E-2</v>
      </c>
      <c r="BB286" s="22">
        <v>276</v>
      </c>
      <c r="BC286" s="22">
        <v>1.2881499999999999</v>
      </c>
      <c r="BD286">
        <f t="shared" si="58"/>
        <v>16.2420987654321</v>
      </c>
      <c r="BE286">
        <f t="shared" si="59"/>
        <v>20.949546250617285</v>
      </c>
    </row>
    <row r="287" spans="6:101">
      <c r="F287" s="9"/>
      <c r="G287" s="22">
        <v>0.38513199999999997</v>
      </c>
      <c r="H287" s="22">
        <v>7.9799899999999999</v>
      </c>
      <c r="I287" s="22">
        <v>-1.38123E-2</v>
      </c>
      <c r="J287" s="22">
        <v>277</v>
      </c>
      <c r="K287" s="22">
        <v>0.384521</v>
      </c>
      <c r="L287">
        <f t="shared" si="48"/>
        <v>17.052222222222223</v>
      </c>
      <c r="M287">
        <f t="shared" si="49"/>
        <v>6.5673564488888889</v>
      </c>
      <c r="N287" s="9"/>
      <c r="O287" s="22">
        <v>1.2948599999999999</v>
      </c>
      <c r="P287" s="22">
        <v>11.758900000000001</v>
      </c>
      <c r="Q287" s="22">
        <v>-1.3085899999999999E-2</v>
      </c>
      <c r="R287" s="22">
        <v>277</v>
      </c>
      <c r="S287" s="22">
        <v>1.2945599999999999</v>
      </c>
      <c r="T287">
        <f t="shared" si="50"/>
        <v>16.155432098765431</v>
      </c>
      <c r="U287">
        <f t="shared" si="51"/>
        <v>20.919022807407405</v>
      </c>
      <c r="X287" s="9"/>
      <c r="Y287" s="22">
        <v>0.38513199999999997</v>
      </c>
      <c r="Z287" s="22">
        <v>17.270199999999999</v>
      </c>
      <c r="AA287" s="22">
        <v>-1.38519E-2</v>
      </c>
      <c r="AB287" s="22">
        <v>277</v>
      </c>
      <c r="AC287" s="22">
        <v>0.38446000000000002</v>
      </c>
      <c r="AD287">
        <f t="shared" si="52"/>
        <v>17.101111111111113</v>
      </c>
      <c r="AE287">
        <f t="shared" si="53"/>
        <v>6.5861851244444445</v>
      </c>
      <c r="AF287" s="9"/>
      <c r="AG287" s="22">
        <v>1.2948599999999999</v>
      </c>
      <c r="AH287" s="22">
        <v>21.049099999999999</v>
      </c>
      <c r="AI287" s="22">
        <v>-1.30676E-2</v>
      </c>
      <c r="AJ287" s="22">
        <v>277</v>
      </c>
      <c r="AK287" s="22">
        <v>1.2942499999999999</v>
      </c>
      <c r="AL287">
        <f t="shared" si="54"/>
        <v>16.132839506172839</v>
      </c>
      <c r="AM287">
        <f t="shared" si="55"/>
        <v>20.88976856296296</v>
      </c>
      <c r="AP287" s="9"/>
      <c r="AQ287" s="22">
        <v>0.38513199999999997</v>
      </c>
      <c r="AR287" s="22">
        <v>26.496400000000001</v>
      </c>
      <c r="AS287" s="22">
        <v>-1.3858000000000001E-2</v>
      </c>
      <c r="AT287" s="22">
        <v>277</v>
      </c>
      <c r="AU287" s="22">
        <v>0.384521</v>
      </c>
      <c r="AV287">
        <f t="shared" si="56"/>
        <v>17.10864197530864</v>
      </c>
      <c r="AW287">
        <f t="shared" si="57"/>
        <v>6.5890855012345666</v>
      </c>
      <c r="AX287" s="9"/>
      <c r="AY287" s="22">
        <v>1.2948599999999999</v>
      </c>
      <c r="AZ287" s="22">
        <v>30.275400000000001</v>
      </c>
      <c r="BA287" s="22">
        <v>-1.31439E-2</v>
      </c>
      <c r="BB287" s="22">
        <v>277</v>
      </c>
      <c r="BC287" s="22">
        <v>1.2936399999999999</v>
      </c>
      <c r="BD287">
        <f t="shared" si="58"/>
        <v>16.227037037037036</v>
      </c>
      <c r="BE287">
        <f t="shared" si="59"/>
        <v>21.011741177777775</v>
      </c>
    </row>
    <row r="288" spans="6:101">
      <c r="F288" s="9"/>
      <c r="G288" s="22">
        <v>0.38009599999999999</v>
      </c>
      <c r="H288" s="22">
        <v>7.9900599999999997</v>
      </c>
      <c r="I288" s="22">
        <v>-1.38123E-2</v>
      </c>
      <c r="J288" s="22">
        <v>278</v>
      </c>
      <c r="K288" s="22">
        <v>0.37951699999999999</v>
      </c>
      <c r="L288">
        <f t="shared" si="48"/>
        <v>17.052222222222223</v>
      </c>
      <c r="M288">
        <f t="shared" si="49"/>
        <v>6.481481457777778</v>
      </c>
      <c r="N288" s="9"/>
      <c r="O288" s="22">
        <v>1.2999000000000001</v>
      </c>
      <c r="P288" s="22">
        <v>11.769</v>
      </c>
      <c r="Q288" s="22">
        <v>-1.3064600000000001E-2</v>
      </c>
      <c r="R288" s="22">
        <v>278</v>
      </c>
      <c r="S288" s="22">
        <v>1.2991299999999999</v>
      </c>
      <c r="T288">
        <f t="shared" si="50"/>
        <v>16.129135802469136</v>
      </c>
      <c r="U288">
        <f t="shared" si="51"/>
        <v>20.96626362962963</v>
      </c>
      <c r="X288" s="9"/>
      <c r="Y288" s="22">
        <v>0.38009599999999999</v>
      </c>
      <c r="Z288" s="22">
        <v>17.2803</v>
      </c>
      <c r="AA288" s="22">
        <v>-1.3854999999999999E-2</v>
      </c>
      <c r="AB288" s="22">
        <v>278</v>
      </c>
      <c r="AC288" s="22">
        <v>0.37954700000000002</v>
      </c>
      <c r="AD288">
        <f t="shared" si="52"/>
        <v>17.104938271604937</v>
      </c>
      <c r="AE288">
        <f t="shared" si="53"/>
        <v>6.5015186172839501</v>
      </c>
      <c r="AF288" s="9"/>
      <c r="AG288" s="22">
        <v>1.2999000000000001</v>
      </c>
      <c r="AH288" s="22">
        <v>21.059200000000001</v>
      </c>
      <c r="AI288" s="22">
        <v>-1.30493E-2</v>
      </c>
      <c r="AJ288" s="22">
        <v>278</v>
      </c>
      <c r="AK288" s="22">
        <v>1.2991299999999999</v>
      </c>
      <c r="AL288">
        <f t="shared" si="54"/>
        <v>16.110246913580244</v>
      </c>
      <c r="AM288">
        <f t="shared" si="55"/>
        <v>20.94170996296296</v>
      </c>
      <c r="AP288" s="9"/>
      <c r="AQ288" s="22">
        <v>0.38009599999999999</v>
      </c>
      <c r="AR288" s="22">
        <v>26.506499999999999</v>
      </c>
      <c r="AS288" s="22">
        <v>-1.3861099999999999E-2</v>
      </c>
      <c r="AT288" s="22">
        <v>278</v>
      </c>
      <c r="AU288" s="22">
        <v>0.37945600000000002</v>
      </c>
      <c r="AV288">
        <f t="shared" si="56"/>
        <v>17.112469135802467</v>
      </c>
      <c r="AW288">
        <f t="shared" si="57"/>
        <v>6.5043810686419743</v>
      </c>
      <c r="AX288" s="9"/>
      <c r="AY288" s="22">
        <v>1.2999000000000001</v>
      </c>
      <c r="AZ288" s="22">
        <v>30.285399999999999</v>
      </c>
      <c r="BA288" s="22">
        <v>-1.31317E-2</v>
      </c>
      <c r="BB288" s="22">
        <v>278</v>
      </c>
      <c r="BC288" s="22">
        <v>1.2982199999999999</v>
      </c>
      <c r="BD288">
        <f t="shared" si="58"/>
        <v>16.211975308641971</v>
      </c>
      <c r="BE288">
        <f t="shared" si="59"/>
        <v>21.073946703703701</v>
      </c>
    </row>
    <row r="289" spans="6:57">
      <c r="F289" s="9"/>
      <c r="G289" s="22">
        <v>0.37506099999999998</v>
      </c>
      <c r="H289" s="22">
        <v>8.0001300000000004</v>
      </c>
      <c r="I289" s="22">
        <v>-1.38123E-2</v>
      </c>
      <c r="J289" s="22">
        <v>279</v>
      </c>
      <c r="K289" s="22">
        <v>0.37441999999999998</v>
      </c>
      <c r="L289">
        <f t="shared" si="48"/>
        <v>17.052222222222223</v>
      </c>
      <c r="M289">
        <f t="shared" si="49"/>
        <v>6.3956235188888888</v>
      </c>
      <c r="N289" s="9"/>
      <c r="O289" s="22">
        <v>1.3049299999999999</v>
      </c>
      <c r="P289" s="22">
        <v>11.779</v>
      </c>
      <c r="Q289" s="22">
        <v>-1.30524E-2</v>
      </c>
      <c r="R289" s="22">
        <v>279</v>
      </c>
      <c r="S289" s="22">
        <v>1.30402</v>
      </c>
      <c r="T289">
        <f t="shared" si="50"/>
        <v>16.114074074074072</v>
      </c>
      <c r="U289">
        <f t="shared" si="51"/>
        <v>21.027738681481477</v>
      </c>
      <c r="X289" s="9"/>
      <c r="Y289" s="22">
        <v>0.37506099999999998</v>
      </c>
      <c r="Z289" s="22">
        <v>17.290400000000002</v>
      </c>
      <c r="AA289" s="22">
        <v>-1.3854999999999999E-2</v>
      </c>
      <c r="AB289" s="22">
        <v>279</v>
      </c>
      <c r="AC289" s="22">
        <v>0.37445099999999998</v>
      </c>
      <c r="AD289">
        <f t="shared" si="52"/>
        <v>17.104938271604937</v>
      </c>
      <c r="AE289">
        <f t="shared" si="53"/>
        <v>6.4153952530864187</v>
      </c>
      <c r="AF289" s="9"/>
      <c r="AG289" s="22">
        <v>1.3049299999999999</v>
      </c>
      <c r="AH289" s="22">
        <v>21.069299999999998</v>
      </c>
      <c r="AI289" s="22">
        <v>-1.30402E-2</v>
      </c>
      <c r="AJ289" s="22">
        <v>279</v>
      </c>
      <c r="AK289" s="22">
        <v>1.30402</v>
      </c>
      <c r="AL289">
        <f t="shared" si="54"/>
        <v>16.099012345679011</v>
      </c>
      <c r="AM289">
        <f t="shared" si="55"/>
        <v>21.008084180246911</v>
      </c>
      <c r="AP289" s="9"/>
      <c r="AQ289" s="22">
        <v>0.37506099999999998</v>
      </c>
      <c r="AR289" s="22">
        <v>26.5166</v>
      </c>
      <c r="AS289" s="22">
        <v>-1.3864100000000001E-2</v>
      </c>
      <c r="AT289" s="22">
        <v>279</v>
      </c>
      <c r="AU289" s="22">
        <v>0.37439</v>
      </c>
      <c r="AV289">
        <f t="shared" si="56"/>
        <v>17.11617283950617</v>
      </c>
      <c r="AW289">
        <f t="shared" si="57"/>
        <v>6.4196089013580231</v>
      </c>
      <c r="AX289" s="9"/>
      <c r="AY289" s="22">
        <v>1.3049299999999999</v>
      </c>
      <c r="AZ289" s="22">
        <v>30.295500000000001</v>
      </c>
      <c r="BA289" s="22">
        <v>-1.3110399999999999E-2</v>
      </c>
      <c r="BB289" s="22">
        <v>279</v>
      </c>
      <c r="BC289" s="22">
        <v>1.30341</v>
      </c>
      <c r="BD289">
        <f t="shared" si="58"/>
        <v>16.185679012345677</v>
      </c>
      <c r="BE289">
        <f t="shared" si="59"/>
        <v>21.121178113580243</v>
      </c>
    </row>
    <row r="290" spans="6:57">
      <c r="F290" s="9"/>
      <c r="G290" s="22">
        <v>0.37002600000000002</v>
      </c>
      <c r="H290" s="22">
        <v>8.0101999999999993</v>
      </c>
      <c r="I290" s="22">
        <v>-1.3815300000000001E-2</v>
      </c>
      <c r="J290" s="22">
        <v>280</v>
      </c>
      <c r="K290" s="22">
        <v>0.36941499999999999</v>
      </c>
      <c r="L290">
        <f t="shared" si="48"/>
        <v>17.055925925925926</v>
      </c>
      <c r="M290">
        <f t="shared" si="49"/>
        <v>6.3111360466666673</v>
      </c>
      <c r="N290" s="9"/>
      <c r="O290" s="22">
        <v>1.3099700000000001</v>
      </c>
      <c r="P290" s="22">
        <v>11.789099999999999</v>
      </c>
      <c r="Q290" s="22">
        <v>-1.3037099999999999E-2</v>
      </c>
      <c r="R290" s="22">
        <v>280</v>
      </c>
      <c r="S290" s="22">
        <v>1.3091999999999999</v>
      </c>
      <c r="T290">
        <f t="shared" si="50"/>
        <v>16.095185185185183</v>
      </c>
      <c r="U290">
        <f t="shared" si="51"/>
        <v>21.084209737037035</v>
      </c>
      <c r="X290" s="9"/>
      <c r="Y290" s="22">
        <v>0.37002600000000002</v>
      </c>
      <c r="Z290" s="22">
        <v>17.3004</v>
      </c>
      <c r="AA290" s="22">
        <v>-1.3854999999999999E-2</v>
      </c>
      <c r="AB290" s="22">
        <v>280</v>
      </c>
      <c r="AC290" s="22">
        <v>0.36935400000000002</v>
      </c>
      <c r="AD290">
        <f t="shared" si="52"/>
        <v>17.104938271604937</v>
      </c>
      <c r="AE290">
        <f t="shared" si="53"/>
        <v>6.329271888888889</v>
      </c>
      <c r="AF290" s="9"/>
      <c r="AG290" s="22">
        <v>1.3099700000000001</v>
      </c>
      <c r="AH290" s="22">
        <v>21.0793</v>
      </c>
      <c r="AI290" s="22">
        <v>-1.3028E-2</v>
      </c>
      <c r="AJ290" s="22">
        <v>280</v>
      </c>
      <c r="AK290" s="22">
        <v>1.3091999999999999</v>
      </c>
      <c r="AL290">
        <f t="shared" si="54"/>
        <v>16.08395061728395</v>
      </c>
      <c r="AM290">
        <f t="shared" si="55"/>
        <v>21.069492790123459</v>
      </c>
      <c r="AP290" s="9"/>
      <c r="AQ290" s="22">
        <v>0.37002600000000002</v>
      </c>
      <c r="AR290" s="22">
        <v>26.526599999999998</v>
      </c>
      <c r="AS290" s="22">
        <v>-1.3864100000000001E-2</v>
      </c>
      <c r="AT290" s="22">
        <v>280</v>
      </c>
      <c r="AU290" s="22">
        <v>0.36938500000000002</v>
      </c>
      <c r="AV290">
        <f t="shared" si="56"/>
        <v>17.11617283950617</v>
      </c>
      <c r="AW290">
        <f t="shared" si="57"/>
        <v>6.3334289711111103</v>
      </c>
      <c r="AX290" s="9"/>
      <c r="AY290" s="22">
        <v>1.3099700000000001</v>
      </c>
      <c r="AZ290" s="22">
        <v>30.305599999999998</v>
      </c>
      <c r="BA290" s="22">
        <v>-1.30951E-2</v>
      </c>
      <c r="BB290" s="22">
        <v>280</v>
      </c>
      <c r="BC290" s="22">
        <v>1.3098099999999999</v>
      </c>
      <c r="BD290">
        <f t="shared" si="58"/>
        <v>16.166790123456789</v>
      </c>
      <c r="BE290">
        <f t="shared" si="59"/>
        <v>21.178010058024689</v>
      </c>
    </row>
    <row r="291" spans="6:57">
      <c r="F291" s="9"/>
      <c r="G291" s="22">
        <v>0.36498999999999998</v>
      </c>
      <c r="H291" s="22">
        <v>8.02027</v>
      </c>
      <c r="I291" s="22">
        <v>-1.38184E-2</v>
      </c>
      <c r="J291" s="22">
        <v>281</v>
      </c>
      <c r="K291" s="22">
        <v>0.36447099999999999</v>
      </c>
      <c r="L291">
        <f t="shared" si="48"/>
        <v>17.05975308641975</v>
      </c>
      <c r="M291">
        <f t="shared" si="49"/>
        <v>6.2266392790123444</v>
      </c>
      <c r="N291" s="9"/>
      <c r="O291" s="22">
        <v>1.3149999999999999</v>
      </c>
      <c r="P291" s="22">
        <v>11.799200000000001</v>
      </c>
      <c r="Q291" s="22">
        <v>-1.30157E-2</v>
      </c>
      <c r="R291" s="22">
        <v>281</v>
      </c>
      <c r="S291" s="22">
        <v>1.31409</v>
      </c>
      <c r="T291">
        <f t="shared" si="50"/>
        <v>16.068765432098765</v>
      </c>
      <c r="U291">
        <f t="shared" si="51"/>
        <v>21.130426543209875</v>
      </c>
      <c r="X291" s="9"/>
      <c r="Y291" s="22">
        <v>0.36498999999999998</v>
      </c>
      <c r="Z291" s="22">
        <v>17.310500000000001</v>
      </c>
      <c r="AA291" s="22">
        <v>-1.3854999999999999E-2</v>
      </c>
      <c r="AB291" s="22">
        <v>281</v>
      </c>
      <c r="AC291" s="22">
        <v>0.36444100000000001</v>
      </c>
      <c r="AD291">
        <f t="shared" si="52"/>
        <v>17.104938271604937</v>
      </c>
      <c r="AE291">
        <f t="shared" si="53"/>
        <v>6.2431314197530856</v>
      </c>
      <c r="AF291" s="9"/>
      <c r="AG291" s="22">
        <v>1.3149999999999999</v>
      </c>
      <c r="AH291" s="22">
        <v>21.089400000000001</v>
      </c>
      <c r="AI291" s="22">
        <v>-1.30096E-2</v>
      </c>
      <c r="AJ291" s="22">
        <v>281</v>
      </c>
      <c r="AK291" s="22">
        <v>1.31409</v>
      </c>
      <c r="AL291">
        <f t="shared" si="54"/>
        <v>16.061234567901234</v>
      </c>
      <c r="AM291">
        <f t="shared" si="55"/>
        <v>21.120523456790121</v>
      </c>
      <c r="AP291" s="9"/>
      <c r="AQ291" s="22">
        <v>0.36498999999999998</v>
      </c>
      <c r="AR291" s="22">
        <v>26.5367</v>
      </c>
      <c r="AS291" s="22">
        <v>-1.38672E-2</v>
      </c>
      <c r="AT291" s="22">
        <v>281</v>
      </c>
      <c r="AU291" s="22">
        <v>0.36444100000000001</v>
      </c>
      <c r="AV291">
        <f t="shared" si="56"/>
        <v>17.12</v>
      </c>
      <c r="AW291">
        <f t="shared" si="57"/>
        <v>6.2486287999999997</v>
      </c>
      <c r="AX291" s="9"/>
      <c r="AY291" s="22">
        <v>1.3149999999999999</v>
      </c>
      <c r="AZ291" s="22">
        <v>30.3157</v>
      </c>
      <c r="BA291" s="22">
        <v>-1.3070699999999999E-2</v>
      </c>
      <c r="BB291" s="22">
        <v>281</v>
      </c>
      <c r="BC291" s="22">
        <v>1.31409</v>
      </c>
      <c r="BD291">
        <f t="shared" si="58"/>
        <v>16.136666666666663</v>
      </c>
      <c r="BE291">
        <f t="shared" si="59"/>
        <v>21.21971666666666</v>
      </c>
    </row>
    <row r="292" spans="6:57">
      <c r="F292" s="9"/>
      <c r="G292" s="22">
        <v>0.35995500000000002</v>
      </c>
      <c r="H292" s="22">
        <v>8.0303500000000003</v>
      </c>
      <c r="I292" s="22">
        <v>-1.38245E-2</v>
      </c>
      <c r="J292" s="22">
        <v>282</v>
      </c>
      <c r="K292" s="22">
        <v>0.35928300000000002</v>
      </c>
      <c r="L292">
        <f t="shared" si="48"/>
        <v>17.067283950617281</v>
      </c>
      <c r="M292">
        <f t="shared" si="49"/>
        <v>6.1434541944444438</v>
      </c>
      <c r="N292" s="9"/>
      <c r="O292" s="22">
        <v>1.3200400000000001</v>
      </c>
      <c r="P292" s="22">
        <v>11.8093</v>
      </c>
      <c r="Q292" s="22">
        <v>-1.29944E-2</v>
      </c>
      <c r="R292" s="22">
        <v>282</v>
      </c>
      <c r="S292" s="22">
        <v>1.31897</v>
      </c>
      <c r="T292">
        <f t="shared" si="50"/>
        <v>16.042469135802467</v>
      </c>
      <c r="U292">
        <f t="shared" si="51"/>
        <v>21.176700958024689</v>
      </c>
      <c r="X292" s="9"/>
      <c r="Y292" s="22">
        <v>0.35995500000000002</v>
      </c>
      <c r="Z292" s="22">
        <v>17.320599999999999</v>
      </c>
      <c r="AA292" s="22">
        <v>-1.3854999999999999E-2</v>
      </c>
      <c r="AB292" s="22">
        <v>282</v>
      </c>
      <c r="AC292" s="22">
        <v>0.359344</v>
      </c>
      <c r="AD292">
        <f t="shared" si="52"/>
        <v>17.104938271604937</v>
      </c>
      <c r="AE292">
        <f t="shared" si="53"/>
        <v>6.1570080555555551</v>
      </c>
      <c r="AF292" s="9"/>
      <c r="AG292" s="22">
        <v>1.3200400000000001</v>
      </c>
      <c r="AH292" s="22">
        <v>21.099499999999999</v>
      </c>
      <c r="AI292" s="22">
        <v>-1.2982199999999999E-2</v>
      </c>
      <c r="AJ292" s="22">
        <v>282</v>
      </c>
      <c r="AK292" s="22">
        <v>1.3192699999999999</v>
      </c>
      <c r="AL292">
        <f t="shared" si="54"/>
        <v>16.027407407407406</v>
      </c>
      <c r="AM292">
        <f t="shared" si="55"/>
        <v>21.156818874074073</v>
      </c>
      <c r="AP292" s="9"/>
      <c r="AQ292" s="22">
        <v>0.35995500000000002</v>
      </c>
      <c r="AR292" s="22">
        <v>26.546800000000001</v>
      </c>
      <c r="AS292" s="22">
        <v>-1.3870199999999999E-2</v>
      </c>
      <c r="AT292" s="22">
        <v>282</v>
      </c>
      <c r="AU292" s="22">
        <v>0.359344</v>
      </c>
      <c r="AV292">
        <f t="shared" si="56"/>
        <v>17.123703703703701</v>
      </c>
      <c r="AW292">
        <f t="shared" si="57"/>
        <v>6.1637627666666663</v>
      </c>
      <c r="AX292" s="9"/>
      <c r="AY292" s="22">
        <v>1.3200400000000001</v>
      </c>
      <c r="AZ292" s="22">
        <v>30.325700000000001</v>
      </c>
      <c r="BA292" s="22">
        <v>-1.30432E-2</v>
      </c>
      <c r="BB292" s="22">
        <v>282</v>
      </c>
      <c r="BC292" s="22">
        <v>1.31897</v>
      </c>
      <c r="BD292">
        <f t="shared" si="58"/>
        <v>16.102716049382714</v>
      </c>
      <c r="BE292">
        <f t="shared" si="59"/>
        <v>21.256229293827161</v>
      </c>
    </row>
    <row r="293" spans="6:57">
      <c r="F293" s="9"/>
      <c r="G293" s="22">
        <v>0.35491899999999998</v>
      </c>
      <c r="H293" s="22">
        <v>8.0404199999999992</v>
      </c>
      <c r="I293" s="22">
        <v>-1.38306E-2</v>
      </c>
      <c r="J293" s="22">
        <v>283</v>
      </c>
      <c r="K293" s="22">
        <v>0.35437000000000002</v>
      </c>
      <c r="L293">
        <f t="shared" si="48"/>
        <v>17.074814814814815</v>
      </c>
      <c r="M293">
        <f t="shared" si="49"/>
        <v>6.0601761992592591</v>
      </c>
      <c r="N293" s="9"/>
      <c r="O293" s="22">
        <v>1.32507</v>
      </c>
      <c r="P293" s="22">
        <v>11.8193</v>
      </c>
      <c r="Q293" s="22">
        <v>-1.2973E-2</v>
      </c>
      <c r="R293" s="22">
        <v>283</v>
      </c>
      <c r="S293" s="22">
        <v>1.32446</v>
      </c>
      <c r="T293">
        <f t="shared" si="50"/>
        <v>16.016049382716048</v>
      </c>
      <c r="U293">
        <f t="shared" si="51"/>
        <v>21.222386555555552</v>
      </c>
      <c r="X293" s="9"/>
      <c r="Y293" s="22">
        <v>0.35491899999999998</v>
      </c>
      <c r="Z293" s="22">
        <v>17.3306</v>
      </c>
      <c r="AA293" s="22">
        <v>-1.3858000000000001E-2</v>
      </c>
      <c r="AB293" s="22">
        <v>283</v>
      </c>
      <c r="AC293" s="22">
        <v>0.35430899999999999</v>
      </c>
      <c r="AD293">
        <f t="shared" si="52"/>
        <v>17.10864197530864</v>
      </c>
      <c r="AE293">
        <f t="shared" si="53"/>
        <v>6.0721821012345671</v>
      </c>
      <c r="AF293" s="9"/>
      <c r="AG293" s="22">
        <v>1.32507</v>
      </c>
      <c r="AH293" s="22">
        <v>21.109500000000001</v>
      </c>
      <c r="AI293" s="22">
        <v>-1.29608E-2</v>
      </c>
      <c r="AJ293" s="22">
        <v>283</v>
      </c>
      <c r="AK293" s="22">
        <v>1.32416</v>
      </c>
      <c r="AL293">
        <f t="shared" si="54"/>
        <v>16.000987654320987</v>
      </c>
      <c r="AM293">
        <f t="shared" si="55"/>
        <v>21.202428711111111</v>
      </c>
      <c r="AP293" s="9"/>
      <c r="AQ293" s="22">
        <v>0.35491899999999998</v>
      </c>
      <c r="AR293" s="22">
        <v>26.556899999999999</v>
      </c>
      <c r="AS293" s="22">
        <v>-1.38733E-2</v>
      </c>
      <c r="AT293" s="22">
        <v>283</v>
      </c>
      <c r="AU293" s="22">
        <v>0.35427900000000001</v>
      </c>
      <c r="AV293">
        <f t="shared" si="56"/>
        <v>17.127530864197528</v>
      </c>
      <c r="AW293">
        <f t="shared" si="57"/>
        <v>6.0788861267901222</v>
      </c>
      <c r="AX293" s="9"/>
      <c r="AY293" s="22">
        <v>1.32507</v>
      </c>
      <c r="AZ293" s="22">
        <v>30.335799999999999</v>
      </c>
      <c r="BA293" s="22">
        <v>-1.3018800000000001E-2</v>
      </c>
      <c r="BB293" s="22">
        <v>283</v>
      </c>
      <c r="BC293" s="22">
        <v>1.32477</v>
      </c>
      <c r="BD293">
        <f t="shared" si="58"/>
        <v>16.072592592592592</v>
      </c>
      <c r="BE293">
        <f t="shared" si="59"/>
        <v>21.297310266666667</v>
      </c>
    </row>
    <row r="294" spans="6:57">
      <c r="F294" s="9"/>
      <c r="G294" s="22">
        <v>0.34988399999999997</v>
      </c>
      <c r="H294" s="22">
        <v>8.0504899999999999</v>
      </c>
      <c r="I294" s="22">
        <v>-1.38336E-2</v>
      </c>
      <c r="J294" s="22">
        <v>284</v>
      </c>
      <c r="K294" s="22">
        <v>0.34924300000000003</v>
      </c>
      <c r="L294">
        <f t="shared" si="48"/>
        <v>17.078518518518518</v>
      </c>
      <c r="M294">
        <f t="shared" si="49"/>
        <v>5.9755003733333325</v>
      </c>
      <c r="N294" s="9"/>
      <c r="O294" s="22">
        <v>1.3301099999999999</v>
      </c>
      <c r="P294" s="22">
        <v>11.8294</v>
      </c>
      <c r="Q294" s="22">
        <v>-1.29547E-2</v>
      </c>
      <c r="R294" s="22">
        <v>284</v>
      </c>
      <c r="S294" s="22">
        <v>1.32965</v>
      </c>
      <c r="T294">
        <f t="shared" si="50"/>
        <v>15.993456790123457</v>
      </c>
      <c r="U294">
        <f t="shared" si="51"/>
        <v>21.273056811111108</v>
      </c>
      <c r="X294" s="9"/>
      <c r="Y294" s="22">
        <v>0.34988399999999997</v>
      </c>
      <c r="Z294" s="22">
        <v>17.340699999999998</v>
      </c>
      <c r="AA294" s="22">
        <v>-1.3858000000000001E-2</v>
      </c>
      <c r="AB294" s="22">
        <v>284</v>
      </c>
      <c r="AC294" s="22">
        <v>0.34927399999999997</v>
      </c>
      <c r="AD294">
        <f t="shared" si="52"/>
        <v>17.10864197530864</v>
      </c>
      <c r="AE294">
        <f t="shared" si="53"/>
        <v>5.9860400888888874</v>
      </c>
      <c r="AF294" s="9"/>
      <c r="AG294" s="22">
        <v>1.3301099999999999</v>
      </c>
      <c r="AH294" s="22">
        <v>21.119599999999998</v>
      </c>
      <c r="AI294" s="22">
        <v>-1.2936400000000001E-2</v>
      </c>
      <c r="AJ294" s="22">
        <v>284</v>
      </c>
      <c r="AK294" s="22">
        <v>1.32874</v>
      </c>
      <c r="AL294">
        <f t="shared" si="54"/>
        <v>15.970864197530865</v>
      </c>
      <c r="AM294">
        <f t="shared" si="55"/>
        <v>21.243006177777776</v>
      </c>
      <c r="AP294" s="9"/>
      <c r="AQ294" s="22">
        <v>0.34988399999999997</v>
      </c>
      <c r="AR294" s="22">
        <v>26.5669</v>
      </c>
      <c r="AS294" s="22">
        <v>-1.3876299999999999E-2</v>
      </c>
      <c r="AT294" s="22">
        <v>284</v>
      </c>
      <c r="AU294" s="22">
        <v>0.34924300000000003</v>
      </c>
      <c r="AV294">
        <f t="shared" si="56"/>
        <v>17.131234567901231</v>
      </c>
      <c r="AW294">
        <f t="shared" si="57"/>
        <v>5.9939448755555542</v>
      </c>
      <c r="AX294" s="9"/>
      <c r="AY294" s="22">
        <v>1.3301099999999999</v>
      </c>
      <c r="AZ294" s="22">
        <v>30.3459</v>
      </c>
      <c r="BA294" s="22">
        <v>-1.2985200000000001E-2</v>
      </c>
      <c r="BB294" s="22">
        <v>284</v>
      </c>
      <c r="BC294" s="22">
        <v>1.32935</v>
      </c>
      <c r="BD294">
        <f t="shared" si="58"/>
        <v>16.031111111111109</v>
      </c>
      <c r="BE294">
        <f t="shared" si="59"/>
        <v>21.323141199999995</v>
      </c>
    </row>
    <row r="295" spans="6:57">
      <c r="F295" s="9"/>
      <c r="G295" s="22">
        <v>0.34484900000000002</v>
      </c>
      <c r="H295" s="22">
        <v>8.0605600000000006</v>
      </c>
      <c r="I295" s="22">
        <v>-1.38336E-2</v>
      </c>
      <c r="J295" s="22">
        <v>285</v>
      </c>
      <c r="K295" s="22">
        <v>0.34420800000000001</v>
      </c>
      <c r="L295">
        <f t="shared" si="48"/>
        <v>17.078518518518518</v>
      </c>
      <c r="M295">
        <f t="shared" si="49"/>
        <v>5.8895100325925922</v>
      </c>
      <c r="N295" s="9"/>
      <c r="O295" s="22">
        <v>1.33514</v>
      </c>
      <c r="P295" s="22">
        <v>11.839499999999999</v>
      </c>
      <c r="Q295" s="22">
        <v>-1.2936400000000001E-2</v>
      </c>
      <c r="R295" s="22">
        <v>285</v>
      </c>
      <c r="S295" s="22">
        <v>1.33423</v>
      </c>
      <c r="T295">
        <f t="shared" si="50"/>
        <v>15.970864197530865</v>
      </c>
      <c r="U295">
        <f t="shared" si="51"/>
        <v>21.323339624691361</v>
      </c>
      <c r="X295" s="9"/>
      <c r="Y295" s="22">
        <v>0.34484900000000002</v>
      </c>
      <c r="Z295" s="22">
        <v>17.3508</v>
      </c>
      <c r="AA295" s="22">
        <v>-1.3858000000000001E-2</v>
      </c>
      <c r="AB295" s="22">
        <v>285</v>
      </c>
      <c r="AC295" s="22">
        <v>0.34423799999999999</v>
      </c>
      <c r="AD295">
        <f t="shared" si="52"/>
        <v>17.10864197530864</v>
      </c>
      <c r="AE295">
        <f t="shared" si="53"/>
        <v>5.8998980765432094</v>
      </c>
      <c r="AF295" s="9"/>
      <c r="AG295" s="22">
        <v>1.33514</v>
      </c>
      <c r="AH295" s="22">
        <v>21.1297</v>
      </c>
      <c r="AI295" s="22">
        <v>-1.2914999999999999E-2</v>
      </c>
      <c r="AJ295" s="22">
        <v>285</v>
      </c>
      <c r="AK295" s="22">
        <v>1.33453</v>
      </c>
      <c r="AL295">
        <f t="shared" si="54"/>
        <v>15.944444444444441</v>
      </c>
      <c r="AM295">
        <f t="shared" si="55"/>
        <v>21.288065555555551</v>
      </c>
      <c r="AP295" s="9"/>
      <c r="AQ295" s="22">
        <v>0.34484900000000002</v>
      </c>
      <c r="AR295" s="22">
        <v>26.577000000000002</v>
      </c>
      <c r="AS295" s="22">
        <v>-1.3876299999999999E-2</v>
      </c>
      <c r="AT295" s="22">
        <v>285</v>
      </c>
      <c r="AU295" s="22">
        <v>0.34420800000000001</v>
      </c>
      <c r="AV295">
        <f t="shared" si="56"/>
        <v>17.131234567901231</v>
      </c>
      <c r="AW295">
        <f t="shared" si="57"/>
        <v>5.9076891095061717</v>
      </c>
      <c r="AX295" s="9"/>
      <c r="AY295" s="22">
        <v>1.33514</v>
      </c>
      <c r="AZ295" s="22">
        <v>30.355899999999998</v>
      </c>
      <c r="BA295" s="22">
        <v>-1.29639E-2</v>
      </c>
      <c r="BB295" s="22">
        <v>285</v>
      </c>
      <c r="BC295" s="22">
        <v>1.33453</v>
      </c>
      <c r="BD295">
        <f t="shared" si="58"/>
        <v>16.004814814814814</v>
      </c>
      <c r="BE295">
        <f t="shared" si="59"/>
        <v>21.36866845185185</v>
      </c>
    </row>
    <row r="296" spans="6:57">
      <c r="F296" s="9"/>
      <c r="G296" s="22">
        <v>0.33981299999999998</v>
      </c>
      <c r="H296" s="22">
        <v>8.0706299999999995</v>
      </c>
      <c r="I296" s="22">
        <v>-1.38336E-2</v>
      </c>
      <c r="J296" s="22">
        <v>286</v>
      </c>
      <c r="K296" s="22">
        <v>0.33920299999999998</v>
      </c>
      <c r="L296">
        <f t="shared" si="48"/>
        <v>17.078518518518518</v>
      </c>
      <c r="M296">
        <f t="shared" si="49"/>
        <v>5.8035026133333325</v>
      </c>
      <c r="N296" s="9"/>
      <c r="O296" s="22">
        <v>1.3401799999999999</v>
      </c>
      <c r="P296" s="22">
        <v>11.849500000000001</v>
      </c>
      <c r="Q296" s="22">
        <v>-1.2914999999999999E-2</v>
      </c>
      <c r="R296" s="22">
        <v>286</v>
      </c>
      <c r="S296" s="22">
        <v>1.3394200000000001</v>
      </c>
      <c r="T296">
        <f t="shared" si="50"/>
        <v>15.944444444444441</v>
      </c>
      <c r="U296">
        <f t="shared" si="51"/>
        <v>21.36842555555555</v>
      </c>
      <c r="X296" s="9"/>
      <c r="Y296" s="22">
        <v>0.33981299999999998</v>
      </c>
      <c r="Z296" s="22">
        <v>17.360900000000001</v>
      </c>
      <c r="AA296" s="22">
        <v>-1.3861099999999999E-2</v>
      </c>
      <c r="AB296" s="22">
        <v>286</v>
      </c>
      <c r="AC296" s="22">
        <v>0.33923300000000001</v>
      </c>
      <c r="AD296">
        <f t="shared" si="52"/>
        <v>17.112469135802467</v>
      </c>
      <c r="AE296">
        <f t="shared" si="53"/>
        <v>5.8150394744444434</v>
      </c>
      <c r="AF296" s="9"/>
      <c r="AG296" s="22">
        <v>1.3401799999999999</v>
      </c>
      <c r="AH296" s="22">
        <v>21.139800000000001</v>
      </c>
      <c r="AI296" s="22">
        <v>-1.28906E-2</v>
      </c>
      <c r="AJ296" s="22">
        <v>286</v>
      </c>
      <c r="AK296" s="22">
        <v>1.33911</v>
      </c>
      <c r="AL296">
        <f t="shared" si="54"/>
        <v>15.914320987654323</v>
      </c>
      <c r="AM296">
        <f t="shared" si="55"/>
        <v>21.328054701234571</v>
      </c>
      <c r="AP296" s="9"/>
      <c r="AQ296" s="22">
        <v>0.33981299999999998</v>
      </c>
      <c r="AR296" s="22">
        <v>26.5871</v>
      </c>
      <c r="AS296" s="22">
        <v>-1.38824E-2</v>
      </c>
      <c r="AT296" s="22">
        <v>286</v>
      </c>
      <c r="AU296" s="22">
        <v>0.33929399999999998</v>
      </c>
      <c r="AV296">
        <f t="shared" si="56"/>
        <v>17.138765432098765</v>
      </c>
      <c r="AW296">
        <f t="shared" si="57"/>
        <v>5.8239752977777774</v>
      </c>
      <c r="AX296" s="9"/>
      <c r="AY296" s="22">
        <v>1.3401799999999999</v>
      </c>
      <c r="AZ296" s="22">
        <v>30.366</v>
      </c>
      <c r="BA296" s="22">
        <v>-1.29395E-2</v>
      </c>
      <c r="BB296" s="22">
        <v>286</v>
      </c>
      <c r="BC296" s="22">
        <v>1.3394200000000001</v>
      </c>
      <c r="BD296">
        <f t="shared" si="58"/>
        <v>15.974691358024689</v>
      </c>
      <c r="BE296">
        <f t="shared" si="59"/>
        <v>21.408961864197526</v>
      </c>
    </row>
    <row r="297" spans="6:57">
      <c r="F297" s="9"/>
      <c r="G297" s="22">
        <v>0.33477800000000002</v>
      </c>
      <c r="H297" s="22">
        <v>8.0807000000000002</v>
      </c>
      <c r="I297" s="22">
        <v>-1.38336E-2</v>
      </c>
      <c r="J297" s="22">
        <v>287</v>
      </c>
      <c r="K297" s="22">
        <v>0.33416699999999999</v>
      </c>
      <c r="L297">
        <f t="shared" si="48"/>
        <v>17.078518518518518</v>
      </c>
      <c r="M297">
        <f t="shared" si="49"/>
        <v>5.7175122725925931</v>
      </c>
      <c r="N297" s="9"/>
      <c r="O297" s="22">
        <v>1.34521</v>
      </c>
      <c r="P297" s="22">
        <v>11.8596</v>
      </c>
      <c r="Q297" s="22">
        <v>-1.28906E-2</v>
      </c>
      <c r="R297" s="22">
        <v>287</v>
      </c>
      <c r="S297" s="22">
        <v>1.3443000000000001</v>
      </c>
      <c r="T297">
        <f t="shared" si="50"/>
        <v>15.914320987654323</v>
      </c>
      <c r="U297">
        <f t="shared" si="51"/>
        <v>21.40810373580247</v>
      </c>
      <c r="X297" s="9"/>
      <c r="Y297" s="22">
        <v>0.33477800000000002</v>
      </c>
      <c r="Z297" s="22">
        <v>17.370899999999999</v>
      </c>
      <c r="AA297" s="22">
        <v>-1.3864100000000001E-2</v>
      </c>
      <c r="AB297" s="22">
        <v>287</v>
      </c>
      <c r="AC297" s="22">
        <v>0.33416699999999999</v>
      </c>
      <c r="AD297">
        <f t="shared" si="52"/>
        <v>17.11617283950617</v>
      </c>
      <c r="AE297">
        <f t="shared" si="53"/>
        <v>5.730118110864197</v>
      </c>
      <c r="AF297" s="9"/>
      <c r="AG297" s="22">
        <v>1.34521</v>
      </c>
      <c r="AH297" s="22">
        <v>21.149799999999999</v>
      </c>
      <c r="AI297" s="22">
        <v>-1.28662E-2</v>
      </c>
      <c r="AJ297" s="22">
        <v>287</v>
      </c>
      <c r="AK297" s="22">
        <v>1.34399</v>
      </c>
      <c r="AL297">
        <f t="shared" si="54"/>
        <v>15.884197530864196</v>
      </c>
      <c r="AM297">
        <f t="shared" si="55"/>
        <v>21.367581360493826</v>
      </c>
      <c r="AP297" s="9"/>
      <c r="AQ297" s="22">
        <v>0.33477800000000002</v>
      </c>
      <c r="AR297" s="22">
        <v>26.597100000000001</v>
      </c>
      <c r="AS297" s="22">
        <v>-1.38855E-2</v>
      </c>
      <c r="AT297" s="22">
        <v>287</v>
      </c>
      <c r="AU297" s="22">
        <v>0.334198</v>
      </c>
      <c r="AV297">
        <f t="shared" si="56"/>
        <v>17.142592592592592</v>
      </c>
      <c r="AW297">
        <f t="shared" si="57"/>
        <v>5.7389628629629632</v>
      </c>
      <c r="AX297" s="9"/>
      <c r="AY297" s="22">
        <v>1.34521</v>
      </c>
      <c r="AZ297" s="22">
        <v>30.376100000000001</v>
      </c>
      <c r="BA297" s="22">
        <v>-1.29059E-2</v>
      </c>
      <c r="BB297" s="22">
        <v>287</v>
      </c>
      <c r="BC297" s="22">
        <v>1.34399</v>
      </c>
      <c r="BD297">
        <f t="shared" si="58"/>
        <v>15.933209876543209</v>
      </c>
      <c r="BE297">
        <f t="shared" si="59"/>
        <v>21.433513258024689</v>
      </c>
    </row>
    <row r="298" spans="6:57">
      <c r="F298" s="9"/>
      <c r="G298" s="22">
        <v>0.32974199999999998</v>
      </c>
      <c r="H298" s="22">
        <v>8.0907699999999991</v>
      </c>
      <c r="I298" s="22">
        <v>-1.38367E-2</v>
      </c>
      <c r="J298" s="22">
        <v>288</v>
      </c>
      <c r="K298" s="22">
        <v>0.32910200000000001</v>
      </c>
      <c r="L298">
        <f t="shared" si="48"/>
        <v>17.082345679012345</v>
      </c>
      <c r="M298">
        <f t="shared" si="49"/>
        <v>5.6327668288888884</v>
      </c>
      <c r="N298" s="9"/>
      <c r="O298" s="22">
        <v>1.35025</v>
      </c>
      <c r="P298" s="22">
        <v>11.8697</v>
      </c>
      <c r="Q298" s="22">
        <v>-1.28662E-2</v>
      </c>
      <c r="R298" s="22">
        <v>288</v>
      </c>
      <c r="S298" s="22">
        <v>1.34918</v>
      </c>
      <c r="T298">
        <f t="shared" si="50"/>
        <v>15.884197530864196</v>
      </c>
      <c r="U298">
        <f t="shared" si="51"/>
        <v>21.447637716049378</v>
      </c>
      <c r="X298" s="9"/>
      <c r="Y298" s="22">
        <v>0.32974199999999998</v>
      </c>
      <c r="Z298" s="22">
        <v>17.381</v>
      </c>
      <c r="AA298" s="22">
        <v>-1.3864100000000001E-2</v>
      </c>
      <c r="AB298" s="22">
        <v>288</v>
      </c>
      <c r="AC298" s="22">
        <v>0.32919300000000001</v>
      </c>
      <c r="AD298">
        <f t="shared" si="52"/>
        <v>17.11617283950617</v>
      </c>
      <c r="AE298">
        <f t="shared" si="53"/>
        <v>5.6439210644444433</v>
      </c>
      <c r="AF298" s="9"/>
      <c r="AG298" s="22">
        <v>1.35025</v>
      </c>
      <c r="AH298" s="22">
        <v>21.1599</v>
      </c>
      <c r="AI298" s="22">
        <v>-1.28326E-2</v>
      </c>
      <c r="AJ298" s="22">
        <v>288</v>
      </c>
      <c r="AK298" s="22">
        <v>1.3494900000000001</v>
      </c>
      <c r="AL298">
        <f t="shared" si="54"/>
        <v>15.842716049382712</v>
      </c>
      <c r="AM298">
        <f t="shared" si="55"/>
        <v>21.391627345679005</v>
      </c>
      <c r="AP298" s="9"/>
      <c r="AQ298" s="22">
        <v>0.32974199999999998</v>
      </c>
      <c r="AR298" s="22">
        <v>26.607199999999999</v>
      </c>
      <c r="AS298" s="22">
        <v>-1.38855E-2</v>
      </c>
      <c r="AT298" s="22">
        <v>288</v>
      </c>
      <c r="AU298" s="22">
        <v>0.32916299999999998</v>
      </c>
      <c r="AV298">
        <f t="shared" si="56"/>
        <v>17.142592592592592</v>
      </c>
      <c r="AW298">
        <f t="shared" si="57"/>
        <v>5.6526327666666658</v>
      </c>
      <c r="AX298" s="9"/>
      <c r="AY298" s="22">
        <v>1.35025</v>
      </c>
      <c r="AZ298" s="22">
        <v>30.386199999999999</v>
      </c>
      <c r="BA298" s="22">
        <v>-1.28784E-2</v>
      </c>
      <c r="BB298" s="22">
        <v>288</v>
      </c>
      <c r="BC298" s="22">
        <v>1.3488800000000001</v>
      </c>
      <c r="BD298">
        <f t="shared" si="58"/>
        <v>15.899259259259258</v>
      </c>
      <c r="BE298">
        <f t="shared" si="59"/>
        <v>21.467974814814813</v>
      </c>
    </row>
    <row r="299" spans="6:57">
      <c r="F299" s="9"/>
      <c r="G299" s="22">
        <v>0.32470700000000002</v>
      </c>
      <c r="H299" s="22">
        <v>8.1008399999999998</v>
      </c>
      <c r="I299" s="22">
        <v>-1.38336E-2</v>
      </c>
      <c r="J299" s="22">
        <v>289</v>
      </c>
      <c r="K299" s="22">
        <v>0.324158</v>
      </c>
      <c r="L299">
        <f t="shared" si="48"/>
        <v>17.078518518518518</v>
      </c>
      <c r="M299">
        <f t="shared" si="49"/>
        <v>5.5455145125925931</v>
      </c>
      <c r="N299" s="9"/>
      <c r="O299" s="22">
        <v>1.3552900000000001</v>
      </c>
      <c r="P299" s="22">
        <v>11.8797</v>
      </c>
      <c r="Q299" s="22">
        <v>-1.2847900000000001E-2</v>
      </c>
      <c r="R299" s="22">
        <v>289</v>
      </c>
      <c r="S299" s="22">
        <v>1.3546800000000001</v>
      </c>
      <c r="T299">
        <f t="shared" si="50"/>
        <v>15.861604938271604</v>
      </c>
      <c r="U299">
        <f t="shared" si="51"/>
        <v>21.497074556790125</v>
      </c>
      <c r="X299" s="9"/>
      <c r="Y299" s="22">
        <v>0.32470700000000002</v>
      </c>
      <c r="Z299" s="22">
        <v>17.391100000000002</v>
      </c>
      <c r="AA299" s="22">
        <v>-1.38672E-2</v>
      </c>
      <c r="AB299" s="22">
        <v>289</v>
      </c>
      <c r="AC299" s="22">
        <v>0.324158</v>
      </c>
      <c r="AD299">
        <f t="shared" si="52"/>
        <v>17.12</v>
      </c>
      <c r="AE299">
        <f t="shared" si="53"/>
        <v>5.5589838400000007</v>
      </c>
      <c r="AF299" s="9"/>
      <c r="AG299" s="22">
        <v>1.3552900000000001</v>
      </c>
      <c r="AH299" s="22">
        <v>21.17</v>
      </c>
      <c r="AI299" s="22">
        <v>-1.2811299999999999E-2</v>
      </c>
      <c r="AJ299" s="22">
        <v>289</v>
      </c>
      <c r="AK299" s="22">
        <v>1.3543700000000001</v>
      </c>
      <c r="AL299">
        <f t="shared" si="54"/>
        <v>15.816419753086418</v>
      </c>
      <c r="AM299">
        <f t="shared" si="55"/>
        <v>21.435835527160492</v>
      </c>
      <c r="AP299" s="9"/>
      <c r="AQ299" s="22">
        <v>0.32470700000000002</v>
      </c>
      <c r="AR299" s="22">
        <v>26.6173</v>
      </c>
      <c r="AS299" s="22">
        <v>-1.38885E-2</v>
      </c>
      <c r="AT299" s="22">
        <v>289</v>
      </c>
      <c r="AU299" s="22">
        <v>0.32406600000000002</v>
      </c>
      <c r="AV299">
        <f t="shared" si="56"/>
        <v>17.146296296296295</v>
      </c>
      <c r="AW299">
        <f t="shared" si="57"/>
        <v>5.567522431481482</v>
      </c>
      <c r="AX299" s="9"/>
      <c r="AY299" s="22">
        <v>1.3552900000000001</v>
      </c>
      <c r="AZ299" s="22">
        <v>30.3962</v>
      </c>
      <c r="BA299" s="22">
        <v>-1.2854000000000001E-2</v>
      </c>
      <c r="BB299" s="22">
        <v>289</v>
      </c>
      <c r="BC299" s="22">
        <v>1.3543700000000001</v>
      </c>
      <c r="BD299">
        <f t="shared" si="58"/>
        <v>15.869135802469136</v>
      </c>
      <c r="BE299">
        <f t="shared" si="59"/>
        <v>21.507281061728399</v>
      </c>
    </row>
    <row r="300" spans="6:57">
      <c r="F300" s="9"/>
      <c r="G300" s="22">
        <v>0.31967200000000001</v>
      </c>
      <c r="H300" s="22">
        <v>8.1109100000000005</v>
      </c>
      <c r="I300" s="22">
        <v>-1.38367E-2</v>
      </c>
      <c r="J300" s="22">
        <v>290</v>
      </c>
      <c r="K300" s="22">
        <v>0.31912200000000002</v>
      </c>
      <c r="L300">
        <f t="shared" si="48"/>
        <v>17.082345679012345</v>
      </c>
      <c r="M300">
        <f t="shared" si="49"/>
        <v>5.4607476079012347</v>
      </c>
      <c r="N300" s="9"/>
      <c r="O300" s="22">
        <v>1.36032</v>
      </c>
      <c r="P300" s="22">
        <v>11.889799999999999</v>
      </c>
      <c r="Q300" s="22">
        <v>-1.28174E-2</v>
      </c>
      <c r="R300" s="22">
        <v>290</v>
      </c>
      <c r="S300" s="22">
        <v>1.3595600000000001</v>
      </c>
      <c r="T300">
        <f t="shared" si="50"/>
        <v>15.82395061728395</v>
      </c>
      <c r="U300">
        <f t="shared" si="51"/>
        <v>21.525636503703701</v>
      </c>
      <c r="X300" s="9"/>
      <c r="Y300" s="22">
        <v>0.31967200000000001</v>
      </c>
      <c r="Z300" s="22">
        <v>17.4011</v>
      </c>
      <c r="AA300" s="22">
        <v>-1.38672E-2</v>
      </c>
      <c r="AB300" s="22">
        <v>290</v>
      </c>
      <c r="AC300" s="22">
        <v>0.31915300000000002</v>
      </c>
      <c r="AD300">
        <f t="shared" si="52"/>
        <v>17.12</v>
      </c>
      <c r="AE300">
        <f t="shared" si="53"/>
        <v>5.4727846400000004</v>
      </c>
      <c r="AF300" s="9"/>
      <c r="AG300" s="22">
        <v>1.36032</v>
      </c>
      <c r="AH300" s="22">
        <v>21.18</v>
      </c>
      <c r="AI300" s="22">
        <v>-1.27899E-2</v>
      </c>
      <c r="AJ300" s="22">
        <v>290</v>
      </c>
      <c r="AK300" s="22">
        <v>1.3595600000000001</v>
      </c>
      <c r="AL300">
        <f t="shared" si="54"/>
        <v>15.79</v>
      </c>
      <c r="AM300">
        <f t="shared" si="55"/>
        <v>21.479452799999997</v>
      </c>
      <c r="AP300" s="9"/>
      <c r="AQ300" s="22">
        <v>0.31967200000000001</v>
      </c>
      <c r="AR300" s="22">
        <v>26.627400000000002</v>
      </c>
      <c r="AS300" s="22">
        <v>-1.38916E-2</v>
      </c>
      <c r="AT300" s="22">
        <v>290</v>
      </c>
      <c r="AU300" s="22">
        <v>0.31912200000000002</v>
      </c>
      <c r="AV300">
        <f t="shared" si="56"/>
        <v>17.150123456790123</v>
      </c>
      <c r="AW300">
        <f t="shared" si="57"/>
        <v>5.4824142656790125</v>
      </c>
      <c r="AX300" s="9"/>
      <c r="AY300" s="22">
        <v>1.36032</v>
      </c>
      <c r="AZ300" s="22">
        <v>30.406300000000002</v>
      </c>
      <c r="BA300" s="22">
        <v>-1.28387E-2</v>
      </c>
      <c r="BB300" s="22">
        <v>290</v>
      </c>
      <c r="BC300" s="22">
        <v>1.3592500000000001</v>
      </c>
      <c r="BD300">
        <f t="shared" si="58"/>
        <v>15.850246913580245</v>
      </c>
      <c r="BE300">
        <f t="shared" si="59"/>
        <v>21.561407881481479</v>
      </c>
    </row>
    <row r="301" spans="6:57">
      <c r="F301" s="9"/>
      <c r="G301" s="22">
        <v>0.31463600000000003</v>
      </c>
      <c r="H301" s="22">
        <v>8.1209799999999994</v>
      </c>
      <c r="I301" s="22">
        <v>-1.38397E-2</v>
      </c>
      <c r="J301" s="22">
        <v>291</v>
      </c>
      <c r="K301" s="22">
        <v>0.31411699999999998</v>
      </c>
      <c r="L301">
        <f t="shared" si="48"/>
        <v>17.086049382716048</v>
      </c>
      <c r="M301">
        <f t="shared" si="49"/>
        <v>5.3758862335802471</v>
      </c>
      <c r="N301" s="9"/>
      <c r="O301" s="22">
        <v>1.3653599999999999</v>
      </c>
      <c r="P301" s="22">
        <v>11.899900000000001</v>
      </c>
      <c r="Q301" s="22">
        <v>-1.28021E-2</v>
      </c>
      <c r="R301" s="22">
        <v>291</v>
      </c>
      <c r="S301" s="22">
        <v>1.3647499999999999</v>
      </c>
      <c r="T301">
        <f t="shared" si="50"/>
        <v>15.805061728395062</v>
      </c>
      <c r="U301">
        <f t="shared" si="51"/>
        <v>21.579599081481479</v>
      </c>
      <c r="X301" s="9"/>
      <c r="Y301" s="22">
        <v>0.31463600000000003</v>
      </c>
      <c r="Z301" s="22">
        <v>17.411200000000001</v>
      </c>
      <c r="AA301" s="22">
        <v>-1.38733E-2</v>
      </c>
      <c r="AB301" s="22">
        <v>291</v>
      </c>
      <c r="AC301" s="22">
        <v>0.31408700000000001</v>
      </c>
      <c r="AD301">
        <f t="shared" si="52"/>
        <v>17.127530864197528</v>
      </c>
      <c r="AE301">
        <f t="shared" si="53"/>
        <v>5.3889378009876543</v>
      </c>
      <c r="AF301" s="9"/>
      <c r="AG301" s="22">
        <v>1.3653599999999999</v>
      </c>
      <c r="AH301" s="22">
        <v>21.190100000000001</v>
      </c>
      <c r="AI301" s="22">
        <v>-1.2765500000000001E-2</v>
      </c>
      <c r="AJ301" s="22">
        <v>291</v>
      </c>
      <c r="AK301" s="22">
        <v>1.3647499999999999</v>
      </c>
      <c r="AL301">
        <f t="shared" si="54"/>
        <v>15.759876543209876</v>
      </c>
      <c r="AM301">
        <f t="shared" si="55"/>
        <v>21.517905037037035</v>
      </c>
      <c r="AP301" s="9"/>
      <c r="AQ301" s="22">
        <v>0.31463600000000003</v>
      </c>
      <c r="AR301" s="22">
        <v>26.6374</v>
      </c>
      <c r="AS301" s="22">
        <v>-1.3894699999999999E-2</v>
      </c>
      <c r="AT301" s="22">
        <v>291</v>
      </c>
      <c r="AU301" s="22">
        <v>0.31411699999999998</v>
      </c>
      <c r="AV301">
        <f t="shared" si="56"/>
        <v>17.153950617283947</v>
      </c>
      <c r="AW301">
        <f t="shared" si="57"/>
        <v>5.3972504064197526</v>
      </c>
      <c r="AX301" s="9"/>
      <c r="AY301" s="22">
        <v>1.3653599999999999</v>
      </c>
      <c r="AZ301" s="22">
        <v>30.416399999999999</v>
      </c>
      <c r="BA301" s="22">
        <v>-1.28174E-2</v>
      </c>
      <c r="BB301" s="22">
        <v>291</v>
      </c>
      <c r="BC301" s="22">
        <v>1.3647499999999999</v>
      </c>
      <c r="BD301">
        <f t="shared" si="58"/>
        <v>15.82395061728395</v>
      </c>
      <c r="BE301">
        <f t="shared" si="59"/>
        <v>21.605389214814814</v>
      </c>
    </row>
    <row r="302" spans="6:57">
      <c r="F302" s="9"/>
      <c r="G302" s="22">
        <v>0.30960100000000002</v>
      </c>
      <c r="H302" s="22">
        <v>8.1310599999999997</v>
      </c>
      <c r="I302" s="22">
        <v>-1.3842800000000001E-2</v>
      </c>
      <c r="J302" s="22">
        <v>292</v>
      </c>
      <c r="K302" s="22">
        <v>0.30908200000000002</v>
      </c>
      <c r="L302">
        <f t="shared" si="48"/>
        <v>17.089876543209876</v>
      </c>
      <c r="M302">
        <f t="shared" si="49"/>
        <v>5.2910428676543209</v>
      </c>
      <c r="N302" s="9"/>
      <c r="O302" s="22">
        <v>1.37039</v>
      </c>
      <c r="P302" s="22">
        <v>11.91</v>
      </c>
      <c r="Q302" s="22">
        <v>-1.2777699999999999E-2</v>
      </c>
      <c r="R302" s="22">
        <v>292</v>
      </c>
      <c r="S302" s="22">
        <v>1.3696299999999999</v>
      </c>
      <c r="T302">
        <f t="shared" si="50"/>
        <v>15.774938271604935</v>
      </c>
      <c r="U302">
        <f t="shared" si="51"/>
        <v>21.617817658024688</v>
      </c>
      <c r="X302" s="9"/>
      <c r="Y302" s="22">
        <v>0.30960100000000002</v>
      </c>
      <c r="Z302" s="22">
        <v>17.421299999999999</v>
      </c>
      <c r="AA302" s="22">
        <v>-1.38733E-2</v>
      </c>
      <c r="AB302" s="22">
        <v>292</v>
      </c>
      <c r="AC302" s="22">
        <v>0.30905199999999999</v>
      </c>
      <c r="AD302">
        <f t="shared" si="52"/>
        <v>17.127530864197528</v>
      </c>
      <c r="AE302">
        <f t="shared" si="53"/>
        <v>5.3027006830864192</v>
      </c>
      <c r="AF302" s="9"/>
      <c r="AG302" s="22">
        <v>1.37039</v>
      </c>
      <c r="AH302" s="22">
        <v>21.200199999999999</v>
      </c>
      <c r="AI302" s="22">
        <v>-1.27441E-2</v>
      </c>
      <c r="AJ302" s="22">
        <v>292</v>
      </c>
      <c r="AK302" s="22">
        <v>1.3696299999999999</v>
      </c>
      <c r="AL302">
        <f t="shared" si="54"/>
        <v>15.733456790123457</v>
      </c>
      <c r="AM302">
        <f t="shared" si="55"/>
        <v>21.560971850617285</v>
      </c>
      <c r="AP302" s="9"/>
      <c r="AQ302" s="22">
        <v>0.30960100000000002</v>
      </c>
      <c r="AR302" s="22">
        <v>26.647500000000001</v>
      </c>
      <c r="AS302" s="22">
        <v>-1.3894699999999999E-2</v>
      </c>
      <c r="AT302" s="22">
        <v>292</v>
      </c>
      <c r="AU302" s="22">
        <v>0.30905199999999999</v>
      </c>
      <c r="AV302">
        <f t="shared" si="56"/>
        <v>17.153950617283947</v>
      </c>
      <c r="AW302">
        <f t="shared" si="57"/>
        <v>5.3108802650617273</v>
      </c>
      <c r="AX302" s="9"/>
      <c r="AY302" s="22">
        <v>1.37039</v>
      </c>
      <c r="AZ302" s="22">
        <v>30.426400000000001</v>
      </c>
      <c r="BA302" s="22">
        <v>-1.2796E-2</v>
      </c>
      <c r="BB302" s="22">
        <v>292</v>
      </c>
      <c r="BC302" s="22">
        <v>1.3693200000000001</v>
      </c>
      <c r="BD302">
        <f t="shared" si="58"/>
        <v>15.79753086419753</v>
      </c>
      <c r="BE302">
        <f t="shared" si="59"/>
        <v>21.648778320987653</v>
      </c>
    </row>
    <row r="303" spans="6:57">
      <c r="F303" s="9"/>
      <c r="G303" s="22">
        <v>0.30456499999999997</v>
      </c>
      <c r="H303" s="22">
        <v>8.1411300000000004</v>
      </c>
      <c r="I303" s="22">
        <v>-1.38458E-2</v>
      </c>
      <c r="J303" s="22">
        <v>293</v>
      </c>
      <c r="K303" s="22">
        <v>0.30395499999999998</v>
      </c>
      <c r="L303">
        <f t="shared" si="48"/>
        <v>17.093580246913579</v>
      </c>
      <c r="M303">
        <f t="shared" si="49"/>
        <v>5.2061062679012338</v>
      </c>
      <c r="N303" s="9"/>
      <c r="O303" s="22">
        <v>1.3754299999999999</v>
      </c>
      <c r="P303" s="22">
        <v>11.92</v>
      </c>
      <c r="Q303" s="22">
        <v>-1.27502E-2</v>
      </c>
      <c r="R303" s="22">
        <v>293</v>
      </c>
      <c r="S303" s="22">
        <v>1.3742099999999999</v>
      </c>
      <c r="T303">
        <f t="shared" si="50"/>
        <v>15.740987654320987</v>
      </c>
      <c r="U303">
        <f t="shared" si="51"/>
        <v>21.650626649382716</v>
      </c>
      <c r="X303" s="9"/>
      <c r="Y303" s="22">
        <v>0.30456499999999997</v>
      </c>
      <c r="Z303" s="22">
        <v>17.4313</v>
      </c>
      <c r="AA303" s="22">
        <v>-1.38733E-2</v>
      </c>
      <c r="AB303" s="22">
        <v>293</v>
      </c>
      <c r="AC303" s="22">
        <v>0.30398599999999998</v>
      </c>
      <c r="AD303">
        <f t="shared" si="52"/>
        <v>17.127530864197528</v>
      </c>
      <c r="AE303">
        <f t="shared" si="53"/>
        <v>5.2164464376543194</v>
      </c>
      <c r="AF303" s="9"/>
      <c r="AG303" s="22">
        <v>1.3754299999999999</v>
      </c>
      <c r="AH303" s="22">
        <v>21.2103</v>
      </c>
      <c r="AI303" s="22">
        <v>-1.2710600000000001E-2</v>
      </c>
      <c r="AJ303" s="22">
        <v>293</v>
      </c>
      <c r="AK303" s="22">
        <v>1.3748199999999999</v>
      </c>
      <c r="AL303">
        <f t="shared" si="54"/>
        <v>15.692098765432098</v>
      </c>
      <c r="AM303">
        <f t="shared" si="55"/>
        <v>21.583383404938271</v>
      </c>
      <c r="AP303" s="9"/>
      <c r="AQ303" s="22">
        <v>0.30456499999999997</v>
      </c>
      <c r="AR303" s="22">
        <v>26.657599999999999</v>
      </c>
      <c r="AS303" s="22">
        <v>-1.3897700000000001E-2</v>
      </c>
      <c r="AT303" s="22">
        <v>293</v>
      </c>
      <c r="AU303" s="22">
        <v>0.303925</v>
      </c>
      <c r="AV303">
        <f t="shared" si="56"/>
        <v>17.157654320987653</v>
      </c>
      <c r="AW303">
        <f t="shared" si="57"/>
        <v>5.2256209882716043</v>
      </c>
      <c r="AX303" s="9"/>
      <c r="AY303" s="22">
        <v>1.3754299999999999</v>
      </c>
      <c r="AZ303" s="22">
        <v>30.436499999999999</v>
      </c>
      <c r="BA303" s="22">
        <v>-1.2777699999999999E-2</v>
      </c>
      <c r="BB303" s="22">
        <v>293</v>
      </c>
      <c r="BC303" s="22">
        <v>1.3745099999999999</v>
      </c>
      <c r="BD303">
        <f t="shared" si="58"/>
        <v>15.774938271604935</v>
      </c>
      <c r="BE303">
        <f t="shared" si="59"/>
        <v>21.697323346913574</v>
      </c>
    </row>
    <row r="304" spans="6:57">
      <c r="F304" s="9"/>
      <c r="G304" s="22">
        <v>0.29953000000000002</v>
      </c>
      <c r="H304" s="22">
        <v>8.1511999999999993</v>
      </c>
      <c r="I304" s="22">
        <v>-1.3848900000000001E-2</v>
      </c>
      <c r="J304" s="22">
        <v>294</v>
      </c>
      <c r="K304" s="22">
        <v>0.29894999999999999</v>
      </c>
      <c r="L304">
        <f t="shared" si="48"/>
        <v>17.09740740740741</v>
      </c>
      <c r="M304">
        <f t="shared" si="49"/>
        <v>5.1211864407407415</v>
      </c>
      <c r="N304" s="9"/>
      <c r="O304" s="22">
        <v>1.38046</v>
      </c>
      <c r="P304" s="22">
        <v>11.930099999999999</v>
      </c>
      <c r="Q304" s="22">
        <v>-1.27197E-2</v>
      </c>
      <c r="R304" s="22">
        <v>294</v>
      </c>
      <c r="S304" s="22">
        <v>1.3796999999999999</v>
      </c>
      <c r="T304">
        <f t="shared" si="50"/>
        <v>15.703333333333333</v>
      </c>
      <c r="U304">
        <f t="shared" si="51"/>
        <v>21.677823533333335</v>
      </c>
      <c r="X304" s="9"/>
      <c r="Y304" s="22">
        <v>0.29953000000000002</v>
      </c>
      <c r="Z304" s="22">
        <v>17.441400000000002</v>
      </c>
      <c r="AA304" s="22">
        <v>-1.3876299999999999E-2</v>
      </c>
      <c r="AB304" s="22">
        <v>294</v>
      </c>
      <c r="AC304" s="22">
        <v>0.29894999999999999</v>
      </c>
      <c r="AD304">
        <f t="shared" si="52"/>
        <v>17.131234567901231</v>
      </c>
      <c r="AE304">
        <f t="shared" si="53"/>
        <v>5.1313186901234564</v>
      </c>
      <c r="AF304" s="9"/>
      <c r="AG304" s="22">
        <v>1.38046</v>
      </c>
      <c r="AH304" s="22">
        <v>21.220300000000002</v>
      </c>
      <c r="AI304" s="22">
        <v>-1.26801E-2</v>
      </c>
      <c r="AJ304" s="22">
        <v>294</v>
      </c>
      <c r="AK304" s="22">
        <v>1.3793899999999999</v>
      </c>
      <c r="AL304">
        <f t="shared" si="54"/>
        <v>15.654444444444444</v>
      </c>
      <c r="AM304">
        <f t="shared" si="55"/>
        <v>21.610334377777779</v>
      </c>
      <c r="AP304" s="9"/>
      <c r="AQ304" s="22">
        <v>0.29953000000000002</v>
      </c>
      <c r="AR304" s="22">
        <v>26.6676</v>
      </c>
      <c r="AS304" s="22">
        <v>-1.3897700000000001E-2</v>
      </c>
      <c r="AT304" s="22">
        <v>294</v>
      </c>
      <c r="AU304" s="22">
        <v>0.29888900000000002</v>
      </c>
      <c r="AV304">
        <f t="shared" si="56"/>
        <v>17.157654320987653</v>
      </c>
      <c r="AW304">
        <f t="shared" si="57"/>
        <v>5.1392321987654324</v>
      </c>
      <c r="AX304" s="9"/>
      <c r="AY304" s="22">
        <v>1.38046</v>
      </c>
      <c r="AZ304" s="22">
        <v>30.4466</v>
      </c>
      <c r="BA304" s="22">
        <v>-1.2759400000000001E-2</v>
      </c>
      <c r="BB304" s="22">
        <v>294</v>
      </c>
      <c r="BC304" s="22">
        <v>1.3796999999999999</v>
      </c>
      <c r="BD304">
        <f t="shared" si="58"/>
        <v>15.752345679012343</v>
      </c>
      <c r="BE304">
        <f t="shared" si="59"/>
        <v>21.745483116049378</v>
      </c>
    </row>
    <row r="305" spans="6:57">
      <c r="F305" s="9"/>
      <c r="G305" s="22">
        <v>0.29449500000000001</v>
      </c>
      <c r="H305" s="22">
        <v>8.16127</v>
      </c>
      <c r="I305" s="22">
        <v>-1.38519E-2</v>
      </c>
      <c r="J305" s="22">
        <v>295</v>
      </c>
      <c r="K305" s="22">
        <v>0.29391499999999998</v>
      </c>
      <c r="L305">
        <f t="shared" si="48"/>
        <v>17.101111111111113</v>
      </c>
      <c r="M305">
        <f t="shared" si="49"/>
        <v>5.036191716666667</v>
      </c>
      <c r="N305" s="9"/>
      <c r="O305" s="22">
        <v>1.3855</v>
      </c>
      <c r="P305" s="22">
        <v>11.940200000000001</v>
      </c>
      <c r="Q305" s="22">
        <v>-1.26984E-2</v>
      </c>
      <c r="R305" s="22">
        <v>295</v>
      </c>
      <c r="S305" s="22">
        <v>1.3851899999999999</v>
      </c>
      <c r="T305">
        <f t="shared" si="50"/>
        <v>15.677037037037039</v>
      </c>
      <c r="U305">
        <f t="shared" si="51"/>
        <v>21.720534814814815</v>
      </c>
      <c r="X305" s="9"/>
      <c r="Y305" s="22">
        <v>0.29449500000000001</v>
      </c>
      <c r="Z305" s="22">
        <v>17.451499999999999</v>
      </c>
      <c r="AA305" s="22">
        <v>-1.3876299999999999E-2</v>
      </c>
      <c r="AB305" s="22">
        <v>295</v>
      </c>
      <c r="AC305" s="22">
        <v>0.29391499999999998</v>
      </c>
      <c r="AD305">
        <f t="shared" si="52"/>
        <v>17.131234567901231</v>
      </c>
      <c r="AE305">
        <f t="shared" si="53"/>
        <v>5.045062924074073</v>
      </c>
      <c r="AF305" s="9"/>
      <c r="AG305" s="22">
        <v>1.3855</v>
      </c>
      <c r="AH305" s="22">
        <v>21.230399999999999</v>
      </c>
      <c r="AI305" s="22">
        <v>-1.26465E-2</v>
      </c>
      <c r="AJ305" s="22">
        <v>295</v>
      </c>
      <c r="AK305" s="22">
        <v>1.38428</v>
      </c>
      <c r="AL305">
        <f t="shared" si="54"/>
        <v>15.612962962962962</v>
      </c>
      <c r="AM305">
        <f t="shared" si="55"/>
        <v>21.631760185185183</v>
      </c>
      <c r="AP305" s="9"/>
      <c r="AQ305" s="22">
        <v>0.29449500000000001</v>
      </c>
      <c r="AR305" s="22">
        <v>26.677700000000002</v>
      </c>
      <c r="AS305" s="22">
        <v>-1.3903799999999999E-2</v>
      </c>
      <c r="AT305" s="22">
        <v>295</v>
      </c>
      <c r="AU305" s="22">
        <v>0.293854</v>
      </c>
      <c r="AV305">
        <f t="shared" si="56"/>
        <v>17.165185185185184</v>
      </c>
      <c r="AW305">
        <f t="shared" si="57"/>
        <v>5.0550612111111111</v>
      </c>
      <c r="AX305" s="9"/>
      <c r="AY305" s="22">
        <v>1.3855</v>
      </c>
      <c r="AZ305" s="22">
        <v>30.456700000000001</v>
      </c>
      <c r="BA305" s="22">
        <v>-1.27289E-2</v>
      </c>
      <c r="BB305" s="22">
        <v>295</v>
      </c>
      <c r="BC305" s="22">
        <v>1.3845799999999999</v>
      </c>
      <c r="BD305">
        <f t="shared" si="58"/>
        <v>15.714691358024689</v>
      </c>
      <c r="BE305">
        <f t="shared" si="59"/>
        <v>21.772704876543205</v>
      </c>
    </row>
    <row r="306" spans="6:57">
      <c r="F306" s="9"/>
      <c r="G306" s="22">
        <v>0.28945900000000002</v>
      </c>
      <c r="H306" s="22">
        <v>8.1713400000000007</v>
      </c>
      <c r="I306" s="22">
        <v>-1.3858000000000001E-2</v>
      </c>
      <c r="J306" s="22">
        <v>296</v>
      </c>
      <c r="K306" s="22">
        <v>0.28893999999999997</v>
      </c>
      <c r="L306">
        <f t="shared" si="48"/>
        <v>17.10864197530864</v>
      </c>
      <c r="M306">
        <f t="shared" si="49"/>
        <v>4.9522503975308636</v>
      </c>
      <c r="N306" s="9"/>
      <c r="O306" s="22">
        <v>1.39053</v>
      </c>
      <c r="P306" s="22">
        <v>11.950200000000001</v>
      </c>
      <c r="Q306" s="22">
        <v>-1.26648E-2</v>
      </c>
      <c r="R306" s="22">
        <v>296</v>
      </c>
      <c r="S306" s="22">
        <v>1.3897699999999999</v>
      </c>
      <c r="T306">
        <f t="shared" si="50"/>
        <v>15.635555555555555</v>
      </c>
      <c r="U306">
        <f t="shared" si="51"/>
        <v>21.741709066666669</v>
      </c>
      <c r="X306" s="9"/>
      <c r="Y306" s="22">
        <v>0.28945900000000002</v>
      </c>
      <c r="Z306" s="22">
        <v>17.461600000000001</v>
      </c>
      <c r="AA306" s="22">
        <v>-1.38794E-2</v>
      </c>
      <c r="AB306" s="22">
        <v>296</v>
      </c>
      <c r="AC306" s="22">
        <v>0.28891</v>
      </c>
      <c r="AD306">
        <f t="shared" si="52"/>
        <v>17.135061728395058</v>
      </c>
      <c r="AE306">
        <f t="shared" si="53"/>
        <v>4.9598978328395056</v>
      </c>
      <c r="AF306" s="9"/>
      <c r="AG306" s="22">
        <v>1.39053</v>
      </c>
      <c r="AH306" s="22">
        <v>21.240500000000001</v>
      </c>
      <c r="AI306" s="22">
        <v>-1.25977E-2</v>
      </c>
      <c r="AJ306" s="22">
        <v>296</v>
      </c>
      <c r="AK306" s="22">
        <v>1.39008</v>
      </c>
      <c r="AL306">
        <f t="shared" si="54"/>
        <v>15.552716049382715</v>
      </c>
      <c r="AM306">
        <f t="shared" si="55"/>
        <v>21.626518248148148</v>
      </c>
      <c r="AP306" s="9"/>
      <c r="AQ306" s="22">
        <v>0.28945900000000002</v>
      </c>
      <c r="AR306" s="22">
        <v>26.687799999999999</v>
      </c>
      <c r="AS306" s="22">
        <v>-1.3909899999999999E-2</v>
      </c>
      <c r="AT306" s="22">
        <v>296</v>
      </c>
      <c r="AU306" s="22">
        <v>0.28891</v>
      </c>
      <c r="AV306">
        <f t="shared" si="56"/>
        <v>17.172716049382714</v>
      </c>
      <c r="AW306">
        <f t="shared" si="57"/>
        <v>4.9707972149382718</v>
      </c>
      <c r="AX306" s="9"/>
      <c r="AY306" s="22">
        <v>1.39053</v>
      </c>
      <c r="AZ306" s="22">
        <v>30.466699999999999</v>
      </c>
      <c r="BA306" s="22">
        <v>-1.26984E-2</v>
      </c>
      <c r="BB306" s="22">
        <v>296</v>
      </c>
      <c r="BC306" s="22">
        <v>1.39008</v>
      </c>
      <c r="BD306">
        <f t="shared" si="58"/>
        <v>15.677037037037039</v>
      </c>
      <c r="BE306">
        <f t="shared" si="59"/>
        <v>21.799390311111114</v>
      </c>
    </row>
    <row r="307" spans="6:57">
      <c r="F307" s="9"/>
      <c r="G307" s="22">
        <v>0.28442400000000001</v>
      </c>
      <c r="H307" s="22">
        <v>8.1814099999999996</v>
      </c>
      <c r="I307" s="22">
        <v>-1.3864100000000001E-2</v>
      </c>
      <c r="J307" s="22">
        <v>297</v>
      </c>
      <c r="K307" s="22">
        <v>0.28384399999999999</v>
      </c>
      <c r="L307">
        <f t="shared" si="48"/>
        <v>17.11617283950617</v>
      </c>
      <c r="M307">
        <f t="shared" si="49"/>
        <v>4.8682503437037035</v>
      </c>
      <c r="N307" s="9"/>
      <c r="O307" s="22">
        <v>1.39557</v>
      </c>
      <c r="P307" s="22">
        <v>11.9603</v>
      </c>
      <c r="Q307" s="22">
        <v>-1.2634299999999999E-2</v>
      </c>
      <c r="R307" s="22">
        <v>297</v>
      </c>
      <c r="S307" s="22">
        <v>1.3946499999999999</v>
      </c>
      <c r="T307">
        <f t="shared" si="50"/>
        <v>15.5979012345679</v>
      </c>
      <c r="U307">
        <f t="shared" si="51"/>
        <v>21.767963025925923</v>
      </c>
      <c r="X307" s="9"/>
      <c r="Y307" s="22">
        <v>0.28442400000000001</v>
      </c>
      <c r="Z307" s="22">
        <v>17.471599999999999</v>
      </c>
      <c r="AA307" s="22">
        <v>-1.38824E-2</v>
      </c>
      <c r="AB307" s="22">
        <v>297</v>
      </c>
      <c r="AC307" s="22">
        <v>0.28381299999999998</v>
      </c>
      <c r="AD307">
        <f t="shared" si="52"/>
        <v>17.138765432098765</v>
      </c>
      <c r="AE307">
        <f t="shared" si="53"/>
        <v>4.8746762192592596</v>
      </c>
      <c r="AF307" s="9"/>
      <c r="AG307" s="22">
        <v>1.39557</v>
      </c>
      <c r="AH307" s="22">
        <v>21.250499999999999</v>
      </c>
      <c r="AI307" s="22">
        <v>-1.25702E-2</v>
      </c>
      <c r="AJ307" s="22">
        <v>297</v>
      </c>
      <c r="AK307" s="22">
        <v>1.39496</v>
      </c>
      <c r="AL307">
        <f t="shared" si="54"/>
        <v>15.518765432098766</v>
      </c>
      <c r="AM307">
        <f t="shared" si="55"/>
        <v>21.657523474074075</v>
      </c>
      <c r="AP307" s="9"/>
      <c r="AQ307" s="22">
        <v>0.28442400000000001</v>
      </c>
      <c r="AR307" s="22">
        <v>26.697900000000001</v>
      </c>
      <c r="AS307" s="22">
        <v>-1.3916E-2</v>
      </c>
      <c r="AT307" s="22">
        <v>297</v>
      </c>
      <c r="AU307" s="22">
        <v>0.28378300000000001</v>
      </c>
      <c r="AV307">
        <f t="shared" si="56"/>
        <v>17.180246913580245</v>
      </c>
      <c r="AW307">
        <f t="shared" si="57"/>
        <v>4.886474548148148</v>
      </c>
      <c r="AX307" s="9"/>
      <c r="AY307" s="22">
        <v>1.39557</v>
      </c>
      <c r="AZ307" s="22">
        <v>30.476800000000001</v>
      </c>
      <c r="BA307" s="22">
        <v>-1.26617E-2</v>
      </c>
      <c r="BB307" s="22">
        <v>297</v>
      </c>
      <c r="BC307" s="22">
        <v>1.3946499999999999</v>
      </c>
      <c r="BD307">
        <f t="shared" si="58"/>
        <v>15.631728395061728</v>
      </c>
      <c r="BE307">
        <f t="shared" si="59"/>
        <v>21.815171196296294</v>
      </c>
    </row>
    <row r="308" spans="6:57">
      <c r="F308" s="9"/>
      <c r="G308" s="22">
        <v>0.27938800000000003</v>
      </c>
      <c r="H308" s="22">
        <v>8.1914800000000003</v>
      </c>
      <c r="I308" s="22">
        <v>-1.3870199999999999E-2</v>
      </c>
      <c r="J308" s="22">
        <v>298</v>
      </c>
      <c r="K308" s="22">
        <v>0.27871699999999999</v>
      </c>
      <c r="L308">
        <f t="shared" si="48"/>
        <v>17.123703703703701</v>
      </c>
      <c r="M308">
        <f t="shared" si="49"/>
        <v>4.7841573303703697</v>
      </c>
      <c r="N308" s="9"/>
      <c r="O308" s="22">
        <v>1.4006000000000001</v>
      </c>
      <c r="P308" s="22">
        <v>11.9704</v>
      </c>
      <c r="Q308" s="22">
        <v>-1.2600699999999999E-2</v>
      </c>
      <c r="R308" s="22">
        <v>298</v>
      </c>
      <c r="S308" s="22">
        <v>1.39984</v>
      </c>
      <c r="T308">
        <f t="shared" si="50"/>
        <v>15.556419753086418</v>
      </c>
      <c r="U308">
        <f t="shared" si="51"/>
        <v>21.788321506172839</v>
      </c>
      <c r="X308" s="9"/>
      <c r="Y308" s="22">
        <v>0.27938800000000003</v>
      </c>
      <c r="Z308" s="22">
        <v>17.4817</v>
      </c>
      <c r="AA308" s="22">
        <v>-1.38885E-2</v>
      </c>
      <c r="AB308" s="22">
        <v>298</v>
      </c>
      <c r="AC308" s="22">
        <v>0.278839</v>
      </c>
      <c r="AD308">
        <f t="shared" si="52"/>
        <v>17.146296296296295</v>
      </c>
      <c r="AE308">
        <f t="shared" si="53"/>
        <v>4.7904694296296295</v>
      </c>
      <c r="AF308" s="9"/>
      <c r="AG308" s="22">
        <v>1.4006000000000001</v>
      </c>
      <c r="AH308" s="22">
        <v>21.2606</v>
      </c>
      <c r="AI308" s="22">
        <v>-1.2539700000000001E-2</v>
      </c>
      <c r="AJ308" s="22">
        <v>298</v>
      </c>
      <c r="AK308" s="22">
        <v>1.39984</v>
      </c>
      <c r="AL308">
        <f t="shared" si="54"/>
        <v>15.48111111111111</v>
      </c>
      <c r="AM308">
        <f t="shared" si="55"/>
        <v>21.682844222222222</v>
      </c>
      <c r="AP308" s="9"/>
      <c r="AQ308" s="22">
        <v>0.27938800000000003</v>
      </c>
      <c r="AR308" s="22">
        <v>26.707899999999999</v>
      </c>
      <c r="AS308" s="22">
        <v>-1.39191E-2</v>
      </c>
      <c r="AT308" s="22">
        <v>298</v>
      </c>
      <c r="AU308" s="22">
        <v>0.27880899999999997</v>
      </c>
      <c r="AV308">
        <f t="shared" si="56"/>
        <v>17.184074074074076</v>
      </c>
      <c r="AW308">
        <f t="shared" si="57"/>
        <v>4.8010240874074084</v>
      </c>
      <c r="AX308" s="9"/>
      <c r="AY308" s="22">
        <v>1.4006000000000001</v>
      </c>
      <c r="AZ308" s="22">
        <v>30.486899999999999</v>
      </c>
      <c r="BA308" s="22">
        <v>-1.26251E-2</v>
      </c>
      <c r="BB308" s="22">
        <v>298</v>
      </c>
      <c r="BC308" s="22">
        <v>1.39954</v>
      </c>
      <c r="BD308">
        <f t="shared" si="58"/>
        <v>15.586543209876544</v>
      </c>
      <c r="BE308">
        <f t="shared" si="59"/>
        <v>21.830512419753088</v>
      </c>
    </row>
    <row r="309" spans="6:57">
      <c r="F309" s="9"/>
      <c r="G309" s="22">
        <v>0.27435300000000001</v>
      </c>
      <c r="H309" s="22">
        <v>8.2015499999999992</v>
      </c>
      <c r="I309" s="22">
        <v>-1.3876299999999999E-2</v>
      </c>
      <c r="J309" s="22">
        <v>299</v>
      </c>
      <c r="K309" s="22">
        <v>0.27377299999999999</v>
      </c>
      <c r="L309">
        <f t="shared" si="48"/>
        <v>17.131234567901231</v>
      </c>
      <c r="M309">
        <f t="shared" si="49"/>
        <v>4.7000055974074071</v>
      </c>
      <c r="N309" s="9"/>
      <c r="O309" s="22">
        <v>1.40564</v>
      </c>
      <c r="P309" s="22">
        <v>11.980499999999999</v>
      </c>
      <c r="Q309" s="22">
        <v>-1.2567099999999999E-2</v>
      </c>
      <c r="R309" s="22">
        <v>299</v>
      </c>
      <c r="S309" s="22">
        <v>1.40503</v>
      </c>
      <c r="T309">
        <f t="shared" si="50"/>
        <v>15.514938271604937</v>
      </c>
      <c r="U309">
        <f t="shared" si="51"/>
        <v>21.808417832098762</v>
      </c>
      <c r="X309" s="9"/>
      <c r="Y309" s="22">
        <v>0.27435300000000001</v>
      </c>
      <c r="Z309" s="22">
        <v>17.491800000000001</v>
      </c>
      <c r="AA309" s="22">
        <v>-1.38916E-2</v>
      </c>
      <c r="AB309" s="22">
        <v>299</v>
      </c>
      <c r="AC309" s="22">
        <v>0.27377299999999999</v>
      </c>
      <c r="AD309">
        <f t="shared" si="52"/>
        <v>17.150123456790123</v>
      </c>
      <c r="AE309">
        <f t="shared" si="53"/>
        <v>4.7051878207407407</v>
      </c>
      <c r="AF309" s="9"/>
      <c r="AG309" s="22">
        <v>1.40564</v>
      </c>
      <c r="AH309" s="22">
        <v>21.270700000000001</v>
      </c>
      <c r="AI309" s="22">
        <v>-1.24969E-2</v>
      </c>
      <c r="AJ309" s="22">
        <v>299</v>
      </c>
      <c r="AK309" s="22">
        <v>1.40503</v>
      </c>
      <c r="AL309">
        <f t="shared" si="54"/>
        <v>15.428271604938271</v>
      </c>
      <c r="AM309">
        <f t="shared" si="55"/>
        <v>21.68659569876543</v>
      </c>
      <c r="AP309" s="9"/>
      <c r="AQ309" s="22">
        <v>0.27435300000000001</v>
      </c>
      <c r="AR309" s="22">
        <v>26.718</v>
      </c>
      <c r="AS309" s="22">
        <v>-1.39221E-2</v>
      </c>
      <c r="AT309" s="22">
        <v>299</v>
      </c>
      <c r="AU309" s="22">
        <v>0.27380399999999999</v>
      </c>
      <c r="AV309">
        <f t="shared" si="56"/>
        <v>17.187777777777779</v>
      </c>
      <c r="AW309">
        <f t="shared" si="57"/>
        <v>4.7155183966666669</v>
      </c>
      <c r="AX309" s="9"/>
      <c r="AY309" s="22">
        <v>1.40564</v>
      </c>
      <c r="AZ309" s="22">
        <v>30.4969</v>
      </c>
      <c r="BA309" s="22">
        <v>-1.2588500000000001E-2</v>
      </c>
      <c r="BB309" s="22">
        <v>299</v>
      </c>
      <c r="BC309" s="22">
        <v>1.40442</v>
      </c>
      <c r="BD309">
        <f t="shared" si="58"/>
        <v>15.541358024691359</v>
      </c>
      <c r="BE309">
        <f t="shared" si="59"/>
        <v>21.845554493827162</v>
      </c>
    </row>
    <row r="310" spans="6:57">
      <c r="F310" s="9"/>
      <c r="G310" s="22">
        <v>0.269318</v>
      </c>
      <c r="H310" s="22">
        <v>8.2116199999999999</v>
      </c>
      <c r="I310" s="22">
        <v>-1.38794E-2</v>
      </c>
      <c r="J310" s="22">
        <v>300</v>
      </c>
      <c r="K310" s="22">
        <v>0.26876800000000001</v>
      </c>
      <c r="L310">
        <f t="shared" si="48"/>
        <v>17.135061728395058</v>
      </c>
      <c r="M310">
        <f t="shared" si="49"/>
        <v>4.6147805545679006</v>
      </c>
      <c r="N310" s="9"/>
      <c r="O310" s="22">
        <v>1.4106799999999999</v>
      </c>
      <c r="P310" s="22">
        <v>11.990500000000001</v>
      </c>
      <c r="Q310" s="22">
        <v>-1.25305E-2</v>
      </c>
      <c r="R310" s="22">
        <v>300</v>
      </c>
      <c r="S310" s="22">
        <v>1.41022</v>
      </c>
      <c r="T310">
        <f t="shared" si="50"/>
        <v>15.469753086419752</v>
      </c>
      <c r="U310">
        <f t="shared" si="51"/>
        <v>21.822871283950615</v>
      </c>
      <c r="X310" s="9"/>
      <c r="Y310" s="22">
        <v>0.269318</v>
      </c>
      <c r="Z310" s="22">
        <v>17.501799999999999</v>
      </c>
      <c r="AA310" s="22">
        <v>-1.3894699999999999E-2</v>
      </c>
      <c r="AB310" s="22">
        <v>300</v>
      </c>
      <c r="AC310" s="22">
        <v>0.26873799999999998</v>
      </c>
      <c r="AD310">
        <f t="shared" si="52"/>
        <v>17.153950617283947</v>
      </c>
      <c r="AE310">
        <f t="shared" si="53"/>
        <v>4.619867672345678</v>
      </c>
      <c r="AF310" s="9"/>
      <c r="AG310" s="22">
        <v>1.4106799999999999</v>
      </c>
      <c r="AH310" s="22">
        <v>21.2807</v>
      </c>
      <c r="AI310" s="22">
        <v>-1.2457299999999999E-2</v>
      </c>
      <c r="AJ310" s="22">
        <v>300</v>
      </c>
      <c r="AK310" s="22">
        <v>1.40991</v>
      </c>
      <c r="AL310">
        <f t="shared" si="54"/>
        <v>15.379382716049379</v>
      </c>
      <c r="AM310">
        <f t="shared" si="55"/>
        <v>21.695387609876537</v>
      </c>
      <c r="AP310" s="9"/>
      <c r="AQ310" s="22">
        <v>0.269318</v>
      </c>
      <c r="AR310" s="22">
        <v>26.728100000000001</v>
      </c>
      <c r="AS310" s="22">
        <v>-1.39252E-2</v>
      </c>
      <c r="AT310" s="22">
        <v>300</v>
      </c>
      <c r="AU310" s="22">
        <v>0.26870699999999997</v>
      </c>
      <c r="AV310">
        <f t="shared" si="56"/>
        <v>17.191604938271606</v>
      </c>
      <c r="AW310">
        <f t="shared" si="57"/>
        <v>4.6300086587654325</v>
      </c>
      <c r="AX310" s="9"/>
      <c r="AY310" s="22">
        <v>1.4106799999999999</v>
      </c>
      <c r="AZ310" s="22">
        <v>30.507000000000001</v>
      </c>
      <c r="BA310" s="22">
        <v>-1.2554900000000001E-2</v>
      </c>
      <c r="BB310" s="22">
        <v>300</v>
      </c>
      <c r="BC310" s="22">
        <v>1.41022</v>
      </c>
      <c r="BD310">
        <f t="shared" si="58"/>
        <v>15.499876543209876</v>
      </c>
      <c r="BE310">
        <f t="shared" si="59"/>
        <v>21.865365841975308</v>
      </c>
    </row>
    <row r="311" spans="6:57">
      <c r="F311" s="9"/>
      <c r="G311" s="22">
        <v>0.26428200000000002</v>
      </c>
      <c r="H311" s="22">
        <v>8.2216900000000006</v>
      </c>
      <c r="I311" s="22">
        <v>-1.38794E-2</v>
      </c>
      <c r="J311" s="22">
        <v>301</v>
      </c>
      <c r="K311" s="22">
        <v>0.26370199999999999</v>
      </c>
      <c r="L311">
        <f t="shared" si="48"/>
        <v>17.135061728395058</v>
      </c>
      <c r="M311">
        <f t="shared" si="49"/>
        <v>4.5284883837037029</v>
      </c>
      <c r="N311" s="9"/>
      <c r="O311" s="22">
        <v>1.41571</v>
      </c>
      <c r="P311" s="22">
        <v>12.0006</v>
      </c>
      <c r="Q311" s="22">
        <v>-1.24878E-2</v>
      </c>
      <c r="R311" s="22">
        <v>301</v>
      </c>
      <c r="S311" s="22">
        <v>1.4151</v>
      </c>
      <c r="T311">
        <f t="shared" si="50"/>
        <v>15.417037037037037</v>
      </c>
      <c r="U311">
        <f t="shared" si="51"/>
        <v>21.826053503703704</v>
      </c>
      <c r="X311" s="9"/>
      <c r="Y311" s="22">
        <v>0.26428200000000002</v>
      </c>
      <c r="Z311" s="22">
        <v>17.511900000000001</v>
      </c>
      <c r="AA311" s="22">
        <v>-1.3894699999999999E-2</v>
      </c>
      <c r="AB311" s="22">
        <v>301</v>
      </c>
      <c r="AC311" s="22">
        <v>0.26370199999999999</v>
      </c>
      <c r="AD311">
        <f t="shared" si="52"/>
        <v>17.153950617283947</v>
      </c>
      <c r="AE311">
        <f t="shared" si="53"/>
        <v>4.5334803770370362</v>
      </c>
      <c r="AF311" s="9"/>
      <c r="AG311" s="22">
        <v>1.41571</v>
      </c>
      <c r="AH311" s="22">
        <v>21.290800000000001</v>
      </c>
      <c r="AI311" s="22">
        <v>-1.2423699999999999E-2</v>
      </c>
      <c r="AJ311" s="22">
        <v>301</v>
      </c>
      <c r="AK311" s="22">
        <v>1.41388</v>
      </c>
      <c r="AL311">
        <f t="shared" si="54"/>
        <v>15.3379012345679</v>
      </c>
      <c r="AM311">
        <f t="shared" si="55"/>
        <v>21.71402015679012</v>
      </c>
      <c r="AP311" s="9"/>
      <c r="AQ311" s="22">
        <v>0.26428200000000002</v>
      </c>
      <c r="AR311" s="22">
        <v>26.738099999999999</v>
      </c>
      <c r="AS311" s="22">
        <v>-1.39282E-2</v>
      </c>
      <c r="AT311" s="22">
        <v>301</v>
      </c>
      <c r="AU311" s="22">
        <v>0.26367200000000002</v>
      </c>
      <c r="AV311">
        <f t="shared" si="56"/>
        <v>17.195308641975309</v>
      </c>
      <c r="AW311">
        <f t="shared" si="57"/>
        <v>4.5444105585185186</v>
      </c>
      <c r="AX311" s="9"/>
      <c r="AY311" s="22">
        <v>1.41571</v>
      </c>
      <c r="AZ311" s="22">
        <v>30.517099999999999</v>
      </c>
      <c r="BA311" s="22">
        <v>-1.25275E-2</v>
      </c>
      <c r="BB311" s="22">
        <v>301</v>
      </c>
      <c r="BC311" s="22">
        <v>1.41479</v>
      </c>
      <c r="BD311">
        <f t="shared" si="58"/>
        <v>15.466049382716049</v>
      </c>
      <c r="BE311">
        <f t="shared" si="59"/>
        <v>21.895440771604939</v>
      </c>
    </row>
    <row r="312" spans="6:57">
      <c r="F312" s="9"/>
      <c r="G312" s="22">
        <v>0.25924700000000001</v>
      </c>
      <c r="H312" s="22">
        <v>8.2317699999999991</v>
      </c>
      <c r="I312" s="22">
        <v>-1.38794E-2</v>
      </c>
      <c r="J312" s="22">
        <v>302</v>
      </c>
      <c r="K312" s="22">
        <v>0.25869799999999998</v>
      </c>
      <c r="L312">
        <f t="shared" si="48"/>
        <v>17.135061728395058</v>
      </c>
      <c r="M312">
        <f t="shared" si="49"/>
        <v>4.4422133479012338</v>
      </c>
      <c r="N312" s="9"/>
      <c r="O312" s="22">
        <v>1.42075</v>
      </c>
      <c r="P312" s="22">
        <v>12.0107</v>
      </c>
      <c r="Q312" s="22">
        <v>-1.2442E-2</v>
      </c>
      <c r="R312" s="22">
        <v>302</v>
      </c>
      <c r="S312" s="22">
        <v>1.41998</v>
      </c>
      <c r="T312">
        <f t="shared" si="50"/>
        <v>15.360493827160493</v>
      </c>
      <c r="U312">
        <f t="shared" si="51"/>
        <v>21.823421604938268</v>
      </c>
      <c r="X312" s="9"/>
      <c r="Y312" s="22">
        <v>0.25924700000000001</v>
      </c>
      <c r="Z312" s="22">
        <v>17.521999999999998</v>
      </c>
      <c r="AA312" s="22">
        <v>-1.3897700000000001E-2</v>
      </c>
      <c r="AB312" s="22">
        <v>302</v>
      </c>
      <c r="AC312" s="22">
        <v>0.25866699999999998</v>
      </c>
      <c r="AD312">
        <f t="shared" si="52"/>
        <v>17.157654320987653</v>
      </c>
      <c r="AE312">
        <f t="shared" si="53"/>
        <v>4.4480704097530861</v>
      </c>
      <c r="AF312" s="9"/>
      <c r="AG312" s="22">
        <v>1.42075</v>
      </c>
      <c r="AH312" s="22">
        <v>21.300899999999999</v>
      </c>
      <c r="AI312" s="22">
        <v>-1.2383999999999999E-2</v>
      </c>
      <c r="AJ312" s="22">
        <v>302</v>
      </c>
      <c r="AK312" s="22">
        <v>1.4196800000000001</v>
      </c>
      <c r="AL312">
        <f t="shared" si="54"/>
        <v>15.288888888888886</v>
      </c>
      <c r="AM312">
        <f t="shared" si="55"/>
        <v>21.721688888888885</v>
      </c>
      <c r="AP312" s="9"/>
      <c r="AQ312" s="22">
        <v>0.25924700000000001</v>
      </c>
      <c r="AR312" s="22">
        <v>26.748200000000001</v>
      </c>
      <c r="AS312" s="22">
        <v>-1.39282E-2</v>
      </c>
      <c r="AT312" s="22">
        <v>302</v>
      </c>
      <c r="AU312" s="22">
        <v>0.25875900000000002</v>
      </c>
      <c r="AV312">
        <f t="shared" si="56"/>
        <v>17.195308641975309</v>
      </c>
      <c r="AW312">
        <f t="shared" si="57"/>
        <v>4.4578321795061733</v>
      </c>
      <c r="AX312" s="9"/>
      <c r="AY312" s="22">
        <v>1.42075</v>
      </c>
      <c r="AZ312" s="22">
        <v>30.527200000000001</v>
      </c>
      <c r="BA312" s="22">
        <v>-1.24878E-2</v>
      </c>
      <c r="BB312" s="22">
        <v>302</v>
      </c>
      <c r="BC312" s="22">
        <v>1.41937</v>
      </c>
      <c r="BD312">
        <f t="shared" si="58"/>
        <v>15.417037037037037</v>
      </c>
      <c r="BE312">
        <f t="shared" si="59"/>
        <v>21.903755370370369</v>
      </c>
    </row>
    <row r="313" spans="6:57">
      <c r="F313" s="9"/>
      <c r="G313" s="22">
        <v>0.25421100000000002</v>
      </c>
      <c r="H313" s="22">
        <v>8.2418399999999998</v>
      </c>
      <c r="I313" s="22">
        <v>-1.38824E-2</v>
      </c>
      <c r="J313" s="22">
        <v>303</v>
      </c>
      <c r="K313" s="22">
        <v>0.25360100000000002</v>
      </c>
      <c r="L313">
        <f t="shared" si="48"/>
        <v>17.138765432098765</v>
      </c>
      <c r="M313">
        <f t="shared" si="49"/>
        <v>4.3568626992592598</v>
      </c>
      <c r="N313" s="9"/>
      <c r="O313" s="22">
        <v>1.42578</v>
      </c>
      <c r="P313" s="22">
        <v>12.0207</v>
      </c>
      <c r="Q313" s="22">
        <v>-1.23993E-2</v>
      </c>
      <c r="R313" s="22">
        <v>303</v>
      </c>
      <c r="S313" s="22">
        <v>1.4254800000000001</v>
      </c>
      <c r="T313">
        <f t="shared" si="50"/>
        <v>15.307777777777778</v>
      </c>
      <c r="U313">
        <f t="shared" si="51"/>
        <v>21.825523400000002</v>
      </c>
      <c r="X313" s="9"/>
      <c r="Y313" s="22">
        <v>0.25421100000000002</v>
      </c>
      <c r="Z313" s="22">
        <v>17.5321</v>
      </c>
      <c r="AA313" s="22">
        <v>-1.3903799999999999E-2</v>
      </c>
      <c r="AB313" s="22">
        <v>303</v>
      </c>
      <c r="AC313" s="22">
        <v>0.25363200000000002</v>
      </c>
      <c r="AD313">
        <f t="shared" si="52"/>
        <v>17.165185185185184</v>
      </c>
      <c r="AE313">
        <f t="shared" si="53"/>
        <v>4.3635788911111115</v>
      </c>
      <c r="AF313" s="9"/>
      <c r="AG313" s="22">
        <v>1.42578</v>
      </c>
      <c r="AH313" s="22">
        <v>21.311</v>
      </c>
      <c r="AI313" s="22">
        <v>-1.23383E-2</v>
      </c>
      <c r="AJ313" s="22">
        <v>303</v>
      </c>
      <c r="AK313" s="22">
        <v>1.4248700000000001</v>
      </c>
      <c r="AL313">
        <f t="shared" si="54"/>
        <v>15.232469135802468</v>
      </c>
      <c r="AM313">
        <f t="shared" si="55"/>
        <v>21.718149844444444</v>
      </c>
      <c r="AP313" s="9"/>
      <c r="AQ313" s="22">
        <v>0.25421100000000002</v>
      </c>
      <c r="AR313" s="22">
        <v>26.758299999999998</v>
      </c>
      <c r="AS313" s="22">
        <v>-1.39282E-2</v>
      </c>
      <c r="AT313" s="22">
        <v>303</v>
      </c>
      <c r="AU313" s="22">
        <v>0.253662</v>
      </c>
      <c r="AV313">
        <f t="shared" si="56"/>
        <v>17.195308641975309</v>
      </c>
      <c r="AW313">
        <f t="shared" si="57"/>
        <v>4.3712366051851861</v>
      </c>
      <c r="AX313" s="9"/>
      <c r="AY313" s="22">
        <v>1.42578</v>
      </c>
      <c r="AZ313" s="22">
        <v>30.537199999999999</v>
      </c>
      <c r="BA313" s="22">
        <v>-1.2442E-2</v>
      </c>
      <c r="BB313" s="22">
        <v>303</v>
      </c>
      <c r="BC313" s="22">
        <v>1.42578</v>
      </c>
      <c r="BD313">
        <f t="shared" si="58"/>
        <v>15.360493827160493</v>
      </c>
      <c r="BE313">
        <f t="shared" si="59"/>
        <v>21.90068488888889</v>
      </c>
    </row>
    <row r="314" spans="6:57">
      <c r="F314" s="9"/>
      <c r="G314" s="22">
        <v>0.24917600000000001</v>
      </c>
      <c r="H314" s="22">
        <v>8.2519100000000005</v>
      </c>
      <c r="I314" s="22">
        <v>-1.38824E-2</v>
      </c>
      <c r="J314" s="22">
        <v>304</v>
      </c>
      <c r="K314" s="22">
        <v>0.24862699999999999</v>
      </c>
      <c r="L314">
        <f t="shared" si="48"/>
        <v>17.138765432098765</v>
      </c>
      <c r="M314">
        <f t="shared" si="49"/>
        <v>4.2705690153086424</v>
      </c>
      <c r="N314" s="9"/>
      <c r="O314" s="22">
        <v>1.43082</v>
      </c>
      <c r="P314" s="22">
        <v>12.030799999999999</v>
      </c>
      <c r="Q314" s="22">
        <v>-1.2356600000000001E-2</v>
      </c>
      <c r="R314" s="22">
        <v>304</v>
      </c>
      <c r="S314" s="22">
        <v>1.4297500000000001</v>
      </c>
      <c r="T314">
        <f t="shared" si="50"/>
        <v>15.255061728395061</v>
      </c>
      <c r="U314">
        <f t="shared" si="51"/>
        <v>21.827247422222221</v>
      </c>
      <c r="X314" s="9"/>
      <c r="Y314" s="22">
        <v>0.24917600000000001</v>
      </c>
      <c r="Z314" s="22">
        <v>17.542100000000001</v>
      </c>
      <c r="AA314" s="22">
        <v>-1.39069E-2</v>
      </c>
      <c r="AB314" s="22">
        <v>304</v>
      </c>
      <c r="AC314" s="22">
        <v>0.24859600000000001</v>
      </c>
      <c r="AD314">
        <f t="shared" si="52"/>
        <v>17.169012345679011</v>
      </c>
      <c r="AE314">
        <f t="shared" si="53"/>
        <v>4.2781058202469131</v>
      </c>
      <c r="AF314" s="9"/>
      <c r="AG314" s="22">
        <v>1.43082</v>
      </c>
      <c r="AH314" s="22">
        <v>21.321000000000002</v>
      </c>
      <c r="AI314" s="22">
        <v>-1.2286399999999999E-2</v>
      </c>
      <c r="AJ314" s="22">
        <v>304</v>
      </c>
      <c r="AK314" s="22">
        <v>1.4297500000000001</v>
      </c>
      <c r="AL314">
        <f t="shared" si="54"/>
        <v>15.168395061728393</v>
      </c>
      <c r="AM314">
        <f t="shared" si="55"/>
        <v>21.703243022222221</v>
      </c>
      <c r="AP314" s="9"/>
      <c r="AQ314" s="22">
        <v>0.24917600000000001</v>
      </c>
      <c r="AR314" s="22">
        <v>26.7684</v>
      </c>
      <c r="AS314" s="22">
        <v>-1.39252E-2</v>
      </c>
      <c r="AT314" s="22">
        <v>304</v>
      </c>
      <c r="AU314" s="22">
        <v>0.24853500000000001</v>
      </c>
      <c r="AV314">
        <f t="shared" si="56"/>
        <v>17.191604938271606</v>
      </c>
      <c r="AW314">
        <f t="shared" si="57"/>
        <v>4.2837353520987662</v>
      </c>
      <c r="AX314" s="9"/>
      <c r="AY314" s="22">
        <v>1.43082</v>
      </c>
      <c r="AZ314" s="22">
        <v>30.5473</v>
      </c>
      <c r="BA314" s="22">
        <v>-1.24054E-2</v>
      </c>
      <c r="BB314" s="22">
        <v>304</v>
      </c>
      <c r="BC314" s="22">
        <v>1.4303600000000001</v>
      </c>
      <c r="BD314">
        <f t="shared" si="58"/>
        <v>15.315308641975308</v>
      </c>
      <c r="BE314">
        <f t="shared" si="59"/>
        <v>21.913449911111112</v>
      </c>
    </row>
    <row r="315" spans="6:57">
      <c r="F315" s="9"/>
      <c r="G315" s="22">
        <v>0.244141</v>
      </c>
      <c r="H315" s="22">
        <v>8.2619799999999994</v>
      </c>
      <c r="I315" s="22">
        <v>-1.38794E-2</v>
      </c>
      <c r="J315" s="22">
        <v>305</v>
      </c>
      <c r="K315" s="22">
        <v>0.24362200000000001</v>
      </c>
      <c r="L315">
        <f t="shared" si="48"/>
        <v>17.135061728395058</v>
      </c>
      <c r="M315">
        <f t="shared" si="49"/>
        <v>4.1833711054320979</v>
      </c>
      <c r="N315" s="9"/>
      <c r="O315" s="22">
        <v>1.4358500000000001</v>
      </c>
      <c r="P315" s="22">
        <v>12.040900000000001</v>
      </c>
      <c r="Q315" s="22">
        <v>-1.23077E-2</v>
      </c>
      <c r="R315" s="22">
        <v>305</v>
      </c>
      <c r="S315" s="22">
        <v>1.4352400000000001</v>
      </c>
      <c r="T315">
        <f t="shared" si="50"/>
        <v>15.19469135802469</v>
      </c>
      <c r="U315">
        <f t="shared" si="51"/>
        <v>21.817297586419752</v>
      </c>
      <c r="X315" s="9"/>
      <c r="Y315" s="22">
        <v>0.244141</v>
      </c>
      <c r="Z315" s="22">
        <v>17.552199999999999</v>
      </c>
      <c r="AA315" s="22">
        <v>-1.3909899999999999E-2</v>
      </c>
      <c r="AB315" s="22">
        <v>305</v>
      </c>
      <c r="AC315" s="22">
        <v>0.243591</v>
      </c>
      <c r="AD315">
        <f t="shared" si="52"/>
        <v>17.172716049382714</v>
      </c>
      <c r="AE315">
        <f t="shared" si="53"/>
        <v>4.1925640690123451</v>
      </c>
      <c r="AF315" s="9"/>
      <c r="AG315" s="22">
        <v>1.4358500000000001</v>
      </c>
      <c r="AH315" s="22">
        <v>21.331099999999999</v>
      </c>
      <c r="AI315" s="22">
        <v>-1.22284E-2</v>
      </c>
      <c r="AJ315" s="22">
        <v>305</v>
      </c>
      <c r="AK315" s="22">
        <v>1.4352400000000001</v>
      </c>
      <c r="AL315">
        <f t="shared" si="54"/>
        <v>15.096790123456788</v>
      </c>
      <c r="AM315">
        <f t="shared" si="55"/>
        <v>21.676726098765432</v>
      </c>
      <c r="AP315" s="9"/>
      <c r="AQ315" s="22">
        <v>0.244141</v>
      </c>
      <c r="AR315" s="22">
        <v>26.778400000000001</v>
      </c>
      <c r="AS315" s="22">
        <v>-1.39191E-2</v>
      </c>
      <c r="AT315" s="22">
        <v>305</v>
      </c>
      <c r="AU315" s="22">
        <v>0.243561</v>
      </c>
      <c r="AV315">
        <f t="shared" si="56"/>
        <v>17.184074074074076</v>
      </c>
      <c r="AW315">
        <f t="shared" si="57"/>
        <v>4.1953370285185185</v>
      </c>
      <c r="AX315" s="9"/>
      <c r="AY315" s="22">
        <v>1.4358500000000001</v>
      </c>
      <c r="AZ315" s="22">
        <v>30.557400000000001</v>
      </c>
      <c r="BA315" s="22">
        <v>-1.23535E-2</v>
      </c>
      <c r="BB315" s="22">
        <v>305</v>
      </c>
      <c r="BC315" s="22">
        <v>1.4346300000000001</v>
      </c>
      <c r="BD315">
        <f t="shared" si="58"/>
        <v>15.251234567901234</v>
      </c>
      <c r="BE315">
        <f t="shared" si="59"/>
        <v>21.898485154320987</v>
      </c>
    </row>
    <row r="316" spans="6:57">
      <c r="F316" s="9"/>
      <c r="G316" s="22">
        <v>0.23910500000000001</v>
      </c>
      <c r="H316" s="22">
        <v>8.2720500000000001</v>
      </c>
      <c r="I316" s="22">
        <v>-1.38794E-2</v>
      </c>
      <c r="J316" s="22">
        <v>306</v>
      </c>
      <c r="K316" s="22">
        <v>0.23855599999999999</v>
      </c>
      <c r="L316">
        <f t="shared" si="48"/>
        <v>17.135061728395058</v>
      </c>
      <c r="M316">
        <f t="shared" si="49"/>
        <v>4.0970789345679011</v>
      </c>
      <c r="N316" s="9"/>
      <c r="O316" s="22">
        <v>1.44089</v>
      </c>
      <c r="P316" s="22">
        <v>12.051</v>
      </c>
      <c r="Q316" s="22">
        <v>-1.2268100000000001E-2</v>
      </c>
      <c r="R316" s="22">
        <v>306</v>
      </c>
      <c r="S316" s="22">
        <v>1.4401200000000001</v>
      </c>
      <c r="T316">
        <f t="shared" si="50"/>
        <v>15.145802469135802</v>
      </c>
      <c r="U316">
        <f t="shared" si="51"/>
        <v>21.823435319753084</v>
      </c>
      <c r="X316" s="9"/>
      <c r="Y316" s="22">
        <v>0.23910500000000001</v>
      </c>
      <c r="Z316" s="22">
        <v>17.5623</v>
      </c>
      <c r="AA316" s="22">
        <v>-1.3909899999999999E-2</v>
      </c>
      <c r="AB316" s="22">
        <v>306</v>
      </c>
      <c r="AC316" s="22">
        <v>0.238617</v>
      </c>
      <c r="AD316">
        <f t="shared" si="52"/>
        <v>17.172716049382714</v>
      </c>
      <c r="AE316">
        <f t="shared" si="53"/>
        <v>4.1060822709876543</v>
      </c>
      <c r="AF316" s="9"/>
      <c r="AG316" s="22">
        <v>1.44089</v>
      </c>
      <c r="AH316" s="22">
        <v>21.341200000000001</v>
      </c>
      <c r="AI316" s="22">
        <v>-1.21887E-2</v>
      </c>
      <c r="AJ316" s="22">
        <v>306</v>
      </c>
      <c r="AK316" s="22">
        <v>1.4401200000000001</v>
      </c>
      <c r="AL316">
        <f t="shared" si="54"/>
        <v>15.047777777777776</v>
      </c>
      <c r="AM316">
        <f t="shared" si="55"/>
        <v>21.68219252222222</v>
      </c>
      <c r="AP316" s="9"/>
      <c r="AQ316" s="22">
        <v>0.23910500000000001</v>
      </c>
      <c r="AR316" s="22">
        <v>26.788499999999999</v>
      </c>
      <c r="AS316" s="22">
        <v>-1.39221E-2</v>
      </c>
      <c r="AT316" s="22">
        <v>306</v>
      </c>
      <c r="AU316" s="22">
        <v>0.238617</v>
      </c>
      <c r="AV316">
        <f t="shared" si="56"/>
        <v>17.187777777777779</v>
      </c>
      <c r="AW316">
        <f t="shared" si="57"/>
        <v>4.1096836055555563</v>
      </c>
      <c r="AX316" s="9"/>
      <c r="AY316" s="22">
        <v>1.44089</v>
      </c>
      <c r="AZ316" s="22">
        <v>30.567399999999999</v>
      </c>
      <c r="BA316" s="22">
        <v>-1.22986E-2</v>
      </c>
      <c r="BB316" s="22">
        <v>306</v>
      </c>
      <c r="BC316" s="22">
        <v>1.4404300000000001</v>
      </c>
      <c r="BD316">
        <f t="shared" si="58"/>
        <v>15.183456790123456</v>
      </c>
      <c r="BE316">
        <f t="shared" si="59"/>
        <v>21.877691054320987</v>
      </c>
    </row>
    <row r="317" spans="6:57">
      <c r="F317" s="9"/>
      <c r="G317" s="22">
        <v>0.23407</v>
      </c>
      <c r="H317" s="22">
        <v>8.2821200000000008</v>
      </c>
      <c r="I317" s="22">
        <v>-1.38824E-2</v>
      </c>
      <c r="J317" s="22">
        <v>307</v>
      </c>
      <c r="K317" s="22">
        <v>0.23352100000000001</v>
      </c>
      <c r="L317">
        <f t="shared" si="48"/>
        <v>17.138765432098765</v>
      </c>
      <c r="M317">
        <f t="shared" si="49"/>
        <v>4.0116708246913575</v>
      </c>
      <c r="N317" s="9"/>
      <c r="O317" s="22">
        <v>1.4459200000000001</v>
      </c>
      <c r="P317" s="22">
        <v>12.061</v>
      </c>
      <c r="Q317" s="22">
        <v>-1.22192E-2</v>
      </c>
      <c r="R317" s="22">
        <v>307</v>
      </c>
      <c r="S317" s="22">
        <v>1.4456199999999999</v>
      </c>
      <c r="T317">
        <f t="shared" si="50"/>
        <v>15.08543209876543</v>
      </c>
      <c r="U317">
        <f t="shared" si="51"/>
        <v>21.812327980246913</v>
      </c>
      <c r="X317" s="9"/>
      <c r="Y317" s="22">
        <v>0.23407</v>
      </c>
      <c r="Z317" s="22">
        <v>17.572299999999998</v>
      </c>
      <c r="AA317" s="22">
        <v>-1.39069E-2</v>
      </c>
      <c r="AB317" s="22">
        <v>307</v>
      </c>
      <c r="AC317" s="22">
        <v>0.23352100000000001</v>
      </c>
      <c r="AD317">
        <f t="shared" si="52"/>
        <v>17.169012345679011</v>
      </c>
      <c r="AE317">
        <f t="shared" si="53"/>
        <v>4.0187507197530863</v>
      </c>
      <c r="AF317" s="9"/>
      <c r="AG317" s="22">
        <v>1.4459200000000001</v>
      </c>
      <c r="AH317" s="22">
        <v>21.351199999999999</v>
      </c>
      <c r="AI317" s="22">
        <v>-1.21399E-2</v>
      </c>
      <c r="AJ317" s="22">
        <v>307</v>
      </c>
      <c r="AK317" s="22">
        <v>1.4447000000000001</v>
      </c>
      <c r="AL317">
        <f t="shared" si="54"/>
        <v>14.987530864197531</v>
      </c>
      <c r="AM317">
        <f t="shared" si="55"/>
        <v>21.670770627160497</v>
      </c>
      <c r="AP317" s="9"/>
      <c r="AQ317" s="22">
        <v>0.23407</v>
      </c>
      <c r="AR317" s="22">
        <v>26.7986</v>
      </c>
      <c r="AS317" s="22">
        <v>-1.39252E-2</v>
      </c>
      <c r="AT317" s="22">
        <v>307</v>
      </c>
      <c r="AU317" s="22">
        <v>0.23352100000000001</v>
      </c>
      <c r="AV317">
        <f t="shared" si="56"/>
        <v>17.191604938271606</v>
      </c>
      <c r="AW317">
        <f t="shared" si="57"/>
        <v>4.0240389679012347</v>
      </c>
      <c r="AX317" s="9"/>
      <c r="AY317" s="22">
        <v>1.4459200000000001</v>
      </c>
      <c r="AZ317" s="22">
        <v>30.577500000000001</v>
      </c>
      <c r="BA317" s="22">
        <v>-1.2246699999999999E-2</v>
      </c>
      <c r="BB317" s="22">
        <v>307</v>
      </c>
      <c r="BC317" s="22">
        <v>1.4450099999999999</v>
      </c>
      <c r="BD317">
        <f t="shared" si="58"/>
        <v>15.11938271604938</v>
      </c>
      <c r="BE317">
        <f t="shared" si="59"/>
        <v>21.861417856790119</v>
      </c>
    </row>
    <row r="318" spans="6:57">
      <c r="F318" s="9"/>
      <c r="G318" s="22">
        <v>0.22903399999999999</v>
      </c>
      <c r="H318" s="22">
        <v>8.2921899999999997</v>
      </c>
      <c r="I318" s="22">
        <v>-1.38885E-2</v>
      </c>
      <c r="J318" s="22">
        <v>308</v>
      </c>
      <c r="K318" s="22">
        <v>0.22842399999999999</v>
      </c>
      <c r="L318">
        <f t="shared" si="48"/>
        <v>17.146296296296295</v>
      </c>
      <c r="M318">
        <f t="shared" si="49"/>
        <v>3.9270848259259257</v>
      </c>
      <c r="N318" s="9"/>
      <c r="O318" s="22">
        <v>1.45096</v>
      </c>
      <c r="P318" s="22">
        <v>12.071099999999999</v>
      </c>
      <c r="Q318" s="22">
        <v>-1.2164299999999999E-2</v>
      </c>
      <c r="R318" s="22">
        <v>308</v>
      </c>
      <c r="S318" s="22">
        <v>1.4501999999999999</v>
      </c>
      <c r="T318">
        <f t="shared" si="50"/>
        <v>15.017654320987653</v>
      </c>
      <c r="U318">
        <f t="shared" si="51"/>
        <v>21.790015713580246</v>
      </c>
      <c r="X318" s="9"/>
      <c r="Y318" s="22">
        <v>0.22903399999999999</v>
      </c>
      <c r="Z318" s="22">
        <v>17.5824</v>
      </c>
      <c r="AA318" s="22">
        <v>-1.3909899999999999E-2</v>
      </c>
      <c r="AB318" s="22">
        <v>308</v>
      </c>
      <c r="AC318" s="22">
        <v>0.228577</v>
      </c>
      <c r="AD318">
        <f t="shared" si="52"/>
        <v>17.172716049382714</v>
      </c>
      <c r="AE318">
        <f t="shared" si="53"/>
        <v>3.9331358476543206</v>
      </c>
      <c r="AF318" s="9"/>
      <c r="AG318" s="22">
        <v>1.45096</v>
      </c>
      <c r="AH318" s="22">
        <v>21.3613</v>
      </c>
      <c r="AI318" s="22">
        <v>-1.20941E-2</v>
      </c>
      <c r="AJ318" s="22">
        <v>308</v>
      </c>
      <c r="AK318" s="22">
        <v>1.4501999999999999</v>
      </c>
      <c r="AL318">
        <f t="shared" si="54"/>
        <v>14.930987654320987</v>
      </c>
      <c r="AM318">
        <f t="shared" si="55"/>
        <v>21.66426584691358</v>
      </c>
      <c r="AP318" s="9"/>
      <c r="AQ318" s="22">
        <v>0.22903399999999999</v>
      </c>
      <c r="AR318" s="22">
        <v>26.808599999999998</v>
      </c>
      <c r="AS318" s="22">
        <v>-1.39282E-2</v>
      </c>
      <c r="AT318" s="22">
        <v>308</v>
      </c>
      <c r="AU318" s="22">
        <v>0.228546</v>
      </c>
      <c r="AV318">
        <f t="shared" si="56"/>
        <v>17.195308641975309</v>
      </c>
      <c r="AW318">
        <f t="shared" si="57"/>
        <v>3.9383103195061726</v>
      </c>
      <c r="AX318" s="9"/>
      <c r="AY318" s="22">
        <v>1.45096</v>
      </c>
      <c r="AZ318" s="22">
        <v>30.587599999999998</v>
      </c>
      <c r="BA318" s="22">
        <v>-1.2191799999999999E-2</v>
      </c>
      <c r="BB318" s="22">
        <v>308</v>
      </c>
      <c r="BC318" s="22">
        <v>1.4501999999999999</v>
      </c>
      <c r="BD318">
        <f t="shared" si="58"/>
        <v>15.051604938271602</v>
      </c>
      <c r="BE318">
        <f t="shared" si="59"/>
        <v>21.839276701234564</v>
      </c>
    </row>
    <row r="319" spans="6:57">
      <c r="F319" s="9"/>
      <c r="G319" s="22">
        <v>0.223999</v>
      </c>
      <c r="H319" s="22">
        <v>8.3022600000000004</v>
      </c>
      <c r="I319" s="22">
        <v>-1.3894699999999999E-2</v>
      </c>
      <c r="J319" s="22">
        <v>309</v>
      </c>
      <c r="K319" s="22">
        <v>0.22345000000000001</v>
      </c>
      <c r="L319">
        <f t="shared" si="48"/>
        <v>17.153950617283947</v>
      </c>
      <c r="M319">
        <f t="shared" si="49"/>
        <v>3.8424677843209869</v>
      </c>
      <c r="N319" s="9"/>
      <c r="O319" s="22">
        <v>1.4559899999999999</v>
      </c>
      <c r="P319" s="22">
        <v>12.081200000000001</v>
      </c>
      <c r="Q319" s="22">
        <v>-1.21063E-2</v>
      </c>
      <c r="R319" s="22">
        <v>309</v>
      </c>
      <c r="S319" s="22">
        <v>1.4553799999999999</v>
      </c>
      <c r="T319">
        <f t="shared" si="50"/>
        <v>14.946049382716049</v>
      </c>
      <c r="U319">
        <f t="shared" si="51"/>
        <v>21.761298440740738</v>
      </c>
      <c r="X319" s="9"/>
      <c r="Y319" s="22">
        <v>0.223999</v>
      </c>
      <c r="Z319" s="22">
        <v>17.592500000000001</v>
      </c>
      <c r="AA319" s="22">
        <v>-1.39069E-2</v>
      </c>
      <c r="AB319" s="22">
        <v>309</v>
      </c>
      <c r="AC319" s="22">
        <v>0.22345000000000001</v>
      </c>
      <c r="AD319">
        <f t="shared" si="52"/>
        <v>17.169012345679011</v>
      </c>
      <c r="AE319">
        <f t="shared" si="53"/>
        <v>3.8458415964197528</v>
      </c>
      <c r="AF319" s="9"/>
      <c r="AG319" s="22">
        <v>1.4559899999999999</v>
      </c>
      <c r="AH319" s="22">
        <v>21.371400000000001</v>
      </c>
      <c r="AI319" s="22">
        <v>-1.20453E-2</v>
      </c>
      <c r="AJ319" s="22">
        <v>309</v>
      </c>
      <c r="AK319" s="22">
        <v>1.4553799999999999</v>
      </c>
      <c r="AL319">
        <f t="shared" si="54"/>
        <v>14.870740740740739</v>
      </c>
      <c r="AM319">
        <f t="shared" si="55"/>
        <v>21.651649811111106</v>
      </c>
      <c r="AP319" s="9"/>
      <c r="AQ319" s="22">
        <v>0.223999</v>
      </c>
      <c r="AR319" s="22">
        <v>26.8187</v>
      </c>
      <c r="AS319" s="22">
        <v>-1.39282E-2</v>
      </c>
      <c r="AT319" s="22">
        <v>309</v>
      </c>
      <c r="AU319" s="22">
        <v>0.22348000000000001</v>
      </c>
      <c r="AV319">
        <f t="shared" si="56"/>
        <v>17.195308641975309</v>
      </c>
      <c r="AW319">
        <f t="shared" si="57"/>
        <v>3.8517319404938273</v>
      </c>
      <c r="AX319" s="9"/>
      <c r="AY319" s="22">
        <v>1.4559899999999999</v>
      </c>
      <c r="AZ319" s="22">
        <v>30.5976</v>
      </c>
      <c r="BA319" s="22">
        <v>-1.21552E-2</v>
      </c>
      <c r="BB319" s="22">
        <v>309</v>
      </c>
      <c r="BC319" s="22">
        <v>1.4547699999999999</v>
      </c>
      <c r="BD319">
        <f t="shared" si="58"/>
        <v>15.006419753086417</v>
      </c>
      <c r="BE319">
        <f t="shared" si="59"/>
        <v>21.84919709629629</v>
      </c>
    </row>
    <row r="320" spans="6:57">
      <c r="F320" s="9"/>
      <c r="G320" s="22">
        <v>0.21896399999999999</v>
      </c>
      <c r="H320" s="22">
        <v>8.3123299999999993</v>
      </c>
      <c r="I320" s="22">
        <v>-1.3897700000000001E-2</v>
      </c>
      <c r="J320" s="22">
        <v>310</v>
      </c>
      <c r="K320" s="22">
        <v>0.218414</v>
      </c>
      <c r="L320">
        <f t="shared" si="48"/>
        <v>17.157654320987653</v>
      </c>
      <c r="M320">
        <f t="shared" si="49"/>
        <v>3.7569086207407403</v>
      </c>
      <c r="N320" s="9"/>
      <c r="O320" s="22">
        <v>1.4610300000000001</v>
      </c>
      <c r="P320" s="22">
        <v>12.091200000000001</v>
      </c>
      <c r="Q320" s="22">
        <v>-1.20605E-2</v>
      </c>
      <c r="R320" s="22">
        <v>310</v>
      </c>
      <c r="S320" s="22">
        <v>1.4605699999999999</v>
      </c>
      <c r="T320">
        <f t="shared" si="50"/>
        <v>14.889506172839505</v>
      </c>
      <c r="U320">
        <f t="shared" si="51"/>
        <v>21.754015203703702</v>
      </c>
      <c r="X320" s="9"/>
      <c r="Y320" s="22">
        <v>0.21896399999999999</v>
      </c>
      <c r="Z320" s="22">
        <v>17.602599999999999</v>
      </c>
      <c r="AA320" s="22">
        <v>-1.3909899999999999E-2</v>
      </c>
      <c r="AB320" s="22">
        <v>310</v>
      </c>
      <c r="AC320" s="22">
        <v>0.21850600000000001</v>
      </c>
      <c r="AD320">
        <f t="shared" si="52"/>
        <v>17.172716049382714</v>
      </c>
      <c r="AE320">
        <f t="shared" si="53"/>
        <v>3.7602065970370364</v>
      </c>
      <c r="AF320" s="9"/>
      <c r="AG320" s="22">
        <v>1.4610300000000001</v>
      </c>
      <c r="AH320" s="22">
        <v>21.381499999999999</v>
      </c>
      <c r="AI320" s="22">
        <v>-1.19843E-2</v>
      </c>
      <c r="AJ320" s="22">
        <v>310</v>
      </c>
      <c r="AK320" s="22">
        <v>1.4605699999999999</v>
      </c>
      <c r="AL320">
        <f t="shared" si="54"/>
        <v>14.795432098765431</v>
      </c>
      <c r="AM320">
        <f t="shared" si="55"/>
        <v>21.616570159259258</v>
      </c>
      <c r="AP320" s="9"/>
      <c r="AQ320" s="22">
        <v>0.21896399999999999</v>
      </c>
      <c r="AR320" s="22">
        <v>26.828800000000001</v>
      </c>
      <c r="AS320" s="22">
        <v>-1.3931300000000001E-2</v>
      </c>
      <c r="AT320" s="22">
        <v>310</v>
      </c>
      <c r="AU320" s="22">
        <v>0.218445</v>
      </c>
      <c r="AV320">
        <f t="shared" si="56"/>
        <v>17.199135802469137</v>
      </c>
      <c r="AW320">
        <f t="shared" si="57"/>
        <v>3.7659915718518517</v>
      </c>
      <c r="AX320" s="9"/>
      <c r="AY320" s="22">
        <v>1.4610300000000001</v>
      </c>
      <c r="AZ320" s="22">
        <v>30.607700000000001</v>
      </c>
      <c r="BA320" s="22">
        <v>-1.21002E-2</v>
      </c>
      <c r="BB320" s="22">
        <v>310</v>
      </c>
      <c r="BC320" s="22">
        <v>1.4605699999999999</v>
      </c>
      <c r="BD320">
        <f t="shared" si="58"/>
        <v>14.938518518518517</v>
      </c>
      <c r="BE320">
        <f t="shared" si="59"/>
        <v>21.82562371111111</v>
      </c>
    </row>
    <row r="321" spans="6:57">
      <c r="F321" s="9"/>
      <c r="G321" s="22">
        <v>0.21392800000000001</v>
      </c>
      <c r="H321" s="22">
        <v>8.3224</v>
      </c>
      <c r="I321" s="22">
        <v>-1.39008E-2</v>
      </c>
      <c r="J321" s="22">
        <v>311</v>
      </c>
      <c r="K321" s="22">
        <v>0.21337900000000001</v>
      </c>
      <c r="L321">
        <f t="shared" si="48"/>
        <v>17.161481481481481</v>
      </c>
      <c r="M321">
        <f t="shared" si="49"/>
        <v>3.6713214103703704</v>
      </c>
      <c r="N321" s="9"/>
      <c r="O321" s="22">
        <v>1.4660599999999999</v>
      </c>
      <c r="P321" s="22">
        <v>12.1013</v>
      </c>
      <c r="Q321" s="22">
        <v>-1.2008700000000001E-2</v>
      </c>
      <c r="R321" s="22">
        <v>311</v>
      </c>
      <c r="S321" s="22">
        <v>1.46515</v>
      </c>
      <c r="T321">
        <f t="shared" si="50"/>
        <v>14.825555555555555</v>
      </c>
      <c r="U321">
        <f t="shared" si="51"/>
        <v>21.735153977777777</v>
      </c>
      <c r="X321" s="9"/>
      <c r="Y321" s="22">
        <v>0.21392800000000001</v>
      </c>
      <c r="Z321" s="22">
        <v>17.6126</v>
      </c>
      <c r="AA321" s="22">
        <v>-1.3913E-2</v>
      </c>
      <c r="AB321" s="22">
        <v>311</v>
      </c>
      <c r="AC321" s="22">
        <v>0.21337900000000001</v>
      </c>
      <c r="AD321">
        <f t="shared" si="52"/>
        <v>17.176543209876542</v>
      </c>
      <c r="AE321">
        <f t="shared" si="53"/>
        <v>3.674543535802469</v>
      </c>
      <c r="AF321" s="9"/>
      <c r="AG321" s="22">
        <v>1.4660599999999999</v>
      </c>
      <c r="AH321" s="22">
        <v>21.391500000000001</v>
      </c>
      <c r="AI321" s="22">
        <v>-1.19293E-2</v>
      </c>
      <c r="AJ321" s="22">
        <v>311</v>
      </c>
      <c r="AK321" s="22">
        <v>1.46515</v>
      </c>
      <c r="AL321">
        <f t="shared" si="54"/>
        <v>14.727530864197531</v>
      </c>
      <c r="AM321">
        <f t="shared" si="55"/>
        <v>21.59144389876543</v>
      </c>
      <c r="AP321" s="9"/>
      <c r="AQ321" s="22">
        <v>0.21392800000000001</v>
      </c>
      <c r="AR321" s="22">
        <v>26.838799999999999</v>
      </c>
      <c r="AS321" s="22">
        <v>-1.3931300000000001E-2</v>
      </c>
      <c r="AT321" s="22">
        <v>311</v>
      </c>
      <c r="AU321" s="22">
        <v>0.21334800000000001</v>
      </c>
      <c r="AV321">
        <f t="shared" si="56"/>
        <v>17.199135802469137</v>
      </c>
      <c r="AW321">
        <f t="shared" si="57"/>
        <v>3.6793767239506177</v>
      </c>
      <c r="AX321" s="9"/>
      <c r="AY321" s="22">
        <v>1.4660599999999999</v>
      </c>
      <c r="AZ321" s="22">
        <v>30.617799999999999</v>
      </c>
      <c r="BA321" s="22">
        <v>-1.20514E-2</v>
      </c>
      <c r="BB321" s="22">
        <v>311</v>
      </c>
      <c r="BC321" s="22">
        <v>1.46515</v>
      </c>
      <c r="BD321">
        <f t="shared" si="58"/>
        <v>14.878271604938272</v>
      </c>
      <c r="BE321">
        <f t="shared" si="59"/>
        <v>21.8124388691358</v>
      </c>
    </row>
    <row r="322" spans="6:57">
      <c r="F322" s="9"/>
      <c r="G322" s="22">
        <v>0.208893</v>
      </c>
      <c r="H322" s="22">
        <v>8.3324800000000003</v>
      </c>
      <c r="I322" s="22">
        <v>-1.39008E-2</v>
      </c>
      <c r="J322" s="22">
        <v>312</v>
      </c>
      <c r="K322" s="22">
        <v>0.208374</v>
      </c>
      <c r="L322">
        <f t="shared" si="48"/>
        <v>17.161481481481481</v>
      </c>
      <c r="M322">
        <f t="shared" si="49"/>
        <v>3.5849133511111106</v>
      </c>
      <c r="N322" s="9"/>
      <c r="O322" s="22">
        <v>1.4711000000000001</v>
      </c>
      <c r="P322" s="22">
        <v>12.1114</v>
      </c>
      <c r="Q322" s="22">
        <v>-1.19446E-2</v>
      </c>
      <c r="R322" s="22">
        <v>312</v>
      </c>
      <c r="S322" s="22">
        <v>1.4700299999999999</v>
      </c>
      <c r="T322">
        <f t="shared" si="50"/>
        <v>14.746419753086418</v>
      </c>
      <c r="U322">
        <f t="shared" si="51"/>
        <v>21.693458098765429</v>
      </c>
      <c r="X322" s="9"/>
      <c r="Y322" s="22">
        <v>0.208893</v>
      </c>
      <c r="Z322" s="22">
        <v>17.622699999999998</v>
      </c>
      <c r="AA322" s="22">
        <v>-1.39191E-2</v>
      </c>
      <c r="AB322" s="22">
        <v>312</v>
      </c>
      <c r="AC322" s="22">
        <v>0.208374</v>
      </c>
      <c r="AD322">
        <f t="shared" si="52"/>
        <v>17.184074074074076</v>
      </c>
      <c r="AE322">
        <f t="shared" si="53"/>
        <v>3.5896327855555556</v>
      </c>
      <c r="AF322" s="9"/>
      <c r="AG322" s="22">
        <v>1.4711000000000001</v>
      </c>
      <c r="AH322" s="22">
        <v>21.401599999999998</v>
      </c>
      <c r="AI322" s="22">
        <v>-1.18805E-2</v>
      </c>
      <c r="AJ322" s="22">
        <v>312</v>
      </c>
      <c r="AK322" s="22">
        <v>1.47034</v>
      </c>
      <c r="AL322">
        <f t="shared" si="54"/>
        <v>14.667283950617284</v>
      </c>
      <c r="AM322">
        <f t="shared" si="55"/>
        <v>21.577041419753087</v>
      </c>
      <c r="AP322" s="9"/>
      <c r="AQ322" s="22">
        <v>0.208893</v>
      </c>
      <c r="AR322" s="22">
        <v>26.8489</v>
      </c>
      <c r="AS322" s="22">
        <v>-1.39343E-2</v>
      </c>
      <c r="AT322" s="22">
        <v>312</v>
      </c>
      <c r="AU322" s="22">
        <v>0.20840500000000001</v>
      </c>
      <c r="AV322">
        <f t="shared" si="56"/>
        <v>17.202839506172836</v>
      </c>
      <c r="AW322">
        <f t="shared" si="57"/>
        <v>3.5935527529629621</v>
      </c>
      <c r="AX322" s="9"/>
      <c r="AY322" s="22">
        <v>1.4711000000000001</v>
      </c>
      <c r="AZ322" s="22">
        <v>30.6279</v>
      </c>
      <c r="BA322" s="22">
        <v>-1.19965E-2</v>
      </c>
      <c r="BB322" s="22">
        <v>312</v>
      </c>
      <c r="BC322" s="22">
        <v>1.4706399999999999</v>
      </c>
      <c r="BD322">
        <f t="shared" si="58"/>
        <v>14.810493827160494</v>
      </c>
      <c r="BE322">
        <f t="shared" si="59"/>
        <v>21.787717469135803</v>
      </c>
    </row>
    <row r="323" spans="6:57">
      <c r="F323" s="9"/>
      <c r="G323" s="22">
        <v>0.20385700000000001</v>
      </c>
      <c r="H323" s="22">
        <v>8.3425499999999992</v>
      </c>
      <c r="I323" s="22">
        <v>-1.39008E-2</v>
      </c>
      <c r="J323" s="22">
        <v>313</v>
      </c>
      <c r="K323" s="22">
        <v>0.20336899999999999</v>
      </c>
      <c r="L323">
        <f t="shared" si="48"/>
        <v>17.161481481481481</v>
      </c>
      <c r="M323">
        <f t="shared" si="49"/>
        <v>3.4984881303703705</v>
      </c>
      <c r="N323" s="9"/>
      <c r="O323" s="22">
        <v>1.47614</v>
      </c>
      <c r="P323" s="22">
        <v>12.121499999999999</v>
      </c>
      <c r="Q323" s="22">
        <v>-1.18835E-2</v>
      </c>
      <c r="R323" s="22">
        <v>313</v>
      </c>
      <c r="S323" s="22">
        <v>1.4749099999999999</v>
      </c>
      <c r="T323">
        <f t="shared" si="50"/>
        <v>14.670987654320987</v>
      </c>
      <c r="U323">
        <f t="shared" si="51"/>
        <v>21.656431716049383</v>
      </c>
      <c r="X323" s="9"/>
      <c r="Y323" s="22">
        <v>0.20385700000000001</v>
      </c>
      <c r="Z323" s="22">
        <v>17.6328</v>
      </c>
      <c r="AA323" s="22">
        <v>-1.39252E-2</v>
      </c>
      <c r="AB323" s="22">
        <v>313</v>
      </c>
      <c r="AC323" s="22">
        <v>0.20330799999999999</v>
      </c>
      <c r="AD323">
        <f t="shared" si="52"/>
        <v>17.191604938271606</v>
      </c>
      <c r="AE323">
        <f t="shared" si="53"/>
        <v>3.5046290079012348</v>
      </c>
      <c r="AF323" s="9"/>
      <c r="AG323" s="22">
        <v>1.47614</v>
      </c>
      <c r="AH323" s="22">
        <v>21.4117</v>
      </c>
      <c r="AI323" s="22">
        <v>-1.18256E-2</v>
      </c>
      <c r="AJ323" s="22">
        <v>313</v>
      </c>
      <c r="AK323" s="22">
        <v>1.47522</v>
      </c>
      <c r="AL323">
        <f t="shared" si="54"/>
        <v>14.599506172839504</v>
      </c>
      <c r="AM323">
        <f t="shared" si="55"/>
        <v>21.550915041975305</v>
      </c>
      <c r="AP323" s="9"/>
      <c r="AQ323" s="22">
        <v>0.20385700000000001</v>
      </c>
      <c r="AR323" s="22">
        <v>26.859000000000002</v>
      </c>
      <c r="AS323" s="22">
        <v>-1.3937400000000001E-2</v>
      </c>
      <c r="AT323" s="22">
        <v>313</v>
      </c>
      <c r="AU323" s="22">
        <v>0.20327799999999999</v>
      </c>
      <c r="AV323">
        <f t="shared" si="56"/>
        <v>17.206666666666667</v>
      </c>
      <c r="AW323">
        <f t="shared" si="57"/>
        <v>3.5076994466666669</v>
      </c>
      <c r="AX323" s="9"/>
      <c r="AY323" s="22">
        <v>1.47614</v>
      </c>
      <c r="AZ323" s="22">
        <v>30.637899999999998</v>
      </c>
      <c r="BA323" s="22">
        <v>-1.1932399999999999E-2</v>
      </c>
      <c r="BB323" s="22">
        <v>313</v>
      </c>
      <c r="BC323" s="22">
        <v>1.47522</v>
      </c>
      <c r="BD323">
        <f t="shared" si="58"/>
        <v>14.731358024691357</v>
      </c>
      <c r="BE323">
        <f t="shared" si="59"/>
        <v>21.7455468345679</v>
      </c>
    </row>
    <row r="324" spans="6:57">
      <c r="F324" s="9"/>
      <c r="G324" s="22">
        <v>0.198822</v>
      </c>
      <c r="H324" s="22">
        <v>8.3526199999999999</v>
      </c>
      <c r="I324" s="22">
        <v>-1.3903799999999999E-2</v>
      </c>
      <c r="J324" s="22">
        <v>314</v>
      </c>
      <c r="K324" s="22">
        <v>0.19836400000000001</v>
      </c>
      <c r="L324">
        <f t="shared" si="48"/>
        <v>17.165185185185184</v>
      </c>
      <c r="M324">
        <f t="shared" si="49"/>
        <v>3.4128164488888886</v>
      </c>
      <c r="N324" s="9"/>
      <c r="O324" s="22">
        <v>1.4811700000000001</v>
      </c>
      <c r="P324" s="22">
        <v>12.131500000000001</v>
      </c>
      <c r="Q324" s="22">
        <v>-1.18134E-2</v>
      </c>
      <c r="R324" s="22">
        <v>314</v>
      </c>
      <c r="S324" s="22">
        <v>1.48102</v>
      </c>
      <c r="T324">
        <f t="shared" si="50"/>
        <v>14.584444444444443</v>
      </c>
      <c r="U324">
        <f t="shared" si="51"/>
        <v>21.602041577777779</v>
      </c>
      <c r="X324" s="9"/>
      <c r="Y324" s="22">
        <v>0.198822</v>
      </c>
      <c r="Z324" s="22">
        <v>17.642800000000001</v>
      </c>
      <c r="AA324" s="22">
        <v>-1.39282E-2</v>
      </c>
      <c r="AB324" s="22">
        <v>314</v>
      </c>
      <c r="AC324" s="22">
        <v>0.198273</v>
      </c>
      <c r="AD324">
        <f t="shared" si="52"/>
        <v>17.195308641975309</v>
      </c>
      <c r="AE324">
        <f t="shared" si="53"/>
        <v>3.4188056548148147</v>
      </c>
      <c r="AF324" s="9"/>
      <c r="AG324" s="22">
        <v>1.4811700000000001</v>
      </c>
      <c r="AH324" s="22">
        <v>21.421700000000001</v>
      </c>
      <c r="AI324" s="22">
        <v>-1.1776699999999999E-2</v>
      </c>
      <c r="AJ324" s="22">
        <v>314</v>
      </c>
      <c r="AK324" s="22">
        <v>1.48071</v>
      </c>
      <c r="AL324">
        <f t="shared" si="54"/>
        <v>14.539135802469135</v>
      </c>
      <c r="AM324">
        <f t="shared" si="55"/>
        <v>21.53493177654321</v>
      </c>
      <c r="AP324" s="9"/>
      <c r="AQ324" s="22">
        <v>0.198822</v>
      </c>
      <c r="AR324" s="22">
        <v>26.8691</v>
      </c>
      <c r="AS324" s="22">
        <v>-1.3943499999999999E-2</v>
      </c>
      <c r="AT324" s="22">
        <v>314</v>
      </c>
      <c r="AU324" s="22">
        <v>0.19833400000000001</v>
      </c>
      <c r="AV324">
        <f t="shared" si="56"/>
        <v>17.214197530864197</v>
      </c>
      <c r="AW324">
        <f t="shared" si="57"/>
        <v>3.4225611814814814</v>
      </c>
      <c r="AX324" s="9"/>
      <c r="AY324" s="22">
        <v>1.4811700000000001</v>
      </c>
      <c r="AZ324" s="22">
        <v>30.648</v>
      </c>
      <c r="BA324" s="22">
        <v>-1.1865199999999999E-2</v>
      </c>
      <c r="BB324" s="22">
        <v>314</v>
      </c>
      <c r="BC324" s="22">
        <v>1.48041</v>
      </c>
      <c r="BD324">
        <f t="shared" si="58"/>
        <v>14.648395061728394</v>
      </c>
      <c r="BE324">
        <f t="shared" si="59"/>
        <v>21.696763313580245</v>
      </c>
    </row>
    <row r="325" spans="6:57">
      <c r="F325" s="9"/>
      <c r="G325" s="22">
        <v>0.19378699999999999</v>
      </c>
      <c r="H325" s="22">
        <v>8.3626900000000006</v>
      </c>
      <c r="I325" s="22">
        <v>-1.39069E-2</v>
      </c>
      <c r="J325" s="22">
        <v>315</v>
      </c>
      <c r="K325" s="22">
        <v>0.19323699999999999</v>
      </c>
      <c r="L325">
        <f t="shared" si="48"/>
        <v>17.169012345679011</v>
      </c>
      <c r="M325">
        <f t="shared" si="49"/>
        <v>3.3271313954320982</v>
      </c>
      <c r="N325" s="9"/>
      <c r="O325" s="22">
        <v>1.48621</v>
      </c>
      <c r="P325" s="22">
        <v>12.1416</v>
      </c>
      <c r="Q325" s="22">
        <v>-1.1755399999999999E-2</v>
      </c>
      <c r="R325" s="22">
        <v>315</v>
      </c>
      <c r="S325" s="22">
        <v>1.48529</v>
      </c>
      <c r="T325">
        <f t="shared" si="50"/>
        <v>14.512839506172838</v>
      </c>
      <c r="U325">
        <f t="shared" si="51"/>
        <v>21.569127202469133</v>
      </c>
      <c r="X325" s="9"/>
      <c r="Y325" s="22">
        <v>0.19378699999999999</v>
      </c>
      <c r="Z325" s="22">
        <v>17.652899999999999</v>
      </c>
      <c r="AA325" s="22">
        <v>-1.39343E-2</v>
      </c>
      <c r="AB325" s="22">
        <v>315</v>
      </c>
      <c r="AC325" s="22">
        <v>0.19323699999999999</v>
      </c>
      <c r="AD325">
        <f t="shared" si="52"/>
        <v>17.202839506172836</v>
      </c>
      <c r="AE325">
        <f t="shared" si="53"/>
        <v>3.3336866593827152</v>
      </c>
      <c r="AF325" s="9"/>
      <c r="AG325" s="22">
        <v>1.48621</v>
      </c>
      <c r="AH325" s="22">
        <v>21.431799999999999</v>
      </c>
      <c r="AI325" s="22">
        <v>-1.1715700000000001E-2</v>
      </c>
      <c r="AJ325" s="22">
        <v>315</v>
      </c>
      <c r="AK325" s="22">
        <v>1.48499</v>
      </c>
      <c r="AL325">
        <f t="shared" si="54"/>
        <v>14.463827160493826</v>
      </c>
      <c r="AM325">
        <f t="shared" si="55"/>
        <v>21.496284564197531</v>
      </c>
      <c r="AP325" s="9"/>
      <c r="AQ325" s="22">
        <v>0.19378699999999999</v>
      </c>
      <c r="AR325" s="22">
        <v>26.879100000000001</v>
      </c>
      <c r="AS325" s="22">
        <v>-1.3946500000000001E-2</v>
      </c>
      <c r="AT325" s="22">
        <v>315</v>
      </c>
      <c r="AU325" s="22">
        <v>0.193298</v>
      </c>
      <c r="AV325">
        <f t="shared" si="56"/>
        <v>17.217901234567901</v>
      </c>
      <c r="AW325">
        <f t="shared" si="57"/>
        <v>3.3366054265432097</v>
      </c>
      <c r="AX325" s="9"/>
      <c r="AY325" s="22">
        <v>1.48621</v>
      </c>
      <c r="AZ325" s="22">
        <v>30.658100000000001</v>
      </c>
      <c r="BA325" s="22">
        <v>-1.17889E-2</v>
      </c>
      <c r="BB325" s="22">
        <v>315</v>
      </c>
      <c r="BC325" s="22">
        <v>1.48499</v>
      </c>
      <c r="BD325">
        <f t="shared" si="58"/>
        <v>14.554197530864196</v>
      </c>
      <c r="BE325">
        <f t="shared" si="59"/>
        <v>21.630593912345677</v>
      </c>
    </row>
    <row r="326" spans="6:57">
      <c r="F326" s="9"/>
      <c r="G326" s="22">
        <v>0.188751</v>
      </c>
      <c r="H326" s="22">
        <v>8.3727599999999995</v>
      </c>
      <c r="I326" s="22">
        <v>-1.3903799999999999E-2</v>
      </c>
      <c r="J326" s="22">
        <v>316</v>
      </c>
      <c r="K326" s="22">
        <v>0.18820200000000001</v>
      </c>
      <c r="L326">
        <f t="shared" si="48"/>
        <v>17.165185185185184</v>
      </c>
      <c r="M326">
        <f t="shared" si="49"/>
        <v>3.2399458688888885</v>
      </c>
      <c r="N326" s="9"/>
      <c r="O326" s="22">
        <v>1.4912399999999999</v>
      </c>
      <c r="P326" s="22">
        <v>12.1517</v>
      </c>
      <c r="Q326" s="22">
        <v>-1.1688199999999999E-2</v>
      </c>
      <c r="R326" s="22">
        <v>316</v>
      </c>
      <c r="S326" s="22">
        <v>1.48987</v>
      </c>
      <c r="T326">
        <f t="shared" si="50"/>
        <v>14.429876543209874</v>
      </c>
      <c r="U326">
        <f t="shared" si="51"/>
        <v>21.518409096296292</v>
      </c>
      <c r="X326" s="9"/>
      <c r="Y326" s="22">
        <v>0.188751</v>
      </c>
      <c r="Z326" s="22">
        <v>17.663</v>
      </c>
      <c r="AA326" s="22">
        <v>-1.3937400000000001E-2</v>
      </c>
      <c r="AB326" s="22">
        <v>316</v>
      </c>
      <c r="AC326" s="22">
        <v>0.18826300000000001</v>
      </c>
      <c r="AD326">
        <f t="shared" si="52"/>
        <v>17.206666666666667</v>
      </c>
      <c r="AE326">
        <f t="shared" si="53"/>
        <v>3.2477755400000001</v>
      </c>
      <c r="AF326" s="9"/>
      <c r="AG326" s="22">
        <v>1.4912399999999999</v>
      </c>
      <c r="AH326" s="22">
        <v>21.4419</v>
      </c>
      <c r="AI326" s="22">
        <v>-1.16547E-2</v>
      </c>
      <c r="AJ326" s="22">
        <v>316</v>
      </c>
      <c r="AK326" s="22">
        <v>1.49048</v>
      </c>
      <c r="AL326">
        <f t="shared" si="54"/>
        <v>14.388518518518518</v>
      </c>
      <c r="AM326">
        <f t="shared" si="55"/>
        <v>21.456734355555554</v>
      </c>
      <c r="AP326" s="9"/>
      <c r="AQ326" s="22">
        <v>0.188751</v>
      </c>
      <c r="AR326" s="22">
        <v>26.889199999999999</v>
      </c>
      <c r="AS326" s="22">
        <v>-1.3952600000000001E-2</v>
      </c>
      <c r="AT326" s="22">
        <v>316</v>
      </c>
      <c r="AU326" s="22">
        <v>0.188171</v>
      </c>
      <c r="AV326">
        <f t="shared" si="56"/>
        <v>17.225432098765431</v>
      </c>
      <c r="AW326">
        <f t="shared" si="57"/>
        <v>3.2513175340740741</v>
      </c>
      <c r="AX326" s="9"/>
      <c r="AY326" s="22">
        <v>1.4912399999999999</v>
      </c>
      <c r="AZ326" s="22">
        <v>30.668099999999999</v>
      </c>
      <c r="BA326" s="22">
        <v>-1.1715700000000001E-2</v>
      </c>
      <c r="BB326" s="22">
        <v>316</v>
      </c>
      <c r="BC326" s="22">
        <v>1.48987</v>
      </c>
      <c r="BD326">
        <f t="shared" si="58"/>
        <v>14.463827160493826</v>
      </c>
      <c r="BE326">
        <f t="shared" si="59"/>
        <v>21.569037614814814</v>
      </c>
    </row>
    <row r="327" spans="6:57">
      <c r="F327" s="9"/>
      <c r="G327" s="22">
        <v>0.18371599999999999</v>
      </c>
      <c r="H327" s="22">
        <v>8.3828300000000002</v>
      </c>
      <c r="I327" s="22">
        <v>-1.39008E-2</v>
      </c>
      <c r="J327" s="22">
        <v>317</v>
      </c>
      <c r="K327" s="22">
        <v>0.183167</v>
      </c>
      <c r="L327">
        <f t="shared" si="48"/>
        <v>17.161481481481481</v>
      </c>
      <c r="M327">
        <f t="shared" si="49"/>
        <v>3.1528387318518516</v>
      </c>
      <c r="N327" s="9"/>
      <c r="O327" s="22">
        <v>1.4962800000000001</v>
      </c>
      <c r="P327" s="22">
        <v>12.1617</v>
      </c>
      <c r="Q327" s="22">
        <v>-1.16119E-2</v>
      </c>
      <c r="R327" s="22">
        <v>317</v>
      </c>
      <c r="S327" s="22">
        <v>1.49536</v>
      </c>
      <c r="T327">
        <f t="shared" si="50"/>
        <v>14.335679012345677</v>
      </c>
      <c r="U327">
        <f t="shared" si="51"/>
        <v>21.450189792592592</v>
      </c>
      <c r="X327" s="9"/>
      <c r="Y327" s="22">
        <v>0.18371599999999999</v>
      </c>
      <c r="Z327" s="22">
        <v>17.673100000000002</v>
      </c>
      <c r="AA327" s="22">
        <v>-1.39404E-2</v>
      </c>
      <c r="AB327" s="22">
        <v>317</v>
      </c>
      <c r="AC327" s="22">
        <v>0.183197</v>
      </c>
      <c r="AD327">
        <f t="shared" si="52"/>
        <v>17.21037037037037</v>
      </c>
      <c r="AE327">
        <f t="shared" si="53"/>
        <v>3.1618204029629626</v>
      </c>
      <c r="AF327" s="9"/>
      <c r="AG327" s="22">
        <v>1.4962800000000001</v>
      </c>
      <c r="AH327" s="22">
        <v>21.452000000000002</v>
      </c>
      <c r="AI327" s="22">
        <v>-1.15753E-2</v>
      </c>
      <c r="AJ327" s="22">
        <v>317</v>
      </c>
      <c r="AK327" s="22">
        <v>1.4956700000000001</v>
      </c>
      <c r="AL327">
        <f t="shared" si="54"/>
        <v>14.290493827160493</v>
      </c>
      <c r="AM327">
        <f t="shared" si="55"/>
        <v>21.382580103703702</v>
      </c>
      <c r="AP327" s="9"/>
      <c r="AQ327" s="22">
        <v>0.18371599999999999</v>
      </c>
      <c r="AR327" s="22">
        <v>26.8993</v>
      </c>
      <c r="AS327" s="22">
        <v>-1.39557E-2</v>
      </c>
      <c r="AT327" s="22">
        <v>317</v>
      </c>
      <c r="AU327" s="22">
        <v>0.183167</v>
      </c>
      <c r="AV327">
        <f t="shared" si="56"/>
        <v>17.229259259259258</v>
      </c>
      <c r="AW327">
        <f t="shared" si="57"/>
        <v>3.1652905940740736</v>
      </c>
      <c r="AX327" s="9"/>
      <c r="AY327" s="22">
        <v>1.4962800000000001</v>
      </c>
      <c r="AZ327" s="22">
        <v>30.6782</v>
      </c>
      <c r="BA327" s="22">
        <v>-1.16455E-2</v>
      </c>
      <c r="BB327" s="22">
        <v>317</v>
      </c>
      <c r="BC327" s="22">
        <v>1.4950600000000001</v>
      </c>
      <c r="BD327">
        <f t="shared" si="58"/>
        <v>14.37716049382716</v>
      </c>
      <c r="BE327">
        <f t="shared" si="59"/>
        <v>21.512257703703703</v>
      </c>
    </row>
    <row r="328" spans="6:57">
      <c r="F328" s="9"/>
      <c r="G328" s="22">
        <v>0.17868000000000001</v>
      </c>
      <c r="H328" s="22">
        <v>8.3928999999999991</v>
      </c>
      <c r="I328" s="22">
        <v>-1.3897700000000001E-2</v>
      </c>
      <c r="J328" s="22">
        <v>318</v>
      </c>
      <c r="K328" s="22">
        <v>0.17813100000000001</v>
      </c>
      <c r="L328">
        <f t="shared" si="48"/>
        <v>17.157654320987653</v>
      </c>
      <c r="M328">
        <f t="shared" si="49"/>
        <v>3.065729674074074</v>
      </c>
      <c r="N328" s="9"/>
      <c r="O328" s="22">
        <v>1.5013099999999999</v>
      </c>
      <c r="P328" s="22">
        <v>12.171799999999999</v>
      </c>
      <c r="Q328" s="22">
        <v>-1.15326E-2</v>
      </c>
      <c r="R328" s="22">
        <v>318</v>
      </c>
      <c r="S328" s="22">
        <v>1.5005500000000001</v>
      </c>
      <c r="T328">
        <f t="shared" si="50"/>
        <v>14.237777777777778</v>
      </c>
      <c r="U328">
        <f t="shared" si="51"/>
        <v>21.375318155555554</v>
      </c>
      <c r="X328" s="9"/>
      <c r="Y328" s="22">
        <v>0.17868000000000001</v>
      </c>
      <c r="Z328" s="22">
        <v>17.6831</v>
      </c>
      <c r="AA328" s="22">
        <v>-1.3937400000000001E-2</v>
      </c>
      <c r="AB328" s="22">
        <v>318</v>
      </c>
      <c r="AC328" s="22">
        <v>0.17819199999999999</v>
      </c>
      <c r="AD328">
        <f t="shared" si="52"/>
        <v>17.206666666666667</v>
      </c>
      <c r="AE328">
        <f t="shared" si="53"/>
        <v>3.0744872000000001</v>
      </c>
      <c r="AF328" s="9"/>
      <c r="AG328" s="22">
        <v>1.5013099999999999</v>
      </c>
      <c r="AH328" s="22">
        <v>21.462</v>
      </c>
      <c r="AI328" s="22">
        <v>-1.1505100000000001E-2</v>
      </c>
      <c r="AJ328" s="22">
        <v>318</v>
      </c>
      <c r="AK328" s="22">
        <v>1.50085</v>
      </c>
      <c r="AL328">
        <f t="shared" si="54"/>
        <v>14.203827160493827</v>
      </c>
      <c r="AM328">
        <f t="shared" si="55"/>
        <v>21.324347754320986</v>
      </c>
      <c r="AP328" s="9"/>
      <c r="AQ328" s="22">
        <v>0.17868000000000001</v>
      </c>
      <c r="AR328" s="22">
        <v>26.909300000000002</v>
      </c>
      <c r="AS328" s="22">
        <v>-1.39557E-2</v>
      </c>
      <c r="AT328" s="22">
        <v>318</v>
      </c>
      <c r="AU328" s="22">
        <v>0.17810100000000001</v>
      </c>
      <c r="AV328">
        <f t="shared" si="56"/>
        <v>17.229259259259258</v>
      </c>
      <c r="AW328">
        <f t="shared" si="57"/>
        <v>3.0785240444444444</v>
      </c>
      <c r="AX328" s="9"/>
      <c r="AY328" s="22">
        <v>1.5013099999999999</v>
      </c>
      <c r="AZ328" s="22">
        <v>30.688300000000002</v>
      </c>
      <c r="BA328" s="22">
        <v>-1.15814E-2</v>
      </c>
      <c r="BB328" s="22">
        <v>318</v>
      </c>
      <c r="BC328" s="22">
        <v>1.50024</v>
      </c>
      <c r="BD328">
        <f t="shared" si="58"/>
        <v>14.298024691358025</v>
      </c>
      <c r="BE328">
        <f t="shared" si="59"/>
        <v>21.465767449382714</v>
      </c>
    </row>
    <row r="329" spans="6:57">
      <c r="F329" s="9"/>
      <c r="G329" s="22">
        <v>0.17364499999999999</v>
      </c>
      <c r="H329" s="22">
        <v>8.4029699999999998</v>
      </c>
      <c r="I329" s="22">
        <v>-1.3903799999999999E-2</v>
      </c>
      <c r="J329" s="22">
        <v>319</v>
      </c>
      <c r="K329" s="22">
        <v>0.17315700000000001</v>
      </c>
      <c r="L329">
        <f t="shared" si="48"/>
        <v>17.165185185185184</v>
      </c>
      <c r="M329">
        <f t="shared" si="49"/>
        <v>2.9806485814814812</v>
      </c>
      <c r="N329" s="9"/>
      <c r="O329" s="22">
        <v>1.5063500000000001</v>
      </c>
      <c r="P329" s="22">
        <v>12.181900000000001</v>
      </c>
      <c r="Q329" s="22">
        <v>-1.1456300000000001E-2</v>
      </c>
      <c r="R329" s="22">
        <v>319</v>
      </c>
      <c r="S329" s="22">
        <v>1.50543</v>
      </c>
      <c r="T329">
        <f t="shared" si="50"/>
        <v>14.143580246913581</v>
      </c>
      <c r="U329">
        <f t="shared" si="51"/>
        <v>21.305182104938275</v>
      </c>
      <c r="X329" s="9"/>
      <c r="Y329" s="22">
        <v>0.17364499999999999</v>
      </c>
      <c r="Z329" s="22">
        <v>17.693200000000001</v>
      </c>
      <c r="AA329" s="22">
        <v>-1.39343E-2</v>
      </c>
      <c r="AB329" s="22">
        <v>319</v>
      </c>
      <c r="AC329" s="22">
        <v>0.173096</v>
      </c>
      <c r="AD329">
        <f t="shared" si="52"/>
        <v>17.202839506172836</v>
      </c>
      <c r="AE329">
        <f t="shared" si="53"/>
        <v>2.987187066049382</v>
      </c>
      <c r="AF329" s="9"/>
      <c r="AG329" s="22">
        <v>1.5063500000000001</v>
      </c>
      <c r="AH329" s="22">
        <v>21.472100000000001</v>
      </c>
      <c r="AI329" s="22">
        <v>-1.1428799999999999E-2</v>
      </c>
      <c r="AJ329" s="22">
        <v>319</v>
      </c>
      <c r="AK329" s="22">
        <v>1.50543</v>
      </c>
      <c r="AL329">
        <f t="shared" si="54"/>
        <v>14.109629629629628</v>
      </c>
      <c r="AM329">
        <f t="shared" si="55"/>
        <v>21.254040592592592</v>
      </c>
      <c r="AP329" s="9"/>
      <c r="AQ329" s="22">
        <v>0.17364499999999999</v>
      </c>
      <c r="AR329" s="22">
        <v>26.9194</v>
      </c>
      <c r="AS329" s="22">
        <v>-1.3958699999999999E-2</v>
      </c>
      <c r="AT329" s="22">
        <v>319</v>
      </c>
      <c r="AU329" s="22">
        <v>0.173126</v>
      </c>
      <c r="AV329">
        <f t="shared" si="56"/>
        <v>17.232962962962961</v>
      </c>
      <c r="AW329">
        <f t="shared" si="57"/>
        <v>2.9924178537037034</v>
      </c>
      <c r="AX329" s="9"/>
      <c r="AY329" s="22">
        <v>1.5063500000000001</v>
      </c>
      <c r="AZ329" s="22">
        <v>30.698399999999999</v>
      </c>
      <c r="BA329" s="22">
        <v>-1.15082E-2</v>
      </c>
      <c r="BB329" s="22">
        <v>319</v>
      </c>
      <c r="BC329" s="22">
        <v>1.5051300000000001</v>
      </c>
      <c r="BD329">
        <f t="shared" si="58"/>
        <v>14.207654320987654</v>
      </c>
      <c r="BE329">
        <f t="shared" si="59"/>
        <v>21.401700086419755</v>
      </c>
    </row>
    <row r="330" spans="6:57">
      <c r="F330" s="9"/>
      <c r="G330" s="22">
        <v>0.16861000000000001</v>
      </c>
      <c r="H330" s="22">
        <v>8.4130400000000005</v>
      </c>
      <c r="I330" s="22">
        <v>-1.3903799999999999E-2</v>
      </c>
      <c r="J330" s="22">
        <v>320</v>
      </c>
      <c r="K330" s="22">
        <v>0.16812099999999999</v>
      </c>
      <c r="L330">
        <f t="shared" si="48"/>
        <v>17.165185185185184</v>
      </c>
      <c r="M330">
        <f t="shared" si="49"/>
        <v>2.8942218740740739</v>
      </c>
      <c r="N330" s="9"/>
      <c r="O330" s="22">
        <v>1.5113799999999999</v>
      </c>
      <c r="P330" s="22">
        <v>12.1919</v>
      </c>
      <c r="Q330" s="22">
        <v>-1.13708E-2</v>
      </c>
      <c r="R330" s="22">
        <v>320</v>
      </c>
      <c r="S330" s="22">
        <v>1.5109300000000001</v>
      </c>
      <c r="T330">
        <f t="shared" si="50"/>
        <v>14.038024691358025</v>
      </c>
      <c r="U330">
        <f t="shared" si="51"/>
        <v>21.216789758024692</v>
      </c>
      <c r="X330" s="9"/>
      <c r="Y330" s="22">
        <v>0.16861000000000001</v>
      </c>
      <c r="Z330" s="22">
        <v>17.703299999999999</v>
      </c>
      <c r="AA330" s="22">
        <v>-1.3937400000000001E-2</v>
      </c>
      <c r="AB330" s="22">
        <v>320</v>
      </c>
      <c r="AC330" s="22">
        <v>0.168152</v>
      </c>
      <c r="AD330">
        <f t="shared" si="52"/>
        <v>17.206666666666667</v>
      </c>
      <c r="AE330">
        <f t="shared" si="53"/>
        <v>2.9012160666666671</v>
      </c>
      <c r="AF330" s="9"/>
      <c r="AG330" s="22">
        <v>1.5113799999999999</v>
      </c>
      <c r="AH330" s="22">
        <v>21.482199999999999</v>
      </c>
      <c r="AI330" s="22">
        <v>-1.1361700000000001E-2</v>
      </c>
      <c r="AJ330" s="22">
        <v>320</v>
      </c>
      <c r="AK330" s="22">
        <v>1.5106200000000001</v>
      </c>
      <c r="AL330">
        <f t="shared" si="54"/>
        <v>14.026790123456792</v>
      </c>
      <c r="AM330">
        <f t="shared" si="55"/>
        <v>21.199810056790124</v>
      </c>
      <c r="AP330" s="9"/>
      <c r="AQ330" s="22">
        <v>0.16861000000000001</v>
      </c>
      <c r="AR330" s="22">
        <v>26.929500000000001</v>
      </c>
      <c r="AS330" s="22">
        <v>-1.3958699999999999E-2</v>
      </c>
      <c r="AT330" s="22">
        <v>320</v>
      </c>
      <c r="AU330" s="22">
        <v>0.16809099999999999</v>
      </c>
      <c r="AV330">
        <f t="shared" si="56"/>
        <v>17.232962962962961</v>
      </c>
      <c r="AW330">
        <f t="shared" si="57"/>
        <v>2.9056498851851851</v>
      </c>
      <c r="AX330" s="9"/>
      <c r="AY330" s="22">
        <v>1.5113799999999999</v>
      </c>
      <c r="AZ330" s="22">
        <v>30.708400000000001</v>
      </c>
      <c r="BA330" s="22">
        <v>-1.14349E-2</v>
      </c>
      <c r="BB330" s="22">
        <v>320</v>
      </c>
      <c r="BC330" s="22">
        <v>1.51031</v>
      </c>
      <c r="BD330">
        <f t="shared" si="58"/>
        <v>14.117160493827161</v>
      </c>
      <c r="BE330">
        <f t="shared" si="59"/>
        <v>21.336394027160495</v>
      </c>
    </row>
    <row r="331" spans="6:57">
      <c r="F331" s="9"/>
      <c r="G331" s="22">
        <v>0.163574</v>
      </c>
      <c r="H331" s="22">
        <v>8.4231099999999994</v>
      </c>
      <c r="I331" s="22">
        <v>-1.39069E-2</v>
      </c>
      <c r="J331" s="22">
        <v>321</v>
      </c>
      <c r="K331" s="22">
        <v>0.16308600000000001</v>
      </c>
      <c r="L331">
        <f t="shared" si="48"/>
        <v>17.169012345679011</v>
      </c>
      <c r="M331">
        <f t="shared" si="49"/>
        <v>2.8084040254320985</v>
      </c>
      <c r="N331" s="9"/>
      <c r="O331" s="22">
        <v>1.5164200000000001</v>
      </c>
      <c r="P331" s="22">
        <v>12.202</v>
      </c>
      <c r="Q331" s="22">
        <v>-1.12762E-2</v>
      </c>
      <c r="R331" s="22">
        <v>321</v>
      </c>
      <c r="S331" s="22">
        <v>1.5155000000000001</v>
      </c>
      <c r="T331">
        <f t="shared" si="50"/>
        <v>13.921234567901234</v>
      </c>
      <c r="U331">
        <f t="shared" si="51"/>
        <v>21.110438523456789</v>
      </c>
      <c r="X331" s="9"/>
      <c r="Y331" s="22">
        <v>0.163574</v>
      </c>
      <c r="Z331" s="22">
        <v>17.7133</v>
      </c>
      <c r="AA331" s="22">
        <v>-1.39404E-2</v>
      </c>
      <c r="AB331" s="22">
        <v>321</v>
      </c>
      <c r="AC331" s="22">
        <v>0.163025</v>
      </c>
      <c r="AD331">
        <f t="shared" si="52"/>
        <v>17.21037037037037</v>
      </c>
      <c r="AE331">
        <f t="shared" si="53"/>
        <v>2.815169122962963</v>
      </c>
      <c r="AF331" s="9"/>
      <c r="AG331" s="22">
        <v>1.5164200000000001</v>
      </c>
      <c r="AH331" s="22">
        <v>21.4922</v>
      </c>
      <c r="AI331" s="22">
        <v>-1.12823E-2</v>
      </c>
      <c r="AJ331" s="22">
        <v>321</v>
      </c>
      <c r="AK331" s="22">
        <v>1.5155000000000001</v>
      </c>
      <c r="AL331">
        <f t="shared" si="54"/>
        <v>13.928765432098766</v>
      </c>
      <c r="AM331">
        <f t="shared" si="55"/>
        <v>21.121858476543213</v>
      </c>
      <c r="AP331" s="9"/>
      <c r="AQ331" s="22">
        <v>0.163574</v>
      </c>
      <c r="AR331" s="22">
        <v>26.939599999999999</v>
      </c>
      <c r="AS331" s="22">
        <v>-1.39557E-2</v>
      </c>
      <c r="AT331" s="22">
        <v>321</v>
      </c>
      <c r="AU331" s="22">
        <v>0.162994</v>
      </c>
      <c r="AV331">
        <f t="shared" si="56"/>
        <v>17.229259259259258</v>
      </c>
      <c r="AW331">
        <f t="shared" si="57"/>
        <v>2.8182588540740738</v>
      </c>
      <c r="AX331" s="9"/>
      <c r="AY331" s="22">
        <v>1.5164200000000001</v>
      </c>
      <c r="AZ331" s="22">
        <v>30.718499999999999</v>
      </c>
      <c r="BA331" s="22">
        <v>-1.13556E-2</v>
      </c>
      <c r="BB331" s="22">
        <v>321</v>
      </c>
      <c r="BC331" s="22">
        <v>1.5155000000000001</v>
      </c>
      <c r="BD331">
        <f t="shared" si="58"/>
        <v>14.019259259259259</v>
      </c>
      <c r="BE331">
        <f t="shared" si="59"/>
        <v>21.259085125925928</v>
      </c>
    </row>
    <row r="332" spans="6:57">
      <c r="F332" s="9"/>
      <c r="G332" s="22">
        <v>0.15853900000000001</v>
      </c>
      <c r="H332" s="22">
        <v>8.4331899999999997</v>
      </c>
      <c r="I332" s="22">
        <v>-1.3909899999999999E-2</v>
      </c>
      <c r="J332" s="22">
        <v>322</v>
      </c>
      <c r="K332" s="22">
        <v>0.15795899999999999</v>
      </c>
      <c r="L332">
        <f t="shared" ref="L332:L384" si="60">-I332/$F$2*1000</f>
        <v>17.172716049382714</v>
      </c>
      <c r="M332">
        <f t="shared" ref="M332:M384" si="61">L332*G332</f>
        <v>2.7225452297530865</v>
      </c>
      <c r="N332" s="9"/>
      <c r="O332" s="22">
        <v>1.52145</v>
      </c>
      <c r="P332" s="22">
        <v>12.2121</v>
      </c>
      <c r="Q332" s="22">
        <v>-1.11877E-2</v>
      </c>
      <c r="R332" s="22">
        <v>322</v>
      </c>
      <c r="S332" s="22">
        <v>1.5203899999999999</v>
      </c>
      <c r="T332">
        <f t="shared" ref="T332:T384" si="62">-Q332/$F$2*1000</f>
        <v>13.811975308641975</v>
      </c>
      <c r="U332">
        <f t="shared" ref="U332:U384" si="63">T332*O332</f>
        <v>21.014229833333331</v>
      </c>
      <c r="X332" s="9"/>
      <c r="Y332" s="22">
        <v>0.15853900000000001</v>
      </c>
      <c r="Z332" s="22">
        <v>17.723400000000002</v>
      </c>
      <c r="AA332" s="22">
        <v>-1.3943499999999999E-2</v>
      </c>
      <c r="AB332" s="22">
        <v>322</v>
      </c>
      <c r="AC332" s="22">
        <v>0.158051</v>
      </c>
      <c r="AD332">
        <f t="shared" ref="AD332:AD384" si="64">-AA332/$F$2*1000</f>
        <v>17.214197530864197</v>
      </c>
      <c r="AE332">
        <f t="shared" ref="AE332:AE384" si="65">AD332*Y332</f>
        <v>2.7291216623456793</v>
      </c>
      <c r="AF332" s="9"/>
      <c r="AG332" s="22">
        <v>1.52145</v>
      </c>
      <c r="AH332" s="22">
        <v>21.502300000000002</v>
      </c>
      <c r="AI332" s="22">
        <v>-1.1196899999999999E-2</v>
      </c>
      <c r="AJ332" s="22">
        <v>322</v>
      </c>
      <c r="AK332" s="22">
        <v>1.5203899999999999</v>
      </c>
      <c r="AL332">
        <f t="shared" ref="AL332:AL384" si="66">-AI332/$F$2*1000</f>
        <v>13.823333333333332</v>
      </c>
      <c r="AM332">
        <f t="shared" ref="AM332:AM384" si="67">AL332*AG332</f>
        <v>21.0315105</v>
      </c>
      <c r="AP332" s="9"/>
      <c r="AQ332" s="22">
        <v>0.15853900000000001</v>
      </c>
      <c r="AR332" s="22">
        <v>26.9496</v>
      </c>
      <c r="AS332" s="22">
        <v>-1.3958699999999999E-2</v>
      </c>
      <c r="AT332" s="22">
        <v>322</v>
      </c>
      <c r="AU332" s="22">
        <v>0.158112</v>
      </c>
      <c r="AV332">
        <f t="shared" ref="AV332:AV384" si="68">-AS332/$F$2*1000</f>
        <v>17.232962962962961</v>
      </c>
      <c r="AW332">
        <f t="shared" ref="AW332:AW384" si="69">AV332*AQ332</f>
        <v>2.7320967151851852</v>
      </c>
      <c r="AX332" s="9"/>
      <c r="AY332" s="22">
        <v>1.52145</v>
      </c>
      <c r="AZ332" s="22">
        <v>30.7286</v>
      </c>
      <c r="BA332" s="22">
        <v>-1.1261E-2</v>
      </c>
      <c r="BB332" s="22">
        <v>322</v>
      </c>
      <c r="BC332" s="22">
        <v>1.5203899999999999</v>
      </c>
      <c r="BD332">
        <f t="shared" ref="BD332:BD384" si="70">-BA332/$F$2*1000</f>
        <v>13.90246913580247</v>
      </c>
      <c r="BE332">
        <f t="shared" ref="BE332:BE384" si="71">BD332*AY332</f>
        <v>21.151911666666667</v>
      </c>
    </row>
    <row r="333" spans="6:57">
      <c r="F333" s="9"/>
      <c r="G333" s="22">
        <v>0.153503</v>
      </c>
      <c r="H333" s="22">
        <v>8.4432600000000004</v>
      </c>
      <c r="I333" s="22">
        <v>-1.3909899999999999E-2</v>
      </c>
      <c r="J333" s="22">
        <v>323</v>
      </c>
      <c r="K333" s="22">
        <v>0.15298500000000001</v>
      </c>
      <c r="L333">
        <f t="shared" si="60"/>
        <v>17.172716049382714</v>
      </c>
      <c r="M333">
        <f t="shared" si="61"/>
        <v>2.6360634317283949</v>
      </c>
      <c r="N333" s="9"/>
      <c r="O333" s="22">
        <v>1.5264899999999999</v>
      </c>
      <c r="P333" s="22">
        <v>12.222200000000001</v>
      </c>
      <c r="Q333" s="22">
        <v>-1.11176E-2</v>
      </c>
      <c r="R333" s="22">
        <v>323</v>
      </c>
      <c r="S333" s="22">
        <v>1.5261800000000001</v>
      </c>
      <c r="T333">
        <f t="shared" si="62"/>
        <v>13.725432098765431</v>
      </c>
      <c r="U333">
        <f t="shared" si="63"/>
        <v>20.951734844444442</v>
      </c>
      <c r="X333" s="9"/>
      <c r="Y333" s="22">
        <v>0.153503</v>
      </c>
      <c r="Z333" s="22">
        <v>17.733499999999999</v>
      </c>
      <c r="AA333" s="22">
        <v>-1.3943499999999999E-2</v>
      </c>
      <c r="AB333" s="22">
        <v>323</v>
      </c>
      <c r="AC333" s="22">
        <v>0.15304599999999999</v>
      </c>
      <c r="AD333">
        <f t="shared" si="64"/>
        <v>17.214197530864197</v>
      </c>
      <c r="AE333">
        <f t="shared" si="65"/>
        <v>2.6424309635802468</v>
      </c>
      <c r="AF333" s="9"/>
      <c r="AG333" s="22">
        <v>1.5264899999999999</v>
      </c>
      <c r="AH333" s="22">
        <v>21.5124</v>
      </c>
      <c r="AI333" s="22">
        <v>-1.10992E-2</v>
      </c>
      <c r="AJ333" s="22">
        <v>323</v>
      </c>
      <c r="AK333" s="22">
        <v>1.5258799999999999</v>
      </c>
      <c r="AL333">
        <f t="shared" si="66"/>
        <v>13.702716049382715</v>
      </c>
      <c r="AM333">
        <f t="shared" si="67"/>
        <v>20.917059022222219</v>
      </c>
      <c r="AP333" s="9"/>
      <c r="AQ333" s="22">
        <v>0.153503</v>
      </c>
      <c r="AR333" s="22">
        <v>26.959700000000002</v>
      </c>
      <c r="AS333" s="22">
        <v>-1.3958699999999999E-2</v>
      </c>
      <c r="AT333" s="22">
        <v>323</v>
      </c>
      <c r="AU333" s="22">
        <v>0.15307599999999999</v>
      </c>
      <c r="AV333">
        <f t="shared" si="68"/>
        <v>17.232962962962961</v>
      </c>
      <c r="AW333">
        <f t="shared" si="69"/>
        <v>2.6453115137037035</v>
      </c>
      <c r="AX333" s="9"/>
      <c r="AY333" s="22">
        <v>1.5264899999999999</v>
      </c>
      <c r="AZ333" s="22">
        <v>30.738600000000002</v>
      </c>
      <c r="BA333" s="22">
        <v>-1.1169399999999999E-2</v>
      </c>
      <c r="BB333" s="22">
        <v>323</v>
      </c>
      <c r="BC333" s="22">
        <v>1.5261800000000001</v>
      </c>
      <c r="BD333">
        <f t="shared" si="70"/>
        <v>13.789382716049381</v>
      </c>
      <c r="BE333">
        <f t="shared" si="71"/>
        <v>21.04935482222222</v>
      </c>
    </row>
    <row r="334" spans="6:57">
      <c r="F334" s="9"/>
      <c r="G334" s="22">
        <v>0.14846799999999999</v>
      </c>
      <c r="H334" s="22">
        <v>8.4533299999999993</v>
      </c>
      <c r="I334" s="22">
        <v>-1.39191E-2</v>
      </c>
      <c r="J334" s="22">
        <v>324</v>
      </c>
      <c r="K334" s="22">
        <v>0.14791899999999999</v>
      </c>
      <c r="L334">
        <f t="shared" si="60"/>
        <v>17.184074074074076</v>
      </c>
      <c r="M334">
        <f t="shared" si="61"/>
        <v>2.5512851096296298</v>
      </c>
      <c r="N334" s="9"/>
      <c r="O334" s="22">
        <v>1.53152</v>
      </c>
      <c r="P334" s="22">
        <v>12.232200000000001</v>
      </c>
      <c r="Q334" s="22">
        <v>-1.10413E-2</v>
      </c>
      <c r="R334" s="22">
        <v>324</v>
      </c>
      <c r="S334" s="22">
        <v>1.5313699999999999</v>
      </c>
      <c r="T334">
        <f t="shared" si="62"/>
        <v>13.631234567901235</v>
      </c>
      <c r="U334">
        <f t="shared" si="63"/>
        <v>20.876508365432098</v>
      </c>
      <c r="X334" s="9"/>
      <c r="Y334" s="22">
        <v>0.14846799999999999</v>
      </c>
      <c r="Z334" s="22">
        <v>17.743500000000001</v>
      </c>
      <c r="AA334" s="22">
        <v>-1.3946500000000001E-2</v>
      </c>
      <c r="AB334" s="22">
        <v>324</v>
      </c>
      <c r="AC334" s="22">
        <v>0.147949</v>
      </c>
      <c r="AD334">
        <f t="shared" si="64"/>
        <v>17.217901234567901</v>
      </c>
      <c r="AE334">
        <f t="shared" si="65"/>
        <v>2.5563073604938267</v>
      </c>
      <c r="AF334" s="9"/>
      <c r="AG334" s="22">
        <v>1.53152</v>
      </c>
      <c r="AH334" s="22">
        <v>21.522500000000001</v>
      </c>
      <c r="AI334" s="22">
        <v>-1.10016E-2</v>
      </c>
      <c r="AJ334" s="22">
        <v>324</v>
      </c>
      <c r="AK334" s="22">
        <v>1.5307599999999999</v>
      </c>
      <c r="AL334">
        <f t="shared" si="66"/>
        <v>13.582222222222221</v>
      </c>
      <c r="AM334">
        <f t="shared" si="67"/>
        <v>20.801444977777777</v>
      </c>
      <c r="AP334" s="9"/>
      <c r="AQ334" s="22">
        <v>0.14846799999999999</v>
      </c>
      <c r="AR334" s="22">
        <v>26.969799999999999</v>
      </c>
      <c r="AS334" s="22">
        <v>-1.3958699999999999E-2</v>
      </c>
      <c r="AT334" s="22">
        <v>324</v>
      </c>
      <c r="AU334" s="22">
        <v>0.147949</v>
      </c>
      <c r="AV334">
        <f t="shared" si="68"/>
        <v>17.232962962962961</v>
      </c>
      <c r="AW334">
        <f t="shared" si="69"/>
        <v>2.5585435451851848</v>
      </c>
      <c r="AX334" s="9"/>
      <c r="AY334" s="22">
        <v>1.53152</v>
      </c>
      <c r="AZ334" s="22">
        <v>30.748699999999999</v>
      </c>
      <c r="BA334" s="22">
        <v>-1.1068700000000001E-2</v>
      </c>
      <c r="BB334" s="22">
        <v>324</v>
      </c>
      <c r="BC334" s="22">
        <v>1.5307599999999999</v>
      </c>
      <c r="BD334">
        <f t="shared" si="70"/>
        <v>13.665061728395063</v>
      </c>
      <c r="BE334">
        <f t="shared" si="71"/>
        <v>20.928315338271606</v>
      </c>
    </row>
    <row r="335" spans="6:57">
      <c r="F335" s="9"/>
      <c r="G335" s="22">
        <v>0.143433</v>
      </c>
      <c r="H335" s="22">
        <v>8.4634</v>
      </c>
      <c r="I335" s="22">
        <v>-1.39252E-2</v>
      </c>
      <c r="J335" s="22">
        <v>325</v>
      </c>
      <c r="K335" s="22">
        <v>0.14291400000000001</v>
      </c>
      <c r="L335">
        <f t="shared" si="60"/>
        <v>17.191604938271606</v>
      </c>
      <c r="M335">
        <f t="shared" si="61"/>
        <v>2.4658434711111115</v>
      </c>
      <c r="N335" s="9"/>
      <c r="O335" s="22">
        <v>1.5365599999999999</v>
      </c>
      <c r="P335" s="22">
        <v>12.2423</v>
      </c>
      <c r="Q335" s="22">
        <v>-1.09558E-2</v>
      </c>
      <c r="R335" s="22">
        <v>325</v>
      </c>
      <c r="S335" s="22">
        <v>1.5356399999999999</v>
      </c>
      <c r="T335">
        <f t="shared" si="62"/>
        <v>13.525679012345678</v>
      </c>
      <c r="U335">
        <f t="shared" si="63"/>
        <v>20.783017343209874</v>
      </c>
      <c r="X335" s="9"/>
      <c r="Y335" s="22">
        <v>0.143433</v>
      </c>
      <c r="Z335" s="22">
        <v>17.753599999999999</v>
      </c>
      <c r="AA335" s="22">
        <v>-1.3946500000000001E-2</v>
      </c>
      <c r="AB335" s="22">
        <v>325</v>
      </c>
      <c r="AC335" s="22">
        <v>0.14291400000000001</v>
      </c>
      <c r="AD335">
        <f t="shared" si="64"/>
        <v>17.217901234567901</v>
      </c>
      <c r="AE335">
        <f t="shared" si="65"/>
        <v>2.4696152277777776</v>
      </c>
      <c r="AF335" s="9"/>
      <c r="AG335" s="22">
        <v>1.5365599999999999</v>
      </c>
      <c r="AH335" s="22">
        <v>21.532499999999999</v>
      </c>
      <c r="AI335" s="22">
        <v>-1.08948E-2</v>
      </c>
      <c r="AJ335" s="22">
        <v>325</v>
      </c>
      <c r="AK335" s="22">
        <v>1.5353399999999999</v>
      </c>
      <c r="AL335">
        <f t="shared" si="66"/>
        <v>13.45037037037037</v>
      </c>
      <c r="AM335">
        <f t="shared" si="67"/>
        <v>20.667301096296296</v>
      </c>
      <c r="AP335" s="9"/>
      <c r="AQ335" s="22">
        <v>0.143433</v>
      </c>
      <c r="AR335" s="22">
        <v>26.979800000000001</v>
      </c>
      <c r="AS335" s="22">
        <v>-1.3958699999999999E-2</v>
      </c>
      <c r="AT335" s="22">
        <v>325</v>
      </c>
      <c r="AU335" s="22">
        <v>0.14294399999999999</v>
      </c>
      <c r="AV335">
        <f t="shared" si="68"/>
        <v>17.232962962962961</v>
      </c>
      <c r="AW335">
        <f t="shared" si="69"/>
        <v>2.4717755766666665</v>
      </c>
      <c r="AX335" s="9"/>
      <c r="AY335" s="22">
        <v>1.5365599999999999</v>
      </c>
      <c r="AZ335" s="22">
        <v>30.758800000000001</v>
      </c>
      <c r="BA335" s="22">
        <v>-1.0971099999999999E-2</v>
      </c>
      <c r="BB335" s="22">
        <v>325</v>
      </c>
      <c r="BC335" s="22">
        <v>1.5353399999999999</v>
      </c>
      <c r="BD335">
        <f t="shared" si="70"/>
        <v>13.544567901234567</v>
      </c>
      <c r="BE335">
        <f t="shared" si="71"/>
        <v>20.812041254320985</v>
      </c>
    </row>
    <row r="336" spans="6:57">
      <c r="F336" s="9"/>
      <c r="G336" s="22">
        <v>0.13839699999999999</v>
      </c>
      <c r="H336" s="22">
        <v>8.4734700000000007</v>
      </c>
      <c r="I336" s="22">
        <v>-1.39282E-2</v>
      </c>
      <c r="J336" s="22">
        <v>326</v>
      </c>
      <c r="K336" s="22">
        <v>0.13778699999999999</v>
      </c>
      <c r="L336">
        <f t="shared" si="60"/>
        <v>17.195308641975309</v>
      </c>
      <c r="M336">
        <f t="shared" si="61"/>
        <v>2.3797791301234565</v>
      </c>
      <c r="N336" s="9"/>
      <c r="O336" s="22">
        <v>1.5416000000000001</v>
      </c>
      <c r="P336" s="22">
        <v>12.2524</v>
      </c>
      <c r="Q336" s="22">
        <v>-1.08521E-2</v>
      </c>
      <c r="R336" s="22">
        <v>326</v>
      </c>
      <c r="S336" s="22">
        <v>1.54053</v>
      </c>
      <c r="T336">
        <f t="shared" si="62"/>
        <v>13.397654320987654</v>
      </c>
      <c r="U336">
        <f t="shared" si="63"/>
        <v>20.653823901234567</v>
      </c>
      <c r="X336" s="9"/>
      <c r="Y336" s="22">
        <v>0.13839699999999999</v>
      </c>
      <c r="Z336" s="22">
        <v>17.7637</v>
      </c>
      <c r="AA336" s="22">
        <v>-1.3943499999999999E-2</v>
      </c>
      <c r="AB336" s="22">
        <v>326</v>
      </c>
      <c r="AC336" s="22">
        <v>0.137878</v>
      </c>
      <c r="AD336">
        <f t="shared" si="64"/>
        <v>17.214197530864197</v>
      </c>
      <c r="AE336">
        <f t="shared" si="65"/>
        <v>2.3823932956790124</v>
      </c>
      <c r="AF336" s="9"/>
      <c r="AG336" s="22">
        <v>1.5416000000000001</v>
      </c>
      <c r="AH336" s="22">
        <v>21.5426</v>
      </c>
      <c r="AI336" s="22">
        <v>-1.0788000000000001E-2</v>
      </c>
      <c r="AJ336" s="22">
        <v>326</v>
      </c>
      <c r="AK336" s="22">
        <v>1.5408299999999999</v>
      </c>
      <c r="AL336">
        <f t="shared" si="66"/>
        <v>13.318518518518518</v>
      </c>
      <c r="AM336">
        <f t="shared" si="67"/>
        <v>20.531828148148147</v>
      </c>
      <c r="AP336" s="9"/>
      <c r="AQ336" s="22">
        <v>0.13839699999999999</v>
      </c>
      <c r="AR336" s="22">
        <v>26.989899999999999</v>
      </c>
      <c r="AS336" s="22">
        <v>-1.3964799999999999E-2</v>
      </c>
      <c r="AT336" s="22">
        <v>326</v>
      </c>
      <c r="AU336" s="22">
        <v>0.137909</v>
      </c>
      <c r="AV336">
        <f t="shared" si="68"/>
        <v>17.240493827160492</v>
      </c>
      <c r="AW336">
        <f t="shared" si="69"/>
        <v>2.3860326241975303</v>
      </c>
      <c r="AX336" s="9"/>
      <c r="AY336" s="22">
        <v>1.5416000000000001</v>
      </c>
      <c r="AZ336" s="22">
        <v>30.768899999999999</v>
      </c>
      <c r="BA336" s="22">
        <v>-1.0876500000000001E-2</v>
      </c>
      <c r="BB336" s="22">
        <v>326</v>
      </c>
      <c r="BC336" s="22">
        <v>1.5402199999999999</v>
      </c>
      <c r="BD336">
        <f t="shared" si="70"/>
        <v>13.427777777777779</v>
      </c>
      <c r="BE336">
        <f t="shared" si="71"/>
        <v>20.700262222222225</v>
      </c>
    </row>
    <row r="337" spans="6:57">
      <c r="F337" s="9"/>
      <c r="G337" s="22">
        <v>0.13336200000000001</v>
      </c>
      <c r="H337" s="22">
        <v>8.4835399999999996</v>
      </c>
      <c r="I337" s="22">
        <v>-1.39282E-2</v>
      </c>
      <c r="J337" s="22">
        <v>327</v>
      </c>
      <c r="K337" s="22">
        <v>0.13287399999999999</v>
      </c>
      <c r="L337">
        <f t="shared" si="60"/>
        <v>17.195308641975309</v>
      </c>
      <c r="M337">
        <f t="shared" si="61"/>
        <v>2.2932007511111112</v>
      </c>
      <c r="N337" s="9"/>
      <c r="O337" s="22">
        <v>1.5466299999999999</v>
      </c>
      <c r="P337" s="22">
        <v>12.2624</v>
      </c>
      <c r="Q337" s="22">
        <v>-1.07452E-2</v>
      </c>
      <c r="R337" s="22">
        <v>327</v>
      </c>
      <c r="S337" s="22">
        <v>1.5460199999999999</v>
      </c>
      <c r="T337">
        <f t="shared" si="62"/>
        <v>13.265679012345677</v>
      </c>
      <c r="U337">
        <f t="shared" si="63"/>
        <v>20.517097130864194</v>
      </c>
      <c r="X337" s="9"/>
      <c r="Y337" s="22">
        <v>0.13336200000000001</v>
      </c>
      <c r="Z337" s="22">
        <v>17.773800000000001</v>
      </c>
      <c r="AA337" s="22">
        <v>-1.3943499999999999E-2</v>
      </c>
      <c r="AB337" s="22">
        <v>327</v>
      </c>
      <c r="AC337" s="22">
        <v>0.13281299999999999</v>
      </c>
      <c r="AD337">
        <f t="shared" si="64"/>
        <v>17.214197530864197</v>
      </c>
      <c r="AE337">
        <f t="shared" si="65"/>
        <v>2.2957198111111112</v>
      </c>
      <c r="AF337" s="9"/>
      <c r="AG337" s="22">
        <v>1.5466299999999999</v>
      </c>
      <c r="AH337" s="22">
        <v>21.552700000000002</v>
      </c>
      <c r="AI337" s="22">
        <v>-1.0678099999999999E-2</v>
      </c>
      <c r="AJ337" s="22">
        <v>327</v>
      </c>
      <c r="AK337" s="22">
        <v>1.54633</v>
      </c>
      <c r="AL337">
        <f t="shared" si="66"/>
        <v>13.182839506172838</v>
      </c>
      <c r="AM337">
        <f t="shared" si="67"/>
        <v>20.388975065432096</v>
      </c>
      <c r="AP337" s="9"/>
      <c r="AQ337" s="22">
        <v>0.13336200000000001</v>
      </c>
      <c r="AR337" s="22">
        <v>27</v>
      </c>
      <c r="AS337" s="22">
        <v>-1.3974E-2</v>
      </c>
      <c r="AT337" s="22">
        <v>327</v>
      </c>
      <c r="AU337" s="22">
        <v>0.13287399999999999</v>
      </c>
      <c r="AV337">
        <f t="shared" si="68"/>
        <v>17.251851851851853</v>
      </c>
      <c r="AW337">
        <f t="shared" si="69"/>
        <v>2.300741466666667</v>
      </c>
      <c r="AX337" s="9"/>
      <c r="AY337" s="22">
        <v>1.5466299999999999</v>
      </c>
      <c r="AZ337" s="22">
        <v>30.7789</v>
      </c>
      <c r="BA337" s="22">
        <v>-1.07697E-2</v>
      </c>
      <c r="BB337" s="22">
        <v>327</v>
      </c>
      <c r="BC337" s="22">
        <v>1.54633</v>
      </c>
      <c r="BD337">
        <f t="shared" si="70"/>
        <v>13.295925925925925</v>
      </c>
      <c r="BE337">
        <f t="shared" si="71"/>
        <v>20.563877914814814</v>
      </c>
    </row>
    <row r="338" spans="6:57">
      <c r="F338" s="9"/>
      <c r="G338" s="22">
        <v>0.128326</v>
      </c>
      <c r="H338" s="22">
        <v>8.4936100000000003</v>
      </c>
      <c r="I338" s="22">
        <v>-1.39282E-2</v>
      </c>
      <c r="J338" s="22">
        <v>328</v>
      </c>
      <c r="K338" s="22">
        <v>0.127747</v>
      </c>
      <c r="L338">
        <f t="shared" si="60"/>
        <v>17.195308641975309</v>
      </c>
      <c r="M338">
        <f t="shared" si="61"/>
        <v>2.2066051767901236</v>
      </c>
      <c r="N338" s="9"/>
      <c r="O338" s="22">
        <v>1.5516700000000001</v>
      </c>
      <c r="P338" s="22">
        <v>12.272500000000001</v>
      </c>
      <c r="Q338" s="22">
        <v>-1.06293E-2</v>
      </c>
      <c r="R338" s="22">
        <v>328</v>
      </c>
      <c r="S338" s="22">
        <v>1.55121</v>
      </c>
      <c r="T338">
        <f t="shared" si="62"/>
        <v>13.122592592592593</v>
      </c>
      <c r="U338">
        <f t="shared" si="63"/>
        <v>20.361933248148151</v>
      </c>
      <c r="X338" s="9"/>
      <c r="Y338" s="22">
        <v>0.128326</v>
      </c>
      <c r="Z338" s="22">
        <v>17.783799999999999</v>
      </c>
      <c r="AA338" s="22">
        <v>-1.3946500000000001E-2</v>
      </c>
      <c r="AB338" s="22">
        <v>328</v>
      </c>
      <c r="AC338" s="22">
        <v>0.12783800000000001</v>
      </c>
      <c r="AD338">
        <f t="shared" si="64"/>
        <v>17.217901234567901</v>
      </c>
      <c r="AE338">
        <f t="shared" si="65"/>
        <v>2.2095043938271601</v>
      </c>
      <c r="AF338" s="9"/>
      <c r="AG338" s="22">
        <v>1.5516700000000001</v>
      </c>
      <c r="AH338" s="22">
        <v>21.5627</v>
      </c>
      <c r="AI338" s="22">
        <v>-1.05713E-2</v>
      </c>
      <c r="AJ338" s="22">
        <v>328</v>
      </c>
      <c r="AK338" s="22">
        <v>1.55121</v>
      </c>
      <c r="AL338">
        <f t="shared" si="66"/>
        <v>13.050987654320988</v>
      </c>
      <c r="AM338">
        <f t="shared" si="67"/>
        <v>20.250826013580248</v>
      </c>
      <c r="AP338" s="9"/>
      <c r="AQ338" s="22">
        <v>0.128326</v>
      </c>
      <c r="AR338" s="22">
        <v>27.010100000000001</v>
      </c>
      <c r="AS338" s="22">
        <v>-1.3980100000000001E-2</v>
      </c>
      <c r="AT338" s="22">
        <v>328</v>
      </c>
      <c r="AU338" s="22">
        <v>0.127777</v>
      </c>
      <c r="AV338">
        <f t="shared" si="68"/>
        <v>17.259382716049384</v>
      </c>
      <c r="AW338">
        <f t="shared" si="69"/>
        <v>2.2148275464197531</v>
      </c>
      <c r="AX338" s="9"/>
      <c r="AY338" s="22">
        <v>1.5516700000000001</v>
      </c>
      <c r="AZ338" s="22">
        <v>30.789000000000001</v>
      </c>
      <c r="BA338" s="22">
        <v>-1.06476E-2</v>
      </c>
      <c r="BB338" s="22">
        <v>328</v>
      </c>
      <c r="BC338" s="22">
        <v>1.5508999999999999</v>
      </c>
      <c r="BD338">
        <f t="shared" si="70"/>
        <v>13.145185185185186</v>
      </c>
      <c r="BE338">
        <f t="shared" si="71"/>
        <v>20.3969894962963</v>
      </c>
    </row>
    <row r="339" spans="6:57">
      <c r="F339" s="9"/>
      <c r="G339" s="22">
        <v>0.123291</v>
      </c>
      <c r="H339" s="22">
        <v>8.5036799999999992</v>
      </c>
      <c r="I339" s="22">
        <v>-1.39282E-2</v>
      </c>
      <c r="J339" s="22">
        <v>329</v>
      </c>
      <c r="K339" s="22">
        <v>0.12277200000000001</v>
      </c>
      <c r="L339">
        <f t="shared" si="60"/>
        <v>17.195308641975309</v>
      </c>
      <c r="M339">
        <f t="shared" si="61"/>
        <v>2.1200267977777778</v>
      </c>
      <c r="N339" s="9"/>
      <c r="O339" s="22">
        <v>1.5567</v>
      </c>
      <c r="P339" s="22">
        <v>12.2826</v>
      </c>
      <c r="Q339" s="22">
        <v>-1.05103E-2</v>
      </c>
      <c r="R339" s="22">
        <v>329</v>
      </c>
      <c r="S339" s="22">
        <v>1.55548</v>
      </c>
      <c r="T339">
        <f t="shared" si="62"/>
        <v>12.97567901234568</v>
      </c>
      <c r="U339">
        <f t="shared" si="63"/>
        <v>20.199239518518517</v>
      </c>
      <c r="X339" s="9"/>
      <c r="Y339" s="22">
        <v>0.123291</v>
      </c>
      <c r="Z339" s="22">
        <v>17.793900000000001</v>
      </c>
      <c r="AA339" s="22">
        <v>-1.3952600000000001E-2</v>
      </c>
      <c r="AB339" s="22">
        <v>329</v>
      </c>
      <c r="AC339" s="22">
        <v>0.12277200000000001</v>
      </c>
      <c r="AD339">
        <f t="shared" si="64"/>
        <v>17.225432098765431</v>
      </c>
      <c r="AE339">
        <f t="shared" si="65"/>
        <v>2.1237407488888889</v>
      </c>
      <c r="AF339" s="9"/>
      <c r="AG339" s="22">
        <v>1.5567</v>
      </c>
      <c r="AH339" s="22">
        <v>21.572800000000001</v>
      </c>
      <c r="AI339" s="22">
        <v>-1.04431E-2</v>
      </c>
      <c r="AJ339" s="22">
        <v>329</v>
      </c>
      <c r="AK339" s="22">
        <v>1.55609</v>
      </c>
      <c r="AL339">
        <f t="shared" si="66"/>
        <v>12.892716049382715</v>
      </c>
      <c r="AM339">
        <f t="shared" si="67"/>
        <v>20.070091074074071</v>
      </c>
      <c r="AP339" s="9"/>
      <c r="AQ339" s="22">
        <v>0.123291</v>
      </c>
      <c r="AR339" s="22">
        <v>27.020099999999999</v>
      </c>
      <c r="AS339" s="22">
        <v>-1.3983199999999999E-2</v>
      </c>
      <c r="AT339" s="22">
        <v>329</v>
      </c>
      <c r="AU339" s="22">
        <v>0.122711</v>
      </c>
      <c r="AV339">
        <f t="shared" si="68"/>
        <v>17.263209876543208</v>
      </c>
      <c r="AW339">
        <f t="shared" si="69"/>
        <v>2.1283984088888888</v>
      </c>
      <c r="AX339" s="9"/>
      <c r="AY339" s="22">
        <v>1.5567</v>
      </c>
      <c r="AZ339" s="22">
        <v>30.799099999999999</v>
      </c>
      <c r="BA339" s="22">
        <v>-1.05194E-2</v>
      </c>
      <c r="BB339" s="22">
        <v>329</v>
      </c>
      <c r="BC339" s="22">
        <v>1.55579</v>
      </c>
      <c r="BD339">
        <f t="shared" si="70"/>
        <v>12.986913580246913</v>
      </c>
      <c r="BE339">
        <f t="shared" si="71"/>
        <v>20.216728370370369</v>
      </c>
    </row>
    <row r="340" spans="6:57">
      <c r="F340" s="9"/>
      <c r="G340" s="22">
        <v>0.118256</v>
      </c>
      <c r="H340" s="22">
        <v>8.5137499999999999</v>
      </c>
      <c r="I340" s="22">
        <v>-1.3931300000000001E-2</v>
      </c>
      <c r="J340" s="22">
        <v>330</v>
      </c>
      <c r="K340" s="22">
        <v>0.11770600000000001</v>
      </c>
      <c r="L340">
        <f t="shared" si="60"/>
        <v>17.199135802469137</v>
      </c>
      <c r="M340">
        <f t="shared" si="61"/>
        <v>2.0339010034567901</v>
      </c>
      <c r="N340" s="9"/>
      <c r="O340" s="22">
        <v>1.5617399999999999</v>
      </c>
      <c r="P340" s="22">
        <v>12.2927</v>
      </c>
      <c r="Q340" s="22">
        <v>-1.03882E-2</v>
      </c>
      <c r="R340" s="22">
        <v>330</v>
      </c>
      <c r="S340" s="22">
        <v>1.56097</v>
      </c>
      <c r="T340">
        <f t="shared" si="62"/>
        <v>12.824938271604937</v>
      </c>
      <c r="U340">
        <f t="shared" si="63"/>
        <v>20.029219096296295</v>
      </c>
      <c r="X340" s="9"/>
      <c r="Y340" s="22">
        <v>0.118256</v>
      </c>
      <c r="Z340" s="22">
        <v>17.803999999999998</v>
      </c>
      <c r="AA340" s="22">
        <v>-1.3952600000000001E-2</v>
      </c>
      <c r="AB340" s="22">
        <v>330</v>
      </c>
      <c r="AC340" s="22">
        <v>0.11773699999999999</v>
      </c>
      <c r="AD340">
        <f t="shared" si="64"/>
        <v>17.225432098765431</v>
      </c>
      <c r="AE340">
        <f t="shared" si="65"/>
        <v>2.037010698271605</v>
      </c>
      <c r="AF340" s="9"/>
      <c r="AG340" s="22">
        <v>1.5617399999999999</v>
      </c>
      <c r="AH340" s="22">
        <v>21.582899999999999</v>
      </c>
      <c r="AI340" s="22">
        <v>-1.0318000000000001E-2</v>
      </c>
      <c r="AJ340" s="22">
        <v>330</v>
      </c>
      <c r="AK340" s="22">
        <v>1.56067</v>
      </c>
      <c r="AL340">
        <f t="shared" si="66"/>
        <v>12.738271604938271</v>
      </c>
      <c r="AM340">
        <f t="shared" si="67"/>
        <v>19.893868296296294</v>
      </c>
      <c r="AP340" s="9"/>
      <c r="AQ340" s="22">
        <v>0.118256</v>
      </c>
      <c r="AR340" s="22">
        <v>27.030200000000001</v>
      </c>
      <c r="AS340" s="22">
        <v>-1.3986200000000001E-2</v>
      </c>
      <c r="AT340" s="22">
        <v>330</v>
      </c>
      <c r="AU340" s="22">
        <v>0.117767</v>
      </c>
      <c r="AV340">
        <f t="shared" si="68"/>
        <v>17.266913580246914</v>
      </c>
      <c r="AW340">
        <f t="shared" si="69"/>
        <v>2.0419161323456789</v>
      </c>
      <c r="AX340" s="9"/>
      <c r="AY340" s="22">
        <v>1.5617399999999999</v>
      </c>
      <c r="AZ340" s="22">
        <v>30.809100000000001</v>
      </c>
      <c r="BA340" s="22">
        <v>-1.03821E-2</v>
      </c>
      <c r="BB340" s="22">
        <v>330</v>
      </c>
      <c r="BC340" s="22">
        <v>1.56097</v>
      </c>
      <c r="BD340">
        <f t="shared" si="70"/>
        <v>12.817407407407407</v>
      </c>
      <c r="BE340">
        <f t="shared" si="71"/>
        <v>20.017457844444444</v>
      </c>
    </row>
    <row r="341" spans="6:57">
      <c r="F341" s="9"/>
      <c r="G341" s="22">
        <v>0.11322</v>
      </c>
      <c r="H341" s="22">
        <v>8.5238200000000006</v>
      </c>
      <c r="I341" s="22">
        <v>-1.39343E-2</v>
      </c>
      <c r="J341" s="22">
        <v>331</v>
      </c>
      <c r="K341" s="22">
        <v>0.11267099999999999</v>
      </c>
      <c r="L341">
        <f t="shared" si="60"/>
        <v>17.202839506172836</v>
      </c>
      <c r="M341">
        <f t="shared" si="61"/>
        <v>1.9477054888888885</v>
      </c>
      <c r="N341" s="9"/>
      <c r="O341" s="22">
        <v>1.56677</v>
      </c>
      <c r="P341" s="22">
        <v>12.3027</v>
      </c>
      <c r="Q341" s="22">
        <v>-1.02539E-2</v>
      </c>
      <c r="R341" s="22">
        <v>331</v>
      </c>
      <c r="S341" s="22">
        <v>1.56647</v>
      </c>
      <c r="T341">
        <f t="shared" si="62"/>
        <v>12.659135802469134</v>
      </c>
      <c r="U341">
        <f t="shared" si="63"/>
        <v>19.833954201234565</v>
      </c>
      <c r="X341" s="9"/>
      <c r="Y341" s="22">
        <v>0.11322</v>
      </c>
      <c r="Z341" s="22">
        <v>17.814</v>
      </c>
      <c r="AA341" s="22">
        <v>-1.39557E-2</v>
      </c>
      <c r="AB341" s="22">
        <v>331</v>
      </c>
      <c r="AC341" s="22">
        <v>0.112701</v>
      </c>
      <c r="AD341">
        <f t="shared" si="64"/>
        <v>17.229259259259258</v>
      </c>
      <c r="AE341">
        <f t="shared" si="65"/>
        <v>1.9506967333333332</v>
      </c>
      <c r="AF341" s="9"/>
      <c r="AG341" s="22">
        <v>1.56677</v>
      </c>
      <c r="AH341" s="22">
        <v>21.593</v>
      </c>
      <c r="AI341" s="22">
        <v>-1.01837E-2</v>
      </c>
      <c r="AJ341" s="22">
        <v>331</v>
      </c>
      <c r="AK341" s="22">
        <v>1.56555</v>
      </c>
      <c r="AL341">
        <f t="shared" si="66"/>
        <v>12.57246913580247</v>
      </c>
      <c r="AM341">
        <f t="shared" si="67"/>
        <v>19.698167467901236</v>
      </c>
      <c r="AP341" s="9"/>
      <c r="AQ341" s="22">
        <v>0.11322</v>
      </c>
      <c r="AR341" s="22">
        <v>27.040299999999998</v>
      </c>
      <c r="AS341" s="22">
        <v>-1.39893E-2</v>
      </c>
      <c r="AT341" s="22">
        <v>331</v>
      </c>
      <c r="AU341" s="22">
        <v>0.112732</v>
      </c>
      <c r="AV341">
        <f t="shared" si="68"/>
        <v>17.270740740740738</v>
      </c>
      <c r="AW341">
        <f t="shared" si="69"/>
        <v>1.9553932666666665</v>
      </c>
      <c r="AX341" s="9"/>
      <c r="AY341" s="22">
        <v>1.56677</v>
      </c>
      <c r="AZ341" s="22">
        <v>30.819199999999999</v>
      </c>
      <c r="BA341" s="22">
        <v>-1.02448E-2</v>
      </c>
      <c r="BB341" s="22">
        <v>331</v>
      </c>
      <c r="BC341" s="22">
        <v>1.56586</v>
      </c>
      <c r="BD341">
        <f t="shared" si="70"/>
        <v>12.6479012345679</v>
      </c>
      <c r="BE341">
        <f t="shared" si="71"/>
        <v>19.816352217283949</v>
      </c>
    </row>
    <row r="342" spans="6:57">
      <c r="F342" s="9"/>
      <c r="G342" s="22">
        <v>0.108185</v>
      </c>
      <c r="H342" s="22">
        <v>8.5338999999999992</v>
      </c>
      <c r="I342" s="22">
        <v>-1.39343E-2</v>
      </c>
      <c r="J342" s="22">
        <v>332</v>
      </c>
      <c r="K342" s="22">
        <v>0.107727</v>
      </c>
      <c r="L342">
        <f t="shared" si="60"/>
        <v>17.202839506172836</v>
      </c>
      <c r="M342">
        <f t="shared" si="61"/>
        <v>1.8610891919753083</v>
      </c>
      <c r="N342" s="9"/>
      <c r="O342" s="22">
        <v>1.5718099999999999</v>
      </c>
      <c r="P342" s="22">
        <v>12.312799999999999</v>
      </c>
      <c r="Q342" s="22">
        <v>-1.0113499999999999E-2</v>
      </c>
      <c r="R342" s="22">
        <v>332</v>
      </c>
      <c r="S342" s="22">
        <v>1.57074</v>
      </c>
      <c r="T342">
        <f t="shared" si="62"/>
        <v>12.4858024691358</v>
      </c>
      <c r="U342">
        <f t="shared" si="63"/>
        <v>19.625309179012341</v>
      </c>
      <c r="X342" s="9"/>
      <c r="Y342" s="22">
        <v>0.108185</v>
      </c>
      <c r="Z342" s="22">
        <v>17.824100000000001</v>
      </c>
      <c r="AA342" s="22">
        <v>-1.39618E-2</v>
      </c>
      <c r="AB342" s="22">
        <v>332</v>
      </c>
      <c r="AC342" s="22">
        <v>0.107666</v>
      </c>
      <c r="AD342">
        <f t="shared" si="64"/>
        <v>17.236790123456789</v>
      </c>
      <c r="AE342">
        <f t="shared" si="65"/>
        <v>1.8647621395061729</v>
      </c>
      <c r="AF342" s="9"/>
      <c r="AG342" s="22">
        <v>1.5718099999999999</v>
      </c>
      <c r="AH342" s="22">
        <v>21.603000000000002</v>
      </c>
      <c r="AI342" s="22">
        <v>-1.00616E-2</v>
      </c>
      <c r="AJ342" s="22">
        <v>332</v>
      </c>
      <c r="AK342" s="22">
        <v>1.57074</v>
      </c>
      <c r="AL342">
        <f t="shared" si="66"/>
        <v>12.421728395061727</v>
      </c>
      <c r="AM342">
        <f t="shared" si="67"/>
        <v>19.524596908641971</v>
      </c>
      <c r="AP342" s="9"/>
      <c r="AQ342" s="22">
        <v>0.108185</v>
      </c>
      <c r="AR342" s="22">
        <v>27.0503</v>
      </c>
      <c r="AS342" s="22">
        <v>-1.39893E-2</v>
      </c>
      <c r="AT342" s="22">
        <v>332</v>
      </c>
      <c r="AU342" s="22">
        <v>0.107666</v>
      </c>
      <c r="AV342">
        <f t="shared" si="68"/>
        <v>17.270740740740738</v>
      </c>
      <c r="AW342">
        <f t="shared" si="69"/>
        <v>1.8684350870370368</v>
      </c>
      <c r="AX342" s="9"/>
      <c r="AY342" s="22">
        <v>1.5718099999999999</v>
      </c>
      <c r="AZ342" s="22">
        <v>30.8293</v>
      </c>
      <c r="BA342" s="22">
        <v>-1.00952E-2</v>
      </c>
      <c r="BB342" s="22">
        <v>332</v>
      </c>
      <c r="BC342" s="22">
        <v>1.57074</v>
      </c>
      <c r="BD342">
        <f t="shared" si="70"/>
        <v>12.463209876543209</v>
      </c>
      <c r="BE342">
        <f t="shared" si="71"/>
        <v>19.589797916049381</v>
      </c>
    </row>
    <row r="343" spans="6:57">
      <c r="F343" s="9"/>
      <c r="G343" s="22">
        <v>0.103149</v>
      </c>
      <c r="H343" s="22">
        <v>8.5439699999999998</v>
      </c>
      <c r="I343" s="22">
        <v>-1.3937400000000001E-2</v>
      </c>
      <c r="J343" s="22">
        <v>333</v>
      </c>
      <c r="K343" s="22">
        <v>0.102661</v>
      </c>
      <c r="L343">
        <f t="shared" si="60"/>
        <v>17.206666666666667</v>
      </c>
      <c r="M343">
        <f t="shared" si="61"/>
        <v>1.7748504600000001</v>
      </c>
      <c r="N343" s="9"/>
      <c r="O343" s="22">
        <v>1.57684</v>
      </c>
      <c r="P343" s="22">
        <v>12.322900000000001</v>
      </c>
      <c r="Q343" s="22">
        <v>-9.9731400000000001E-3</v>
      </c>
      <c r="R343" s="22">
        <v>333</v>
      </c>
      <c r="S343" s="22">
        <v>1.5753200000000001</v>
      </c>
      <c r="T343">
        <f t="shared" si="62"/>
        <v>12.312518518518518</v>
      </c>
      <c r="U343">
        <f t="shared" si="63"/>
        <v>19.41487170074074</v>
      </c>
      <c r="X343" s="9"/>
      <c r="Y343" s="22">
        <v>0.103149</v>
      </c>
      <c r="Z343" s="22">
        <v>17.834199999999999</v>
      </c>
      <c r="AA343" s="22">
        <v>-1.3964799999999999E-2</v>
      </c>
      <c r="AB343" s="22">
        <v>333</v>
      </c>
      <c r="AC343" s="22">
        <v>0.10269200000000001</v>
      </c>
      <c r="AD343">
        <f t="shared" si="64"/>
        <v>17.240493827160492</v>
      </c>
      <c r="AE343">
        <f t="shared" si="65"/>
        <v>1.7783396977777777</v>
      </c>
      <c r="AF343" s="9"/>
      <c r="AG343" s="22">
        <v>1.57684</v>
      </c>
      <c r="AH343" s="22">
        <v>21.613099999999999</v>
      </c>
      <c r="AI343" s="22">
        <v>-9.9243200000000004E-3</v>
      </c>
      <c r="AJ343" s="22">
        <v>333</v>
      </c>
      <c r="AK343" s="22">
        <v>1.57623</v>
      </c>
      <c r="AL343">
        <f t="shared" si="66"/>
        <v>12.252246913580246</v>
      </c>
      <c r="AM343">
        <f t="shared" si="67"/>
        <v>19.319833023209874</v>
      </c>
      <c r="AP343" s="9"/>
      <c r="AQ343" s="22">
        <v>0.103149</v>
      </c>
      <c r="AR343" s="22">
        <v>27.060400000000001</v>
      </c>
      <c r="AS343" s="22">
        <v>-1.3992299999999999E-2</v>
      </c>
      <c r="AT343" s="22">
        <v>333</v>
      </c>
      <c r="AU343" s="22">
        <v>0.10272199999999999</v>
      </c>
      <c r="AV343">
        <f t="shared" si="68"/>
        <v>17.274444444444445</v>
      </c>
      <c r="AW343">
        <f t="shared" si="69"/>
        <v>1.7818416700000002</v>
      </c>
      <c r="AX343" s="9"/>
      <c r="AY343" s="22">
        <v>1.57684</v>
      </c>
      <c r="AZ343" s="22">
        <v>30.839400000000001</v>
      </c>
      <c r="BA343" s="22">
        <v>-9.9395799999999999E-3</v>
      </c>
      <c r="BB343" s="22">
        <v>333</v>
      </c>
      <c r="BC343" s="22">
        <v>1.57562</v>
      </c>
      <c r="BD343">
        <f t="shared" si="70"/>
        <v>12.271086419753086</v>
      </c>
      <c r="BE343">
        <f t="shared" si="71"/>
        <v>19.349539910123458</v>
      </c>
    </row>
    <row r="344" spans="6:57">
      <c r="F344" s="9"/>
      <c r="G344" s="22">
        <v>9.8114000000000007E-2</v>
      </c>
      <c r="H344" s="22">
        <v>8.5540400000000005</v>
      </c>
      <c r="I344" s="22">
        <v>-1.39404E-2</v>
      </c>
      <c r="J344" s="22">
        <v>334</v>
      </c>
      <c r="K344" s="22">
        <v>9.7656300000000001E-2</v>
      </c>
      <c r="L344">
        <f t="shared" si="60"/>
        <v>17.21037037037037</v>
      </c>
      <c r="M344">
        <f t="shared" si="61"/>
        <v>1.6885782785185186</v>
      </c>
      <c r="N344" s="9"/>
      <c r="O344" s="22">
        <v>1.58188</v>
      </c>
      <c r="P344" s="22">
        <v>12.3329</v>
      </c>
      <c r="Q344" s="22">
        <v>-9.8327599999999994E-3</v>
      </c>
      <c r="R344" s="22">
        <v>334</v>
      </c>
      <c r="S344" s="22">
        <v>1.5811200000000001</v>
      </c>
      <c r="T344">
        <f t="shared" si="62"/>
        <v>12.139209876543207</v>
      </c>
      <c r="U344">
        <f t="shared" si="63"/>
        <v>19.202773319506168</v>
      </c>
      <c r="X344" s="9"/>
      <c r="Y344" s="22">
        <v>9.8114000000000007E-2</v>
      </c>
      <c r="Z344" s="22">
        <v>17.8443</v>
      </c>
      <c r="AA344" s="22">
        <v>-1.39679E-2</v>
      </c>
      <c r="AB344" s="22">
        <v>334</v>
      </c>
      <c r="AC344" s="22">
        <v>9.7625699999999996E-2</v>
      </c>
      <c r="AD344">
        <f t="shared" si="64"/>
        <v>17.244320987654319</v>
      </c>
      <c r="AE344">
        <f t="shared" si="65"/>
        <v>1.691909309382716</v>
      </c>
      <c r="AF344" s="9"/>
      <c r="AG344" s="22">
        <v>1.58188</v>
      </c>
      <c r="AH344" s="22">
        <v>21.623200000000001</v>
      </c>
      <c r="AI344" s="22">
        <v>-9.7808800000000005E-3</v>
      </c>
      <c r="AJ344" s="22">
        <v>334</v>
      </c>
      <c r="AK344" s="22">
        <v>1.5811200000000001</v>
      </c>
      <c r="AL344">
        <f t="shared" si="66"/>
        <v>12.075160493827159</v>
      </c>
      <c r="AM344">
        <f t="shared" si="67"/>
        <v>19.101454881975307</v>
      </c>
      <c r="AP344" s="9"/>
      <c r="AQ344" s="22">
        <v>9.8114000000000007E-2</v>
      </c>
      <c r="AR344" s="22">
        <v>27.070499999999999</v>
      </c>
      <c r="AS344" s="22">
        <v>-1.3998399999999999E-2</v>
      </c>
      <c r="AT344" s="22">
        <v>334</v>
      </c>
      <c r="AU344" s="22">
        <v>9.7595199999999993E-2</v>
      </c>
      <c r="AV344">
        <f t="shared" si="68"/>
        <v>17.281975308641975</v>
      </c>
      <c r="AW344">
        <f t="shared" si="69"/>
        <v>1.6956037254320988</v>
      </c>
      <c r="AX344" s="9"/>
      <c r="AY344" s="22">
        <v>1.58188</v>
      </c>
      <c r="AZ344" s="22">
        <v>30.849399999999999</v>
      </c>
      <c r="BA344" s="22">
        <v>-9.7900399999999999E-3</v>
      </c>
      <c r="BB344" s="22">
        <v>334</v>
      </c>
      <c r="BC344" s="22">
        <v>1.5811200000000001</v>
      </c>
      <c r="BD344">
        <f t="shared" si="70"/>
        <v>12.086469135802469</v>
      </c>
      <c r="BE344">
        <f t="shared" si="71"/>
        <v>19.119343796543209</v>
      </c>
    </row>
    <row r="345" spans="6:57">
      <c r="F345" s="9"/>
      <c r="G345" s="22">
        <v>9.3078599999999997E-2</v>
      </c>
      <c r="H345" s="22">
        <v>8.5641099999999994</v>
      </c>
      <c r="I345" s="22">
        <v>-1.39404E-2</v>
      </c>
      <c r="J345" s="22">
        <v>335</v>
      </c>
      <c r="K345" s="22">
        <v>9.2559799999999998E-2</v>
      </c>
      <c r="L345">
        <f t="shared" si="60"/>
        <v>17.21037037037037</v>
      </c>
      <c r="M345">
        <f t="shared" si="61"/>
        <v>1.6019171795555556</v>
      </c>
      <c r="N345" s="9"/>
      <c r="O345" s="22">
        <v>1.58691</v>
      </c>
      <c r="P345" s="22">
        <v>12.343</v>
      </c>
      <c r="Q345" s="22">
        <v>-9.6710200000000007E-3</v>
      </c>
      <c r="R345" s="22">
        <v>335</v>
      </c>
      <c r="S345" s="22">
        <v>1.58569</v>
      </c>
      <c r="T345">
        <f t="shared" si="62"/>
        <v>11.939530864197531</v>
      </c>
      <c r="U345">
        <f t="shared" si="63"/>
        <v>18.946960923703703</v>
      </c>
      <c r="X345" s="9"/>
      <c r="Y345" s="22">
        <v>9.3078599999999997E-2</v>
      </c>
      <c r="Z345" s="22">
        <v>17.854299999999999</v>
      </c>
      <c r="AA345" s="22">
        <v>-1.39679E-2</v>
      </c>
      <c r="AB345" s="22">
        <v>335</v>
      </c>
      <c r="AC345" s="22">
        <v>9.2620800000000003E-2</v>
      </c>
      <c r="AD345">
        <f t="shared" si="64"/>
        <v>17.244320987654319</v>
      </c>
      <c r="AE345">
        <f t="shared" si="65"/>
        <v>1.6050772554814814</v>
      </c>
      <c r="AF345" s="9"/>
      <c r="AG345" s="22">
        <v>1.58691</v>
      </c>
      <c r="AH345" s="22">
        <v>21.633199999999999</v>
      </c>
      <c r="AI345" s="22">
        <v>-9.6221899999999992E-3</v>
      </c>
      <c r="AJ345" s="22">
        <v>335</v>
      </c>
      <c r="AK345" s="22">
        <v>1.58569</v>
      </c>
      <c r="AL345">
        <f t="shared" si="66"/>
        <v>11.879246913580246</v>
      </c>
      <c r="AM345">
        <f t="shared" si="67"/>
        <v>18.851295719629629</v>
      </c>
      <c r="AP345" s="9"/>
      <c r="AQ345" s="22">
        <v>9.3078599999999997E-2</v>
      </c>
      <c r="AR345" s="22">
        <v>27.0806</v>
      </c>
      <c r="AS345" s="22">
        <v>-1.40045E-2</v>
      </c>
      <c r="AT345" s="22">
        <v>335</v>
      </c>
      <c r="AU345" s="22">
        <v>9.2529299999999995E-2</v>
      </c>
      <c r="AV345">
        <f t="shared" si="68"/>
        <v>17.289506172839506</v>
      </c>
      <c r="AW345">
        <f t="shared" si="69"/>
        <v>1.6092830292592593</v>
      </c>
      <c r="AX345" s="9"/>
      <c r="AY345" s="22">
        <v>1.58691</v>
      </c>
      <c r="AZ345" s="22">
        <v>30.859500000000001</v>
      </c>
      <c r="BA345" s="22">
        <v>-9.6221899999999992E-3</v>
      </c>
      <c r="BB345" s="22">
        <v>335</v>
      </c>
      <c r="BC345" s="22">
        <v>1.5860000000000001</v>
      </c>
      <c r="BD345">
        <f t="shared" si="70"/>
        <v>11.879246913580246</v>
      </c>
      <c r="BE345">
        <f t="shared" si="71"/>
        <v>18.851295719629629</v>
      </c>
    </row>
    <row r="346" spans="6:57">
      <c r="F346" s="9"/>
      <c r="G346" s="22">
        <v>8.8043200000000002E-2</v>
      </c>
      <c r="H346" s="22">
        <v>8.5741800000000001</v>
      </c>
      <c r="I346" s="22">
        <v>-1.3946500000000001E-2</v>
      </c>
      <c r="J346" s="22">
        <v>336</v>
      </c>
      <c r="K346" s="22">
        <v>8.7554900000000005E-2</v>
      </c>
      <c r="L346">
        <f t="shared" si="60"/>
        <v>17.217901234567901</v>
      </c>
      <c r="M346">
        <f t="shared" si="61"/>
        <v>1.5159191219753085</v>
      </c>
      <c r="N346" s="9"/>
      <c r="O346" s="22">
        <v>1.59195</v>
      </c>
      <c r="P346" s="22">
        <v>12.3531</v>
      </c>
      <c r="Q346" s="22">
        <v>-9.50317E-3</v>
      </c>
      <c r="R346" s="22">
        <v>336</v>
      </c>
      <c r="S346" s="22">
        <v>1.5905800000000001</v>
      </c>
      <c r="T346">
        <f t="shared" si="62"/>
        <v>11.732308641975308</v>
      </c>
      <c r="U346">
        <f t="shared" si="63"/>
        <v>18.677248742592592</v>
      </c>
      <c r="X346" s="9"/>
      <c r="Y346" s="22">
        <v>8.8043200000000002E-2</v>
      </c>
      <c r="Z346" s="22">
        <v>17.8644</v>
      </c>
      <c r="AA346" s="22">
        <v>-1.39709E-2</v>
      </c>
      <c r="AB346" s="22">
        <v>336</v>
      </c>
      <c r="AC346" s="22">
        <v>8.7524400000000002E-2</v>
      </c>
      <c r="AD346">
        <f t="shared" si="64"/>
        <v>17.248024691358022</v>
      </c>
      <c r="AE346">
        <f t="shared" si="65"/>
        <v>1.5185712875061728</v>
      </c>
      <c r="AF346" s="9"/>
      <c r="AG346" s="22">
        <v>1.59195</v>
      </c>
      <c r="AH346" s="22">
        <v>21.6433</v>
      </c>
      <c r="AI346" s="22">
        <v>-9.4543500000000003E-3</v>
      </c>
      <c r="AJ346" s="22">
        <v>336</v>
      </c>
      <c r="AK346" s="22">
        <v>1.5911900000000001</v>
      </c>
      <c r="AL346">
        <f t="shared" si="66"/>
        <v>11.672037037037036</v>
      </c>
      <c r="AM346">
        <f t="shared" si="67"/>
        <v>18.58129936111111</v>
      </c>
      <c r="AP346" s="9"/>
      <c r="AQ346" s="22">
        <v>8.8043200000000002E-2</v>
      </c>
      <c r="AR346" s="22">
        <v>27.090599999999998</v>
      </c>
      <c r="AS346" s="22">
        <v>-1.40076E-2</v>
      </c>
      <c r="AT346" s="22">
        <v>336</v>
      </c>
      <c r="AU346" s="22">
        <v>8.7493899999999999E-2</v>
      </c>
      <c r="AV346">
        <f t="shared" si="68"/>
        <v>17.293333333333333</v>
      </c>
      <c r="AW346">
        <f t="shared" si="69"/>
        <v>1.5225604053333333</v>
      </c>
      <c r="AX346" s="9"/>
      <c r="AY346" s="22">
        <v>1.59195</v>
      </c>
      <c r="AZ346" s="22">
        <v>30.869599999999998</v>
      </c>
      <c r="BA346" s="22">
        <v>-9.4421399999999999E-3</v>
      </c>
      <c r="BB346" s="22">
        <v>336</v>
      </c>
      <c r="BC346" s="22">
        <v>1.5905800000000001</v>
      </c>
      <c r="BD346">
        <f t="shared" si="70"/>
        <v>11.656962962962963</v>
      </c>
      <c r="BE346">
        <f t="shared" si="71"/>
        <v>18.557302188888887</v>
      </c>
    </row>
    <row r="347" spans="6:57">
      <c r="F347" s="9"/>
      <c r="G347" s="22">
        <v>8.3007800000000007E-2</v>
      </c>
      <c r="H347" s="22">
        <v>8.5842500000000008</v>
      </c>
      <c r="I347" s="22">
        <v>-1.3943499999999999E-2</v>
      </c>
      <c r="J347" s="22">
        <v>337</v>
      </c>
      <c r="K347" s="22">
        <v>8.2549999999999998E-2</v>
      </c>
      <c r="L347">
        <f t="shared" si="60"/>
        <v>17.214197530864197</v>
      </c>
      <c r="M347">
        <f t="shared" si="61"/>
        <v>1.4289126658024693</v>
      </c>
      <c r="N347" s="9"/>
      <c r="O347" s="22">
        <v>1.5969800000000001</v>
      </c>
      <c r="P347" s="22">
        <v>12.363200000000001</v>
      </c>
      <c r="Q347" s="22">
        <v>-9.3322800000000001E-3</v>
      </c>
      <c r="R347" s="22">
        <v>337</v>
      </c>
      <c r="S347" s="22">
        <v>1.5960700000000001</v>
      </c>
      <c r="T347">
        <f t="shared" si="62"/>
        <v>11.521333333333333</v>
      </c>
      <c r="U347">
        <f t="shared" si="63"/>
        <v>18.399338906666667</v>
      </c>
      <c r="X347" s="9"/>
      <c r="Y347" s="22">
        <v>8.3007800000000007E-2</v>
      </c>
      <c r="Z347" s="22">
        <v>17.874500000000001</v>
      </c>
      <c r="AA347" s="22">
        <v>-1.3977099999999999E-2</v>
      </c>
      <c r="AB347" s="22">
        <v>337</v>
      </c>
      <c r="AC347" s="22">
        <v>8.2549999999999998E-2</v>
      </c>
      <c r="AD347">
        <f t="shared" si="64"/>
        <v>17.255679012345677</v>
      </c>
      <c r="AE347">
        <f t="shared" si="65"/>
        <v>1.4323559523209877</v>
      </c>
      <c r="AF347" s="9"/>
      <c r="AG347" s="22">
        <v>1.5969800000000001</v>
      </c>
      <c r="AH347" s="22">
        <v>21.653400000000001</v>
      </c>
      <c r="AI347" s="22">
        <v>-9.27124E-3</v>
      </c>
      <c r="AJ347" s="22">
        <v>337</v>
      </c>
      <c r="AK347" s="22">
        <v>1.5960700000000001</v>
      </c>
      <c r="AL347">
        <f t="shared" si="66"/>
        <v>11.445975308641975</v>
      </c>
      <c r="AM347">
        <f t="shared" si="67"/>
        <v>18.278993648395062</v>
      </c>
      <c r="AP347" s="9"/>
      <c r="AQ347" s="22">
        <v>8.3007800000000007E-2</v>
      </c>
      <c r="AR347" s="22">
        <v>27.1007</v>
      </c>
      <c r="AS347" s="22">
        <v>-1.40076E-2</v>
      </c>
      <c r="AT347" s="22">
        <v>337</v>
      </c>
      <c r="AU347" s="22">
        <v>8.2580600000000004E-2</v>
      </c>
      <c r="AV347">
        <f t="shared" si="68"/>
        <v>17.293333333333333</v>
      </c>
      <c r="AW347">
        <f t="shared" si="69"/>
        <v>1.4354815546666668</v>
      </c>
      <c r="AX347" s="9"/>
      <c r="AY347" s="22">
        <v>1.5969800000000001</v>
      </c>
      <c r="AZ347" s="22">
        <v>30.8796</v>
      </c>
      <c r="BA347" s="22">
        <v>-9.2620800000000007E-3</v>
      </c>
      <c r="BB347" s="22">
        <v>337</v>
      </c>
      <c r="BC347" s="22">
        <v>1.5966800000000001</v>
      </c>
      <c r="BD347">
        <f t="shared" si="70"/>
        <v>11.434666666666667</v>
      </c>
      <c r="BE347">
        <f t="shared" si="71"/>
        <v>18.260933973333334</v>
      </c>
    </row>
    <row r="348" spans="6:57">
      <c r="F348" s="9"/>
      <c r="G348" s="22">
        <v>7.7972399999999997E-2</v>
      </c>
      <c r="H348" s="22">
        <v>8.5943199999999997</v>
      </c>
      <c r="I348" s="22">
        <v>-1.39496E-2</v>
      </c>
      <c r="J348" s="22">
        <v>338</v>
      </c>
      <c r="K348" s="22">
        <v>7.7514600000000003E-2</v>
      </c>
      <c r="L348">
        <f t="shared" si="60"/>
        <v>17.221728395061724</v>
      </c>
      <c r="M348">
        <f t="shared" si="61"/>
        <v>1.3428194951111108</v>
      </c>
      <c r="N348" s="9"/>
      <c r="O348" s="22">
        <v>1.60202</v>
      </c>
      <c r="P348" s="22">
        <v>12.373200000000001</v>
      </c>
      <c r="Q348" s="22">
        <v>-9.1583299999999992E-3</v>
      </c>
      <c r="R348" s="22">
        <v>338</v>
      </c>
      <c r="S348" s="22">
        <v>1.6015600000000001</v>
      </c>
      <c r="T348">
        <f t="shared" si="62"/>
        <v>11.306580246913578</v>
      </c>
      <c r="U348">
        <f t="shared" si="63"/>
        <v>18.113367687160491</v>
      </c>
      <c r="X348" s="9"/>
      <c r="Y348" s="22">
        <v>7.7972399999999997E-2</v>
      </c>
      <c r="Z348" s="22">
        <v>17.884499999999999</v>
      </c>
      <c r="AA348" s="22">
        <v>-1.3980100000000001E-2</v>
      </c>
      <c r="AB348" s="22">
        <v>338</v>
      </c>
      <c r="AC348" s="22">
        <v>7.7423099999999995E-2</v>
      </c>
      <c r="AD348">
        <f t="shared" si="64"/>
        <v>17.259382716049384</v>
      </c>
      <c r="AE348">
        <f t="shared" si="65"/>
        <v>1.3457554928888888</v>
      </c>
      <c r="AF348" s="9"/>
      <c r="AG348" s="22">
        <v>1.60202</v>
      </c>
      <c r="AH348" s="22">
        <v>21.663399999999999</v>
      </c>
      <c r="AI348" s="22">
        <v>-9.0820299999999996E-3</v>
      </c>
      <c r="AJ348" s="22">
        <v>338</v>
      </c>
      <c r="AK348" s="22">
        <v>1.6006499999999999</v>
      </c>
      <c r="AL348">
        <f t="shared" si="66"/>
        <v>11.212382716049381</v>
      </c>
      <c r="AM348">
        <f t="shared" si="67"/>
        <v>17.962461358765431</v>
      </c>
      <c r="AP348" s="9"/>
      <c r="AQ348" s="22">
        <v>7.7972399999999997E-2</v>
      </c>
      <c r="AR348" s="22">
        <v>27.110800000000001</v>
      </c>
      <c r="AS348" s="22">
        <v>-1.40076E-2</v>
      </c>
      <c r="AT348" s="22">
        <v>338</v>
      </c>
      <c r="AU348" s="22">
        <v>7.74841E-2</v>
      </c>
      <c r="AV348">
        <f t="shared" si="68"/>
        <v>17.293333333333333</v>
      </c>
      <c r="AW348">
        <f t="shared" si="69"/>
        <v>1.348402704</v>
      </c>
      <c r="AX348" s="9"/>
      <c r="AY348" s="22">
        <v>1.60202</v>
      </c>
      <c r="AZ348" s="22">
        <v>30.889700000000001</v>
      </c>
      <c r="BA348" s="22">
        <v>-9.0759299999999994E-3</v>
      </c>
      <c r="BB348" s="22">
        <v>338</v>
      </c>
      <c r="BC348" s="22">
        <v>1.6012599999999999</v>
      </c>
      <c r="BD348">
        <f t="shared" si="70"/>
        <v>11.204851851851851</v>
      </c>
      <c r="BE348">
        <f t="shared" si="71"/>
        <v>17.950396763703701</v>
      </c>
    </row>
    <row r="349" spans="6:57">
      <c r="F349" s="9"/>
      <c r="G349" s="22">
        <v>7.2937000000000002E-2</v>
      </c>
      <c r="H349" s="22">
        <v>8.6043900000000004</v>
      </c>
      <c r="I349" s="22">
        <v>-1.39496E-2</v>
      </c>
      <c r="J349" s="22">
        <v>339</v>
      </c>
      <c r="K349" s="22">
        <v>7.2479199999999994E-2</v>
      </c>
      <c r="L349">
        <f t="shared" si="60"/>
        <v>17.221728395061724</v>
      </c>
      <c r="M349">
        <f t="shared" si="61"/>
        <v>1.256101203950617</v>
      </c>
      <c r="N349" s="9"/>
      <c r="O349" s="22">
        <v>1.6070599999999999</v>
      </c>
      <c r="P349" s="22">
        <v>12.3833</v>
      </c>
      <c r="Q349" s="22">
        <v>-8.9721699999999998E-3</v>
      </c>
      <c r="R349" s="22">
        <v>339</v>
      </c>
      <c r="S349" s="22">
        <v>1.6064499999999999</v>
      </c>
      <c r="T349">
        <f t="shared" si="62"/>
        <v>11.076753086419751</v>
      </c>
      <c r="U349">
        <f t="shared" si="63"/>
        <v>17.801006815061726</v>
      </c>
      <c r="X349" s="9"/>
      <c r="Y349" s="22">
        <v>7.2937000000000002E-2</v>
      </c>
      <c r="Z349" s="22">
        <v>17.894600000000001</v>
      </c>
      <c r="AA349" s="22">
        <v>-1.3983199999999999E-2</v>
      </c>
      <c r="AB349" s="22">
        <v>339</v>
      </c>
      <c r="AC349" s="22">
        <v>7.2418200000000002E-2</v>
      </c>
      <c r="AD349">
        <f t="shared" si="64"/>
        <v>17.263209876543208</v>
      </c>
      <c r="AE349">
        <f t="shared" si="65"/>
        <v>1.2591267387654319</v>
      </c>
      <c r="AF349" s="9"/>
      <c r="AG349" s="22">
        <v>1.6070599999999999</v>
      </c>
      <c r="AH349" s="22">
        <v>21.673500000000001</v>
      </c>
      <c r="AI349" s="22">
        <v>-8.8714599999999994E-3</v>
      </c>
      <c r="AJ349" s="22">
        <v>339</v>
      </c>
      <c r="AK349" s="22">
        <v>1.6055299999999999</v>
      </c>
      <c r="AL349">
        <f t="shared" si="66"/>
        <v>10.952419753086417</v>
      </c>
      <c r="AM349">
        <f t="shared" si="67"/>
        <v>17.601195688395055</v>
      </c>
      <c r="AP349" s="9"/>
      <c r="AQ349" s="22">
        <v>7.2937000000000002E-2</v>
      </c>
      <c r="AR349" s="22">
        <v>27.120799999999999</v>
      </c>
      <c r="AS349" s="22">
        <v>-1.40106E-2</v>
      </c>
      <c r="AT349" s="22">
        <v>339</v>
      </c>
      <c r="AU349" s="22">
        <v>7.2448700000000005E-2</v>
      </c>
      <c r="AV349">
        <f t="shared" si="68"/>
        <v>17.297037037037036</v>
      </c>
      <c r="AW349">
        <f t="shared" si="69"/>
        <v>1.2615939903703703</v>
      </c>
      <c r="AX349" s="9"/>
      <c r="AY349" s="22">
        <v>1.6070599999999999</v>
      </c>
      <c r="AZ349" s="22">
        <v>30.899799999999999</v>
      </c>
      <c r="BA349" s="22">
        <v>-8.8745100000000004E-3</v>
      </c>
      <c r="BB349" s="22">
        <v>339</v>
      </c>
      <c r="BC349" s="22">
        <v>1.6055299999999999</v>
      </c>
      <c r="BD349">
        <f t="shared" si="70"/>
        <v>10.956185185185186</v>
      </c>
      <c r="BE349">
        <f t="shared" si="71"/>
        <v>17.607246963703705</v>
      </c>
    </row>
    <row r="350" spans="6:57">
      <c r="F350" s="9"/>
      <c r="G350" s="22">
        <v>6.7901600000000006E-2</v>
      </c>
      <c r="H350" s="22">
        <v>8.6144599999999993</v>
      </c>
      <c r="I350" s="22">
        <v>-1.39557E-2</v>
      </c>
      <c r="J350" s="22">
        <v>340</v>
      </c>
      <c r="K350" s="22">
        <v>6.7413299999999995E-2</v>
      </c>
      <c r="L350">
        <f t="shared" si="60"/>
        <v>17.229259259259258</v>
      </c>
      <c r="M350">
        <f t="shared" si="61"/>
        <v>1.1698942705185185</v>
      </c>
      <c r="N350" s="9"/>
      <c r="O350" s="22">
        <v>1.61209</v>
      </c>
      <c r="P350" s="22">
        <v>12.3934</v>
      </c>
      <c r="Q350" s="22">
        <v>-8.7676999999999998E-3</v>
      </c>
      <c r="R350" s="22">
        <v>340</v>
      </c>
      <c r="S350" s="22">
        <v>1.6113299999999999</v>
      </c>
      <c r="T350">
        <f t="shared" si="62"/>
        <v>10.824320987654319</v>
      </c>
      <c r="U350">
        <f t="shared" si="63"/>
        <v>17.449779620987652</v>
      </c>
      <c r="X350" s="9"/>
      <c r="Y350" s="22">
        <v>6.7901600000000006E-2</v>
      </c>
      <c r="Z350" s="22">
        <v>17.904699999999998</v>
      </c>
      <c r="AA350" s="22">
        <v>-1.3980100000000001E-2</v>
      </c>
      <c r="AB350" s="22">
        <v>340</v>
      </c>
      <c r="AC350" s="22">
        <v>6.7352300000000004E-2</v>
      </c>
      <c r="AD350">
        <f t="shared" si="64"/>
        <v>17.259382716049384</v>
      </c>
      <c r="AE350">
        <f t="shared" si="65"/>
        <v>1.1719397014320989</v>
      </c>
      <c r="AF350" s="9"/>
      <c r="AG350" s="22">
        <v>1.61209</v>
      </c>
      <c r="AH350" s="22">
        <v>21.683599999999998</v>
      </c>
      <c r="AI350" s="22">
        <v>-8.6730999999999996E-3</v>
      </c>
      <c r="AJ350" s="22">
        <v>340</v>
      </c>
      <c r="AK350" s="22">
        <v>1.6110199999999999</v>
      </c>
      <c r="AL350">
        <f t="shared" si="66"/>
        <v>10.70753086419753</v>
      </c>
      <c r="AM350">
        <f t="shared" si="67"/>
        <v>17.261503430864195</v>
      </c>
      <c r="AP350" s="9"/>
      <c r="AQ350" s="22">
        <v>6.7901600000000006E-2</v>
      </c>
      <c r="AR350" s="22">
        <v>27.1309</v>
      </c>
      <c r="AS350" s="22">
        <v>-1.40106E-2</v>
      </c>
      <c r="AT350" s="22">
        <v>340</v>
      </c>
      <c r="AU350" s="22">
        <v>6.7413299999999995E-2</v>
      </c>
      <c r="AV350">
        <f t="shared" si="68"/>
        <v>17.297037037037036</v>
      </c>
      <c r="AW350">
        <f t="shared" si="69"/>
        <v>1.1744964900740742</v>
      </c>
      <c r="AX350" s="9"/>
      <c r="AY350" s="22">
        <v>1.61209</v>
      </c>
      <c r="AZ350" s="22">
        <v>30.9099</v>
      </c>
      <c r="BA350" s="22">
        <v>-8.6547900000000007E-3</v>
      </c>
      <c r="BB350" s="22">
        <v>340</v>
      </c>
      <c r="BC350" s="22">
        <v>1.6110199999999999</v>
      </c>
      <c r="BD350">
        <f t="shared" si="70"/>
        <v>10.684925925925926</v>
      </c>
      <c r="BE350">
        <f t="shared" si="71"/>
        <v>17.225062235925925</v>
      </c>
    </row>
    <row r="351" spans="6:57">
      <c r="F351" s="9"/>
      <c r="G351" s="22">
        <v>6.2866199999999997E-2</v>
      </c>
      <c r="H351" s="22">
        <v>8.62453</v>
      </c>
      <c r="I351" s="22">
        <v>-1.3958699999999999E-2</v>
      </c>
      <c r="J351" s="22">
        <v>341</v>
      </c>
      <c r="K351" s="22">
        <v>6.2408400000000003E-2</v>
      </c>
      <c r="L351">
        <f t="shared" si="60"/>
        <v>17.232962962962961</v>
      </c>
      <c r="M351">
        <f t="shared" si="61"/>
        <v>1.0833708962222222</v>
      </c>
      <c r="N351" s="9"/>
      <c r="O351" s="22">
        <v>1.61713</v>
      </c>
      <c r="P351" s="22">
        <v>12.4034</v>
      </c>
      <c r="Q351" s="22">
        <v>-8.5449199999999993E-3</v>
      </c>
      <c r="R351" s="22">
        <v>341</v>
      </c>
      <c r="S351" s="22">
        <v>1.61652</v>
      </c>
      <c r="T351">
        <f t="shared" si="62"/>
        <v>10.549283950617282</v>
      </c>
      <c r="U351">
        <f t="shared" si="63"/>
        <v>17.059563555061725</v>
      </c>
      <c r="X351" s="9"/>
      <c r="Y351" s="22">
        <v>6.2866199999999997E-2</v>
      </c>
      <c r="Z351" s="22">
        <v>17.9148</v>
      </c>
      <c r="AA351" s="22">
        <v>-1.3980100000000001E-2</v>
      </c>
      <c r="AB351" s="22">
        <v>341</v>
      </c>
      <c r="AC351" s="22">
        <v>6.2408400000000003E-2</v>
      </c>
      <c r="AD351">
        <f t="shared" si="64"/>
        <v>17.259382716049384</v>
      </c>
      <c r="AE351">
        <f t="shared" si="65"/>
        <v>1.0850318057037036</v>
      </c>
      <c r="AF351" s="9"/>
      <c r="AG351" s="22">
        <v>1.61713</v>
      </c>
      <c r="AH351" s="22">
        <v>21.6937</v>
      </c>
      <c r="AI351" s="22">
        <v>-8.4472699999999998E-3</v>
      </c>
      <c r="AJ351" s="22">
        <v>341</v>
      </c>
      <c r="AK351" s="22">
        <v>1.6168199999999999</v>
      </c>
      <c r="AL351">
        <f t="shared" si="66"/>
        <v>10.428728395061729</v>
      </c>
      <c r="AM351">
        <f t="shared" si="67"/>
        <v>16.864609549506174</v>
      </c>
      <c r="AP351" s="9"/>
      <c r="AQ351" s="22">
        <v>6.2866199999999997E-2</v>
      </c>
      <c r="AR351" s="22">
        <v>27.140999999999998</v>
      </c>
      <c r="AS351" s="22">
        <v>-1.40137E-2</v>
      </c>
      <c r="AT351" s="22">
        <v>341</v>
      </c>
      <c r="AU351" s="22">
        <v>6.2408400000000003E-2</v>
      </c>
      <c r="AV351">
        <f t="shared" si="68"/>
        <v>17.300864197530863</v>
      </c>
      <c r="AW351">
        <f t="shared" si="69"/>
        <v>1.0876395888148147</v>
      </c>
      <c r="AX351" s="9"/>
      <c r="AY351" s="22">
        <v>1.61713</v>
      </c>
      <c r="AZ351" s="22">
        <v>30.919899999999998</v>
      </c>
      <c r="BA351" s="22">
        <v>-8.4289599999999992E-3</v>
      </c>
      <c r="BB351" s="22">
        <v>341</v>
      </c>
      <c r="BC351" s="22">
        <v>1.6155999999999999</v>
      </c>
      <c r="BD351">
        <f t="shared" si="70"/>
        <v>10.406123456790121</v>
      </c>
      <c r="BE351">
        <f t="shared" si="71"/>
        <v>16.82805442567901</v>
      </c>
    </row>
    <row r="352" spans="6:57">
      <c r="F352" s="9"/>
      <c r="G352" s="22">
        <v>5.7830800000000002E-2</v>
      </c>
      <c r="H352" s="22">
        <v>8.6346100000000003</v>
      </c>
      <c r="I352" s="22">
        <v>-1.39618E-2</v>
      </c>
      <c r="J352" s="22">
        <v>342</v>
      </c>
      <c r="K352" s="22">
        <v>5.7342499999999998E-2</v>
      </c>
      <c r="L352">
        <f t="shared" si="60"/>
        <v>17.236790123456789</v>
      </c>
      <c r="M352">
        <f t="shared" si="61"/>
        <v>0.99681736227160489</v>
      </c>
      <c r="N352" s="9"/>
      <c r="O352" s="22">
        <v>1.62216</v>
      </c>
      <c r="P352" s="22">
        <v>12.413500000000001</v>
      </c>
      <c r="Q352" s="22">
        <v>-8.3160400000000002E-3</v>
      </c>
      <c r="R352" s="22">
        <v>342</v>
      </c>
      <c r="S352" s="22">
        <v>1.6214</v>
      </c>
      <c r="T352">
        <f t="shared" si="62"/>
        <v>10.266716049382715</v>
      </c>
      <c r="U352">
        <f t="shared" si="63"/>
        <v>16.654256106666665</v>
      </c>
      <c r="X352" s="9"/>
      <c r="Y352" s="22">
        <v>5.7830800000000002E-2</v>
      </c>
      <c r="Z352" s="22">
        <v>17.924800000000001</v>
      </c>
      <c r="AA352" s="22">
        <v>-1.3983199999999999E-2</v>
      </c>
      <c r="AB352" s="22">
        <v>342</v>
      </c>
      <c r="AC352" s="22">
        <v>5.7342499999999998E-2</v>
      </c>
      <c r="AD352">
        <f t="shared" si="64"/>
        <v>17.263209876543208</v>
      </c>
      <c r="AE352">
        <f t="shared" si="65"/>
        <v>0.99834523772839501</v>
      </c>
      <c r="AF352" s="9"/>
      <c r="AG352" s="22">
        <v>1.62216</v>
      </c>
      <c r="AH352" s="22">
        <v>21.703700000000001</v>
      </c>
      <c r="AI352" s="22">
        <v>-8.2244899999999992E-3</v>
      </c>
      <c r="AJ352" s="22">
        <v>342</v>
      </c>
      <c r="AK352" s="22">
        <v>1.6210899999999999</v>
      </c>
      <c r="AL352">
        <f t="shared" si="66"/>
        <v>10.153691358024689</v>
      </c>
      <c r="AM352">
        <f t="shared" si="67"/>
        <v>16.47091197333333</v>
      </c>
      <c r="AP352" s="9"/>
      <c r="AQ352" s="22">
        <v>5.7830800000000002E-2</v>
      </c>
      <c r="AR352" s="22">
        <v>27.1511</v>
      </c>
      <c r="AS352" s="22">
        <v>-1.40137E-2</v>
      </c>
      <c r="AT352" s="22">
        <v>342</v>
      </c>
      <c r="AU352" s="22">
        <v>5.7312000000000002E-2</v>
      </c>
      <c r="AV352">
        <f t="shared" si="68"/>
        <v>17.300864197530863</v>
      </c>
      <c r="AW352">
        <f t="shared" si="69"/>
        <v>1.0005228172345679</v>
      </c>
      <c r="AX352" s="9"/>
      <c r="AY352" s="22">
        <v>1.62216</v>
      </c>
      <c r="AZ352" s="22">
        <v>30.93</v>
      </c>
      <c r="BA352" s="22">
        <v>-8.1878699999999999E-3</v>
      </c>
      <c r="BB352" s="22">
        <v>342</v>
      </c>
      <c r="BC352" s="22">
        <v>1.6210899999999999</v>
      </c>
      <c r="BD352">
        <f t="shared" si="70"/>
        <v>10.10848148148148</v>
      </c>
      <c r="BE352">
        <f t="shared" si="71"/>
        <v>16.397574319999997</v>
      </c>
    </row>
    <row r="353" spans="6:57">
      <c r="F353" s="9"/>
      <c r="G353" s="22">
        <v>5.2795399999999999E-2</v>
      </c>
      <c r="H353" s="22">
        <v>8.6446799999999993</v>
      </c>
      <c r="I353" s="22">
        <v>-1.39709E-2</v>
      </c>
      <c r="J353" s="22">
        <v>343</v>
      </c>
      <c r="K353" s="22">
        <v>5.2307100000000002E-2</v>
      </c>
      <c r="L353">
        <f t="shared" si="60"/>
        <v>17.248024691358022</v>
      </c>
      <c r="M353">
        <f t="shared" si="61"/>
        <v>0.91061636279012337</v>
      </c>
      <c r="N353" s="9"/>
      <c r="O353" s="22">
        <v>1.6272</v>
      </c>
      <c r="P353" s="22">
        <v>12.4236</v>
      </c>
      <c r="Q353" s="22">
        <v>-8.0627400000000005E-3</v>
      </c>
      <c r="R353" s="22">
        <v>343</v>
      </c>
      <c r="S353" s="22">
        <v>1.6256699999999999</v>
      </c>
      <c r="T353">
        <f t="shared" si="62"/>
        <v>9.9539999999999988</v>
      </c>
      <c r="U353">
        <f t="shared" si="63"/>
        <v>16.197148799999997</v>
      </c>
      <c r="X353" s="9"/>
      <c r="Y353" s="22">
        <v>5.2795399999999999E-2</v>
      </c>
      <c r="Z353" s="22">
        <v>17.934899999999999</v>
      </c>
      <c r="AA353" s="22">
        <v>-1.3983199999999999E-2</v>
      </c>
      <c r="AB353" s="22">
        <v>343</v>
      </c>
      <c r="AC353" s="22">
        <v>5.2307100000000002E-2</v>
      </c>
      <c r="AD353">
        <f t="shared" si="64"/>
        <v>17.263209876543208</v>
      </c>
      <c r="AE353">
        <f t="shared" si="65"/>
        <v>0.9114180707160493</v>
      </c>
      <c r="AF353" s="9"/>
      <c r="AG353" s="22">
        <v>1.6272</v>
      </c>
      <c r="AH353" s="22">
        <v>21.713799999999999</v>
      </c>
      <c r="AI353" s="22">
        <v>-7.9742400000000005E-3</v>
      </c>
      <c r="AJ353" s="22">
        <v>343</v>
      </c>
      <c r="AK353" s="22">
        <v>1.6268899999999999</v>
      </c>
      <c r="AL353">
        <f t="shared" si="66"/>
        <v>9.8447407407407415</v>
      </c>
      <c r="AM353">
        <f t="shared" si="67"/>
        <v>16.019362133333335</v>
      </c>
      <c r="AP353" s="9"/>
      <c r="AQ353" s="22">
        <v>5.2795399999999999E-2</v>
      </c>
      <c r="AR353" s="22">
        <v>27.161100000000001</v>
      </c>
      <c r="AS353" s="22">
        <v>-1.4019800000000001E-2</v>
      </c>
      <c r="AT353" s="22">
        <v>343</v>
      </c>
      <c r="AU353" s="22">
        <v>5.2307100000000002E-2</v>
      </c>
      <c r="AV353">
        <f t="shared" si="68"/>
        <v>17.308395061728394</v>
      </c>
      <c r="AW353">
        <f t="shared" si="69"/>
        <v>0.91380364064197528</v>
      </c>
      <c r="AX353" s="9"/>
      <c r="AY353" s="22">
        <v>1.6272</v>
      </c>
      <c r="AZ353" s="22">
        <v>30.940100000000001</v>
      </c>
      <c r="BA353" s="22">
        <v>-7.9406700000000004E-3</v>
      </c>
      <c r="BB353" s="22">
        <v>343</v>
      </c>
      <c r="BC353" s="22">
        <v>1.62659</v>
      </c>
      <c r="BD353">
        <f t="shared" si="70"/>
        <v>9.8032962962962955</v>
      </c>
      <c r="BE353">
        <f t="shared" si="71"/>
        <v>15.951923733333333</v>
      </c>
    </row>
    <row r="354" spans="6:57">
      <c r="F354" s="9"/>
      <c r="G354" s="22">
        <v>4.7759999999999997E-2</v>
      </c>
      <c r="H354" s="22">
        <v>8.6547499999999999</v>
      </c>
      <c r="I354" s="22">
        <v>-1.3974E-2</v>
      </c>
      <c r="J354" s="22">
        <v>344</v>
      </c>
      <c r="K354" s="22">
        <v>4.7717299999999997E-2</v>
      </c>
      <c r="L354">
        <f t="shared" si="60"/>
        <v>17.251851851851853</v>
      </c>
      <c r="M354">
        <f t="shared" si="61"/>
        <v>0.82394844444444448</v>
      </c>
      <c r="N354" s="9"/>
      <c r="O354" s="22">
        <v>1.6322300000000001</v>
      </c>
      <c r="P354" s="22">
        <v>12.4337</v>
      </c>
      <c r="Q354" s="22">
        <v>-7.8002899999999997E-3</v>
      </c>
      <c r="R354" s="22">
        <v>344</v>
      </c>
      <c r="S354" s="22">
        <v>1.6311599999999999</v>
      </c>
      <c r="T354">
        <f t="shared" si="62"/>
        <v>9.6299876543209866</v>
      </c>
      <c r="U354">
        <f t="shared" si="63"/>
        <v>15.718354749012345</v>
      </c>
      <c r="X354" s="9"/>
      <c r="Y354" s="22">
        <v>4.7759999999999997E-2</v>
      </c>
      <c r="Z354" s="22">
        <v>17.945</v>
      </c>
      <c r="AA354" s="22">
        <v>-1.3986200000000001E-2</v>
      </c>
      <c r="AB354" s="22">
        <v>344</v>
      </c>
      <c r="AC354" s="22">
        <v>4.7738599999999999E-2</v>
      </c>
      <c r="AD354">
        <f t="shared" si="64"/>
        <v>17.266913580246914</v>
      </c>
      <c r="AE354">
        <f t="shared" si="65"/>
        <v>0.8246677925925926</v>
      </c>
      <c r="AF354" s="9"/>
      <c r="AG354" s="22">
        <v>1.6322300000000001</v>
      </c>
      <c r="AH354" s="22">
        <v>21.7239</v>
      </c>
      <c r="AI354" s="22">
        <v>-7.7026400000000002E-3</v>
      </c>
      <c r="AJ354" s="22">
        <v>344</v>
      </c>
      <c r="AK354" s="22">
        <v>1.6305499999999999</v>
      </c>
      <c r="AL354">
        <f t="shared" si="66"/>
        <v>9.5094320987654317</v>
      </c>
      <c r="AM354">
        <f t="shared" si="67"/>
        <v>15.521580354567901</v>
      </c>
      <c r="AP354" s="9"/>
      <c r="AQ354" s="22">
        <v>4.7759999999999997E-2</v>
      </c>
      <c r="AR354" s="22">
        <v>27.171199999999999</v>
      </c>
      <c r="AS354" s="22">
        <v>-1.40228E-2</v>
      </c>
      <c r="AT354" s="22">
        <v>344</v>
      </c>
      <c r="AU354" s="22">
        <v>4.7744799999999997E-2</v>
      </c>
      <c r="AV354">
        <f t="shared" si="68"/>
        <v>17.312098765432097</v>
      </c>
      <c r="AW354">
        <f t="shared" si="69"/>
        <v>0.82682583703703694</v>
      </c>
      <c r="AX354" s="9"/>
      <c r="AY354" s="22">
        <v>1.6322300000000001</v>
      </c>
      <c r="AZ354" s="22">
        <v>30.950099999999999</v>
      </c>
      <c r="BA354" s="22">
        <v>-7.66602E-3</v>
      </c>
      <c r="BB354" s="22">
        <v>344</v>
      </c>
      <c r="BC354" s="22">
        <v>1.63086</v>
      </c>
      <c r="BD354">
        <f t="shared" si="70"/>
        <v>9.4642222222222205</v>
      </c>
      <c r="BE354">
        <f t="shared" si="71"/>
        <v>15.447787437777775</v>
      </c>
    </row>
    <row r="355" spans="6:57">
      <c r="F355" s="9"/>
      <c r="G355" s="22">
        <v>4.2724600000000001E-2</v>
      </c>
      <c r="H355" s="22">
        <v>8.6648200000000006</v>
      </c>
      <c r="I355" s="22">
        <v>-1.3983199999999999E-2</v>
      </c>
      <c r="J355" s="22">
        <v>345</v>
      </c>
      <c r="K355" s="22">
        <v>4.2706300000000003E-2</v>
      </c>
      <c r="L355">
        <f t="shared" si="60"/>
        <v>17.263209876543208</v>
      </c>
      <c r="M355">
        <f t="shared" si="61"/>
        <v>0.737563736691358</v>
      </c>
      <c r="N355" s="9"/>
      <c r="O355" s="22">
        <v>1.63727</v>
      </c>
      <c r="P355" s="22">
        <v>12.4437</v>
      </c>
      <c r="Q355" s="22">
        <v>-7.51953E-3</v>
      </c>
      <c r="R355" s="22">
        <v>345</v>
      </c>
      <c r="S355" s="22">
        <v>1.63666</v>
      </c>
      <c r="T355">
        <f t="shared" si="62"/>
        <v>9.2833703703703687</v>
      </c>
      <c r="U355">
        <f t="shared" si="63"/>
        <v>15.199383806296293</v>
      </c>
      <c r="X355" s="9"/>
      <c r="Y355" s="22">
        <v>4.2724600000000001E-2</v>
      </c>
      <c r="Z355" s="22">
        <v>17.954999999999998</v>
      </c>
      <c r="AA355" s="22">
        <v>-1.39893E-2</v>
      </c>
      <c r="AB355" s="22">
        <v>345</v>
      </c>
      <c r="AC355" s="22">
        <v>4.2697100000000002E-2</v>
      </c>
      <c r="AD355">
        <f t="shared" si="64"/>
        <v>17.270740740740738</v>
      </c>
      <c r="AE355">
        <f t="shared" si="65"/>
        <v>0.73788548985185176</v>
      </c>
      <c r="AF355" s="9"/>
      <c r="AG355" s="22">
        <v>1.63727</v>
      </c>
      <c r="AH355" s="22">
        <v>21.733899999999998</v>
      </c>
      <c r="AI355" s="22">
        <v>-7.4005099999999999E-3</v>
      </c>
      <c r="AJ355" s="22">
        <v>345</v>
      </c>
      <c r="AK355" s="22">
        <v>1.63574</v>
      </c>
      <c r="AL355">
        <f t="shared" si="66"/>
        <v>9.1364320987654306</v>
      </c>
      <c r="AM355">
        <f t="shared" si="67"/>
        <v>14.958806182345677</v>
      </c>
      <c r="AP355" s="9"/>
      <c r="AQ355" s="22">
        <v>4.2724600000000001E-2</v>
      </c>
      <c r="AR355" s="22">
        <v>27.1813</v>
      </c>
      <c r="AS355" s="22">
        <v>-1.40228E-2</v>
      </c>
      <c r="AT355" s="22">
        <v>345</v>
      </c>
      <c r="AU355" s="22">
        <v>4.2678800000000003E-2</v>
      </c>
      <c r="AV355">
        <f t="shared" si="68"/>
        <v>17.312098765432097</v>
      </c>
      <c r="AW355">
        <f t="shared" si="69"/>
        <v>0.73965249491358021</v>
      </c>
      <c r="AX355" s="9"/>
      <c r="AY355" s="22">
        <v>1.63727</v>
      </c>
      <c r="AZ355" s="22">
        <v>30.9602</v>
      </c>
      <c r="BA355" s="22">
        <v>-7.3791500000000001E-3</v>
      </c>
      <c r="BB355" s="22">
        <v>345</v>
      </c>
      <c r="BC355" s="22">
        <v>1.63666</v>
      </c>
      <c r="BD355">
        <f t="shared" si="70"/>
        <v>9.1100617283950598</v>
      </c>
      <c r="BE355">
        <f t="shared" si="71"/>
        <v>14.915630766049379</v>
      </c>
    </row>
    <row r="356" spans="6:57">
      <c r="F356" s="9"/>
      <c r="G356" s="22">
        <v>3.7689199999999999E-2</v>
      </c>
      <c r="H356" s="22">
        <v>8.6748899999999995</v>
      </c>
      <c r="I356" s="22">
        <v>-1.3986200000000001E-2</v>
      </c>
      <c r="J356" s="22">
        <v>346</v>
      </c>
      <c r="K356" s="22">
        <v>3.7609900000000002E-2</v>
      </c>
      <c r="L356">
        <f t="shared" si="60"/>
        <v>17.266913580246914</v>
      </c>
      <c r="M356">
        <f t="shared" si="61"/>
        <v>0.65077615930864197</v>
      </c>
      <c r="N356" s="9"/>
      <c r="O356" s="22">
        <v>1.6423000000000001</v>
      </c>
      <c r="P356" s="22">
        <v>12.453799999999999</v>
      </c>
      <c r="Q356" s="22">
        <v>-7.2174099999999996E-3</v>
      </c>
      <c r="R356" s="22">
        <v>346</v>
      </c>
      <c r="S356" s="22">
        <v>1.64124</v>
      </c>
      <c r="T356">
        <f t="shared" si="62"/>
        <v>8.91038271604938</v>
      </c>
      <c r="U356">
        <f t="shared" si="63"/>
        <v>14.633521534567898</v>
      </c>
      <c r="X356" s="9"/>
      <c r="Y356" s="22">
        <v>3.7689199999999999E-2</v>
      </c>
      <c r="Z356" s="22">
        <v>17.9651</v>
      </c>
      <c r="AA356" s="22">
        <v>-1.3992299999999999E-2</v>
      </c>
      <c r="AB356" s="22">
        <v>346</v>
      </c>
      <c r="AC356" s="22">
        <v>3.76709E-2</v>
      </c>
      <c r="AD356">
        <f t="shared" si="64"/>
        <v>17.274444444444445</v>
      </c>
      <c r="AE356">
        <f t="shared" si="65"/>
        <v>0.6510599915555555</v>
      </c>
      <c r="AF356" s="9"/>
      <c r="AG356" s="22">
        <v>1.6423000000000001</v>
      </c>
      <c r="AH356" s="22">
        <v>21.744</v>
      </c>
      <c r="AI356" s="22">
        <v>-7.0861800000000001E-3</v>
      </c>
      <c r="AJ356" s="22">
        <v>346</v>
      </c>
      <c r="AK356" s="22">
        <v>1.64124</v>
      </c>
      <c r="AL356">
        <f t="shared" si="66"/>
        <v>8.7483703703703704</v>
      </c>
      <c r="AM356">
        <f t="shared" si="67"/>
        <v>14.36744865925926</v>
      </c>
      <c r="AP356" s="9"/>
      <c r="AQ356" s="22">
        <v>3.7689199999999999E-2</v>
      </c>
      <c r="AR356" s="22">
        <v>27.191299999999998</v>
      </c>
      <c r="AS356" s="22">
        <v>-1.40228E-2</v>
      </c>
      <c r="AT356" s="22">
        <v>346</v>
      </c>
      <c r="AU356" s="22">
        <v>3.7631199999999997E-2</v>
      </c>
      <c r="AV356">
        <f t="shared" si="68"/>
        <v>17.312098765432097</v>
      </c>
      <c r="AW356">
        <f t="shared" si="69"/>
        <v>0.65247915279012336</v>
      </c>
      <c r="AX356" s="9"/>
      <c r="AY356" s="22">
        <v>1.6423000000000001</v>
      </c>
      <c r="AZ356" s="22">
        <v>30.970300000000002</v>
      </c>
      <c r="BA356" s="22">
        <v>-7.0709199999999996E-3</v>
      </c>
      <c r="BB356" s="22">
        <v>346</v>
      </c>
      <c r="BC356" s="22">
        <v>1.64124</v>
      </c>
      <c r="BD356">
        <f t="shared" si="70"/>
        <v>8.72953086419753</v>
      </c>
      <c r="BE356">
        <f t="shared" si="71"/>
        <v>14.336508538271604</v>
      </c>
    </row>
    <row r="357" spans="6:57">
      <c r="F357" s="9"/>
      <c r="G357" s="22">
        <v>3.2653799999999997E-2</v>
      </c>
      <c r="H357" s="22">
        <v>8.6849600000000002</v>
      </c>
      <c r="I357" s="22">
        <v>-1.3992299999999999E-2</v>
      </c>
      <c r="J357" s="22">
        <v>347</v>
      </c>
      <c r="K357" s="22">
        <v>3.2577500000000002E-2</v>
      </c>
      <c r="L357">
        <f t="shared" si="60"/>
        <v>17.274444444444445</v>
      </c>
      <c r="M357">
        <f t="shared" si="61"/>
        <v>0.56407625399999994</v>
      </c>
      <c r="N357" s="9"/>
      <c r="O357" s="22">
        <v>1.64734</v>
      </c>
      <c r="P357" s="22">
        <v>12.463900000000001</v>
      </c>
      <c r="Q357" s="22">
        <v>-6.90918E-3</v>
      </c>
      <c r="R357" s="22">
        <v>347</v>
      </c>
      <c r="S357" s="22">
        <v>1.64673</v>
      </c>
      <c r="T357">
        <f t="shared" si="62"/>
        <v>8.5298518518518502</v>
      </c>
      <c r="U357">
        <f t="shared" si="63"/>
        <v>14.051566149629627</v>
      </c>
      <c r="X357" s="9"/>
      <c r="Y357" s="22">
        <v>3.2653799999999997E-2</v>
      </c>
      <c r="Z357" s="22">
        <v>17.975200000000001</v>
      </c>
      <c r="AA357" s="22">
        <v>-1.3992299999999999E-2</v>
      </c>
      <c r="AB357" s="22">
        <v>347</v>
      </c>
      <c r="AC357" s="22">
        <v>3.2592799999999998E-2</v>
      </c>
      <c r="AD357">
        <f t="shared" si="64"/>
        <v>17.274444444444445</v>
      </c>
      <c r="AE357">
        <f t="shared" si="65"/>
        <v>0.56407625399999994</v>
      </c>
      <c r="AF357" s="9"/>
      <c r="AG357" s="22">
        <v>1.64734</v>
      </c>
      <c r="AH357" s="22">
        <v>21.754100000000001</v>
      </c>
      <c r="AI357" s="22">
        <v>-6.7627E-3</v>
      </c>
      <c r="AJ357" s="22">
        <v>347</v>
      </c>
      <c r="AK357" s="22">
        <v>1.64673</v>
      </c>
      <c r="AL357">
        <f t="shared" si="66"/>
        <v>8.3490123456790126</v>
      </c>
      <c r="AM357">
        <f t="shared" si="67"/>
        <v>13.753661997530864</v>
      </c>
      <c r="AP357" s="9"/>
      <c r="AQ357" s="22">
        <v>3.2653799999999997E-2</v>
      </c>
      <c r="AR357" s="22">
        <v>27.2014</v>
      </c>
      <c r="AS357" s="22">
        <v>-1.4019800000000001E-2</v>
      </c>
      <c r="AT357" s="22">
        <v>347</v>
      </c>
      <c r="AU357" s="22">
        <v>3.2586700000000003E-2</v>
      </c>
      <c r="AV357">
        <f t="shared" si="68"/>
        <v>17.308395061728394</v>
      </c>
      <c r="AW357">
        <f t="shared" si="69"/>
        <v>0.56518487066666656</v>
      </c>
      <c r="AX357" s="9"/>
      <c r="AY357" s="22">
        <v>1.64734</v>
      </c>
      <c r="AZ357" s="22">
        <v>30.9803</v>
      </c>
      <c r="BA357" s="22">
        <v>-6.7443800000000003E-3</v>
      </c>
      <c r="BB357" s="22">
        <v>347</v>
      </c>
      <c r="BC357" s="22">
        <v>1.64642</v>
      </c>
      <c r="BD357">
        <f t="shared" si="70"/>
        <v>8.3263950617283946</v>
      </c>
      <c r="BE357">
        <f t="shared" si="71"/>
        <v>13.716403640987654</v>
      </c>
    </row>
    <row r="358" spans="6:57">
      <c r="F358" s="9"/>
      <c r="G358" s="22">
        <v>2.7618400000000001E-2</v>
      </c>
      <c r="H358" s="22">
        <v>8.6950299999999991</v>
      </c>
      <c r="I358" s="22">
        <v>-1.3992299999999999E-2</v>
      </c>
      <c r="J358" s="22">
        <v>348</v>
      </c>
      <c r="K358" s="22">
        <v>2.7523800000000001E-2</v>
      </c>
      <c r="L358">
        <f t="shared" si="60"/>
        <v>17.274444444444445</v>
      </c>
      <c r="M358">
        <f t="shared" si="61"/>
        <v>0.47709251644444445</v>
      </c>
      <c r="N358" s="9"/>
      <c r="O358" s="22">
        <v>1.6523699999999999</v>
      </c>
      <c r="P358" s="22">
        <v>12.4739</v>
      </c>
      <c r="Q358" s="22">
        <v>-6.5643300000000002E-3</v>
      </c>
      <c r="R358" s="22">
        <v>348</v>
      </c>
      <c r="S358" s="22">
        <v>1.6513100000000001</v>
      </c>
      <c r="T358">
        <f t="shared" si="62"/>
        <v>8.104111111111111</v>
      </c>
      <c r="U358">
        <f t="shared" si="63"/>
        <v>13.390990076666666</v>
      </c>
      <c r="X358" s="9"/>
      <c r="Y358" s="22">
        <v>2.7618400000000001E-2</v>
      </c>
      <c r="Z358" s="22">
        <v>17.985299999999999</v>
      </c>
      <c r="AA358" s="22">
        <v>-1.39893E-2</v>
      </c>
      <c r="AB358" s="22">
        <v>348</v>
      </c>
      <c r="AC358" s="22">
        <v>2.75146E-2</v>
      </c>
      <c r="AD358">
        <f t="shared" si="64"/>
        <v>17.270740740740738</v>
      </c>
      <c r="AE358">
        <f t="shared" si="65"/>
        <v>0.47699022607407404</v>
      </c>
      <c r="AF358" s="9"/>
      <c r="AG358" s="22">
        <v>1.6523699999999999</v>
      </c>
      <c r="AH358" s="22">
        <v>21.764199999999999</v>
      </c>
      <c r="AI358" s="22">
        <v>-6.4178500000000001E-3</v>
      </c>
      <c r="AJ358" s="22">
        <v>348</v>
      </c>
      <c r="AK358" s="22">
        <v>1.651</v>
      </c>
      <c r="AL358">
        <f t="shared" si="66"/>
        <v>7.9232716049382708</v>
      </c>
      <c r="AM358">
        <f t="shared" si="67"/>
        <v>13.09217630185185</v>
      </c>
      <c r="AP358" s="9"/>
      <c r="AQ358" s="22">
        <v>2.7618400000000001E-2</v>
      </c>
      <c r="AR358" s="22">
        <v>27.211500000000001</v>
      </c>
      <c r="AS358" s="22">
        <v>-1.40167E-2</v>
      </c>
      <c r="AT358" s="22">
        <v>348</v>
      </c>
      <c r="AU358" s="22">
        <v>2.7560399999999999E-2</v>
      </c>
      <c r="AV358">
        <f t="shared" si="68"/>
        <v>17.304567901234567</v>
      </c>
      <c r="AW358">
        <f t="shared" si="69"/>
        <v>0.47792447812345679</v>
      </c>
      <c r="AX358" s="9"/>
      <c r="AY358" s="22">
        <v>1.6523699999999999</v>
      </c>
      <c r="AZ358" s="22">
        <v>30.990400000000001</v>
      </c>
      <c r="BA358" s="22">
        <v>-6.3903800000000002E-3</v>
      </c>
      <c r="BB358" s="22">
        <v>348</v>
      </c>
      <c r="BC358" s="22">
        <v>1.6519200000000001</v>
      </c>
      <c r="BD358">
        <f t="shared" si="70"/>
        <v>7.8893580246913571</v>
      </c>
      <c r="BE358">
        <f t="shared" si="71"/>
        <v>13.036138519259257</v>
      </c>
    </row>
    <row r="359" spans="6:57">
      <c r="F359" s="9"/>
      <c r="G359" s="22">
        <v>2.2582999999999999E-2</v>
      </c>
      <c r="H359" s="22">
        <v>8.7050999999999998</v>
      </c>
      <c r="I359" s="22">
        <v>-1.39893E-2</v>
      </c>
      <c r="J359" s="22">
        <v>349</v>
      </c>
      <c r="K359" s="22">
        <v>2.2451800000000001E-2</v>
      </c>
      <c r="L359">
        <f t="shared" si="60"/>
        <v>17.270740740740738</v>
      </c>
      <c r="M359">
        <f t="shared" si="61"/>
        <v>0.39002513814814804</v>
      </c>
      <c r="N359" s="9"/>
      <c r="O359" s="22">
        <v>1.65741</v>
      </c>
      <c r="P359" s="22">
        <v>12.484</v>
      </c>
      <c r="Q359" s="22">
        <v>-6.2011699999999998E-3</v>
      </c>
      <c r="R359" s="22">
        <v>349</v>
      </c>
      <c r="S359" s="22">
        <v>1.65649</v>
      </c>
      <c r="T359">
        <f t="shared" si="62"/>
        <v>7.6557654320987645</v>
      </c>
      <c r="U359">
        <f t="shared" si="63"/>
        <v>12.688742184814814</v>
      </c>
      <c r="X359" s="9"/>
      <c r="Y359" s="22">
        <v>2.2582999999999999E-2</v>
      </c>
      <c r="Z359" s="22">
        <v>17.9953</v>
      </c>
      <c r="AA359" s="22">
        <v>-1.39893E-2</v>
      </c>
      <c r="AB359" s="22">
        <v>349</v>
      </c>
      <c r="AC359" s="22">
        <v>2.24976E-2</v>
      </c>
      <c r="AD359">
        <f t="shared" si="64"/>
        <v>17.270740740740738</v>
      </c>
      <c r="AE359">
        <f t="shared" si="65"/>
        <v>0.39002513814814804</v>
      </c>
      <c r="AF359" s="9"/>
      <c r="AG359" s="22">
        <v>1.65741</v>
      </c>
      <c r="AH359" s="22">
        <v>21.7742</v>
      </c>
      <c r="AI359" s="22">
        <v>-6.0455300000000003E-3</v>
      </c>
      <c r="AJ359" s="22">
        <v>349</v>
      </c>
      <c r="AK359" s="22">
        <v>1.6561900000000001</v>
      </c>
      <c r="AL359">
        <f t="shared" si="66"/>
        <v>7.463617283950617</v>
      </c>
      <c r="AM359">
        <f t="shared" si="67"/>
        <v>12.370273922592592</v>
      </c>
      <c r="AP359" s="9"/>
      <c r="AQ359" s="22">
        <v>2.2582999999999999E-2</v>
      </c>
      <c r="AR359" s="22">
        <v>27.221499999999999</v>
      </c>
      <c r="AS359" s="22">
        <v>-1.40137E-2</v>
      </c>
      <c r="AT359" s="22">
        <v>349</v>
      </c>
      <c r="AU359" s="22">
        <v>2.2491500000000001E-2</v>
      </c>
      <c r="AV359">
        <f t="shared" si="68"/>
        <v>17.300864197530863</v>
      </c>
      <c r="AW359">
        <f t="shared" si="69"/>
        <v>0.39070541617283949</v>
      </c>
      <c r="AX359" s="9"/>
      <c r="AY359" s="22">
        <v>1.65741</v>
      </c>
      <c r="AZ359" s="22">
        <v>31.000499999999999</v>
      </c>
      <c r="BA359" s="22">
        <v>-6.00586E-3</v>
      </c>
      <c r="BB359" s="22">
        <v>349</v>
      </c>
      <c r="BC359" s="22">
        <v>1.6561900000000001</v>
      </c>
      <c r="BD359">
        <f t="shared" si="70"/>
        <v>7.4146419753086414</v>
      </c>
      <c r="BE359">
        <f t="shared" si="71"/>
        <v>12.289101756296295</v>
      </c>
    </row>
    <row r="360" spans="6:57">
      <c r="F360" s="9"/>
      <c r="G360" s="22">
        <v>1.75476E-2</v>
      </c>
      <c r="H360" s="22">
        <v>8.7151700000000005</v>
      </c>
      <c r="I360" s="22">
        <v>-1.39893E-2</v>
      </c>
      <c r="J360" s="22">
        <v>350</v>
      </c>
      <c r="K360" s="22">
        <v>1.7392000000000001E-2</v>
      </c>
      <c r="L360">
        <f t="shared" si="60"/>
        <v>17.270740740740738</v>
      </c>
      <c r="M360">
        <f t="shared" si="61"/>
        <v>0.30306005022222215</v>
      </c>
      <c r="N360" s="9"/>
      <c r="O360" s="22">
        <v>1.66245</v>
      </c>
      <c r="P360" s="22">
        <v>12.4941</v>
      </c>
      <c r="Q360" s="22">
        <v>-5.8075000000000002E-3</v>
      </c>
      <c r="R360" s="22">
        <v>350</v>
      </c>
      <c r="S360" s="22">
        <v>1.6613800000000001</v>
      </c>
      <c r="T360">
        <f t="shared" si="62"/>
        <v>7.1697530864197523</v>
      </c>
      <c r="U360">
        <f t="shared" si="63"/>
        <v>11.919356018518517</v>
      </c>
      <c r="X360" s="9"/>
      <c r="Y360" s="22">
        <v>1.75476E-2</v>
      </c>
      <c r="Z360" s="22">
        <v>18.005400000000002</v>
      </c>
      <c r="AA360" s="22">
        <v>-1.3992299999999999E-2</v>
      </c>
      <c r="AB360" s="22">
        <v>350</v>
      </c>
      <c r="AC360" s="22">
        <v>1.74133E-2</v>
      </c>
      <c r="AD360">
        <f t="shared" si="64"/>
        <v>17.274444444444445</v>
      </c>
      <c r="AE360">
        <f t="shared" si="65"/>
        <v>0.30312504133333334</v>
      </c>
      <c r="AF360" s="9"/>
      <c r="AG360" s="22">
        <v>1.66245</v>
      </c>
      <c r="AH360" s="22">
        <v>21.784300000000002</v>
      </c>
      <c r="AI360" s="22">
        <v>-5.6457499999999997E-3</v>
      </c>
      <c r="AJ360" s="22">
        <v>350</v>
      </c>
      <c r="AK360" s="22">
        <v>1.6607700000000001</v>
      </c>
      <c r="AL360">
        <f t="shared" si="66"/>
        <v>6.970061728395061</v>
      </c>
      <c r="AM360">
        <f t="shared" si="67"/>
        <v>11.587379120370368</v>
      </c>
      <c r="AP360" s="9"/>
      <c r="AQ360" s="22">
        <v>1.75476E-2</v>
      </c>
      <c r="AR360" s="22">
        <v>27.2316</v>
      </c>
      <c r="AS360" s="22">
        <v>-1.40137E-2</v>
      </c>
      <c r="AT360" s="22">
        <v>350</v>
      </c>
      <c r="AU360" s="22">
        <v>1.7428599999999999E-2</v>
      </c>
      <c r="AV360">
        <f t="shared" si="68"/>
        <v>17.300864197530863</v>
      </c>
      <c r="AW360">
        <f t="shared" si="69"/>
        <v>0.3035886445925926</v>
      </c>
      <c r="AX360" s="9"/>
      <c r="AY360" s="22">
        <v>1.66245</v>
      </c>
      <c r="AZ360" s="22">
        <v>31.0106</v>
      </c>
      <c r="BA360" s="22">
        <v>-5.5999800000000001E-3</v>
      </c>
      <c r="BB360" s="22">
        <v>350</v>
      </c>
      <c r="BC360" s="22">
        <v>1.66168</v>
      </c>
      <c r="BD360">
        <f t="shared" si="70"/>
        <v>6.9135555555555559</v>
      </c>
      <c r="BE360">
        <f t="shared" si="71"/>
        <v>11.493440433333333</v>
      </c>
    </row>
    <row r="361" spans="6:57">
      <c r="F361" s="9"/>
      <c r="G361" s="22">
        <v>1.2512199999999999E-2</v>
      </c>
      <c r="H361" s="22">
        <v>8.7252399999999994</v>
      </c>
      <c r="I361" s="22">
        <v>-1.3986200000000001E-2</v>
      </c>
      <c r="J361" s="22">
        <v>351</v>
      </c>
      <c r="K361" s="22">
        <v>1.2445100000000001E-2</v>
      </c>
      <c r="L361">
        <f t="shared" si="60"/>
        <v>17.266913580246914</v>
      </c>
      <c r="M361">
        <f t="shared" si="61"/>
        <v>0.21604707609876542</v>
      </c>
      <c r="N361" s="9"/>
      <c r="O361" s="22">
        <v>1.6674800000000001</v>
      </c>
      <c r="P361" s="22">
        <v>12.504200000000001</v>
      </c>
      <c r="Q361" s="22">
        <v>-5.3863499999999998E-3</v>
      </c>
      <c r="R361" s="22">
        <v>351</v>
      </c>
      <c r="S361" s="22">
        <v>1.66656</v>
      </c>
      <c r="T361">
        <f t="shared" si="62"/>
        <v>6.649814814814814</v>
      </c>
      <c r="U361">
        <f t="shared" si="63"/>
        <v>11.088433207407407</v>
      </c>
      <c r="X361" s="9"/>
      <c r="Y361" s="22">
        <v>1.2512199999999999E-2</v>
      </c>
      <c r="Z361" s="22">
        <v>18.015499999999999</v>
      </c>
      <c r="AA361" s="22">
        <v>-1.3998399999999999E-2</v>
      </c>
      <c r="AB361" s="22">
        <v>351</v>
      </c>
      <c r="AC361" s="22">
        <v>1.2423699999999999E-2</v>
      </c>
      <c r="AD361">
        <f t="shared" si="64"/>
        <v>17.281975308641975</v>
      </c>
      <c r="AE361">
        <f t="shared" si="65"/>
        <v>0.21623553145679011</v>
      </c>
      <c r="AF361" s="9"/>
      <c r="AG361" s="22">
        <v>1.6674800000000001</v>
      </c>
      <c r="AH361" s="22">
        <v>21.7944</v>
      </c>
      <c r="AI361" s="22">
        <v>-5.2002000000000003E-3</v>
      </c>
      <c r="AJ361" s="22">
        <v>351</v>
      </c>
      <c r="AK361" s="22">
        <v>1.6662600000000001</v>
      </c>
      <c r="AL361">
        <f t="shared" si="66"/>
        <v>6.42</v>
      </c>
      <c r="AM361">
        <f t="shared" si="67"/>
        <v>10.7052216</v>
      </c>
      <c r="AP361" s="9"/>
      <c r="AQ361" s="22">
        <v>1.2512199999999999E-2</v>
      </c>
      <c r="AR361" s="22">
        <v>27.241700000000002</v>
      </c>
      <c r="AS361" s="22">
        <v>-1.40167E-2</v>
      </c>
      <c r="AT361" s="22">
        <v>351</v>
      </c>
      <c r="AU361" s="22">
        <v>1.24359E-2</v>
      </c>
      <c r="AV361">
        <f t="shared" si="68"/>
        <v>17.304567901234567</v>
      </c>
      <c r="AW361">
        <f t="shared" si="69"/>
        <v>0.21651821449382713</v>
      </c>
      <c r="AX361" s="9"/>
      <c r="AY361" s="22">
        <v>1.6674800000000001</v>
      </c>
      <c r="AZ361" s="22">
        <v>31.020600000000002</v>
      </c>
      <c r="BA361" s="22">
        <v>-5.1513699999999997E-3</v>
      </c>
      <c r="BB361" s="22">
        <v>351</v>
      </c>
      <c r="BC361" s="22">
        <v>1.66656</v>
      </c>
      <c r="BD361">
        <f t="shared" si="70"/>
        <v>6.3597160493827154</v>
      </c>
      <c r="BE361">
        <f t="shared" si="71"/>
        <v>10.604699318024691</v>
      </c>
    </row>
    <row r="362" spans="6:57">
      <c r="F362" s="9"/>
      <c r="G362" s="22">
        <v>7.4768100000000004E-3</v>
      </c>
      <c r="H362" s="22">
        <v>8.7353199999999998</v>
      </c>
      <c r="I362" s="22">
        <v>-1.3986200000000001E-2</v>
      </c>
      <c r="J362" s="22">
        <v>352</v>
      </c>
      <c r="K362" s="22">
        <v>7.3577900000000003E-3</v>
      </c>
      <c r="L362">
        <f t="shared" si="60"/>
        <v>17.266913580246914</v>
      </c>
      <c r="M362">
        <f t="shared" si="61"/>
        <v>0.12910143212592592</v>
      </c>
      <c r="N362" s="9"/>
      <c r="O362" s="22">
        <v>1.67252</v>
      </c>
      <c r="P362" s="22">
        <v>12.514200000000001</v>
      </c>
      <c r="Q362" s="22">
        <v>-4.9243200000000003E-3</v>
      </c>
      <c r="R362" s="22">
        <v>352</v>
      </c>
      <c r="S362" s="22">
        <v>1.6717500000000001</v>
      </c>
      <c r="T362">
        <f t="shared" si="62"/>
        <v>6.0794074074074071</v>
      </c>
      <c r="U362">
        <f t="shared" si="63"/>
        <v>10.167930477037036</v>
      </c>
      <c r="X362" s="9"/>
      <c r="Y362" s="22">
        <v>7.4768100000000004E-3</v>
      </c>
      <c r="Z362" s="22">
        <v>18.025500000000001</v>
      </c>
      <c r="AA362" s="22">
        <v>-1.40045E-2</v>
      </c>
      <c r="AB362" s="22">
        <v>352</v>
      </c>
      <c r="AC362" s="22">
        <v>7.3822000000000002E-3</v>
      </c>
      <c r="AD362">
        <f t="shared" si="64"/>
        <v>17.289506172839506</v>
      </c>
      <c r="AE362">
        <f t="shared" si="65"/>
        <v>0.12927035264814815</v>
      </c>
      <c r="AF362" s="9"/>
      <c r="AG362" s="22">
        <v>1.67252</v>
      </c>
      <c r="AH362" s="22">
        <v>21.804400000000001</v>
      </c>
      <c r="AI362" s="22">
        <v>-4.7366300000000004E-3</v>
      </c>
      <c r="AJ362" s="22">
        <v>352</v>
      </c>
      <c r="AK362" s="22">
        <v>1.6720600000000001</v>
      </c>
      <c r="AL362">
        <f t="shared" si="66"/>
        <v>5.8476913580246919</v>
      </c>
      <c r="AM362">
        <f t="shared" si="67"/>
        <v>9.7803807501234576</v>
      </c>
      <c r="AP362" s="9"/>
      <c r="AQ362" s="22">
        <v>7.4768100000000004E-3</v>
      </c>
      <c r="AR362" s="22">
        <v>27.251799999999999</v>
      </c>
      <c r="AS362" s="22">
        <v>-1.40167E-2</v>
      </c>
      <c r="AT362" s="22">
        <v>352</v>
      </c>
      <c r="AU362" s="22">
        <v>7.34558E-3</v>
      </c>
      <c r="AV362">
        <f t="shared" si="68"/>
        <v>17.304567901234567</v>
      </c>
      <c r="AW362">
        <f t="shared" si="69"/>
        <v>0.12938296632962962</v>
      </c>
      <c r="AX362" s="9"/>
      <c r="AY362" s="22">
        <v>1.67252</v>
      </c>
      <c r="AZ362" s="22">
        <v>31.0307</v>
      </c>
      <c r="BA362" s="22">
        <v>-4.6688800000000003E-3</v>
      </c>
      <c r="BB362" s="22">
        <v>352</v>
      </c>
      <c r="BC362" s="22">
        <v>1.6714500000000001</v>
      </c>
      <c r="BD362">
        <f t="shared" si="70"/>
        <v>5.7640493827160491</v>
      </c>
      <c r="BE362">
        <f t="shared" si="71"/>
        <v>9.6404878735802466</v>
      </c>
    </row>
    <row r="363" spans="6:57">
      <c r="F363" s="9"/>
      <c r="G363" s="22">
        <v>2.4414100000000002E-3</v>
      </c>
      <c r="H363" s="22">
        <v>8.7453900000000004</v>
      </c>
      <c r="I363" s="22">
        <v>-1.3986200000000001E-2</v>
      </c>
      <c r="J363" s="22">
        <v>353</v>
      </c>
      <c r="K363" s="22">
        <v>2.3529100000000002E-3</v>
      </c>
      <c r="L363">
        <f t="shared" si="60"/>
        <v>17.266913580246914</v>
      </c>
      <c r="M363">
        <f t="shared" si="61"/>
        <v>4.2155615483950623E-2</v>
      </c>
      <c r="N363" s="9"/>
      <c r="O363" s="22">
        <v>1.6775500000000001</v>
      </c>
      <c r="P363" s="22">
        <v>12.5243</v>
      </c>
      <c r="Q363" s="22">
        <v>-4.4418299999999999E-3</v>
      </c>
      <c r="R363" s="22">
        <v>353</v>
      </c>
      <c r="S363" s="22">
        <v>1.6769400000000001</v>
      </c>
      <c r="T363">
        <f t="shared" si="62"/>
        <v>5.4837407407407408</v>
      </c>
      <c r="U363">
        <f t="shared" si="63"/>
        <v>9.1992492796296297</v>
      </c>
      <c r="X363" s="9"/>
      <c r="Y363" s="22">
        <v>2.4414100000000002E-3</v>
      </c>
      <c r="Z363" s="22">
        <v>18.035599999999999</v>
      </c>
      <c r="AA363" s="22">
        <v>-1.40076E-2</v>
      </c>
      <c r="AB363" s="22">
        <v>353</v>
      </c>
      <c r="AC363" s="22">
        <v>2.3529100000000002E-3</v>
      </c>
      <c r="AD363">
        <f t="shared" si="64"/>
        <v>17.293333333333333</v>
      </c>
      <c r="AE363">
        <f t="shared" si="65"/>
        <v>4.2220116933333336E-2</v>
      </c>
      <c r="AF363" s="9"/>
      <c r="AG363" s="22">
        <v>1.6775500000000001</v>
      </c>
      <c r="AH363" s="22">
        <v>21.814499999999999</v>
      </c>
      <c r="AI363" s="22">
        <v>-4.22333E-3</v>
      </c>
      <c r="AJ363" s="22">
        <v>353</v>
      </c>
      <c r="AK363" s="22">
        <v>1.6766399999999999</v>
      </c>
      <c r="AL363">
        <f t="shared" si="66"/>
        <v>5.2139876543209871</v>
      </c>
      <c r="AM363">
        <f t="shared" si="67"/>
        <v>8.7467249895061716</v>
      </c>
      <c r="AP363" s="9"/>
      <c r="AQ363" s="22">
        <v>2.4414100000000002E-3</v>
      </c>
      <c r="AR363" s="22">
        <v>27.261800000000001</v>
      </c>
      <c r="AS363" s="22">
        <v>-1.4025900000000001E-2</v>
      </c>
      <c r="AT363" s="22">
        <v>353</v>
      </c>
      <c r="AU363" s="22">
        <v>2.3529100000000002E-3</v>
      </c>
      <c r="AV363">
        <f t="shared" si="68"/>
        <v>17.315925925925924</v>
      </c>
      <c r="AW363">
        <f t="shared" si="69"/>
        <v>4.2275274714814813E-2</v>
      </c>
      <c r="AX363" s="9"/>
      <c r="AY363" s="22">
        <v>1.6775500000000001</v>
      </c>
      <c r="AZ363" s="22">
        <v>31.040800000000001</v>
      </c>
      <c r="BA363" s="22">
        <v>-4.1400100000000004E-3</v>
      </c>
      <c r="BB363" s="22">
        <v>353</v>
      </c>
      <c r="BC363" s="22">
        <v>1.6766399999999999</v>
      </c>
      <c r="BD363">
        <f t="shared" si="70"/>
        <v>5.1111234567901231</v>
      </c>
      <c r="BE363">
        <f t="shared" si="71"/>
        <v>8.5741651549382709</v>
      </c>
    </row>
    <row r="364" spans="6:57">
      <c r="F364" s="9"/>
      <c r="G364" s="22">
        <v>-2.59399E-3</v>
      </c>
      <c r="H364" s="22">
        <v>8.7554599999999994</v>
      </c>
      <c r="I364" s="22">
        <v>-1.39893E-2</v>
      </c>
      <c r="J364" s="22">
        <v>354</v>
      </c>
      <c r="K364" s="22">
        <v>-2.7801499999999999E-3</v>
      </c>
      <c r="L364">
        <f t="shared" si="60"/>
        <v>17.270740740740738</v>
      </c>
      <c r="M364">
        <f t="shared" si="61"/>
        <v>-4.480012877407407E-2</v>
      </c>
      <c r="N364" s="9"/>
      <c r="O364" s="22">
        <v>1.68259</v>
      </c>
      <c r="P364" s="22">
        <v>12.5344</v>
      </c>
      <c r="Q364" s="22">
        <v>-3.90625E-3</v>
      </c>
      <c r="R364" s="22">
        <v>354</v>
      </c>
      <c r="S364" s="22">
        <v>1.6815199999999999</v>
      </c>
      <c r="T364">
        <f t="shared" si="62"/>
        <v>4.8225308641975309</v>
      </c>
      <c r="U364">
        <f t="shared" si="63"/>
        <v>8.1143422067901234</v>
      </c>
      <c r="X364" s="9"/>
      <c r="Y364" s="22">
        <v>-2.59399E-3</v>
      </c>
      <c r="Z364" s="22">
        <v>18.0457</v>
      </c>
      <c r="AA364" s="22">
        <v>-1.40106E-2</v>
      </c>
      <c r="AB364" s="22">
        <v>354</v>
      </c>
      <c r="AC364" s="22">
        <v>-2.7740500000000001E-3</v>
      </c>
      <c r="AD364">
        <f t="shared" si="64"/>
        <v>17.297037037037036</v>
      </c>
      <c r="AE364">
        <f t="shared" si="65"/>
        <v>-4.4868341103703704E-2</v>
      </c>
      <c r="AF364" s="9"/>
      <c r="AG364" s="22">
        <v>1.68259</v>
      </c>
      <c r="AH364" s="22">
        <v>21.8246</v>
      </c>
      <c r="AI364" s="22">
        <v>-3.66272E-3</v>
      </c>
      <c r="AJ364" s="22">
        <v>354</v>
      </c>
      <c r="AK364" s="22">
        <v>1.6818200000000001</v>
      </c>
      <c r="AL364">
        <f t="shared" si="66"/>
        <v>4.5218765432098769</v>
      </c>
      <c r="AM364">
        <f t="shared" si="67"/>
        <v>7.6084642528395072</v>
      </c>
      <c r="AP364" s="9"/>
      <c r="AQ364" s="22">
        <v>-2.59399E-3</v>
      </c>
      <c r="AR364" s="22">
        <v>27.271899999999999</v>
      </c>
      <c r="AS364" s="22">
        <v>-1.40289E-2</v>
      </c>
      <c r="AT364" s="22">
        <v>354</v>
      </c>
      <c r="AU364" s="22">
        <v>-2.7496299999999999E-3</v>
      </c>
      <c r="AV364">
        <f t="shared" si="68"/>
        <v>17.319629629629631</v>
      </c>
      <c r="AW364">
        <f t="shared" si="69"/>
        <v>-4.4926946062962964E-2</v>
      </c>
      <c r="AX364" s="9"/>
      <c r="AY364" s="22">
        <v>1.68259</v>
      </c>
      <c r="AZ364" s="22">
        <v>31.050799999999999</v>
      </c>
      <c r="BA364" s="22">
        <v>-3.5708599999999999E-3</v>
      </c>
      <c r="BB364" s="22">
        <v>354</v>
      </c>
      <c r="BC364" s="22">
        <v>1.6818200000000001</v>
      </c>
      <c r="BD364">
        <f t="shared" si="70"/>
        <v>4.408469135802469</v>
      </c>
      <c r="BE364">
        <f t="shared" si="71"/>
        <v>7.4176460832098767</v>
      </c>
    </row>
    <row r="365" spans="6:57">
      <c r="F365" s="9"/>
      <c r="G365" s="22">
        <v>-7.6293899999999998E-3</v>
      </c>
      <c r="H365" s="22">
        <v>8.76553</v>
      </c>
      <c r="I365" s="22">
        <v>-1.39893E-2</v>
      </c>
      <c r="J365" s="22">
        <v>355</v>
      </c>
      <c r="K365" s="22">
        <v>-7.7606200000000002E-3</v>
      </c>
      <c r="L365">
        <f t="shared" si="60"/>
        <v>17.270740740740738</v>
      </c>
      <c r="M365">
        <f t="shared" si="61"/>
        <v>-0.13176521669999997</v>
      </c>
      <c r="N365" s="9"/>
      <c r="O365" s="22">
        <v>1.6876199999999999</v>
      </c>
      <c r="P365" s="22">
        <v>12.5444</v>
      </c>
      <c r="Q365" s="22">
        <v>-3.33191E-3</v>
      </c>
      <c r="R365" s="22">
        <v>355</v>
      </c>
      <c r="S365" s="22">
        <v>1.6863999999999999</v>
      </c>
      <c r="T365">
        <f t="shared" si="62"/>
        <v>4.1134691358024691</v>
      </c>
      <c r="U365">
        <f t="shared" si="63"/>
        <v>6.9419727829629627</v>
      </c>
      <c r="X365" s="9"/>
      <c r="Y365" s="22">
        <v>-7.6293899999999998E-3</v>
      </c>
      <c r="Z365" s="22">
        <v>18.055800000000001</v>
      </c>
      <c r="AA365" s="22">
        <v>-1.40167E-2</v>
      </c>
      <c r="AB365" s="22">
        <v>355</v>
      </c>
      <c r="AC365" s="22">
        <v>-7.8094499999999999E-3</v>
      </c>
      <c r="AD365">
        <f t="shared" si="64"/>
        <v>17.304567901234567</v>
      </c>
      <c r="AE365">
        <f t="shared" si="65"/>
        <v>-0.13202329729999998</v>
      </c>
      <c r="AF365" s="9"/>
      <c r="AG365" s="22">
        <v>1.6876199999999999</v>
      </c>
      <c r="AH365" s="22">
        <v>21.834700000000002</v>
      </c>
      <c r="AI365" s="22">
        <v>-3.0599999999999998E-3</v>
      </c>
      <c r="AJ365" s="22">
        <v>355</v>
      </c>
      <c r="AK365" s="22">
        <v>1.6870099999999999</v>
      </c>
      <c r="AL365">
        <f t="shared" si="66"/>
        <v>3.7777777777777777</v>
      </c>
      <c r="AM365">
        <f t="shared" si="67"/>
        <v>6.3754533333333328</v>
      </c>
      <c r="AP365" s="9"/>
      <c r="AQ365" s="22">
        <v>-7.6293899999999998E-3</v>
      </c>
      <c r="AR365" s="22">
        <v>27.282</v>
      </c>
      <c r="AS365" s="22">
        <v>-1.4035000000000001E-2</v>
      </c>
      <c r="AT365" s="22">
        <v>355</v>
      </c>
      <c r="AU365" s="22">
        <v>-7.8063999999999998E-3</v>
      </c>
      <c r="AV365">
        <f t="shared" si="68"/>
        <v>17.327160493827162</v>
      </c>
      <c r="AW365">
        <f t="shared" si="69"/>
        <v>-0.13219566500000002</v>
      </c>
      <c r="AX365" s="9"/>
      <c r="AY365" s="22">
        <v>1.6876199999999999</v>
      </c>
      <c r="AZ365" s="22">
        <v>31.0609</v>
      </c>
      <c r="BA365" s="22">
        <v>-2.9489099999999999E-3</v>
      </c>
      <c r="BB365" s="22">
        <v>355</v>
      </c>
      <c r="BC365" s="22">
        <v>1.6863999999999999</v>
      </c>
      <c r="BD365">
        <f t="shared" si="70"/>
        <v>3.640629629629629</v>
      </c>
      <c r="BE365">
        <f t="shared" si="71"/>
        <v>6.1439993755555538</v>
      </c>
    </row>
    <row r="366" spans="6:57">
      <c r="F366" s="9"/>
      <c r="G366" s="22">
        <v>-1.26648E-2</v>
      </c>
      <c r="H366" s="22">
        <v>8.7756000000000007</v>
      </c>
      <c r="I366" s="22">
        <v>-1.3992299999999999E-2</v>
      </c>
      <c r="J366" s="22">
        <v>356</v>
      </c>
      <c r="K366" s="22">
        <v>-1.2847900000000001E-2</v>
      </c>
      <c r="L366">
        <f t="shared" si="60"/>
        <v>17.274444444444445</v>
      </c>
      <c r="M366">
        <f t="shared" si="61"/>
        <v>-0.21877738400000002</v>
      </c>
      <c r="N366" s="9"/>
      <c r="O366" s="22">
        <v>1.6926600000000001</v>
      </c>
      <c r="P366" s="22">
        <v>12.554500000000001</v>
      </c>
      <c r="Q366" s="22">
        <v>-2.7032499999999999E-3</v>
      </c>
      <c r="R366" s="22">
        <v>356</v>
      </c>
      <c r="S366" s="22">
        <v>1.6918899999999999</v>
      </c>
      <c r="T366">
        <f t="shared" si="62"/>
        <v>3.3373456790123455</v>
      </c>
      <c r="U366">
        <f t="shared" si="63"/>
        <v>5.6489915370370367</v>
      </c>
      <c r="X366" s="9"/>
      <c r="Y366" s="22">
        <v>-1.26648E-2</v>
      </c>
      <c r="Z366" s="22">
        <v>18.065799999999999</v>
      </c>
      <c r="AA366" s="22">
        <v>-1.4019800000000001E-2</v>
      </c>
      <c r="AB366" s="22">
        <v>356</v>
      </c>
      <c r="AC366" s="22">
        <v>-1.28754E-2</v>
      </c>
      <c r="AD366">
        <f t="shared" si="64"/>
        <v>17.308395061728394</v>
      </c>
      <c r="AE366">
        <f t="shared" si="65"/>
        <v>-0.21920736177777778</v>
      </c>
      <c r="AF366" s="9"/>
      <c r="AG366" s="22">
        <v>1.6926600000000001</v>
      </c>
      <c r="AH366" s="22">
        <v>21.8447</v>
      </c>
      <c r="AI366" s="22">
        <v>-2.4172999999999998E-3</v>
      </c>
      <c r="AJ366" s="22">
        <v>356</v>
      </c>
      <c r="AK366" s="22">
        <v>1.6915899999999999</v>
      </c>
      <c r="AL366">
        <f t="shared" si="66"/>
        <v>2.9843209876543209</v>
      </c>
      <c r="AM366">
        <f t="shared" si="67"/>
        <v>5.0514407629629625</v>
      </c>
      <c r="AP366" s="9"/>
      <c r="AQ366" s="22">
        <v>-1.26648E-2</v>
      </c>
      <c r="AR366" s="22">
        <v>27.292000000000002</v>
      </c>
      <c r="AS366" s="22">
        <v>-1.4041100000000001E-2</v>
      </c>
      <c r="AT366" s="22">
        <v>356</v>
      </c>
      <c r="AU366" s="22">
        <v>-1.2881500000000001E-2</v>
      </c>
      <c r="AV366">
        <f t="shared" si="68"/>
        <v>17.334691358024692</v>
      </c>
      <c r="AW366">
        <f t="shared" si="69"/>
        <v>-0.21954039911111112</v>
      </c>
      <c r="AX366" s="9"/>
      <c r="AY366" s="22">
        <v>1.6926600000000001</v>
      </c>
      <c r="AZ366" s="22">
        <v>31.071000000000002</v>
      </c>
      <c r="BA366" s="22">
        <v>-2.2610500000000001E-3</v>
      </c>
      <c r="BB366" s="22">
        <v>356</v>
      </c>
      <c r="BC366" s="22">
        <v>1.6921999999999999</v>
      </c>
      <c r="BD366">
        <f t="shared" si="70"/>
        <v>2.7914197530864198</v>
      </c>
      <c r="BE366">
        <f t="shared" si="71"/>
        <v>4.724924559259259</v>
      </c>
    </row>
    <row r="367" spans="6:57">
      <c r="F367" s="9"/>
      <c r="G367" s="22">
        <v>-1.7700199999999999E-2</v>
      </c>
      <c r="H367" s="22">
        <v>8.7856699999999996</v>
      </c>
      <c r="I367" s="22">
        <v>-1.39954E-2</v>
      </c>
      <c r="J367" s="22">
        <v>357</v>
      </c>
      <c r="K367" s="22">
        <v>-1.7919899999999999E-2</v>
      </c>
      <c r="L367">
        <f t="shared" si="60"/>
        <v>17.278271604938272</v>
      </c>
      <c r="M367">
        <f t="shared" si="61"/>
        <v>-0.30582886306172841</v>
      </c>
      <c r="N367" s="9"/>
      <c r="O367" s="22">
        <v>1.6976899999999999</v>
      </c>
      <c r="P367" s="22">
        <v>12.5646</v>
      </c>
      <c r="Q367" s="22">
        <v>-2.0303299999999999E-3</v>
      </c>
      <c r="R367" s="22">
        <v>357</v>
      </c>
      <c r="S367" s="22">
        <v>1.69678</v>
      </c>
      <c r="T367">
        <f t="shared" si="62"/>
        <v>2.5065802469135798</v>
      </c>
      <c r="U367">
        <f t="shared" si="63"/>
        <v>4.2553962193827148</v>
      </c>
      <c r="X367" s="9"/>
      <c r="Y367" s="22">
        <v>-1.7700199999999999E-2</v>
      </c>
      <c r="Z367" s="22">
        <v>18.075900000000001</v>
      </c>
      <c r="AA367" s="22">
        <v>-1.40228E-2</v>
      </c>
      <c r="AB367" s="22">
        <v>357</v>
      </c>
      <c r="AC367" s="22">
        <v>-1.7892499999999999E-2</v>
      </c>
      <c r="AD367">
        <f t="shared" si="64"/>
        <v>17.312098765432097</v>
      </c>
      <c r="AE367">
        <f t="shared" si="65"/>
        <v>-0.30642761056790119</v>
      </c>
      <c r="AF367" s="9"/>
      <c r="AG367" s="22">
        <v>1.6976899999999999</v>
      </c>
      <c r="AH367" s="22">
        <v>21.854800000000001</v>
      </c>
      <c r="AI367" s="22">
        <v>-1.7123399999999999E-3</v>
      </c>
      <c r="AJ367" s="22">
        <v>357</v>
      </c>
      <c r="AK367" s="22">
        <v>1.6964699999999999</v>
      </c>
      <c r="AL367">
        <f t="shared" si="66"/>
        <v>2.1139999999999994</v>
      </c>
      <c r="AM367">
        <f t="shared" si="67"/>
        <v>3.5889166599999989</v>
      </c>
      <c r="AP367" s="9"/>
      <c r="AQ367" s="22">
        <v>-1.7700199999999999E-2</v>
      </c>
      <c r="AR367" s="22">
        <v>27.302099999999999</v>
      </c>
      <c r="AS367" s="22">
        <v>-1.40442E-2</v>
      </c>
      <c r="AT367" s="22">
        <v>357</v>
      </c>
      <c r="AU367" s="22">
        <v>-1.7898600000000001E-2</v>
      </c>
      <c r="AV367">
        <f t="shared" si="68"/>
        <v>17.338518518518516</v>
      </c>
      <c r="AW367">
        <f t="shared" si="69"/>
        <v>-0.30689524548148139</v>
      </c>
      <c r="AX367" s="9"/>
      <c r="AY367" s="22">
        <v>1.6976899999999999</v>
      </c>
      <c r="AZ367" s="22">
        <v>31.081099999999999</v>
      </c>
      <c r="BA367" s="22">
        <v>-1.51093E-3</v>
      </c>
      <c r="BB367" s="22">
        <v>357</v>
      </c>
      <c r="BC367" s="22">
        <v>1.69739</v>
      </c>
      <c r="BD367">
        <f t="shared" si="70"/>
        <v>1.8653456790123455</v>
      </c>
      <c r="BE367">
        <f t="shared" si="71"/>
        <v>3.1667787058024688</v>
      </c>
    </row>
    <row r="368" spans="6:57">
      <c r="F368" s="9"/>
      <c r="G368" s="22">
        <v>-2.2735600000000002E-2</v>
      </c>
      <c r="H368" s="22">
        <v>8.7957400000000003</v>
      </c>
      <c r="I368" s="22">
        <v>-1.39954E-2</v>
      </c>
      <c r="J368" s="22">
        <v>358</v>
      </c>
      <c r="K368" s="22">
        <v>-2.2964499999999999E-2</v>
      </c>
      <c r="L368">
        <f t="shared" si="60"/>
        <v>17.278271604938272</v>
      </c>
      <c r="M368">
        <f t="shared" si="61"/>
        <v>-0.39283187190123459</v>
      </c>
      <c r="N368" s="9"/>
      <c r="O368" s="22">
        <v>1.7027300000000001</v>
      </c>
      <c r="P368" s="22">
        <v>12.5746</v>
      </c>
      <c r="Q368" s="22">
        <v>-1.2890600000000001E-3</v>
      </c>
      <c r="R368" s="22">
        <v>358</v>
      </c>
      <c r="S368" s="22">
        <v>1.70197</v>
      </c>
      <c r="T368">
        <f t="shared" si="62"/>
        <v>1.591432098765432</v>
      </c>
      <c r="U368">
        <f t="shared" si="63"/>
        <v>2.7097791775308644</v>
      </c>
      <c r="X368" s="9"/>
      <c r="Y368" s="22">
        <v>-2.2735600000000002E-2</v>
      </c>
      <c r="Z368" s="22">
        <v>18.085999999999999</v>
      </c>
      <c r="AA368" s="22">
        <v>-1.4025900000000001E-2</v>
      </c>
      <c r="AB368" s="22">
        <v>358</v>
      </c>
      <c r="AC368" s="22">
        <v>-2.29584E-2</v>
      </c>
      <c r="AD368">
        <f t="shared" si="64"/>
        <v>17.315925925925924</v>
      </c>
      <c r="AE368">
        <f t="shared" si="65"/>
        <v>-0.39368796548148149</v>
      </c>
      <c r="AF368" s="9"/>
      <c r="AG368" s="22">
        <v>1.7027300000000001</v>
      </c>
      <c r="AH368" s="22">
        <v>21.864899999999999</v>
      </c>
      <c r="AI368" s="22">
        <v>-9.1949499999999999E-4</v>
      </c>
      <c r="AJ368" s="22">
        <v>358</v>
      </c>
      <c r="AK368" s="22">
        <v>1.70166</v>
      </c>
      <c r="AL368">
        <f t="shared" si="66"/>
        <v>1.1351790123456791</v>
      </c>
      <c r="AM368">
        <f t="shared" si="67"/>
        <v>1.9329033596913583</v>
      </c>
      <c r="AP368" s="9"/>
      <c r="AQ368" s="22">
        <v>-2.2735600000000002E-2</v>
      </c>
      <c r="AR368" s="22">
        <v>27.312200000000001</v>
      </c>
      <c r="AS368" s="22">
        <v>-1.40503E-2</v>
      </c>
      <c r="AT368" s="22">
        <v>358</v>
      </c>
      <c r="AU368" s="22">
        <v>-2.29065E-2</v>
      </c>
      <c r="AV368">
        <f t="shared" si="68"/>
        <v>17.34604938271605</v>
      </c>
      <c r="AW368">
        <f t="shared" si="69"/>
        <v>-0.39437284034567904</v>
      </c>
      <c r="AX368" s="9"/>
      <c r="AY368" s="22">
        <v>1.7027300000000001</v>
      </c>
      <c r="AZ368" s="22">
        <v>31.091100000000001</v>
      </c>
      <c r="BA368" s="22">
        <v>-6.9305400000000002E-4</v>
      </c>
      <c r="BB368" s="22">
        <v>358</v>
      </c>
      <c r="BC368" s="22">
        <v>1.70197</v>
      </c>
      <c r="BD368">
        <f t="shared" si="70"/>
        <v>0.85562222222222217</v>
      </c>
      <c r="BE368">
        <f t="shared" si="71"/>
        <v>1.4568936264444445</v>
      </c>
    </row>
    <row r="369" spans="6:57">
      <c r="F369" s="9"/>
      <c r="G369" s="22">
        <v>-2.7771000000000001E-2</v>
      </c>
      <c r="H369" s="22">
        <v>8.8058099999999992</v>
      </c>
      <c r="I369" s="22">
        <v>-1.40045E-2</v>
      </c>
      <c r="J369" s="22">
        <v>359</v>
      </c>
      <c r="K369" s="22">
        <v>-2.7951E-2</v>
      </c>
      <c r="L369">
        <f t="shared" si="60"/>
        <v>17.289506172839506</v>
      </c>
      <c r="M369">
        <f t="shared" si="61"/>
        <v>-0.48014687592592592</v>
      </c>
      <c r="N369" s="9"/>
      <c r="O369" s="22">
        <v>1.7077599999999999</v>
      </c>
      <c r="P369" s="22">
        <v>12.5847</v>
      </c>
      <c r="Q369" s="22">
        <v>-4.64203E-4</v>
      </c>
      <c r="R369" s="22">
        <v>359</v>
      </c>
      <c r="S369" s="22">
        <v>1.7071499999999999</v>
      </c>
      <c r="T369">
        <f t="shared" si="62"/>
        <v>0.57309012345679011</v>
      </c>
      <c r="U369">
        <f t="shared" si="63"/>
        <v>0.97870038923456781</v>
      </c>
      <c r="X369" s="9"/>
      <c r="Y369" s="22">
        <v>-2.7771000000000001E-2</v>
      </c>
      <c r="Z369" s="22">
        <v>18.096</v>
      </c>
      <c r="AA369" s="22">
        <v>-1.4025900000000001E-2</v>
      </c>
      <c r="AB369" s="22">
        <v>359</v>
      </c>
      <c r="AC369" s="22">
        <v>-2.8002900000000001E-2</v>
      </c>
      <c r="AD369">
        <f t="shared" si="64"/>
        <v>17.315925925925924</v>
      </c>
      <c r="AE369">
        <f t="shared" si="65"/>
        <v>-0.48088057888888885</v>
      </c>
      <c r="AF369" s="9"/>
      <c r="AG369" s="22">
        <v>1.7077599999999999</v>
      </c>
      <c r="AH369" s="22">
        <v>21.8749</v>
      </c>
      <c r="AI369" s="25">
        <v>-3.0212399999999999E-5</v>
      </c>
      <c r="AJ369" s="22">
        <v>359</v>
      </c>
      <c r="AK369" s="22">
        <v>1.70685</v>
      </c>
      <c r="AL369">
        <f t="shared" si="66"/>
        <v>3.7299259259259254E-2</v>
      </c>
      <c r="AM369">
        <f t="shared" si="67"/>
        <v>6.3698182992592584E-2</v>
      </c>
      <c r="AP369" s="9"/>
      <c r="AQ369" s="22">
        <v>-2.7771000000000001E-2</v>
      </c>
      <c r="AR369" s="22">
        <v>27.322299999999998</v>
      </c>
      <c r="AS369" s="22">
        <v>-1.4053299999999999E-2</v>
      </c>
      <c r="AT369" s="22">
        <v>359</v>
      </c>
      <c r="AU369" s="22">
        <v>-2.7996799999999999E-2</v>
      </c>
      <c r="AV369">
        <f t="shared" si="68"/>
        <v>17.349753086419753</v>
      </c>
      <c r="AW369">
        <f t="shared" si="69"/>
        <v>-0.48181999296296296</v>
      </c>
      <c r="AX369" s="9"/>
      <c r="AY369" s="22">
        <v>1.7077599999999999</v>
      </c>
      <c r="AZ369" s="22">
        <v>31.101199999999999</v>
      </c>
      <c r="BA369" s="22">
        <v>2.2851600000000001E-4</v>
      </c>
      <c r="BB369" s="22">
        <v>359</v>
      </c>
      <c r="BC369" s="22">
        <v>1.7071499999999999</v>
      </c>
      <c r="BD369">
        <f t="shared" si="70"/>
        <v>-0.28211851851851855</v>
      </c>
      <c r="BE369">
        <f t="shared" si="71"/>
        <v>-0.48179072118518523</v>
      </c>
    </row>
    <row r="370" spans="6:57">
      <c r="F370" s="9"/>
      <c r="G370" s="22">
        <v>-3.2806399999999999E-2</v>
      </c>
      <c r="H370" s="22">
        <v>8.8158799999999999</v>
      </c>
      <c r="I370" s="22">
        <v>-1.40076E-2</v>
      </c>
      <c r="J370" s="22">
        <v>360</v>
      </c>
      <c r="K370" s="22">
        <v>-3.3078000000000003E-2</v>
      </c>
      <c r="L370">
        <f t="shared" si="60"/>
        <v>17.293333333333333</v>
      </c>
      <c r="M370">
        <f t="shared" si="61"/>
        <v>-0.56733201066666661</v>
      </c>
      <c r="N370" s="9"/>
      <c r="O370" s="22">
        <v>1.7128000000000001</v>
      </c>
      <c r="P370" s="22">
        <v>12.594799999999999</v>
      </c>
      <c r="Q370" s="22">
        <v>4.5062299999999998E-4</v>
      </c>
      <c r="R370" s="22">
        <v>360</v>
      </c>
      <c r="S370" s="22">
        <v>1.71204</v>
      </c>
      <c r="T370">
        <f t="shared" si="62"/>
        <v>-0.55632469135802465</v>
      </c>
      <c r="U370">
        <f t="shared" si="63"/>
        <v>-0.95287293135802464</v>
      </c>
      <c r="X370" s="9"/>
      <c r="Y370" s="22">
        <v>-3.2806399999999999E-2</v>
      </c>
      <c r="Z370" s="22">
        <v>18.106100000000001</v>
      </c>
      <c r="AA370" s="22">
        <v>-1.40228E-2</v>
      </c>
      <c r="AB370" s="22">
        <v>360</v>
      </c>
      <c r="AC370" s="22">
        <v>-3.3010900000000003E-2</v>
      </c>
      <c r="AD370">
        <f t="shared" si="64"/>
        <v>17.312098765432097</v>
      </c>
      <c r="AE370">
        <f t="shared" si="65"/>
        <v>-0.56794763693827155</v>
      </c>
      <c r="AF370" s="9"/>
      <c r="AG370" s="22">
        <v>1.7128000000000001</v>
      </c>
      <c r="AH370" s="22">
        <v>21.885000000000002</v>
      </c>
      <c r="AI370" s="22">
        <v>9.5733600000000004E-4</v>
      </c>
      <c r="AJ370" s="22">
        <v>360</v>
      </c>
      <c r="AK370" s="22">
        <v>1.71173</v>
      </c>
      <c r="AL370">
        <f t="shared" si="66"/>
        <v>-1.1818962962962962</v>
      </c>
      <c r="AM370">
        <f t="shared" si="67"/>
        <v>-2.0243519762962965</v>
      </c>
      <c r="AP370" s="9"/>
      <c r="AQ370" s="22">
        <v>-3.2806399999999999E-2</v>
      </c>
      <c r="AR370" s="22">
        <v>27.3323</v>
      </c>
      <c r="AS370" s="22">
        <v>-1.40625E-2</v>
      </c>
      <c r="AT370" s="22">
        <v>360</v>
      </c>
      <c r="AU370" s="22">
        <v>-3.3020000000000001E-2</v>
      </c>
      <c r="AV370">
        <f t="shared" si="68"/>
        <v>17.361111111111111</v>
      </c>
      <c r="AW370">
        <f t="shared" si="69"/>
        <v>-0.56955555555555548</v>
      </c>
      <c r="AX370" s="9"/>
      <c r="AY370" s="22">
        <v>1.7128000000000001</v>
      </c>
      <c r="AZ370" s="22">
        <v>31.1113</v>
      </c>
      <c r="BA370" s="22">
        <v>1.2335200000000001E-3</v>
      </c>
      <c r="BB370" s="22">
        <v>360</v>
      </c>
      <c r="BC370" s="22">
        <v>1.71173</v>
      </c>
      <c r="BD370">
        <f t="shared" si="70"/>
        <v>-1.5228641975308641</v>
      </c>
      <c r="BE370">
        <f t="shared" si="71"/>
        <v>-2.6083617975308644</v>
      </c>
    </row>
    <row r="371" spans="6:57">
      <c r="F371" s="9"/>
      <c r="G371" s="22">
        <v>-3.7841800000000002E-2</v>
      </c>
      <c r="H371" s="22">
        <v>8.8259500000000006</v>
      </c>
      <c r="I371" s="22">
        <v>-1.40045E-2</v>
      </c>
      <c r="J371" s="22">
        <v>361</v>
      </c>
      <c r="K371" s="22">
        <v>-3.8101200000000002E-2</v>
      </c>
      <c r="L371">
        <f t="shared" si="60"/>
        <v>17.289506172839506</v>
      </c>
      <c r="M371">
        <f t="shared" si="61"/>
        <v>-0.65426603469135802</v>
      </c>
      <c r="N371" s="9"/>
      <c r="O371" s="22">
        <v>1.71783</v>
      </c>
      <c r="P371" s="22">
        <v>12.604900000000001</v>
      </c>
      <c r="Q371" s="22">
        <v>1.46393E-3</v>
      </c>
      <c r="R371" s="22">
        <v>361</v>
      </c>
      <c r="S371" s="22">
        <v>1.71661</v>
      </c>
      <c r="T371">
        <f t="shared" si="62"/>
        <v>-1.8073209876543208</v>
      </c>
      <c r="U371">
        <f t="shared" si="63"/>
        <v>-3.1046702122222221</v>
      </c>
      <c r="X371" s="9"/>
      <c r="Y371" s="22">
        <v>-3.7841800000000002E-2</v>
      </c>
      <c r="Z371" s="22">
        <v>18.116199999999999</v>
      </c>
      <c r="AA371" s="22">
        <v>-1.40289E-2</v>
      </c>
      <c r="AB371" s="22">
        <v>361</v>
      </c>
      <c r="AC371" s="22">
        <v>-3.8092000000000001E-2</v>
      </c>
      <c r="AD371">
        <f t="shared" si="64"/>
        <v>17.319629629629631</v>
      </c>
      <c r="AE371">
        <f t="shared" si="65"/>
        <v>-0.65540596051851863</v>
      </c>
      <c r="AF371" s="9"/>
      <c r="AG371" s="22">
        <v>1.71783</v>
      </c>
      <c r="AH371" s="22">
        <v>21.895099999999999</v>
      </c>
      <c r="AI371" s="22">
        <v>2.0584100000000001E-3</v>
      </c>
      <c r="AJ371" s="22">
        <v>361</v>
      </c>
      <c r="AK371" s="22">
        <v>1.71692</v>
      </c>
      <c r="AL371">
        <f t="shared" si="66"/>
        <v>-2.5412469135802471</v>
      </c>
      <c r="AM371">
        <f t="shared" si="67"/>
        <v>-4.3654301855555557</v>
      </c>
      <c r="AP371" s="9"/>
      <c r="AQ371" s="22">
        <v>-3.7841800000000002E-2</v>
      </c>
      <c r="AR371" s="22">
        <v>27.342400000000001</v>
      </c>
      <c r="AS371" s="22">
        <v>-1.4068600000000001E-2</v>
      </c>
      <c r="AT371" s="22">
        <v>361</v>
      </c>
      <c r="AU371" s="22">
        <v>-3.8073700000000002E-2</v>
      </c>
      <c r="AV371">
        <f t="shared" si="68"/>
        <v>17.368641975308641</v>
      </c>
      <c r="AW371">
        <f t="shared" si="69"/>
        <v>-0.6572606759012346</v>
      </c>
      <c r="AX371" s="9"/>
      <c r="AY371" s="22">
        <v>1.71783</v>
      </c>
      <c r="AZ371" s="22">
        <v>31.121300000000002</v>
      </c>
      <c r="BA371" s="22">
        <v>2.38281E-3</v>
      </c>
      <c r="BB371" s="22">
        <v>361</v>
      </c>
      <c r="BC371" s="22">
        <v>1.71753</v>
      </c>
      <c r="BD371">
        <f t="shared" si="70"/>
        <v>-2.9417407407407405</v>
      </c>
      <c r="BE371">
        <f t="shared" si="71"/>
        <v>-5.0534104966666664</v>
      </c>
    </row>
    <row r="372" spans="6:57">
      <c r="F372" s="9"/>
      <c r="G372" s="22">
        <v>-4.2877199999999997E-2</v>
      </c>
      <c r="H372" s="22">
        <v>8.8360299999999992</v>
      </c>
      <c r="I372" s="22">
        <v>-1.40045E-2</v>
      </c>
      <c r="J372" s="22">
        <v>362</v>
      </c>
      <c r="K372" s="22">
        <v>-4.31671E-2</v>
      </c>
      <c r="L372">
        <f t="shared" si="60"/>
        <v>17.289506172839506</v>
      </c>
      <c r="M372">
        <f t="shared" si="61"/>
        <v>-0.74132561407407405</v>
      </c>
      <c r="N372" s="9"/>
      <c r="O372" s="22">
        <v>1.7228699999999999</v>
      </c>
      <c r="P372" s="22">
        <v>12.6149</v>
      </c>
      <c r="Q372" s="22">
        <v>2.6153600000000002E-3</v>
      </c>
      <c r="R372" s="22">
        <v>362</v>
      </c>
      <c r="S372" s="22">
        <v>1.72211</v>
      </c>
      <c r="T372">
        <f t="shared" si="62"/>
        <v>-3.2288395061728394</v>
      </c>
      <c r="U372">
        <f t="shared" si="63"/>
        <v>-5.5628707199999994</v>
      </c>
      <c r="X372" s="9"/>
      <c r="Y372" s="22">
        <v>-4.2877199999999997E-2</v>
      </c>
      <c r="Z372" s="22">
        <v>18.126200000000001</v>
      </c>
      <c r="AA372" s="22">
        <v>-1.40381E-2</v>
      </c>
      <c r="AB372" s="22">
        <v>362</v>
      </c>
      <c r="AC372" s="22">
        <v>-4.3142699999999999E-2</v>
      </c>
      <c r="AD372">
        <f t="shared" si="64"/>
        <v>17.330987654320985</v>
      </c>
      <c r="AE372">
        <f t="shared" si="65"/>
        <v>-0.74310422385185171</v>
      </c>
      <c r="AF372" s="9"/>
      <c r="AG372" s="22">
        <v>1.7228699999999999</v>
      </c>
      <c r="AH372" s="22">
        <v>21.905200000000001</v>
      </c>
      <c r="AI372" s="22">
        <v>3.2882699999999998E-3</v>
      </c>
      <c r="AJ372" s="22">
        <v>362</v>
      </c>
      <c r="AK372" s="22">
        <v>1.72211</v>
      </c>
      <c r="AL372">
        <f t="shared" si="66"/>
        <v>-4.0595925925925922</v>
      </c>
      <c r="AM372">
        <f t="shared" si="67"/>
        <v>-6.9941502899999985</v>
      </c>
      <c r="AP372" s="9"/>
      <c r="AQ372" s="22">
        <v>-4.2877199999999997E-2</v>
      </c>
      <c r="AR372" s="22">
        <v>27.352499999999999</v>
      </c>
      <c r="AS372" s="22">
        <v>-1.4068600000000001E-2</v>
      </c>
      <c r="AT372" s="22">
        <v>362</v>
      </c>
      <c r="AU372" s="22">
        <v>-4.3136599999999997E-2</v>
      </c>
      <c r="AV372">
        <f t="shared" si="68"/>
        <v>17.368641975308641</v>
      </c>
      <c r="AW372">
        <f t="shared" si="69"/>
        <v>-0.74471873570370362</v>
      </c>
      <c r="AX372" s="9"/>
      <c r="AY372" s="22">
        <v>1.7228699999999999</v>
      </c>
      <c r="AZ372" s="22">
        <v>31.131399999999999</v>
      </c>
      <c r="BA372" s="22">
        <v>3.6517300000000002E-3</v>
      </c>
      <c r="BB372" s="22">
        <v>362</v>
      </c>
      <c r="BC372" s="22">
        <v>1.72211</v>
      </c>
      <c r="BD372">
        <f t="shared" si="70"/>
        <v>-4.5083086419753089</v>
      </c>
      <c r="BE372">
        <f t="shared" si="71"/>
        <v>-7.7672297099999996</v>
      </c>
    </row>
    <row r="373" spans="6:57">
      <c r="F373" s="9"/>
      <c r="G373" s="22">
        <v>-4.79126E-2</v>
      </c>
      <c r="H373" s="22">
        <v>8.8460999999999999</v>
      </c>
      <c r="I373" s="22">
        <v>-1.40015E-2</v>
      </c>
      <c r="J373" s="22">
        <v>363</v>
      </c>
      <c r="K373" s="22">
        <v>-4.8168900000000001E-2</v>
      </c>
      <c r="L373">
        <f t="shared" si="60"/>
        <v>17.285802469135803</v>
      </c>
      <c r="M373">
        <f t="shared" si="61"/>
        <v>-0.82820773938271608</v>
      </c>
      <c r="N373" s="9"/>
      <c r="O373" s="22">
        <v>1.7279100000000001</v>
      </c>
      <c r="P373" s="22">
        <v>12.625</v>
      </c>
      <c r="Q373" s="22">
        <v>3.8992300000000001E-3</v>
      </c>
      <c r="R373" s="22">
        <v>363</v>
      </c>
      <c r="S373" s="22">
        <v>1.72729</v>
      </c>
      <c r="T373">
        <f t="shared" si="62"/>
        <v>-4.8138641975308643</v>
      </c>
      <c r="U373">
        <f t="shared" si="63"/>
        <v>-8.3179240855555552</v>
      </c>
      <c r="X373" s="9"/>
      <c r="Y373" s="22">
        <v>-4.79126E-2</v>
      </c>
      <c r="Z373" s="22">
        <v>18.136299999999999</v>
      </c>
      <c r="AA373" s="22">
        <v>-1.40381E-2</v>
      </c>
      <c r="AB373" s="22">
        <v>363</v>
      </c>
      <c r="AC373" s="22">
        <v>-4.8175000000000003E-2</v>
      </c>
      <c r="AD373">
        <f t="shared" si="64"/>
        <v>17.330987654320985</v>
      </c>
      <c r="AE373">
        <f t="shared" si="65"/>
        <v>-0.83037267908641965</v>
      </c>
      <c r="AF373" s="9"/>
      <c r="AG373" s="22">
        <v>1.7279100000000001</v>
      </c>
      <c r="AH373" s="22">
        <v>21.915199999999999</v>
      </c>
      <c r="AI373" s="22">
        <v>4.6469099999999998E-3</v>
      </c>
      <c r="AJ373" s="22">
        <v>363</v>
      </c>
      <c r="AK373" s="22">
        <v>1.72699</v>
      </c>
      <c r="AL373">
        <f t="shared" si="66"/>
        <v>-5.7369259259259247</v>
      </c>
      <c r="AM373">
        <f t="shared" si="67"/>
        <v>-9.9128916766666642</v>
      </c>
      <c r="AP373" s="9"/>
      <c r="AQ373" s="22">
        <v>-4.79126E-2</v>
      </c>
      <c r="AR373" s="22">
        <v>27.362500000000001</v>
      </c>
      <c r="AS373" s="22">
        <v>-1.4071699999999999E-2</v>
      </c>
      <c r="AT373" s="22">
        <v>363</v>
      </c>
      <c r="AU373" s="22">
        <v>-4.8202500000000002E-2</v>
      </c>
      <c r="AV373">
        <f t="shared" si="68"/>
        <v>17.372469135802469</v>
      </c>
      <c r="AW373">
        <f t="shared" si="69"/>
        <v>-0.83236016471604934</v>
      </c>
      <c r="AX373" s="9"/>
      <c r="AY373" s="22">
        <v>1.7279100000000001</v>
      </c>
      <c r="AZ373" s="22">
        <v>31.141500000000001</v>
      </c>
      <c r="BA373" s="22">
        <v>5.1147500000000004E-3</v>
      </c>
      <c r="BB373" s="22">
        <v>363</v>
      </c>
      <c r="BC373" s="22">
        <v>1.72699</v>
      </c>
      <c r="BD373">
        <f t="shared" si="70"/>
        <v>-6.314506172839506</v>
      </c>
      <c r="BE373">
        <f t="shared" si="71"/>
        <v>-10.91089836111111</v>
      </c>
    </row>
    <row r="374" spans="6:57">
      <c r="F374" s="9"/>
      <c r="G374" s="22">
        <v>-5.2948000000000002E-2</v>
      </c>
      <c r="H374" s="22">
        <v>8.8561700000000005</v>
      </c>
      <c r="I374" s="22">
        <v>-1.40015E-2</v>
      </c>
      <c r="J374" s="22">
        <v>364</v>
      </c>
      <c r="K374" s="22">
        <v>-5.3375199999999998E-2</v>
      </c>
      <c r="L374">
        <f t="shared" si="60"/>
        <v>17.285802469135803</v>
      </c>
      <c r="M374">
        <f t="shared" si="61"/>
        <v>-0.9152486691358025</v>
      </c>
      <c r="N374" s="9"/>
      <c r="O374" s="22">
        <v>1.7329399999999999</v>
      </c>
      <c r="P374" s="22">
        <v>12.6351</v>
      </c>
      <c r="Q374" s="22">
        <v>5.3680400000000001E-3</v>
      </c>
      <c r="R374" s="22">
        <v>364</v>
      </c>
      <c r="S374" s="22">
        <v>1.73248</v>
      </c>
      <c r="T374">
        <f t="shared" si="62"/>
        <v>-6.6272098765432101</v>
      </c>
      <c r="U374">
        <f t="shared" si="63"/>
        <v>-11.48455708345679</v>
      </c>
      <c r="X374" s="9"/>
      <c r="Y374" s="22">
        <v>-5.2948000000000002E-2</v>
      </c>
      <c r="Z374" s="22">
        <v>18.1464</v>
      </c>
      <c r="AA374" s="22">
        <v>-1.4041100000000001E-2</v>
      </c>
      <c r="AB374" s="22">
        <v>364</v>
      </c>
      <c r="AC374" s="22">
        <v>-5.3344700000000002E-2</v>
      </c>
      <c r="AD374">
        <f t="shared" si="64"/>
        <v>17.334691358024692</v>
      </c>
      <c r="AE374">
        <f t="shared" si="65"/>
        <v>-0.91783723802469142</v>
      </c>
      <c r="AF374" s="9"/>
      <c r="AG374" s="22">
        <v>1.7329399999999999</v>
      </c>
      <c r="AH374" s="22">
        <v>21.9253</v>
      </c>
      <c r="AI374" s="22">
        <v>6.1950699999999996E-3</v>
      </c>
      <c r="AJ374" s="22">
        <v>364</v>
      </c>
      <c r="AK374" s="22">
        <v>1.73187</v>
      </c>
      <c r="AL374">
        <f t="shared" si="66"/>
        <v>-7.6482345679012331</v>
      </c>
      <c r="AM374">
        <f t="shared" si="67"/>
        <v>-13.253931612098762</v>
      </c>
      <c r="AP374" s="9"/>
      <c r="AQ374" s="22">
        <v>-5.2948000000000002E-2</v>
      </c>
      <c r="AR374" s="22">
        <v>27.372599999999998</v>
      </c>
      <c r="AS374" s="22">
        <v>-1.4068600000000001E-2</v>
      </c>
      <c r="AT374" s="22">
        <v>364</v>
      </c>
      <c r="AU374" s="22">
        <v>-5.3405800000000003E-2</v>
      </c>
      <c r="AV374">
        <f t="shared" si="68"/>
        <v>17.368641975308641</v>
      </c>
      <c r="AW374">
        <f t="shared" si="69"/>
        <v>-0.91963485530864197</v>
      </c>
      <c r="AX374" s="9"/>
      <c r="AY374" s="22">
        <v>1.7329399999999999</v>
      </c>
      <c r="AZ374" s="22">
        <v>31.151599999999998</v>
      </c>
      <c r="BA374" s="22">
        <v>6.7321799999999999E-3</v>
      </c>
      <c r="BB374" s="22">
        <v>364</v>
      </c>
      <c r="BC374" s="22">
        <v>1.7327900000000001</v>
      </c>
      <c r="BD374">
        <f t="shared" si="70"/>
        <v>-8.3113333333333319</v>
      </c>
      <c r="BE374">
        <f t="shared" si="71"/>
        <v>-14.403041986666663</v>
      </c>
    </row>
    <row r="375" spans="6:57">
      <c r="F375" s="9"/>
      <c r="G375" s="22">
        <v>-5.7983399999999997E-2</v>
      </c>
      <c r="H375" s="22">
        <v>8.8662399999999995</v>
      </c>
      <c r="I375" s="22">
        <v>-1.40015E-2</v>
      </c>
      <c r="J375" s="22">
        <v>365</v>
      </c>
      <c r="K375" s="22">
        <v>-5.8502199999999997E-2</v>
      </c>
      <c r="L375">
        <f t="shared" si="60"/>
        <v>17.285802469135803</v>
      </c>
      <c r="M375">
        <f t="shared" si="61"/>
        <v>-1.0022895988888889</v>
      </c>
      <c r="N375" s="9"/>
      <c r="O375" s="22">
        <v>1.7379800000000001</v>
      </c>
      <c r="P375" s="22">
        <v>12.645099999999999</v>
      </c>
      <c r="Q375" s="22">
        <v>6.9915799999999998E-3</v>
      </c>
      <c r="R375" s="22">
        <v>365</v>
      </c>
      <c r="S375" s="22">
        <v>1.7373700000000001</v>
      </c>
      <c r="T375">
        <f t="shared" si="62"/>
        <v>-8.6315802469135789</v>
      </c>
      <c r="U375">
        <f t="shared" si="63"/>
        <v>-15.001513837530863</v>
      </c>
      <c r="X375" s="9"/>
      <c r="Y375" s="22">
        <v>-5.7983399999999997E-2</v>
      </c>
      <c r="Z375" s="22">
        <v>18.156500000000001</v>
      </c>
      <c r="AA375" s="22">
        <v>-1.40442E-2</v>
      </c>
      <c r="AB375" s="22">
        <v>365</v>
      </c>
      <c r="AC375" s="22">
        <v>-5.8349600000000001E-2</v>
      </c>
      <c r="AD375">
        <f t="shared" si="64"/>
        <v>17.338518518518516</v>
      </c>
      <c r="AE375">
        <f t="shared" si="65"/>
        <v>-1.0053462546666665</v>
      </c>
      <c r="AF375" s="9"/>
      <c r="AG375" s="22">
        <v>1.7379800000000001</v>
      </c>
      <c r="AH375" s="22">
        <v>21.935400000000001</v>
      </c>
      <c r="AI375" s="22">
        <v>7.9437299999999995E-3</v>
      </c>
      <c r="AJ375" s="22">
        <v>365</v>
      </c>
      <c r="AK375" s="22">
        <v>1.73706</v>
      </c>
      <c r="AL375">
        <f t="shared" si="66"/>
        <v>-9.8070740740740714</v>
      </c>
      <c r="AM375">
        <f t="shared" si="67"/>
        <v>-17.044498599259256</v>
      </c>
      <c r="AP375" s="9"/>
      <c r="AQ375" s="22">
        <v>-5.7983399999999997E-2</v>
      </c>
      <c r="AR375" s="22">
        <v>27.3827</v>
      </c>
      <c r="AS375" s="22">
        <v>-1.4074700000000001E-2</v>
      </c>
      <c r="AT375" s="22">
        <v>365</v>
      </c>
      <c r="AU375" s="22">
        <v>-5.84106E-2</v>
      </c>
      <c r="AV375">
        <f t="shared" si="68"/>
        <v>17.376172839506172</v>
      </c>
      <c r="AW375">
        <f t="shared" si="69"/>
        <v>-1.0075295802222222</v>
      </c>
      <c r="AX375" s="9"/>
      <c r="AY375" s="22">
        <v>1.7379800000000001</v>
      </c>
      <c r="AZ375" s="22">
        <v>31.1616</v>
      </c>
      <c r="BA375" s="22">
        <v>8.5967999999999999E-3</v>
      </c>
      <c r="BB375" s="22">
        <v>365</v>
      </c>
      <c r="BC375" s="22">
        <v>1.73706</v>
      </c>
      <c r="BD375">
        <f t="shared" si="70"/>
        <v>-10.613333333333332</v>
      </c>
      <c r="BE375">
        <f t="shared" si="71"/>
        <v>-18.445761066666666</v>
      </c>
    </row>
    <row r="376" spans="6:57">
      <c r="F376" s="9"/>
      <c r="G376" s="22">
        <v>-6.30188E-2</v>
      </c>
      <c r="H376" s="22">
        <v>8.8763100000000001</v>
      </c>
      <c r="I376" s="22">
        <v>-1.40015E-2</v>
      </c>
      <c r="J376" s="22">
        <v>366</v>
      </c>
      <c r="K376" s="22">
        <v>-6.3446000000000002E-2</v>
      </c>
      <c r="L376">
        <f t="shared" si="60"/>
        <v>17.285802469135803</v>
      </c>
      <c r="M376">
        <f t="shared" si="61"/>
        <v>-1.0893305286419752</v>
      </c>
      <c r="N376" s="9"/>
      <c r="O376" s="22">
        <v>1.7430099999999999</v>
      </c>
      <c r="P376" s="22">
        <v>12.655200000000001</v>
      </c>
      <c r="Q376" s="22">
        <v>8.8531500000000006E-3</v>
      </c>
      <c r="R376" s="22">
        <v>366</v>
      </c>
      <c r="S376" s="22">
        <v>1.7416400000000001</v>
      </c>
      <c r="T376">
        <f t="shared" si="62"/>
        <v>-10.929814814814813</v>
      </c>
      <c r="U376">
        <f t="shared" si="63"/>
        <v>-19.050776520370366</v>
      </c>
      <c r="X376" s="9"/>
      <c r="Y376" s="22">
        <v>-6.30188E-2</v>
      </c>
      <c r="Z376" s="22">
        <v>18.166499999999999</v>
      </c>
      <c r="AA376" s="22">
        <v>-1.40442E-2</v>
      </c>
      <c r="AB376" s="22">
        <v>366</v>
      </c>
      <c r="AC376" s="22">
        <v>-6.3476599999999994E-2</v>
      </c>
      <c r="AD376">
        <f t="shared" si="64"/>
        <v>17.338518518518516</v>
      </c>
      <c r="AE376">
        <f t="shared" si="65"/>
        <v>-1.0926526308148146</v>
      </c>
      <c r="AF376" s="9"/>
      <c r="AG376" s="22">
        <v>1.7430099999999999</v>
      </c>
      <c r="AH376" s="22">
        <v>21.945399999999999</v>
      </c>
      <c r="AI376" s="22">
        <v>9.9487299999999994E-3</v>
      </c>
      <c r="AJ376" s="22">
        <v>366</v>
      </c>
      <c r="AK376" s="22">
        <v>1.74194</v>
      </c>
      <c r="AL376">
        <f t="shared" si="66"/>
        <v>-12.282382716049382</v>
      </c>
      <c r="AM376">
        <f t="shared" si="67"/>
        <v>-21.408315897901232</v>
      </c>
      <c r="AP376" s="9"/>
      <c r="AQ376" s="22">
        <v>-6.30188E-2</v>
      </c>
      <c r="AR376" s="22">
        <v>27.392800000000001</v>
      </c>
      <c r="AS376" s="22">
        <v>-1.40778E-2</v>
      </c>
      <c r="AT376" s="22">
        <v>366</v>
      </c>
      <c r="AU376" s="22">
        <v>-6.34155E-2</v>
      </c>
      <c r="AV376">
        <f t="shared" si="68"/>
        <v>17.38</v>
      </c>
      <c r="AW376">
        <f t="shared" si="69"/>
        <v>-1.0952667439999999</v>
      </c>
      <c r="AX376" s="9"/>
      <c r="AY376" s="22">
        <v>1.7430099999999999</v>
      </c>
      <c r="AZ376" s="22">
        <v>31.171700000000001</v>
      </c>
      <c r="BA376" s="22">
        <v>1.0665900000000001E-2</v>
      </c>
      <c r="BB376" s="22">
        <v>366</v>
      </c>
      <c r="BC376" s="22">
        <v>1.7422500000000001</v>
      </c>
      <c r="BD376">
        <f t="shared" si="70"/>
        <v>-13.167777777777779</v>
      </c>
      <c r="BE376">
        <f t="shared" si="71"/>
        <v>-22.951568344444446</v>
      </c>
    </row>
    <row r="377" spans="6:57">
      <c r="F377" s="9"/>
      <c r="G377" s="22">
        <v>-6.8054199999999995E-2</v>
      </c>
      <c r="H377" s="22">
        <v>8.8863800000000008</v>
      </c>
      <c r="I377" s="22">
        <v>-1.40045E-2</v>
      </c>
      <c r="J377" s="22">
        <v>367</v>
      </c>
      <c r="K377" s="22">
        <v>-6.8481399999999998E-2</v>
      </c>
      <c r="L377">
        <f t="shared" si="60"/>
        <v>17.289506172839506</v>
      </c>
      <c r="M377">
        <f t="shared" si="61"/>
        <v>-1.1766235109876542</v>
      </c>
      <c r="N377" s="9"/>
      <c r="O377" s="22">
        <v>1.7480500000000001</v>
      </c>
      <c r="P377" s="22">
        <v>12.6653</v>
      </c>
      <c r="Q377" s="22">
        <v>1.0986299999999999E-2</v>
      </c>
      <c r="R377" s="22">
        <v>367</v>
      </c>
      <c r="S377" s="22">
        <v>1.7468300000000001</v>
      </c>
      <c r="T377">
        <f t="shared" si="62"/>
        <v>-13.563333333333333</v>
      </c>
      <c r="U377">
        <f t="shared" si="63"/>
        <v>-23.709384833333335</v>
      </c>
      <c r="X377" s="9"/>
      <c r="Y377" s="22">
        <v>-6.8054199999999995E-2</v>
      </c>
      <c r="Z377" s="22">
        <v>18.176600000000001</v>
      </c>
      <c r="AA377" s="22">
        <v>-1.40442E-2</v>
      </c>
      <c r="AB377" s="22">
        <v>367</v>
      </c>
      <c r="AC377" s="22">
        <v>-6.8481399999999998E-2</v>
      </c>
      <c r="AD377">
        <f t="shared" si="64"/>
        <v>17.338518518518516</v>
      </c>
      <c r="AE377">
        <f t="shared" si="65"/>
        <v>-1.1799590069629626</v>
      </c>
      <c r="AF377" s="9"/>
      <c r="AG377" s="22">
        <v>1.7480500000000001</v>
      </c>
      <c r="AH377" s="22">
        <v>21.955500000000001</v>
      </c>
      <c r="AI377" s="22">
        <v>1.22498E-2</v>
      </c>
      <c r="AJ377" s="22">
        <v>367</v>
      </c>
      <c r="AK377" s="22">
        <v>1.7471300000000001</v>
      </c>
      <c r="AL377">
        <f t="shared" si="66"/>
        <v>-15.123209876543209</v>
      </c>
      <c r="AM377">
        <f t="shared" si="67"/>
        <v>-26.436127024691359</v>
      </c>
      <c r="AP377" s="9"/>
      <c r="AQ377" s="22">
        <v>-6.8054199999999995E-2</v>
      </c>
      <c r="AR377" s="22">
        <v>27.402799999999999</v>
      </c>
      <c r="AS377" s="22">
        <v>-1.4080799999999999E-2</v>
      </c>
      <c r="AT377" s="22">
        <v>367</v>
      </c>
      <c r="AU377" s="22">
        <v>-6.8420400000000006E-2</v>
      </c>
      <c r="AV377">
        <f t="shared" si="68"/>
        <v>17.383703703703702</v>
      </c>
      <c r="AW377">
        <f t="shared" si="69"/>
        <v>-1.1830340485925923</v>
      </c>
      <c r="AX377" s="9"/>
      <c r="AY377" s="22">
        <v>1.7480500000000001</v>
      </c>
      <c r="AZ377" s="22">
        <v>31.181799999999999</v>
      </c>
      <c r="BA377" s="22">
        <v>1.31287E-2</v>
      </c>
      <c r="BB377" s="22">
        <v>367</v>
      </c>
      <c r="BC377" s="22">
        <v>1.7474400000000001</v>
      </c>
      <c r="BD377">
        <f t="shared" si="70"/>
        <v>-16.208271604938268</v>
      </c>
      <c r="BE377">
        <f t="shared" si="71"/>
        <v>-28.332869179012341</v>
      </c>
    </row>
    <row r="378" spans="6:57">
      <c r="F378" s="9"/>
      <c r="G378" s="22">
        <v>-7.3089600000000005E-2</v>
      </c>
      <c r="H378" s="22">
        <v>8.8964499999999997</v>
      </c>
      <c r="I378" s="22">
        <v>-1.40045E-2</v>
      </c>
      <c r="J378" s="22">
        <v>368</v>
      </c>
      <c r="K378" s="22">
        <v>-7.3516799999999993E-2</v>
      </c>
      <c r="L378">
        <f t="shared" si="60"/>
        <v>17.289506172839506</v>
      </c>
      <c r="M378">
        <f t="shared" si="61"/>
        <v>-1.2636830903703704</v>
      </c>
      <c r="N378" s="9"/>
      <c r="O378" s="22">
        <v>1.75308</v>
      </c>
      <c r="P378" s="22">
        <v>12.6754</v>
      </c>
      <c r="Q378" s="22">
        <v>1.33942E-2</v>
      </c>
      <c r="R378" s="22">
        <v>368</v>
      </c>
      <c r="S378" s="22">
        <v>1.7517100000000001</v>
      </c>
      <c r="T378">
        <f t="shared" si="62"/>
        <v>-16.536049382716048</v>
      </c>
      <c r="U378">
        <f t="shared" si="63"/>
        <v>-28.989017451851847</v>
      </c>
      <c r="X378" s="9"/>
      <c r="Y378" s="22">
        <v>-7.3089600000000005E-2</v>
      </c>
      <c r="Z378" s="22">
        <v>18.186699999999998</v>
      </c>
      <c r="AA378" s="22">
        <v>-1.4047199999999999E-2</v>
      </c>
      <c r="AB378" s="22">
        <v>368</v>
      </c>
      <c r="AC378" s="22">
        <v>-7.3516799999999993E-2</v>
      </c>
      <c r="AD378">
        <f t="shared" si="64"/>
        <v>17.342222222222222</v>
      </c>
      <c r="AE378">
        <f t="shared" si="65"/>
        <v>-1.2675360853333335</v>
      </c>
      <c r="AF378" s="9"/>
      <c r="AG378" s="22">
        <v>1.75308</v>
      </c>
      <c r="AH378" s="22">
        <v>21.965599999999998</v>
      </c>
      <c r="AI378" s="22">
        <v>1.48682E-2</v>
      </c>
      <c r="AJ378" s="22">
        <v>368</v>
      </c>
      <c r="AK378" s="22">
        <v>1.7520100000000001</v>
      </c>
      <c r="AL378">
        <f t="shared" si="66"/>
        <v>-18.355802469135799</v>
      </c>
      <c r="AM378">
        <f t="shared" si="67"/>
        <v>-32.179190192592586</v>
      </c>
      <c r="AP378" s="9"/>
      <c r="AQ378" s="22">
        <v>-7.3089600000000005E-2</v>
      </c>
      <c r="AR378" s="22">
        <v>27.4129</v>
      </c>
      <c r="AS378" s="22">
        <v>-1.40839E-2</v>
      </c>
      <c r="AT378" s="22">
        <v>368</v>
      </c>
      <c r="AU378" s="22">
        <v>-7.3516799999999993E-2</v>
      </c>
      <c r="AV378">
        <f t="shared" si="68"/>
        <v>17.387530864197529</v>
      </c>
      <c r="AW378">
        <f t="shared" si="69"/>
        <v>-1.2708476758518519</v>
      </c>
      <c r="AX378" s="9"/>
      <c r="AY378" s="22">
        <v>1.75308</v>
      </c>
      <c r="AZ378" s="22">
        <v>31.191800000000001</v>
      </c>
      <c r="BA378" s="22">
        <v>1.5826400000000001E-2</v>
      </c>
      <c r="BB378" s="22">
        <v>368</v>
      </c>
      <c r="BC378" s="22">
        <v>1.7523200000000001</v>
      </c>
      <c r="BD378">
        <f t="shared" si="70"/>
        <v>-19.538765432098767</v>
      </c>
      <c r="BE378">
        <f t="shared" si="71"/>
        <v>-34.253018903703705</v>
      </c>
    </row>
    <row r="379" spans="6:57">
      <c r="F379" s="9"/>
      <c r="G379" s="22">
        <v>-7.8125E-2</v>
      </c>
      <c r="H379" s="22">
        <v>8.9065200000000004</v>
      </c>
      <c r="I379" s="22">
        <v>-1.40106E-2</v>
      </c>
      <c r="J379" s="22">
        <v>369</v>
      </c>
      <c r="K379" s="22">
        <v>-7.85217E-2</v>
      </c>
      <c r="L379">
        <f t="shared" si="60"/>
        <v>17.297037037037036</v>
      </c>
      <c r="M379">
        <f t="shared" si="61"/>
        <v>-1.3513310185185183</v>
      </c>
      <c r="N379" s="9"/>
      <c r="O379" s="22">
        <v>1.7581199999999999</v>
      </c>
      <c r="P379" s="22">
        <v>12.6854</v>
      </c>
      <c r="Q379" s="22">
        <v>1.6146899999999999E-2</v>
      </c>
      <c r="R379" s="22">
        <v>369</v>
      </c>
      <c r="S379" s="22">
        <v>1.7575099999999999</v>
      </c>
      <c r="T379">
        <f t="shared" si="62"/>
        <v>-19.934444444444441</v>
      </c>
      <c r="U379">
        <f t="shared" si="63"/>
        <v>-35.047145466666656</v>
      </c>
      <c r="X379" s="9"/>
      <c r="Y379" s="22">
        <v>-7.8125E-2</v>
      </c>
      <c r="Z379" s="22">
        <v>18.1967</v>
      </c>
      <c r="AA379" s="22">
        <v>-1.40442E-2</v>
      </c>
      <c r="AB379" s="22">
        <v>369</v>
      </c>
      <c r="AC379" s="22">
        <v>-7.85217E-2</v>
      </c>
      <c r="AD379">
        <f t="shared" si="64"/>
        <v>17.338518518518516</v>
      </c>
      <c r="AE379">
        <f t="shared" si="65"/>
        <v>-1.354571759259259</v>
      </c>
      <c r="AF379" s="9"/>
      <c r="AG379" s="22">
        <v>1.7581199999999999</v>
      </c>
      <c r="AH379" s="22">
        <v>21.9756</v>
      </c>
      <c r="AI379" s="22">
        <v>1.78467E-2</v>
      </c>
      <c r="AJ379" s="22">
        <v>369</v>
      </c>
      <c r="AK379" s="22">
        <v>1.7572000000000001</v>
      </c>
      <c r="AL379">
        <f t="shared" si="66"/>
        <v>-22.032962962962962</v>
      </c>
      <c r="AM379">
        <f t="shared" si="67"/>
        <v>-38.736592844444438</v>
      </c>
      <c r="AP379" s="9"/>
      <c r="AQ379" s="22">
        <v>-7.8125E-2</v>
      </c>
      <c r="AR379" s="22">
        <v>27.422999999999998</v>
      </c>
      <c r="AS379" s="22">
        <v>-1.4086899999999999E-2</v>
      </c>
      <c r="AT379" s="22">
        <v>369</v>
      </c>
      <c r="AU379" s="22">
        <v>-7.8582799999999994E-2</v>
      </c>
      <c r="AV379">
        <f t="shared" si="68"/>
        <v>17.391234567901233</v>
      </c>
      <c r="AW379">
        <f t="shared" si="69"/>
        <v>-1.3586902006172838</v>
      </c>
      <c r="AX379" s="9"/>
      <c r="AY379" s="22">
        <v>1.7581199999999999</v>
      </c>
      <c r="AZ379" s="22">
        <v>31.201899999999998</v>
      </c>
      <c r="BA379" s="22">
        <v>1.90308E-2</v>
      </c>
      <c r="BB379" s="22">
        <v>369</v>
      </c>
      <c r="BC379" s="22">
        <v>1.7572000000000001</v>
      </c>
      <c r="BD379">
        <f t="shared" si="70"/>
        <v>-23.494814814814816</v>
      </c>
      <c r="BE379">
        <f t="shared" si="71"/>
        <v>-41.306703822222225</v>
      </c>
    </row>
    <row r="380" spans="6:57">
      <c r="F380" s="9"/>
      <c r="G380" s="22">
        <v>-8.3160399999999995E-2</v>
      </c>
      <c r="H380" s="22">
        <v>8.9165899999999993</v>
      </c>
      <c r="I380" s="22">
        <v>-1.40167E-2</v>
      </c>
      <c r="J380" s="22">
        <v>370</v>
      </c>
      <c r="K380" s="22">
        <v>-8.3618200000000004E-2</v>
      </c>
      <c r="L380">
        <f t="shared" si="60"/>
        <v>17.304567901234567</v>
      </c>
      <c r="M380">
        <f t="shared" si="61"/>
        <v>-1.439054788493827</v>
      </c>
      <c r="N380" s="9"/>
      <c r="O380" s="22">
        <v>1.76315</v>
      </c>
      <c r="P380" s="22">
        <v>12.695499999999999</v>
      </c>
      <c r="Q380" s="22">
        <v>1.9235200000000001E-2</v>
      </c>
      <c r="R380" s="22">
        <v>370</v>
      </c>
      <c r="S380" s="22">
        <v>1.7626999999999999</v>
      </c>
      <c r="T380">
        <f t="shared" si="62"/>
        <v>-23.74716049382716</v>
      </c>
      <c r="U380">
        <f t="shared" si="63"/>
        <v>-41.869806024691357</v>
      </c>
      <c r="X380" s="9"/>
      <c r="Y380" s="22">
        <v>-8.3160399999999995E-2</v>
      </c>
      <c r="Z380" s="22">
        <v>18.206800000000001</v>
      </c>
      <c r="AA380" s="22">
        <v>-1.40503E-2</v>
      </c>
      <c r="AB380" s="22">
        <v>370</v>
      </c>
      <c r="AC380" s="22">
        <v>-8.3618200000000004E-2</v>
      </c>
      <c r="AD380">
        <f t="shared" si="64"/>
        <v>17.34604938271605</v>
      </c>
      <c r="AE380">
        <f t="shared" si="65"/>
        <v>-1.4425044050864197</v>
      </c>
      <c r="AF380" s="9"/>
      <c r="AG380" s="22">
        <v>1.76315</v>
      </c>
      <c r="AH380" s="22">
        <v>21.985700000000001</v>
      </c>
      <c r="AI380" s="22">
        <v>2.12158E-2</v>
      </c>
      <c r="AJ380" s="22">
        <v>370</v>
      </c>
      <c r="AK380" s="22">
        <v>1.7620800000000001</v>
      </c>
      <c r="AL380">
        <f t="shared" si="66"/>
        <v>-26.192345679012345</v>
      </c>
      <c r="AM380">
        <f t="shared" si="67"/>
        <v>-46.181034283950616</v>
      </c>
      <c r="AP380" s="9"/>
      <c r="AQ380" s="22">
        <v>-8.3160399999999995E-2</v>
      </c>
      <c r="AR380" s="22">
        <v>27.433</v>
      </c>
      <c r="AS380" s="22">
        <v>-1.4086899999999999E-2</v>
      </c>
      <c r="AT380" s="22">
        <v>370</v>
      </c>
      <c r="AU380" s="22">
        <v>-8.3587599999999998E-2</v>
      </c>
      <c r="AV380">
        <f t="shared" si="68"/>
        <v>17.391234567901233</v>
      </c>
      <c r="AW380">
        <f t="shared" si="69"/>
        <v>-1.4462620231604937</v>
      </c>
      <c r="AX380" s="9"/>
      <c r="AY380" s="22">
        <v>1.76315</v>
      </c>
      <c r="AZ380" s="22">
        <v>31.212</v>
      </c>
      <c r="BA380" s="22">
        <v>2.2528099999999999E-2</v>
      </c>
      <c r="BB380" s="22">
        <v>370</v>
      </c>
      <c r="BC380" s="22">
        <v>1.7623899999999999</v>
      </c>
      <c r="BD380">
        <f t="shared" si="70"/>
        <v>-27.812469135802466</v>
      </c>
      <c r="BE380">
        <f t="shared" si="71"/>
        <v>-49.037554956790117</v>
      </c>
    </row>
    <row r="381" spans="6:57">
      <c r="F381" s="9"/>
      <c r="G381" s="22">
        <v>-8.8195800000000005E-2</v>
      </c>
      <c r="H381" s="22">
        <v>8.92666</v>
      </c>
      <c r="I381" s="22">
        <v>-1.4019800000000001E-2</v>
      </c>
      <c r="J381" s="22">
        <v>371</v>
      </c>
      <c r="K381" s="22">
        <v>-8.8531499999999999E-2</v>
      </c>
      <c r="L381">
        <f t="shared" si="60"/>
        <v>17.308395061728394</v>
      </c>
      <c r="M381">
        <f t="shared" si="61"/>
        <v>-1.5265277491851852</v>
      </c>
      <c r="N381" s="9"/>
      <c r="O381" s="22">
        <v>1.7681899999999999</v>
      </c>
      <c r="P381" s="22">
        <v>12.7056</v>
      </c>
      <c r="Q381" s="22">
        <v>2.27692E-2</v>
      </c>
      <c r="R381" s="22">
        <v>371</v>
      </c>
      <c r="S381" s="22">
        <v>1.7669699999999999</v>
      </c>
      <c r="T381">
        <f t="shared" si="62"/>
        <v>-28.11012345679012</v>
      </c>
      <c r="U381">
        <f t="shared" si="63"/>
        <v>-49.704039195061718</v>
      </c>
      <c r="X381" s="9"/>
      <c r="Y381" s="22">
        <v>-8.8195800000000005E-2</v>
      </c>
      <c r="Z381" s="22">
        <v>18.216899999999999</v>
      </c>
      <c r="AA381" s="22">
        <v>-1.40442E-2</v>
      </c>
      <c r="AB381" s="22">
        <v>371</v>
      </c>
      <c r="AC381" s="22">
        <v>-8.8562000000000002E-2</v>
      </c>
      <c r="AD381">
        <f t="shared" si="64"/>
        <v>17.338518518518516</v>
      </c>
      <c r="AE381">
        <f t="shared" si="65"/>
        <v>-1.5291845115555553</v>
      </c>
      <c r="AF381" s="9"/>
      <c r="AG381" s="22">
        <v>1.7681899999999999</v>
      </c>
      <c r="AH381" s="22">
        <v>21.995799999999999</v>
      </c>
      <c r="AI381" s="22">
        <v>2.5054900000000001E-2</v>
      </c>
      <c r="AJ381" s="22">
        <v>371</v>
      </c>
      <c r="AK381" s="22">
        <v>1.7669699999999999</v>
      </c>
      <c r="AL381">
        <f t="shared" si="66"/>
        <v>-30.931975308641974</v>
      </c>
      <c r="AM381">
        <f t="shared" si="67"/>
        <v>-54.693609420987649</v>
      </c>
      <c r="AP381" s="9"/>
      <c r="AQ381" s="22">
        <v>-8.8195800000000005E-2</v>
      </c>
      <c r="AR381" s="22">
        <v>27.443100000000001</v>
      </c>
      <c r="AS381" s="22">
        <v>-1.40839E-2</v>
      </c>
      <c r="AT381" s="22">
        <v>371</v>
      </c>
      <c r="AU381" s="22">
        <v>-8.8592500000000005E-2</v>
      </c>
      <c r="AV381">
        <f t="shared" si="68"/>
        <v>17.387530864197529</v>
      </c>
      <c r="AW381">
        <f t="shared" si="69"/>
        <v>-1.5335071945925927</v>
      </c>
      <c r="AX381" s="9"/>
      <c r="AY381" s="22">
        <v>1.7681899999999999</v>
      </c>
      <c r="AZ381" s="22">
        <v>31.222100000000001</v>
      </c>
      <c r="BA381" s="22">
        <v>2.66815E-2</v>
      </c>
      <c r="BB381" s="22">
        <v>371</v>
      </c>
      <c r="BC381" s="22">
        <v>1.7666599999999999</v>
      </c>
      <c r="BD381">
        <f t="shared" si="70"/>
        <v>-32.940123456790118</v>
      </c>
      <c r="BE381">
        <f t="shared" si="71"/>
        <v>-58.244396895061719</v>
      </c>
    </row>
    <row r="382" spans="6:57">
      <c r="F382" s="9"/>
      <c r="G382" s="22">
        <v>-9.32312E-2</v>
      </c>
      <c r="H382" s="22">
        <v>8.9367400000000004</v>
      </c>
      <c r="I382" s="22">
        <v>-1.40228E-2</v>
      </c>
      <c r="J382" s="22">
        <v>372</v>
      </c>
      <c r="K382" s="22">
        <v>-9.3658400000000003E-2</v>
      </c>
      <c r="L382">
        <f t="shared" si="60"/>
        <v>17.312098765432097</v>
      </c>
      <c r="M382">
        <f t="shared" si="61"/>
        <v>-1.6140277424197529</v>
      </c>
      <c r="N382" s="9"/>
      <c r="O382" s="22">
        <v>1.77322</v>
      </c>
      <c r="P382" s="22">
        <v>12.7156</v>
      </c>
      <c r="Q382" s="22">
        <v>2.6812699999999998E-2</v>
      </c>
      <c r="R382" s="22">
        <v>372</v>
      </c>
      <c r="S382" s="22">
        <v>1.7724599999999999</v>
      </c>
      <c r="T382">
        <f t="shared" si="62"/>
        <v>-33.102098765432096</v>
      </c>
      <c r="U382">
        <f t="shared" si="63"/>
        <v>-58.697303572839502</v>
      </c>
      <c r="X382" s="9"/>
      <c r="Y382" s="22">
        <v>-9.32312E-2</v>
      </c>
      <c r="Z382" s="22">
        <v>18.227</v>
      </c>
      <c r="AA382" s="22">
        <v>-1.40442E-2</v>
      </c>
      <c r="AB382" s="22">
        <v>372</v>
      </c>
      <c r="AC382" s="22">
        <v>-9.3658400000000003E-2</v>
      </c>
      <c r="AD382">
        <f t="shared" si="64"/>
        <v>17.338518518518516</v>
      </c>
      <c r="AE382">
        <f t="shared" si="65"/>
        <v>-1.6164908877037034</v>
      </c>
      <c r="AF382" s="9"/>
      <c r="AG382" s="22">
        <v>1.77322</v>
      </c>
      <c r="AH382" s="22">
        <v>22.0059</v>
      </c>
      <c r="AI382" s="22">
        <v>2.94098E-2</v>
      </c>
      <c r="AJ382" s="22">
        <v>372</v>
      </c>
      <c r="AK382" s="22">
        <v>1.7718499999999999</v>
      </c>
      <c r="AL382">
        <f t="shared" si="66"/>
        <v>-36.30839506172839</v>
      </c>
      <c r="AM382">
        <f t="shared" si="67"/>
        <v>-64.382772291358023</v>
      </c>
      <c r="AP382" s="9"/>
      <c r="AQ382" s="22">
        <v>-9.32312E-2</v>
      </c>
      <c r="AR382" s="22">
        <v>27.453199999999999</v>
      </c>
      <c r="AS382" s="22">
        <v>-1.409E-2</v>
      </c>
      <c r="AT382" s="22">
        <v>372</v>
      </c>
      <c r="AU382" s="22">
        <v>-9.3688999999999995E-2</v>
      </c>
      <c r="AV382">
        <f t="shared" si="68"/>
        <v>17.39506172839506</v>
      </c>
      <c r="AW382">
        <f t="shared" si="69"/>
        <v>-1.6217624790123455</v>
      </c>
      <c r="AX382" s="9"/>
      <c r="AY382" s="22">
        <v>1.77322</v>
      </c>
      <c r="AZ382" s="22">
        <v>31.232099999999999</v>
      </c>
      <c r="BA382" s="22">
        <v>3.1179800000000001E-2</v>
      </c>
      <c r="BB382" s="22">
        <v>372</v>
      </c>
      <c r="BC382" s="22">
        <v>1.7724599999999999</v>
      </c>
      <c r="BD382">
        <f t="shared" si="70"/>
        <v>-38.493580246913581</v>
      </c>
      <c r="BE382">
        <f t="shared" si="71"/>
        <v>-68.257586365432104</v>
      </c>
    </row>
    <row r="383" spans="6:57">
      <c r="F383" s="9"/>
      <c r="G383" s="22">
        <v>-9.8266599999999996E-2</v>
      </c>
      <c r="H383" s="22">
        <v>8.9468099999999993</v>
      </c>
      <c r="I383" s="22">
        <v>-1.4025900000000001E-2</v>
      </c>
      <c r="J383" s="22">
        <v>373</v>
      </c>
      <c r="K383" s="22">
        <v>-9.8693799999999998E-2</v>
      </c>
      <c r="L383">
        <f t="shared" si="60"/>
        <v>17.315925925925924</v>
      </c>
      <c r="M383">
        <f t="shared" si="61"/>
        <v>-1.7015771665925923</v>
      </c>
      <c r="N383" s="9"/>
      <c r="O383" s="22">
        <v>1.77826</v>
      </c>
      <c r="P383" s="22">
        <v>12.7257</v>
      </c>
      <c r="Q383" s="22">
        <v>3.13873E-2</v>
      </c>
      <c r="R383" s="22">
        <v>373</v>
      </c>
      <c r="S383" s="22">
        <v>1.7773399999999999</v>
      </c>
      <c r="T383">
        <f t="shared" si="62"/>
        <v>-38.749753086419751</v>
      </c>
      <c r="U383">
        <f t="shared" si="63"/>
        <v>-68.907135923456792</v>
      </c>
      <c r="X383" s="9"/>
      <c r="Y383" s="22">
        <v>-9.8266599999999996E-2</v>
      </c>
      <c r="Z383" s="22">
        <v>18.236999999999998</v>
      </c>
      <c r="AA383" s="22">
        <v>-1.40442E-2</v>
      </c>
      <c r="AB383" s="22">
        <v>373</v>
      </c>
      <c r="AC383" s="22">
        <v>-9.8632800000000007E-2</v>
      </c>
      <c r="AD383">
        <f t="shared" si="64"/>
        <v>17.338518518518516</v>
      </c>
      <c r="AE383">
        <f t="shared" si="65"/>
        <v>-1.7037972638518515</v>
      </c>
      <c r="AF383" s="9"/>
      <c r="AG383" s="22">
        <v>1.77826</v>
      </c>
      <c r="AH383" s="22">
        <v>22.015899999999998</v>
      </c>
      <c r="AI383" s="22">
        <v>3.4350600000000002E-2</v>
      </c>
      <c r="AJ383" s="22">
        <v>373</v>
      </c>
      <c r="AK383" s="22">
        <v>1.7773399999999999</v>
      </c>
      <c r="AL383">
        <f t="shared" si="66"/>
        <v>-42.408148148148143</v>
      </c>
      <c r="AM383">
        <f t="shared" si="67"/>
        <v>-75.412713525925909</v>
      </c>
      <c r="AP383" s="9"/>
      <c r="AQ383" s="22">
        <v>-9.8266599999999996E-2</v>
      </c>
      <c r="AR383" s="22">
        <v>27.4633</v>
      </c>
      <c r="AS383" s="22">
        <v>-1.409E-2</v>
      </c>
      <c r="AT383" s="22">
        <v>373</v>
      </c>
      <c r="AU383" s="22">
        <v>-9.8663299999999995E-2</v>
      </c>
      <c r="AV383">
        <f t="shared" si="68"/>
        <v>17.39506172839506</v>
      </c>
      <c r="AW383">
        <f t="shared" si="69"/>
        <v>-1.709353572839506</v>
      </c>
      <c r="AX383" s="9"/>
      <c r="AY383" s="22">
        <v>1.77826</v>
      </c>
      <c r="AZ383" s="22">
        <v>31.2422</v>
      </c>
      <c r="BA383" s="22">
        <v>3.6496000000000001E-2</v>
      </c>
      <c r="BB383" s="22">
        <v>373</v>
      </c>
      <c r="BC383" s="22">
        <v>1.77704</v>
      </c>
      <c r="BD383">
        <f t="shared" si="70"/>
        <v>-45.056790123456786</v>
      </c>
      <c r="BE383">
        <f t="shared" si="71"/>
        <v>-80.122687604938264</v>
      </c>
    </row>
    <row r="384" spans="6:57">
      <c r="F384" s="9"/>
      <c r="G384" s="22">
        <v>-0.103302</v>
      </c>
      <c r="H384" s="22">
        <v>8.95688</v>
      </c>
      <c r="I384" s="22">
        <v>-1.4035000000000001E-2</v>
      </c>
      <c r="J384" s="22">
        <v>374</v>
      </c>
      <c r="K384" s="22">
        <v>-0.10363799999999999</v>
      </c>
      <c r="L384">
        <f t="shared" si="60"/>
        <v>17.327160493827162</v>
      </c>
      <c r="M384">
        <f t="shared" si="61"/>
        <v>-1.7899303333333336</v>
      </c>
      <c r="N384" s="9"/>
      <c r="O384" s="22">
        <v>1.78329</v>
      </c>
      <c r="P384" s="22">
        <v>12.735799999999999</v>
      </c>
      <c r="Q384" s="22">
        <v>3.6554000000000003E-2</v>
      </c>
      <c r="R384" s="22">
        <v>374</v>
      </c>
      <c r="S384" s="22">
        <v>1.78284</v>
      </c>
      <c r="T384">
        <f t="shared" si="62"/>
        <v>-45.128395061728398</v>
      </c>
      <c r="U384">
        <f t="shared" si="63"/>
        <v>-80.477015629629634</v>
      </c>
      <c r="X384" s="9"/>
      <c r="Y384" s="22">
        <v>-0.103302</v>
      </c>
      <c r="Z384" s="22">
        <v>18.2471</v>
      </c>
      <c r="AA384" s="22">
        <v>-1.4047199999999999E-2</v>
      </c>
      <c r="AB384" s="22">
        <v>374</v>
      </c>
      <c r="AC384" s="22">
        <v>-0.103699</v>
      </c>
      <c r="AD384">
        <f t="shared" si="64"/>
        <v>17.342222222222222</v>
      </c>
      <c r="AE384">
        <f t="shared" si="65"/>
        <v>-1.79148624</v>
      </c>
      <c r="AF384" s="9"/>
      <c r="AG384" s="22">
        <v>1.78329</v>
      </c>
      <c r="AH384" s="22">
        <v>22.026</v>
      </c>
      <c r="AI384" s="22">
        <v>3.9858999999999999E-2</v>
      </c>
      <c r="AJ384" s="22">
        <v>374</v>
      </c>
      <c r="AK384" s="22">
        <v>1.78284</v>
      </c>
      <c r="AL384">
        <f t="shared" si="66"/>
        <v>-49.208641975308637</v>
      </c>
      <c r="AM384">
        <f t="shared" si="67"/>
        <v>-87.753279148148138</v>
      </c>
      <c r="AP384" s="9"/>
      <c r="AQ384" s="22">
        <v>-0.103302</v>
      </c>
      <c r="AR384" s="22">
        <v>27.473299999999998</v>
      </c>
      <c r="AS384" s="22">
        <v>-1.40839E-2</v>
      </c>
      <c r="AT384" s="22">
        <v>374</v>
      </c>
      <c r="AU384" s="22">
        <v>-0.103607</v>
      </c>
      <c r="AV384">
        <f t="shared" si="68"/>
        <v>17.387530864197529</v>
      </c>
      <c r="AW384">
        <f t="shared" si="69"/>
        <v>-1.7961667133333332</v>
      </c>
      <c r="AX384" s="9"/>
      <c r="AY384" s="22">
        <v>1.78329</v>
      </c>
      <c r="AZ384" s="22">
        <v>31.252300000000002</v>
      </c>
      <c r="BA384" s="22">
        <v>4.2211899999999997E-2</v>
      </c>
      <c r="BB384" s="22">
        <v>374</v>
      </c>
      <c r="BC384" s="22">
        <v>1.78223</v>
      </c>
      <c r="BD384">
        <f t="shared" si="70"/>
        <v>-52.11345679012345</v>
      </c>
      <c r="BE384">
        <f t="shared" si="71"/>
        <v>-92.933406359259251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5"/>
  <sheetViews>
    <sheetView tabSelected="1" workbookViewId="0">
      <selection activeCell="A4" sqref="A4:L5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20221231T210000</v>
      </c>
      <c r="B3">
        <f ca="1">INDEX(INDIRECT(A3&amp;"!A11"):INDIRECT(A3&amp;"!A21"),MATCH(E3,INDIRECT(A3&amp;"!D11"):INDIRECT(A3&amp;"!D21"),0))</f>
        <v>1.778381958602796</v>
      </c>
      <c r="C3">
        <f ca="1">INDEX(INDIRECT(A3&amp;"!B11"):INDIRECT(A3&amp;"!B21"),MATCH(E3,INDIRECT(A3&amp;"!D11"):INDIRECT(A3&amp;"!D21"),0))</f>
        <v>17.165017293030832</v>
      </c>
      <c r="D3">
        <f ca="1">INDEX(INDIRECT(A3&amp;"!C11"):INDIRECT(A3&amp;"!C21"),MATCH(E3,INDIRECT(A3&amp;"!D11"):INDIRECT(A3&amp;"!D21"),0))</f>
        <v>0.78159088449900171</v>
      </c>
      <c r="E3">
        <f t="shared" ref="E3" ca="1" si="0">MAX(INDIRECT(A3&amp; "!D11"),INDIRECT(A3 &amp; "!D13"),INDIRECT(A3 &amp; "!D15"),INDIRECT(A3 &amp; "!D17"),INDIRECT(A3 &amp; "!D19"),INDIRECT(A3 &amp; "!D21"))</f>
        <v>23.858809788888884</v>
      </c>
      <c r="G3">
        <f ca="1">INDEX(INDIRECT(A3&amp;"!A12"):INDIRECT(A3&amp;"!A22"),MATCH(J3,INDIRECT(A3&amp;"!D12"):INDIRECT(A3&amp;"!D22"),0))</f>
        <v>1.7683243690625376</v>
      </c>
      <c r="H3">
        <f ca="1">INDEX(INDIRECT(A3&amp;"!B12"):INDIRECT(A3&amp;"!B22"),MATCH(J3,INDIRECT(A3&amp;"!D12"):INDIRECT(A3&amp;"!D22"),0))</f>
        <v>17.070944683312174</v>
      </c>
      <c r="I3">
        <f ca="1">INDEX(INDIRECT(A3&amp;"!C12"):INDIRECT(A3&amp;"!C22"),MATCH(J3,INDIRECT(A3&amp;"!D12"):INDIRECT(A3&amp;"!D22"),0))</f>
        <v>0.75595111290767691</v>
      </c>
      <c r="J3">
        <f t="shared" ref="J3" ca="1" si="1">MAX(INDIRECT(A3&amp; "!D12"),INDIRECT(A3 &amp; "!D14"),INDIRECT(A3 &amp; "!D16"),INDIRECT(A3 &amp; "!D18"),INDIRECT(A3 &amp; "!D20"),,INDIRECT(A3 &amp; "!D22"))</f>
        <v>22.819871666666668</v>
      </c>
      <c r="L3">
        <f ca="1">INDEX(INDIRECT(A3&amp;"!E11"):INDIRECT(A3&amp;"!E21"),MATCH(E3,INDIRECT(A3&amp;"!D11"):INDIRECT(A3&amp;"!D21"),0))</f>
        <v>0</v>
      </c>
    </row>
    <row r="4" spans="1:12">
      <c r="A4" t="str" cm="1">
        <f t="array" aca="1" ref="A4" ca="1">IFERROR(INDEX(MID(sheetnames,FIND("]",sheetnames)+1,255),ROWS($A$2:A4)),"")</f>
        <v>20230101T090000</v>
      </c>
      <c r="B4">
        <f ca="1">INDEX(INDIRECT(A4&amp;"!A11"):INDIRECT(A4&amp;"!A21"),MATCH(E4,INDIRECT(A4&amp;"!D11"):INDIRECT(A4&amp;"!D21"),0))</f>
        <v>1.7833068336929814</v>
      </c>
      <c r="C4">
        <f ca="1">INDEX(INDIRECT(A4&amp;"!B11"):INDIRECT(A4&amp;"!B21"),MATCH(E4,INDIRECT(A4&amp;"!D11"):INDIRECT(A4&amp;"!D21"),0))</f>
        <v>17.382251282218853</v>
      </c>
      <c r="D4">
        <f ca="1">INDEX(INDIRECT(A4&amp;"!C11"):INDIRECT(A4&amp;"!C21"),MATCH(E4,INDIRECT(A4&amp;"!D11"):INDIRECT(A4&amp;"!D21"),0))</f>
        <v>0.77991902724513396</v>
      </c>
      <c r="E4">
        <f t="shared" ref="E4" ca="1" si="2">MAX(INDIRECT(A4&amp; "!D11"),INDIRECT(A4 &amp; "!D13"),INDIRECT(A4 &amp; "!D15"),INDIRECT(A4 &amp; "!D17"),INDIRECT(A4 &amp; "!D19"),INDIRECT(A4 &amp; "!D21"))</f>
        <v>24.175842262962959</v>
      </c>
      <c r="G4">
        <f ca="1">INDEX(INDIRECT(A4&amp;"!A12"):INDIRECT(A4&amp;"!A22"),MATCH(J4,INDIRECT(A4&amp;"!D12"):INDIRECT(A4&amp;"!D22"),0))</f>
        <v>1.7731865312864432</v>
      </c>
      <c r="H4">
        <f ca="1">INDEX(INDIRECT(A4&amp;"!B12"):INDIRECT(A4&amp;"!B22"),MATCH(J4,INDIRECT(A4&amp;"!D12"):INDIRECT(A4&amp;"!D22"),0))</f>
        <v>17.548523589948669</v>
      </c>
      <c r="I4">
        <f ca="1">INDEX(INDIRECT(A4&amp;"!C12"):INDIRECT(A4&amp;"!C22"),MATCH(J4,INDIRECT(A4&amp;"!D12"):INDIRECT(A4&amp;"!D22"),0))</f>
        <v>0.75068005838958463</v>
      </c>
      <c r="J4">
        <f t="shared" ref="J4" ca="1" si="3">MAX(INDIRECT(A4&amp; "!D12"),INDIRECT(A4 &amp; "!D14"),INDIRECT(A4 &amp; "!D16"),INDIRECT(A4 &amp; "!D18"),INDIRECT(A4 &amp; "!D20"),,INDIRECT(A4 &amp; "!D22"))</f>
        <v>23.358765499999997</v>
      </c>
      <c r="L4">
        <f ca="1">INDEX(INDIRECT(A4&amp;"!E11"):INDIRECT(A4&amp;"!E21"),MATCH(E4,INDIRECT(A4&amp;"!D11"):INDIRECT(A4&amp;"!D21"),0))</f>
        <v>4.2725902280414649</v>
      </c>
    </row>
    <row r="5" spans="1:12">
      <c r="A5" t="str" cm="1">
        <f t="array" aca="1" ref="A5" ca="1">IFERROR(INDEX(MID(sheetnames,FIND("]",sheetnames)+1,255),ROWS($A$2:A5)),"")</f>
        <v>20230102T090000</v>
      </c>
      <c r="B5">
        <f ca="1">INDEX(INDIRECT(A5&amp;"!A11"):INDIRECT(A5&amp;"!A21"),MATCH(E5,INDIRECT(A5&amp;"!D11"):INDIRECT(A5&amp;"!D21"),0))</f>
        <v>1.7393770334233318</v>
      </c>
      <c r="C5">
        <f ca="1">INDEX(INDIRECT(A5&amp;"!B11"):INDIRECT(A5&amp;"!B21"),MATCH(E5,INDIRECT(A5&amp;"!D11"):INDIRECT(A5&amp;"!D21"),0))</f>
        <v>17.295033069918265</v>
      </c>
      <c r="D5">
        <f ca="1">INDEX(INDIRECT(A5&amp;"!C11"):INDIRECT(A5&amp;"!C21"),MATCH(E5,INDIRECT(A5&amp;"!D11"):INDIRECT(A5&amp;"!D21"),0))</f>
        <v>0.73811190538520088</v>
      </c>
      <c r="E5">
        <f t="shared" ref="E5" ca="1" si="4">MAX(INDIRECT(A5&amp; "!D11"),INDIRECT(A5 &amp; "!D13"),INDIRECT(A5 &amp; "!D15"),INDIRECT(A5 &amp; "!D17"),INDIRECT(A5 &amp; "!D19"),INDIRECT(A5 &amp; "!D21"))</f>
        <v>22.204312888888886</v>
      </c>
      <c r="G5">
        <f ca="1">INDEX(INDIRECT(A5&amp;"!A12"):INDIRECT(A5&amp;"!A22"),MATCH(J5,INDIRECT(A5&amp;"!D12"):INDIRECT(A5&amp;"!D22"),0))</f>
        <v>1.7058655475113123</v>
      </c>
      <c r="H5">
        <f ca="1">INDEX(INDIRECT(A5&amp;"!B12"):INDIRECT(A5&amp;"!B22"),MATCH(J5,INDIRECT(A5&amp;"!D12"):INDIRECT(A5&amp;"!D22"),0))</f>
        <v>17.316922792521794</v>
      </c>
      <c r="I5">
        <f ca="1">INDEX(INDIRECT(A5&amp;"!C12"):INDIRECT(A5&amp;"!C22"),MATCH(J5,INDIRECT(A5&amp;"!D12"):INDIRECT(A5&amp;"!D22"),0))</f>
        <v>0.74181436103365694</v>
      </c>
      <c r="J5">
        <f t="shared" ref="J5" ca="1" si="5">MAX(INDIRECT(A5&amp; "!D12"),INDIRECT(A5 &amp; "!D14"),INDIRECT(A5 &amp; "!D16"),INDIRECT(A5 &amp; "!D18"),INDIRECT(A5 &amp; "!D20"),,INDIRECT(A5 &amp; "!D22"))</f>
        <v>21.913449911111108</v>
      </c>
      <c r="L5">
        <f ca="1">INDEX(INDIRECT(A5&amp;"!E11"):INDIRECT(A5&amp;"!E21"),MATCH(E5,INDIRECT(A5&amp;"!D11"):INDIRECT(A5&amp;"!D21"),0))</f>
        <v>2.1735597152457169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NEW</vt:lpstr>
      <vt:lpstr>20221231T210000</vt:lpstr>
      <vt:lpstr>20230101T090000</vt:lpstr>
      <vt:lpstr>20230102T090000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2023-01-02T04:56:39Z</dcterms:modified>
</cp:coreProperties>
</file>