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112T090000" sheetId="65" r:id="rId2"/>
    <sheet name="2023011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 s="1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 s="1"/>
  <c r="BD255" i="66"/>
  <c r="BE255" i="66"/>
  <c r="BD256" i="66"/>
  <c r="BE256" i="66"/>
  <c r="BD257" i="66"/>
  <c r="BE257" i="66" s="1"/>
  <c r="BD258" i="66"/>
  <c r="BE258" i="66"/>
  <c r="BD259" i="66"/>
  <c r="BE259" i="66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 s="1"/>
  <c r="AV242" i="66"/>
  <c r="AW242" i="66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 s="1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 s="1"/>
  <c r="AL253" i="66"/>
  <c r="AM253" i="66"/>
  <c r="AL254" i="66"/>
  <c r="AM254" i="66"/>
  <c r="AL255" i="66"/>
  <c r="AM255" i="66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 s="1"/>
  <c r="T126" i="66"/>
  <c r="U126" i="66"/>
  <c r="T127" i="66"/>
  <c r="U127" i="66"/>
  <c r="T128" i="66"/>
  <c r="U128" i="66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/>
  <c r="BD6" i="66"/>
  <c r="AV6" i="66"/>
  <c r="AU6" i="66" s="1"/>
  <c r="AQ2" i="66" s="1"/>
  <c r="AL6" i="66"/>
  <c r="AD6" i="66"/>
  <c r="AC6" i="66" s="1"/>
  <c r="Y2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AS4" i="66"/>
  <c r="AU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W3" i="66"/>
  <c r="CU3" i="66"/>
  <c r="CO3" i="66"/>
  <c r="CK3" i="66"/>
  <c r="CG3" i="66"/>
  <c r="CC3" i="66"/>
  <c r="BW3" i="66"/>
  <c r="BS3" i="66"/>
  <c r="BO3" i="66"/>
  <c r="BM3" i="66"/>
  <c r="BK3" i="66"/>
  <c r="BA3" i="66"/>
  <c r="AS3" i="66"/>
  <c r="AA3" i="66"/>
  <c r="AC3" i="66" s="1"/>
  <c r="Q3" i="66"/>
  <c r="I3" i="66"/>
  <c r="A4" i="63" a="1"/>
  <c r="A4" i="63" l="1"/>
  <c r="BE9" i="66"/>
  <c r="BE7" i="66" s="1"/>
  <c r="BA4" i="66"/>
  <c r="BC4" i="66" s="1"/>
  <c r="BC6" i="66"/>
  <c r="AY2" i="66" s="1"/>
  <c r="BC7" i="66"/>
  <c r="AW9" i="66"/>
  <c r="AM9" i="66"/>
  <c r="AM5" i="66" s="1"/>
  <c r="AI3" i="66"/>
  <c r="AI4" i="66"/>
  <c r="AK4" i="66" s="1"/>
  <c r="AK6" i="66"/>
  <c r="AG2" i="66" s="1"/>
  <c r="AK7" i="66"/>
  <c r="AE9" i="66"/>
  <c r="U9" i="66"/>
  <c r="M9" i="66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EE6" i="66"/>
  <c r="DM6" i="66"/>
  <c r="EV6" i="66"/>
  <c r="G2" i="66"/>
  <c r="S3" i="66"/>
  <c r="Q6" i="66" s="1"/>
  <c r="AK3" i="66"/>
  <c r="AI6" i="66" s="1"/>
  <c r="BC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Y4" i="66"/>
  <c r="AQ4" i="66"/>
  <c r="AY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V9" i="66"/>
  <c r="B18" i="66" s="1"/>
  <c r="CN9" i="66"/>
  <c r="B20" i="66" s="1"/>
  <c r="DF9" i="66"/>
  <c r="B22" i="66" s="1"/>
  <c r="DX9" i="66"/>
  <c r="EP9" i="66"/>
  <c r="FG9" i="66"/>
  <c r="BD7" i="65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 s="1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 s="1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BD397" i="65"/>
  <c r="BE397" i="65" s="1"/>
  <c r="BD398" i="65"/>
  <c r="BE398" i="65" s="1"/>
  <c r="BD399" i="65"/>
  <c r="BE399" i="65" s="1"/>
  <c r="BD400" i="65"/>
  <c r="BE400" i="65" s="1"/>
  <c r="BD401" i="65"/>
  <c r="BE401" i="65" s="1"/>
  <c r="BD402" i="65"/>
  <c r="BE402" i="65" s="1"/>
  <c r="BD403" i="65"/>
  <c r="BE403" i="65" s="1"/>
  <c r="BD404" i="65"/>
  <c r="BE40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V399" i="65"/>
  <c r="AW399" i="65" s="1"/>
  <c r="AV400" i="65"/>
  <c r="AW400" i="65" s="1"/>
  <c r="AV401" i="65"/>
  <c r="AW401" i="65" s="1"/>
  <c r="AV402" i="65"/>
  <c r="AW402" i="65" s="1"/>
  <c r="AV403" i="65"/>
  <c r="AW403" i="65" s="1"/>
  <c r="AV404" i="65"/>
  <c r="AW40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L399" i="65"/>
  <c r="AM399" i="65" s="1"/>
  <c r="AL400" i="65"/>
  <c r="AM400" i="65" s="1"/>
  <c r="AL401" i="65"/>
  <c r="AM401" i="65" s="1"/>
  <c r="AL402" i="65"/>
  <c r="AM402" i="65" s="1"/>
  <c r="AL403" i="65"/>
  <c r="AM403" i="65" s="1"/>
  <c r="AL404" i="65"/>
  <c r="AM40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 s="1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AD399" i="65"/>
  <c r="AE399" i="65" s="1"/>
  <c r="AD400" i="65"/>
  <c r="AE400" i="65" s="1"/>
  <c r="AD401" i="65"/>
  <c r="AE401" i="65" s="1"/>
  <c r="AD402" i="65"/>
  <c r="AE402" i="65" s="1"/>
  <c r="AD403" i="65"/>
  <c r="AE403" i="65" s="1"/>
  <c r="AD404" i="65"/>
  <c r="AE40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/>
  <c r="T218" i="65"/>
  <c r="U218" i="65"/>
  <c r="T219" i="65"/>
  <c r="U219" i="65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T399" i="65"/>
  <c r="U399" i="65" s="1"/>
  <c r="T400" i="65"/>
  <c r="U400" i="65" s="1"/>
  <c r="T401" i="65"/>
  <c r="U401" i="65" s="1"/>
  <c r="T402" i="65"/>
  <c r="U402" i="65" s="1"/>
  <c r="T403" i="65"/>
  <c r="U403" i="65" s="1"/>
  <c r="T404" i="65"/>
  <c r="U404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 s="1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L399" i="65"/>
  <c r="M399" i="65" s="1"/>
  <c r="L400" i="65"/>
  <c r="M400" i="65" s="1"/>
  <c r="L401" i="65"/>
  <c r="M401" i="65" s="1"/>
  <c r="L402" i="65"/>
  <c r="M402" i="65" s="1"/>
  <c r="L403" i="65"/>
  <c r="M403" i="65" s="1"/>
  <c r="L404" i="65"/>
  <c r="M404" i="65" s="1"/>
  <c r="BA6" i="66" l="1"/>
  <c r="BE5" i="66"/>
  <c r="BE3" i="66"/>
  <c r="BD9" i="66"/>
  <c r="B16" i="66" s="1"/>
  <c r="AW7" i="66"/>
  <c r="AW5" i="66"/>
  <c r="AW3" i="66"/>
  <c r="AL9" i="66"/>
  <c r="B14" i="66" s="1"/>
  <c r="AM7" i="66"/>
  <c r="AM3" i="66"/>
  <c r="AG4" i="66"/>
  <c r="AE7" i="66"/>
  <c r="AE3" i="66"/>
  <c r="AE5" i="66"/>
  <c r="U7" i="66"/>
  <c r="U3" i="66"/>
  <c r="U5" i="66"/>
  <c r="M7" i="66"/>
  <c r="M5" i="66"/>
  <c r="M3" i="66"/>
  <c r="EP4" i="66"/>
  <c r="EP2" i="66" s="1"/>
  <c r="FG4" i="66"/>
  <c r="FG2" i="66" s="1"/>
  <c r="DX4" i="66"/>
  <c r="DX2" i="66" s="1"/>
  <c r="A20" i="66"/>
  <c r="CN4" i="66"/>
  <c r="A16" i="66"/>
  <c r="A12" i="66"/>
  <c r="T4" i="66"/>
  <c r="A22" i="66"/>
  <c r="DF4" i="66"/>
  <c r="A18" i="66"/>
  <c r="BV4" i="66"/>
  <c r="A14" i="66"/>
  <c r="AL4" i="66"/>
  <c r="AV4" i="66"/>
  <c r="BN4" i="66"/>
  <c r="L4" i="66"/>
  <c r="CF4" i="66"/>
  <c r="CF2" i="66" s="1"/>
  <c r="CX4" i="66"/>
  <c r="A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BD4" i="66" l="1"/>
  <c r="C13" i="66"/>
  <c r="AD2" i="66"/>
  <c r="D19" i="66"/>
  <c r="CC9" i="66"/>
  <c r="E19" i="66" s="1"/>
  <c r="C17" i="66"/>
  <c r="C19" i="66"/>
  <c r="BN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21" i="66"/>
  <c r="CX2" i="66"/>
  <c r="C11" i="66"/>
  <c r="L2" i="66"/>
  <c r="C15" i="66"/>
  <c r="AV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4" i="63"/>
  <c r="G4" i="63"/>
  <c r="L4" i="63"/>
  <c r="B4" i="63"/>
  <c r="H4" i="63"/>
  <c r="D4" i="63"/>
  <c r="C4" i="63"/>
  <c r="A3" i="63" a="1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AA6" i="65"/>
  <c r="A13" i="65" s="1"/>
  <c r="M3" i="65"/>
  <c r="M5" i="65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CI4" i="65"/>
  <c r="T4" i="65"/>
  <c r="O4" i="65"/>
  <c r="CX4" i="65"/>
  <c r="C21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I2" i="63"/>
  <c r="H3" i="63"/>
  <c r="L3" i="63"/>
  <c r="L2" i="63"/>
  <c r="D2" i="63"/>
  <c r="H2" i="63"/>
  <c r="G3" i="63"/>
  <c r="I3" i="63"/>
  <c r="C3" i="63"/>
  <c r="D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<sst xmlns="http://schemas.openxmlformats.org/spreadsheetml/2006/main" count="1240" uniqueCount="46">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</sst>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404"/>
  <sheetViews>
    <sheetView topLeftCell="AR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1680.9688524580388</v>
      </c>
      <c r="H2" s="2"/>
      <c r="I2" s="6" t="s">
        <v>12</v>
      </c>
      <c r="J2" s="2"/>
      <c r="K2" s="7" t="s">
        <v>13</v>
      </c>
      <c r="L2" s="3">
        <f>L4*I6*L9/100*100</f>
        <v>26.798367108000004</v>
      </c>
      <c r="M2" s="8" t="s">
        <v>14</v>
      </c>
      <c r="N2" s="9"/>
      <c r="O2" s="2">
        <f>ABS(S7-S6)/ABS(T7-T6)*1000</f>
        <v>1616.4153333332722</v>
      </c>
      <c r="P2" s="2"/>
      <c r="Q2" s="6" t="s">
        <v>15</v>
      </c>
      <c r="R2" s="2"/>
      <c r="S2" s="7" t="s">
        <v>13</v>
      </c>
      <c r="T2" s="3">
        <f>T4*Q6*T9/100*100</f>
        <v>26.603125009999999</v>
      </c>
      <c r="U2" s="8" t="s">
        <v>14</v>
      </c>
      <c r="X2" s="9"/>
      <c r="Y2" s="2">
        <f>ABS(AC7-AC6)/ABS(AD7-AD6)*1000</f>
        <v>1655.8225806471228</v>
      </c>
      <c r="Z2" s="2"/>
      <c r="AA2" s="6" t="s">
        <v>12</v>
      </c>
      <c r="AB2" s="2"/>
      <c r="AC2" s="7" t="s">
        <v>13</v>
      </c>
      <c r="AD2" s="3">
        <f>AD4*AA6*AD9/100*100</f>
        <v>26.433001965999996</v>
      </c>
      <c r="AE2" s="8" t="s">
        <v>14</v>
      </c>
      <c r="AF2" s="9"/>
      <c r="AG2" s="2">
        <f>ABS(AK7-AK6)/ABS(AL7-AL6)*1000</f>
        <v>1741.5359999999339</v>
      </c>
      <c r="AH2" s="2"/>
      <c r="AI2" s="6" t="s">
        <v>15</v>
      </c>
      <c r="AJ2" s="2"/>
      <c r="AK2" s="7" t="s">
        <v>13</v>
      </c>
      <c r="AL2" s="3">
        <f>AL4*AI6*AL9/100*100</f>
        <v>26.345334761000004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26.212605517</v>
      </c>
      <c r="AW2" s="8" t="s">
        <v>14</v>
      </c>
      <c r="AX2" s="9"/>
      <c r="AY2" s="2">
        <f>ABS(BC7-BC6)/ABS(BD7-BD6)*1000</f>
        <v>3174.8129032295674</v>
      </c>
      <c r="AZ2" s="2"/>
      <c r="BA2" s="6" t="s">
        <v>15</v>
      </c>
      <c r="BB2" s="2"/>
      <c r="BC2" s="7" t="s">
        <v>13</v>
      </c>
      <c r="BD2" s="3">
        <f>BD4*BA6*BD9/100*100</f>
        <v>26.377977707999996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-5.0659200000000002</v>
      </c>
      <c r="L3" s="31" t="s">
        <v>16</v>
      </c>
      <c r="M3" s="11">
        <f>M9</f>
        <v>26.798367108000001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1.40656</v>
      </c>
      <c r="T3" s="31" t="s">
        <v>16</v>
      </c>
      <c r="U3" s="11">
        <f>U9</f>
        <v>26.603125009999999</v>
      </c>
      <c r="X3" s="9"/>
      <c r="Y3" s="2" t="s">
        <v>44</v>
      </c>
      <c r="Z3" s="2"/>
      <c r="AA3" s="2">
        <f>INDEX(AC11:AC856,MATCH(0,AD11:AD856,1))</f>
        <v>1.7785599999999999</v>
      </c>
      <c r="AB3" s="2"/>
      <c r="AC3" s="10">
        <f>INDEX(AD11:AD1056,MATCH(AA3,AC11:AC1056,0))</f>
        <v>-2.5503499999999999</v>
      </c>
      <c r="AD3" s="31" t="s">
        <v>16</v>
      </c>
      <c r="AE3" s="11">
        <f>AE9</f>
        <v>26.433001965999996</v>
      </c>
      <c r="AF3" s="9"/>
      <c r="AG3" s="2" t="s">
        <v>44</v>
      </c>
      <c r="AH3" s="2"/>
      <c r="AI3" s="2">
        <f>INDEX(AK11:AK1056,MATCH(0,AL11:AL1056,-1))</f>
        <v>1.78711</v>
      </c>
      <c r="AJ3" s="2"/>
      <c r="AK3" s="10">
        <f>INDEX(AL11:AL1056,MATCH(AI3,AK11:AK1056,0))</f>
        <v>1.8457000000000001</v>
      </c>
      <c r="AL3" s="31" t="s">
        <v>16</v>
      </c>
      <c r="AM3" s="11">
        <f>AM9</f>
        <v>26.345334761000004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-4.8739600000000003</v>
      </c>
      <c r="AV3" s="31" t="s">
        <v>16</v>
      </c>
      <c r="AW3" s="11">
        <f>AW9</f>
        <v>26.212605516999997</v>
      </c>
      <c r="AX3" s="9"/>
      <c r="AY3" s="2" t="s">
        <v>44</v>
      </c>
      <c r="AZ3" s="2"/>
      <c r="BA3" s="2">
        <f>INDEX(BC11:BC1056,MATCH(0,BD11:BD1056,-1))</f>
        <v>1.7825299999999999</v>
      </c>
      <c r="BB3" s="2"/>
      <c r="BC3" s="10">
        <f>INDEX(BD11:BD1056,MATCH(BA3,BC11:BC1056,0))</f>
        <v>3.33344</v>
      </c>
      <c r="BD3" s="31" t="s">
        <v>16</v>
      </c>
      <c r="BE3" s="11">
        <f>BE9</f>
        <v>26.377977707999996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0.71240413687502357</v>
      </c>
      <c r="H4" s="2"/>
      <c r="I4" s="2">
        <f>INDEX(K11:K1000,1+MATCH(0,L11:L856,1))</f>
        <v>1.8182400000000001</v>
      </c>
      <c r="J4" s="2"/>
      <c r="K4" s="10">
        <f>INDEX(L11:L1056,MATCH(I4,K11:K1056,0))</f>
        <v>2.6403799999999999</v>
      </c>
      <c r="L4" s="30">
        <f>M3/(I6*L9)</f>
        <v>0.81546621812044406</v>
      </c>
      <c r="M4" s="8" t="s">
        <v>17</v>
      </c>
      <c r="N4" s="9"/>
      <c r="O4" s="2">
        <f>ABS(Q3-Q4)/ABS(S3-S4)*1000</f>
        <v>0.47269953751820648</v>
      </c>
      <c r="P4" s="2"/>
      <c r="Q4" s="2">
        <f>INDEX(S11:S856,1+MATCH(0,T11:T856,-1))</f>
        <v>1.80725</v>
      </c>
      <c r="R4" s="2"/>
      <c r="S4" s="10">
        <f>INDEX(T11:T856,MATCH(Q4,S11:S856,0))</f>
        <v>-8.28247</v>
      </c>
      <c r="T4" s="30">
        <f>U3/(Q6*T9)</f>
        <v>0.81667768799360563</v>
      </c>
      <c r="U4" s="8" t="s">
        <v>17</v>
      </c>
      <c r="X4" s="9"/>
      <c r="Y4" s="2">
        <f>ABS(AA3-AA4)/ABS(AC3-AC4)*1000</f>
        <v>0.89101679785766363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3.6111499999999999</v>
      </c>
      <c r="AD4" s="30">
        <f>AE3/(AA6*AD9)</f>
        <v>0.81990194455100707</v>
      </c>
      <c r="AE4" s="8" t="s">
        <v>17</v>
      </c>
      <c r="AF4" s="9"/>
      <c r="AG4" s="2">
        <f>ABS(AI3-AI4)/ABS(AK3-AK4)*1000</f>
        <v>0.74683005331196617</v>
      </c>
      <c r="AH4" s="2"/>
      <c r="AI4" s="2">
        <f>INDEX(AK11:AK856,1+MATCH(0,AL11:AL856,-1))</f>
        <v>1.7926</v>
      </c>
      <c r="AJ4" s="2"/>
      <c r="AK4" s="10">
        <f>INDEX(AL11:AL856,MATCH(AI4,AK11:AK856,0))</f>
        <v>-5.5053700000000001</v>
      </c>
      <c r="AL4" s="30">
        <f>AM3/(AI6*AL9)</f>
        <v>0.81245533651580937</v>
      </c>
      <c r="AM4" s="8" t="s">
        <v>17</v>
      </c>
      <c r="AP4" s="9"/>
      <c r="AQ4" s="2">
        <f>ABS(AS3-AS4)/ABS(AU3-AU4)*1000</f>
        <v>0.70032074420208712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2.5369300000000004</v>
      </c>
      <c r="AV4" s="30">
        <f>AW3/(AS6*AV9)</f>
        <v>0.81779381573565657</v>
      </c>
      <c r="AW4" s="8" t="s">
        <v>17</v>
      </c>
      <c r="AX4" s="9"/>
      <c r="AY4" s="2">
        <f>ABS(BA3-BA4)/ABS(BC3-BC4)*1000</f>
        <v>1.0063658944731371</v>
      </c>
      <c r="AZ4" s="2"/>
      <c r="BA4" s="2">
        <f>INDEX(BC11:BC856,1+MATCH(0,BD11:BD856,-1))</f>
        <v>1.78772</v>
      </c>
      <c r="BB4" s="2"/>
      <c r="BC4" s="10">
        <f>INDEX(BD11:BD856,MATCH(BA4,BC11:BC856,0))</f>
        <v>-1.8237300000000001</v>
      </c>
      <c r="BD4" s="30">
        <f>BE3/(BA6*BD9)</f>
        <v>0.81267143163787803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16.012599999999999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16.198699999999999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16.284199999999998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16.140700000000002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16.351299999999998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16.311599999999999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1.8201210176349221</v>
      </c>
      <c r="J6" s="30"/>
      <c r="K6" s="13">
        <f>INDEX(K11:K1056,MATCH(L6,L11:L1056,0))</f>
        <v>1.6662599999999999E-3</v>
      </c>
      <c r="L6" s="10">
        <f>INDEX(L11:L1056,MATCH(0,K11:K1056,-1))</f>
        <v>18.054199999999998</v>
      </c>
      <c r="M6" s="8" t="s">
        <v>22</v>
      </c>
      <c r="N6" s="9"/>
      <c r="O6" s="2"/>
      <c r="P6" s="2"/>
      <c r="Q6" s="34">
        <f>(Q3-Q4)/(S3-S4)*(-S4)+Q4</f>
        <v>1.8033348802614917</v>
      </c>
      <c r="R6" s="34"/>
      <c r="S6" s="13">
        <f>INDEX(S11:S1056,MATCH(T6,T11:T1056,0))</f>
        <v>-4.4403100000000003E-3</v>
      </c>
      <c r="T6" s="10">
        <f>INDEX(T11:T1056,MATCH(0,S11:S1056,1))</f>
        <v>18.066400000000002</v>
      </c>
      <c r="U6" s="8" t="s">
        <v>22</v>
      </c>
      <c r="X6" s="9"/>
      <c r="Y6" s="2"/>
      <c r="Z6" s="2"/>
      <c r="AA6" s="30">
        <f>(AA3-AA4)/(AC3-AC4)*(-AC4)+AA4</f>
        <v>1.7762875953095836</v>
      </c>
      <c r="AB6" s="30"/>
      <c r="AC6" s="13">
        <f>INDEX(AC11:AC1056,MATCH(AD6,AD11:AD1056,0))</f>
        <v>1.61743E-3</v>
      </c>
      <c r="AD6" s="10">
        <f>INDEX(AD11:AD1056,MATCH(0,AC11:AC1056,-1))</f>
        <v>18.148800000000001</v>
      </c>
      <c r="AE6" s="8" t="s">
        <v>22</v>
      </c>
      <c r="AF6" s="9"/>
      <c r="AG6" s="2"/>
      <c r="AH6" s="2"/>
      <c r="AI6" s="34">
        <f>(AI3-AI4)/(AK3-AK4)*(-AK4)+AI4</f>
        <v>1.7884884242293979</v>
      </c>
      <c r="AJ6" s="34"/>
      <c r="AK6" s="13">
        <f>INDEX(AK11:AK1056,MATCH(AL6,AL11:AL1056,0))</f>
        <v>-4.6203599999999996E-3</v>
      </c>
      <c r="AL6" s="10">
        <f>INDEX(AL11:AL1056,MATCH(0,AK11:AK1056,1))</f>
        <v>18.133500000000002</v>
      </c>
      <c r="AM6" s="8" t="s">
        <v>22</v>
      </c>
      <c r="AP6" s="9"/>
      <c r="AQ6" s="2"/>
      <c r="AR6" s="2"/>
      <c r="AS6" s="30">
        <f>(AS3-AS4)/(AU3-AU4)*(-AU4)+AS4</f>
        <v>1.7601966647055887</v>
      </c>
      <c r="AT6" s="30"/>
      <c r="AU6" s="13">
        <f>INDEX(AU11:AU1056,MATCH(AV6,AV11:AV1056,0))</f>
        <v>1.5564000000000001E-3</v>
      </c>
      <c r="AV6" s="10">
        <f>INDEX(AV11:AV1056,MATCH(0,AU11:AU1056,-1))</f>
        <v>18.209800000000001</v>
      </c>
      <c r="AW6" s="8" t="s">
        <v>22</v>
      </c>
      <c r="AX6" s="9"/>
      <c r="AY6" s="2"/>
      <c r="AZ6" s="2"/>
      <c r="BA6" s="34">
        <f>(BA3-BA4)/(BC3-BC4)*(-BC4)+BA4</f>
        <v>1.7858846603272724</v>
      </c>
      <c r="BB6" s="34"/>
      <c r="BC6" s="13">
        <f>INDEX(BC11:BC1056,MATCH(BD6,BD11:BD1056,0))</f>
        <v>-4.3029799999999997E-3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-8.5876500000000005E-3</v>
      </c>
      <c r="L7" s="10">
        <f>INDEX(L11:L856,1+MATCH(0,K11:K856,-1))</f>
        <v>18.060300000000002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4.0893599999999999E-4</v>
      </c>
      <c r="T7" s="10">
        <f>INDEX(T11:T1056,1+MATCH(0,S11:S1056,1))</f>
        <v>18.063400000000001</v>
      </c>
      <c r="U7" s="12">
        <f>INDEX(S11:S1056,MATCH(U9,U11:U1056,0))</f>
        <v>1.64185</v>
      </c>
      <c r="X7" s="9"/>
      <c r="Y7" s="2"/>
      <c r="Z7" s="2"/>
      <c r="AA7" s="2"/>
      <c r="AB7" s="2"/>
      <c r="AC7" s="13">
        <f>INDEX(AC11:AC856,MATCH(AD7,AD11:AD856,1))</f>
        <v>-3.5156200000000001E-3</v>
      </c>
      <c r="AD7" s="10">
        <f>INDEX(AD11:AD856,1+MATCH(0,AC11:AC856,-1))</f>
        <v>18.151899999999998</v>
      </c>
      <c r="AE7" s="12">
        <f>INDEX(AC11:AC1056,MATCH(AE9,AE11:AE1056,0))</f>
        <v>1.6229199999999999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18.130500000000001</v>
      </c>
      <c r="AM7" s="12">
        <f>INDEX(AK11:AK1056,MATCH(AM9,AM11:AM1056,0))</f>
        <v>1.63208</v>
      </c>
      <c r="AP7" s="9"/>
      <c r="AQ7" s="2"/>
      <c r="AR7" s="2"/>
      <c r="AS7" s="2"/>
      <c r="AT7" s="2"/>
      <c r="AU7" s="13">
        <f>INDEX(AU11:AU856,MATCH(AV7,AV11:AV856,1))</f>
        <v>-3.4820599999999999E-3</v>
      </c>
      <c r="AV7" s="10">
        <f>INDEX(AV11:AV856,1+MATCH(0,AU11:AU856,-1))</f>
        <v>18.209800000000001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5.53894E-3</v>
      </c>
      <c r="BD7" s="10">
        <f>INDEX(BD11:BD1056,2+MATCH(0,BC11:BC1056,1))</f>
        <v>18.173200000000001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0.72855968131625493</v>
      </c>
      <c r="J9" s="2"/>
      <c r="K9" s="2"/>
      <c r="L9" s="3">
        <f>(L6-L7)/(K6-K7)*(-K7)+L7</f>
        <v>18.055191249776914</v>
      </c>
      <c r="M9" s="16">
        <f>MAX(M11:M1056)</f>
        <v>26.798367108000001</v>
      </c>
      <c r="N9" s="9"/>
      <c r="O9" s="2"/>
      <c r="P9" s="2"/>
      <c r="Q9" s="2"/>
      <c r="R9" s="2"/>
      <c r="S9" s="2"/>
      <c r="T9" s="3">
        <f>(T6-T7)/(S6-S7)*(-S7)+T7</f>
        <v>18.063652989433823</v>
      </c>
      <c r="U9" s="16">
        <f>MAX(U11:U1056)</f>
        <v>26.603125009999999</v>
      </c>
      <c r="X9" s="9"/>
      <c r="Y9" s="2"/>
      <c r="Z9" s="2"/>
      <c r="AA9" s="15">
        <f>(MAX(AD2,AL2)-MIN(AD2,AL2))/MAX(AD2,AL2)%</f>
        <v>0.33165814882757394</v>
      </c>
      <c r="AB9" s="2"/>
      <c r="AC9" s="2"/>
      <c r="AD9" s="3">
        <f>(AD6-AD7)/(AC6-AC7)*(-AC7)+AD7</f>
        <v>18.149776813590361</v>
      </c>
      <c r="AE9" s="16">
        <f>MAX(AE11:AE1056)</f>
        <v>26.433001965999996</v>
      </c>
      <c r="AF9" s="9"/>
      <c r="AG9" s="2"/>
      <c r="AH9" s="2"/>
      <c r="AI9" s="2"/>
      <c r="AJ9" s="2"/>
      <c r="AK9" s="2"/>
      <c r="AL9" s="3">
        <f>(AL6-AL7)/(AK6-AK7)*(-AK7)+AL7</f>
        <v>18.130846962681222</v>
      </c>
      <c r="AM9" s="16">
        <f>MAX(AM11:AM1056)</f>
        <v>26.345334761000004</v>
      </c>
      <c r="AP9" s="9"/>
      <c r="AQ9" s="2"/>
      <c r="AR9" s="2"/>
      <c r="AS9" s="15">
        <f>(MAX(AV2,BD2)-MIN(AV2,BD2))/MAX(AV2,BD2)%</f>
        <v>0.62693278776197203</v>
      </c>
      <c r="AT9" s="2"/>
      <c r="AU9" s="2"/>
      <c r="AV9" s="3">
        <f>(AV6-AV7)/(AU6-AU7)*(-AU7)+AV7</f>
        <v>18.209800000000001</v>
      </c>
      <c r="AW9" s="16">
        <f>MAX(AW11:AW1056)</f>
        <v>26.212605516999997</v>
      </c>
      <c r="AX9" s="9"/>
      <c r="AY9" s="2"/>
      <c r="AZ9" s="2"/>
      <c r="BA9" s="2"/>
      <c r="BB9" s="2"/>
      <c r="BC9" s="2"/>
      <c r="BD9" s="3">
        <f>(BD6-BD7)/(BC6-BC7)*(-BC7)+BD7</f>
        <v>18.174944650840487</v>
      </c>
      <c r="BE9" s="16">
        <f>MAX(BE11:BE1056)</f>
        <v>26.377977707999996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1.8201210176349221</v>
      </c>
      <c r="B11" s="19">
        <f>IFERROR(L9,0)</f>
        <v>18.055191249776914</v>
      </c>
      <c r="C11" s="20">
        <f>IFERROR(L4,0)</f>
        <v>0.81546621812044406</v>
      </c>
      <c r="D11" s="21">
        <f>IFERROR(L2,0)</f>
        <v>26.798367108000004</v>
      </c>
      <c r="E11" s="21">
        <f>IFERROR(I9,0)</f>
        <v>0.72855968131625493</v>
      </c>
      <c r="F11" s="9"/>
      <c r="G11" s="22">
        <v>1.875</v>
      </c>
      <c r="H11" s="22">
        <v>15.491899999999999</v>
      </c>
      <c r="I11" s="22">
        <v>0.183838</v>
      </c>
      <c r="J11" s="22">
        <v>1</v>
      </c>
      <c r="K11" s="22">
        <v>1.87408</v>
      </c>
      <c r="L11">
        <f>-I11/$F$2*1000</f>
        <v>-183.83799999999999</v>
      </c>
      <c r="M11">
        <f>L11*G11</f>
        <v>-344.69624999999996</v>
      </c>
      <c r="N11" s="9"/>
      <c r="O11" s="22">
        <v>-9.49097E-2</v>
      </c>
      <c r="P11" s="22">
        <v>72.801699999999997</v>
      </c>
      <c r="Q11" s="22">
        <v>-1.8136599999999999E-2</v>
      </c>
      <c r="R11" s="22">
        <v>1</v>
      </c>
      <c r="S11" s="22">
        <v>-9.5275899999999997E-2</v>
      </c>
      <c r="T11">
        <f>-Q11/$F$2*1000</f>
        <v>18.136599999999998</v>
      </c>
      <c r="U11">
        <f>T11*O11</f>
        <v>-1.7213392650199999</v>
      </c>
      <c r="V11" s="23"/>
      <c r="W11" s="24"/>
      <c r="X11" s="9"/>
      <c r="Y11" s="22">
        <v>1.875</v>
      </c>
      <c r="Z11" s="22">
        <v>162.96</v>
      </c>
      <c r="AA11" s="22">
        <v>0.26715100000000003</v>
      </c>
      <c r="AB11" s="22">
        <v>1</v>
      </c>
      <c r="AC11" s="22">
        <v>1.87439</v>
      </c>
      <c r="AD11">
        <f>-AA11/$F$2*1000</f>
        <v>-267.15100000000001</v>
      </c>
      <c r="AE11">
        <f>AD11*Y11</f>
        <v>-500.90812500000004</v>
      </c>
      <c r="AF11" s="9"/>
      <c r="AG11" s="22">
        <v>-9.49097E-2</v>
      </c>
      <c r="AH11" s="22">
        <v>277.27300000000002</v>
      </c>
      <c r="AI11" s="22">
        <v>-1.82159E-2</v>
      </c>
      <c r="AJ11" s="22">
        <v>1</v>
      </c>
      <c r="AK11" s="22">
        <v>-9.5642099999999994E-2</v>
      </c>
      <c r="AL11">
        <f>-AI11/$F$2*1000</f>
        <v>18.215900000000001</v>
      </c>
      <c r="AM11">
        <f>AL11*AG11</f>
        <v>-1.7288656042300001</v>
      </c>
      <c r="AP11" s="9"/>
      <c r="AQ11" s="22">
        <v>1.875</v>
      </c>
      <c r="AR11" s="22">
        <v>350.286</v>
      </c>
      <c r="AS11" s="22">
        <v>0.29284700000000002</v>
      </c>
      <c r="AT11" s="22">
        <v>1</v>
      </c>
      <c r="AU11" s="22">
        <v>1.87408</v>
      </c>
      <c r="AV11">
        <f>-AS11/$F$2*1000</f>
        <v>-292.84700000000004</v>
      </c>
      <c r="AW11">
        <f>AV11*AQ11</f>
        <v>-549.0881250000001</v>
      </c>
      <c r="AX11" s="9"/>
      <c r="AY11" s="22">
        <v>-9.49097E-2</v>
      </c>
      <c r="AZ11" s="22">
        <v>402.71499999999997</v>
      </c>
      <c r="BA11" s="22">
        <v>-1.82404E-2</v>
      </c>
      <c r="BB11" s="22">
        <v>1</v>
      </c>
      <c r="BC11" s="22">
        <v>-9.5459000000000002E-2</v>
      </c>
      <c r="BD11">
        <f>-BA11/$F$2*1000</f>
        <v>18.240400000000001</v>
      </c>
      <c r="BE11">
        <f>BD11*AY11</f>
        <v>-1.7311908918800001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1.8033348802614917</v>
      </c>
      <c r="B12" s="19">
        <f>IFERROR(T9,0)</f>
        <v>18.063652989433823</v>
      </c>
      <c r="C12" s="20">
        <f>IFERROR(T4,0)</f>
        <v>0.81667768799360563</v>
      </c>
      <c r="D12" s="21">
        <f>IFERROR(T2,0)</f>
        <v>26.603125009999999</v>
      </c>
      <c r="E12" s="21"/>
      <c r="F12" s="9"/>
      <c r="G12" s="22">
        <v>1.8699600000000001</v>
      </c>
      <c r="H12" s="22">
        <v>15.592599999999999</v>
      </c>
      <c r="I12" s="22">
        <v>0.16409299999999999</v>
      </c>
      <c r="J12" s="22">
        <v>2</v>
      </c>
      <c r="K12" s="22">
        <v>1.8692</v>
      </c>
      <c r="L12">
        <f t="shared" ref="L12:L75" si="0">-I12/$F$2*1000</f>
        <v>-164.09299999999999</v>
      </c>
      <c r="M12">
        <f t="shared" ref="M12:M75" si="1">L12*G12</f>
        <v>-306.84734628000001</v>
      </c>
      <c r="N12" s="9"/>
      <c r="O12" s="22">
        <v>-8.9874300000000004E-2</v>
      </c>
      <c r="P12" s="22">
        <v>72.9024</v>
      </c>
      <c r="Q12" s="22">
        <v>-1.8130500000000001E-2</v>
      </c>
      <c r="R12" s="22">
        <v>2</v>
      </c>
      <c r="S12" s="22">
        <v>-9.0362499999999998E-2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1.8699600000000001</v>
      </c>
      <c r="Z12" s="22">
        <v>163.06100000000001</v>
      </c>
      <c r="AA12" s="22">
        <v>0.25360100000000002</v>
      </c>
      <c r="AB12" s="22">
        <v>2</v>
      </c>
      <c r="AC12" s="22">
        <v>1.8689</v>
      </c>
      <c r="AD12">
        <f t="shared" ref="AD12:AD75" si="4">-AA12/$F$2*1000</f>
        <v>-253.60100000000003</v>
      </c>
      <c r="AE12">
        <f t="shared" ref="AE12:AE75" si="5">AD12*Y12</f>
        <v>-474.22372596000008</v>
      </c>
      <c r="AF12" s="9"/>
      <c r="AG12" s="22">
        <v>-8.9874300000000004E-2</v>
      </c>
      <c r="AH12" s="22">
        <v>277.37400000000002</v>
      </c>
      <c r="AI12" s="22">
        <v>-1.8209800000000002E-2</v>
      </c>
      <c r="AJ12" s="22">
        <v>2</v>
      </c>
      <c r="AK12" s="22">
        <v>-9.0331999999999996E-2</v>
      </c>
      <c r="AL12">
        <f t="shared" ref="AL12:AL75" si="6">-AI12/$F$2*1000</f>
        <v>18.209800000000001</v>
      </c>
      <c r="AM12">
        <f t="shared" ref="AM12:AM75" si="7">AL12*AG12</f>
        <v>-1.6365930281400003</v>
      </c>
      <c r="AP12" s="9"/>
      <c r="AQ12" s="22">
        <v>1.8699600000000001</v>
      </c>
      <c r="AR12" s="22">
        <v>350.387</v>
      </c>
      <c r="AS12" s="22">
        <v>0.283966</v>
      </c>
      <c r="AT12" s="22">
        <v>2</v>
      </c>
      <c r="AU12" s="22">
        <v>1.8689</v>
      </c>
      <c r="AV12">
        <f t="shared" ref="AV12:AV75" si="8">-AS12/$F$2*1000</f>
        <v>-283.96600000000001</v>
      </c>
      <c r="AW12">
        <f t="shared" ref="AW12:AW75" si="9">AV12*AQ12</f>
        <v>-531.00506136000001</v>
      </c>
      <c r="AX12" s="9"/>
      <c r="AY12" s="22">
        <v>-8.9874300000000004E-2</v>
      </c>
      <c r="AZ12" s="22">
        <v>402.81599999999997</v>
      </c>
      <c r="BA12" s="22">
        <v>-1.8234299999999998E-2</v>
      </c>
      <c r="BB12" s="22">
        <v>2</v>
      </c>
      <c r="BC12" s="22">
        <v>-9.0454099999999996E-2</v>
      </c>
      <c r="BD12">
        <f t="shared" ref="BD12:BD75" si="10">-BA12/$F$2*1000</f>
        <v>18.234299999999998</v>
      </c>
      <c r="BE12">
        <f t="shared" ref="BE12:BE75" si="11">BD12*AY12</f>
        <v>-1.63879494849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1.7762875953095836</v>
      </c>
      <c r="B13" s="19">
        <f>IFERROR(AD9,0)</f>
        <v>18.149776813590361</v>
      </c>
      <c r="C13" s="20">
        <f>IFERROR(AD4,0)</f>
        <v>0.81990194455100707</v>
      </c>
      <c r="D13" s="21">
        <f>IFERROR(AD2,0)</f>
        <v>26.433001965999996</v>
      </c>
      <c r="E13" s="21">
        <f>IFERROR(AA9,0)</f>
        <v>0.33165814882757394</v>
      </c>
      <c r="F13" s="9"/>
      <c r="G13" s="22">
        <v>1.86493</v>
      </c>
      <c r="H13" s="22">
        <v>15.693300000000001</v>
      </c>
      <c r="I13" s="22">
        <v>0.14651500000000001</v>
      </c>
      <c r="J13" s="22">
        <v>3</v>
      </c>
      <c r="K13" s="22">
        <v>1.86432</v>
      </c>
      <c r="L13">
        <f t="shared" si="0"/>
        <v>-146.51500000000001</v>
      </c>
      <c r="M13">
        <f t="shared" si="1"/>
        <v>-273.24021895000004</v>
      </c>
      <c r="N13" s="9"/>
      <c r="O13" s="22">
        <v>-8.4838899999999995E-2</v>
      </c>
      <c r="P13" s="22">
        <v>73.003200000000007</v>
      </c>
      <c r="Q13" s="22">
        <v>-1.8130500000000001E-2</v>
      </c>
      <c r="R13" s="22">
        <v>3</v>
      </c>
      <c r="S13" s="22">
        <v>-8.5327100000000003E-2</v>
      </c>
      <c r="T13">
        <f t="shared" si="2"/>
        <v>18.130500000000001</v>
      </c>
      <c r="U13">
        <f t="shared" si="3"/>
        <v>-1.53817167645</v>
      </c>
      <c r="V13" s="23"/>
      <c r="W13" s="24"/>
      <c r="X13" s="9"/>
      <c r="Y13" s="22">
        <v>1.86493</v>
      </c>
      <c r="Z13" s="22">
        <v>163.16200000000001</v>
      </c>
      <c r="AA13" s="22">
        <v>0.238403</v>
      </c>
      <c r="AB13" s="22">
        <v>3</v>
      </c>
      <c r="AC13" s="22">
        <v>1.86432</v>
      </c>
      <c r="AD13">
        <f t="shared" si="4"/>
        <v>-238.40299999999999</v>
      </c>
      <c r="AE13">
        <f t="shared" si="5"/>
        <v>-444.60490678999997</v>
      </c>
      <c r="AF13" s="9"/>
      <c r="AG13" s="22">
        <v>-8.4838899999999995E-2</v>
      </c>
      <c r="AH13" s="22">
        <v>277.47500000000002</v>
      </c>
      <c r="AI13" s="22">
        <v>-1.82037E-2</v>
      </c>
      <c r="AJ13" s="22">
        <v>3</v>
      </c>
      <c r="AK13" s="22">
        <v>-8.5449200000000003E-2</v>
      </c>
      <c r="AL13">
        <f t="shared" si="6"/>
        <v>18.203700000000001</v>
      </c>
      <c r="AM13">
        <f t="shared" si="7"/>
        <v>-1.5443818839300001</v>
      </c>
      <c r="AP13" s="9"/>
      <c r="AQ13" s="22">
        <v>1.86493</v>
      </c>
      <c r="AR13" s="22">
        <v>350.488</v>
      </c>
      <c r="AS13" s="22">
        <v>0.27276600000000001</v>
      </c>
      <c r="AT13" s="22">
        <v>3</v>
      </c>
      <c r="AU13" s="22">
        <v>1.86432</v>
      </c>
      <c r="AV13">
        <f t="shared" si="8"/>
        <v>-272.76600000000002</v>
      </c>
      <c r="AW13">
        <f t="shared" si="9"/>
        <v>-508.68949638000004</v>
      </c>
      <c r="AX13" s="9"/>
      <c r="AY13" s="22">
        <v>-8.4838899999999995E-2</v>
      </c>
      <c r="AZ13" s="22">
        <v>402.91699999999997</v>
      </c>
      <c r="BA13" s="22">
        <v>-1.8231199999999999E-2</v>
      </c>
      <c r="BB13" s="22">
        <v>3</v>
      </c>
      <c r="BC13" s="22">
        <v>-8.5632299999999995E-2</v>
      </c>
      <c r="BD13">
        <f t="shared" si="10"/>
        <v>18.231200000000001</v>
      </c>
      <c r="BE13">
        <f t="shared" si="11"/>
        <v>-1.54671495368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1.7884884242293979</v>
      </c>
      <c r="B14" s="19">
        <f>IFERROR(AL9,0)</f>
        <v>18.130846962681222</v>
      </c>
      <c r="C14" s="20">
        <f>IFERROR(AL4,0)</f>
        <v>0.81245533651580937</v>
      </c>
      <c r="D14" s="21">
        <f>IFERROR(AL2,0)</f>
        <v>26.345334761000004</v>
      </c>
      <c r="E14" s="21"/>
      <c r="F14" s="9"/>
      <c r="G14" s="22">
        <v>1.85989</v>
      </c>
      <c r="H14" s="22">
        <v>15.794</v>
      </c>
      <c r="I14" s="22">
        <v>0.12765499999999999</v>
      </c>
      <c r="J14" s="22">
        <v>4</v>
      </c>
      <c r="K14" s="22">
        <v>1.85883</v>
      </c>
      <c r="L14">
        <f t="shared" si="0"/>
        <v>-127.65499999999999</v>
      </c>
      <c r="M14">
        <f t="shared" si="1"/>
        <v>-237.42425794999997</v>
      </c>
      <c r="N14" s="9"/>
      <c r="O14" s="22">
        <v>-7.9803499999999999E-2</v>
      </c>
      <c r="P14" s="22">
        <v>73.103899999999996</v>
      </c>
      <c r="Q14" s="22">
        <v>-1.8124399999999999E-2</v>
      </c>
      <c r="R14" s="22">
        <v>4</v>
      </c>
      <c r="S14" s="22">
        <v>-8.0444299999999996E-2</v>
      </c>
      <c r="T14">
        <f t="shared" si="2"/>
        <v>18.124399999999998</v>
      </c>
      <c r="U14">
        <f t="shared" si="3"/>
        <v>-1.4463905553999998</v>
      </c>
      <c r="V14" s="23"/>
      <c r="W14" s="24"/>
      <c r="X14" s="9"/>
      <c r="Y14" s="22">
        <v>1.85989</v>
      </c>
      <c r="Z14" s="22">
        <v>163.262</v>
      </c>
      <c r="AA14" s="22">
        <v>0.224915</v>
      </c>
      <c r="AB14" s="22">
        <v>4</v>
      </c>
      <c r="AC14" s="22">
        <v>1.8591299999999999</v>
      </c>
      <c r="AD14">
        <f t="shared" si="4"/>
        <v>-224.91499999999999</v>
      </c>
      <c r="AE14">
        <f t="shared" si="5"/>
        <v>-418.31715935</v>
      </c>
      <c r="AF14" s="9"/>
      <c r="AG14" s="22">
        <v>-7.9803499999999999E-2</v>
      </c>
      <c r="AH14" s="22">
        <v>277.57499999999999</v>
      </c>
      <c r="AI14" s="22">
        <v>-1.8191499999999999E-2</v>
      </c>
      <c r="AJ14" s="22">
        <v>4</v>
      </c>
      <c r="AK14" s="22">
        <v>-8.0383300000000005E-2</v>
      </c>
      <c r="AL14">
        <f t="shared" si="6"/>
        <v>18.191499999999998</v>
      </c>
      <c r="AM14">
        <f t="shared" si="7"/>
        <v>-1.4517453702499998</v>
      </c>
      <c r="AP14" s="9"/>
      <c r="AQ14" s="22">
        <v>1.85989</v>
      </c>
      <c r="AR14" s="22">
        <v>350.58800000000002</v>
      </c>
      <c r="AS14" s="22">
        <v>0.25839200000000001</v>
      </c>
      <c r="AT14" s="22">
        <v>4</v>
      </c>
      <c r="AU14" s="22">
        <v>1.85944</v>
      </c>
      <c r="AV14">
        <f t="shared" si="8"/>
        <v>-258.392</v>
      </c>
      <c r="AW14">
        <f t="shared" si="9"/>
        <v>-480.58069688</v>
      </c>
      <c r="AX14" s="9"/>
      <c r="AY14" s="22">
        <v>-7.9803499999999999E-2</v>
      </c>
      <c r="AZ14" s="22">
        <v>403.017</v>
      </c>
      <c r="BA14" s="22">
        <v>-1.8228100000000001E-2</v>
      </c>
      <c r="BB14" s="22">
        <v>4</v>
      </c>
      <c r="BC14" s="22">
        <v>-8.0352800000000002E-2</v>
      </c>
      <c r="BD14">
        <f t="shared" si="10"/>
        <v>18.228100000000001</v>
      </c>
      <c r="BE14">
        <f t="shared" si="11"/>
        <v>-1.4546661783500001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1.7601966647055887</v>
      </c>
      <c r="B15" s="19">
        <f>IFERROR(AV9,0)</f>
        <v>18.209800000000001</v>
      </c>
      <c r="C15" s="20">
        <f>IFERROR(AV4,0)</f>
        <v>0.81779381573565657</v>
      </c>
      <c r="D15" s="21">
        <f>IFERROR(AV2,0)</f>
        <v>26.212605517</v>
      </c>
      <c r="E15" s="21">
        <f>IFERROR(AS9,0)</f>
        <v>0.62693278776197203</v>
      </c>
      <c r="F15" s="9"/>
      <c r="G15" s="22">
        <v>1.85486</v>
      </c>
      <c r="H15" s="22">
        <v>15.8947</v>
      </c>
      <c r="I15" s="22">
        <v>0.109344</v>
      </c>
      <c r="J15" s="22">
        <v>5</v>
      </c>
      <c r="K15" s="22">
        <v>1.85425</v>
      </c>
      <c r="L15">
        <f t="shared" si="0"/>
        <v>-109.34399999999999</v>
      </c>
      <c r="M15">
        <f t="shared" si="1"/>
        <v>-202.81781183999999</v>
      </c>
      <c r="N15" s="9"/>
      <c r="O15" s="22">
        <v>-7.4768100000000004E-2</v>
      </c>
      <c r="P15" s="22">
        <v>73.204599999999999</v>
      </c>
      <c r="Q15" s="22">
        <v>-1.81183E-2</v>
      </c>
      <c r="R15" s="22">
        <v>5</v>
      </c>
      <c r="S15" s="22">
        <v>-7.5103799999999998E-2</v>
      </c>
      <c r="T15">
        <f t="shared" si="2"/>
        <v>18.118300000000001</v>
      </c>
      <c r="U15">
        <f t="shared" si="3"/>
        <v>-1.3546708662300002</v>
      </c>
      <c r="V15" s="23"/>
      <c r="W15" s="24"/>
      <c r="X15" s="9"/>
      <c r="Y15" s="22">
        <v>1.85486</v>
      </c>
      <c r="Z15" s="22">
        <v>163.363</v>
      </c>
      <c r="AA15" s="22">
        <v>0.210144</v>
      </c>
      <c r="AB15" s="22">
        <v>5</v>
      </c>
      <c r="AC15" s="22">
        <v>1.85425</v>
      </c>
      <c r="AD15">
        <f t="shared" si="4"/>
        <v>-210.14400000000001</v>
      </c>
      <c r="AE15">
        <f t="shared" si="5"/>
        <v>-389.78769984000002</v>
      </c>
      <c r="AF15" s="9"/>
      <c r="AG15" s="22">
        <v>-7.4768100000000004E-2</v>
      </c>
      <c r="AH15" s="22">
        <v>277.67599999999999</v>
      </c>
      <c r="AI15" s="22">
        <v>-1.81885E-2</v>
      </c>
      <c r="AJ15" s="22">
        <v>5</v>
      </c>
      <c r="AK15" s="22">
        <v>-7.5195300000000007E-2</v>
      </c>
      <c r="AL15">
        <f t="shared" si="6"/>
        <v>18.188500000000001</v>
      </c>
      <c r="AM15">
        <f t="shared" si="7"/>
        <v>-1.3599195868500003</v>
      </c>
      <c r="AP15" s="9"/>
      <c r="AQ15" s="22">
        <v>1.85486</v>
      </c>
      <c r="AR15" s="22">
        <v>350.68900000000002</v>
      </c>
      <c r="AS15" s="22">
        <v>0.24942</v>
      </c>
      <c r="AT15" s="22">
        <v>5</v>
      </c>
      <c r="AU15" s="22">
        <v>1.8545499999999999</v>
      </c>
      <c r="AV15">
        <f t="shared" si="8"/>
        <v>-249.42000000000002</v>
      </c>
      <c r="AW15">
        <f t="shared" si="9"/>
        <v>-462.6391812</v>
      </c>
      <c r="AX15" s="9"/>
      <c r="AY15" s="22">
        <v>-7.4768100000000004E-2</v>
      </c>
      <c r="AZ15" s="22">
        <v>403.11799999999999</v>
      </c>
      <c r="BA15" s="22">
        <v>-1.8221999999999999E-2</v>
      </c>
      <c r="BB15" s="22">
        <v>5</v>
      </c>
      <c r="BC15" s="22">
        <v>-7.5317400000000007E-2</v>
      </c>
      <c r="BD15">
        <f t="shared" si="10"/>
        <v>18.221999999999998</v>
      </c>
      <c r="BE15">
        <f t="shared" si="11"/>
        <v>-1.3624243182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1.7858846603272724</v>
      </c>
      <c r="B16" s="19">
        <f>IFERROR(BD9,0)</f>
        <v>18.174944650840487</v>
      </c>
      <c r="C16" s="20">
        <f>IFERROR(BD4,0)</f>
        <v>0.81267143163787803</v>
      </c>
      <c r="D16" s="21">
        <f>IFERROR(BD2,0)</f>
        <v>26.377977707999996</v>
      </c>
      <c r="E16" s="21"/>
      <c r="F16" s="9"/>
      <c r="G16" s="22">
        <v>1.84982</v>
      </c>
      <c r="H16" s="22">
        <v>15.9954</v>
      </c>
      <c r="I16" s="22">
        <v>9.1400099999999998E-2</v>
      </c>
      <c r="J16" s="22">
        <v>6</v>
      </c>
      <c r="K16" s="22">
        <v>1.8487499999999999</v>
      </c>
      <c r="L16">
        <f t="shared" si="0"/>
        <v>-91.400099999999995</v>
      </c>
      <c r="M16">
        <f t="shared" si="1"/>
        <v>-169.073732982</v>
      </c>
      <c r="N16" s="9"/>
      <c r="O16" s="22">
        <v>-6.9732699999999995E-2</v>
      </c>
      <c r="P16" s="22">
        <v>73.305300000000003</v>
      </c>
      <c r="Q16" s="22">
        <v>-1.8115200000000001E-2</v>
      </c>
      <c r="R16" s="22">
        <v>6</v>
      </c>
      <c r="S16" s="22">
        <v>-7.0281999999999997E-2</v>
      </c>
      <c r="T16">
        <f t="shared" si="2"/>
        <v>18.115200000000002</v>
      </c>
      <c r="U16">
        <f t="shared" si="3"/>
        <v>-1.2632218070400001</v>
      </c>
      <c r="V16" s="23"/>
      <c r="W16" s="24"/>
      <c r="X16" s="9"/>
      <c r="Y16" s="22">
        <v>1.84982</v>
      </c>
      <c r="Z16" s="22">
        <v>163.464</v>
      </c>
      <c r="AA16" s="22">
        <v>0.199097</v>
      </c>
      <c r="AB16" s="22">
        <v>6</v>
      </c>
      <c r="AC16" s="22">
        <v>1.8490599999999999</v>
      </c>
      <c r="AD16">
        <f t="shared" si="4"/>
        <v>-199.09700000000001</v>
      </c>
      <c r="AE16">
        <f t="shared" si="5"/>
        <v>-368.29361254000003</v>
      </c>
      <c r="AF16" s="9"/>
      <c r="AG16" s="22">
        <v>-6.9732699999999995E-2</v>
      </c>
      <c r="AH16" s="22">
        <v>277.77699999999999</v>
      </c>
      <c r="AI16" s="22">
        <v>-1.8179299999999999E-2</v>
      </c>
      <c r="AJ16" s="22">
        <v>6</v>
      </c>
      <c r="AK16" s="22">
        <v>-7.0220900000000003E-2</v>
      </c>
      <c r="AL16">
        <f t="shared" si="6"/>
        <v>18.179299999999998</v>
      </c>
      <c r="AM16">
        <f t="shared" si="7"/>
        <v>-1.2676916731099996</v>
      </c>
      <c r="AP16" s="9"/>
      <c r="AQ16" s="22">
        <v>1.84982</v>
      </c>
      <c r="AR16" s="22">
        <v>350.79</v>
      </c>
      <c r="AS16" s="22">
        <v>0.23785400000000001</v>
      </c>
      <c r="AT16" s="22">
        <v>6</v>
      </c>
      <c r="AU16" s="22">
        <v>1.8487499999999999</v>
      </c>
      <c r="AV16">
        <f t="shared" si="8"/>
        <v>-237.85400000000001</v>
      </c>
      <c r="AW16">
        <f t="shared" si="9"/>
        <v>-439.98708628000003</v>
      </c>
      <c r="AX16" s="9"/>
      <c r="AY16" s="22">
        <v>-6.9732699999999995E-2</v>
      </c>
      <c r="AZ16" s="22">
        <v>403.21899999999999</v>
      </c>
      <c r="BA16" s="22">
        <v>-1.8218999999999999E-2</v>
      </c>
      <c r="BB16" s="22">
        <v>6</v>
      </c>
      <c r="BC16" s="22">
        <v>-7.03125E-2</v>
      </c>
      <c r="BD16">
        <f t="shared" si="10"/>
        <v>18.218999999999998</v>
      </c>
      <c r="BE16">
        <f t="shared" si="11"/>
        <v>-1.2704600612999997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16.0961</v>
      </c>
      <c r="I17" s="22">
        <v>7.3394799999999996E-2</v>
      </c>
      <c r="J17" s="22">
        <v>7</v>
      </c>
      <c r="K17" s="22">
        <v>1.8441799999999999</v>
      </c>
      <c r="L17">
        <f t="shared" si="0"/>
        <v>-73.394799999999989</v>
      </c>
      <c r="M17">
        <f t="shared" si="1"/>
        <v>-135.39799309199998</v>
      </c>
      <c r="N17" s="9"/>
      <c r="O17" s="22">
        <v>-6.4697299999999999E-2</v>
      </c>
      <c r="P17" s="22">
        <v>73.406000000000006</v>
      </c>
      <c r="Q17" s="22">
        <v>-1.81091E-2</v>
      </c>
      <c r="R17" s="22">
        <v>7</v>
      </c>
      <c r="S17" s="22">
        <v>-6.5338099999999996E-2</v>
      </c>
      <c r="T17">
        <f t="shared" si="2"/>
        <v>18.109099999999998</v>
      </c>
      <c r="U17">
        <f t="shared" si="3"/>
        <v>-1.1716098754299999</v>
      </c>
      <c r="V17" s="23"/>
      <c r="W17" s="24"/>
      <c r="X17" s="9"/>
      <c r="Y17" s="22">
        <v>1.8447899999999999</v>
      </c>
      <c r="Z17" s="22">
        <v>163.56399999999999</v>
      </c>
      <c r="AA17" s="22">
        <v>0.18518100000000001</v>
      </c>
      <c r="AB17" s="22">
        <v>7</v>
      </c>
      <c r="AC17" s="22">
        <v>1.8441799999999999</v>
      </c>
      <c r="AD17">
        <f t="shared" si="4"/>
        <v>-185.18100000000001</v>
      </c>
      <c r="AE17">
        <f t="shared" si="5"/>
        <v>-341.62005699000002</v>
      </c>
      <c r="AF17" s="9"/>
      <c r="AG17" s="22">
        <v>-6.4697299999999999E-2</v>
      </c>
      <c r="AH17" s="22">
        <v>277.87700000000001</v>
      </c>
      <c r="AI17" s="22">
        <v>-1.8176299999999999E-2</v>
      </c>
      <c r="AJ17" s="22">
        <v>7</v>
      </c>
      <c r="AK17" s="22">
        <v>-6.5216099999999999E-2</v>
      </c>
      <c r="AL17">
        <f t="shared" si="6"/>
        <v>18.176299999999998</v>
      </c>
      <c r="AM17">
        <f t="shared" si="7"/>
        <v>-1.1759575339899999</v>
      </c>
      <c r="AP17" s="9"/>
      <c r="AQ17" s="22">
        <v>1.8447899999999999</v>
      </c>
      <c r="AR17" s="22">
        <v>350.89100000000002</v>
      </c>
      <c r="AS17" s="22">
        <v>0.22595199999999999</v>
      </c>
      <c r="AT17" s="22">
        <v>7</v>
      </c>
      <c r="AU17" s="22">
        <v>1.8438699999999999</v>
      </c>
      <c r="AV17">
        <f t="shared" si="8"/>
        <v>-225.952</v>
      </c>
      <c r="AW17">
        <f t="shared" si="9"/>
        <v>-416.83399007999998</v>
      </c>
      <c r="AX17" s="9"/>
      <c r="AY17" s="22">
        <v>-6.4697299999999999E-2</v>
      </c>
      <c r="AZ17" s="22">
        <v>403.31900000000002</v>
      </c>
      <c r="BA17" s="22">
        <v>-1.8218999999999999E-2</v>
      </c>
      <c r="BB17" s="22">
        <v>7</v>
      </c>
      <c r="BC17" s="22">
        <v>-6.5124500000000002E-2</v>
      </c>
      <c r="BD17">
        <f t="shared" si="10"/>
        <v>18.218999999999998</v>
      </c>
      <c r="BE17">
        <f t="shared" si="11"/>
        <v>-1.1787201086999999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16.1968</v>
      </c>
      <c r="I18" s="22">
        <v>5.5145300000000001E-2</v>
      </c>
      <c r="J18" s="22">
        <v>8</v>
      </c>
      <c r="K18" s="22">
        <v>1.8389899999999999</v>
      </c>
      <c r="L18">
        <f t="shared" si="0"/>
        <v>-55.145299999999999</v>
      </c>
      <c r="M18">
        <f t="shared" si="1"/>
        <v>-101.45356567499999</v>
      </c>
      <c r="N18" s="9"/>
      <c r="O18" s="22">
        <v>-5.9661899999999997E-2</v>
      </c>
      <c r="P18" s="22">
        <v>73.506699999999995</v>
      </c>
      <c r="Q18" s="22">
        <v>-1.81091E-2</v>
      </c>
      <c r="R18" s="22">
        <v>8</v>
      </c>
      <c r="S18" s="22">
        <v>-6.0333299999999999E-2</v>
      </c>
      <c r="T18">
        <f t="shared" si="2"/>
        <v>18.109099999999998</v>
      </c>
      <c r="U18">
        <f t="shared" si="3"/>
        <v>-1.0804233132899999</v>
      </c>
      <c r="V18" s="23"/>
      <c r="W18" s="24"/>
      <c r="X18" s="9"/>
      <c r="Y18" s="22">
        <v>1.83975</v>
      </c>
      <c r="Z18" s="22">
        <v>163.66499999999999</v>
      </c>
      <c r="AA18" s="22">
        <v>0.17196700000000001</v>
      </c>
      <c r="AB18" s="22">
        <v>8</v>
      </c>
      <c r="AC18" s="22">
        <v>1.8395999999999999</v>
      </c>
      <c r="AD18">
        <f t="shared" si="4"/>
        <v>-171.96700000000001</v>
      </c>
      <c r="AE18">
        <f t="shared" si="5"/>
        <v>-316.37628825000002</v>
      </c>
      <c r="AF18" s="9"/>
      <c r="AG18" s="22">
        <v>-5.9661899999999997E-2</v>
      </c>
      <c r="AH18" s="22">
        <v>277.97800000000001</v>
      </c>
      <c r="AI18" s="22">
        <v>-1.8176299999999999E-2</v>
      </c>
      <c r="AJ18" s="22">
        <v>8</v>
      </c>
      <c r="AK18" s="22">
        <v>-6.0272199999999998E-2</v>
      </c>
      <c r="AL18">
        <f t="shared" si="6"/>
        <v>18.176299999999998</v>
      </c>
      <c r="AM18">
        <f t="shared" si="7"/>
        <v>-1.0844325929699998</v>
      </c>
      <c r="AP18" s="9"/>
      <c r="AQ18" s="22">
        <v>1.83975</v>
      </c>
      <c r="AR18" s="22">
        <v>350.99099999999999</v>
      </c>
      <c r="AS18" s="22">
        <v>0.21640000000000001</v>
      </c>
      <c r="AT18" s="22">
        <v>8</v>
      </c>
      <c r="AU18" s="22">
        <v>1.8389899999999999</v>
      </c>
      <c r="AV18">
        <f t="shared" si="8"/>
        <v>-216.4</v>
      </c>
      <c r="AW18">
        <f t="shared" si="9"/>
        <v>-398.12189999999998</v>
      </c>
      <c r="AX18" s="9"/>
      <c r="AY18" s="22">
        <v>-5.9661899999999997E-2</v>
      </c>
      <c r="AZ18" s="22">
        <v>403.42</v>
      </c>
      <c r="BA18" s="22">
        <v>-1.8212900000000001E-2</v>
      </c>
      <c r="BB18" s="22">
        <v>8</v>
      </c>
      <c r="BC18" s="22">
        <v>-6.0150099999999998E-2</v>
      </c>
      <c r="BD18">
        <f t="shared" si="10"/>
        <v>18.212900000000001</v>
      </c>
      <c r="BE18">
        <f t="shared" si="11"/>
        <v>-1.0866162185100001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16.297499999999999</v>
      </c>
      <c r="I19" s="22">
        <v>3.7301599999999997E-2</v>
      </c>
      <c r="J19" s="22">
        <v>9</v>
      </c>
      <c r="K19" s="22">
        <v>1.8338000000000001</v>
      </c>
      <c r="L19">
        <f t="shared" si="0"/>
        <v>-37.301600000000001</v>
      </c>
      <c r="M19">
        <f t="shared" si="1"/>
        <v>-68.437991552</v>
      </c>
      <c r="N19" s="9"/>
      <c r="O19" s="22">
        <v>-5.4626500000000001E-2</v>
      </c>
      <c r="P19" s="22">
        <v>73.607399999999998</v>
      </c>
      <c r="Q19" s="22">
        <v>-1.8103000000000001E-2</v>
      </c>
      <c r="R19" s="22">
        <v>9</v>
      </c>
      <c r="S19" s="22">
        <v>-5.5053699999999997E-2</v>
      </c>
      <c r="T19">
        <f t="shared" si="2"/>
        <v>18.103000000000002</v>
      </c>
      <c r="U19">
        <f t="shared" si="3"/>
        <v>-0.98890352950000016</v>
      </c>
      <c r="V19" s="23"/>
      <c r="W19" s="24"/>
      <c r="X19" s="9"/>
      <c r="Y19" s="22">
        <v>1.8347199999999999</v>
      </c>
      <c r="Z19" s="22">
        <v>163.76599999999999</v>
      </c>
      <c r="AA19" s="22">
        <v>0.16033900000000001</v>
      </c>
      <c r="AB19" s="22">
        <v>9</v>
      </c>
      <c r="AC19" s="22">
        <v>1.8341099999999999</v>
      </c>
      <c r="AD19">
        <f t="shared" si="4"/>
        <v>-160.339</v>
      </c>
      <c r="AE19">
        <f t="shared" si="5"/>
        <v>-294.17717008</v>
      </c>
      <c r="AF19" s="9"/>
      <c r="AG19" s="22">
        <v>-5.4626500000000001E-2</v>
      </c>
      <c r="AH19" s="22">
        <v>278.07900000000001</v>
      </c>
      <c r="AI19" s="22">
        <v>-1.8170200000000001E-2</v>
      </c>
      <c r="AJ19" s="22">
        <v>9</v>
      </c>
      <c r="AK19" s="22">
        <v>-5.5023200000000001E-2</v>
      </c>
      <c r="AL19">
        <f t="shared" si="6"/>
        <v>18.170200000000001</v>
      </c>
      <c r="AM19">
        <f t="shared" si="7"/>
        <v>-0.99257443030000014</v>
      </c>
      <c r="AP19" s="9"/>
      <c r="AQ19" s="22">
        <v>1.8347199999999999</v>
      </c>
      <c r="AR19" s="22">
        <v>351.09199999999998</v>
      </c>
      <c r="AS19" s="22">
        <v>0.20519999999999999</v>
      </c>
      <c r="AT19" s="22">
        <v>9</v>
      </c>
      <c r="AU19" s="22">
        <v>1.8334999999999999</v>
      </c>
      <c r="AV19">
        <f t="shared" si="8"/>
        <v>-205.2</v>
      </c>
      <c r="AW19">
        <f t="shared" si="9"/>
        <v>-376.48454399999997</v>
      </c>
      <c r="AX19" s="9"/>
      <c r="AY19" s="22">
        <v>-5.4626500000000001E-2</v>
      </c>
      <c r="AZ19" s="22">
        <v>403.52100000000002</v>
      </c>
      <c r="BA19" s="22">
        <v>-1.8209800000000002E-2</v>
      </c>
      <c r="BB19" s="22">
        <v>9</v>
      </c>
      <c r="BC19" s="22">
        <v>-5.5114700000000003E-2</v>
      </c>
      <c r="BD19">
        <f t="shared" si="10"/>
        <v>18.209800000000001</v>
      </c>
      <c r="BE19">
        <f t="shared" si="11"/>
        <v>-0.99473763970000006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16.398199999999999</v>
      </c>
      <c r="I20" s="22">
        <v>1.97266E-2</v>
      </c>
      <c r="J20" s="22">
        <v>10</v>
      </c>
      <c r="K20" s="22">
        <v>1.8289200000000001</v>
      </c>
      <c r="L20">
        <f t="shared" si="0"/>
        <v>-19.726600000000001</v>
      </c>
      <c r="M20">
        <f t="shared" si="1"/>
        <v>-36.093365488000003</v>
      </c>
      <c r="N20" s="9"/>
      <c r="O20" s="22">
        <v>-4.9591099999999999E-2</v>
      </c>
      <c r="P20" s="22">
        <v>73.708100000000002</v>
      </c>
      <c r="Q20" s="22">
        <v>-1.8100000000000002E-2</v>
      </c>
      <c r="R20" s="22">
        <v>10</v>
      </c>
      <c r="S20" s="22">
        <v>-5.0140400000000002E-2</v>
      </c>
      <c r="T20">
        <f t="shared" si="2"/>
        <v>18.100000000000001</v>
      </c>
      <c r="U20">
        <f t="shared" si="3"/>
        <v>-0.89759891000000003</v>
      </c>
      <c r="V20" s="23"/>
      <c r="W20" s="24"/>
      <c r="X20" s="9"/>
      <c r="Y20" s="22">
        <v>1.82968</v>
      </c>
      <c r="Z20" s="22">
        <v>163.86699999999999</v>
      </c>
      <c r="AA20" s="22">
        <v>0.14746100000000001</v>
      </c>
      <c r="AB20" s="22">
        <v>10</v>
      </c>
      <c r="AC20" s="22">
        <v>1.8289200000000001</v>
      </c>
      <c r="AD20">
        <f t="shared" si="4"/>
        <v>-147.46100000000001</v>
      </c>
      <c r="AE20">
        <f t="shared" si="5"/>
        <v>-269.80644248000004</v>
      </c>
      <c r="AF20" s="9"/>
      <c r="AG20" s="22">
        <v>-4.9591099999999999E-2</v>
      </c>
      <c r="AH20" s="22">
        <v>278.18</v>
      </c>
      <c r="AI20" s="22">
        <v>-1.8170200000000001E-2</v>
      </c>
      <c r="AJ20" s="22">
        <v>10</v>
      </c>
      <c r="AK20" s="22">
        <v>-5.0384499999999999E-2</v>
      </c>
      <c r="AL20">
        <f t="shared" si="6"/>
        <v>18.170200000000001</v>
      </c>
      <c r="AM20">
        <f t="shared" si="7"/>
        <v>-0.9010802052200001</v>
      </c>
      <c r="AP20" s="9"/>
      <c r="AQ20" s="22">
        <v>1.82968</v>
      </c>
      <c r="AR20" s="22">
        <v>351.19299999999998</v>
      </c>
      <c r="AS20" s="22">
        <v>0.19311500000000001</v>
      </c>
      <c r="AT20" s="22">
        <v>10</v>
      </c>
      <c r="AU20" s="22">
        <v>1.8283100000000001</v>
      </c>
      <c r="AV20">
        <f t="shared" si="8"/>
        <v>-193.11500000000001</v>
      </c>
      <c r="AW20">
        <f t="shared" si="9"/>
        <v>-353.33865320000001</v>
      </c>
      <c r="AX20" s="9"/>
      <c r="AY20" s="22">
        <v>-4.9591099999999999E-2</v>
      </c>
      <c r="AZ20" s="22">
        <v>403.62200000000001</v>
      </c>
      <c r="BA20" s="22">
        <v>-1.8206799999999999E-2</v>
      </c>
      <c r="BB20" s="22">
        <v>10</v>
      </c>
      <c r="BC20" s="22">
        <v>-5.00793E-2</v>
      </c>
      <c r="BD20">
        <f t="shared" si="10"/>
        <v>18.206799999999998</v>
      </c>
      <c r="BE20">
        <f t="shared" si="11"/>
        <v>-0.90289523947999983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16.498899999999999</v>
      </c>
      <c r="I21" s="22">
        <v>5.0659199999999998E-3</v>
      </c>
      <c r="J21" s="22">
        <v>11</v>
      </c>
      <c r="K21" s="22">
        <v>1.8237300000000001</v>
      </c>
      <c r="L21">
        <f t="shared" si="0"/>
        <v>-5.0659200000000002</v>
      </c>
      <c r="M21">
        <f t="shared" si="1"/>
        <v>-9.2435309280000002</v>
      </c>
      <c r="N21" s="9"/>
      <c r="O21" s="22">
        <v>-4.4555699999999997E-2</v>
      </c>
      <c r="P21" s="22">
        <v>73.808800000000005</v>
      </c>
      <c r="Q21" s="22">
        <v>-1.8096899999999999E-2</v>
      </c>
      <c r="R21" s="22">
        <v>11</v>
      </c>
      <c r="S21" s="22">
        <v>-4.5071399999999998E-2</v>
      </c>
      <c r="T21">
        <f t="shared" si="2"/>
        <v>18.096899999999998</v>
      </c>
      <c r="U21">
        <f t="shared" si="3"/>
        <v>-0.80632004732999984</v>
      </c>
      <c r="V21" s="23"/>
      <c r="W21" s="24"/>
      <c r="X21" s="9"/>
      <c r="Y21" s="22">
        <v>1.8246500000000001</v>
      </c>
      <c r="Z21" s="22">
        <v>163.96700000000001</v>
      </c>
      <c r="AA21" s="22">
        <v>0.13394200000000001</v>
      </c>
      <c r="AB21" s="22">
        <v>11</v>
      </c>
      <c r="AC21" s="22">
        <v>1.8234300000000001</v>
      </c>
      <c r="AD21">
        <f t="shared" si="4"/>
        <v>-133.94200000000001</v>
      </c>
      <c r="AE21">
        <f t="shared" si="5"/>
        <v>-244.39727030000003</v>
      </c>
      <c r="AF21" s="9"/>
      <c r="AG21" s="22">
        <v>-4.4555699999999997E-2</v>
      </c>
      <c r="AH21" s="22">
        <v>278.27999999999997</v>
      </c>
      <c r="AI21" s="22">
        <v>-1.8164099999999999E-2</v>
      </c>
      <c r="AJ21" s="22">
        <v>11</v>
      </c>
      <c r="AK21" s="22">
        <v>-4.5053099999999999E-2</v>
      </c>
      <c r="AL21">
        <f t="shared" si="6"/>
        <v>18.164099999999998</v>
      </c>
      <c r="AM21">
        <f t="shared" si="7"/>
        <v>-0.80931419036999985</v>
      </c>
      <c r="AP21" s="9"/>
      <c r="AQ21" s="22">
        <v>1.8246500000000001</v>
      </c>
      <c r="AR21" s="22">
        <v>351.29300000000001</v>
      </c>
      <c r="AS21" s="22">
        <v>0.182251</v>
      </c>
      <c r="AT21" s="22">
        <v>11</v>
      </c>
      <c r="AU21" s="22">
        <v>1.8231200000000001</v>
      </c>
      <c r="AV21">
        <f t="shared" si="8"/>
        <v>-182.251</v>
      </c>
      <c r="AW21">
        <f t="shared" si="9"/>
        <v>-332.54428715</v>
      </c>
      <c r="AX21" s="9"/>
      <c r="AY21" s="22">
        <v>-4.4555699999999997E-2</v>
      </c>
      <c r="AZ21" s="22">
        <v>403.72199999999998</v>
      </c>
      <c r="BA21" s="22">
        <v>-1.82007E-2</v>
      </c>
      <c r="BB21" s="22">
        <v>11</v>
      </c>
      <c r="BC21" s="22">
        <v>-4.48273E-2</v>
      </c>
      <c r="BD21">
        <f t="shared" si="10"/>
        <v>18.200700000000001</v>
      </c>
      <c r="BE21">
        <f t="shared" si="11"/>
        <v>-0.81094492899000004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16.599599999999999</v>
      </c>
      <c r="I22" s="22">
        <v>-2.6403799999999999E-3</v>
      </c>
      <c r="J22" s="22">
        <v>12</v>
      </c>
      <c r="K22" s="22">
        <v>1.8182400000000001</v>
      </c>
      <c r="L22">
        <f t="shared" si="0"/>
        <v>2.6403799999999999</v>
      </c>
      <c r="M22">
        <f t="shared" si="1"/>
        <v>4.8044618518000002</v>
      </c>
      <c r="N22" s="9"/>
      <c r="O22" s="22">
        <v>-3.9520300000000001E-2</v>
      </c>
      <c r="P22" s="22">
        <v>73.909499999999994</v>
      </c>
      <c r="Q22" s="22">
        <v>-1.8090800000000001E-2</v>
      </c>
      <c r="R22" s="22">
        <v>12</v>
      </c>
      <c r="S22" s="22">
        <v>-3.9852899999999997E-2</v>
      </c>
      <c r="T22">
        <f t="shared" si="2"/>
        <v>18.090800000000002</v>
      </c>
      <c r="U22">
        <f t="shared" si="3"/>
        <v>-0.71495384324000011</v>
      </c>
      <c r="V22" s="23"/>
      <c r="W22" s="24"/>
      <c r="X22" s="9"/>
      <c r="Y22" s="22">
        <v>1.8196099999999999</v>
      </c>
      <c r="Z22" s="22">
        <v>164.06800000000001</v>
      </c>
      <c r="AA22" s="22">
        <v>0.11984300000000001</v>
      </c>
      <c r="AB22" s="22">
        <v>12</v>
      </c>
      <c r="AC22" s="22">
        <v>1.81915</v>
      </c>
      <c r="AD22">
        <f t="shared" si="4"/>
        <v>-119.843</v>
      </c>
      <c r="AE22">
        <f t="shared" si="5"/>
        <v>-218.06752123000001</v>
      </c>
      <c r="AF22" s="9"/>
      <c r="AG22" s="22">
        <v>-3.9520300000000001E-2</v>
      </c>
      <c r="AH22" s="22">
        <v>278.38099999999997</v>
      </c>
      <c r="AI22" s="22">
        <v>-1.8161E-2</v>
      </c>
      <c r="AJ22" s="22">
        <v>12</v>
      </c>
      <c r="AK22" s="22">
        <v>-3.9880400000000003E-2</v>
      </c>
      <c r="AL22">
        <f t="shared" si="6"/>
        <v>18.161000000000001</v>
      </c>
      <c r="AM22">
        <f t="shared" si="7"/>
        <v>-0.71772816830000008</v>
      </c>
      <c r="AP22" s="9"/>
      <c r="AQ22" s="22">
        <v>1.8196099999999999</v>
      </c>
      <c r="AR22" s="22">
        <v>351.39400000000001</v>
      </c>
      <c r="AS22" s="22">
        <v>0.16952500000000001</v>
      </c>
      <c r="AT22" s="22">
        <v>12</v>
      </c>
      <c r="AU22" s="22">
        <v>1.81854</v>
      </c>
      <c r="AV22">
        <f t="shared" si="8"/>
        <v>-169.52500000000001</v>
      </c>
      <c r="AW22">
        <f t="shared" si="9"/>
        <v>-308.46938525000002</v>
      </c>
      <c r="AX22" s="9"/>
      <c r="AY22" s="22">
        <v>-3.9520300000000001E-2</v>
      </c>
      <c r="AZ22" s="22">
        <v>403.82299999999998</v>
      </c>
      <c r="BA22" s="22">
        <v>-1.82007E-2</v>
      </c>
      <c r="BB22" s="22">
        <v>12</v>
      </c>
      <c r="BC22" s="22">
        <v>-3.98132E-2</v>
      </c>
      <c r="BD22">
        <f t="shared" si="10"/>
        <v>18.200700000000001</v>
      </c>
      <c r="BE22">
        <f t="shared" si="11"/>
        <v>-0.71929712421000003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16.700399999999998</v>
      </c>
      <c r="I23" s="22">
        <v>-6.1279300000000002E-3</v>
      </c>
      <c r="J23" s="22">
        <v>13</v>
      </c>
      <c r="K23" s="22">
        <v>1.81366</v>
      </c>
      <c r="L23">
        <f t="shared" si="0"/>
        <v>6.1279300000000001</v>
      </c>
      <c r="M23">
        <f t="shared" si="1"/>
        <v>11.119619219400001</v>
      </c>
      <c r="N23" s="9"/>
      <c r="O23" s="22">
        <v>-3.4484899999999999E-2</v>
      </c>
      <c r="P23" s="22">
        <v>74.010199999999998</v>
      </c>
      <c r="Q23" s="22">
        <v>-1.8084699999999999E-2</v>
      </c>
      <c r="R23" s="22">
        <v>13</v>
      </c>
      <c r="S23" s="22">
        <v>-3.4664899999999998E-2</v>
      </c>
      <c r="T23">
        <f t="shared" si="2"/>
        <v>18.084699999999998</v>
      </c>
      <c r="U23">
        <f t="shared" si="3"/>
        <v>-0.62364907102999989</v>
      </c>
      <c r="V23" s="23"/>
      <c r="W23" s="24"/>
      <c r="X23" s="9"/>
      <c r="Y23" s="22">
        <v>1.8145800000000001</v>
      </c>
      <c r="Z23" s="22">
        <v>164.16900000000001</v>
      </c>
      <c r="AA23" s="22">
        <v>0.10495</v>
      </c>
      <c r="AB23" s="22">
        <v>13</v>
      </c>
      <c r="AC23" s="22">
        <v>1.8130500000000001</v>
      </c>
      <c r="AD23">
        <f t="shared" si="4"/>
        <v>-104.95</v>
      </c>
      <c r="AE23">
        <f t="shared" si="5"/>
        <v>-190.44017100000002</v>
      </c>
      <c r="AF23" s="9"/>
      <c r="AG23" s="22">
        <v>-3.4484899999999999E-2</v>
      </c>
      <c r="AH23" s="22">
        <v>278.48200000000003</v>
      </c>
      <c r="AI23" s="22">
        <v>-1.8154900000000002E-2</v>
      </c>
      <c r="AJ23" s="22">
        <v>13</v>
      </c>
      <c r="AK23" s="22">
        <v>-3.4890699999999997E-2</v>
      </c>
      <c r="AL23">
        <f t="shared" si="6"/>
        <v>18.154900000000001</v>
      </c>
      <c r="AM23">
        <f t="shared" si="7"/>
        <v>-0.62606991100999998</v>
      </c>
      <c r="AP23" s="9"/>
      <c r="AQ23" s="22">
        <v>1.8145800000000001</v>
      </c>
      <c r="AR23" s="22">
        <v>351.495</v>
      </c>
      <c r="AS23" s="22">
        <v>0.15612799999999999</v>
      </c>
      <c r="AT23" s="22">
        <v>13</v>
      </c>
      <c r="AU23" s="22">
        <v>1.8130500000000001</v>
      </c>
      <c r="AV23">
        <f t="shared" si="8"/>
        <v>-156.12799999999999</v>
      </c>
      <c r="AW23">
        <f t="shared" si="9"/>
        <v>-283.30674624</v>
      </c>
      <c r="AX23" s="9"/>
      <c r="AY23" s="22">
        <v>-3.4484899999999999E-2</v>
      </c>
      <c r="AZ23" s="22">
        <v>403.92399999999998</v>
      </c>
      <c r="BA23" s="22">
        <v>-1.8194599999999998E-2</v>
      </c>
      <c r="BB23" s="22">
        <v>13</v>
      </c>
      <c r="BC23" s="22">
        <v>-3.46558E-2</v>
      </c>
      <c r="BD23">
        <f t="shared" si="10"/>
        <v>18.194599999999998</v>
      </c>
      <c r="BE23">
        <f t="shared" si="11"/>
        <v>-0.6274389615399999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16.801100000000002</v>
      </c>
      <c r="I24" s="22">
        <v>-8.1939700000000001E-3</v>
      </c>
      <c r="J24" s="22">
        <v>14</v>
      </c>
      <c r="K24" s="22">
        <v>1.80908</v>
      </c>
      <c r="L24">
        <f t="shared" si="0"/>
        <v>8.1939700000000002</v>
      </c>
      <c r="M24">
        <f t="shared" si="1"/>
        <v>14.8273164738</v>
      </c>
      <c r="N24" s="9"/>
      <c r="O24" s="22">
        <v>-2.94495E-2</v>
      </c>
      <c r="P24" s="22">
        <v>74.110900000000001</v>
      </c>
      <c r="Q24" s="22">
        <v>-1.80786E-2</v>
      </c>
      <c r="R24" s="22">
        <v>14</v>
      </c>
      <c r="S24" s="22">
        <v>-2.9644799999999999E-2</v>
      </c>
      <c r="T24">
        <f t="shared" si="2"/>
        <v>18.078600000000002</v>
      </c>
      <c r="U24">
        <f t="shared" si="3"/>
        <v>-0.53240573070000008</v>
      </c>
      <c r="V24" s="23"/>
      <c r="W24" s="24"/>
      <c r="X24" s="9"/>
      <c r="Y24" s="22">
        <v>1.8095399999999999</v>
      </c>
      <c r="Z24" s="22">
        <v>164.26900000000001</v>
      </c>
      <c r="AA24" s="22">
        <v>9.0972899999999995E-2</v>
      </c>
      <c r="AB24" s="22">
        <v>14</v>
      </c>
      <c r="AC24" s="22">
        <v>1.80908</v>
      </c>
      <c r="AD24">
        <f t="shared" si="4"/>
        <v>-90.972899999999996</v>
      </c>
      <c r="AE24">
        <f t="shared" si="5"/>
        <v>-164.61910146599999</v>
      </c>
      <c r="AF24" s="9"/>
      <c r="AG24" s="22">
        <v>-2.94495E-2</v>
      </c>
      <c r="AH24" s="22">
        <v>278.58199999999999</v>
      </c>
      <c r="AI24" s="22">
        <v>-1.8154900000000002E-2</v>
      </c>
      <c r="AJ24" s="22">
        <v>14</v>
      </c>
      <c r="AK24" s="22">
        <v>-2.97089E-2</v>
      </c>
      <c r="AL24">
        <f t="shared" si="6"/>
        <v>18.154900000000001</v>
      </c>
      <c r="AM24">
        <f t="shared" si="7"/>
        <v>-0.53465272755000004</v>
      </c>
      <c r="AP24" s="9"/>
      <c r="AQ24" s="22">
        <v>1.8095399999999999</v>
      </c>
      <c r="AR24" s="22">
        <v>351.596</v>
      </c>
      <c r="AS24" s="22">
        <v>0.14260900000000001</v>
      </c>
      <c r="AT24" s="22">
        <v>14</v>
      </c>
      <c r="AU24" s="22">
        <v>1.8087800000000001</v>
      </c>
      <c r="AV24">
        <f t="shared" si="8"/>
        <v>-142.60900000000001</v>
      </c>
      <c r="AW24">
        <f t="shared" si="9"/>
        <v>-258.05668986000001</v>
      </c>
      <c r="AX24" s="9"/>
      <c r="AY24" s="22">
        <v>-2.94495E-2</v>
      </c>
      <c r="AZ24" s="22">
        <v>404.024</v>
      </c>
      <c r="BA24" s="22">
        <v>-1.8191499999999999E-2</v>
      </c>
      <c r="BB24" s="22">
        <v>14</v>
      </c>
      <c r="BC24" s="22">
        <v>-2.9495199999999999E-2</v>
      </c>
      <c r="BD24">
        <f t="shared" si="10"/>
        <v>18.191499999999998</v>
      </c>
      <c r="BE24">
        <f t="shared" si="11"/>
        <v>-0.53573057924999989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16.901800000000001</v>
      </c>
      <c r="I25" s="22">
        <v>-9.5275900000000007E-3</v>
      </c>
      <c r="J25" s="22">
        <v>15</v>
      </c>
      <c r="K25" s="22">
        <v>1.80389</v>
      </c>
      <c r="L25">
        <f t="shared" si="0"/>
        <v>9.52759</v>
      </c>
      <c r="M25">
        <f t="shared" si="1"/>
        <v>17.192536154999999</v>
      </c>
      <c r="N25" s="9"/>
      <c r="O25" s="22">
        <v>-2.4414100000000001E-2</v>
      </c>
      <c r="P25" s="22">
        <v>74.211699999999993</v>
      </c>
      <c r="Q25" s="22">
        <v>-1.8075600000000001E-2</v>
      </c>
      <c r="R25" s="22">
        <v>15</v>
      </c>
      <c r="S25" s="22">
        <v>-2.4874899999999998E-2</v>
      </c>
      <c r="T25">
        <f t="shared" si="2"/>
        <v>18.075600000000001</v>
      </c>
      <c r="U25">
        <f t="shared" si="3"/>
        <v>-0.44129950596000006</v>
      </c>
      <c r="V25" s="23"/>
      <c r="W25" s="24"/>
      <c r="X25" s="9"/>
      <c r="Y25" s="22">
        <v>1.8045</v>
      </c>
      <c r="Z25" s="22">
        <v>164.37</v>
      </c>
      <c r="AA25" s="22">
        <v>7.5805700000000004E-2</v>
      </c>
      <c r="AB25" s="22">
        <v>15</v>
      </c>
      <c r="AC25" s="22">
        <v>1.80389</v>
      </c>
      <c r="AD25">
        <f t="shared" si="4"/>
        <v>-75.805700000000002</v>
      </c>
      <c r="AE25">
        <f t="shared" si="5"/>
        <v>-136.79138565</v>
      </c>
      <c r="AF25" s="9"/>
      <c r="AG25" s="22">
        <v>-2.4414100000000001E-2</v>
      </c>
      <c r="AH25" s="22">
        <v>278.68299999999999</v>
      </c>
      <c r="AI25" s="22">
        <v>-1.81488E-2</v>
      </c>
      <c r="AJ25" s="22">
        <v>15</v>
      </c>
      <c r="AK25" s="22">
        <v>-2.4713100000000002E-2</v>
      </c>
      <c r="AL25">
        <f t="shared" si="6"/>
        <v>18.148800000000001</v>
      </c>
      <c r="AM25">
        <f t="shared" si="7"/>
        <v>-0.44308661808000005</v>
      </c>
      <c r="AP25" s="9"/>
      <c r="AQ25" s="22">
        <v>1.8045</v>
      </c>
      <c r="AR25" s="22">
        <v>351.69600000000003</v>
      </c>
      <c r="AS25" s="22">
        <v>0.12759400000000001</v>
      </c>
      <c r="AT25" s="22">
        <v>15</v>
      </c>
      <c r="AU25" s="22">
        <v>1.80359</v>
      </c>
      <c r="AV25">
        <f t="shared" si="8"/>
        <v>-127.59400000000001</v>
      </c>
      <c r="AW25">
        <f t="shared" si="9"/>
        <v>-230.24337300000002</v>
      </c>
      <c r="AX25" s="9"/>
      <c r="AY25" s="22">
        <v>-2.4414100000000001E-2</v>
      </c>
      <c r="AZ25" s="22">
        <v>404.125</v>
      </c>
      <c r="BA25" s="22">
        <v>-1.81885E-2</v>
      </c>
      <c r="BB25" s="22">
        <v>15</v>
      </c>
      <c r="BC25" s="22">
        <v>-2.4587999999999999E-2</v>
      </c>
      <c r="BD25">
        <f t="shared" si="10"/>
        <v>18.188500000000001</v>
      </c>
      <c r="BE25">
        <f t="shared" si="11"/>
        <v>-0.44405585785000007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17.002500000000001</v>
      </c>
      <c r="I26" s="22">
        <v>-1.0498E-2</v>
      </c>
      <c r="J26" s="22">
        <v>16</v>
      </c>
      <c r="K26" s="22">
        <v>1.79901</v>
      </c>
      <c r="L26">
        <f t="shared" si="0"/>
        <v>10.498000000000001</v>
      </c>
      <c r="M26">
        <f t="shared" si="1"/>
        <v>18.890836060000002</v>
      </c>
      <c r="N26" s="9"/>
      <c r="O26" s="22">
        <v>-1.9378699999999999E-2</v>
      </c>
      <c r="P26" s="22">
        <v>74.312399999999997</v>
      </c>
      <c r="Q26" s="22">
        <v>-1.8075600000000001E-2</v>
      </c>
      <c r="R26" s="22">
        <v>16</v>
      </c>
      <c r="S26" s="22">
        <v>-1.98792E-2</v>
      </c>
      <c r="T26">
        <f t="shared" si="2"/>
        <v>18.075600000000001</v>
      </c>
      <c r="U26">
        <f t="shared" si="3"/>
        <v>-0.35028162971999999</v>
      </c>
      <c r="V26" s="23"/>
      <c r="W26" s="24"/>
      <c r="X26" s="9"/>
      <c r="Y26" s="22">
        <v>1.7994699999999999</v>
      </c>
      <c r="Z26" s="22">
        <v>164.471</v>
      </c>
      <c r="AA26" s="22">
        <v>6.0729999999999999E-2</v>
      </c>
      <c r="AB26" s="22">
        <v>16</v>
      </c>
      <c r="AC26" s="22">
        <v>1.79901</v>
      </c>
      <c r="AD26">
        <f t="shared" si="4"/>
        <v>-60.73</v>
      </c>
      <c r="AE26">
        <f t="shared" si="5"/>
        <v>-109.28181309999999</v>
      </c>
      <c r="AF26" s="9"/>
      <c r="AG26" s="22">
        <v>-1.9378699999999999E-2</v>
      </c>
      <c r="AH26" s="22">
        <v>278.78399999999999</v>
      </c>
      <c r="AI26" s="22">
        <v>-1.8142700000000001E-2</v>
      </c>
      <c r="AJ26" s="22">
        <v>16</v>
      </c>
      <c r="AK26" s="22">
        <v>-1.96869E-2</v>
      </c>
      <c r="AL26">
        <f t="shared" si="6"/>
        <v>18.142700000000001</v>
      </c>
      <c r="AM26">
        <f t="shared" si="7"/>
        <v>-0.35158194049000002</v>
      </c>
      <c r="AP26" s="9"/>
      <c r="AQ26" s="22">
        <v>1.7994699999999999</v>
      </c>
      <c r="AR26" s="22">
        <v>351.79700000000003</v>
      </c>
      <c r="AS26" s="22">
        <v>0.112946</v>
      </c>
      <c r="AT26" s="22">
        <v>16</v>
      </c>
      <c r="AU26" s="22">
        <v>1.79871</v>
      </c>
      <c r="AV26">
        <f t="shared" si="8"/>
        <v>-112.946</v>
      </c>
      <c r="AW26">
        <f t="shared" si="9"/>
        <v>-203.24293861999999</v>
      </c>
      <c r="AX26" s="9"/>
      <c r="AY26" s="22">
        <v>-1.9378699999999999E-2</v>
      </c>
      <c r="AZ26" s="22">
        <v>404.226</v>
      </c>
      <c r="BA26" s="22">
        <v>-1.8182400000000001E-2</v>
      </c>
      <c r="BB26" s="22">
        <v>16</v>
      </c>
      <c r="BC26" s="22">
        <v>-1.9635E-2</v>
      </c>
      <c r="BD26">
        <f t="shared" si="10"/>
        <v>18.182400000000001</v>
      </c>
      <c r="BE26">
        <f t="shared" si="11"/>
        <v>-0.35235127488000001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17.103200000000001</v>
      </c>
      <c r="I27" s="22">
        <v>-1.1279300000000001E-2</v>
      </c>
      <c r="J27" s="22">
        <v>17</v>
      </c>
      <c r="K27" s="22">
        <v>1.79352</v>
      </c>
      <c r="L27">
        <f t="shared" si="0"/>
        <v>11.279300000000001</v>
      </c>
      <c r="M27">
        <f t="shared" si="1"/>
        <v>20.239914299000002</v>
      </c>
      <c r="N27" s="9"/>
      <c r="O27" s="22">
        <v>-1.43433E-2</v>
      </c>
      <c r="P27" s="22">
        <v>74.4131</v>
      </c>
      <c r="Q27" s="22">
        <v>-1.8072499999999998E-2</v>
      </c>
      <c r="R27" s="22">
        <v>17</v>
      </c>
      <c r="S27" s="22">
        <v>-1.4556899999999999E-2</v>
      </c>
      <c r="T27">
        <f t="shared" si="2"/>
        <v>18.072499999999998</v>
      </c>
      <c r="U27">
        <f t="shared" si="3"/>
        <v>-0.25921928924999998</v>
      </c>
      <c r="X27" s="9"/>
      <c r="Y27" s="22">
        <v>1.79443</v>
      </c>
      <c r="Z27" s="22">
        <v>164.572</v>
      </c>
      <c r="AA27" s="22">
        <v>4.51996E-2</v>
      </c>
      <c r="AB27" s="22">
        <v>17</v>
      </c>
      <c r="AC27" s="22">
        <v>1.79382</v>
      </c>
      <c r="AD27">
        <f t="shared" si="4"/>
        <v>-45.199599999999997</v>
      </c>
      <c r="AE27">
        <f t="shared" si="5"/>
        <v>-81.107518227999989</v>
      </c>
      <c r="AF27" s="9"/>
      <c r="AG27" s="22">
        <v>-1.43433E-2</v>
      </c>
      <c r="AH27" s="22">
        <v>278.88499999999999</v>
      </c>
      <c r="AI27" s="22">
        <v>-1.8139599999999999E-2</v>
      </c>
      <c r="AJ27" s="22">
        <v>17</v>
      </c>
      <c r="AK27" s="22">
        <v>-1.46667E-2</v>
      </c>
      <c r="AL27">
        <f t="shared" si="6"/>
        <v>18.139599999999998</v>
      </c>
      <c r="AM27">
        <f t="shared" si="7"/>
        <v>-0.26018172467999995</v>
      </c>
      <c r="AP27" s="9"/>
      <c r="AQ27" s="22">
        <v>1.79443</v>
      </c>
      <c r="AR27" s="22">
        <v>351.89800000000002</v>
      </c>
      <c r="AS27" s="22">
        <v>9.7900399999999999E-2</v>
      </c>
      <c r="AT27" s="22">
        <v>17</v>
      </c>
      <c r="AU27" s="22">
        <v>1.79382</v>
      </c>
      <c r="AV27">
        <f t="shared" si="8"/>
        <v>-97.900400000000005</v>
      </c>
      <c r="AW27">
        <f t="shared" si="9"/>
        <v>-175.67541477200001</v>
      </c>
      <c r="AX27" s="9"/>
      <c r="AY27" s="22">
        <v>-1.43433E-2</v>
      </c>
      <c r="AZ27" s="22">
        <v>404.32600000000002</v>
      </c>
      <c r="BA27" s="22">
        <v>-1.8179299999999999E-2</v>
      </c>
      <c r="BB27" s="22">
        <v>17</v>
      </c>
      <c r="BC27" s="22">
        <v>-1.48895E-2</v>
      </c>
      <c r="BD27">
        <f t="shared" si="10"/>
        <v>18.179299999999998</v>
      </c>
      <c r="BE27">
        <f t="shared" si="11"/>
        <v>-0.26075115368999996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17.203900000000001</v>
      </c>
      <c r="I28" s="22">
        <v>-1.19141E-2</v>
      </c>
      <c r="J28" s="22">
        <v>18</v>
      </c>
      <c r="K28" s="22">
        <v>1.78894</v>
      </c>
      <c r="L28">
        <f t="shared" si="0"/>
        <v>11.914100000000001</v>
      </c>
      <c r="M28">
        <f t="shared" si="1"/>
        <v>21.319090540000005</v>
      </c>
      <c r="N28" s="9"/>
      <c r="O28" s="22">
        <v>-9.3078599999999994E-3</v>
      </c>
      <c r="P28" s="22">
        <v>74.513800000000003</v>
      </c>
      <c r="Q28" s="22">
        <v>-1.8069499999999999E-2</v>
      </c>
      <c r="R28" s="22">
        <v>18</v>
      </c>
      <c r="S28" s="22">
        <v>-9.4482400000000001E-3</v>
      </c>
      <c r="T28">
        <f t="shared" si="2"/>
        <v>18.069499999999998</v>
      </c>
      <c r="U28">
        <f t="shared" si="3"/>
        <v>-0.16818837626999997</v>
      </c>
      <c r="X28" s="9"/>
      <c r="Y28" s="22">
        <v>1.7894000000000001</v>
      </c>
      <c r="Z28" s="22">
        <v>164.672</v>
      </c>
      <c r="AA28" s="22">
        <v>2.9443400000000002E-2</v>
      </c>
      <c r="AB28" s="22">
        <v>18</v>
      </c>
      <c r="AC28" s="22">
        <v>1.78955</v>
      </c>
      <c r="AD28">
        <f t="shared" si="4"/>
        <v>-29.4434</v>
      </c>
      <c r="AE28">
        <f t="shared" si="5"/>
        <v>-52.686019960000003</v>
      </c>
      <c r="AF28" s="9"/>
      <c r="AG28" s="22">
        <v>-9.3078599999999994E-3</v>
      </c>
      <c r="AH28" s="22">
        <v>278.98500000000001</v>
      </c>
      <c r="AI28" s="22">
        <v>-1.8136599999999999E-2</v>
      </c>
      <c r="AJ28" s="22">
        <v>18</v>
      </c>
      <c r="AK28" s="22">
        <v>-9.7137500000000002E-3</v>
      </c>
      <c r="AL28">
        <f t="shared" si="6"/>
        <v>18.136599999999998</v>
      </c>
      <c r="AM28">
        <f t="shared" si="7"/>
        <v>-0.16881293367599998</v>
      </c>
      <c r="AP28" s="9"/>
      <c r="AQ28" s="22">
        <v>1.7894000000000001</v>
      </c>
      <c r="AR28" s="22">
        <v>351.99799999999999</v>
      </c>
      <c r="AS28" s="22">
        <v>8.1787100000000001E-2</v>
      </c>
      <c r="AT28" s="22">
        <v>18</v>
      </c>
      <c r="AU28" s="22">
        <v>1.78833</v>
      </c>
      <c r="AV28">
        <f t="shared" si="8"/>
        <v>-81.787099999999995</v>
      </c>
      <c r="AW28">
        <f t="shared" si="9"/>
        <v>-146.34983674</v>
      </c>
      <c r="AX28" s="9"/>
      <c r="AY28" s="22">
        <v>-9.3078599999999994E-3</v>
      </c>
      <c r="AZ28" s="22">
        <v>404.42700000000002</v>
      </c>
      <c r="BA28" s="22">
        <v>-1.8179299999999999E-2</v>
      </c>
      <c r="BB28" s="22">
        <v>18</v>
      </c>
      <c r="BC28" s="22">
        <v>-9.5214800000000006E-3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17.304600000000001</v>
      </c>
      <c r="I29" s="22">
        <v>-1.2417600000000001E-2</v>
      </c>
      <c r="J29" s="22">
        <v>19</v>
      </c>
      <c r="K29" s="22">
        <v>1.78345</v>
      </c>
      <c r="L29">
        <f t="shared" si="0"/>
        <v>12.4176</v>
      </c>
      <c r="M29">
        <f t="shared" si="1"/>
        <v>22.157468735999998</v>
      </c>
      <c r="N29" s="9"/>
      <c r="O29" s="22">
        <v>-4.2724599999999996E-3</v>
      </c>
      <c r="P29" s="22">
        <v>74.614500000000007</v>
      </c>
      <c r="Q29" s="22">
        <v>-1.80664E-2</v>
      </c>
      <c r="R29" s="22">
        <v>19</v>
      </c>
      <c r="S29" s="22">
        <v>-4.4403100000000003E-3</v>
      </c>
      <c r="T29">
        <f t="shared" si="2"/>
        <v>18.066400000000002</v>
      </c>
      <c r="U29">
        <f t="shared" si="3"/>
        <v>-7.7187971344000003E-2</v>
      </c>
      <c r="X29" s="9"/>
      <c r="Y29" s="22">
        <v>1.7843599999999999</v>
      </c>
      <c r="Z29" s="22">
        <v>164.773</v>
      </c>
      <c r="AA29" s="22">
        <v>1.4819300000000001E-2</v>
      </c>
      <c r="AB29" s="22">
        <v>19</v>
      </c>
      <c r="AC29" s="22">
        <v>1.7843599999999999</v>
      </c>
      <c r="AD29">
        <f t="shared" si="4"/>
        <v>-14.8193</v>
      </c>
      <c r="AE29">
        <f t="shared" si="5"/>
        <v>-26.442966148</v>
      </c>
      <c r="AF29" s="9"/>
      <c r="AG29" s="22">
        <v>-4.2724599999999996E-3</v>
      </c>
      <c r="AH29" s="22">
        <v>279.08600000000001</v>
      </c>
      <c r="AI29" s="22">
        <v>-1.81335E-2</v>
      </c>
      <c r="AJ29" s="22">
        <v>19</v>
      </c>
      <c r="AK29" s="22">
        <v>-4.6203599999999996E-3</v>
      </c>
      <c r="AL29">
        <f t="shared" si="6"/>
        <v>18.133500000000002</v>
      </c>
      <c r="AM29">
        <f t="shared" si="7"/>
        <v>-7.7474653409999997E-2</v>
      </c>
      <c r="AP29" s="9"/>
      <c r="AQ29" s="22">
        <v>1.7843599999999999</v>
      </c>
      <c r="AR29" s="22">
        <v>352.09899999999999</v>
      </c>
      <c r="AS29" s="22">
        <v>6.5368700000000002E-2</v>
      </c>
      <c r="AT29" s="22">
        <v>19</v>
      </c>
      <c r="AU29" s="22">
        <v>1.7837499999999999</v>
      </c>
      <c r="AV29">
        <f t="shared" si="8"/>
        <v>-65.368700000000004</v>
      </c>
      <c r="AW29">
        <f t="shared" si="9"/>
        <v>-116.64129353200001</v>
      </c>
      <c r="AX29" s="9"/>
      <c r="AY29" s="22">
        <v>-4.2724599999999996E-3</v>
      </c>
      <c r="AZ29" s="22">
        <v>404.52800000000002</v>
      </c>
      <c r="BA29" s="22">
        <v>-1.8176299999999999E-2</v>
      </c>
      <c r="BB29" s="22">
        <v>19</v>
      </c>
      <c r="BC29" s="22">
        <v>-4.3029799999999997E-3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17.4053</v>
      </c>
      <c r="I30" s="22">
        <v>-1.2851E-2</v>
      </c>
      <c r="J30" s="22">
        <v>20</v>
      </c>
      <c r="K30" s="22">
        <v>1.7785599999999999</v>
      </c>
      <c r="L30">
        <f t="shared" si="0"/>
        <v>12.850999999999999</v>
      </c>
      <c r="M30">
        <f t="shared" si="1"/>
        <v>22.86616983</v>
      </c>
      <c r="N30" s="9"/>
      <c r="O30" s="22">
        <v>7.6293900000000002E-4</v>
      </c>
      <c r="P30" s="22">
        <v>74.715199999999996</v>
      </c>
      <c r="Q30" s="22">
        <v>-1.80634E-2</v>
      </c>
      <c r="R30" s="22">
        <v>20</v>
      </c>
      <c r="S30" s="22">
        <v>4.0893599999999999E-4</v>
      </c>
      <c r="T30">
        <f t="shared" si="2"/>
        <v>18.063400000000001</v>
      </c>
      <c r="U30">
        <f t="shared" si="3"/>
        <v>1.3781272332600002E-2</v>
      </c>
      <c r="X30" s="9"/>
      <c r="Y30" s="22">
        <v>1.7793300000000001</v>
      </c>
      <c r="Z30" s="22">
        <v>164.874</v>
      </c>
      <c r="AA30" s="22">
        <v>2.5503499999999998E-3</v>
      </c>
      <c r="AB30" s="22">
        <v>20</v>
      </c>
      <c r="AC30" s="22">
        <v>1.7785599999999999</v>
      </c>
      <c r="AD30">
        <f t="shared" si="4"/>
        <v>-2.5503499999999999</v>
      </c>
      <c r="AE30">
        <f t="shared" si="5"/>
        <v>-4.5379142655000004</v>
      </c>
      <c r="AF30" s="9"/>
      <c r="AG30" s="22">
        <v>7.6293900000000002E-4</v>
      </c>
      <c r="AH30" s="22">
        <v>279.18700000000001</v>
      </c>
      <c r="AI30" s="22">
        <v>-1.8130500000000001E-2</v>
      </c>
      <c r="AJ30" s="22">
        <v>20</v>
      </c>
      <c r="AK30" s="22">
        <v>6.0424800000000005E-4</v>
      </c>
      <c r="AL30">
        <f t="shared" si="6"/>
        <v>18.130500000000001</v>
      </c>
      <c r="AM30">
        <f t="shared" si="7"/>
        <v>1.3832465539500001E-2</v>
      </c>
      <c r="AP30" s="9"/>
      <c r="AQ30" s="22">
        <v>1.7793300000000001</v>
      </c>
      <c r="AR30" s="22">
        <v>352.2</v>
      </c>
      <c r="AS30" s="22">
        <v>4.8940999999999998E-2</v>
      </c>
      <c r="AT30" s="22">
        <v>20</v>
      </c>
      <c r="AU30" s="22">
        <v>1.77826</v>
      </c>
      <c r="AV30">
        <f t="shared" si="8"/>
        <v>-48.940999999999995</v>
      </c>
      <c r="AW30">
        <f t="shared" si="9"/>
        <v>-87.082189529999994</v>
      </c>
      <c r="AX30" s="9"/>
      <c r="AY30" s="22">
        <v>7.6293900000000002E-4</v>
      </c>
      <c r="AZ30" s="22">
        <v>404.62900000000002</v>
      </c>
      <c r="BA30" s="22">
        <v>-1.8176299999999999E-2</v>
      </c>
      <c r="BB30" s="22">
        <v>20</v>
      </c>
      <c r="BC30" s="22">
        <v>5.9204099999999996E-4</v>
      </c>
      <c r="BD30">
        <f t="shared" si="10"/>
        <v>18.176299999999998</v>
      </c>
      <c r="BE30">
        <f t="shared" si="11"/>
        <v>1.3867408145699998E-2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17.506</v>
      </c>
      <c r="I31" s="22">
        <v>-1.32446E-2</v>
      </c>
      <c r="J31" s="22">
        <v>21</v>
      </c>
      <c r="K31" s="22">
        <v>1.77338</v>
      </c>
      <c r="L31">
        <f t="shared" si="0"/>
        <v>13.2446</v>
      </c>
      <c r="M31">
        <f t="shared" si="1"/>
        <v>23.499761333999999</v>
      </c>
      <c r="N31" s="9"/>
      <c r="O31" s="22">
        <v>5.7983399999999999E-3</v>
      </c>
      <c r="P31" s="22">
        <v>74.815899999999999</v>
      </c>
      <c r="Q31" s="22">
        <v>-1.8060300000000001E-2</v>
      </c>
      <c r="R31" s="22">
        <v>21</v>
      </c>
      <c r="S31" s="22">
        <v>5.6243899999999999E-3</v>
      </c>
      <c r="T31">
        <f t="shared" si="2"/>
        <v>18.060300000000002</v>
      </c>
      <c r="U31">
        <f t="shared" si="3"/>
        <v>0.10471975990200001</v>
      </c>
      <c r="X31" s="9"/>
      <c r="Y31" s="22">
        <v>1.7742899999999999</v>
      </c>
      <c r="Z31" s="22">
        <v>164.97399999999999</v>
      </c>
      <c r="AA31" s="22">
        <v>-3.61115E-3</v>
      </c>
      <c r="AB31" s="22">
        <v>21</v>
      </c>
      <c r="AC31" s="22">
        <v>1.7730699999999999</v>
      </c>
      <c r="AD31">
        <f t="shared" si="4"/>
        <v>3.6111499999999999</v>
      </c>
      <c r="AE31">
        <f t="shared" si="5"/>
        <v>6.4072273334999998</v>
      </c>
      <c r="AF31" s="9"/>
      <c r="AG31" s="22">
        <v>5.7983399999999999E-3</v>
      </c>
      <c r="AH31" s="22">
        <v>279.28699999999998</v>
      </c>
      <c r="AI31" s="22">
        <v>-1.8127399999999998E-2</v>
      </c>
      <c r="AJ31" s="22">
        <v>21</v>
      </c>
      <c r="AK31" s="22">
        <v>5.6884800000000001E-3</v>
      </c>
      <c r="AL31">
        <f t="shared" si="6"/>
        <v>18.127399999999998</v>
      </c>
      <c r="AM31">
        <f t="shared" si="7"/>
        <v>0.10510882851599998</v>
      </c>
      <c r="AP31" s="9"/>
      <c r="AQ31" s="22">
        <v>1.7742899999999999</v>
      </c>
      <c r="AR31" s="22">
        <v>352.30099999999999</v>
      </c>
      <c r="AS31" s="22">
        <v>3.3178699999999998E-2</v>
      </c>
      <c r="AT31" s="22">
        <v>21</v>
      </c>
      <c r="AU31" s="22">
        <v>1.7736799999999999</v>
      </c>
      <c r="AV31">
        <f t="shared" si="8"/>
        <v>-33.178699999999999</v>
      </c>
      <c r="AW31">
        <f t="shared" si="9"/>
        <v>-58.868635622999996</v>
      </c>
      <c r="AX31" s="9"/>
      <c r="AY31" s="22">
        <v>5.7983399999999999E-3</v>
      </c>
      <c r="AZ31" s="22">
        <v>404.72899999999998</v>
      </c>
      <c r="BA31" s="22">
        <v>-1.81732E-2</v>
      </c>
      <c r="BB31" s="22">
        <v>21</v>
      </c>
      <c r="BC31" s="22">
        <v>5.53894E-3</v>
      </c>
      <c r="BD31">
        <f t="shared" si="10"/>
        <v>18.173200000000001</v>
      </c>
      <c r="BE31">
        <f t="shared" si="11"/>
        <v>0.10537439248800001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17.6067</v>
      </c>
      <c r="I32" s="22">
        <v>-1.3559E-2</v>
      </c>
      <c r="J32" s="22">
        <v>22</v>
      </c>
      <c r="K32" s="22">
        <v>1.7687999999999999</v>
      </c>
      <c r="L32">
        <f t="shared" si="0"/>
        <v>13.558999999999999</v>
      </c>
      <c r="M32">
        <f t="shared" si="1"/>
        <v>23.989396339999999</v>
      </c>
      <c r="N32" s="9"/>
      <c r="O32" s="22">
        <v>1.08337E-2</v>
      </c>
      <c r="P32" s="22">
        <v>74.916600000000003</v>
      </c>
      <c r="Q32" s="22">
        <v>-1.8057299999999998E-2</v>
      </c>
      <c r="R32" s="22">
        <v>22</v>
      </c>
      <c r="S32" s="22">
        <v>1.0766599999999999E-2</v>
      </c>
      <c r="T32">
        <f t="shared" si="2"/>
        <v>18.057299999999998</v>
      </c>
      <c r="U32">
        <f t="shared" si="3"/>
        <v>0.19562737100999997</v>
      </c>
      <c r="X32" s="9"/>
      <c r="Y32" s="22">
        <v>1.7692600000000001</v>
      </c>
      <c r="Z32" s="22">
        <v>165.07499999999999</v>
      </c>
      <c r="AA32" s="22">
        <v>-6.73523E-3</v>
      </c>
      <c r="AB32" s="22">
        <v>22</v>
      </c>
      <c r="AC32" s="22">
        <v>1.7678799999999999</v>
      </c>
      <c r="AD32">
        <f t="shared" si="4"/>
        <v>6.7352299999999996</v>
      </c>
      <c r="AE32">
        <f t="shared" si="5"/>
        <v>11.916373029799999</v>
      </c>
      <c r="AF32" s="9"/>
      <c r="AG32" s="22">
        <v>1.08337E-2</v>
      </c>
      <c r="AH32" s="22">
        <v>279.38799999999998</v>
      </c>
      <c r="AI32" s="22">
        <v>-1.8127399999999998E-2</v>
      </c>
      <c r="AJ32" s="22">
        <v>22</v>
      </c>
      <c r="AK32" s="22">
        <v>1.07391E-2</v>
      </c>
      <c r="AL32">
        <f t="shared" si="6"/>
        <v>18.127399999999998</v>
      </c>
      <c r="AM32">
        <f t="shared" si="7"/>
        <v>0.19638681337999997</v>
      </c>
      <c r="AP32" s="9"/>
      <c r="AQ32" s="22">
        <v>1.7692600000000001</v>
      </c>
      <c r="AR32" s="22">
        <v>352.40100000000001</v>
      </c>
      <c r="AS32" s="22">
        <v>1.8170200000000001E-2</v>
      </c>
      <c r="AT32" s="22">
        <v>22</v>
      </c>
      <c r="AU32" s="22">
        <v>1.7681899999999999</v>
      </c>
      <c r="AV32">
        <f t="shared" si="8"/>
        <v>-18.170200000000001</v>
      </c>
      <c r="AW32">
        <f t="shared" si="9"/>
        <v>-32.147808052000002</v>
      </c>
      <c r="AX32" s="9"/>
      <c r="AY32" s="22">
        <v>1.08337E-2</v>
      </c>
      <c r="AZ32" s="22">
        <v>404.83</v>
      </c>
      <c r="BA32" s="22">
        <v>-1.8170200000000001E-2</v>
      </c>
      <c r="BB32" s="22">
        <v>22</v>
      </c>
      <c r="BC32" s="22">
        <v>1.0714700000000001E-2</v>
      </c>
      <c r="BD32">
        <f t="shared" si="10"/>
        <v>18.170200000000001</v>
      </c>
      <c r="BE32">
        <f t="shared" si="11"/>
        <v>0.19685049574000002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17.7074</v>
      </c>
      <c r="I33" s="22">
        <v>-1.3854999999999999E-2</v>
      </c>
      <c r="J33" s="22">
        <v>23</v>
      </c>
      <c r="K33" s="22">
        <v>1.7633099999999999</v>
      </c>
      <c r="L33">
        <f t="shared" si="0"/>
        <v>13.854999999999999</v>
      </c>
      <c r="M33">
        <f t="shared" si="1"/>
        <v>24.443268099999997</v>
      </c>
      <c r="N33" s="9"/>
      <c r="O33" s="22">
        <v>1.5869100000000001E-2</v>
      </c>
      <c r="P33" s="22">
        <v>75.017300000000006</v>
      </c>
      <c r="Q33" s="22">
        <v>-1.8054199999999999E-2</v>
      </c>
      <c r="R33" s="22">
        <v>23</v>
      </c>
      <c r="S33" s="22">
        <v>1.5722699999999999E-2</v>
      </c>
      <c r="T33">
        <f t="shared" si="2"/>
        <v>18.054199999999998</v>
      </c>
      <c r="U33">
        <f t="shared" si="3"/>
        <v>0.28650390521999997</v>
      </c>
      <c r="X33" s="9"/>
      <c r="Y33" s="22">
        <v>1.7642199999999999</v>
      </c>
      <c r="Z33" s="22">
        <v>165.17599999999999</v>
      </c>
      <c r="AA33" s="22">
        <v>-8.6212200000000006E-3</v>
      </c>
      <c r="AB33" s="22">
        <v>23</v>
      </c>
      <c r="AC33" s="22">
        <v>1.7636099999999999</v>
      </c>
      <c r="AD33">
        <f t="shared" si="4"/>
        <v>8.621220000000001</v>
      </c>
      <c r="AE33">
        <f t="shared" si="5"/>
        <v>15.209728748400002</v>
      </c>
      <c r="AF33" s="9"/>
      <c r="AG33" s="22">
        <v>1.5869100000000001E-2</v>
      </c>
      <c r="AH33" s="22">
        <v>279.48899999999998</v>
      </c>
      <c r="AI33" s="22">
        <v>-1.8124399999999999E-2</v>
      </c>
      <c r="AJ33" s="22">
        <v>23</v>
      </c>
      <c r="AK33" s="22">
        <v>1.5753199999999998E-2</v>
      </c>
      <c r="AL33">
        <f t="shared" si="6"/>
        <v>18.124399999999998</v>
      </c>
      <c r="AM33">
        <f t="shared" si="7"/>
        <v>0.28761791603999998</v>
      </c>
      <c r="AP33" s="9"/>
      <c r="AQ33" s="22">
        <v>1.7642199999999999</v>
      </c>
      <c r="AR33" s="22">
        <v>352.50200000000001</v>
      </c>
      <c r="AS33" s="22">
        <v>4.8739600000000001E-3</v>
      </c>
      <c r="AT33" s="22">
        <v>23</v>
      </c>
      <c r="AU33" s="22">
        <v>1.7636099999999999</v>
      </c>
      <c r="AV33">
        <f t="shared" si="8"/>
        <v>-4.8739600000000003</v>
      </c>
      <c r="AW33">
        <f t="shared" si="9"/>
        <v>-8.5987377112000001</v>
      </c>
      <c r="AX33" s="9"/>
      <c r="AY33" s="22">
        <v>1.5869100000000001E-2</v>
      </c>
      <c r="AZ33" s="22">
        <v>404.93099999999998</v>
      </c>
      <c r="BA33" s="22">
        <v>-1.8167099999999999E-2</v>
      </c>
      <c r="BB33" s="22">
        <v>23</v>
      </c>
      <c r="BC33" s="22">
        <v>1.5704300000000001E-2</v>
      </c>
      <c r="BD33">
        <f t="shared" si="10"/>
        <v>18.167099999999998</v>
      </c>
      <c r="BE33">
        <f t="shared" si="11"/>
        <v>0.28829552660999996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17.8081</v>
      </c>
      <c r="I34" s="22">
        <v>-1.40991E-2</v>
      </c>
      <c r="J34" s="22">
        <v>24</v>
      </c>
      <c r="K34" s="22">
        <v>1.7584200000000001</v>
      </c>
      <c r="L34">
        <f t="shared" si="0"/>
        <v>14.0991</v>
      </c>
      <c r="M34">
        <f t="shared" si="1"/>
        <v>24.802995728999999</v>
      </c>
      <c r="N34" s="9"/>
      <c r="O34" s="22">
        <v>2.0904499999999999E-2</v>
      </c>
      <c r="P34" s="22">
        <v>75.117999999999995</v>
      </c>
      <c r="Q34" s="22">
        <v>-1.80511E-2</v>
      </c>
      <c r="R34" s="22">
        <v>24</v>
      </c>
      <c r="S34" s="22">
        <v>2.0632899999999999E-2</v>
      </c>
      <c r="T34">
        <f t="shared" si="2"/>
        <v>18.051100000000002</v>
      </c>
      <c r="U34">
        <f t="shared" si="3"/>
        <v>0.37734921995000004</v>
      </c>
      <c r="X34" s="9"/>
      <c r="Y34" s="22">
        <v>1.75919</v>
      </c>
      <c r="Z34" s="22">
        <v>165.27699999999999</v>
      </c>
      <c r="AA34" s="22">
        <v>-9.8693800000000005E-3</v>
      </c>
      <c r="AB34" s="22">
        <v>24</v>
      </c>
      <c r="AC34" s="22">
        <v>1.7587299999999999</v>
      </c>
      <c r="AD34">
        <f t="shared" si="4"/>
        <v>9.8693800000000014</v>
      </c>
      <c r="AE34">
        <f t="shared" si="5"/>
        <v>17.362114602200002</v>
      </c>
      <c r="AF34" s="9"/>
      <c r="AG34" s="22">
        <v>2.0904499999999999E-2</v>
      </c>
      <c r="AH34" s="22">
        <v>279.589</v>
      </c>
      <c r="AI34" s="22">
        <v>-1.81213E-2</v>
      </c>
      <c r="AJ34" s="22">
        <v>24</v>
      </c>
      <c r="AK34" s="22">
        <v>2.07794E-2</v>
      </c>
      <c r="AL34">
        <f t="shared" si="6"/>
        <v>18.121300000000002</v>
      </c>
      <c r="AM34">
        <f t="shared" si="7"/>
        <v>0.37881671585000004</v>
      </c>
      <c r="AP34" s="9"/>
      <c r="AQ34" s="22">
        <v>1.75919</v>
      </c>
      <c r="AR34" s="22">
        <v>352.60300000000001</v>
      </c>
      <c r="AS34" s="22">
        <v>-2.5369300000000002E-3</v>
      </c>
      <c r="AT34" s="22">
        <v>24</v>
      </c>
      <c r="AU34" s="22">
        <v>1.7584200000000001</v>
      </c>
      <c r="AV34">
        <f t="shared" si="8"/>
        <v>2.5369300000000004</v>
      </c>
      <c r="AW34">
        <f t="shared" si="9"/>
        <v>4.4629418867000004</v>
      </c>
      <c r="AX34" s="9"/>
      <c r="AY34" s="22">
        <v>2.0904499999999999E-2</v>
      </c>
      <c r="AZ34" s="22">
        <v>405.03100000000001</v>
      </c>
      <c r="BA34" s="22">
        <v>-1.8164099999999999E-2</v>
      </c>
      <c r="BB34" s="22">
        <v>24</v>
      </c>
      <c r="BC34" s="22">
        <v>2.0535299999999999E-2</v>
      </c>
      <c r="BD34">
        <f t="shared" si="10"/>
        <v>18.164099999999998</v>
      </c>
      <c r="BE34">
        <f t="shared" si="11"/>
        <v>0.37971142844999994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17.908799999999999</v>
      </c>
      <c r="I35" s="22">
        <v>-1.4306599999999999E-2</v>
      </c>
      <c r="J35" s="22">
        <v>25</v>
      </c>
      <c r="K35" s="22">
        <v>1.7532300000000001</v>
      </c>
      <c r="L35">
        <f t="shared" si="0"/>
        <v>14.3066</v>
      </c>
      <c r="M35">
        <f t="shared" si="1"/>
        <v>25.095922390000002</v>
      </c>
      <c r="N35" s="9"/>
      <c r="O35" s="22">
        <v>2.5939899999999998E-2</v>
      </c>
      <c r="P35" s="22">
        <v>75.218699999999998</v>
      </c>
      <c r="Q35" s="22">
        <v>-1.8048100000000001E-2</v>
      </c>
      <c r="R35" s="22">
        <v>25</v>
      </c>
      <c r="S35" s="22">
        <v>2.5900300000000001E-2</v>
      </c>
      <c r="T35">
        <f t="shared" si="2"/>
        <v>18.048100000000002</v>
      </c>
      <c r="U35">
        <f t="shared" si="3"/>
        <v>0.46816590919000001</v>
      </c>
      <c r="X35" s="9"/>
      <c r="Y35" s="22">
        <v>1.7541500000000001</v>
      </c>
      <c r="Z35" s="22">
        <v>165.37700000000001</v>
      </c>
      <c r="AA35" s="22">
        <v>-1.08063E-2</v>
      </c>
      <c r="AB35" s="22">
        <v>25</v>
      </c>
      <c r="AC35" s="22">
        <v>1.7535400000000001</v>
      </c>
      <c r="AD35">
        <f t="shared" si="4"/>
        <v>10.8063</v>
      </c>
      <c r="AE35">
        <f t="shared" si="5"/>
        <v>18.955871145000003</v>
      </c>
      <c r="AF35" s="9"/>
      <c r="AG35" s="22">
        <v>2.5939899999999998E-2</v>
      </c>
      <c r="AH35" s="22">
        <v>279.69</v>
      </c>
      <c r="AI35" s="22">
        <v>-1.8112199999999998E-2</v>
      </c>
      <c r="AJ35" s="22">
        <v>25</v>
      </c>
      <c r="AK35" s="22">
        <v>2.5872800000000001E-2</v>
      </c>
      <c r="AL35">
        <f t="shared" si="6"/>
        <v>18.112199999999998</v>
      </c>
      <c r="AM35">
        <f t="shared" si="7"/>
        <v>0.46982865677999991</v>
      </c>
      <c r="AP35" s="9"/>
      <c r="AQ35" s="22">
        <v>1.7541500000000001</v>
      </c>
      <c r="AR35" s="22">
        <v>352.70299999999997</v>
      </c>
      <c r="AS35" s="22">
        <v>-6.14929E-3</v>
      </c>
      <c r="AT35" s="22">
        <v>25</v>
      </c>
      <c r="AU35" s="22">
        <v>1.7532300000000001</v>
      </c>
      <c r="AV35">
        <f t="shared" si="8"/>
        <v>6.1492899999999997</v>
      </c>
      <c r="AW35">
        <f t="shared" si="9"/>
        <v>10.7867770535</v>
      </c>
      <c r="AX35" s="9"/>
      <c r="AY35" s="22">
        <v>2.5939899999999998E-2</v>
      </c>
      <c r="AZ35" s="22">
        <v>405.13200000000001</v>
      </c>
      <c r="BA35" s="22">
        <v>-1.8158000000000001E-2</v>
      </c>
      <c r="BB35" s="22">
        <v>25</v>
      </c>
      <c r="BC35" s="22">
        <v>2.5634799999999999E-2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18.009599999999999</v>
      </c>
      <c r="I36" s="22">
        <v>-1.44989E-2</v>
      </c>
      <c r="J36" s="22">
        <v>26</v>
      </c>
      <c r="K36" s="22">
        <v>1.7480500000000001</v>
      </c>
      <c r="L36">
        <f t="shared" si="0"/>
        <v>14.498900000000001</v>
      </c>
      <c r="M36">
        <f t="shared" si="1"/>
        <v>25.360170978999999</v>
      </c>
      <c r="N36" s="9"/>
      <c r="O36" s="22">
        <v>3.0975300000000001E-2</v>
      </c>
      <c r="P36" s="22">
        <v>75.319400000000002</v>
      </c>
      <c r="Q36" s="22">
        <v>-1.8044999999999999E-2</v>
      </c>
      <c r="R36" s="22">
        <v>26</v>
      </c>
      <c r="S36" s="22">
        <v>3.0862400000000002E-2</v>
      </c>
      <c r="T36">
        <f t="shared" si="2"/>
        <v>18.044999999999998</v>
      </c>
      <c r="U36">
        <f t="shared" si="3"/>
        <v>0.55894928849999992</v>
      </c>
      <c r="X36" s="9"/>
      <c r="Y36" s="22">
        <v>1.7491099999999999</v>
      </c>
      <c r="Z36" s="22">
        <v>165.47800000000001</v>
      </c>
      <c r="AA36" s="22">
        <v>-1.1557E-2</v>
      </c>
      <c r="AB36" s="22">
        <v>26</v>
      </c>
      <c r="AC36" s="22">
        <v>1.7480500000000001</v>
      </c>
      <c r="AD36">
        <f t="shared" si="4"/>
        <v>11.557</v>
      </c>
      <c r="AE36">
        <f t="shared" si="5"/>
        <v>20.214464270000001</v>
      </c>
      <c r="AF36" s="9"/>
      <c r="AG36" s="22">
        <v>3.0975300000000001E-2</v>
      </c>
      <c r="AH36" s="22">
        <v>279.791</v>
      </c>
      <c r="AI36" s="22">
        <v>-1.8112199999999998E-2</v>
      </c>
      <c r="AJ36" s="22">
        <v>26</v>
      </c>
      <c r="AK36" s="22">
        <v>3.1082200000000001E-2</v>
      </c>
      <c r="AL36">
        <f t="shared" si="6"/>
        <v>18.112199999999998</v>
      </c>
      <c r="AM36">
        <f t="shared" si="7"/>
        <v>0.56103082865999998</v>
      </c>
      <c r="AP36" s="9"/>
      <c r="AQ36" s="22">
        <v>1.7491099999999999</v>
      </c>
      <c r="AR36" s="22">
        <v>352.80399999999997</v>
      </c>
      <c r="AS36" s="22">
        <v>-8.1970199999999993E-3</v>
      </c>
      <c r="AT36" s="22">
        <v>26</v>
      </c>
      <c r="AU36" s="22">
        <v>1.7477400000000001</v>
      </c>
      <c r="AV36">
        <f t="shared" si="8"/>
        <v>8.1970199999999984</v>
      </c>
      <c r="AW36">
        <f t="shared" si="9"/>
        <v>14.337489652199997</v>
      </c>
      <c r="AX36" s="9"/>
      <c r="AY36" s="22">
        <v>3.0975300000000001E-2</v>
      </c>
      <c r="AZ36" s="22">
        <v>405.233</v>
      </c>
      <c r="BA36" s="22">
        <v>-1.8158000000000001E-2</v>
      </c>
      <c r="BB36" s="22">
        <v>26</v>
      </c>
      <c r="BC36" s="22">
        <v>3.0844099999999999E-2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18.110299999999999</v>
      </c>
      <c r="I37" s="22">
        <v>-1.4694199999999999E-2</v>
      </c>
      <c r="J37" s="22">
        <v>27</v>
      </c>
      <c r="K37" s="22">
        <v>1.74316</v>
      </c>
      <c r="L37">
        <f t="shared" si="0"/>
        <v>14.694199999999999</v>
      </c>
      <c r="M37">
        <f t="shared" si="1"/>
        <v>25.627860335999998</v>
      </c>
      <c r="N37" s="9"/>
      <c r="O37" s="22">
        <v>3.60107E-2</v>
      </c>
      <c r="P37" s="22">
        <v>75.420100000000005</v>
      </c>
      <c r="Q37" s="22">
        <v>-1.80389E-2</v>
      </c>
      <c r="R37" s="22">
        <v>27</v>
      </c>
      <c r="S37" s="22">
        <v>3.6151099999999999E-2</v>
      </c>
      <c r="T37">
        <f t="shared" si="2"/>
        <v>18.038900000000002</v>
      </c>
      <c r="U37">
        <f t="shared" si="3"/>
        <v>0.64959341623000011</v>
      </c>
      <c r="X37" s="9"/>
      <c r="Y37" s="22">
        <v>1.7440800000000001</v>
      </c>
      <c r="Z37" s="22">
        <v>165.57900000000001</v>
      </c>
      <c r="AA37" s="22">
        <v>-1.21613E-2</v>
      </c>
      <c r="AB37" s="22">
        <v>27</v>
      </c>
      <c r="AC37" s="22">
        <v>1.74316</v>
      </c>
      <c r="AD37">
        <f t="shared" si="4"/>
        <v>12.161300000000001</v>
      </c>
      <c r="AE37">
        <f t="shared" si="5"/>
        <v>21.210280104000002</v>
      </c>
      <c r="AF37" s="9"/>
      <c r="AG37" s="22">
        <v>3.60107E-2</v>
      </c>
      <c r="AH37" s="22">
        <v>279.892</v>
      </c>
      <c r="AI37" s="22">
        <v>-1.8103000000000001E-2</v>
      </c>
      <c r="AJ37" s="22">
        <v>27</v>
      </c>
      <c r="AK37" s="22">
        <v>3.5897800000000001E-2</v>
      </c>
      <c r="AL37">
        <f t="shared" si="6"/>
        <v>18.103000000000002</v>
      </c>
      <c r="AM37">
        <f t="shared" si="7"/>
        <v>0.65190170210000009</v>
      </c>
      <c r="AP37" s="9"/>
      <c r="AQ37" s="22">
        <v>1.7440800000000001</v>
      </c>
      <c r="AR37" s="22">
        <v>352.90499999999997</v>
      </c>
      <c r="AS37" s="22">
        <v>-9.6160900000000007E-3</v>
      </c>
      <c r="AT37" s="22">
        <v>27</v>
      </c>
      <c r="AU37" s="22">
        <v>1.7428600000000001</v>
      </c>
      <c r="AV37">
        <f t="shared" si="8"/>
        <v>9.6160900000000016</v>
      </c>
      <c r="AW37">
        <f t="shared" si="9"/>
        <v>16.771230247200002</v>
      </c>
      <c r="AX37" s="9"/>
      <c r="AY37" s="22">
        <v>3.60107E-2</v>
      </c>
      <c r="AZ37" s="22">
        <v>405.334</v>
      </c>
      <c r="BA37" s="22">
        <v>-1.8154900000000002E-2</v>
      </c>
      <c r="BB37" s="22">
        <v>27</v>
      </c>
      <c r="BC37" s="22">
        <v>3.5961899999999998E-2</v>
      </c>
      <c r="BD37">
        <f t="shared" si="10"/>
        <v>18.154900000000001</v>
      </c>
      <c r="BE37">
        <f t="shared" si="11"/>
        <v>0.65377065743000007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18.210999999999999</v>
      </c>
      <c r="I38" s="22">
        <v>-1.4843800000000001E-2</v>
      </c>
      <c r="J38" s="22">
        <v>28</v>
      </c>
      <c r="K38" s="22">
        <v>1.7379800000000001</v>
      </c>
      <c r="L38">
        <f t="shared" si="0"/>
        <v>14.8438</v>
      </c>
      <c r="M38">
        <f t="shared" si="1"/>
        <v>25.813961952</v>
      </c>
      <c r="N38" s="9"/>
      <c r="O38" s="22">
        <v>4.1046100000000002E-2</v>
      </c>
      <c r="P38" s="22">
        <v>75.520899999999997</v>
      </c>
      <c r="Q38" s="22">
        <v>-1.80389E-2</v>
      </c>
      <c r="R38" s="22">
        <v>28</v>
      </c>
      <c r="S38" s="22">
        <v>4.0856900000000002E-2</v>
      </c>
      <c r="T38">
        <f t="shared" si="2"/>
        <v>18.038900000000002</v>
      </c>
      <c r="U38">
        <f t="shared" si="3"/>
        <v>0.7404264932900001</v>
      </c>
      <c r="X38" s="9"/>
      <c r="Y38" s="22">
        <v>1.7390399999999999</v>
      </c>
      <c r="Z38" s="22">
        <v>165.679</v>
      </c>
      <c r="AA38" s="22">
        <v>-1.26862E-2</v>
      </c>
      <c r="AB38" s="22">
        <v>28</v>
      </c>
      <c r="AC38" s="22">
        <v>1.7379800000000001</v>
      </c>
      <c r="AD38">
        <f t="shared" si="4"/>
        <v>12.686199999999999</v>
      </c>
      <c r="AE38">
        <f t="shared" si="5"/>
        <v>22.061809247999999</v>
      </c>
      <c r="AF38" s="9"/>
      <c r="AG38" s="22">
        <v>4.1046100000000002E-2</v>
      </c>
      <c r="AH38" s="22">
        <v>279.99200000000002</v>
      </c>
      <c r="AI38" s="22">
        <v>-1.8103000000000001E-2</v>
      </c>
      <c r="AJ38" s="22">
        <v>28</v>
      </c>
      <c r="AK38" s="22">
        <v>4.1091900000000001E-2</v>
      </c>
      <c r="AL38">
        <f t="shared" si="6"/>
        <v>18.103000000000002</v>
      </c>
      <c r="AM38">
        <f t="shared" si="7"/>
        <v>0.74305754830000015</v>
      </c>
      <c r="AP38" s="9"/>
      <c r="AQ38" s="22">
        <v>1.7390399999999999</v>
      </c>
      <c r="AR38" s="22">
        <v>353.005</v>
      </c>
      <c r="AS38" s="22">
        <v>-1.0583499999999999E-2</v>
      </c>
      <c r="AT38" s="22">
        <v>28</v>
      </c>
      <c r="AU38" s="22">
        <v>1.73828</v>
      </c>
      <c r="AV38">
        <f t="shared" si="8"/>
        <v>10.583499999999999</v>
      </c>
      <c r="AW38">
        <f t="shared" si="9"/>
        <v>18.405129839999997</v>
      </c>
      <c r="AX38" s="9"/>
      <c r="AY38" s="22">
        <v>4.1046100000000002E-2</v>
      </c>
      <c r="AZ38" s="22">
        <v>405.43400000000003</v>
      </c>
      <c r="BA38" s="22">
        <v>-1.81488E-2</v>
      </c>
      <c r="BB38" s="22">
        <v>28</v>
      </c>
      <c r="BC38" s="22">
        <v>4.0936300000000002E-2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18.311699999999998</v>
      </c>
      <c r="I39" s="22">
        <v>-1.49841E-2</v>
      </c>
      <c r="J39" s="22">
        <v>29</v>
      </c>
      <c r="K39" s="22">
        <v>1.73248</v>
      </c>
      <c r="L39">
        <f t="shared" si="0"/>
        <v>14.9841</v>
      </c>
      <c r="M39">
        <f t="shared" si="1"/>
        <v>25.982579241</v>
      </c>
      <c r="N39" s="9"/>
      <c r="O39" s="22">
        <v>4.6081499999999997E-2</v>
      </c>
      <c r="P39" s="22">
        <v>75.621600000000001</v>
      </c>
      <c r="Q39" s="22">
        <v>-1.8035900000000001E-2</v>
      </c>
      <c r="R39" s="22">
        <v>29</v>
      </c>
      <c r="S39" s="22">
        <v>4.5977799999999999E-2</v>
      </c>
      <c r="T39">
        <f t="shared" si="2"/>
        <v>18.035900000000002</v>
      </c>
      <c r="U39">
        <f t="shared" si="3"/>
        <v>0.83112132584999998</v>
      </c>
      <c r="X39" s="9"/>
      <c r="Y39" s="22">
        <v>1.7340100000000001</v>
      </c>
      <c r="Z39" s="22">
        <v>165.78</v>
      </c>
      <c r="AA39" s="22">
        <v>-1.31226E-2</v>
      </c>
      <c r="AB39" s="22">
        <v>29</v>
      </c>
      <c r="AC39" s="22">
        <v>1.73309</v>
      </c>
      <c r="AD39">
        <f t="shared" si="4"/>
        <v>13.1226</v>
      </c>
      <c r="AE39">
        <f t="shared" si="5"/>
        <v>22.754719626</v>
      </c>
      <c r="AF39" s="9"/>
      <c r="AG39" s="22">
        <v>4.6081499999999997E-2</v>
      </c>
      <c r="AH39" s="22">
        <v>280.09300000000002</v>
      </c>
      <c r="AI39" s="22">
        <v>-1.8100000000000002E-2</v>
      </c>
      <c r="AJ39" s="22">
        <v>29</v>
      </c>
      <c r="AK39" s="22">
        <v>4.5889300000000001E-2</v>
      </c>
      <c r="AL39">
        <f t="shared" si="6"/>
        <v>18.100000000000001</v>
      </c>
      <c r="AM39">
        <f t="shared" si="7"/>
        <v>0.83407514999999999</v>
      </c>
      <c r="AP39" s="9"/>
      <c r="AQ39" s="22">
        <v>1.7340100000000001</v>
      </c>
      <c r="AR39" s="22">
        <v>353.10599999999999</v>
      </c>
      <c r="AS39" s="22">
        <v>-1.1373899999999999E-2</v>
      </c>
      <c r="AT39" s="22">
        <v>29</v>
      </c>
      <c r="AU39" s="22">
        <v>1.73309</v>
      </c>
      <c r="AV39">
        <f t="shared" si="8"/>
        <v>11.373899999999999</v>
      </c>
      <c r="AW39">
        <f t="shared" si="9"/>
        <v>19.722456338999997</v>
      </c>
      <c r="AX39" s="9"/>
      <c r="AY39" s="22">
        <v>4.6081499999999997E-2</v>
      </c>
      <c r="AZ39" s="22">
        <v>405.53500000000003</v>
      </c>
      <c r="BA39" s="22">
        <v>-1.81458E-2</v>
      </c>
      <c r="BB39" s="22">
        <v>29</v>
      </c>
      <c r="BC39" s="22">
        <v>4.5956400000000001E-2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18.412400000000002</v>
      </c>
      <c r="I40" s="22">
        <v>-1.51062E-2</v>
      </c>
      <c r="J40" s="22">
        <v>30</v>
      </c>
      <c r="K40" s="22">
        <v>1.7279100000000001</v>
      </c>
      <c r="L40">
        <f t="shared" si="0"/>
        <v>15.106199999999999</v>
      </c>
      <c r="M40">
        <f t="shared" si="1"/>
        <v>26.118166613999996</v>
      </c>
      <c r="N40" s="9"/>
      <c r="O40" s="22">
        <v>5.11169E-2</v>
      </c>
      <c r="P40" s="22">
        <v>75.722300000000004</v>
      </c>
      <c r="Q40" s="22">
        <v>-1.8032800000000002E-2</v>
      </c>
      <c r="R40" s="22">
        <v>30</v>
      </c>
      <c r="S40" s="22">
        <v>5.1034499999999997E-2</v>
      </c>
      <c r="T40">
        <f t="shared" si="2"/>
        <v>18.032800000000002</v>
      </c>
      <c r="U40">
        <f t="shared" si="3"/>
        <v>0.92178083432000013</v>
      </c>
      <c r="X40" s="9"/>
      <c r="Y40" s="22">
        <v>1.7289699999999999</v>
      </c>
      <c r="Z40" s="22">
        <v>165.881</v>
      </c>
      <c r="AA40" s="22">
        <v>-1.34644E-2</v>
      </c>
      <c r="AB40" s="22">
        <v>30</v>
      </c>
      <c r="AC40" s="22">
        <v>1.72821</v>
      </c>
      <c r="AD40">
        <f t="shared" si="4"/>
        <v>13.464399999999999</v>
      </c>
      <c r="AE40">
        <f t="shared" si="5"/>
        <v>23.279543667999999</v>
      </c>
      <c r="AF40" s="9"/>
      <c r="AG40" s="22">
        <v>5.11169E-2</v>
      </c>
      <c r="AH40" s="22">
        <v>280.19400000000002</v>
      </c>
      <c r="AI40" s="22">
        <v>-1.8096899999999999E-2</v>
      </c>
      <c r="AJ40" s="22">
        <v>30</v>
      </c>
      <c r="AK40" s="22">
        <v>5.0820900000000002E-2</v>
      </c>
      <c r="AL40">
        <f t="shared" si="6"/>
        <v>18.096899999999998</v>
      </c>
      <c r="AM40">
        <f t="shared" si="7"/>
        <v>0.92505742760999987</v>
      </c>
      <c r="AP40" s="9"/>
      <c r="AQ40" s="22">
        <v>1.7289699999999999</v>
      </c>
      <c r="AR40" s="22">
        <v>353.20699999999999</v>
      </c>
      <c r="AS40" s="22">
        <v>-1.1972E-2</v>
      </c>
      <c r="AT40" s="22">
        <v>30</v>
      </c>
      <c r="AU40" s="22">
        <v>1.72821</v>
      </c>
      <c r="AV40">
        <f t="shared" si="8"/>
        <v>11.972</v>
      </c>
      <c r="AW40">
        <f t="shared" si="9"/>
        <v>20.699228839999996</v>
      </c>
      <c r="AX40" s="9"/>
      <c r="AY40" s="22">
        <v>5.11169E-2</v>
      </c>
      <c r="AZ40" s="22">
        <v>405.63600000000002</v>
      </c>
      <c r="BA40" s="22">
        <v>-1.81458E-2</v>
      </c>
      <c r="BB40" s="22">
        <v>30</v>
      </c>
      <c r="BC40" s="22">
        <v>5.1013200000000002E-2</v>
      </c>
      <c r="BD40">
        <f t="shared" si="10"/>
        <v>18.145800000000001</v>
      </c>
      <c r="BE40">
        <f t="shared" si="11"/>
        <v>0.92755704402000005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18.513100000000001</v>
      </c>
      <c r="I41" s="22">
        <v>-1.52344E-2</v>
      </c>
      <c r="J41" s="22">
        <v>31</v>
      </c>
      <c r="K41" s="22">
        <v>1.72272</v>
      </c>
      <c r="L41">
        <f t="shared" si="0"/>
        <v>15.234400000000001</v>
      </c>
      <c r="M41">
        <f t="shared" si="1"/>
        <v>26.263191536000001</v>
      </c>
      <c r="N41" s="9"/>
      <c r="O41" s="22">
        <v>5.6152300000000002E-2</v>
      </c>
      <c r="P41" s="22">
        <v>75.822999999999993</v>
      </c>
      <c r="Q41" s="22">
        <v>-1.8029799999999999E-2</v>
      </c>
      <c r="R41" s="22">
        <v>31</v>
      </c>
      <c r="S41" s="22">
        <v>5.5450399999999997E-2</v>
      </c>
      <c r="T41">
        <f t="shared" si="2"/>
        <v>18.029799999999998</v>
      </c>
      <c r="U41">
        <f t="shared" si="3"/>
        <v>1.01241473854</v>
      </c>
      <c r="X41" s="9"/>
      <c r="Y41" s="22">
        <v>1.72394</v>
      </c>
      <c r="Z41" s="22">
        <v>165.98099999999999</v>
      </c>
      <c r="AA41" s="22">
        <v>-1.38336E-2</v>
      </c>
      <c r="AB41" s="22">
        <v>31</v>
      </c>
      <c r="AC41" s="22">
        <v>1.72302</v>
      </c>
      <c r="AD41">
        <f t="shared" si="4"/>
        <v>13.833600000000001</v>
      </c>
      <c r="AE41">
        <f t="shared" si="5"/>
        <v>23.848296384000001</v>
      </c>
      <c r="AF41" s="9"/>
      <c r="AG41" s="22">
        <v>5.6152300000000002E-2</v>
      </c>
      <c r="AH41" s="22">
        <v>280.29399999999998</v>
      </c>
      <c r="AI41" s="22">
        <v>-1.8096899999999999E-2</v>
      </c>
      <c r="AJ41" s="22">
        <v>31</v>
      </c>
      <c r="AK41" s="22">
        <v>5.5481000000000003E-2</v>
      </c>
      <c r="AL41">
        <f t="shared" si="6"/>
        <v>18.096899999999998</v>
      </c>
      <c r="AM41">
        <f t="shared" si="7"/>
        <v>1.0161825578699999</v>
      </c>
      <c r="AP41" s="9"/>
      <c r="AQ41" s="22">
        <v>1.72394</v>
      </c>
      <c r="AR41" s="22">
        <v>353.30799999999999</v>
      </c>
      <c r="AS41" s="22">
        <v>-1.25366E-2</v>
      </c>
      <c r="AT41" s="22">
        <v>31</v>
      </c>
      <c r="AU41" s="22">
        <v>1.72302</v>
      </c>
      <c r="AV41">
        <f t="shared" si="8"/>
        <v>12.5366</v>
      </c>
      <c r="AW41">
        <f t="shared" si="9"/>
        <v>21.612346204000001</v>
      </c>
      <c r="AX41" s="9"/>
      <c r="AY41" s="22">
        <v>5.6152300000000002E-2</v>
      </c>
      <c r="AZ41" s="22">
        <v>405.73599999999999</v>
      </c>
      <c r="BA41" s="22">
        <v>-1.8139599999999999E-2</v>
      </c>
      <c r="BB41" s="22">
        <v>31</v>
      </c>
      <c r="BC41" s="22">
        <v>5.5481000000000003E-2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18.613800000000001</v>
      </c>
      <c r="I42" s="22">
        <v>-1.5344200000000001E-2</v>
      </c>
      <c r="J42" s="22">
        <v>32</v>
      </c>
      <c r="K42" s="22">
        <v>1.71753</v>
      </c>
      <c r="L42">
        <f t="shared" si="0"/>
        <v>15.344200000000001</v>
      </c>
      <c r="M42">
        <f t="shared" si="1"/>
        <v>26.375145380000003</v>
      </c>
      <c r="N42" s="9"/>
      <c r="O42" s="22">
        <v>6.1187699999999998E-2</v>
      </c>
      <c r="P42" s="22">
        <v>75.923699999999997</v>
      </c>
      <c r="Q42" s="22">
        <v>-1.80267E-2</v>
      </c>
      <c r="R42" s="22">
        <v>32</v>
      </c>
      <c r="S42" s="22">
        <v>6.0546900000000001E-2</v>
      </c>
      <c r="T42">
        <f t="shared" si="2"/>
        <v>18.026699999999998</v>
      </c>
      <c r="U42">
        <f t="shared" si="3"/>
        <v>1.1030123115899999</v>
      </c>
      <c r="X42" s="9"/>
      <c r="Y42" s="22">
        <v>1.7189000000000001</v>
      </c>
      <c r="Z42" s="22">
        <v>166.08199999999999</v>
      </c>
      <c r="AA42" s="22">
        <v>-1.4080799999999999E-2</v>
      </c>
      <c r="AB42" s="22">
        <v>32</v>
      </c>
      <c r="AC42" s="22">
        <v>1.71783</v>
      </c>
      <c r="AD42">
        <f t="shared" si="4"/>
        <v>14.0808</v>
      </c>
      <c r="AE42">
        <f t="shared" si="5"/>
        <v>24.203487120000002</v>
      </c>
      <c r="AF42" s="9"/>
      <c r="AG42" s="22">
        <v>6.1187699999999998E-2</v>
      </c>
      <c r="AH42" s="22">
        <v>280.39499999999998</v>
      </c>
      <c r="AI42" s="22">
        <v>-1.8090800000000001E-2</v>
      </c>
      <c r="AJ42" s="22">
        <v>32</v>
      </c>
      <c r="AK42" s="22">
        <v>6.0699500000000003E-2</v>
      </c>
      <c r="AL42">
        <f t="shared" si="6"/>
        <v>18.090800000000002</v>
      </c>
      <c r="AM42">
        <f t="shared" si="7"/>
        <v>1.1069344431600001</v>
      </c>
      <c r="AP42" s="9"/>
      <c r="AQ42" s="22">
        <v>1.7189000000000001</v>
      </c>
      <c r="AR42" s="22">
        <v>353.40800000000002</v>
      </c>
      <c r="AS42" s="22">
        <v>-1.2976100000000001E-2</v>
      </c>
      <c r="AT42" s="22">
        <v>32</v>
      </c>
      <c r="AU42" s="22">
        <v>1.71814</v>
      </c>
      <c r="AV42">
        <f t="shared" si="8"/>
        <v>12.976100000000001</v>
      </c>
      <c r="AW42">
        <f t="shared" si="9"/>
        <v>22.304618290000004</v>
      </c>
      <c r="AX42" s="9"/>
      <c r="AY42" s="22">
        <v>6.1187699999999998E-2</v>
      </c>
      <c r="AZ42" s="22">
        <v>405.83699999999999</v>
      </c>
      <c r="BA42" s="22">
        <v>-1.8139599999999999E-2</v>
      </c>
      <c r="BB42" s="22">
        <v>32</v>
      </c>
      <c r="BC42" s="22">
        <v>6.0485799999999999E-2</v>
      </c>
      <c r="BD42">
        <f t="shared" si="10"/>
        <v>18.139599999999998</v>
      </c>
      <c r="BE42">
        <f t="shared" si="11"/>
        <v>1.1099204029199998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18.714500000000001</v>
      </c>
      <c r="I43" s="22">
        <v>-1.54541E-2</v>
      </c>
      <c r="J43" s="22">
        <v>33</v>
      </c>
      <c r="K43" s="22">
        <v>1.71295</v>
      </c>
      <c r="L43">
        <f t="shared" si="0"/>
        <v>15.4541</v>
      </c>
      <c r="M43">
        <f t="shared" si="1"/>
        <v>26.486318366999999</v>
      </c>
      <c r="N43" s="9"/>
      <c r="O43" s="22">
        <v>6.6223099999999993E-2</v>
      </c>
      <c r="P43" s="22">
        <v>76.0244</v>
      </c>
      <c r="Q43" s="22">
        <v>-1.80237E-2</v>
      </c>
      <c r="R43" s="22">
        <v>33</v>
      </c>
      <c r="S43" s="22">
        <v>6.5582299999999996E-2</v>
      </c>
      <c r="T43">
        <f t="shared" si="2"/>
        <v>18.023700000000002</v>
      </c>
      <c r="U43">
        <f t="shared" si="3"/>
        <v>1.1935852874699999</v>
      </c>
      <c r="X43" s="9"/>
      <c r="Y43" s="22">
        <v>1.71387</v>
      </c>
      <c r="Z43" s="22">
        <v>166.18299999999999</v>
      </c>
      <c r="AA43" s="22">
        <v>-1.4306599999999999E-2</v>
      </c>
      <c r="AB43" s="22">
        <v>33</v>
      </c>
      <c r="AC43" s="22">
        <v>1.71326</v>
      </c>
      <c r="AD43">
        <f t="shared" si="4"/>
        <v>14.3066</v>
      </c>
      <c r="AE43">
        <f t="shared" si="5"/>
        <v>24.519652541999999</v>
      </c>
      <c r="AF43" s="9"/>
      <c r="AG43" s="22">
        <v>6.6223099999999993E-2</v>
      </c>
      <c r="AH43" s="22">
        <v>280.49599999999998</v>
      </c>
      <c r="AI43" s="22">
        <v>-1.8087800000000001E-2</v>
      </c>
      <c r="AJ43" s="22">
        <v>33</v>
      </c>
      <c r="AK43" s="22">
        <v>6.5612799999999999E-2</v>
      </c>
      <c r="AL43">
        <f t="shared" si="6"/>
        <v>18.087800000000001</v>
      </c>
      <c r="AM43">
        <f t="shared" si="7"/>
        <v>1.19783018818</v>
      </c>
      <c r="AP43" s="9"/>
      <c r="AQ43" s="22">
        <v>1.71387</v>
      </c>
      <c r="AR43" s="22">
        <v>353.50900000000001</v>
      </c>
      <c r="AS43" s="22">
        <v>-1.33423E-2</v>
      </c>
      <c r="AT43" s="22">
        <v>33</v>
      </c>
      <c r="AU43" s="22">
        <v>1.71295</v>
      </c>
      <c r="AV43">
        <f t="shared" si="8"/>
        <v>13.3423</v>
      </c>
      <c r="AW43">
        <f t="shared" si="9"/>
        <v>22.866967701</v>
      </c>
      <c r="AX43" s="9"/>
      <c r="AY43" s="22">
        <v>6.6223099999999993E-2</v>
      </c>
      <c r="AZ43" s="22">
        <v>405.93799999999999</v>
      </c>
      <c r="BA43" s="22">
        <v>-1.8136599999999999E-2</v>
      </c>
      <c r="BB43" s="22">
        <v>33</v>
      </c>
      <c r="BC43" s="22">
        <v>6.5673800000000004E-2</v>
      </c>
      <c r="BD43">
        <f t="shared" si="10"/>
        <v>18.136599999999998</v>
      </c>
      <c r="BE43">
        <f t="shared" si="11"/>
        <v>1.2010618754599998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18.815200000000001</v>
      </c>
      <c r="I44" s="22">
        <v>-1.55487E-2</v>
      </c>
      <c r="J44" s="22">
        <v>34</v>
      </c>
      <c r="K44" s="22">
        <v>1.70807</v>
      </c>
      <c r="L44">
        <f t="shared" si="0"/>
        <v>15.5487</v>
      </c>
      <c r="M44">
        <f t="shared" si="1"/>
        <v>26.570085021000001</v>
      </c>
      <c r="N44" s="9"/>
      <c r="O44" s="22">
        <v>7.1258500000000002E-2</v>
      </c>
      <c r="P44" s="22">
        <v>76.125100000000003</v>
      </c>
      <c r="Q44" s="22">
        <v>-1.8020600000000001E-2</v>
      </c>
      <c r="R44" s="22">
        <v>34</v>
      </c>
      <c r="S44" s="22">
        <v>7.0678699999999997E-2</v>
      </c>
      <c r="T44">
        <f t="shared" si="2"/>
        <v>18.020600000000002</v>
      </c>
      <c r="U44">
        <f t="shared" si="3"/>
        <v>1.2841209251000001</v>
      </c>
      <c r="X44" s="9"/>
      <c r="Y44" s="22">
        <v>1.7088300000000001</v>
      </c>
      <c r="Z44" s="22">
        <v>166.28399999999999</v>
      </c>
      <c r="AA44" s="22">
        <v>-1.45355E-2</v>
      </c>
      <c r="AB44" s="22">
        <v>34</v>
      </c>
      <c r="AC44" s="22">
        <v>1.70807</v>
      </c>
      <c r="AD44">
        <f t="shared" si="4"/>
        <v>14.535499999999999</v>
      </c>
      <c r="AE44">
        <f t="shared" si="5"/>
        <v>24.838698465</v>
      </c>
      <c r="AF44" s="9"/>
      <c r="AG44" s="22">
        <v>7.1258500000000002E-2</v>
      </c>
      <c r="AH44" s="22">
        <v>280.59699999999998</v>
      </c>
      <c r="AI44" s="22">
        <v>-1.8087800000000001E-2</v>
      </c>
      <c r="AJ44" s="22">
        <v>34</v>
      </c>
      <c r="AK44" s="22">
        <v>7.0617700000000005E-2</v>
      </c>
      <c r="AL44">
        <f t="shared" si="6"/>
        <v>18.087800000000001</v>
      </c>
      <c r="AM44">
        <f t="shared" si="7"/>
        <v>1.2889094963000001</v>
      </c>
      <c r="AP44" s="9"/>
      <c r="AQ44" s="22">
        <v>1.7088300000000001</v>
      </c>
      <c r="AR44" s="22">
        <v>353.61</v>
      </c>
      <c r="AS44" s="22">
        <v>-1.3687100000000001E-2</v>
      </c>
      <c r="AT44" s="22">
        <v>34</v>
      </c>
      <c r="AU44" s="22">
        <v>1.70807</v>
      </c>
      <c r="AV44">
        <f t="shared" si="8"/>
        <v>13.687100000000001</v>
      </c>
      <c r="AW44">
        <f t="shared" si="9"/>
        <v>23.388927093000003</v>
      </c>
      <c r="AX44" s="9"/>
      <c r="AY44" s="22">
        <v>7.1258500000000002E-2</v>
      </c>
      <c r="AZ44" s="22">
        <v>406.03899999999999</v>
      </c>
      <c r="BA44" s="22">
        <v>-1.81335E-2</v>
      </c>
      <c r="BB44" s="22">
        <v>34</v>
      </c>
      <c r="BC44" s="22">
        <v>7.0587200000000003E-2</v>
      </c>
      <c r="BD44">
        <f t="shared" si="10"/>
        <v>18.133500000000002</v>
      </c>
      <c r="BE44">
        <f t="shared" si="11"/>
        <v>1.2921660097500001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18.915900000000001</v>
      </c>
      <c r="I45" s="22">
        <v>-1.5628099999999999E-2</v>
      </c>
      <c r="J45" s="22">
        <v>35</v>
      </c>
      <c r="K45" s="22">
        <v>1.70319</v>
      </c>
      <c r="L45">
        <f t="shared" si="0"/>
        <v>15.628099999999998</v>
      </c>
      <c r="M45">
        <f t="shared" si="1"/>
        <v>26.627156779999996</v>
      </c>
      <c r="N45" s="9"/>
      <c r="O45" s="22">
        <v>7.6293899999999998E-2</v>
      </c>
      <c r="P45" s="22">
        <v>76.225800000000007</v>
      </c>
      <c r="Q45" s="22">
        <v>-1.8020600000000001E-2</v>
      </c>
      <c r="R45" s="22">
        <v>35</v>
      </c>
      <c r="S45" s="22">
        <v>7.5561500000000004E-2</v>
      </c>
      <c r="T45">
        <f t="shared" si="2"/>
        <v>18.020600000000002</v>
      </c>
      <c r="U45">
        <f t="shared" si="3"/>
        <v>1.3748618543400002</v>
      </c>
      <c r="X45" s="9"/>
      <c r="Y45" s="22">
        <v>1.7038</v>
      </c>
      <c r="Z45" s="22">
        <v>166.38399999999999</v>
      </c>
      <c r="AA45" s="22">
        <v>-1.4721700000000001E-2</v>
      </c>
      <c r="AB45" s="22">
        <v>35</v>
      </c>
      <c r="AC45" s="22">
        <v>1.70258</v>
      </c>
      <c r="AD45">
        <f t="shared" si="4"/>
        <v>14.7217</v>
      </c>
      <c r="AE45">
        <f t="shared" si="5"/>
        <v>25.082832459999999</v>
      </c>
      <c r="AF45" s="9"/>
      <c r="AG45" s="22">
        <v>7.6293899999999998E-2</v>
      </c>
      <c r="AH45" s="22">
        <v>280.697</v>
      </c>
      <c r="AI45" s="22">
        <v>-1.8081699999999999E-2</v>
      </c>
      <c r="AJ45" s="22">
        <v>35</v>
      </c>
      <c r="AK45" s="22">
        <v>7.5714100000000006E-2</v>
      </c>
      <c r="AL45">
        <f t="shared" si="6"/>
        <v>18.081699999999998</v>
      </c>
      <c r="AM45">
        <f t="shared" si="7"/>
        <v>1.3795234116299997</v>
      </c>
      <c r="AP45" s="9"/>
      <c r="AQ45" s="22">
        <v>1.7038</v>
      </c>
      <c r="AR45" s="22">
        <v>353.71</v>
      </c>
      <c r="AS45" s="22">
        <v>-1.3977099999999999E-2</v>
      </c>
      <c r="AT45" s="22">
        <v>35</v>
      </c>
      <c r="AU45" s="22">
        <v>1.70319</v>
      </c>
      <c r="AV45">
        <f t="shared" si="8"/>
        <v>13.9771</v>
      </c>
      <c r="AW45">
        <f t="shared" si="9"/>
        <v>23.814182979999998</v>
      </c>
      <c r="AX45" s="9"/>
      <c r="AY45" s="22">
        <v>7.6293899999999998E-2</v>
      </c>
      <c r="AZ45" s="22">
        <v>406.13900000000001</v>
      </c>
      <c r="BA45" s="22">
        <v>-1.8130500000000001E-2</v>
      </c>
      <c r="BB45" s="22">
        <v>35</v>
      </c>
      <c r="BC45" s="22">
        <v>7.5561500000000004E-2</v>
      </c>
      <c r="BD45">
        <f t="shared" si="10"/>
        <v>18.130500000000001</v>
      </c>
      <c r="BE45">
        <f t="shared" si="11"/>
        <v>1.3832465539500001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19.0166</v>
      </c>
      <c r="I46" s="22">
        <v>-1.5701300000000001E-2</v>
      </c>
      <c r="J46" s="22">
        <v>36</v>
      </c>
      <c r="K46" s="22">
        <v>1.6976899999999999</v>
      </c>
      <c r="L46">
        <f t="shared" si="0"/>
        <v>15.701300000000002</v>
      </c>
      <c r="M46">
        <f t="shared" si="1"/>
        <v>26.672740388000005</v>
      </c>
      <c r="N46" s="9"/>
      <c r="O46" s="22">
        <v>8.1329299999999993E-2</v>
      </c>
      <c r="P46" s="22">
        <v>76.326499999999996</v>
      </c>
      <c r="Q46" s="22">
        <v>-1.8014499999999999E-2</v>
      </c>
      <c r="R46" s="22">
        <v>36</v>
      </c>
      <c r="S46" s="22">
        <v>8.0780000000000005E-2</v>
      </c>
      <c r="T46">
        <f t="shared" si="2"/>
        <v>18.014499999999998</v>
      </c>
      <c r="U46">
        <f t="shared" si="3"/>
        <v>1.4651066748499997</v>
      </c>
      <c r="X46" s="9"/>
      <c r="Y46" s="22">
        <v>1.69876</v>
      </c>
      <c r="Z46" s="22">
        <v>166.48500000000001</v>
      </c>
      <c r="AA46" s="22">
        <v>-1.49017E-2</v>
      </c>
      <c r="AB46" s="22">
        <v>36</v>
      </c>
      <c r="AC46" s="22">
        <v>1.6976899999999999</v>
      </c>
      <c r="AD46">
        <f t="shared" si="4"/>
        <v>14.9017</v>
      </c>
      <c r="AE46">
        <f t="shared" si="5"/>
        <v>25.314411891999999</v>
      </c>
      <c r="AF46" s="9"/>
      <c r="AG46" s="22">
        <v>8.1329299999999993E-2</v>
      </c>
      <c r="AH46" s="22">
        <v>280.798</v>
      </c>
      <c r="AI46" s="22">
        <v>-1.80786E-2</v>
      </c>
      <c r="AJ46" s="22">
        <v>36</v>
      </c>
      <c r="AK46" s="22">
        <v>8.0596899999999999E-2</v>
      </c>
      <c r="AL46">
        <f t="shared" si="6"/>
        <v>18.078600000000002</v>
      </c>
      <c r="AM46">
        <f t="shared" si="7"/>
        <v>1.4703198829799999</v>
      </c>
      <c r="AP46" s="9"/>
      <c r="AQ46" s="22">
        <v>1.69876</v>
      </c>
      <c r="AR46" s="22">
        <v>353.81099999999998</v>
      </c>
      <c r="AS46" s="22">
        <v>-1.42334E-2</v>
      </c>
      <c r="AT46" s="22">
        <v>36</v>
      </c>
      <c r="AU46" s="22">
        <v>1.6976899999999999</v>
      </c>
      <c r="AV46">
        <f t="shared" si="8"/>
        <v>14.2334</v>
      </c>
      <c r="AW46">
        <f t="shared" si="9"/>
        <v>24.179130583999999</v>
      </c>
      <c r="AX46" s="9"/>
      <c r="AY46" s="22">
        <v>8.1329299999999993E-2</v>
      </c>
      <c r="AZ46" s="22">
        <v>406.24</v>
      </c>
      <c r="BA46" s="22">
        <v>-1.8127399999999998E-2</v>
      </c>
      <c r="BB46" s="22">
        <v>36</v>
      </c>
      <c r="BC46" s="22">
        <v>8.0780000000000005E-2</v>
      </c>
      <c r="BD46">
        <f t="shared" si="10"/>
        <v>18.127399999999998</v>
      </c>
      <c r="BE46">
        <f t="shared" si="11"/>
        <v>1.4742887528199997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19.1173</v>
      </c>
      <c r="I47" s="22">
        <v>-1.5771500000000001E-2</v>
      </c>
      <c r="J47" s="22">
        <v>37</v>
      </c>
      <c r="K47" s="22">
        <v>1.6928099999999999</v>
      </c>
      <c r="L47">
        <f t="shared" si="0"/>
        <v>15.771500000000001</v>
      </c>
      <c r="M47">
        <f t="shared" si="1"/>
        <v>26.712662695000002</v>
      </c>
      <c r="N47" s="9"/>
      <c r="O47" s="22">
        <v>8.6364700000000003E-2</v>
      </c>
      <c r="P47" s="22">
        <v>76.427199999999999</v>
      </c>
      <c r="Q47" s="22">
        <v>-1.80115E-2</v>
      </c>
      <c r="R47" s="22">
        <v>37</v>
      </c>
      <c r="S47" s="22">
        <v>8.5845900000000003E-2</v>
      </c>
      <c r="T47">
        <f t="shared" si="2"/>
        <v>18.011499999999998</v>
      </c>
      <c r="U47">
        <f t="shared" si="3"/>
        <v>1.5555577940499998</v>
      </c>
      <c r="X47" s="9"/>
      <c r="Y47" s="22">
        <v>1.69373</v>
      </c>
      <c r="Z47" s="22">
        <v>166.58600000000001</v>
      </c>
      <c r="AA47" s="22">
        <v>-1.50604E-2</v>
      </c>
      <c r="AB47" s="22">
        <v>37</v>
      </c>
      <c r="AC47" s="22">
        <v>1.69312</v>
      </c>
      <c r="AD47">
        <f t="shared" si="4"/>
        <v>15.0604</v>
      </c>
      <c r="AE47">
        <f t="shared" si="5"/>
        <v>25.508251291999997</v>
      </c>
      <c r="AF47" s="9"/>
      <c r="AG47" s="22">
        <v>8.6364700000000003E-2</v>
      </c>
      <c r="AH47" s="22">
        <v>280.899</v>
      </c>
      <c r="AI47" s="22">
        <v>-1.8075600000000001E-2</v>
      </c>
      <c r="AJ47" s="22">
        <v>37</v>
      </c>
      <c r="AK47" s="22">
        <v>8.5906999999999997E-2</v>
      </c>
      <c r="AL47">
        <f t="shared" si="6"/>
        <v>18.075600000000001</v>
      </c>
      <c r="AM47">
        <f t="shared" si="7"/>
        <v>1.5610937713200002</v>
      </c>
      <c r="AP47" s="9"/>
      <c r="AQ47" s="22">
        <v>1.69373</v>
      </c>
      <c r="AR47" s="22">
        <v>353.91199999999998</v>
      </c>
      <c r="AS47" s="22">
        <v>-1.4444E-2</v>
      </c>
      <c r="AT47" s="22">
        <v>37</v>
      </c>
      <c r="AU47" s="22">
        <v>1.6928099999999999</v>
      </c>
      <c r="AV47">
        <f t="shared" si="8"/>
        <v>14.444000000000001</v>
      </c>
      <c r="AW47">
        <f t="shared" si="9"/>
        <v>24.464236120000002</v>
      </c>
      <c r="AX47" s="9"/>
      <c r="AY47" s="22">
        <v>8.6364700000000003E-2</v>
      </c>
      <c r="AZ47" s="22">
        <v>406.34100000000001</v>
      </c>
      <c r="BA47" s="22">
        <v>-1.8124399999999999E-2</v>
      </c>
      <c r="BB47" s="22">
        <v>37</v>
      </c>
      <c r="BC47" s="22">
        <v>8.5693400000000003E-2</v>
      </c>
      <c r="BD47">
        <f t="shared" si="10"/>
        <v>18.124399999999998</v>
      </c>
      <c r="BE47">
        <f t="shared" si="11"/>
        <v>1.5653083686799998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19.2181</v>
      </c>
      <c r="I48" s="22">
        <v>-1.58417E-2</v>
      </c>
      <c r="J48" s="22">
        <v>38</v>
      </c>
      <c r="K48" s="22">
        <v>1.6876199999999999</v>
      </c>
      <c r="L48">
        <f t="shared" si="0"/>
        <v>15.841699999999999</v>
      </c>
      <c r="M48">
        <f t="shared" si="1"/>
        <v>26.751720372999998</v>
      </c>
      <c r="N48" s="9"/>
      <c r="O48" s="22">
        <v>9.1400099999999998E-2</v>
      </c>
      <c r="P48" s="22">
        <v>76.527900000000002</v>
      </c>
      <c r="Q48" s="22">
        <v>-1.8008400000000001E-2</v>
      </c>
      <c r="R48" s="22">
        <v>38</v>
      </c>
      <c r="S48" s="22">
        <v>9.0637200000000001E-2</v>
      </c>
      <c r="T48">
        <f t="shared" si="2"/>
        <v>18.008400000000002</v>
      </c>
      <c r="U48">
        <f t="shared" si="3"/>
        <v>1.6459695608400002</v>
      </c>
      <c r="X48" s="9"/>
      <c r="Y48" s="22">
        <v>1.68869</v>
      </c>
      <c r="Z48" s="22">
        <v>166.68600000000001</v>
      </c>
      <c r="AA48" s="22">
        <v>-1.521E-2</v>
      </c>
      <c r="AB48" s="22">
        <v>38</v>
      </c>
      <c r="AC48" s="22">
        <v>1.6876199999999999</v>
      </c>
      <c r="AD48">
        <f t="shared" si="4"/>
        <v>15.209999999999999</v>
      </c>
      <c r="AE48">
        <f t="shared" si="5"/>
        <v>25.6849749</v>
      </c>
      <c r="AF48" s="9"/>
      <c r="AG48" s="22">
        <v>9.1400099999999998E-2</v>
      </c>
      <c r="AH48" s="22">
        <v>280.99900000000002</v>
      </c>
      <c r="AI48" s="22">
        <v>-1.8072499999999998E-2</v>
      </c>
      <c r="AJ48" s="22">
        <v>38</v>
      </c>
      <c r="AK48" s="22">
        <v>9.0820300000000007E-2</v>
      </c>
      <c r="AL48">
        <f t="shared" si="6"/>
        <v>18.072499999999998</v>
      </c>
      <c r="AM48">
        <f t="shared" si="7"/>
        <v>1.6518283072499997</v>
      </c>
      <c r="AP48" s="9"/>
      <c r="AQ48" s="22">
        <v>1.68869</v>
      </c>
      <c r="AR48" s="22">
        <v>354.01299999999998</v>
      </c>
      <c r="AS48" s="22">
        <v>-1.4672899999999999E-2</v>
      </c>
      <c r="AT48" s="22">
        <v>38</v>
      </c>
      <c r="AU48" s="22">
        <v>1.6885399999999999</v>
      </c>
      <c r="AV48">
        <f t="shared" si="8"/>
        <v>14.672899999999998</v>
      </c>
      <c r="AW48">
        <f t="shared" si="9"/>
        <v>24.777979500999997</v>
      </c>
      <c r="AX48" s="9"/>
      <c r="AY48" s="22">
        <v>9.1400099999999998E-2</v>
      </c>
      <c r="AZ48" s="22">
        <v>406.44099999999997</v>
      </c>
      <c r="BA48" s="22">
        <v>-1.81213E-2</v>
      </c>
      <c r="BB48" s="22">
        <v>38</v>
      </c>
      <c r="BC48" s="22">
        <v>9.0637200000000001E-2</v>
      </c>
      <c r="BD48">
        <f t="shared" si="10"/>
        <v>18.121300000000002</v>
      </c>
      <c r="BE48">
        <f t="shared" si="11"/>
        <v>1.6562886321300001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19.3188</v>
      </c>
      <c r="I49" s="22">
        <v>-1.5905800000000001E-2</v>
      </c>
      <c r="J49" s="22">
        <v>39</v>
      </c>
      <c r="K49" s="22">
        <v>1.6827399999999999</v>
      </c>
      <c r="L49">
        <f t="shared" si="0"/>
        <v>15.905800000000001</v>
      </c>
      <c r="M49">
        <f t="shared" si="1"/>
        <v>26.779800170000001</v>
      </c>
      <c r="N49" s="9"/>
      <c r="O49" s="22">
        <v>9.6435499999999993E-2</v>
      </c>
      <c r="P49" s="22">
        <v>76.628600000000006</v>
      </c>
      <c r="Q49" s="22">
        <v>-1.8005400000000001E-2</v>
      </c>
      <c r="R49" s="22">
        <v>39</v>
      </c>
      <c r="S49" s="22">
        <v>9.5855700000000002E-2</v>
      </c>
      <c r="T49">
        <f t="shared" si="2"/>
        <v>18.005400000000002</v>
      </c>
      <c r="U49">
        <f t="shared" si="3"/>
        <v>1.7363597517</v>
      </c>
      <c r="X49" s="9"/>
      <c r="Y49" s="22">
        <v>1.6836500000000001</v>
      </c>
      <c r="Z49" s="22">
        <v>166.78700000000001</v>
      </c>
      <c r="AA49" s="22">
        <v>-1.5347299999999999E-2</v>
      </c>
      <c r="AB49" s="22">
        <v>39</v>
      </c>
      <c r="AC49" s="22">
        <v>1.6830400000000001</v>
      </c>
      <c r="AD49">
        <f t="shared" si="4"/>
        <v>15.347299999999999</v>
      </c>
      <c r="AE49">
        <f t="shared" si="5"/>
        <v>25.839481644999999</v>
      </c>
      <c r="AF49" s="9"/>
      <c r="AG49" s="22">
        <v>9.6435499999999993E-2</v>
      </c>
      <c r="AH49" s="22">
        <v>281.10000000000002</v>
      </c>
      <c r="AI49" s="22">
        <v>-1.8069499999999999E-2</v>
      </c>
      <c r="AJ49" s="22">
        <v>39</v>
      </c>
      <c r="AK49" s="22">
        <v>9.5947299999999999E-2</v>
      </c>
      <c r="AL49">
        <f t="shared" si="6"/>
        <v>18.069499999999998</v>
      </c>
      <c r="AM49">
        <f t="shared" si="7"/>
        <v>1.7425412672499996</v>
      </c>
      <c r="AP49" s="9"/>
      <c r="AQ49" s="22">
        <v>1.6836500000000001</v>
      </c>
      <c r="AR49" s="22">
        <v>354.113</v>
      </c>
      <c r="AS49" s="22">
        <v>-1.4855999999999999E-2</v>
      </c>
      <c r="AT49" s="22">
        <v>39</v>
      </c>
      <c r="AU49" s="22">
        <v>1.6830400000000001</v>
      </c>
      <c r="AV49">
        <f t="shared" si="8"/>
        <v>14.856</v>
      </c>
      <c r="AW49">
        <f t="shared" si="9"/>
        <v>25.012304400000001</v>
      </c>
      <c r="AX49" s="9"/>
      <c r="AY49" s="22">
        <v>9.6435499999999993E-2</v>
      </c>
      <c r="AZ49" s="22">
        <v>406.54199999999997</v>
      </c>
      <c r="BA49" s="22">
        <v>-1.8115200000000001E-2</v>
      </c>
      <c r="BB49" s="22">
        <v>39</v>
      </c>
      <c r="BC49" s="22">
        <v>9.5916699999999994E-2</v>
      </c>
      <c r="BD49">
        <f t="shared" si="10"/>
        <v>18.115200000000002</v>
      </c>
      <c r="BE49">
        <f t="shared" si="11"/>
        <v>1.7469483696000001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19.419499999999999</v>
      </c>
      <c r="I50" s="22">
        <v>-1.59515E-2</v>
      </c>
      <c r="J50" s="22">
        <v>40</v>
      </c>
      <c r="K50" s="22">
        <v>1.6775500000000001</v>
      </c>
      <c r="L50">
        <f t="shared" si="0"/>
        <v>15.951500000000001</v>
      </c>
      <c r="M50">
        <f t="shared" si="1"/>
        <v>26.776506930000004</v>
      </c>
      <c r="N50" s="9"/>
      <c r="O50" s="22">
        <v>0.10147100000000001</v>
      </c>
      <c r="P50" s="22">
        <v>76.729399999999998</v>
      </c>
      <c r="Q50" s="22">
        <v>-1.8002299999999999E-2</v>
      </c>
      <c r="R50" s="22">
        <v>40</v>
      </c>
      <c r="S50" s="22">
        <v>0.100616</v>
      </c>
      <c r="T50">
        <f t="shared" si="2"/>
        <v>18.002299999999998</v>
      </c>
      <c r="U50">
        <f t="shared" si="3"/>
        <v>1.8267113832999999</v>
      </c>
      <c r="X50" s="9"/>
      <c r="Y50" s="22">
        <v>1.67862</v>
      </c>
      <c r="Z50" s="22">
        <v>166.88800000000001</v>
      </c>
      <c r="AA50" s="22">
        <v>-1.5457200000000001E-2</v>
      </c>
      <c r="AB50" s="22">
        <v>40</v>
      </c>
      <c r="AC50" s="22">
        <v>1.6778599999999999</v>
      </c>
      <c r="AD50">
        <f t="shared" si="4"/>
        <v>15.4572</v>
      </c>
      <c r="AE50">
        <f t="shared" si="5"/>
        <v>25.946765064000001</v>
      </c>
      <c r="AF50" s="9"/>
      <c r="AG50" s="22">
        <v>0.10147100000000001</v>
      </c>
      <c r="AH50" s="22">
        <v>281.20100000000002</v>
      </c>
      <c r="AI50" s="22">
        <v>-1.80634E-2</v>
      </c>
      <c r="AJ50" s="22">
        <v>40</v>
      </c>
      <c r="AK50" s="22">
        <v>0.10083</v>
      </c>
      <c r="AL50">
        <f t="shared" si="6"/>
        <v>18.063400000000001</v>
      </c>
      <c r="AM50">
        <f t="shared" si="7"/>
        <v>1.8329112614000003</v>
      </c>
      <c r="AP50" s="9"/>
      <c r="AQ50" s="22">
        <v>1.67862</v>
      </c>
      <c r="AR50" s="22">
        <v>354.214</v>
      </c>
      <c r="AS50" s="22">
        <v>-1.5036000000000001E-2</v>
      </c>
      <c r="AT50" s="22">
        <v>40</v>
      </c>
      <c r="AU50" s="22">
        <v>1.6772499999999999</v>
      </c>
      <c r="AV50">
        <f t="shared" si="8"/>
        <v>15.036000000000001</v>
      </c>
      <c r="AW50">
        <f t="shared" si="9"/>
        <v>25.239730320000003</v>
      </c>
      <c r="AX50" s="9"/>
      <c r="AY50" s="22">
        <v>0.10147100000000001</v>
      </c>
      <c r="AZ50" s="22">
        <v>406.64299999999997</v>
      </c>
      <c r="BA50" s="22">
        <v>-1.8112199999999998E-2</v>
      </c>
      <c r="BB50" s="22">
        <v>40</v>
      </c>
      <c r="BC50" s="22">
        <v>0.10086100000000001</v>
      </c>
      <c r="BD50">
        <f t="shared" si="10"/>
        <v>18.112199999999998</v>
      </c>
      <c r="BE50">
        <f t="shared" si="11"/>
        <v>1.8378630461999999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19.520199999999999</v>
      </c>
      <c r="I51" s="22">
        <v>-1.6012599999999998E-2</v>
      </c>
      <c r="J51" s="22">
        <v>41</v>
      </c>
      <c r="K51" s="22">
        <v>1.6726700000000001</v>
      </c>
      <c r="L51">
        <f t="shared" si="0"/>
        <v>16.012599999999999</v>
      </c>
      <c r="M51">
        <f t="shared" si="1"/>
        <v>26.798367108000001</v>
      </c>
      <c r="N51" s="9"/>
      <c r="O51" s="22">
        <v>0.106506</v>
      </c>
      <c r="P51" s="22">
        <v>76.830100000000002</v>
      </c>
      <c r="Q51" s="22">
        <v>-1.7999299999999999E-2</v>
      </c>
      <c r="R51" s="22">
        <v>41</v>
      </c>
      <c r="S51" s="22">
        <v>0.105865</v>
      </c>
      <c r="T51">
        <f t="shared" si="2"/>
        <v>17.999299999999998</v>
      </c>
      <c r="U51">
        <f t="shared" si="3"/>
        <v>1.9170334457999998</v>
      </c>
      <c r="X51" s="9"/>
      <c r="Y51" s="22">
        <v>1.6735800000000001</v>
      </c>
      <c r="Z51" s="22">
        <v>166.989</v>
      </c>
      <c r="AA51" s="22">
        <v>-1.55792E-2</v>
      </c>
      <c r="AB51" s="22">
        <v>41</v>
      </c>
      <c r="AC51" s="22">
        <v>1.6726700000000001</v>
      </c>
      <c r="AD51">
        <f t="shared" si="4"/>
        <v>15.5792</v>
      </c>
      <c r="AE51">
        <f t="shared" si="5"/>
        <v>26.073037536000001</v>
      </c>
      <c r="AF51" s="9"/>
      <c r="AG51" s="22">
        <v>0.106506</v>
      </c>
      <c r="AH51" s="22">
        <v>281.30099999999999</v>
      </c>
      <c r="AI51" s="22">
        <v>-1.80634E-2</v>
      </c>
      <c r="AJ51" s="22">
        <v>41</v>
      </c>
      <c r="AK51" s="22">
        <v>0.105804</v>
      </c>
      <c r="AL51">
        <f t="shared" si="6"/>
        <v>18.063400000000001</v>
      </c>
      <c r="AM51">
        <f t="shared" si="7"/>
        <v>1.9238604804000001</v>
      </c>
      <c r="AP51" s="9"/>
      <c r="AQ51" s="22">
        <v>1.6735800000000001</v>
      </c>
      <c r="AR51" s="22">
        <v>354.315</v>
      </c>
      <c r="AS51" s="22">
        <v>-1.5170299999999999E-2</v>
      </c>
      <c r="AT51" s="22">
        <v>41</v>
      </c>
      <c r="AU51" s="22">
        <v>1.6729700000000001</v>
      </c>
      <c r="AV51">
        <f t="shared" si="8"/>
        <v>15.170299999999999</v>
      </c>
      <c r="AW51">
        <f t="shared" si="9"/>
        <v>25.388710673999999</v>
      </c>
      <c r="AX51" s="9"/>
      <c r="AY51" s="22">
        <v>0.106506</v>
      </c>
      <c r="AZ51" s="22">
        <v>406.74299999999999</v>
      </c>
      <c r="BA51" s="22">
        <v>-1.81091E-2</v>
      </c>
      <c r="BB51" s="22">
        <v>41</v>
      </c>
      <c r="BC51" s="22">
        <v>0.105865</v>
      </c>
      <c r="BD51">
        <f t="shared" si="10"/>
        <v>18.109099999999998</v>
      </c>
      <c r="BE51">
        <f t="shared" si="11"/>
        <v>1.9287278045999998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19.620899999999999</v>
      </c>
      <c r="I52" s="22">
        <v>-1.6055300000000002E-2</v>
      </c>
      <c r="J52" s="22">
        <v>42</v>
      </c>
      <c r="K52" s="22">
        <v>1.6677900000000001</v>
      </c>
      <c r="L52">
        <f t="shared" si="0"/>
        <v>16.055300000000003</v>
      </c>
      <c r="M52">
        <f t="shared" si="1"/>
        <v>26.789070815000002</v>
      </c>
      <c r="N52" s="9"/>
      <c r="O52" s="22">
        <v>0.111542</v>
      </c>
      <c r="P52" s="22">
        <v>76.930800000000005</v>
      </c>
      <c r="Q52" s="22">
        <v>-1.79962E-2</v>
      </c>
      <c r="R52" s="22">
        <v>42</v>
      </c>
      <c r="S52" s="22">
        <v>0.110596</v>
      </c>
      <c r="T52">
        <f t="shared" si="2"/>
        <v>17.996200000000002</v>
      </c>
      <c r="U52">
        <f t="shared" si="3"/>
        <v>2.0073321404000004</v>
      </c>
      <c r="X52" s="9"/>
      <c r="Y52" s="22">
        <v>1.66855</v>
      </c>
      <c r="Z52" s="22">
        <v>167.089</v>
      </c>
      <c r="AA52" s="22">
        <v>-1.5670799999999999E-2</v>
      </c>
      <c r="AB52" s="22">
        <v>42</v>
      </c>
      <c r="AC52" s="22">
        <v>1.6680900000000001</v>
      </c>
      <c r="AD52">
        <f t="shared" si="4"/>
        <v>15.670799999999998</v>
      </c>
      <c r="AE52">
        <f t="shared" si="5"/>
        <v>26.147513339999996</v>
      </c>
      <c r="AF52" s="9"/>
      <c r="AG52" s="22">
        <v>0.111542</v>
      </c>
      <c r="AH52" s="22">
        <v>281.40199999999999</v>
      </c>
      <c r="AI52" s="22">
        <v>-1.8060300000000001E-2</v>
      </c>
      <c r="AJ52" s="22">
        <v>42</v>
      </c>
      <c r="AK52" s="22">
        <v>0.110931</v>
      </c>
      <c r="AL52">
        <f t="shared" si="6"/>
        <v>18.060300000000002</v>
      </c>
      <c r="AM52">
        <f t="shared" si="7"/>
        <v>2.0144819826</v>
      </c>
      <c r="AP52" s="9"/>
      <c r="AQ52" s="22">
        <v>1.66855</v>
      </c>
      <c r="AR52" s="22">
        <v>354.41500000000002</v>
      </c>
      <c r="AS52" s="22">
        <v>-1.53229E-2</v>
      </c>
      <c r="AT52" s="22">
        <v>42</v>
      </c>
      <c r="AU52" s="22">
        <v>1.6677900000000001</v>
      </c>
      <c r="AV52">
        <f t="shared" si="8"/>
        <v>15.322900000000001</v>
      </c>
      <c r="AW52">
        <f t="shared" si="9"/>
        <v>25.567024795000002</v>
      </c>
      <c r="AX52" s="9"/>
      <c r="AY52" s="22">
        <v>0.111542</v>
      </c>
      <c r="AZ52" s="22">
        <v>406.84399999999999</v>
      </c>
      <c r="BA52" s="22">
        <v>-1.81091E-2</v>
      </c>
      <c r="BB52" s="22">
        <v>42</v>
      </c>
      <c r="BC52" s="22">
        <v>0.111267</v>
      </c>
      <c r="BD52">
        <f t="shared" si="10"/>
        <v>18.109099999999998</v>
      </c>
      <c r="BE52">
        <f t="shared" si="11"/>
        <v>2.0199252321999999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19.721599999999999</v>
      </c>
      <c r="I53" s="22">
        <v>-1.61041E-2</v>
      </c>
      <c r="J53" s="22">
        <v>43</v>
      </c>
      <c r="K53" s="22">
        <v>1.6632100000000001</v>
      </c>
      <c r="L53">
        <f t="shared" si="0"/>
        <v>16.104099999999999</v>
      </c>
      <c r="M53">
        <f t="shared" si="1"/>
        <v>26.789331390999997</v>
      </c>
      <c r="N53" s="9"/>
      <c r="O53" s="22">
        <v>0.116577</v>
      </c>
      <c r="P53" s="22">
        <v>77.031499999999994</v>
      </c>
      <c r="Q53" s="22">
        <v>-1.7993200000000001E-2</v>
      </c>
      <c r="R53" s="22">
        <v>43</v>
      </c>
      <c r="S53" s="22">
        <v>0.11602800000000001</v>
      </c>
      <c r="T53">
        <f t="shared" si="2"/>
        <v>17.993200000000002</v>
      </c>
      <c r="U53">
        <f t="shared" si="3"/>
        <v>2.0975932764</v>
      </c>
      <c r="X53" s="9"/>
      <c r="Y53" s="22">
        <v>1.66351</v>
      </c>
      <c r="Z53" s="22">
        <v>167.19</v>
      </c>
      <c r="AA53" s="22">
        <v>-1.5765399999999999E-2</v>
      </c>
      <c r="AB53" s="22">
        <v>43</v>
      </c>
      <c r="AC53" s="22">
        <v>1.6629</v>
      </c>
      <c r="AD53">
        <f t="shared" si="4"/>
        <v>15.7654</v>
      </c>
      <c r="AE53">
        <f t="shared" si="5"/>
        <v>26.225900553999999</v>
      </c>
      <c r="AF53" s="9"/>
      <c r="AG53" s="22">
        <v>0.116577</v>
      </c>
      <c r="AH53" s="22">
        <v>281.50299999999999</v>
      </c>
      <c r="AI53" s="22">
        <v>-1.8054199999999999E-2</v>
      </c>
      <c r="AJ53" s="22">
        <v>43</v>
      </c>
      <c r="AK53" s="22">
        <v>0.116089</v>
      </c>
      <c r="AL53">
        <f t="shared" si="6"/>
        <v>18.054199999999998</v>
      </c>
      <c r="AM53">
        <f t="shared" si="7"/>
        <v>2.1047044733999996</v>
      </c>
      <c r="AP53" s="9"/>
      <c r="AQ53" s="22">
        <v>1.66351</v>
      </c>
      <c r="AR53" s="22">
        <v>354.51600000000002</v>
      </c>
      <c r="AS53" s="22">
        <v>-1.5444899999999999E-2</v>
      </c>
      <c r="AT53" s="22">
        <v>43</v>
      </c>
      <c r="AU53" s="22">
        <v>1.6632100000000001</v>
      </c>
      <c r="AV53">
        <f t="shared" si="8"/>
        <v>15.444899999999999</v>
      </c>
      <c r="AW53">
        <f t="shared" si="9"/>
        <v>25.692745598999998</v>
      </c>
      <c r="AX53" s="9"/>
      <c r="AY53" s="22">
        <v>0.116577</v>
      </c>
      <c r="AZ53" s="22">
        <v>406.94499999999999</v>
      </c>
      <c r="BA53" s="22">
        <v>-1.81061E-2</v>
      </c>
      <c r="BB53" s="22">
        <v>43</v>
      </c>
      <c r="BC53" s="22">
        <v>0.115967</v>
      </c>
      <c r="BD53">
        <f t="shared" si="10"/>
        <v>18.106100000000001</v>
      </c>
      <c r="BE53">
        <f t="shared" si="11"/>
        <v>2.1107548197000003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19.822299999999998</v>
      </c>
      <c r="I54" s="22">
        <v>-1.6146899999999999E-2</v>
      </c>
      <c r="J54" s="22">
        <v>44</v>
      </c>
      <c r="K54" s="22">
        <v>1.6583300000000001</v>
      </c>
      <c r="L54">
        <f t="shared" si="0"/>
        <v>16.146899999999999</v>
      </c>
      <c r="M54">
        <f t="shared" si="1"/>
        <v>26.779310711999997</v>
      </c>
      <c r="N54" s="9"/>
      <c r="O54" s="22">
        <v>0.121613</v>
      </c>
      <c r="P54" s="22">
        <v>77.132199999999997</v>
      </c>
      <c r="Q54" s="22">
        <v>-1.7987099999999999E-2</v>
      </c>
      <c r="R54" s="22">
        <v>44</v>
      </c>
      <c r="S54" s="22">
        <v>0.12109399999999999</v>
      </c>
      <c r="T54">
        <f t="shared" si="2"/>
        <v>17.987099999999998</v>
      </c>
      <c r="U54">
        <f t="shared" si="3"/>
        <v>2.1874651922999999</v>
      </c>
      <c r="X54" s="9"/>
      <c r="Y54" s="22">
        <v>1.65848</v>
      </c>
      <c r="Z54" s="22">
        <v>167.291</v>
      </c>
      <c r="AA54" s="22">
        <v>-1.58447E-2</v>
      </c>
      <c r="AB54" s="22">
        <v>44</v>
      </c>
      <c r="AC54" s="22">
        <v>1.65771</v>
      </c>
      <c r="AD54">
        <f t="shared" si="4"/>
        <v>15.8447</v>
      </c>
      <c r="AE54">
        <f t="shared" si="5"/>
        <v>26.278118056</v>
      </c>
      <c r="AF54" s="9"/>
      <c r="AG54" s="22">
        <v>0.121613</v>
      </c>
      <c r="AH54" s="22">
        <v>281.60399999999998</v>
      </c>
      <c r="AI54" s="22">
        <v>-1.80511E-2</v>
      </c>
      <c r="AJ54" s="22">
        <v>44</v>
      </c>
      <c r="AK54" s="22">
        <v>0.120972</v>
      </c>
      <c r="AL54">
        <f t="shared" si="6"/>
        <v>18.051100000000002</v>
      </c>
      <c r="AM54">
        <f t="shared" si="7"/>
        <v>2.1952484243000003</v>
      </c>
      <c r="AP54" s="9"/>
      <c r="AQ54" s="22">
        <v>1.65848</v>
      </c>
      <c r="AR54" s="22">
        <v>354.61700000000002</v>
      </c>
      <c r="AS54" s="22">
        <v>-1.5554800000000001E-2</v>
      </c>
      <c r="AT54" s="22">
        <v>44</v>
      </c>
      <c r="AU54" s="22">
        <v>1.65741</v>
      </c>
      <c r="AV54">
        <f t="shared" si="8"/>
        <v>15.5548</v>
      </c>
      <c r="AW54">
        <f t="shared" si="9"/>
        <v>25.797324704000001</v>
      </c>
      <c r="AX54" s="9"/>
      <c r="AY54" s="22">
        <v>0.121613</v>
      </c>
      <c r="AZ54" s="22">
        <v>407.04599999999999</v>
      </c>
      <c r="BA54" s="22">
        <v>-1.8103000000000001E-2</v>
      </c>
      <c r="BB54" s="22">
        <v>44</v>
      </c>
      <c r="BC54" s="22">
        <v>0.121063</v>
      </c>
      <c r="BD54">
        <f t="shared" si="10"/>
        <v>18.103000000000002</v>
      </c>
      <c r="BE54">
        <f t="shared" si="11"/>
        <v>2.2015601390000001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19.922999999999998</v>
      </c>
      <c r="I55" s="22">
        <v>-1.6189599999999998E-2</v>
      </c>
      <c r="J55" s="22">
        <v>45</v>
      </c>
      <c r="K55" s="22">
        <v>1.65222</v>
      </c>
      <c r="L55">
        <f t="shared" si="0"/>
        <v>16.189599999999999</v>
      </c>
      <c r="M55">
        <f t="shared" si="1"/>
        <v>26.768532223999998</v>
      </c>
      <c r="N55" s="9"/>
      <c r="O55" s="22">
        <v>0.12664800000000001</v>
      </c>
      <c r="P55" s="22">
        <v>77.232900000000001</v>
      </c>
      <c r="Q55" s="22">
        <v>-1.7984E-2</v>
      </c>
      <c r="R55" s="22">
        <v>45</v>
      </c>
      <c r="S55" s="22">
        <v>0.12603800000000001</v>
      </c>
      <c r="T55">
        <f t="shared" si="2"/>
        <v>17.984000000000002</v>
      </c>
      <c r="U55">
        <f t="shared" si="3"/>
        <v>2.2776376320000002</v>
      </c>
      <c r="X55" s="9"/>
      <c r="Y55" s="22">
        <v>1.65344</v>
      </c>
      <c r="Z55" s="22">
        <v>167.39099999999999</v>
      </c>
      <c r="AA55" s="22">
        <v>-1.59363E-2</v>
      </c>
      <c r="AB55" s="22">
        <v>45</v>
      </c>
      <c r="AC55" s="22">
        <v>1.6525300000000001</v>
      </c>
      <c r="AD55">
        <f t="shared" si="4"/>
        <v>15.936300000000001</v>
      </c>
      <c r="AE55">
        <f t="shared" si="5"/>
        <v>26.349715872000001</v>
      </c>
      <c r="AF55" s="9"/>
      <c r="AG55" s="22">
        <v>0.12664800000000001</v>
      </c>
      <c r="AH55" s="22">
        <v>281.70400000000001</v>
      </c>
      <c r="AI55" s="22">
        <v>-1.8048100000000001E-2</v>
      </c>
      <c r="AJ55" s="22">
        <v>45</v>
      </c>
      <c r="AK55" s="22">
        <v>0.12600700000000001</v>
      </c>
      <c r="AL55">
        <f t="shared" si="6"/>
        <v>18.048100000000002</v>
      </c>
      <c r="AM55">
        <f t="shared" si="7"/>
        <v>2.2857557688000005</v>
      </c>
      <c r="AP55" s="9"/>
      <c r="AQ55" s="22">
        <v>1.65344</v>
      </c>
      <c r="AR55" s="22">
        <v>354.71699999999998</v>
      </c>
      <c r="AS55" s="22">
        <v>-1.56525E-2</v>
      </c>
      <c r="AT55" s="22">
        <v>45</v>
      </c>
      <c r="AU55" s="22">
        <v>1.65222</v>
      </c>
      <c r="AV55">
        <f t="shared" si="8"/>
        <v>15.6525</v>
      </c>
      <c r="AW55">
        <f t="shared" si="9"/>
        <v>25.880469600000001</v>
      </c>
      <c r="AX55" s="9"/>
      <c r="AY55" s="22">
        <v>0.12664800000000001</v>
      </c>
      <c r="AZ55" s="22">
        <v>407.14600000000002</v>
      </c>
      <c r="BA55" s="22">
        <v>-1.8096899999999999E-2</v>
      </c>
      <c r="BB55" s="22">
        <v>45</v>
      </c>
      <c r="BC55" s="22">
        <v>0.12603800000000001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20.023700000000002</v>
      </c>
      <c r="I56" s="22">
        <v>-1.6216999999999999E-2</v>
      </c>
      <c r="J56" s="22">
        <v>46</v>
      </c>
      <c r="K56" s="22">
        <v>1.64734</v>
      </c>
      <c r="L56">
        <f t="shared" si="0"/>
        <v>16.216999999999999</v>
      </c>
      <c r="M56">
        <f t="shared" si="1"/>
        <v>26.732264969999996</v>
      </c>
      <c r="N56" s="9"/>
      <c r="O56" s="22">
        <v>0.13168299999999999</v>
      </c>
      <c r="P56" s="22">
        <v>77.333600000000004</v>
      </c>
      <c r="Q56" s="22">
        <v>-1.7984E-2</v>
      </c>
      <c r="R56" s="22">
        <v>46</v>
      </c>
      <c r="S56" s="22">
        <v>0.131073</v>
      </c>
      <c r="T56">
        <f t="shared" si="2"/>
        <v>17.984000000000002</v>
      </c>
      <c r="U56">
        <f t="shared" si="3"/>
        <v>2.368187072</v>
      </c>
      <c r="X56" s="9"/>
      <c r="Y56" s="22">
        <v>1.6484099999999999</v>
      </c>
      <c r="Z56" s="22">
        <v>167.49199999999999</v>
      </c>
      <c r="AA56" s="22">
        <v>-1.5997299999999999E-2</v>
      </c>
      <c r="AB56" s="22">
        <v>46</v>
      </c>
      <c r="AC56" s="22">
        <v>1.64673</v>
      </c>
      <c r="AD56">
        <f t="shared" si="4"/>
        <v>15.997299999999999</v>
      </c>
      <c r="AE56">
        <f t="shared" si="5"/>
        <v>26.370109292999999</v>
      </c>
      <c r="AF56" s="9"/>
      <c r="AG56" s="22">
        <v>0.13168299999999999</v>
      </c>
      <c r="AH56" s="22">
        <v>281.80500000000001</v>
      </c>
      <c r="AI56" s="22">
        <v>-1.8044999999999999E-2</v>
      </c>
      <c r="AJ56" s="22">
        <v>46</v>
      </c>
      <c r="AK56" s="22">
        <v>0.13095100000000001</v>
      </c>
      <c r="AL56">
        <f t="shared" si="6"/>
        <v>18.044999999999998</v>
      </c>
      <c r="AM56">
        <f t="shared" si="7"/>
        <v>2.3762197349999998</v>
      </c>
      <c r="AP56" s="9"/>
      <c r="AQ56" s="22">
        <v>1.6484099999999999</v>
      </c>
      <c r="AR56" s="22">
        <v>354.81799999999998</v>
      </c>
      <c r="AS56" s="22">
        <v>-1.5741000000000002E-2</v>
      </c>
      <c r="AT56" s="22">
        <v>46</v>
      </c>
      <c r="AU56" s="22">
        <v>1.64764</v>
      </c>
      <c r="AV56">
        <f t="shared" si="8"/>
        <v>15.741000000000001</v>
      </c>
      <c r="AW56">
        <f t="shared" si="9"/>
        <v>25.947621810000001</v>
      </c>
      <c r="AX56" s="9"/>
      <c r="AY56" s="22">
        <v>0.13168299999999999</v>
      </c>
      <c r="AZ56" s="22">
        <v>407.24700000000001</v>
      </c>
      <c r="BA56" s="22">
        <v>-1.8090800000000001E-2</v>
      </c>
      <c r="BB56" s="22">
        <v>46</v>
      </c>
      <c r="BC56" s="22">
        <v>0.13125600000000001</v>
      </c>
      <c r="BD56">
        <f t="shared" si="10"/>
        <v>18.090800000000002</v>
      </c>
      <c r="BE56">
        <f t="shared" si="11"/>
        <v>2.3822508164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20.124400000000001</v>
      </c>
      <c r="I57" s="22">
        <v>-1.62506E-2</v>
      </c>
      <c r="J57" s="22">
        <v>47</v>
      </c>
      <c r="K57" s="22">
        <v>1.64185</v>
      </c>
      <c r="L57">
        <f t="shared" si="0"/>
        <v>16.250600000000002</v>
      </c>
      <c r="M57">
        <f t="shared" si="1"/>
        <v>26.705748522000004</v>
      </c>
      <c r="N57" s="9"/>
      <c r="O57" s="22">
        <v>0.13671900000000001</v>
      </c>
      <c r="P57" s="22">
        <v>77.434299999999993</v>
      </c>
      <c r="Q57" s="22">
        <v>-1.7977900000000002E-2</v>
      </c>
      <c r="R57" s="22">
        <v>47</v>
      </c>
      <c r="S57" s="22">
        <v>0.13610800000000001</v>
      </c>
      <c r="T57">
        <f t="shared" si="2"/>
        <v>17.977900000000002</v>
      </c>
      <c r="U57">
        <f t="shared" si="3"/>
        <v>2.4579205101000006</v>
      </c>
      <c r="X57" s="9"/>
      <c r="Y57" s="22">
        <v>1.64337</v>
      </c>
      <c r="Z57" s="22">
        <v>167.59299999999999</v>
      </c>
      <c r="AA57" s="22">
        <v>-1.6076699999999999E-2</v>
      </c>
      <c r="AB57" s="22">
        <v>47</v>
      </c>
      <c r="AC57" s="22">
        <v>1.64246</v>
      </c>
      <c r="AD57">
        <f t="shared" si="4"/>
        <v>16.076699999999999</v>
      </c>
      <c r="AE57">
        <f t="shared" si="5"/>
        <v>26.419966478999999</v>
      </c>
      <c r="AF57" s="9"/>
      <c r="AG57" s="22">
        <v>0.13671900000000001</v>
      </c>
      <c r="AH57" s="22">
        <v>281.90600000000001</v>
      </c>
      <c r="AI57" s="22">
        <v>-1.80389E-2</v>
      </c>
      <c r="AJ57" s="22">
        <v>47</v>
      </c>
      <c r="AK57" s="22">
        <v>0.13619999999999999</v>
      </c>
      <c r="AL57">
        <f t="shared" si="6"/>
        <v>18.038900000000002</v>
      </c>
      <c r="AM57">
        <f t="shared" si="7"/>
        <v>2.4662603691000005</v>
      </c>
      <c r="AP57" s="9"/>
      <c r="AQ57" s="22">
        <v>1.64337</v>
      </c>
      <c r="AR57" s="22">
        <v>354.91899999999998</v>
      </c>
      <c r="AS57" s="22">
        <v>-1.5832499999999999E-2</v>
      </c>
      <c r="AT57" s="22">
        <v>47</v>
      </c>
      <c r="AU57" s="22">
        <v>1.64215</v>
      </c>
      <c r="AV57">
        <f t="shared" si="8"/>
        <v>15.8325</v>
      </c>
      <c r="AW57">
        <f t="shared" si="9"/>
        <v>26.018655525</v>
      </c>
      <c r="AX57" s="9"/>
      <c r="AY57" s="22">
        <v>0.13671900000000001</v>
      </c>
      <c r="AZ57" s="22">
        <v>407.34800000000001</v>
      </c>
      <c r="BA57" s="22">
        <v>-1.8090800000000001E-2</v>
      </c>
      <c r="BB57" s="22">
        <v>47</v>
      </c>
      <c r="BC57" s="22">
        <v>0.136047</v>
      </c>
      <c r="BD57">
        <f t="shared" si="10"/>
        <v>18.090800000000002</v>
      </c>
      <c r="BE57">
        <f t="shared" si="11"/>
        <v>2.4733560852000003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20.225100000000001</v>
      </c>
      <c r="I58" s="22">
        <v>-1.6284199999999999E-2</v>
      </c>
      <c r="J58" s="22">
        <v>48</v>
      </c>
      <c r="K58" s="22">
        <v>1.63727</v>
      </c>
      <c r="L58">
        <f t="shared" si="0"/>
        <v>16.284199999999998</v>
      </c>
      <c r="M58">
        <f t="shared" si="1"/>
        <v>26.679056227999997</v>
      </c>
      <c r="N58" s="9"/>
      <c r="O58" s="22">
        <v>0.14175399999999999</v>
      </c>
      <c r="P58" s="22">
        <v>77.534999999999997</v>
      </c>
      <c r="Q58" s="22">
        <v>-1.7974899999999999E-2</v>
      </c>
      <c r="R58" s="22">
        <v>48</v>
      </c>
      <c r="S58" s="22">
        <v>0.141205</v>
      </c>
      <c r="T58">
        <f t="shared" si="2"/>
        <v>17.974899999999998</v>
      </c>
      <c r="U58">
        <f t="shared" si="3"/>
        <v>2.5480139745999995</v>
      </c>
      <c r="X58" s="9"/>
      <c r="Y58" s="22">
        <v>1.6383399999999999</v>
      </c>
      <c r="Z58" s="22">
        <v>167.69399999999999</v>
      </c>
      <c r="AA58" s="22">
        <v>-1.6125500000000001E-2</v>
      </c>
      <c r="AB58" s="22">
        <v>48</v>
      </c>
      <c r="AC58" s="22">
        <v>1.63696</v>
      </c>
      <c r="AD58">
        <f t="shared" si="4"/>
        <v>16.125500000000002</v>
      </c>
      <c r="AE58">
        <f t="shared" si="5"/>
        <v>26.419051670000002</v>
      </c>
      <c r="AF58" s="9"/>
      <c r="AG58" s="22">
        <v>0.14175399999999999</v>
      </c>
      <c r="AH58" s="22">
        <v>282.00599999999997</v>
      </c>
      <c r="AI58" s="22">
        <v>-1.8035900000000001E-2</v>
      </c>
      <c r="AJ58" s="22">
        <v>48</v>
      </c>
      <c r="AK58" s="22">
        <v>0.14108299999999999</v>
      </c>
      <c r="AL58">
        <f t="shared" si="6"/>
        <v>18.035900000000002</v>
      </c>
      <c r="AM58">
        <f t="shared" si="7"/>
        <v>2.5566609686000001</v>
      </c>
      <c r="AP58" s="9"/>
      <c r="AQ58" s="22">
        <v>1.6383399999999999</v>
      </c>
      <c r="AR58" s="22">
        <v>355.02</v>
      </c>
      <c r="AS58" s="22">
        <v>-1.59119E-2</v>
      </c>
      <c r="AT58" s="22">
        <v>48</v>
      </c>
      <c r="AU58" s="22">
        <v>1.63727</v>
      </c>
      <c r="AV58">
        <f t="shared" si="8"/>
        <v>15.911899999999999</v>
      </c>
      <c r="AW58">
        <f t="shared" si="9"/>
        <v>26.069102245999996</v>
      </c>
      <c r="AX58" s="9"/>
      <c r="AY58" s="22">
        <v>0.14175399999999999</v>
      </c>
      <c r="AZ58" s="22">
        <v>407.44799999999998</v>
      </c>
      <c r="BA58" s="22">
        <v>-1.8084699999999999E-2</v>
      </c>
      <c r="BB58" s="22">
        <v>48</v>
      </c>
      <c r="BC58" s="22">
        <v>0.14108299999999999</v>
      </c>
      <c r="BD58">
        <f t="shared" si="10"/>
        <v>18.084699999999998</v>
      </c>
      <c r="BE58">
        <f t="shared" si="11"/>
        <v>2.5635785637999997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20.325800000000001</v>
      </c>
      <c r="I59" s="22">
        <v>-1.6311599999999999E-2</v>
      </c>
      <c r="J59" s="22">
        <v>49</v>
      </c>
      <c r="K59" s="22">
        <v>1.63269</v>
      </c>
      <c r="L59">
        <f t="shared" si="0"/>
        <v>16.311599999999999</v>
      </c>
      <c r="M59">
        <f t="shared" si="1"/>
        <v>26.641736279999996</v>
      </c>
      <c r="N59" s="9"/>
      <c r="O59" s="22">
        <v>0.14679</v>
      </c>
      <c r="P59" s="22">
        <v>77.6357</v>
      </c>
      <c r="Q59" s="22">
        <v>-1.79718E-2</v>
      </c>
      <c r="R59" s="22">
        <v>49</v>
      </c>
      <c r="S59" s="22">
        <v>0.14621000000000001</v>
      </c>
      <c r="T59">
        <f t="shared" si="2"/>
        <v>17.971799999999998</v>
      </c>
      <c r="U59">
        <f t="shared" si="3"/>
        <v>2.6380805219999997</v>
      </c>
      <c r="X59" s="9"/>
      <c r="Y59" s="22">
        <v>1.6333</v>
      </c>
      <c r="Z59" s="22">
        <v>167.79400000000001</v>
      </c>
      <c r="AA59" s="22">
        <v>-1.61835E-2</v>
      </c>
      <c r="AB59" s="22">
        <v>49</v>
      </c>
      <c r="AC59" s="22">
        <v>1.63239</v>
      </c>
      <c r="AD59">
        <f t="shared" si="4"/>
        <v>16.183499999999999</v>
      </c>
      <c r="AE59">
        <f t="shared" si="5"/>
        <v>26.432510549999996</v>
      </c>
      <c r="AF59" s="9"/>
      <c r="AG59" s="22">
        <v>0.14679</v>
      </c>
      <c r="AH59" s="22">
        <v>282.10700000000003</v>
      </c>
      <c r="AI59" s="22">
        <v>-1.8029799999999999E-2</v>
      </c>
      <c r="AJ59" s="22">
        <v>49</v>
      </c>
      <c r="AK59" s="22">
        <v>0.14621000000000001</v>
      </c>
      <c r="AL59">
        <f t="shared" si="6"/>
        <v>18.029799999999998</v>
      </c>
      <c r="AM59">
        <f t="shared" si="7"/>
        <v>2.6465943419999998</v>
      </c>
      <c r="AP59" s="9"/>
      <c r="AQ59" s="22">
        <v>1.6333</v>
      </c>
      <c r="AR59" s="22">
        <v>355.12</v>
      </c>
      <c r="AS59" s="22">
        <v>-1.5982099999999999E-2</v>
      </c>
      <c r="AT59" s="22">
        <v>49</v>
      </c>
      <c r="AU59" s="22">
        <v>1.63208</v>
      </c>
      <c r="AV59">
        <f t="shared" si="8"/>
        <v>15.982099999999999</v>
      </c>
      <c r="AW59">
        <f t="shared" si="9"/>
        <v>26.103563929999996</v>
      </c>
      <c r="AX59" s="9"/>
      <c r="AY59" s="22">
        <v>0.14679</v>
      </c>
      <c r="AZ59" s="22">
        <v>407.54899999999998</v>
      </c>
      <c r="BA59" s="22">
        <v>-1.8084699999999999E-2</v>
      </c>
      <c r="BB59" s="22">
        <v>49</v>
      </c>
      <c r="BC59" s="22">
        <v>0.14621000000000001</v>
      </c>
      <c r="BD59">
        <f t="shared" si="10"/>
        <v>18.084699999999998</v>
      </c>
      <c r="BE59">
        <f t="shared" si="11"/>
        <v>2.6546531129999997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20.426500000000001</v>
      </c>
      <c r="I60" s="22">
        <v>-1.6339099999999999E-2</v>
      </c>
      <c r="J60" s="22">
        <v>50</v>
      </c>
      <c r="K60" s="22">
        <v>1.6281099999999999</v>
      </c>
      <c r="L60">
        <f t="shared" si="0"/>
        <v>16.339099999999998</v>
      </c>
      <c r="M60">
        <f t="shared" si="1"/>
        <v>26.604466357</v>
      </c>
      <c r="N60" s="9"/>
      <c r="O60" s="22">
        <v>0.15182499999999999</v>
      </c>
      <c r="P60" s="22">
        <v>77.736400000000003</v>
      </c>
      <c r="Q60" s="22">
        <v>-1.79688E-2</v>
      </c>
      <c r="R60" s="22">
        <v>50</v>
      </c>
      <c r="S60" s="22">
        <v>0.15121499999999999</v>
      </c>
      <c r="T60">
        <f t="shared" si="2"/>
        <v>17.968800000000002</v>
      </c>
      <c r="U60">
        <f t="shared" si="3"/>
        <v>2.7281130600000001</v>
      </c>
      <c r="X60" s="9"/>
      <c r="Y60" s="22">
        <v>1.6282700000000001</v>
      </c>
      <c r="Z60" s="22">
        <v>167.89500000000001</v>
      </c>
      <c r="AA60" s="22">
        <v>-1.6232300000000002E-2</v>
      </c>
      <c r="AB60" s="22">
        <v>50</v>
      </c>
      <c r="AC60" s="22">
        <v>1.62781</v>
      </c>
      <c r="AD60">
        <f t="shared" si="4"/>
        <v>16.232300000000002</v>
      </c>
      <c r="AE60">
        <f t="shared" si="5"/>
        <v>26.430567121000006</v>
      </c>
      <c r="AF60" s="9"/>
      <c r="AG60" s="22">
        <v>0.15182499999999999</v>
      </c>
      <c r="AH60" s="22">
        <v>282.20800000000003</v>
      </c>
      <c r="AI60" s="22">
        <v>-1.80267E-2</v>
      </c>
      <c r="AJ60" s="22">
        <v>50</v>
      </c>
      <c r="AK60" s="22">
        <v>0.15124499999999999</v>
      </c>
      <c r="AL60">
        <f t="shared" si="6"/>
        <v>18.026699999999998</v>
      </c>
      <c r="AM60">
        <f t="shared" si="7"/>
        <v>2.7369037274999997</v>
      </c>
      <c r="AP60" s="9"/>
      <c r="AQ60" s="22">
        <v>1.6282700000000001</v>
      </c>
      <c r="AR60" s="22">
        <v>355.221</v>
      </c>
      <c r="AS60" s="22">
        <v>-1.6058300000000001E-2</v>
      </c>
      <c r="AT60" s="22">
        <v>50</v>
      </c>
      <c r="AU60" s="22">
        <v>1.6272</v>
      </c>
      <c r="AV60">
        <f t="shared" si="8"/>
        <v>16.058300000000003</v>
      </c>
      <c r="AW60">
        <f t="shared" si="9"/>
        <v>26.147248141000006</v>
      </c>
      <c r="AX60" s="9"/>
      <c r="AY60" s="22">
        <v>0.15182499999999999</v>
      </c>
      <c r="AZ60" s="22">
        <v>407.65</v>
      </c>
      <c r="BA60" s="22">
        <v>-1.8081699999999999E-2</v>
      </c>
      <c r="BB60" s="22">
        <v>50</v>
      </c>
      <c r="BC60" s="22">
        <v>0.15121499999999999</v>
      </c>
      <c r="BD60">
        <f t="shared" si="10"/>
        <v>18.081699999999998</v>
      </c>
      <c r="BE60">
        <f t="shared" si="11"/>
        <v>2.7452541024999992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20.5273</v>
      </c>
      <c r="I61" s="22">
        <v>-1.63635E-2</v>
      </c>
      <c r="J61" s="22">
        <v>51</v>
      </c>
      <c r="K61" s="22">
        <v>1.62262</v>
      </c>
      <c r="L61">
        <f t="shared" si="0"/>
        <v>16.363499999999998</v>
      </c>
      <c r="M61">
        <f t="shared" si="1"/>
        <v>26.561724104999996</v>
      </c>
      <c r="N61" s="9"/>
      <c r="O61" s="22">
        <v>0.15686</v>
      </c>
      <c r="P61" s="22">
        <v>77.837100000000007</v>
      </c>
      <c r="Q61" s="22">
        <v>-1.79688E-2</v>
      </c>
      <c r="R61" s="22">
        <v>51</v>
      </c>
      <c r="S61" s="22">
        <v>0.156219</v>
      </c>
      <c r="T61">
        <f t="shared" si="2"/>
        <v>17.968800000000002</v>
      </c>
      <c r="U61">
        <f t="shared" si="3"/>
        <v>2.8185859680000003</v>
      </c>
      <c r="X61" s="9"/>
      <c r="Y61" s="22">
        <v>1.62323</v>
      </c>
      <c r="Z61" s="22">
        <v>167.99600000000001</v>
      </c>
      <c r="AA61" s="22">
        <v>-1.6284199999999999E-2</v>
      </c>
      <c r="AB61" s="22">
        <v>51</v>
      </c>
      <c r="AC61" s="22">
        <v>1.6229199999999999</v>
      </c>
      <c r="AD61">
        <f t="shared" si="4"/>
        <v>16.284199999999998</v>
      </c>
      <c r="AE61">
        <f t="shared" si="5"/>
        <v>26.433001965999996</v>
      </c>
      <c r="AF61" s="9"/>
      <c r="AG61" s="22">
        <v>0.15686</v>
      </c>
      <c r="AH61" s="22">
        <v>282.30900000000003</v>
      </c>
      <c r="AI61" s="22">
        <v>-1.80237E-2</v>
      </c>
      <c r="AJ61" s="22">
        <v>51</v>
      </c>
      <c r="AK61" s="22">
        <v>0.15625</v>
      </c>
      <c r="AL61">
        <f t="shared" si="6"/>
        <v>18.023700000000002</v>
      </c>
      <c r="AM61">
        <f t="shared" si="7"/>
        <v>2.8271975820000002</v>
      </c>
      <c r="AP61" s="9"/>
      <c r="AQ61" s="22">
        <v>1.62323</v>
      </c>
      <c r="AR61" s="22">
        <v>355.322</v>
      </c>
      <c r="AS61" s="22">
        <v>-1.6131599999999999E-2</v>
      </c>
      <c r="AT61" s="22">
        <v>51</v>
      </c>
      <c r="AU61" s="22">
        <v>1.62262</v>
      </c>
      <c r="AV61">
        <f t="shared" si="8"/>
        <v>16.131599999999999</v>
      </c>
      <c r="AW61">
        <f t="shared" si="9"/>
        <v>26.185297067999997</v>
      </c>
      <c r="AX61" s="9"/>
      <c r="AY61" s="22">
        <v>0.15686</v>
      </c>
      <c r="AZ61" s="22">
        <v>407.75099999999998</v>
      </c>
      <c r="BA61" s="22">
        <v>-1.8075600000000001E-2</v>
      </c>
      <c r="BB61" s="22">
        <v>51</v>
      </c>
      <c r="BC61" s="22">
        <v>0.156281</v>
      </c>
      <c r="BD61">
        <f t="shared" si="10"/>
        <v>18.075600000000001</v>
      </c>
      <c r="BE61">
        <f t="shared" si="11"/>
        <v>2.835338616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20.628</v>
      </c>
      <c r="I62" s="22">
        <v>-1.6390999999999999E-2</v>
      </c>
      <c r="J62" s="22">
        <v>52</v>
      </c>
      <c r="K62" s="22">
        <v>1.61713</v>
      </c>
      <c r="L62">
        <f t="shared" si="0"/>
        <v>16.390999999999998</v>
      </c>
      <c r="M62">
        <f t="shared" si="1"/>
        <v>26.523752289999997</v>
      </c>
      <c r="N62" s="9"/>
      <c r="O62" s="22">
        <v>0.16189600000000001</v>
      </c>
      <c r="P62" s="22">
        <v>77.937799999999996</v>
      </c>
      <c r="Q62" s="22">
        <v>-1.7962599999999999E-2</v>
      </c>
      <c r="R62" s="22">
        <v>52</v>
      </c>
      <c r="S62" s="22">
        <v>0.16125500000000001</v>
      </c>
      <c r="T62">
        <f t="shared" si="2"/>
        <v>17.962599999999998</v>
      </c>
      <c r="U62">
        <f t="shared" si="3"/>
        <v>2.9080730895999998</v>
      </c>
      <c r="X62" s="9"/>
      <c r="Y62" s="22">
        <v>1.61819</v>
      </c>
      <c r="Z62" s="22">
        <v>168.096</v>
      </c>
      <c r="AA62" s="22">
        <v>-1.6330000000000001E-2</v>
      </c>
      <c r="AB62" s="22">
        <v>52</v>
      </c>
      <c r="AC62" s="22">
        <v>1.6174299999999999</v>
      </c>
      <c r="AD62">
        <f t="shared" si="4"/>
        <v>16.330000000000002</v>
      </c>
      <c r="AE62">
        <f t="shared" si="5"/>
        <v>26.425042700000002</v>
      </c>
      <c r="AF62" s="9"/>
      <c r="AG62" s="22">
        <v>0.16189600000000001</v>
      </c>
      <c r="AH62" s="22">
        <v>282.40899999999999</v>
      </c>
      <c r="AI62" s="22">
        <v>-1.80237E-2</v>
      </c>
      <c r="AJ62" s="22">
        <v>52</v>
      </c>
      <c r="AK62" s="22">
        <v>0.16131599999999999</v>
      </c>
      <c r="AL62">
        <f t="shared" si="6"/>
        <v>18.023700000000002</v>
      </c>
      <c r="AM62">
        <f t="shared" si="7"/>
        <v>2.9179649352000006</v>
      </c>
      <c r="AP62" s="9"/>
      <c r="AQ62" s="22">
        <v>1.61819</v>
      </c>
      <c r="AR62" s="22">
        <v>355.42200000000003</v>
      </c>
      <c r="AS62" s="22">
        <v>-1.6192600000000001E-2</v>
      </c>
      <c r="AT62" s="22">
        <v>52</v>
      </c>
      <c r="AU62" s="22">
        <v>1.61713</v>
      </c>
      <c r="AV62">
        <f t="shared" si="8"/>
        <v>16.192600000000002</v>
      </c>
      <c r="AW62">
        <f t="shared" si="9"/>
        <v>26.202703394000004</v>
      </c>
      <c r="AX62" s="9"/>
      <c r="AY62" s="22">
        <v>0.16189600000000001</v>
      </c>
      <c r="AZ62" s="22">
        <v>407.851</v>
      </c>
      <c r="BA62" s="22">
        <v>-1.8075600000000001E-2</v>
      </c>
      <c r="BB62" s="22">
        <v>52</v>
      </c>
      <c r="BC62" s="22">
        <v>0.16140699999999999</v>
      </c>
      <c r="BD62">
        <f t="shared" si="10"/>
        <v>18.075600000000001</v>
      </c>
      <c r="BE62">
        <f t="shared" si="11"/>
        <v>2.9263673376000003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20.7287</v>
      </c>
      <c r="I63" s="22">
        <v>-1.6406299999999999E-2</v>
      </c>
      <c r="J63" s="22">
        <v>53</v>
      </c>
      <c r="K63" s="22">
        <v>1.6125499999999999</v>
      </c>
      <c r="L63">
        <f t="shared" si="0"/>
        <v>16.406299999999998</v>
      </c>
      <c r="M63">
        <f t="shared" si="1"/>
        <v>26.465986907999994</v>
      </c>
      <c r="N63" s="9"/>
      <c r="O63" s="22">
        <v>0.166931</v>
      </c>
      <c r="P63" s="22">
        <v>78.038600000000002</v>
      </c>
      <c r="Q63" s="22">
        <v>-1.7959599999999999E-2</v>
      </c>
      <c r="R63" s="22">
        <v>53</v>
      </c>
      <c r="S63" s="22">
        <v>0.166382</v>
      </c>
      <c r="T63">
        <f t="shared" si="2"/>
        <v>17.959599999999998</v>
      </c>
      <c r="U63">
        <f t="shared" si="3"/>
        <v>2.9980139875999998</v>
      </c>
      <c r="X63" s="9"/>
      <c r="Y63" s="22">
        <v>1.6131599999999999</v>
      </c>
      <c r="Z63" s="22">
        <v>168.197</v>
      </c>
      <c r="AA63" s="22">
        <v>-1.63757E-2</v>
      </c>
      <c r="AB63" s="22">
        <v>53</v>
      </c>
      <c r="AC63" s="22">
        <v>1.6125499999999999</v>
      </c>
      <c r="AD63">
        <f t="shared" si="4"/>
        <v>16.375699999999998</v>
      </c>
      <c r="AE63">
        <f t="shared" si="5"/>
        <v>26.416624211999995</v>
      </c>
      <c r="AF63" s="9"/>
      <c r="AG63" s="22">
        <v>0.166931</v>
      </c>
      <c r="AH63" s="22">
        <v>282.51</v>
      </c>
      <c r="AI63" s="22">
        <v>-1.8020600000000001E-2</v>
      </c>
      <c r="AJ63" s="22">
        <v>53</v>
      </c>
      <c r="AK63" s="22">
        <v>0.166046</v>
      </c>
      <c r="AL63">
        <f t="shared" si="6"/>
        <v>18.020600000000002</v>
      </c>
      <c r="AM63">
        <f t="shared" si="7"/>
        <v>3.0081967786000003</v>
      </c>
      <c r="AP63" s="9"/>
      <c r="AQ63" s="22">
        <v>1.6131599999999999</v>
      </c>
      <c r="AR63" s="22">
        <v>355.52300000000002</v>
      </c>
      <c r="AS63" s="22">
        <v>-1.6247600000000001E-2</v>
      </c>
      <c r="AT63" s="22">
        <v>53</v>
      </c>
      <c r="AU63" s="22">
        <v>1.6122399999999999</v>
      </c>
      <c r="AV63">
        <f t="shared" si="8"/>
        <v>16.247600000000002</v>
      </c>
      <c r="AW63">
        <f t="shared" si="9"/>
        <v>26.209978416000002</v>
      </c>
      <c r="AX63" s="9"/>
      <c r="AY63" s="22">
        <v>0.166931</v>
      </c>
      <c r="AZ63" s="22">
        <v>407.952</v>
      </c>
      <c r="BA63" s="22">
        <v>-1.8072499999999998E-2</v>
      </c>
      <c r="BB63" s="22">
        <v>53</v>
      </c>
      <c r="BC63" s="22">
        <v>0.166412</v>
      </c>
      <c r="BD63">
        <f t="shared" si="10"/>
        <v>18.072499999999998</v>
      </c>
      <c r="BE63">
        <f t="shared" si="11"/>
        <v>3.0168604974999997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20.8294</v>
      </c>
      <c r="I64" s="22">
        <v>-1.6433699999999999E-2</v>
      </c>
      <c r="J64" s="22">
        <v>54</v>
      </c>
      <c r="K64" s="22">
        <v>1.6076699999999999</v>
      </c>
      <c r="L64">
        <f t="shared" si="0"/>
        <v>16.433699999999998</v>
      </c>
      <c r="M64">
        <f t="shared" si="1"/>
        <v>26.427361643999998</v>
      </c>
      <c r="N64" s="9"/>
      <c r="O64" s="22">
        <v>0.17196700000000001</v>
      </c>
      <c r="P64" s="22">
        <v>78.139300000000006</v>
      </c>
      <c r="Q64" s="22">
        <v>-1.79565E-2</v>
      </c>
      <c r="R64" s="22">
        <v>54</v>
      </c>
      <c r="S64" s="22">
        <v>0.171265</v>
      </c>
      <c r="T64">
        <f t="shared" si="2"/>
        <v>17.956500000000002</v>
      </c>
      <c r="U64">
        <f t="shared" si="3"/>
        <v>3.0879254355000003</v>
      </c>
      <c r="X64" s="9"/>
      <c r="Y64" s="22">
        <v>1.60812</v>
      </c>
      <c r="Z64" s="22">
        <v>168.298</v>
      </c>
      <c r="AA64" s="22">
        <v>-1.6406299999999999E-2</v>
      </c>
      <c r="AB64" s="22">
        <v>54</v>
      </c>
      <c r="AC64" s="22">
        <v>1.6073599999999999</v>
      </c>
      <c r="AD64">
        <f t="shared" si="4"/>
        <v>16.406299999999998</v>
      </c>
      <c r="AE64">
        <f t="shared" si="5"/>
        <v>26.383299155999996</v>
      </c>
      <c r="AF64" s="9"/>
      <c r="AG64" s="22">
        <v>0.17196700000000001</v>
      </c>
      <c r="AH64" s="22">
        <v>282.61099999999999</v>
      </c>
      <c r="AI64" s="22">
        <v>-1.8014499999999999E-2</v>
      </c>
      <c r="AJ64" s="22">
        <v>54</v>
      </c>
      <c r="AK64" s="22">
        <v>0.17147799999999999</v>
      </c>
      <c r="AL64">
        <f t="shared" si="6"/>
        <v>18.014499999999998</v>
      </c>
      <c r="AM64">
        <f t="shared" si="7"/>
        <v>3.0978995215</v>
      </c>
      <c r="AP64" s="9"/>
      <c r="AQ64" s="22">
        <v>1.60812</v>
      </c>
      <c r="AR64" s="22">
        <v>355.62400000000002</v>
      </c>
      <c r="AS64" s="22">
        <v>-1.62933E-2</v>
      </c>
      <c r="AT64" s="22">
        <v>54</v>
      </c>
      <c r="AU64" s="22">
        <v>1.6076699999999999</v>
      </c>
      <c r="AV64">
        <f t="shared" si="8"/>
        <v>16.293299999999999</v>
      </c>
      <c r="AW64">
        <f t="shared" si="9"/>
        <v>26.201581595999997</v>
      </c>
      <c r="AX64" s="9"/>
      <c r="AY64" s="22">
        <v>0.17196700000000001</v>
      </c>
      <c r="AZ64" s="22">
        <v>408.053</v>
      </c>
      <c r="BA64" s="22">
        <v>-1.8069499999999999E-2</v>
      </c>
      <c r="BB64" s="22">
        <v>54</v>
      </c>
      <c r="BC64" s="22">
        <v>0.171234</v>
      </c>
      <c r="BD64">
        <f t="shared" si="10"/>
        <v>18.069499999999998</v>
      </c>
      <c r="BE64">
        <f t="shared" si="11"/>
        <v>3.1073577064999998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20.930099999999999</v>
      </c>
      <c r="I65" s="22">
        <v>-1.64581E-2</v>
      </c>
      <c r="J65" s="22">
        <v>55</v>
      </c>
      <c r="K65" s="22">
        <v>1.6021700000000001</v>
      </c>
      <c r="L65">
        <f t="shared" si="0"/>
        <v>16.458099999999998</v>
      </c>
      <c r="M65">
        <f t="shared" si="1"/>
        <v>26.383815528999996</v>
      </c>
      <c r="N65" s="9"/>
      <c r="O65" s="22">
        <v>0.17700199999999999</v>
      </c>
      <c r="P65" s="22">
        <v>78.239999999999995</v>
      </c>
      <c r="Q65" s="22">
        <v>-1.7953500000000001E-2</v>
      </c>
      <c r="R65" s="22">
        <v>55</v>
      </c>
      <c r="S65" s="22">
        <v>0.17630000000000001</v>
      </c>
      <c r="T65">
        <f t="shared" si="2"/>
        <v>17.953500000000002</v>
      </c>
      <c r="U65">
        <f t="shared" si="3"/>
        <v>3.1778054070000001</v>
      </c>
      <c r="X65" s="9"/>
      <c r="Y65" s="22">
        <v>1.6030899999999999</v>
      </c>
      <c r="Z65" s="22">
        <v>168.398</v>
      </c>
      <c r="AA65" s="22">
        <v>-1.6439800000000001E-2</v>
      </c>
      <c r="AB65" s="22">
        <v>55</v>
      </c>
      <c r="AC65" s="22">
        <v>1.6018699999999999</v>
      </c>
      <c r="AD65">
        <f t="shared" si="4"/>
        <v>16.439800000000002</v>
      </c>
      <c r="AE65">
        <f t="shared" si="5"/>
        <v>26.354478982</v>
      </c>
      <c r="AF65" s="9"/>
      <c r="AG65" s="22">
        <v>0.17700199999999999</v>
      </c>
      <c r="AH65" s="22">
        <v>282.71100000000001</v>
      </c>
      <c r="AI65" s="22">
        <v>-1.8014499999999999E-2</v>
      </c>
      <c r="AJ65" s="22">
        <v>55</v>
      </c>
      <c r="AK65" s="22">
        <v>0.17654400000000001</v>
      </c>
      <c r="AL65">
        <f t="shared" si="6"/>
        <v>18.014499999999998</v>
      </c>
      <c r="AM65">
        <f t="shared" si="7"/>
        <v>3.1886025289999997</v>
      </c>
      <c r="AP65" s="9"/>
      <c r="AQ65" s="22">
        <v>1.6030899999999999</v>
      </c>
      <c r="AR65" s="22">
        <v>355.72500000000002</v>
      </c>
      <c r="AS65" s="22">
        <v>-1.6351299999999999E-2</v>
      </c>
      <c r="AT65" s="22">
        <v>55</v>
      </c>
      <c r="AU65" s="22">
        <v>1.6021700000000001</v>
      </c>
      <c r="AV65">
        <f t="shared" si="8"/>
        <v>16.351299999999998</v>
      </c>
      <c r="AW65">
        <f t="shared" si="9"/>
        <v>26.212605516999997</v>
      </c>
      <c r="AX65" s="9"/>
      <c r="AY65" s="22">
        <v>0.17700199999999999</v>
      </c>
      <c r="AZ65" s="22">
        <v>408.15300000000002</v>
      </c>
      <c r="BA65" s="22">
        <v>-1.80664E-2</v>
      </c>
      <c r="BB65" s="22">
        <v>55</v>
      </c>
      <c r="BC65" s="22">
        <v>0.17633099999999999</v>
      </c>
      <c r="BD65">
        <f t="shared" si="10"/>
        <v>18.066400000000002</v>
      </c>
      <c r="BE65">
        <f t="shared" si="11"/>
        <v>3.1977889328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21.030799999999999</v>
      </c>
      <c r="I66" s="22">
        <v>-1.6479500000000001E-2</v>
      </c>
      <c r="J66" s="22">
        <v>56</v>
      </c>
      <c r="K66" s="22">
        <v>1.5963700000000001</v>
      </c>
      <c r="L66">
        <f t="shared" si="0"/>
        <v>16.479500000000002</v>
      </c>
      <c r="M66">
        <f t="shared" si="1"/>
        <v>26.335064975000002</v>
      </c>
      <c r="N66" s="9"/>
      <c r="O66" s="22">
        <v>0.182037</v>
      </c>
      <c r="P66" s="22">
        <v>78.340699999999998</v>
      </c>
      <c r="Q66" s="22">
        <v>-1.7950399999999998E-2</v>
      </c>
      <c r="R66" s="22">
        <v>56</v>
      </c>
      <c r="S66" s="22">
        <v>0.18121300000000001</v>
      </c>
      <c r="T66">
        <f t="shared" si="2"/>
        <v>17.950399999999998</v>
      </c>
      <c r="U66">
        <f t="shared" si="3"/>
        <v>3.2676369647999999</v>
      </c>
      <c r="X66" s="9"/>
      <c r="Y66" s="22">
        <v>1.59805</v>
      </c>
      <c r="Z66" s="22">
        <v>168.499</v>
      </c>
      <c r="AA66" s="22">
        <v>-1.6476399999999999E-2</v>
      </c>
      <c r="AB66" s="22">
        <v>56</v>
      </c>
      <c r="AC66" s="22">
        <v>1.5969800000000001</v>
      </c>
      <c r="AD66">
        <f t="shared" si="4"/>
        <v>16.476399999999998</v>
      </c>
      <c r="AE66">
        <f t="shared" si="5"/>
        <v>26.330111019999997</v>
      </c>
      <c r="AF66" s="9"/>
      <c r="AG66" s="22">
        <v>0.182037</v>
      </c>
      <c r="AH66" s="22">
        <v>282.81200000000001</v>
      </c>
      <c r="AI66" s="22">
        <v>-1.80115E-2</v>
      </c>
      <c r="AJ66" s="22">
        <v>56</v>
      </c>
      <c r="AK66" s="22">
        <v>0.18115200000000001</v>
      </c>
      <c r="AL66">
        <f t="shared" si="6"/>
        <v>18.011499999999998</v>
      </c>
      <c r="AM66">
        <f t="shared" si="7"/>
        <v>3.2787594254999997</v>
      </c>
      <c r="AP66" s="9"/>
      <c r="AQ66" s="22">
        <v>1.59805</v>
      </c>
      <c r="AR66" s="22">
        <v>355.82499999999999</v>
      </c>
      <c r="AS66" s="22">
        <v>-1.6393999999999999E-2</v>
      </c>
      <c r="AT66" s="22">
        <v>56</v>
      </c>
      <c r="AU66" s="22">
        <v>1.5972900000000001</v>
      </c>
      <c r="AV66">
        <f t="shared" si="8"/>
        <v>16.393999999999998</v>
      </c>
      <c r="AW66">
        <f t="shared" si="9"/>
        <v>26.198431699999997</v>
      </c>
      <c r="AX66" s="9"/>
      <c r="AY66" s="22">
        <v>0.182037</v>
      </c>
      <c r="AZ66" s="22">
        <v>408.25400000000002</v>
      </c>
      <c r="BA66" s="22">
        <v>-1.80634E-2</v>
      </c>
      <c r="BB66" s="22">
        <v>56</v>
      </c>
      <c r="BC66" s="22">
        <v>0.181427</v>
      </c>
      <c r="BD66">
        <f t="shared" si="10"/>
        <v>18.063400000000001</v>
      </c>
      <c r="BE66">
        <f t="shared" si="11"/>
        <v>3.2882071458000004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21.131499999999999</v>
      </c>
      <c r="I67" s="22">
        <v>-1.64856E-2</v>
      </c>
      <c r="J67" s="22">
        <v>57</v>
      </c>
      <c r="K67" s="22">
        <v>1.5921000000000001</v>
      </c>
      <c r="L67">
        <f t="shared" si="0"/>
        <v>16.485599999999998</v>
      </c>
      <c r="M67">
        <f t="shared" si="1"/>
        <v>26.261890511999997</v>
      </c>
      <c r="N67" s="9"/>
      <c r="O67" s="22">
        <v>0.18707299999999999</v>
      </c>
      <c r="P67" s="22">
        <v>78.441400000000002</v>
      </c>
      <c r="Q67" s="22">
        <v>-1.79443E-2</v>
      </c>
      <c r="R67" s="22">
        <v>57</v>
      </c>
      <c r="S67" s="22">
        <v>0.18637100000000001</v>
      </c>
      <c r="T67">
        <f t="shared" si="2"/>
        <v>17.944299999999998</v>
      </c>
      <c r="U67">
        <f t="shared" si="3"/>
        <v>3.3568940338999993</v>
      </c>
      <c r="X67" s="9"/>
      <c r="Y67" s="22">
        <v>1.5930200000000001</v>
      </c>
      <c r="Z67" s="22">
        <v>168.6</v>
      </c>
      <c r="AA67" s="22">
        <v>-1.6500899999999999E-2</v>
      </c>
      <c r="AB67" s="22">
        <v>57</v>
      </c>
      <c r="AC67" s="22">
        <v>1.5921000000000001</v>
      </c>
      <c r="AD67">
        <f t="shared" si="4"/>
        <v>16.500899999999998</v>
      </c>
      <c r="AE67">
        <f t="shared" si="5"/>
        <v>26.286263717999997</v>
      </c>
      <c r="AF67" s="9"/>
      <c r="AG67" s="22">
        <v>0.18707299999999999</v>
      </c>
      <c r="AH67" s="22">
        <v>282.91300000000001</v>
      </c>
      <c r="AI67" s="22">
        <v>-1.8005400000000001E-2</v>
      </c>
      <c r="AJ67" s="22">
        <v>57</v>
      </c>
      <c r="AK67" s="22">
        <v>0.18640100000000001</v>
      </c>
      <c r="AL67">
        <f t="shared" si="6"/>
        <v>18.005400000000002</v>
      </c>
      <c r="AM67">
        <f t="shared" si="7"/>
        <v>3.3683241942</v>
      </c>
      <c r="AP67" s="9"/>
      <c r="AQ67" s="22">
        <v>1.5930200000000001</v>
      </c>
      <c r="AR67" s="22">
        <v>355.92599999999999</v>
      </c>
      <c r="AS67" s="22">
        <v>-1.6427600000000001E-2</v>
      </c>
      <c r="AT67" s="22">
        <v>57</v>
      </c>
      <c r="AU67" s="22">
        <v>1.5921000000000001</v>
      </c>
      <c r="AV67">
        <f t="shared" si="8"/>
        <v>16.427600000000002</v>
      </c>
      <c r="AW67">
        <f t="shared" si="9"/>
        <v>26.169495352000006</v>
      </c>
      <c r="AX67" s="9"/>
      <c r="AY67" s="22">
        <v>0.18707299999999999</v>
      </c>
      <c r="AZ67" s="22">
        <v>408.35500000000002</v>
      </c>
      <c r="BA67" s="22">
        <v>-1.8060300000000001E-2</v>
      </c>
      <c r="BB67" s="22">
        <v>57</v>
      </c>
      <c r="BC67" s="22">
        <v>0.18646199999999999</v>
      </c>
      <c r="BD67">
        <f t="shared" si="10"/>
        <v>18.060300000000002</v>
      </c>
      <c r="BE67">
        <f t="shared" si="11"/>
        <v>3.3785945018999999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21.232199999999999</v>
      </c>
      <c r="I68" s="22">
        <v>-1.6507000000000001E-2</v>
      </c>
      <c r="J68" s="22">
        <v>58</v>
      </c>
      <c r="K68" s="22">
        <v>1.5866100000000001</v>
      </c>
      <c r="L68">
        <f t="shared" si="0"/>
        <v>16.507000000000001</v>
      </c>
      <c r="M68">
        <f t="shared" si="1"/>
        <v>26.21278586</v>
      </c>
      <c r="N68" s="9"/>
      <c r="O68" s="22">
        <v>0.192108</v>
      </c>
      <c r="P68" s="22">
        <v>78.542100000000005</v>
      </c>
      <c r="Q68" s="22">
        <v>-1.7947399999999999E-2</v>
      </c>
      <c r="R68" s="22">
        <v>58</v>
      </c>
      <c r="S68" s="22">
        <v>0.191467</v>
      </c>
      <c r="T68">
        <f t="shared" si="2"/>
        <v>17.947399999999998</v>
      </c>
      <c r="U68">
        <f t="shared" si="3"/>
        <v>3.4478391191999997</v>
      </c>
      <c r="X68" s="9"/>
      <c r="Y68" s="22">
        <v>1.5879799999999999</v>
      </c>
      <c r="Z68" s="22">
        <v>168.70099999999999</v>
      </c>
      <c r="AA68" s="22">
        <v>-1.6534400000000001E-2</v>
      </c>
      <c r="AB68" s="22">
        <v>58</v>
      </c>
      <c r="AC68" s="22">
        <v>1.58691</v>
      </c>
      <c r="AD68">
        <f t="shared" si="4"/>
        <v>16.534400000000002</v>
      </c>
      <c r="AE68">
        <f t="shared" si="5"/>
        <v>26.256296512000002</v>
      </c>
      <c r="AF68" s="9"/>
      <c r="AG68" s="22">
        <v>0.192108</v>
      </c>
      <c r="AH68" s="22">
        <v>283.01400000000001</v>
      </c>
      <c r="AI68" s="22">
        <v>-1.8002299999999999E-2</v>
      </c>
      <c r="AJ68" s="22">
        <v>58</v>
      </c>
      <c r="AK68" s="22">
        <v>0.19125400000000001</v>
      </c>
      <c r="AL68">
        <f t="shared" si="6"/>
        <v>18.002299999999998</v>
      </c>
      <c r="AM68">
        <f t="shared" si="7"/>
        <v>3.4583858483999999</v>
      </c>
      <c r="AP68" s="9"/>
      <c r="AQ68" s="22">
        <v>1.5879799999999999</v>
      </c>
      <c r="AR68" s="22">
        <v>356.02699999999999</v>
      </c>
      <c r="AS68" s="22">
        <v>-1.6464199999999998E-2</v>
      </c>
      <c r="AT68" s="22">
        <v>58</v>
      </c>
      <c r="AU68" s="22">
        <v>1.5866100000000001</v>
      </c>
      <c r="AV68">
        <f t="shared" si="8"/>
        <v>16.464199999999998</v>
      </c>
      <c r="AW68">
        <f t="shared" si="9"/>
        <v>26.144820315999997</v>
      </c>
      <c r="AX68" s="9"/>
      <c r="AY68" s="22">
        <v>0.192108</v>
      </c>
      <c r="AZ68" s="22">
        <v>408.45600000000002</v>
      </c>
      <c r="BA68" s="22">
        <v>-1.8060300000000001E-2</v>
      </c>
      <c r="BB68" s="22">
        <v>58</v>
      </c>
      <c r="BC68" s="22">
        <v>0.191498</v>
      </c>
      <c r="BD68">
        <f t="shared" si="10"/>
        <v>18.060300000000002</v>
      </c>
      <c r="BE68">
        <f t="shared" si="11"/>
        <v>3.4695281124000004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21.332899999999999</v>
      </c>
      <c r="I69" s="22">
        <v>-1.6522200000000001E-2</v>
      </c>
      <c r="J69" s="22">
        <v>59</v>
      </c>
      <c r="K69" s="22">
        <v>1.5817300000000001</v>
      </c>
      <c r="L69">
        <f t="shared" si="0"/>
        <v>16.522200000000002</v>
      </c>
      <c r="M69">
        <f t="shared" si="1"/>
        <v>26.153816490000004</v>
      </c>
      <c r="N69" s="9"/>
      <c r="O69" s="22">
        <v>0.19714400000000001</v>
      </c>
      <c r="P69" s="22">
        <v>78.642799999999994</v>
      </c>
      <c r="Q69" s="22">
        <v>-1.79413E-2</v>
      </c>
      <c r="R69" s="22">
        <v>59</v>
      </c>
      <c r="S69" s="22">
        <v>0.19656399999999999</v>
      </c>
      <c r="T69">
        <f t="shared" si="2"/>
        <v>17.941300000000002</v>
      </c>
      <c r="U69">
        <f t="shared" si="3"/>
        <v>3.5370196472000006</v>
      </c>
      <c r="X69" s="9"/>
      <c r="Y69" s="22">
        <v>1.5829500000000001</v>
      </c>
      <c r="Z69" s="22">
        <v>168.80099999999999</v>
      </c>
      <c r="AA69" s="22">
        <v>-1.65527E-2</v>
      </c>
      <c r="AB69" s="22">
        <v>59</v>
      </c>
      <c r="AC69" s="22">
        <v>1.5823400000000001</v>
      </c>
      <c r="AD69">
        <f t="shared" si="4"/>
        <v>16.552700000000002</v>
      </c>
      <c r="AE69">
        <f t="shared" si="5"/>
        <v>26.202096465000004</v>
      </c>
      <c r="AF69" s="9"/>
      <c r="AG69" s="22">
        <v>0.19714400000000001</v>
      </c>
      <c r="AH69" s="22">
        <v>283.11399999999998</v>
      </c>
      <c r="AI69" s="22">
        <v>-1.7999299999999999E-2</v>
      </c>
      <c r="AJ69" s="22">
        <v>59</v>
      </c>
      <c r="AK69" s="22">
        <v>0.19644200000000001</v>
      </c>
      <c r="AL69">
        <f t="shared" si="6"/>
        <v>17.999299999999998</v>
      </c>
      <c r="AM69">
        <f t="shared" si="7"/>
        <v>3.5484539991999999</v>
      </c>
      <c r="AP69" s="9"/>
      <c r="AQ69" s="22">
        <v>1.5829500000000001</v>
      </c>
      <c r="AR69" s="22">
        <v>356.12700000000001</v>
      </c>
      <c r="AS69" s="22">
        <v>-1.6503899999999998E-2</v>
      </c>
      <c r="AT69" s="22">
        <v>59</v>
      </c>
      <c r="AU69" s="22">
        <v>1.58203</v>
      </c>
      <c r="AV69">
        <f t="shared" si="8"/>
        <v>16.503899999999998</v>
      </c>
      <c r="AW69">
        <f t="shared" si="9"/>
        <v>26.124848504999999</v>
      </c>
      <c r="AX69" s="9"/>
      <c r="AY69" s="22">
        <v>0.19714400000000001</v>
      </c>
      <c r="AZ69" s="22">
        <v>408.55599999999998</v>
      </c>
      <c r="BA69" s="22">
        <v>-1.8054199999999999E-2</v>
      </c>
      <c r="BB69" s="22">
        <v>59</v>
      </c>
      <c r="BC69" s="22">
        <v>0.19644200000000001</v>
      </c>
      <c r="BD69">
        <f t="shared" si="10"/>
        <v>18.054199999999998</v>
      </c>
      <c r="BE69">
        <f t="shared" si="11"/>
        <v>3.5592772047999999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21.433599999999998</v>
      </c>
      <c r="I70" s="22">
        <v>-1.6534400000000001E-2</v>
      </c>
      <c r="J70" s="22">
        <v>60</v>
      </c>
      <c r="K70" s="22">
        <v>1.57684</v>
      </c>
      <c r="L70">
        <f t="shared" si="0"/>
        <v>16.534400000000002</v>
      </c>
      <c r="M70">
        <f t="shared" si="1"/>
        <v>26.089795104</v>
      </c>
      <c r="N70" s="9"/>
      <c r="O70" s="22">
        <v>0.202179</v>
      </c>
      <c r="P70" s="22">
        <v>78.743499999999997</v>
      </c>
      <c r="Q70" s="22">
        <v>-1.7938200000000001E-2</v>
      </c>
      <c r="R70" s="22">
        <v>60</v>
      </c>
      <c r="S70" s="22">
        <v>0.20163</v>
      </c>
      <c r="T70">
        <f t="shared" si="2"/>
        <v>17.938200000000002</v>
      </c>
      <c r="U70">
        <f t="shared" si="3"/>
        <v>3.6267273378000002</v>
      </c>
      <c r="X70" s="9"/>
      <c r="Y70" s="22">
        <v>1.5779099999999999</v>
      </c>
      <c r="Z70" s="22">
        <v>168.90199999999999</v>
      </c>
      <c r="AA70" s="22">
        <v>-1.65802E-2</v>
      </c>
      <c r="AB70" s="22">
        <v>60</v>
      </c>
      <c r="AC70" s="22">
        <v>1.5771500000000001</v>
      </c>
      <c r="AD70">
        <f t="shared" si="4"/>
        <v>16.580200000000001</v>
      </c>
      <c r="AE70">
        <f t="shared" si="5"/>
        <v>26.162063381999999</v>
      </c>
      <c r="AF70" s="9"/>
      <c r="AG70" s="22">
        <v>0.202179</v>
      </c>
      <c r="AH70" s="22">
        <v>283.21499999999997</v>
      </c>
      <c r="AI70" s="22">
        <v>-1.79962E-2</v>
      </c>
      <c r="AJ70" s="22">
        <v>60</v>
      </c>
      <c r="AK70" s="22">
        <v>0.201263</v>
      </c>
      <c r="AL70">
        <f t="shared" si="6"/>
        <v>17.996200000000002</v>
      </c>
      <c r="AM70">
        <f t="shared" si="7"/>
        <v>3.6384537198000002</v>
      </c>
      <c r="AP70" s="9"/>
      <c r="AQ70" s="22">
        <v>1.5779099999999999</v>
      </c>
      <c r="AR70" s="22">
        <v>356.22800000000001</v>
      </c>
      <c r="AS70" s="22">
        <v>-1.65375E-2</v>
      </c>
      <c r="AT70" s="22">
        <v>60</v>
      </c>
      <c r="AU70" s="22">
        <v>1.57745</v>
      </c>
      <c r="AV70">
        <f t="shared" si="8"/>
        <v>16.537500000000001</v>
      </c>
      <c r="AW70">
        <f t="shared" si="9"/>
        <v>26.094686625000001</v>
      </c>
      <c r="AX70" s="9"/>
      <c r="AY70" s="22">
        <v>0.202179</v>
      </c>
      <c r="AZ70" s="22">
        <v>408.65699999999998</v>
      </c>
      <c r="BA70" s="22">
        <v>-1.80511E-2</v>
      </c>
      <c r="BB70" s="22">
        <v>60</v>
      </c>
      <c r="BC70" s="22">
        <v>0.201599</v>
      </c>
      <c r="BD70">
        <f t="shared" si="10"/>
        <v>18.051100000000002</v>
      </c>
      <c r="BE70">
        <f t="shared" si="11"/>
        <v>3.6495533469000003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21.534300000000002</v>
      </c>
      <c r="I71" s="22">
        <v>-1.6543599999999999E-2</v>
      </c>
      <c r="J71" s="22">
        <v>61</v>
      </c>
      <c r="K71" s="22">
        <v>1.57196</v>
      </c>
      <c r="L71">
        <f t="shared" si="0"/>
        <v>16.543599999999998</v>
      </c>
      <c r="M71">
        <f t="shared" si="1"/>
        <v>26.021097567999998</v>
      </c>
      <c r="N71" s="9"/>
      <c r="O71" s="22">
        <v>0.20721400000000001</v>
      </c>
      <c r="P71" s="22">
        <v>78.844200000000001</v>
      </c>
      <c r="Q71" s="22">
        <v>-1.7932099999999999E-2</v>
      </c>
      <c r="R71" s="22">
        <v>61</v>
      </c>
      <c r="S71" s="22">
        <v>0.20669599999999999</v>
      </c>
      <c r="T71">
        <f t="shared" si="2"/>
        <v>17.932099999999998</v>
      </c>
      <c r="U71">
        <f t="shared" si="3"/>
        <v>3.7157821693999997</v>
      </c>
      <c r="X71" s="9"/>
      <c r="Y71" s="22">
        <v>1.5728800000000001</v>
      </c>
      <c r="Z71" s="22">
        <v>169.00299999999999</v>
      </c>
      <c r="AA71" s="22">
        <v>-1.6601600000000001E-2</v>
      </c>
      <c r="AB71" s="22">
        <v>61</v>
      </c>
      <c r="AC71" s="22">
        <v>1.57196</v>
      </c>
      <c r="AD71">
        <f t="shared" si="4"/>
        <v>16.601600000000001</v>
      </c>
      <c r="AE71">
        <f t="shared" si="5"/>
        <v>26.112324608000002</v>
      </c>
      <c r="AF71" s="9"/>
      <c r="AG71" s="22">
        <v>0.20721400000000001</v>
      </c>
      <c r="AH71" s="22">
        <v>283.31599999999997</v>
      </c>
      <c r="AI71" s="22">
        <v>-1.7993200000000001E-2</v>
      </c>
      <c r="AJ71" s="22">
        <v>61</v>
      </c>
      <c r="AK71" s="22">
        <v>0.20657300000000001</v>
      </c>
      <c r="AL71">
        <f t="shared" si="6"/>
        <v>17.993200000000002</v>
      </c>
      <c r="AM71">
        <f t="shared" si="7"/>
        <v>3.7284429448000007</v>
      </c>
      <c r="AP71" s="9"/>
      <c r="AQ71" s="22">
        <v>1.5728800000000001</v>
      </c>
      <c r="AR71" s="22">
        <v>356.32900000000001</v>
      </c>
      <c r="AS71" s="22">
        <v>-1.6555799999999999E-2</v>
      </c>
      <c r="AT71" s="22">
        <v>61</v>
      </c>
      <c r="AU71" s="22">
        <v>1.5716600000000001</v>
      </c>
      <c r="AV71">
        <f t="shared" si="8"/>
        <v>16.555799999999998</v>
      </c>
      <c r="AW71">
        <f t="shared" si="9"/>
        <v>26.040286703999996</v>
      </c>
      <c r="AX71" s="9"/>
      <c r="AY71" s="22">
        <v>0.20721400000000001</v>
      </c>
      <c r="AZ71" s="22">
        <v>408.75799999999998</v>
      </c>
      <c r="BA71" s="22">
        <v>-1.8044999999999999E-2</v>
      </c>
      <c r="BB71" s="22">
        <v>61</v>
      </c>
      <c r="BC71" s="22">
        <v>0.20638999999999999</v>
      </c>
      <c r="BD71">
        <f t="shared" si="10"/>
        <v>18.044999999999998</v>
      </c>
      <c r="BE71">
        <f t="shared" si="11"/>
        <v>3.7391766299999998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21.635000000000002</v>
      </c>
      <c r="I72" s="22">
        <v>-1.6558799999999999E-2</v>
      </c>
      <c r="J72" s="22">
        <v>62</v>
      </c>
      <c r="K72" s="22">
        <v>1.56708</v>
      </c>
      <c r="L72">
        <f t="shared" si="0"/>
        <v>16.558799999999998</v>
      </c>
      <c r="M72">
        <f t="shared" si="1"/>
        <v>25.961548991999994</v>
      </c>
      <c r="N72" s="9"/>
      <c r="O72" s="22">
        <v>0.21224999999999999</v>
      </c>
      <c r="P72" s="22">
        <v>78.944900000000004</v>
      </c>
      <c r="Q72" s="22">
        <v>-1.79291E-2</v>
      </c>
      <c r="R72" s="22">
        <v>62</v>
      </c>
      <c r="S72" s="22">
        <v>0.21182300000000001</v>
      </c>
      <c r="T72">
        <f t="shared" si="2"/>
        <v>17.929099999999998</v>
      </c>
      <c r="U72">
        <f t="shared" si="3"/>
        <v>3.8054514749999995</v>
      </c>
      <c r="X72" s="9"/>
      <c r="Y72" s="22">
        <v>1.5678399999999999</v>
      </c>
      <c r="Z72" s="22">
        <v>169.10300000000001</v>
      </c>
      <c r="AA72" s="22">
        <v>-1.66199E-2</v>
      </c>
      <c r="AB72" s="22">
        <v>62</v>
      </c>
      <c r="AC72" s="22">
        <v>1.56738</v>
      </c>
      <c r="AD72">
        <f t="shared" si="4"/>
        <v>16.619900000000001</v>
      </c>
      <c r="AE72">
        <f t="shared" si="5"/>
        <v>26.057344016000002</v>
      </c>
      <c r="AF72" s="9"/>
      <c r="AG72" s="22">
        <v>0.21224999999999999</v>
      </c>
      <c r="AH72" s="22">
        <v>283.416</v>
      </c>
      <c r="AI72" s="22">
        <v>-1.7987099999999999E-2</v>
      </c>
      <c r="AJ72" s="22">
        <v>62</v>
      </c>
      <c r="AK72" s="22">
        <v>0.211761</v>
      </c>
      <c r="AL72">
        <f t="shared" si="6"/>
        <v>17.987099999999998</v>
      </c>
      <c r="AM72">
        <f t="shared" si="7"/>
        <v>3.8177619749999994</v>
      </c>
      <c r="AP72" s="9"/>
      <c r="AQ72" s="22">
        <v>1.5678399999999999</v>
      </c>
      <c r="AR72" s="22">
        <v>356.43</v>
      </c>
      <c r="AS72" s="22">
        <v>-1.6598499999999999E-2</v>
      </c>
      <c r="AT72" s="22">
        <v>62</v>
      </c>
      <c r="AU72" s="22">
        <v>1.56738</v>
      </c>
      <c r="AV72">
        <f t="shared" si="8"/>
        <v>16.598499999999998</v>
      </c>
      <c r="AW72">
        <f t="shared" si="9"/>
        <v>26.023792239999995</v>
      </c>
      <c r="AX72" s="9"/>
      <c r="AY72" s="22">
        <v>0.21224999999999999</v>
      </c>
      <c r="AZ72" s="22">
        <v>408.858</v>
      </c>
      <c r="BA72" s="22">
        <v>-1.8041999999999999E-2</v>
      </c>
      <c r="BB72" s="22">
        <v>62</v>
      </c>
      <c r="BC72" s="22">
        <v>0.21154800000000001</v>
      </c>
      <c r="BD72">
        <f t="shared" si="10"/>
        <v>18.041999999999998</v>
      </c>
      <c r="BE72">
        <f t="shared" si="11"/>
        <v>3.8294144999999995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21.735800000000001</v>
      </c>
      <c r="I73" s="22">
        <v>-1.65802E-2</v>
      </c>
      <c r="J73" s="22">
        <v>63</v>
      </c>
      <c r="K73" s="22">
        <v>1.56189</v>
      </c>
      <c r="L73">
        <f t="shared" si="0"/>
        <v>16.580200000000001</v>
      </c>
      <c r="M73">
        <f t="shared" si="1"/>
        <v>25.911702362000003</v>
      </c>
      <c r="N73" s="9"/>
      <c r="O73" s="22">
        <v>0.21728500000000001</v>
      </c>
      <c r="P73" s="22">
        <v>79.045599999999993</v>
      </c>
      <c r="Q73" s="22">
        <v>-1.7926000000000001E-2</v>
      </c>
      <c r="R73" s="22">
        <v>63</v>
      </c>
      <c r="S73" s="22">
        <v>0.21679699999999999</v>
      </c>
      <c r="T73">
        <f t="shared" si="2"/>
        <v>17.926000000000002</v>
      </c>
      <c r="U73">
        <f t="shared" si="3"/>
        <v>3.8950509100000006</v>
      </c>
      <c r="X73" s="9"/>
      <c r="Y73" s="22">
        <v>1.56281</v>
      </c>
      <c r="Z73" s="22">
        <v>169.20400000000001</v>
      </c>
      <c r="AA73" s="22">
        <v>-1.6638199999999999E-2</v>
      </c>
      <c r="AB73" s="22">
        <v>63</v>
      </c>
      <c r="AC73" s="22">
        <v>1.56219</v>
      </c>
      <c r="AD73">
        <f t="shared" si="4"/>
        <v>16.638199999999998</v>
      </c>
      <c r="AE73">
        <f t="shared" si="5"/>
        <v>26.002345341999998</v>
      </c>
      <c r="AF73" s="9"/>
      <c r="AG73" s="22">
        <v>0.21728500000000001</v>
      </c>
      <c r="AH73" s="22">
        <v>283.517</v>
      </c>
      <c r="AI73" s="22">
        <v>-1.7987099999999999E-2</v>
      </c>
      <c r="AJ73" s="22">
        <v>63</v>
      </c>
      <c r="AK73" s="22">
        <v>0.21676599999999999</v>
      </c>
      <c r="AL73">
        <f t="shared" si="6"/>
        <v>17.987099999999998</v>
      </c>
      <c r="AM73">
        <f t="shared" si="7"/>
        <v>3.9083270234999996</v>
      </c>
      <c r="AP73" s="9"/>
      <c r="AQ73" s="22">
        <v>1.56281</v>
      </c>
      <c r="AR73" s="22">
        <v>356.53</v>
      </c>
      <c r="AS73" s="22">
        <v>-1.6616800000000001E-2</v>
      </c>
      <c r="AT73" s="22">
        <v>63</v>
      </c>
      <c r="AU73" s="22">
        <v>1.56189</v>
      </c>
      <c r="AV73">
        <f t="shared" si="8"/>
        <v>16.616800000000001</v>
      </c>
      <c r="AW73">
        <f t="shared" si="9"/>
        <v>25.968901208000002</v>
      </c>
      <c r="AX73" s="9"/>
      <c r="AY73" s="22">
        <v>0.21728500000000001</v>
      </c>
      <c r="AZ73" s="22">
        <v>408.959</v>
      </c>
      <c r="BA73" s="22">
        <v>-1.8041999999999999E-2</v>
      </c>
      <c r="BB73" s="22">
        <v>63</v>
      </c>
      <c r="BC73" s="22">
        <v>0.216553</v>
      </c>
      <c r="BD73">
        <f t="shared" si="10"/>
        <v>18.041999999999998</v>
      </c>
      <c r="BE73">
        <f t="shared" si="11"/>
        <v>3.9202559699999995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21.836500000000001</v>
      </c>
      <c r="I74" s="22">
        <v>-1.6583299999999999E-2</v>
      </c>
      <c r="J74" s="22">
        <v>64</v>
      </c>
      <c r="K74" s="22">
        <v>1.5567</v>
      </c>
      <c r="L74">
        <f t="shared" si="0"/>
        <v>16.583299999999998</v>
      </c>
      <c r="M74">
        <f t="shared" si="1"/>
        <v>25.832967240999999</v>
      </c>
      <c r="N74" s="9"/>
      <c r="O74" s="22">
        <v>0.22232099999999999</v>
      </c>
      <c r="P74" s="22">
        <v>79.146299999999997</v>
      </c>
      <c r="Q74" s="22">
        <v>-1.7926000000000001E-2</v>
      </c>
      <c r="R74" s="22">
        <v>64</v>
      </c>
      <c r="S74" s="22">
        <v>0.221832</v>
      </c>
      <c r="T74">
        <f t="shared" si="2"/>
        <v>17.926000000000002</v>
      </c>
      <c r="U74">
        <f t="shared" si="3"/>
        <v>3.9853262460000001</v>
      </c>
      <c r="X74" s="9"/>
      <c r="Y74" s="22">
        <v>1.5577700000000001</v>
      </c>
      <c r="Z74" s="22">
        <v>169.30500000000001</v>
      </c>
      <c r="AA74" s="22">
        <v>-1.6665599999999999E-2</v>
      </c>
      <c r="AB74" s="22">
        <v>64</v>
      </c>
      <c r="AC74" s="22">
        <v>1.5567</v>
      </c>
      <c r="AD74">
        <f t="shared" si="4"/>
        <v>16.665599999999998</v>
      </c>
      <c r="AE74">
        <f t="shared" si="5"/>
        <v>25.961171711999999</v>
      </c>
      <c r="AF74" s="9"/>
      <c r="AG74" s="22">
        <v>0.22232099999999999</v>
      </c>
      <c r="AH74" s="22">
        <v>283.61799999999999</v>
      </c>
      <c r="AI74" s="22">
        <v>-1.7977900000000002E-2</v>
      </c>
      <c r="AJ74" s="22">
        <v>64</v>
      </c>
      <c r="AK74" s="22">
        <v>0.22161900000000001</v>
      </c>
      <c r="AL74">
        <f t="shared" si="6"/>
        <v>17.977900000000002</v>
      </c>
      <c r="AM74">
        <f t="shared" si="7"/>
        <v>3.9968647059000002</v>
      </c>
      <c r="AP74" s="9"/>
      <c r="AQ74" s="22">
        <v>1.5577700000000001</v>
      </c>
      <c r="AR74" s="22">
        <v>356.63099999999997</v>
      </c>
      <c r="AS74" s="22">
        <v>-1.66473E-2</v>
      </c>
      <c r="AT74" s="22">
        <v>64</v>
      </c>
      <c r="AU74" s="22">
        <v>1.5567</v>
      </c>
      <c r="AV74">
        <f t="shared" si="8"/>
        <v>16.647300000000001</v>
      </c>
      <c r="AW74">
        <f t="shared" si="9"/>
        <v>25.932664521000003</v>
      </c>
      <c r="AX74" s="9"/>
      <c r="AY74" s="22">
        <v>0.22232099999999999</v>
      </c>
      <c r="AZ74" s="22">
        <v>409.06</v>
      </c>
      <c r="BA74" s="22">
        <v>-1.8035900000000001E-2</v>
      </c>
      <c r="BB74" s="22">
        <v>64</v>
      </c>
      <c r="BC74" s="22">
        <v>0.22167999999999999</v>
      </c>
      <c r="BD74">
        <f t="shared" si="10"/>
        <v>18.035900000000002</v>
      </c>
      <c r="BE74">
        <f t="shared" si="11"/>
        <v>4.0097593239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21.937200000000001</v>
      </c>
      <c r="I75" s="22">
        <v>-1.6598499999999999E-2</v>
      </c>
      <c r="J75" s="22">
        <v>65</v>
      </c>
      <c r="K75" s="22">
        <v>1.55243</v>
      </c>
      <c r="L75">
        <f t="shared" si="0"/>
        <v>16.598499999999998</v>
      </c>
      <c r="M75">
        <f t="shared" si="1"/>
        <v>25.772988904999995</v>
      </c>
      <c r="N75" s="9"/>
      <c r="O75" s="22">
        <v>0.227356</v>
      </c>
      <c r="P75" s="22">
        <v>79.247100000000003</v>
      </c>
      <c r="Q75" s="22">
        <v>-1.7916899999999999E-2</v>
      </c>
      <c r="R75" s="22">
        <v>65</v>
      </c>
      <c r="S75" s="22">
        <v>0.22665399999999999</v>
      </c>
      <c r="T75">
        <f t="shared" si="2"/>
        <v>17.916899999999998</v>
      </c>
      <c r="U75">
        <f t="shared" si="3"/>
        <v>4.0735147164000001</v>
      </c>
      <c r="X75" s="9"/>
      <c r="Y75" s="22">
        <v>1.5527299999999999</v>
      </c>
      <c r="Z75" s="22">
        <v>169.40600000000001</v>
      </c>
      <c r="AA75" s="22">
        <v>-1.6668700000000002E-2</v>
      </c>
      <c r="AB75" s="22">
        <v>65</v>
      </c>
      <c r="AC75" s="22">
        <v>1.5521199999999999</v>
      </c>
      <c r="AD75">
        <f t="shared" si="4"/>
        <v>16.668700000000001</v>
      </c>
      <c r="AE75">
        <f t="shared" si="5"/>
        <v>25.881990551000001</v>
      </c>
      <c r="AF75" s="9"/>
      <c r="AG75" s="22">
        <v>0.227356</v>
      </c>
      <c r="AH75" s="22">
        <v>283.71800000000002</v>
      </c>
      <c r="AI75" s="22">
        <v>-1.7977900000000002E-2</v>
      </c>
      <c r="AJ75" s="22">
        <v>65</v>
      </c>
      <c r="AK75" s="22">
        <v>0.226685</v>
      </c>
      <c r="AL75">
        <f t="shared" si="6"/>
        <v>17.977900000000002</v>
      </c>
      <c r="AM75">
        <f t="shared" si="7"/>
        <v>4.0873834324000002</v>
      </c>
      <c r="AP75" s="9"/>
      <c r="AQ75" s="22">
        <v>1.5527299999999999</v>
      </c>
      <c r="AR75" s="22">
        <v>356.73200000000003</v>
      </c>
      <c r="AS75" s="22">
        <v>-1.6671800000000001E-2</v>
      </c>
      <c r="AT75" s="22">
        <v>65</v>
      </c>
      <c r="AU75" s="22">
        <v>1.5521199999999999</v>
      </c>
      <c r="AV75">
        <f t="shared" si="8"/>
        <v>16.671800000000001</v>
      </c>
      <c r="AW75">
        <f t="shared" si="9"/>
        <v>25.886804013999999</v>
      </c>
      <c r="AX75" s="9"/>
      <c r="AY75" s="22">
        <v>0.227356</v>
      </c>
      <c r="AZ75" s="22">
        <v>409.16</v>
      </c>
      <c r="BA75" s="22">
        <v>-1.8029799999999999E-2</v>
      </c>
      <c r="BB75" s="22">
        <v>65</v>
      </c>
      <c r="BC75" s="22">
        <v>0.226715</v>
      </c>
      <c r="BD75">
        <f t="shared" si="10"/>
        <v>18.029799999999998</v>
      </c>
      <c r="BE75">
        <f t="shared" si="11"/>
        <v>4.0991832087999995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22.0379</v>
      </c>
      <c r="I76" s="22">
        <v>-1.6613800000000001E-2</v>
      </c>
      <c r="J76" s="22">
        <v>66</v>
      </c>
      <c r="K76" s="22">
        <v>1.5472399999999999</v>
      </c>
      <c r="L76">
        <f t="shared" ref="L76:L139" si="12">-I76/$F$2*1000</f>
        <v>16.613800000000001</v>
      </c>
      <c r="M76">
        <f t="shared" ref="M76:M139" si="13">L76*G76</f>
        <v>25.713178260000003</v>
      </c>
      <c r="N76" s="9"/>
      <c r="O76" s="22">
        <v>0.23239099999999999</v>
      </c>
      <c r="P76" s="22">
        <v>79.347800000000007</v>
      </c>
      <c r="Q76" s="22">
        <v>-1.7916899999999999E-2</v>
      </c>
      <c r="R76" s="22">
        <v>66</v>
      </c>
      <c r="S76" s="22">
        <v>0.23172000000000001</v>
      </c>
      <c r="T76">
        <f t="shared" ref="T76:T139" si="14">-Q76/$F$2*1000</f>
        <v>17.916899999999998</v>
      </c>
      <c r="U76">
        <f t="shared" ref="U76:U139" si="15">T76*O76</f>
        <v>4.1637263078999993</v>
      </c>
      <c r="X76" s="9"/>
      <c r="Y76" s="22">
        <v>1.5477000000000001</v>
      </c>
      <c r="Z76" s="22">
        <v>169.506</v>
      </c>
      <c r="AA76" s="22">
        <v>-1.6687E-2</v>
      </c>
      <c r="AB76" s="22">
        <v>66</v>
      </c>
      <c r="AC76" s="22">
        <v>1.54694</v>
      </c>
      <c r="AD76">
        <f t="shared" ref="AD76:AD139" si="16">-AA76/$F$2*1000</f>
        <v>16.687000000000001</v>
      </c>
      <c r="AE76">
        <f t="shared" ref="AE76:AE139" si="17">AD76*Y76</f>
        <v>25.826469900000003</v>
      </c>
      <c r="AF76" s="9"/>
      <c r="AG76" s="22">
        <v>0.23239099999999999</v>
      </c>
      <c r="AH76" s="22">
        <v>283.81900000000002</v>
      </c>
      <c r="AI76" s="22">
        <v>-1.7974899999999999E-2</v>
      </c>
      <c r="AJ76" s="22">
        <v>66</v>
      </c>
      <c r="AK76" s="22">
        <v>0.23172000000000001</v>
      </c>
      <c r="AL76">
        <f t="shared" ref="AL76:AL139" si="18">-AI76/$F$2*1000</f>
        <v>17.974899999999998</v>
      </c>
      <c r="AM76">
        <f t="shared" ref="AM76:AM139" si="19">AL76*AG76</f>
        <v>4.1772049858999996</v>
      </c>
      <c r="AP76" s="9"/>
      <c r="AQ76" s="22">
        <v>1.5477000000000001</v>
      </c>
      <c r="AR76" s="22">
        <v>356.83199999999999</v>
      </c>
      <c r="AS76" s="22">
        <v>-1.6699200000000001E-2</v>
      </c>
      <c r="AT76" s="22">
        <v>66</v>
      </c>
      <c r="AU76" s="22">
        <v>1.5466299999999999</v>
      </c>
      <c r="AV76">
        <f t="shared" ref="AV76:AV139" si="20">-AS76/$F$2*1000</f>
        <v>16.699200000000001</v>
      </c>
      <c r="AW76">
        <f t="shared" ref="AW76:AW139" si="21">AV76*AQ76</f>
        <v>25.845351840000003</v>
      </c>
      <c r="AX76" s="9"/>
      <c r="AY76" s="22">
        <v>0.23239099999999999</v>
      </c>
      <c r="AZ76" s="22">
        <v>409.26100000000002</v>
      </c>
      <c r="BA76" s="22">
        <v>-1.8029799999999999E-2</v>
      </c>
      <c r="BB76" s="22">
        <v>66</v>
      </c>
      <c r="BC76" s="22">
        <v>0.23178099999999999</v>
      </c>
      <c r="BD76">
        <f t="shared" ref="BD76:BD139" si="22">-BA76/$F$2*1000</f>
        <v>18.029799999999998</v>
      </c>
      <c r="BE76">
        <f t="shared" ref="BE76:BE139" si="23">BD76*AY76</f>
        <v>4.1899632517999992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22.1386</v>
      </c>
      <c r="I77" s="22">
        <v>-1.6622899999999999E-2</v>
      </c>
      <c r="J77" s="22">
        <v>67</v>
      </c>
      <c r="K77" s="22">
        <v>1.54175</v>
      </c>
      <c r="L77">
        <f t="shared" si="12"/>
        <v>16.622899999999998</v>
      </c>
      <c r="M77">
        <f t="shared" si="13"/>
        <v>25.643482913999996</v>
      </c>
      <c r="N77" s="9"/>
      <c r="O77" s="22">
        <v>0.237427</v>
      </c>
      <c r="P77" s="22">
        <v>79.448499999999996</v>
      </c>
      <c r="Q77" s="22">
        <v>-1.7913800000000001E-2</v>
      </c>
      <c r="R77" s="22">
        <v>67</v>
      </c>
      <c r="S77" s="22">
        <v>0.23666400000000001</v>
      </c>
      <c r="T77">
        <f t="shared" si="14"/>
        <v>17.913800000000002</v>
      </c>
      <c r="U77">
        <f t="shared" si="15"/>
        <v>4.2532197926000004</v>
      </c>
      <c r="X77" s="9"/>
      <c r="Y77" s="22">
        <v>1.5426599999999999</v>
      </c>
      <c r="Z77" s="22">
        <v>169.607</v>
      </c>
      <c r="AA77" s="22">
        <v>-1.67145E-2</v>
      </c>
      <c r="AB77" s="22">
        <v>67</v>
      </c>
      <c r="AC77" s="22">
        <v>1.5420499999999999</v>
      </c>
      <c r="AD77">
        <f t="shared" si="16"/>
        <v>16.714500000000001</v>
      </c>
      <c r="AE77">
        <f t="shared" si="17"/>
        <v>25.784790570000002</v>
      </c>
      <c r="AF77" s="9"/>
      <c r="AG77" s="22">
        <v>0.237427</v>
      </c>
      <c r="AH77" s="22">
        <v>283.92</v>
      </c>
      <c r="AI77" s="22">
        <v>-1.7974899999999999E-2</v>
      </c>
      <c r="AJ77" s="22">
        <v>67</v>
      </c>
      <c r="AK77" s="22">
        <v>0.236816</v>
      </c>
      <c r="AL77">
        <f t="shared" si="18"/>
        <v>17.974899999999998</v>
      </c>
      <c r="AM77">
        <f t="shared" si="19"/>
        <v>4.2677265822999999</v>
      </c>
      <c r="AP77" s="9"/>
      <c r="AQ77" s="22">
        <v>1.5426599999999999</v>
      </c>
      <c r="AR77" s="22">
        <v>356.93299999999999</v>
      </c>
      <c r="AS77" s="22">
        <v>-1.6711400000000001E-2</v>
      </c>
      <c r="AT77" s="22">
        <v>67</v>
      </c>
      <c r="AU77" s="22">
        <v>1.5414399999999999</v>
      </c>
      <c r="AV77">
        <f t="shared" si="20"/>
        <v>16.711400000000001</v>
      </c>
      <c r="AW77">
        <f t="shared" si="21"/>
        <v>25.780008324000001</v>
      </c>
      <c r="AX77" s="9"/>
      <c r="AY77" s="22">
        <v>0.237427</v>
      </c>
      <c r="AZ77" s="22">
        <v>409.36200000000002</v>
      </c>
      <c r="BA77" s="22">
        <v>-1.80237E-2</v>
      </c>
      <c r="BB77" s="22">
        <v>67</v>
      </c>
      <c r="BC77" s="22">
        <v>0.23672499999999999</v>
      </c>
      <c r="BD77">
        <f t="shared" si="22"/>
        <v>18.023700000000002</v>
      </c>
      <c r="BE77">
        <f t="shared" si="23"/>
        <v>4.2793130199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22.2393</v>
      </c>
      <c r="I78" s="22">
        <v>-1.66321E-2</v>
      </c>
      <c r="J78" s="22">
        <v>68</v>
      </c>
      <c r="K78" s="22">
        <v>1.53687</v>
      </c>
      <c r="L78">
        <f t="shared" si="12"/>
        <v>16.632100000000001</v>
      </c>
      <c r="M78">
        <f t="shared" si="13"/>
        <v>25.574015923000001</v>
      </c>
      <c r="N78" s="9"/>
      <c r="O78" s="22">
        <v>0.24246200000000001</v>
      </c>
      <c r="P78" s="22">
        <v>79.549199999999999</v>
      </c>
      <c r="Q78" s="22">
        <v>-1.7910800000000001E-2</v>
      </c>
      <c r="R78" s="22">
        <v>68</v>
      </c>
      <c r="S78" s="22">
        <v>0.24154700000000001</v>
      </c>
      <c r="T78">
        <f t="shared" si="14"/>
        <v>17.910800000000002</v>
      </c>
      <c r="U78">
        <f t="shared" si="15"/>
        <v>4.342688389600001</v>
      </c>
      <c r="X78" s="9"/>
      <c r="Y78" s="22">
        <v>1.5376300000000001</v>
      </c>
      <c r="Z78" s="22">
        <v>169.708</v>
      </c>
      <c r="AA78" s="22">
        <v>-1.6720599999999999E-2</v>
      </c>
      <c r="AB78" s="22">
        <v>68</v>
      </c>
      <c r="AC78" s="22">
        <v>1.53687</v>
      </c>
      <c r="AD78">
        <f t="shared" si="16"/>
        <v>16.720599999999997</v>
      </c>
      <c r="AE78">
        <f t="shared" si="17"/>
        <v>25.710096177999997</v>
      </c>
      <c r="AF78" s="9"/>
      <c r="AG78" s="22">
        <v>0.24246200000000001</v>
      </c>
      <c r="AH78" s="22">
        <v>284.02100000000002</v>
      </c>
      <c r="AI78" s="22">
        <v>-1.79688E-2</v>
      </c>
      <c r="AJ78" s="22">
        <v>68</v>
      </c>
      <c r="AK78" s="22">
        <v>0.24188200000000001</v>
      </c>
      <c r="AL78">
        <f t="shared" si="18"/>
        <v>17.968800000000002</v>
      </c>
      <c r="AM78">
        <f t="shared" si="19"/>
        <v>4.3567511856000003</v>
      </c>
      <c r="AP78" s="9"/>
      <c r="AQ78" s="22">
        <v>1.5376300000000001</v>
      </c>
      <c r="AR78" s="22">
        <v>357.03399999999999</v>
      </c>
      <c r="AS78" s="22">
        <v>-1.6738900000000001E-2</v>
      </c>
      <c r="AT78" s="22">
        <v>68</v>
      </c>
      <c r="AU78" s="22">
        <v>1.5365599999999999</v>
      </c>
      <c r="AV78">
        <f t="shared" si="20"/>
        <v>16.738900000000001</v>
      </c>
      <c r="AW78">
        <f t="shared" si="21"/>
        <v>25.738234807000001</v>
      </c>
      <c r="AX78" s="9"/>
      <c r="AY78" s="22">
        <v>0.24246200000000001</v>
      </c>
      <c r="AZ78" s="22">
        <v>409.46300000000002</v>
      </c>
      <c r="BA78" s="22">
        <v>-1.8017600000000002E-2</v>
      </c>
      <c r="BB78" s="22">
        <v>68</v>
      </c>
      <c r="BC78" s="22">
        <v>0.24185200000000001</v>
      </c>
      <c r="BD78">
        <f t="shared" si="22"/>
        <v>18.017600000000002</v>
      </c>
      <c r="BE78">
        <f t="shared" si="23"/>
        <v>4.3685833312000009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22.34</v>
      </c>
      <c r="I79" s="22">
        <v>-1.6644300000000001E-2</v>
      </c>
      <c r="J79" s="22">
        <v>69</v>
      </c>
      <c r="K79" s="22">
        <v>1.5316799999999999</v>
      </c>
      <c r="L79">
        <f t="shared" si="12"/>
        <v>16.644300000000001</v>
      </c>
      <c r="M79">
        <f t="shared" si="13"/>
        <v>25.508887736999998</v>
      </c>
      <c r="N79" s="9"/>
      <c r="O79" s="22">
        <v>0.247498</v>
      </c>
      <c r="P79" s="22">
        <v>79.649900000000002</v>
      </c>
      <c r="Q79" s="22">
        <v>-1.7907699999999999E-2</v>
      </c>
      <c r="R79" s="22">
        <v>69</v>
      </c>
      <c r="S79" s="22">
        <v>0.24673500000000001</v>
      </c>
      <c r="T79">
        <f t="shared" si="14"/>
        <v>17.907699999999998</v>
      </c>
      <c r="U79">
        <f t="shared" si="15"/>
        <v>4.4321199345999993</v>
      </c>
      <c r="X79" s="9"/>
      <c r="Y79" s="22">
        <v>1.5325899999999999</v>
      </c>
      <c r="Z79" s="22">
        <v>169.80799999999999</v>
      </c>
      <c r="AA79" s="22">
        <v>-1.6738900000000001E-2</v>
      </c>
      <c r="AB79" s="22">
        <v>69</v>
      </c>
      <c r="AC79" s="22">
        <v>1.5316799999999999</v>
      </c>
      <c r="AD79">
        <f t="shared" si="16"/>
        <v>16.738900000000001</v>
      </c>
      <c r="AE79">
        <f t="shared" si="17"/>
        <v>25.653870750999999</v>
      </c>
      <c r="AF79" s="9"/>
      <c r="AG79" s="22">
        <v>0.247498</v>
      </c>
      <c r="AH79" s="22">
        <v>284.12099999999998</v>
      </c>
      <c r="AI79" s="22">
        <v>-1.7965700000000001E-2</v>
      </c>
      <c r="AJ79" s="22">
        <v>69</v>
      </c>
      <c r="AK79" s="22">
        <v>0.24685699999999999</v>
      </c>
      <c r="AL79">
        <f t="shared" si="18"/>
        <v>17.965700000000002</v>
      </c>
      <c r="AM79">
        <f t="shared" si="19"/>
        <v>4.4464748186000005</v>
      </c>
      <c r="AP79" s="9"/>
      <c r="AQ79" s="22">
        <v>1.5325899999999999</v>
      </c>
      <c r="AR79" s="22">
        <v>357.13400000000001</v>
      </c>
      <c r="AS79" s="22">
        <v>-1.6747999999999999E-2</v>
      </c>
      <c r="AT79" s="22">
        <v>69</v>
      </c>
      <c r="AU79" s="22">
        <v>1.5313699999999999</v>
      </c>
      <c r="AV79">
        <f t="shared" si="20"/>
        <v>16.747999999999998</v>
      </c>
      <c r="AW79">
        <f t="shared" si="21"/>
        <v>25.667817319999994</v>
      </c>
      <c r="AX79" s="9"/>
      <c r="AY79" s="22">
        <v>0.247498</v>
      </c>
      <c r="AZ79" s="22">
        <v>409.56299999999999</v>
      </c>
      <c r="BA79" s="22">
        <v>-1.8014499999999999E-2</v>
      </c>
      <c r="BB79" s="22">
        <v>69</v>
      </c>
      <c r="BC79" s="22">
        <v>0.24685699999999999</v>
      </c>
      <c r="BD79">
        <f t="shared" si="22"/>
        <v>18.014499999999998</v>
      </c>
      <c r="BE79">
        <f t="shared" si="23"/>
        <v>4.4585527209999993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22.4407</v>
      </c>
      <c r="I80" s="22">
        <v>-1.66473E-2</v>
      </c>
      <c r="J80" s="22">
        <v>70</v>
      </c>
      <c r="K80" s="22">
        <v>1.5261800000000001</v>
      </c>
      <c r="L80">
        <f t="shared" si="12"/>
        <v>16.647300000000001</v>
      </c>
      <c r="M80">
        <f t="shared" si="13"/>
        <v>25.429749588000004</v>
      </c>
      <c r="N80" s="9"/>
      <c r="O80" s="22">
        <v>0.25253300000000001</v>
      </c>
      <c r="P80" s="22">
        <v>79.750600000000006</v>
      </c>
      <c r="Q80" s="22">
        <v>-1.79016E-2</v>
      </c>
      <c r="R80" s="22">
        <v>70</v>
      </c>
      <c r="S80" s="22">
        <v>0.251801</v>
      </c>
      <c r="T80">
        <f t="shared" si="14"/>
        <v>17.901599999999998</v>
      </c>
      <c r="U80">
        <f t="shared" si="15"/>
        <v>4.5207447527999998</v>
      </c>
      <c r="X80" s="9"/>
      <c r="Y80" s="22">
        <v>1.52756</v>
      </c>
      <c r="Z80" s="22">
        <v>169.90899999999999</v>
      </c>
      <c r="AA80" s="22">
        <v>-1.67542E-2</v>
      </c>
      <c r="AB80" s="22">
        <v>70</v>
      </c>
      <c r="AC80" s="22">
        <v>1.5264899999999999</v>
      </c>
      <c r="AD80">
        <f t="shared" si="16"/>
        <v>16.754200000000001</v>
      </c>
      <c r="AE80">
        <f t="shared" si="17"/>
        <v>25.593045752000002</v>
      </c>
      <c r="AF80" s="9"/>
      <c r="AG80" s="22">
        <v>0.25253300000000001</v>
      </c>
      <c r="AH80" s="22">
        <v>284.22199999999998</v>
      </c>
      <c r="AI80" s="22">
        <v>-1.7962599999999999E-2</v>
      </c>
      <c r="AJ80" s="22">
        <v>70</v>
      </c>
      <c r="AK80" s="22">
        <v>0.25183100000000003</v>
      </c>
      <c r="AL80">
        <f t="shared" si="18"/>
        <v>17.962599999999998</v>
      </c>
      <c r="AM80">
        <f t="shared" si="19"/>
        <v>4.5361492657999998</v>
      </c>
      <c r="AP80" s="9"/>
      <c r="AQ80" s="22">
        <v>1.52756</v>
      </c>
      <c r="AR80" s="22">
        <v>357.23500000000001</v>
      </c>
      <c r="AS80" s="22">
        <v>-1.67694E-2</v>
      </c>
      <c r="AT80" s="22">
        <v>70</v>
      </c>
      <c r="AU80" s="22">
        <v>1.5267900000000001</v>
      </c>
      <c r="AV80">
        <f t="shared" si="20"/>
        <v>16.769400000000001</v>
      </c>
      <c r="AW80">
        <f t="shared" si="21"/>
        <v>25.616264664000003</v>
      </c>
      <c r="AX80" s="9"/>
      <c r="AY80" s="22">
        <v>0.25253300000000001</v>
      </c>
      <c r="AZ80" s="22">
        <v>409.66399999999999</v>
      </c>
      <c r="BA80" s="22">
        <v>-1.8014499999999999E-2</v>
      </c>
      <c r="BB80" s="22">
        <v>70</v>
      </c>
      <c r="BC80" s="22">
        <v>0.25183100000000003</v>
      </c>
      <c r="BD80">
        <f t="shared" si="22"/>
        <v>18.014499999999998</v>
      </c>
      <c r="BE80">
        <f t="shared" si="23"/>
        <v>4.5492557284999995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22.541399999999999</v>
      </c>
      <c r="I81" s="22">
        <v>-1.6659500000000001E-2</v>
      </c>
      <c r="J81" s="22">
        <v>71</v>
      </c>
      <c r="K81" s="22">
        <v>1.5216099999999999</v>
      </c>
      <c r="L81">
        <f t="shared" si="12"/>
        <v>16.659500000000001</v>
      </c>
      <c r="M81">
        <f t="shared" si="13"/>
        <v>25.364421940000003</v>
      </c>
      <c r="N81" s="9"/>
      <c r="O81" s="22">
        <v>0.25756800000000002</v>
      </c>
      <c r="P81" s="22">
        <v>79.851299999999995</v>
      </c>
      <c r="Q81" s="22">
        <v>-1.7898600000000001E-2</v>
      </c>
      <c r="R81" s="22">
        <v>71</v>
      </c>
      <c r="S81" s="22">
        <v>0.25662200000000002</v>
      </c>
      <c r="T81">
        <f t="shared" si="14"/>
        <v>17.898600000000002</v>
      </c>
      <c r="U81">
        <f t="shared" si="15"/>
        <v>4.6101066048000012</v>
      </c>
      <c r="X81" s="9"/>
      <c r="Y81" s="22">
        <v>1.5225200000000001</v>
      </c>
      <c r="Z81" s="22">
        <v>170.01</v>
      </c>
      <c r="AA81" s="22">
        <v>-1.6772499999999999E-2</v>
      </c>
      <c r="AB81" s="22">
        <v>71</v>
      </c>
      <c r="AC81" s="22">
        <v>1.5219100000000001</v>
      </c>
      <c r="AD81">
        <f t="shared" si="16"/>
        <v>16.772500000000001</v>
      </c>
      <c r="AE81">
        <f t="shared" si="17"/>
        <v>25.536466700000002</v>
      </c>
      <c r="AF81" s="9"/>
      <c r="AG81" s="22">
        <v>0.25756800000000002</v>
      </c>
      <c r="AH81" s="22">
        <v>284.32299999999998</v>
      </c>
      <c r="AI81" s="22">
        <v>-1.7962599999999999E-2</v>
      </c>
      <c r="AJ81" s="22">
        <v>71</v>
      </c>
      <c r="AK81" s="22">
        <v>0.25689699999999999</v>
      </c>
      <c r="AL81">
        <f t="shared" si="18"/>
        <v>17.962599999999998</v>
      </c>
      <c r="AM81">
        <f t="shared" si="19"/>
        <v>4.6265909568000003</v>
      </c>
      <c r="AP81" s="9"/>
      <c r="AQ81" s="22">
        <v>1.5225200000000001</v>
      </c>
      <c r="AR81" s="22">
        <v>357.33600000000001</v>
      </c>
      <c r="AS81" s="22">
        <v>-1.67847E-2</v>
      </c>
      <c r="AT81" s="22">
        <v>71</v>
      </c>
      <c r="AU81" s="22">
        <v>1.5216099999999999</v>
      </c>
      <c r="AV81">
        <f t="shared" si="20"/>
        <v>16.784700000000001</v>
      </c>
      <c r="AW81">
        <f t="shared" si="21"/>
        <v>25.555041444000004</v>
      </c>
      <c r="AX81" s="9"/>
      <c r="AY81" s="22">
        <v>0.25756800000000002</v>
      </c>
      <c r="AZ81" s="22">
        <v>409.76499999999999</v>
      </c>
      <c r="BA81" s="22">
        <v>-1.8008400000000001E-2</v>
      </c>
      <c r="BB81" s="22">
        <v>71</v>
      </c>
      <c r="BC81" s="22">
        <v>0.25711099999999998</v>
      </c>
      <c r="BD81">
        <f t="shared" si="22"/>
        <v>18.008400000000002</v>
      </c>
      <c r="BE81">
        <f t="shared" si="23"/>
        <v>4.6383875712000009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22.642099999999999</v>
      </c>
      <c r="I82" s="22">
        <v>-1.6668700000000002E-2</v>
      </c>
      <c r="J82" s="22">
        <v>72</v>
      </c>
      <c r="K82" s="22">
        <v>1.5164200000000001</v>
      </c>
      <c r="L82">
        <f t="shared" si="12"/>
        <v>16.668700000000001</v>
      </c>
      <c r="M82">
        <f t="shared" si="13"/>
        <v>25.294585563000002</v>
      </c>
      <c r="N82" s="9"/>
      <c r="O82" s="22">
        <v>0.262604</v>
      </c>
      <c r="P82" s="22">
        <v>79.951999999999998</v>
      </c>
      <c r="Q82" s="22">
        <v>-1.7898600000000001E-2</v>
      </c>
      <c r="R82" s="22">
        <v>72</v>
      </c>
      <c r="S82" s="22">
        <v>0.26187100000000002</v>
      </c>
      <c r="T82">
        <f t="shared" si="14"/>
        <v>17.898600000000002</v>
      </c>
      <c r="U82">
        <f t="shared" si="15"/>
        <v>4.7002439544000003</v>
      </c>
      <c r="X82" s="9"/>
      <c r="Y82" s="22">
        <v>1.51749</v>
      </c>
      <c r="Z82" s="22">
        <v>170.11</v>
      </c>
      <c r="AA82" s="22">
        <v>-1.67847E-2</v>
      </c>
      <c r="AB82" s="22">
        <v>72</v>
      </c>
      <c r="AC82" s="22">
        <v>1.5170300000000001</v>
      </c>
      <c r="AD82">
        <f t="shared" si="16"/>
        <v>16.784700000000001</v>
      </c>
      <c r="AE82">
        <f t="shared" si="17"/>
        <v>25.470614403000003</v>
      </c>
      <c r="AF82" s="9"/>
      <c r="AG82" s="22">
        <v>0.262604</v>
      </c>
      <c r="AH82" s="22">
        <v>284.423</v>
      </c>
      <c r="AI82" s="22">
        <v>-1.79565E-2</v>
      </c>
      <c r="AJ82" s="22">
        <v>72</v>
      </c>
      <c r="AK82" s="22">
        <v>0.26168799999999998</v>
      </c>
      <c r="AL82">
        <f t="shared" si="18"/>
        <v>17.956500000000002</v>
      </c>
      <c r="AM82">
        <f t="shared" si="19"/>
        <v>4.7154487260000009</v>
      </c>
      <c r="AP82" s="9"/>
      <c r="AQ82" s="22">
        <v>1.51749</v>
      </c>
      <c r="AR82" s="22">
        <v>357.43700000000001</v>
      </c>
      <c r="AS82" s="22">
        <v>-1.6806000000000001E-2</v>
      </c>
      <c r="AT82" s="22">
        <v>72</v>
      </c>
      <c r="AU82" s="22">
        <v>1.5167200000000001</v>
      </c>
      <c r="AV82">
        <f t="shared" si="20"/>
        <v>16.806000000000001</v>
      </c>
      <c r="AW82">
        <f t="shared" si="21"/>
        <v>25.502936940000001</v>
      </c>
      <c r="AX82" s="9"/>
      <c r="AY82" s="22">
        <v>0.262604</v>
      </c>
      <c r="AZ82" s="22">
        <v>409.86500000000001</v>
      </c>
      <c r="BA82" s="22">
        <v>-1.8008400000000001E-2</v>
      </c>
      <c r="BB82" s="22">
        <v>72</v>
      </c>
      <c r="BC82" s="22">
        <v>0.26174900000000001</v>
      </c>
      <c r="BD82">
        <f t="shared" si="22"/>
        <v>18.008400000000002</v>
      </c>
      <c r="BE82">
        <f t="shared" si="23"/>
        <v>4.7290778736000005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22.742799999999999</v>
      </c>
      <c r="I83" s="22">
        <v>-1.66748E-2</v>
      </c>
      <c r="J83" s="22">
        <v>73</v>
      </c>
      <c r="K83" s="22">
        <v>1.5118400000000001</v>
      </c>
      <c r="L83">
        <f t="shared" si="12"/>
        <v>16.674800000000001</v>
      </c>
      <c r="M83">
        <f t="shared" si="13"/>
        <v>25.219801260000004</v>
      </c>
      <c r="N83" s="9"/>
      <c r="O83" s="22">
        <v>0.26763900000000002</v>
      </c>
      <c r="P83" s="22">
        <v>80.052700000000002</v>
      </c>
      <c r="Q83" s="22">
        <v>-1.7892499999999999E-2</v>
      </c>
      <c r="R83" s="22">
        <v>73</v>
      </c>
      <c r="S83" s="22">
        <v>0.26696799999999998</v>
      </c>
      <c r="T83">
        <f t="shared" si="14"/>
        <v>17.892499999999998</v>
      </c>
      <c r="U83">
        <f t="shared" si="15"/>
        <v>4.7887308074999995</v>
      </c>
      <c r="X83" s="9"/>
      <c r="Y83" s="22">
        <v>1.5124500000000001</v>
      </c>
      <c r="Z83" s="22">
        <v>170.21100000000001</v>
      </c>
      <c r="AA83" s="22">
        <v>-1.6790800000000002E-2</v>
      </c>
      <c r="AB83" s="22">
        <v>73</v>
      </c>
      <c r="AC83" s="22">
        <v>1.5118400000000001</v>
      </c>
      <c r="AD83">
        <f t="shared" si="16"/>
        <v>16.790800000000001</v>
      </c>
      <c r="AE83">
        <f t="shared" si="17"/>
        <v>25.395245460000002</v>
      </c>
      <c r="AF83" s="9"/>
      <c r="AG83" s="22">
        <v>0.26763900000000002</v>
      </c>
      <c r="AH83" s="22">
        <v>284.524</v>
      </c>
      <c r="AI83" s="22">
        <v>-1.7953500000000001E-2</v>
      </c>
      <c r="AJ83" s="22">
        <v>73</v>
      </c>
      <c r="AK83" s="22">
        <v>0.26696799999999998</v>
      </c>
      <c r="AL83">
        <f t="shared" si="18"/>
        <v>17.953500000000002</v>
      </c>
      <c r="AM83">
        <f t="shared" si="19"/>
        <v>4.8050567865000007</v>
      </c>
      <c r="AP83" s="9"/>
      <c r="AQ83" s="22">
        <v>1.5124500000000001</v>
      </c>
      <c r="AR83" s="22">
        <v>357.53699999999998</v>
      </c>
      <c r="AS83" s="22">
        <v>-1.68091E-2</v>
      </c>
      <c r="AT83" s="22">
        <v>73</v>
      </c>
      <c r="AU83" s="22">
        <v>1.5118400000000001</v>
      </c>
      <c r="AV83">
        <f t="shared" si="20"/>
        <v>16.809100000000001</v>
      </c>
      <c r="AW83">
        <f t="shared" si="21"/>
        <v>25.422923295000004</v>
      </c>
      <c r="AX83" s="9"/>
      <c r="AY83" s="22">
        <v>0.26763900000000002</v>
      </c>
      <c r="AZ83" s="22">
        <v>409.96600000000001</v>
      </c>
      <c r="BA83" s="22">
        <v>-1.8005400000000001E-2</v>
      </c>
      <c r="BB83" s="22">
        <v>73</v>
      </c>
      <c r="BC83" s="22">
        <v>0.26696799999999998</v>
      </c>
      <c r="BD83">
        <f t="shared" si="22"/>
        <v>18.005400000000002</v>
      </c>
      <c r="BE83">
        <f t="shared" si="23"/>
        <v>4.8189472506000008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22.843499999999999</v>
      </c>
      <c r="I84" s="22">
        <v>-1.6687E-2</v>
      </c>
      <c r="J84" s="22">
        <v>74</v>
      </c>
      <c r="K84" s="22">
        <v>1.50665</v>
      </c>
      <c r="L84">
        <f t="shared" si="12"/>
        <v>16.687000000000001</v>
      </c>
      <c r="M84">
        <f t="shared" si="13"/>
        <v>25.154317540000001</v>
      </c>
      <c r="N84" s="9"/>
      <c r="O84" s="22">
        <v>0.272675</v>
      </c>
      <c r="P84" s="22">
        <v>80.153400000000005</v>
      </c>
      <c r="Q84" s="22">
        <v>-1.78864E-2</v>
      </c>
      <c r="R84" s="22">
        <v>74</v>
      </c>
      <c r="S84" s="22">
        <v>0.27191199999999999</v>
      </c>
      <c r="T84">
        <f t="shared" si="14"/>
        <v>17.886400000000002</v>
      </c>
      <c r="U84">
        <f t="shared" si="15"/>
        <v>4.8771741200000003</v>
      </c>
      <c r="X84" s="9"/>
      <c r="Y84" s="22">
        <v>1.50742</v>
      </c>
      <c r="Z84" s="22">
        <v>170.31200000000001</v>
      </c>
      <c r="AA84" s="22">
        <v>-1.67999E-2</v>
      </c>
      <c r="AB84" s="22">
        <v>74</v>
      </c>
      <c r="AC84" s="22">
        <v>1.5069600000000001</v>
      </c>
      <c r="AD84">
        <f t="shared" si="16"/>
        <v>16.799900000000001</v>
      </c>
      <c r="AE84">
        <f t="shared" si="17"/>
        <v>25.324505258000002</v>
      </c>
      <c r="AF84" s="9"/>
      <c r="AG84" s="22">
        <v>0.272675</v>
      </c>
      <c r="AH84" s="22">
        <v>284.625</v>
      </c>
      <c r="AI84" s="22">
        <v>-1.7947399999999999E-2</v>
      </c>
      <c r="AJ84" s="22">
        <v>74</v>
      </c>
      <c r="AK84" s="22">
        <v>0.272034</v>
      </c>
      <c r="AL84">
        <f t="shared" si="18"/>
        <v>17.947399999999998</v>
      </c>
      <c r="AM84">
        <f t="shared" si="19"/>
        <v>4.8938072949999993</v>
      </c>
      <c r="AP84" s="9"/>
      <c r="AQ84" s="22">
        <v>1.50742</v>
      </c>
      <c r="AR84" s="22">
        <v>357.63799999999998</v>
      </c>
      <c r="AS84" s="22">
        <v>-1.68243E-2</v>
      </c>
      <c r="AT84" s="22">
        <v>74</v>
      </c>
      <c r="AU84" s="22">
        <v>1.5069600000000001</v>
      </c>
      <c r="AV84">
        <f t="shared" si="20"/>
        <v>16.824300000000001</v>
      </c>
      <c r="AW84">
        <f t="shared" si="21"/>
        <v>25.361286306</v>
      </c>
      <c r="AX84" s="9"/>
      <c r="AY84" s="22">
        <v>0.272675</v>
      </c>
      <c r="AZ84" s="22">
        <v>410.06700000000001</v>
      </c>
      <c r="BA84" s="22">
        <v>-1.79962E-2</v>
      </c>
      <c r="BB84" s="22">
        <v>74</v>
      </c>
      <c r="BC84" s="22">
        <v>0.27206399999999997</v>
      </c>
      <c r="BD84">
        <f t="shared" si="22"/>
        <v>17.996200000000002</v>
      </c>
      <c r="BE84">
        <f t="shared" si="23"/>
        <v>4.9071138350000005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22.944199999999999</v>
      </c>
      <c r="I85" s="22">
        <v>-1.6693099999999999E-2</v>
      </c>
      <c r="J85" s="22">
        <v>75</v>
      </c>
      <c r="K85" s="22">
        <v>1.50146</v>
      </c>
      <c r="L85">
        <f t="shared" si="12"/>
        <v>16.693099999999998</v>
      </c>
      <c r="M85">
        <f t="shared" si="13"/>
        <v>25.079379577999998</v>
      </c>
      <c r="N85" s="9"/>
      <c r="O85" s="22">
        <v>0.27771000000000001</v>
      </c>
      <c r="P85" s="22">
        <v>80.254099999999994</v>
      </c>
      <c r="Q85" s="22">
        <v>-1.78864E-2</v>
      </c>
      <c r="R85" s="22">
        <v>75</v>
      </c>
      <c r="S85" s="22">
        <v>0.276947</v>
      </c>
      <c r="T85">
        <f t="shared" si="14"/>
        <v>17.886400000000002</v>
      </c>
      <c r="U85">
        <f t="shared" si="15"/>
        <v>4.9672321440000005</v>
      </c>
      <c r="X85" s="9"/>
      <c r="Y85" s="22">
        <v>1.50238</v>
      </c>
      <c r="Z85" s="22">
        <v>170.41300000000001</v>
      </c>
      <c r="AA85" s="22">
        <v>-1.6815199999999999E-2</v>
      </c>
      <c r="AB85" s="22">
        <v>75</v>
      </c>
      <c r="AC85" s="22">
        <v>1.50177</v>
      </c>
      <c r="AD85">
        <f t="shared" si="16"/>
        <v>16.815199999999997</v>
      </c>
      <c r="AE85">
        <f t="shared" si="17"/>
        <v>25.262820175999998</v>
      </c>
      <c r="AF85" s="9"/>
      <c r="AG85" s="22">
        <v>0.27771000000000001</v>
      </c>
      <c r="AH85" s="22">
        <v>284.726</v>
      </c>
      <c r="AI85" s="22">
        <v>-1.79443E-2</v>
      </c>
      <c r="AJ85" s="22">
        <v>75</v>
      </c>
      <c r="AK85" s="22">
        <v>0.27703899999999998</v>
      </c>
      <c r="AL85">
        <f t="shared" si="18"/>
        <v>17.944299999999998</v>
      </c>
      <c r="AM85">
        <f t="shared" si="19"/>
        <v>4.9833115530000001</v>
      </c>
      <c r="AP85" s="9"/>
      <c r="AQ85" s="22">
        <v>1.50238</v>
      </c>
      <c r="AR85" s="22">
        <v>357.73899999999998</v>
      </c>
      <c r="AS85" s="22">
        <v>-1.6836500000000001E-2</v>
      </c>
      <c r="AT85" s="22">
        <v>75</v>
      </c>
      <c r="AU85" s="22">
        <v>1.50116</v>
      </c>
      <c r="AV85">
        <f t="shared" si="20"/>
        <v>16.836500000000001</v>
      </c>
      <c r="AW85">
        <f t="shared" si="21"/>
        <v>25.294820870000002</v>
      </c>
      <c r="AX85" s="9"/>
      <c r="AY85" s="22">
        <v>0.27771000000000001</v>
      </c>
      <c r="AZ85" s="22">
        <v>410.16800000000001</v>
      </c>
      <c r="BA85" s="22">
        <v>-1.79962E-2</v>
      </c>
      <c r="BB85" s="22">
        <v>75</v>
      </c>
      <c r="BC85" s="22">
        <v>0.276978</v>
      </c>
      <c r="BD85">
        <f t="shared" si="22"/>
        <v>17.996200000000002</v>
      </c>
      <c r="BE85">
        <f t="shared" si="23"/>
        <v>4.9977247020000011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23.045000000000002</v>
      </c>
      <c r="I86" s="22">
        <v>-1.67023E-2</v>
      </c>
      <c r="J86" s="22">
        <v>76</v>
      </c>
      <c r="K86" s="22">
        <v>1.49658</v>
      </c>
      <c r="L86">
        <f t="shared" si="12"/>
        <v>16.702300000000001</v>
      </c>
      <c r="M86">
        <f t="shared" si="13"/>
        <v>25.009021881999999</v>
      </c>
      <c r="N86" s="9"/>
      <c r="O86" s="22">
        <v>0.28274500000000002</v>
      </c>
      <c r="P86" s="22">
        <v>80.354799999999997</v>
      </c>
      <c r="Q86" s="22">
        <v>-1.78864E-2</v>
      </c>
      <c r="R86" s="22">
        <v>76</v>
      </c>
      <c r="S86" s="22">
        <v>0.28204299999999999</v>
      </c>
      <c r="T86">
        <f t="shared" si="14"/>
        <v>17.886400000000002</v>
      </c>
      <c r="U86">
        <f t="shared" si="15"/>
        <v>5.0572901680000006</v>
      </c>
      <c r="X86" s="9"/>
      <c r="Y86" s="22">
        <v>1.4973399999999999</v>
      </c>
      <c r="Z86" s="22">
        <v>170.51300000000001</v>
      </c>
      <c r="AA86" s="22">
        <v>-1.68243E-2</v>
      </c>
      <c r="AB86" s="22">
        <v>76</v>
      </c>
      <c r="AC86" s="22">
        <v>1.4962800000000001</v>
      </c>
      <c r="AD86">
        <f t="shared" si="16"/>
        <v>16.824300000000001</v>
      </c>
      <c r="AE86">
        <f t="shared" si="17"/>
        <v>25.191697361999999</v>
      </c>
      <c r="AF86" s="9"/>
      <c r="AG86" s="22">
        <v>0.28274500000000002</v>
      </c>
      <c r="AH86" s="22">
        <v>284.82600000000002</v>
      </c>
      <c r="AI86" s="22">
        <v>-1.79413E-2</v>
      </c>
      <c r="AJ86" s="22">
        <v>76</v>
      </c>
      <c r="AK86" s="22">
        <v>0.28204299999999999</v>
      </c>
      <c r="AL86">
        <f t="shared" si="18"/>
        <v>17.941300000000002</v>
      </c>
      <c r="AM86">
        <f t="shared" si="19"/>
        <v>5.0728128685000007</v>
      </c>
      <c r="AP86" s="9"/>
      <c r="AQ86" s="22">
        <v>1.4973399999999999</v>
      </c>
      <c r="AR86" s="22">
        <v>357.839</v>
      </c>
      <c r="AS86" s="22">
        <v>-1.6848800000000001E-2</v>
      </c>
      <c r="AT86" s="22">
        <v>76</v>
      </c>
      <c r="AU86" s="22">
        <v>1.4962800000000001</v>
      </c>
      <c r="AV86">
        <f t="shared" si="20"/>
        <v>16.848800000000001</v>
      </c>
      <c r="AW86">
        <f t="shared" si="21"/>
        <v>25.228382191999998</v>
      </c>
      <c r="AX86" s="9"/>
      <c r="AY86" s="22">
        <v>0.28274500000000002</v>
      </c>
      <c r="AZ86" s="22">
        <v>410.26799999999997</v>
      </c>
      <c r="BA86" s="22">
        <v>-1.7993200000000001E-2</v>
      </c>
      <c r="BB86" s="22">
        <v>76</v>
      </c>
      <c r="BC86" s="22">
        <v>0.28216599999999997</v>
      </c>
      <c r="BD86">
        <f t="shared" si="22"/>
        <v>17.993200000000002</v>
      </c>
      <c r="BE86">
        <f t="shared" si="23"/>
        <v>5.0874873340000013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23.145700000000001</v>
      </c>
      <c r="I87" s="22">
        <v>-1.6705299999999999E-2</v>
      </c>
      <c r="J87" s="22">
        <v>77</v>
      </c>
      <c r="K87" s="22">
        <v>1.49139</v>
      </c>
      <c r="L87">
        <f t="shared" si="12"/>
        <v>16.705299999999998</v>
      </c>
      <c r="M87">
        <f t="shared" si="13"/>
        <v>24.929486242999996</v>
      </c>
      <c r="N87" s="9"/>
      <c r="O87" s="22">
        <v>0.28778100000000001</v>
      </c>
      <c r="P87" s="22">
        <v>80.455500000000001</v>
      </c>
      <c r="Q87" s="22">
        <v>-1.7883300000000001E-2</v>
      </c>
      <c r="R87" s="22">
        <v>77</v>
      </c>
      <c r="S87" s="22">
        <v>0.28683500000000001</v>
      </c>
      <c r="T87">
        <f t="shared" si="14"/>
        <v>17.883300000000002</v>
      </c>
      <c r="U87">
        <f t="shared" si="15"/>
        <v>5.1464739573000005</v>
      </c>
      <c r="X87" s="9"/>
      <c r="Y87" s="22">
        <v>1.49231</v>
      </c>
      <c r="Z87" s="22">
        <v>170.614</v>
      </c>
      <c r="AA87" s="22">
        <v>-1.6830399999999999E-2</v>
      </c>
      <c r="AB87" s="22">
        <v>77</v>
      </c>
      <c r="AC87" s="22">
        <v>1.49109</v>
      </c>
      <c r="AD87">
        <f t="shared" si="16"/>
        <v>16.830399999999997</v>
      </c>
      <c r="AE87">
        <f t="shared" si="17"/>
        <v>25.116174223999998</v>
      </c>
      <c r="AF87" s="9"/>
      <c r="AG87" s="22">
        <v>0.28778100000000001</v>
      </c>
      <c r="AH87" s="22">
        <v>284.92700000000002</v>
      </c>
      <c r="AI87" s="22">
        <v>-1.7935199999999998E-2</v>
      </c>
      <c r="AJ87" s="22">
        <v>77</v>
      </c>
      <c r="AK87" s="22">
        <v>0.28714000000000001</v>
      </c>
      <c r="AL87">
        <f t="shared" si="18"/>
        <v>17.935199999999998</v>
      </c>
      <c r="AM87">
        <f t="shared" si="19"/>
        <v>5.1614097911999997</v>
      </c>
      <c r="AP87" s="9"/>
      <c r="AQ87" s="22">
        <v>1.49231</v>
      </c>
      <c r="AR87" s="22">
        <v>357.94</v>
      </c>
      <c r="AS87" s="22">
        <v>-1.6864000000000001E-2</v>
      </c>
      <c r="AT87" s="22">
        <v>77</v>
      </c>
      <c r="AU87" s="22">
        <v>1.49139</v>
      </c>
      <c r="AV87">
        <f t="shared" si="20"/>
        <v>16.864000000000001</v>
      </c>
      <c r="AW87">
        <f t="shared" si="21"/>
        <v>25.166315840000003</v>
      </c>
      <c r="AX87" s="9"/>
      <c r="AY87" s="22">
        <v>0.28778100000000001</v>
      </c>
      <c r="AZ87" s="22">
        <v>410.36900000000003</v>
      </c>
      <c r="BA87" s="22">
        <v>-1.7990099999999998E-2</v>
      </c>
      <c r="BB87" s="22">
        <v>77</v>
      </c>
      <c r="BC87" s="22">
        <v>0.28707899999999997</v>
      </c>
      <c r="BD87">
        <f t="shared" si="22"/>
        <v>17.990099999999998</v>
      </c>
      <c r="BE87">
        <f t="shared" si="23"/>
        <v>5.1772089680999995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23.246400000000001</v>
      </c>
      <c r="I88" s="22">
        <v>-1.6723600000000002E-2</v>
      </c>
      <c r="J88" s="22">
        <v>78</v>
      </c>
      <c r="K88" s="22">
        <v>1.48651</v>
      </c>
      <c r="L88">
        <f t="shared" si="12"/>
        <v>16.723600000000001</v>
      </c>
      <c r="M88">
        <f t="shared" si="13"/>
        <v>24.872508572000005</v>
      </c>
      <c r="N88" s="9"/>
      <c r="O88" s="22">
        <v>0.29281600000000002</v>
      </c>
      <c r="P88" s="22">
        <v>80.556299999999993</v>
      </c>
      <c r="Q88" s="22">
        <v>-1.7880199999999999E-2</v>
      </c>
      <c r="R88" s="22">
        <v>78</v>
      </c>
      <c r="S88" s="22">
        <v>0.29214499999999999</v>
      </c>
      <c r="T88">
        <f t="shared" si="14"/>
        <v>17.880199999999999</v>
      </c>
      <c r="U88">
        <f t="shared" si="15"/>
        <v>5.2356086432</v>
      </c>
      <c r="X88" s="9"/>
      <c r="Y88" s="22">
        <v>1.4872700000000001</v>
      </c>
      <c r="Z88" s="22">
        <v>170.715</v>
      </c>
      <c r="AA88" s="22">
        <v>-1.6848800000000001E-2</v>
      </c>
      <c r="AB88" s="22">
        <v>78</v>
      </c>
      <c r="AC88" s="22">
        <v>1.48621</v>
      </c>
      <c r="AD88">
        <f t="shared" si="16"/>
        <v>16.848800000000001</v>
      </c>
      <c r="AE88">
        <f t="shared" si="17"/>
        <v>25.058714776000002</v>
      </c>
      <c r="AF88" s="9"/>
      <c r="AG88" s="22">
        <v>0.29281600000000002</v>
      </c>
      <c r="AH88" s="22">
        <v>285.02800000000002</v>
      </c>
      <c r="AI88" s="22">
        <v>-1.7935199999999998E-2</v>
      </c>
      <c r="AJ88" s="22">
        <v>78</v>
      </c>
      <c r="AK88" s="22">
        <v>0.29190100000000002</v>
      </c>
      <c r="AL88">
        <f t="shared" si="18"/>
        <v>17.935199999999998</v>
      </c>
      <c r="AM88">
        <f t="shared" si="19"/>
        <v>5.2517135232000003</v>
      </c>
      <c r="AP88" s="9"/>
      <c r="AQ88" s="22">
        <v>1.4872700000000001</v>
      </c>
      <c r="AR88" s="22">
        <v>358.041</v>
      </c>
      <c r="AS88" s="22">
        <v>-1.68793E-2</v>
      </c>
      <c r="AT88" s="22">
        <v>78</v>
      </c>
      <c r="AU88" s="22">
        <v>1.48682</v>
      </c>
      <c r="AV88">
        <f t="shared" si="20"/>
        <v>16.879300000000001</v>
      </c>
      <c r="AW88">
        <f t="shared" si="21"/>
        <v>25.104076511000002</v>
      </c>
      <c r="AX88" s="9"/>
      <c r="AY88" s="22">
        <v>0.29281600000000002</v>
      </c>
      <c r="AZ88" s="22">
        <v>410.47</v>
      </c>
      <c r="BA88" s="22">
        <v>-1.7987099999999999E-2</v>
      </c>
      <c r="BB88" s="22">
        <v>78</v>
      </c>
      <c r="BC88" s="22">
        <v>0.29220600000000002</v>
      </c>
      <c r="BD88">
        <f t="shared" si="22"/>
        <v>17.987099999999998</v>
      </c>
      <c r="BE88">
        <f t="shared" si="23"/>
        <v>5.2669106736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23.347100000000001</v>
      </c>
      <c r="I89" s="22">
        <v>-1.6726700000000001E-2</v>
      </c>
      <c r="J89" s="22">
        <v>79</v>
      </c>
      <c r="K89" s="22">
        <v>1.48132</v>
      </c>
      <c r="L89">
        <f t="shared" si="12"/>
        <v>16.726700000000001</v>
      </c>
      <c r="M89">
        <f t="shared" si="13"/>
        <v>24.792983808000002</v>
      </c>
      <c r="N89" s="9"/>
      <c r="O89" s="22">
        <v>0.29785200000000001</v>
      </c>
      <c r="P89" s="22">
        <v>80.656999999999996</v>
      </c>
      <c r="Q89" s="22">
        <v>-1.7871100000000001E-2</v>
      </c>
      <c r="R89" s="22">
        <v>79</v>
      </c>
      <c r="S89" s="22">
        <v>0.29715000000000003</v>
      </c>
      <c r="T89">
        <f t="shared" si="14"/>
        <v>17.871100000000002</v>
      </c>
      <c r="U89">
        <f t="shared" si="15"/>
        <v>5.3229428772000009</v>
      </c>
      <c r="X89" s="9"/>
      <c r="Y89" s="22">
        <v>1.48224</v>
      </c>
      <c r="Z89" s="22">
        <v>170.815</v>
      </c>
      <c r="AA89" s="22">
        <v>-1.68518E-2</v>
      </c>
      <c r="AB89" s="22">
        <v>79</v>
      </c>
      <c r="AC89" s="22">
        <v>1.48163</v>
      </c>
      <c r="AD89">
        <f t="shared" si="16"/>
        <v>16.851800000000001</v>
      </c>
      <c r="AE89">
        <f t="shared" si="17"/>
        <v>24.978412032000001</v>
      </c>
      <c r="AF89" s="9"/>
      <c r="AG89" s="22">
        <v>0.29785200000000001</v>
      </c>
      <c r="AH89" s="22">
        <v>285.12799999999999</v>
      </c>
      <c r="AI89" s="22">
        <v>-1.7932099999999999E-2</v>
      </c>
      <c r="AJ89" s="22">
        <v>79</v>
      </c>
      <c r="AK89" s="22">
        <v>0.29718</v>
      </c>
      <c r="AL89">
        <f t="shared" si="18"/>
        <v>17.932099999999998</v>
      </c>
      <c r="AM89">
        <f t="shared" si="19"/>
        <v>5.3411118491999998</v>
      </c>
      <c r="AP89" s="9"/>
      <c r="AQ89" s="22">
        <v>1.48224</v>
      </c>
      <c r="AR89" s="22">
        <v>358.142</v>
      </c>
      <c r="AS89" s="22">
        <v>-1.6888400000000001E-2</v>
      </c>
      <c r="AT89" s="22">
        <v>79</v>
      </c>
      <c r="AU89" s="22">
        <v>1.48193</v>
      </c>
      <c r="AV89">
        <f t="shared" si="20"/>
        <v>16.888400000000001</v>
      </c>
      <c r="AW89">
        <f t="shared" si="21"/>
        <v>25.032662016</v>
      </c>
      <c r="AX89" s="9"/>
      <c r="AY89" s="22">
        <v>0.29785200000000001</v>
      </c>
      <c r="AZ89" s="22">
        <v>410.57</v>
      </c>
      <c r="BA89" s="22">
        <v>-1.7984E-2</v>
      </c>
      <c r="BB89" s="22">
        <v>79</v>
      </c>
      <c r="BC89" s="22">
        <v>0.29711900000000002</v>
      </c>
      <c r="BD89">
        <f t="shared" si="22"/>
        <v>17.984000000000002</v>
      </c>
      <c r="BE89">
        <f t="shared" si="23"/>
        <v>5.3565703680000007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23.447800000000001</v>
      </c>
      <c r="I90" s="22">
        <v>-1.6735799999999999E-2</v>
      </c>
      <c r="J90" s="22">
        <v>80</v>
      </c>
      <c r="K90" s="22">
        <v>1.47644</v>
      </c>
      <c r="L90">
        <f t="shared" si="12"/>
        <v>16.735799999999998</v>
      </c>
      <c r="M90">
        <f t="shared" si="13"/>
        <v>24.722123759999999</v>
      </c>
      <c r="N90" s="9"/>
      <c r="O90" s="22">
        <v>0.30288700000000002</v>
      </c>
      <c r="P90" s="22">
        <v>80.7577</v>
      </c>
      <c r="Q90" s="22">
        <v>-1.7867999999999998E-2</v>
      </c>
      <c r="R90" s="22">
        <v>80</v>
      </c>
      <c r="S90" s="22">
        <v>0.30218499999999998</v>
      </c>
      <c r="T90">
        <f t="shared" si="14"/>
        <v>17.867999999999999</v>
      </c>
      <c r="U90">
        <f t="shared" si="15"/>
        <v>5.4119849159999998</v>
      </c>
      <c r="X90" s="9"/>
      <c r="Y90" s="22">
        <v>1.4772000000000001</v>
      </c>
      <c r="Z90" s="22">
        <v>170.916</v>
      </c>
      <c r="AA90" s="22">
        <v>-1.6857899999999999E-2</v>
      </c>
      <c r="AB90" s="22">
        <v>80</v>
      </c>
      <c r="AC90" s="22">
        <v>1.47644</v>
      </c>
      <c r="AD90">
        <f t="shared" si="16"/>
        <v>16.857899999999997</v>
      </c>
      <c r="AE90">
        <f t="shared" si="17"/>
        <v>24.902489879999997</v>
      </c>
      <c r="AF90" s="9"/>
      <c r="AG90" s="22">
        <v>0.30288700000000002</v>
      </c>
      <c r="AH90" s="22">
        <v>285.22899999999998</v>
      </c>
      <c r="AI90" s="22">
        <v>-1.7926000000000001E-2</v>
      </c>
      <c r="AJ90" s="22">
        <v>80</v>
      </c>
      <c r="AK90" s="22">
        <v>0.30227700000000002</v>
      </c>
      <c r="AL90">
        <f t="shared" si="18"/>
        <v>17.926000000000002</v>
      </c>
      <c r="AM90">
        <f t="shared" si="19"/>
        <v>5.4295523620000008</v>
      </c>
      <c r="AP90" s="9"/>
      <c r="AQ90" s="22">
        <v>1.4772000000000001</v>
      </c>
      <c r="AR90" s="22">
        <v>358.24200000000002</v>
      </c>
      <c r="AS90" s="22">
        <v>-1.6897599999999999E-2</v>
      </c>
      <c r="AT90" s="22">
        <v>80</v>
      </c>
      <c r="AU90" s="22">
        <v>1.47614</v>
      </c>
      <c r="AV90">
        <f t="shared" si="20"/>
        <v>16.897599999999997</v>
      </c>
      <c r="AW90">
        <f t="shared" si="21"/>
        <v>24.961134719999997</v>
      </c>
      <c r="AX90" s="9"/>
      <c r="AY90" s="22">
        <v>0.30288700000000002</v>
      </c>
      <c r="AZ90" s="22">
        <v>410.67099999999999</v>
      </c>
      <c r="BA90" s="22">
        <v>-1.7981E-2</v>
      </c>
      <c r="BB90" s="22">
        <v>80</v>
      </c>
      <c r="BC90" s="22">
        <v>0.30215500000000001</v>
      </c>
      <c r="BD90">
        <f t="shared" si="22"/>
        <v>17.981000000000002</v>
      </c>
      <c r="BE90">
        <f t="shared" si="23"/>
        <v>5.4462111470000005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23.548500000000001</v>
      </c>
      <c r="I91" s="22">
        <v>-1.6738900000000001E-2</v>
      </c>
      <c r="J91" s="22">
        <v>81</v>
      </c>
      <c r="K91" s="22">
        <v>1.4712499999999999</v>
      </c>
      <c r="L91">
        <f t="shared" si="12"/>
        <v>16.738900000000001</v>
      </c>
      <c r="M91">
        <f t="shared" si="13"/>
        <v>24.642506413</v>
      </c>
      <c r="N91" s="9"/>
      <c r="O91" s="22">
        <v>0.30792199999999997</v>
      </c>
      <c r="P91" s="22">
        <v>80.858400000000003</v>
      </c>
      <c r="Q91" s="22">
        <v>-1.7864999999999999E-2</v>
      </c>
      <c r="R91" s="22">
        <v>81</v>
      </c>
      <c r="S91" s="22">
        <v>0.30715900000000002</v>
      </c>
      <c r="T91">
        <f t="shared" si="14"/>
        <v>17.864999999999998</v>
      </c>
      <c r="U91">
        <f t="shared" si="15"/>
        <v>5.501026529999999</v>
      </c>
      <c r="X91" s="9"/>
      <c r="Y91" s="22">
        <v>1.47217</v>
      </c>
      <c r="Z91" s="22">
        <v>171.017</v>
      </c>
      <c r="AA91" s="22">
        <v>-1.6867099999999999E-2</v>
      </c>
      <c r="AB91" s="22">
        <v>81</v>
      </c>
      <c r="AC91" s="22">
        <v>1.4718599999999999</v>
      </c>
      <c r="AD91">
        <f t="shared" si="16"/>
        <v>16.867100000000001</v>
      </c>
      <c r="AE91">
        <f t="shared" si="17"/>
        <v>24.831238607</v>
      </c>
      <c r="AF91" s="9"/>
      <c r="AG91" s="22">
        <v>0.30792199999999997</v>
      </c>
      <c r="AH91" s="22">
        <v>285.33</v>
      </c>
      <c r="AI91" s="22">
        <v>-1.7926000000000001E-2</v>
      </c>
      <c r="AJ91" s="22">
        <v>81</v>
      </c>
      <c r="AK91" s="22">
        <v>0.30731199999999997</v>
      </c>
      <c r="AL91">
        <f t="shared" si="18"/>
        <v>17.926000000000002</v>
      </c>
      <c r="AM91">
        <f t="shared" si="19"/>
        <v>5.5198097720000003</v>
      </c>
      <c r="AP91" s="9"/>
      <c r="AQ91" s="22">
        <v>1.47217</v>
      </c>
      <c r="AR91" s="22">
        <v>358.34300000000002</v>
      </c>
      <c r="AS91" s="22">
        <v>-1.69067E-2</v>
      </c>
      <c r="AT91" s="22">
        <v>81</v>
      </c>
      <c r="AU91" s="22">
        <v>1.47156</v>
      </c>
      <c r="AV91">
        <f t="shared" si="20"/>
        <v>16.906700000000001</v>
      </c>
      <c r="AW91">
        <f t="shared" si="21"/>
        <v>24.889536539000002</v>
      </c>
      <c r="AX91" s="9"/>
      <c r="AY91" s="22">
        <v>0.30792199999999997</v>
      </c>
      <c r="AZ91" s="22">
        <v>410.77199999999999</v>
      </c>
      <c r="BA91" s="22">
        <v>-1.7981E-2</v>
      </c>
      <c r="BB91" s="22">
        <v>81</v>
      </c>
      <c r="BC91" s="22">
        <v>0.30743399999999999</v>
      </c>
      <c r="BD91">
        <f t="shared" si="22"/>
        <v>17.981000000000002</v>
      </c>
      <c r="BE91">
        <f t="shared" si="23"/>
        <v>5.5367454819999997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23.6492</v>
      </c>
      <c r="I92" s="22">
        <v>-1.67542E-2</v>
      </c>
      <c r="J92" s="22">
        <v>82</v>
      </c>
      <c r="K92" s="22">
        <v>1.4660599999999999</v>
      </c>
      <c r="L92">
        <f t="shared" si="12"/>
        <v>16.754200000000001</v>
      </c>
      <c r="M92">
        <f t="shared" si="13"/>
        <v>24.580589446000001</v>
      </c>
      <c r="N92" s="9"/>
      <c r="O92" s="22">
        <v>0.31295800000000001</v>
      </c>
      <c r="P92" s="22">
        <v>80.959100000000007</v>
      </c>
      <c r="Q92" s="22">
        <v>-1.78619E-2</v>
      </c>
      <c r="R92" s="22">
        <v>82</v>
      </c>
      <c r="S92" s="22">
        <v>0.312469</v>
      </c>
      <c r="T92">
        <f t="shared" si="14"/>
        <v>17.861899999999999</v>
      </c>
      <c r="U92">
        <f t="shared" si="15"/>
        <v>5.5900245002000002</v>
      </c>
      <c r="X92" s="9"/>
      <c r="Y92" s="22">
        <v>1.46713</v>
      </c>
      <c r="Z92" s="22">
        <v>171.11799999999999</v>
      </c>
      <c r="AA92" s="22">
        <v>-1.6873200000000001E-2</v>
      </c>
      <c r="AB92" s="22">
        <v>82</v>
      </c>
      <c r="AC92" s="22">
        <v>1.46576</v>
      </c>
      <c r="AD92">
        <f t="shared" si="16"/>
        <v>16.873200000000001</v>
      </c>
      <c r="AE92">
        <f t="shared" si="17"/>
        <v>24.755177916000001</v>
      </c>
      <c r="AF92" s="9"/>
      <c r="AG92" s="22">
        <v>0.31295800000000001</v>
      </c>
      <c r="AH92" s="22">
        <v>285.43099999999998</v>
      </c>
      <c r="AI92" s="22">
        <v>-1.7919899999999999E-2</v>
      </c>
      <c r="AJ92" s="22">
        <v>82</v>
      </c>
      <c r="AK92" s="22">
        <v>0.31225599999999998</v>
      </c>
      <c r="AL92">
        <f t="shared" si="18"/>
        <v>17.919899999999998</v>
      </c>
      <c r="AM92">
        <f t="shared" si="19"/>
        <v>5.6081760641999994</v>
      </c>
      <c r="AP92" s="9"/>
      <c r="AQ92" s="22">
        <v>1.46713</v>
      </c>
      <c r="AR92" s="22">
        <v>358.44400000000002</v>
      </c>
      <c r="AS92" s="22">
        <v>-1.6918900000000001E-2</v>
      </c>
      <c r="AT92" s="22">
        <v>82</v>
      </c>
      <c r="AU92" s="22">
        <v>1.4660599999999999</v>
      </c>
      <c r="AV92">
        <f t="shared" si="20"/>
        <v>16.918900000000001</v>
      </c>
      <c r="AW92">
        <f t="shared" si="21"/>
        <v>24.822225757000002</v>
      </c>
      <c r="AX92" s="9"/>
      <c r="AY92" s="22">
        <v>0.31295800000000001</v>
      </c>
      <c r="AZ92" s="22">
        <v>410.87299999999999</v>
      </c>
      <c r="BA92" s="22">
        <v>-1.7974899999999999E-2</v>
      </c>
      <c r="BB92" s="22">
        <v>82</v>
      </c>
      <c r="BC92" s="22">
        <v>0.31225599999999998</v>
      </c>
      <c r="BD92">
        <f t="shared" si="22"/>
        <v>17.974899999999998</v>
      </c>
      <c r="BE92">
        <f t="shared" si="23"/>
        <v>5.6253887541999994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23.7499</v>
      </c>
      <c r="I93" s="22">
        <v>-1.6763299999999998E-2</v>
      </c>
      <c r="J93" s="22">
        <v>83</v>
      </c>
      <c r="K93" s="22">
        <v>1.46088</v>
      </c>
      <c r="L93">
        <f t="shared" si="12"/>
        <v>16.763299999999997</v>
      </c>
      <c r="M93">
        <f t="shared" si="13"/>
        <v>24.509620929999997</v>
      </c>
      <c r="N93" s="9"/>
      <c r="O93" s="22">
        <v>0.31799300000000003</v>
      </c>
      <c r="P93" s="22">
        <v>81.059799999999996</v>
      </c>
      <c r="Q93" s="22">
        <v>-1.78619E-2</v>
      </c>
      <c r="R93" s="22">
        <v>83</v>
      </c>
      <c r="S93" s="22">
        <v>0.31719999999999998</v>
      </c>
      <c r="T93">
        <f t="shared" si="14"/>
        <v>17.861899999999999</v>
      </c>
      <c r="U93">
        <f t="shared" si="15"/>
        <v>5.6799591666999998</v>
      </c>
      <c r="X93" s="9"/>
      <c r="Y93" s="22">
        <v>1.4621</v>
      </c>
      <c r="Z93" s="22">
        <v>171.21799999999999</v>
      </c>
      <c r="AA93" s="22">
        <v>-1.6882299999999999E-2</v>
      </c>
      <c r="AB93" s="22">
        <v>83</v>
      </c>
      <c r="AC93" s="22">
        <v>1.46088</v>
      </c>
      <c r="AD93">
        <f t="shared" si="16"/>
        <v>16.882300000000001</v>
      </c>
      <c r="AE93">
        <f t="shared" si="17"/>
        <v>24.683610829999999</v>
      </c>
      <c r="AF93" s="9"/>
      <c r="AG93" s="22">
        <v>0.31799300000000003</v>
      </c>
      <c r="AH93" s="22">
        <v>285.53100000000001</v>
      </c>
      <c r="AI93" s="22">
        <v>-1.7919899999999999E-2</v>
      </c>
      <c r="AJ93" s="22">
        <v>83</v>
      </c>
      <c r="AK93" s="22">
        <v>0.31729099999999999</v>
      </c>
      <c r="AL93">
        <f t="shared" si="18"/>
        <v>17.919899999999998</v>
      </c>
      <c r="AM93">
        <f t="shared" si="19"/>
        <v>5.6984027606999996</v>
      </c>
      <c r="AP93" s="9"/>
      <c r="AQ93" s="22">
        <v>1.4621</v>
      </c>
      <c r="AR93" s="22">
        <v>358.54399999999998</v>
      </c>
      <c r="AS93" s="22">
        <v>-1.69312E-2</v>
      </c>
      <c r="AT93" s="22">
        <v>83</v>
      </c>
      <c r="AU93" s="22">
        <v>1.4611799999999999</v>
      </c>
      <c r="AV93">
        <f t="shared" si="20"/>
        <v>16.9312</v>
      </c>
      <c r="AW93">
        <f t="shared" si="21"/>
        <v>24.755107519999999</v>
      </c>
      <c r="AX93" s="9"/>
      <c r="AY93" s="22">
        <v>0.31799300000000003</v>
      </c>
      <c r="AZ93" s="22">
        <v>410.97300000000001</v>
      </c>
      <c r="BA93" s="22">
        <v>-1.79718E-2</v>
      </c>
      <c r="BB93" s="22">
        <v>83</v>
      </c>
      <c r="BC93" s="22">
        <v>0.31716899999999998</v>
      </c>
      <c r="BD93">
        <f t="shared" si="22"/>
        <v>17.971799999999998</v>
      </c>
      <c r="BE93">
        <f t="shared" si="23"/>
        <v>5.7149065973999997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23.8506</v>
      </c>
      <c r="I94" s="22">
        <v>-1.6772499999999999E-2</v>
      </c>
      <c r="J94" s="22">
        <v>84</v>
      </c>
      <c r="K94" s="22">
        <v>1.4559899999999999</v>
      </c>
      <c r="L94">
        <f t="shared" si="12"/>
        <v>16.772500000000001</v>
      </c>
      <c r="M94">
        <f t="shared" si="13"/>
        <v>24.43853885</v>
      </c>
      <c r="N94" s="9"/>
      <c r="O94" s="22">
        <v>0.32302900000000001</v>
      </c>
      <c r="P94" s="22">
        <v>81.160499999999999</v>
      </c>
      <c r="Q94" s="22">
        <v>-1.78589E-2</v>
      </c>
      <c r="R94" s="22">
        <v>84</v>
      </c>
      <c r="S94" s="22">
        <v>0.32232699999999997</v>
      </c>
      <c r="T94">
        <f t="shared" si="14"/>
        <v>17.858900000000002</v>
      </c>
      <c r="U94">
        <f t="shared" si="15"/>
        <v>5.7689426081000006</v>
      </c>
      <c r="X94" s="9"/>
      <c r="Y94" s="22">
        <v>1.45706</v>
      </c>
      <c r="Z94" s="22">
        <v>171.31899999999999</v>
      </c>
      <c r="AA94" s="22">
        <v>-1.68945E-2</v>
      </c>
      <c r="AB94" s="22">
        <v>84</v>
      </c>
      <c r="AC94" s="22">
        <v>1.4562999999999999</v>
      </c>
      <c r="AD94">
        <f t="shared" si="16"/>
        <v>16.894500000000001</v>
      </c>
      <c r="AE94">
        <f t="shared" si="17"/>
        <v>24.616300170000002</v>
      </c>
      <c r="AF94" s="9"/>
      <c r="AG94" s="22">
        <v>0.32302900000000001</v>
      </c>
      <c r="AH94" s="22">
        <v>285.63200000000001</v>
      </c>
      <c r="AI94" s="22">
        <v>-1.7913800000000001E-2</v>
      </c>
      <c r="AJ94" s="22">
        <v>84</v>
      </c>
      <c r="AK94" s="22">
        <v>0.322266</v>
      </c>
      <c r="AL94">
        <f t="shared" si="18"/>
        <v>17.913800000000002</v>
      </c>
      <c r="AM94">
        <f t="shared" si="19"/>
        <v>5.7866769002000007</v>
      </c>
      <c r="AP94" s="9"/>
      <c r="AQ94" s="22">
        <v>1.45706</v>
      </c>
      <c r="AR94" s="22">
        <v>358.64499999999998</v>
      </c>
      <c r="AS94" s="22">
        <v>-1.6940299999999998E-2</v>
      </c>
      <c r="AT94" s="22">
        <v>84</v>
      </c>
      <c r="AU94" s="22">
        <v>1.4559899999999999</v>
      </c>
      <c r="AV94">
        <f t="shared" si="20"/>
        <v>16.940299999999997</v>
      </c>
      <c r="AW94">
        <f t="shared" si="21"/>
        <v>24.683033517999995</v>
      </c>
      <c r="AX94" s="9"/>
      <c r="AY94" s="22">
        <v>0.32302900000000001</v>
      </c>
      <c r="AZ94" s="22">
        <v>411.07400000000001</v>
      </c>
      <c r="BA94" s="22">
        <v>-1.79688E-2</v>
      </c>
      <c r="BB94" s="22">
        <v>84</v>
      </c>
      <c r="BC94" s="22">
        <v>0.322357</v>
      </c>
      <c r="BD94">
        <f t="shared" si="22"/>
        <v>17.968800000000002</v>
      </c>
      <c r="BE94">
        <f t="shared" si="23"/>
        <v>5.804443495200001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23.9513</v>
      </c>
      <c r="I95" s="22">
        <v>-1.6775499999999999E-2</v>
      </c>
      <c r="J95" s="22">
        <v>85</v>
      </c>
      <c r="K95" s="22">
        <v>1.4508099999999999</v>
      </c>
      <c r="L95">
        <f t="shared" si="12"/>
        <v>16.775499999999997</v>
      </c>
      <c r="M95">
        <f t="shared" si="13"/>
        <v>24.358529264999994</v>
      </c>
      <c r="N95" s="9"/>
      <c r="O95" s="22">
        <v>0.32806400000000002</v>
      </c>
      <c r="P95" s="22">
        <v>81.261200000000002</v>
      </c>
      <c r="Q95" s="22">
        <v>-1.7852799999999999E-2</v>
      </c>
      <c r="R95" s="22">
        <v>85</v>
      </c>
      <c r="S95" s="22">
        <v>0.32727099999999998</v>
      </c>
      <c r="T95">
        <f t="shared" si="14"/>
        <v>17.852799999999998</v>
      </c>
      <c r="U95">
        <f t="shared" si="15"/>
        <v>5.8568609791999995</v>
      </c>
      <c r="X95" s="9"/>
      <c r="Y95" s="22">
        <v>1.4520299999999999</v>
      </c>
      <c r="Z95" s="22">
        <v>171.42</v>
      </c>
      <c r="AA95" s="22">
        <v>-1.6900600000000002E-2</v>
      </c>
      <c r="AB95" s="22">
        <v>85</v>
      </c>
      <c r="AC95" s="22">
        <v>1.4511099999999999</v>
      </c>
      <c r="AD95">
        <f t="shared" si="16"/>
        <v>16.900600000000001</v>
      </c>
      <c r="AE95">
        <f t="shared" si="17"/>
        <v>24.540178218000001</v>
      </c>
      <c r="AF95" s="9"/>
      <c r="AG95" s="22">
        <v>0.32806400000000002</v>
      </c>
      <c r="AH95" s="22">
        <v>285.733</v>
      </c>
      <c r="AI95" s="22">
        <v>-1.7907699999999999E-2</v>
      </c>
      <c r="AJ95" s="22">
        <v>85</v>
      </c>
      <c r="AK95" s="22">
        <v>0.327484</v>
      </c>
      <c r="AL95">
        <f t="shared" si="18"/>
        <v>17.907699999999998</v>
      </c>
      <c r="AM95">
        <f t="shared" si="19"/>
        <v>5.8748716928000002</v>
      </c>
      <c r="AP95" s="9"/>
      <c r="AQ95" s="22">
        <v>1.4520299999999999</v>
      </c>
      <c r="AR95" s="22">
        <v>358.74599999999998</v>
      </c>
      <c r="AS95" s="22">
        <v>-1.69464E-2</v>
      </c>
      <c r="AT95" s="22">
        <v>85</v>
      </c>
      <c r="AU95" s="22">
        <v>1.4514199999999999</v>
      </c>
      <c r="AV95">
        <f t="shared" si="20"/>
        <v>16.946400000000001</v>
      </c>
      <c r="AW95">
        <f t="shared" si="21"/>
        <v>24.606681192</v>
      </c>
      <c r="AX95" s="9"/>
      <c r="AY95" s="22">
        <v>0.32806400000000002</v>
      </c>
      <c r="AZ95" s="22">
        <v>411.17500000000001</v>
      </c>
      <c r="BA95" s="22">
        <v>-1.7965700000000001E-2</v>
      </c>
      <c r="BB95" s="22">
        <v>85</v>
      </c>
      <c r="BC95" s="22">
        <v>0.32727099999999998</v>
      </c>
      <c r="BD95">
        <f t="shared" si="22"/>
        <v>17.965700000000002</v>
      </c>
      <c r="BE95">
        <f t="shared" si="23"/>
        <v>5.8938994048000009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24.052</v>
      </c>
      <c r="I96" s="22">
        <v>-1.6781600000000001E-2</v>
      </c>
      <c r="J96" s="22">
        <v>86</v>
      </c>
      <c r="K96" s="22">
        <v>1.4459200000000001</v>
      </c>
      <c r="L96">
        <f t="shared" si="12"/>
        <v>16.781600000000001</v>
      </c>
      <c r="M96">
        <f t="shared" si="13"/>
        <v>24.282807384000002</v>
      </c>
      <c r="N96" s="9"/>
      <c r="O96" s="22">
        <v>0.33309899999999998</v>
      </c>
      <c r="P96" s="22">
        <v>81.361900000000006</v>
      </c>
      <c r="Q96" s="22">
        <v>-1.78467E-2</v>
      </c>
      <c r="R96" s="22">
        <v>86</v>
      </c>
      <c r="S96" s="22">
        <v>0.332428</v>
      </c>
      <c r="T96">
        <f t="shared" si="14"/>
        <v>17.846699999999998</v>
      </c>
      <c r="U96">
        <f t="shared" si="15"/>
        <v>5.9447179232999989</v>
      </c>
      <c r="X96" s="9"/>
      <c r="Y96" s="22">
        <v>1.44699</v>
      </c>
      <c r="Z96" s="22">
        <v>171.52</v>
      </c>
      <c r="AA96" s="22">
        <v>-1.69067E-2</v>
      </c>
      <c r="AB96" s="22">
        <v>86</v>
      </c>
      <c r="AC96" s="22">
        <v>1.4459200000000001</v>
      </c>
      <c r="AD96">
        <f t="shared" si="16"/>
        <v>16.906700000000001</v>
      </c>
      <c r="AE96">
        <f t="shared" si="17"/>
        <v>24.463825833000001</v>
      </c>
      <c r="AF96" s="9"/>
      <c r="AG96" s="22">
        <v>0.33309899999999998</v>
      </c>
      <c r="AH96" s="22">
        <v>285.83300000000003</v>
      </c>
      <c r="AI96" s="22">
        <v>-1.7904699999999999E-2</v>
      </c>
      <c r="AJ96" s="22">
        <v>86</v>
      </c>
      <c r="AK96" s="22">
        <v>0.332428</v>
      </c>
      <c r="AL96">
        <f t="shared" si="18"/>
        <v>17.904699999999998</v>
      </c>
      <c r="AM96">
        <f t="shared" si="19"/>
        <v>5.9640376652999993</v>
      </c>
      <c r="AP96" s="9"/>
      <c r="AQ96" s="22">
        <v>1.44699</v>
      </c>
      <c r="AR96" s="22">
        <v>358.84699999999998</v>
      </c>
      <c r="AS96" s="22">
        <v>-1.6958600000000001E-2</v>
      </c>
      <c r="AT96" s="22">
        <v>86</v>
      </c>
      <c r="AU96" s="22">
        <v>1.4465300000000001</v>
      </c>
      <c r="AV96">
        <f t="shared" si="20"/>
        <v>16.958600000000001</v>
      </c>
      <c r="AW96">
        <f t="shared" si="21"/>
        <v>24.538924613999999</v>
      </c>
      <c r="AX96" s="9"/>
      <c r="AY96" s="22">
        <v>0.33309899999999998</v>
      </c>
      <c r="AZ96" s="22">
        <v>411.27499999999998</v>
      </c>
      <c r="BA96" s="22">
        <v>-1.7962599999999999E-2</v>
      </c>
      <c r="BB96" s="22">
        <v>86</v>
      </c>
      <c r="BC96" s="22">
        <v>0.33227499999999999</v>
      </c>
      <c r="BD96">
        <f t="shared" si="22"/>
        <v>17.962599999999998</v>
      </c>
      <c r="BE96">
        <f t="shared" si="23"/>
        <v>5.9833240973999988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24.152699999999999</v>
      </c>
      <c r="I97" s="22">
        <v>-1.67969E-2</v>
      </c>
      <c r="J97" s="22">
        <v>87</v>
      </c>
      <c r="K97" s="22">
        <v>1.4410400000000001</v>
      </c>
      <c r="L97">
        <f t="shared" si="12"/>
        <v>16.796900000000001</v>
      </c>
      <c r="M97">
        <f t="shared" si="13"/>
        <v>24.220457923999998</v>
      </c>
      <c r="N97" s="9"/>
      <c r="O97" s="22">
        <v>0.33813500000000002</v>
      </c>
      <c r="P97" s="22">
        <v>81.462599999999995</v>
      </c>
      <c r="Q97" s="22">
        <v>-1.78497E-2</v>
      </c>
      <c r="R97" s="22">
        <v>87</v>
      </c>
      <c r="S97" s="22">
        <v>0.33749400000000002</v>
      </c>
      <c r="T97">
        <f t="shared" si="14"/>
        <v>17.849699999999999</v>
      </c>
      <c r="U97">
        <f t="shared" si="15"/>
        <v>6.0356083094999997</v>
      </c>
      <c r="X97" s="9"/>
      <c r="Y97" s="22">
        <v>1.4419599999999999</v>
      </c>
      <c r="Z97" s="22">
        <v>171.62100000000001</v>
      </c>
      <c r="AA97" s="22">
        <v>-1.6922E-2</v>
      </c>
      <c r="AB97" s="22">
        <v>87</v>
      </c>
      <c r="AC97" s="22">
        <v>1.4407300000000001</v>
      </c>
      <c r="AD97">
        <f t="shared" si="16"/>
        <v>16.922000000000001</v>
      </c>
      <c r="AE97">
        <f t="shared" si="17"/>
        <v>24.400847119999998</v>
      </c>
      <c r="AF97" s="9"/>
      <c r="AG97" s="22">
        <v>0.33813500000000002</v>
      </c>
      <c r="AH97" s="22">
        <v>285.93400000000003</v>
      </c>
      <c r="AI97" s="22">
        <v>-1.7898600000000001E-2</v>
      </c>
      <c r="AJ97" s="22">
        <v>87</v>
      </c>
      <c r="AK97" s="22">
        <v>0.33731100000000003</v>
      </c>
      <c r="AL97">
        <f t="shared" si="18"/>
        <v>17.898600000000002</v>
      </c>
      <c r="AM97">
        <f t="shared" si="19"/>
        <v>6.0521431110000012</v>
      </c>
      <c r="AP97" s="9"/>
      <c r="AQ97" s="22">
        <v>1.4419599999999999</v>
      </c>
      <c r="AR97" s="22">
        <v>358.947</v>
      </c>
      <c r="AS97" s="22">
        <v>-1.6967800000000002E-2</v>
      </c>
      <c r="AT97" s="22">
        <v>87</v>
      </c>
      <c r="AU97" s="22">
        <v>1.4416500000000001</v>
      </c>
      <c r="AV97">
        <f t="shared" si="20"/>
        <v>16.9678</v>
      </c>
      <c r="AW97">
        <f t="shared" si="21"/>
        <v>24.466888888</v>
      </c>
      <c r="AX97" s="9"/>
      <c r="AY97" s="22">
        <v>0.33813500000000002</v>
      </c>
      <c r="AZ97" s="22">
        <v>411.37599999999998</v>
      </c>
      <c r="BA97" s="22">
        <v>-1.7953500000000001E-2</v>
      </c>
      <c r="BB97" s="22">
        <v>87</v>
      </c>
      <c r="BC97" s="22">
        <v>0.33743299999999998</v>
      </c>
      <c r="BD97">
        <f t="shared" si="22"/>
        <v>17.953500000000002</v>
      </c>
      <c r="BE97">
        <f t="shared" si="23"/>
        <v>6.0707067225000007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24.253499999999999</v>
      </c>
      <c r="I98" s="22">
        <v>-1.67969E-2</v>
      </c>
      <c r="J98" s="22">
        <v>88</v>
      </c>
      <c r="K98" s="22">
        <v>1.4367700000000001</v>
      </c>
      <c r="L98">
        <f t="shared" si="12"/>
        <v>16.796900000000001</v>
      </c>
      <c r="M98">
        <f t="shared" si="13"/>
        <v>24.135801548</v>
      </c>
      <c r="N98" s="9"/>
      <c r="O98" s="22">
        <v>0.34316999999999998</v>
      </c>
      <c r="P98" s="22">
        <v>81.563299999999998</v>
      </c>
      <c r="Q98" s="22">
        <v>-1.7840600000000002E-2</v>
      </c>
      <c r="R98" s="22">
        <v>88</v>
      </c>
      <c r="S98" s="22">
        <v>0.34240700000000002</v>
      </c>
      <c r="T98">
        <f t="shared" si="14"/>
        <v>17.840600000000002</v>
      </c>
      <c r="U98">
        <f t="shared" si="15"/>
        <v>6.1223587020000005</v>
      </c>
      <c r="X98" s="9"/>
      <c r="Y98" s="22">
        <v>1.43692</v>
      </c>
      <c r="Z98" s="22">
        <v>171.72200000000001</v>
      </c>
      <c r="AA98" s="22">
        <v>-1.6928100000000001E-2</v>
      </c>
      <c r="AB98" s="22">
        <v>88</v>
      </c>
      <c r="AC98" s="22">
        <v>1.4361600000000001</v>
      </c>
      <c r="AD98">
        <f t="shared" si="16"/>
        <v>16.928100000000001</v>
      </c>
      <c r="AE98">
        <f t="shared" si="17"/>
        <v>24.324325452</v>
      </c>
      <c r="AF98" s="9"/>
      <c r="AG98" s="22">
        <v>0.34316999999999998</v>
      </c>
      <c r="AH98" s="22">
        <v>286.03500000000003</v>
      </c>
      <c r="AI98" s="22">
        <v>-1.7898600000000001E-2</v>
      </c>
      <c r="AJ98" s="22">
        <v>88</v>
      </c>
      <c r="AK98" s="22">
        <v>0.34274300000000002</v>
      </c>
      <c r="AL98">
        <f t="shared" si="18"/>
        <v>17.898600000000002</v>
      </c>
      <c r="AM98">
        <f t="shared" si="19"/>
        <v>6.142262562</v>
      </c>
      <c r="AP98" s="9"/>
      <c r="AQ98" s="22">
        <v>1.43692</v>
      </c>
      <c r="AR98" s="22">
        <v>359.048</v>
      </c>
      <c r="AS98" s="22">
        <v>-1.6970800000000001E-2</v>
      </c>
      <c r="AT98" s="22">
        <v>88</v>
      </c>
      <c r="AU98" s="22">
        <v>1.4361600000000001</v>
      </c>
      <c r="AV98">
        <f t="shared" si="20"/>
        <v>16.970800000000001</v>
      </c>
      <c r="AW98">
        <f t="shared" si="21"/>
        <v>24.385681936000001</v>
      </c>
      <c r="AX98" s="9"/>
      <c r="AY98" s="22">
        <v>0.34316999999999998</v>
      </c>
      <c r="AZ98" s="22">
        <v>411.47699999999998</v>
      </c>
      <c r="BA98" s="22">
        <v>-1.7950399999999998E-2</v>
      </c>
      <c r="BB98" s="22">
        <v>88</v>
      </c>
      <c r="BC98" s="22">
        <v>0.342499</v>
      </c>
      <c r="BD98">
        <f t="shared" si="22"/>
        <v>17.950399999999998</v>
      </c>
      <c r="BE98">
        <f t="shared" si="23"/>
        <v>6.1600387679999988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24.354199999999999</v>
      </c>
      <c r="I99" s="22">
        <v>-1.67999E-2</v>
      </c>
      <c r="J99" s="22">
        <v>89</v>
      </c>
      <c r="K99" s="22">
        <v>1.43066</v>
      </c>
      <c r="L99">
        <f t="shared" si="12"/>
        <v>16.799900000000001</v>
      </c>
      <c r="M99">
        <f t="shared" si="13"/>
        <v>24.055440812000001</v>
      </c>
      <c r="N99" s="9"/>
      <c r="O99" s="22">
        <v>0.34820600000000002</v>
      </c>
      <c r="P99" s="22">
        <v>81.664000000000001</v>
      </c>
      <c r="Q99" s="22">
        <v>-1.78345E-2</v>
      </c>
      <c r="R99" s="22">
        <v>89</v>
      </c>
      <c r="S99" s="22">
        <v>0.34765600000000002</v>
      </c>
      <c r="T99">
        <f t="shared" si="14"/>
        <v>17.834499999999998</v>
      </c>
      <c r="U99">
        <f t="shared" si="15"/>
        <v>6.2100799069999999</v>
      </c>
      <c r="X99" s="9"/>
      <c r="Y99" s="22">
        <v>1.43188</v>
      </c>
      <c r="Z99" s="22">
        <v>171.82300000000001</v>
      </c>
      <c r="AA99" s="22">
        <v>-1.69342E-2</v>
      </c>
      <c r="AB99" s="22">
        <v>89</v>
      </c>
      <c r="AC99" s="22">
        <v>1.4315800000000001</v>
      </c>
      <c r="AD99">
        <f t="shared" si="16"/>
        <v>16.934200000000001</v>
      </c>
      <c r="AE99">
        <f t="shared" si="17"/>
        <v>24.247742296000002</v>
      </c>
      <c r="AF99" s="9"/>
      <c r="AG99" s="22">
        <v>0.34820600000000002</v>
      </c>
      <c r="AH99" s="22">
        <v>286.13499999999999</v>
      </c>
      <c r="AI99" s="22">
        <v>-1.7895500000000002E-2</v>
      </c>
      <c r="AJ99" s="22">
        <v>89</v>
      </c>
      <c r="AK99" s="22">
        <v>0.34753400000000001</v>
      </c>
      <c r="AL99">
        <f t="shared" si="18"/>
        <v>17.895500000000002</v>
      </c>
      <c r="AM99">
        <f t="shared" si="19"/>
        <v>6.2313204730000011</v>
      </c>
      <c r="AP99" s="9"/>
      <c r="AQ99" s="22">
        <v>1.43188</v>
      </c>
      <c r="AR99" s="22">
        <v>359.149</v>
      </c>
      <c r="AS99" s="22">
        <v>-1.6983000000000002E-2</v>
      </c>
      <c r="AT99" s="22">
        <v>89</v>
      </c>
      <c r="AU99" s="22">
        <v>1.4309700000000001</v>
      </c>
      <c r="AV99">
        <f t="shared" si="20"/>
        <v>16.983000000000001</v>
      </c>
      <c r="AW99">
        <f t="shared" si="21"/>
        <v>24.317618040000003</v>
      </c>
      <c r="AX99" s="9"/>
      <c r="AY99" s="22">
        <v>0.34820600000000002</v>
      </c>
      <c r="AZ99" s="22">
        <v>411.577</v>
      </c>
      <c r="BA99" s="22">
        <v>-1.7947399999999999E-2</v>
      </c>
      <c r="BB99" s="22">
        <v>89</v>
      </c>
      <c r="BC99" s="22">
        <v>0.34762599999999999</v>
      </c>
      <c r="BD99">
        <f t="shared" si="22"/>
        <v>17.947399999999998</v>
      </c>
      <c r="BE99">
        <f t="shared" si="23"/>
        <v>6.2493923643999993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24.454899999999999</v>
      </c>
      <c r="I100" s="22">
        <v>-1.68121E-2</v>
      </c>
      <c r="J100" s="22">
        <v>90</v>
      </c>
      <c r="K100" s="22">
        <v>1.4260900000000001</v>
      </c>
      <c r="L100">
        <f t="shared" si="12"/>
        <v>16.812100000000001</v>
      </c>
      <c r="M100">
        <f t="shared" si="13"/>
        <v>23.988344885</v>
      </c>
      <c r="N100" s="9"/>
      <c r="O100" s="22">
        <v>0.35324100000000003</v>
      </c>
      <c r="P100" s="22">
        <v>81.764799999999994</v>
      </c>
      <c r="Q100" s="22">
        <v>-1.78345E-2</v>
      </c>
      <c r="R100" s="22">
        <v>90</v>
      </c>
      <c r="S100" s="22">
        <v>0.35260000000000002</v>
      </c>
      <c r="T100">
        <f t="shared" si="14"/>
        <v>17.834499999999998</v>
      </c>
      <c r="U100">
        <f t="shared" si="15"/>
        <v>6.2998766144999996</v>
      </c>
      <c r="X100" s="9"/>
      <c r="Y100" s="22">
        <v>1.42685</v>
      </c>
      <c r="Z100" s="22">
        <v>171.923</v>
      </c>
      <c r="AA100" s="22">
        <v>-1.6940299999999998E-2</v>
      </c>
      <c r="AB100" s="22">
        <v>90</v>
      </c>
      <c r="AC100" s="22">
        <v>1.4260900000000001</v>
      </c>
      <c r="AD100">
        <f t="shared" si="16"/>
        <v>16.940299999999997</v>
      </c>
      <c r="AE100">
        <f t="shared" si="17"/>
        <v>24.171267054999994</v>
      </c>
      <c r="AF100" s="9"/>
      <c r="AG100" s="22">
        <v>0.35324100000000003</v>
      </c>
      <c r="AH100" s="22">
        <v>286.23599999999999</v>
      </c>
      <c r="AI100" s="22">
        <v>-1.7895500000000002E-2</v>
      </c>
      <c r="AJ100" s="22">
        <v>90</v>
      </c>
      <c r="AK100" s="22">
        <v>0.35260000000000002</v>
      </c>
      <c r="AL100">
        <f t="shared" si="18"/>
        <v>17.895500000000002</v>
      </c>
      <c r="AM100">
        <f t="shared" si="19"/>
        <v>6.3214243155000016</v>
      </c>
      <c r="AP100" s="9"/>
      <c r="AQ100" s="22">
        <v>1.42685</v>
      </c>
      <c r="AR100" s="22">
        <v>359.24900000000002</v>
      </c>
      <c r="AS100" s="22">
        <v>-1.69891E-2</v>
      </c>
      <c r="AT100" s="22">
        <v>90</v>
      </c>
      <c r="AU100" s="22">
        <v>1.42578</v>
      </c>
      <c r="AV100">
        <f t="shared" si="20"/>
        <v>16.989100000000001</v>
      </c>
      <c r="AW100">
        <f t="shared" si="21"/>
        <v>24.240897335</v>
      </c>
      <c r="AX100" s="9"/>
      <c r="AY100" s="22">
        <v>0.35324100000000003</v>
      </c>
      <c r="AZ100" s="22">
        <v>411.678</v>
      </c>
      <c r="BA100" s="22">
        <v>-1.79413E-2</v>
      </c>
      <c r="BB100" s="22">
        <v>90</v>
      </c>
      <c r="BC100" s="22">
        <v>0.35253899999999999</v>
      </c>
      <c r="BD100">
        <f t="shared" si="22"/>
        <v>17.941300000000002</v>
      </c>
      <c r="BE100">
        <f t="shared" si="23"/>
        <v>6.3376027533000014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24.555599999999998</v>
      </c>
      <c r="I101" s="22">
        <v>-1.6815199999999999E-2</v>
      </c>
      <c r="J101" s="22">
        <v>91</v>
      </c>
      <c r="K101" s="22">
        <v>1.4209000000000001</v>
      </c>
      <c r="L101">
        <f t="shared" si="12"/>
        <v>16.815199999999997</v>
      </c>
      <c r="M101">
        <f t="shared" si="13"/>
        <v>23.908019511999996</v>
      </c>
      <c r="N101" s="9"/>
      <c r="O101" s="22">
        <v>0.35827599999999998</v>
      </c>
      <c r="P101" s="22">
        <v>81.865499999999997</v>
      </c>
      <c r="Q101" s="22">
        <v>-1.7828400000000001E-2</v>
      </c>
      <c r="R101" s="22">
        <v>91</v>
      </c>
      <c r="S101" s="22">
        <v>0.35766599999999998</v>
      </c>
      <c r="T101">
        <f t="shared" si="14"/>
        <v>17.828400000000002</v>
      </c>
      <c r="U101">
        <f t="shared" si="15"/>
        <v>6.3874878384000002</v>
      </c>
      <c r="X101" s="9"/>
      <c r="Y101" s="22">
        <v>1.42181</v>
      </c>
      <c r="Z101" s="22">
        <v>172.024</v>
      </c>
      <c r="AA101" s="22">
        <v>-1.6949499999999999E-2</v>
      </c>
      <c r="AB101" s="22">
        <v>91</v>
      </c>
      <c r="AC101" s="22">
        <v>1.4212</v>
      </c>
      <c r="AD101">
        <f t="shared" si="16"/>
        <v>16.9495</v>
      </c>
      <c r="AE101">
        <f t="shared" si="17"/>
        <v>24.098968595000002</v>
      </c>
      <c r="AF101" s="9"/>
      <c r="AG101" s="22">
        <v>0.35827599999999998</v>
      </c>
      <c r="AH101" s="22">
        <v>286.33699999999999</v>
      </c>
      <c r="AI101" s="22">
        <v>-1.78864E-2</v>
      </c>
      <c r="AJ101" s="22">
        <v>91</v>
      </c>
      <c r="AK101" s="22">
        <v>0.357574</v>
      </c>
      <c r="AL101">
        <f t="shared" si="18"/>
        <v>17.886400000000002</v>
      </c>
      <c r="AM101">
        <f t="shared" si="19"/>
        <v>6.4082678464000002</v>
      </c>
      <c r="AP101" s="9"/>
      <c r="AQ101" s="22">
        <v>1.42181</v>
      </c>
      <c r="AR101" s="22">
        <v>359.35</v>
      </c>
      <c r="AS101" s="22">
        <v>-1.6995199999999999E-2</v>
      </c>
      <c r="AT101" s="22">
        <v>91</v>
      </c>
      <c r="AU101" s="22">
        <v>1.4212</v>
      </c>
      <c r="AV101">
        <f t="shared" si="20"/>
        <v>16.995199999999997</v>
      </c>
      <c r="AW101">
        <f t="shared" si="21"/>
        <v>24.163945311999996</v>
      </c>
      <c r="AX101" s="9"/>
      <c r="AY101" s="22">
        <v>0.35827599999999998</v>
      </c>
      <c r="AZ101" s="22">
        <v>411.779</v>
      </c>
      <c r="BA101" s="22">
        <v>-1.79443E-2</v>
      </c>
      <c r="BB101" s="22">
        <v>91</v>
      </c>
      <c r="BC101" s="22">
        <v>0.35745199999999999</v>
      </c>
      <c r="BD101">
        <f t="shared" si="22"/>
        <v>17.944299999999998</v>
      </c>
      <c r="BE101">
        <f t="shared" si="23"/>
        <v>6.4290120267999988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24.656300000000002</v>
      </c>
      <c r="I102" s="22">
        <v>-1.6830399999999999E-2</v>
      </c>
      <c r="J102" s="22">
        <v>92</v>
      </c>
      <c r="K102" s="22">
        <v>1.4160200000000001</v>
      </c>
      <c r="L102">
        <f t="shared" si="12"/>
        <v>16.830399999999997</v>
      </c>
      <c r="M102">
        <f t="shared" si="13"/>
        <v>23.844974111999996</v>
      </c>
      <c r="N102" s="9"/>
      <c r="O102" s="22">
        <v>0.36331200000000002</v>
      </c>
      <c r="P102" s="22">
        <v>81.966200000000001</v>
      </c>
      <c r="Q102" s="22">
        <v>-1.7828400000000001E-2</v>
      </c>
      <c r="R102" s="22">
        <v>92</v>
      </c>
      <c r="S102" s="22">
        <v>0.36264000000000002</v>
      </c>
      <c r="T102">
        <f t="shared" si="14"/>
        <v>17.828400000000002</v>
      </c>
      <c r="U102">
        <f t="shared" si="15"/>
        <v>6.4772716608000014</v>
      </c>
      <c r="X102" s="9"/>
      <c r="Y102" s="22">
        <v>1.4167799999999999</v>
      </c>
      <c r="Z102" s="22">
        <v>172.125</v>
      </c>
      <c r="AA102" s="22">
        <v>-1.6955600000000001E-2</v>
      </c>
      <c r="AB102" s="22">
        <v>92</v>
      </c>
      <c r="AC102" s="22">
        <v>1.41571</v>
      </c>
      <c r="AD102">
        <f t="shared" si="16"/>
        <v>16.9556</v>
      </c>
      <c r="AE102">
        <f t="shared" si="17"/>
        <v>24.022354967999998</v>
      </c>
      <c r="AF102" s="9"/>
      <c r="AG102" s="22">
        <v>0.36331200000000002</v>
      </c>
      <c r="AH102" s="22">
        <v>286.43799999999999</v>
      </c>
      <c r="AI102" s="22">
        <v>-1.7880199999999999E-2</v>
      </c>
      <c r="AJ102" s="22">
        <v>92</v>
      </c>
      <c r="AK102" s="22">
        <v>0.36260999999999999</v>
      </c>
      <c r="AL102">
        <f t="shared" si="18"/>
        <v>17.880199999999999</v>
      </c>
      <c r="AM102">
        <f t="shared" si="19"/>
        <v>6.4960912223999996</v>
      </c>
      <c r="AP102" s="9"/>
      <c r="AQ102" s="22">
        <v>1.4167799999999999</v>
      </c>
      <c r="AR102" s="22">
        <v>359.45100000000002</v>
      </c>
      <c r="AS102" s="22">
        <v>-1.70013E-2</v>
      </c>
      <c r="AT102" s="22">
        <v>92</v>
      </c>
      <c r="AU102" s="22">
        <v>1.4154100000000001</v>
      </c>
      <c r="AV102">
        <f t="shared" si="20"/>
        <v>17.001300000000001</v>
      </c>
      <c r="AW102">
        <f t="shared" si="21"/>
        <v>24.087101814</v>
      </c>
      <c r="AX102" s="9"/>
      <c r="AY102" s="22">
        <v>0.36331200000000002</v>
      </c>
      <c r="AZ102" s="22">
        <v>411.88</v>
      </c>
      <c r="BA102" s="22">
        <v>-1.7935199999999998E-2</v>
      </c>
      <c r="BB102" s="22">
        <v>92</v>
      </c>
      <c r="BC102" s="22">
        <v>0.36245699999999997</v>
      </c>
      <c r="BD102">
        <f t="shared" si="22"/>
        <v>17.935199999999998</v>
      </c>
      <c r="BE102">
        <f t="shared" si="23"/>
        <v>6.5160733824000001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24.757000000000001</v>
      </c>
      <c r="I103" s="22">
        <v>-1.6830399999999999E-2</v>
      </c>
      <c r="J103" s="22">
        <v>93</v>
      </c>
      <c r="K103" s="22">
        <v>1.41083</v>
      </c>
      <c r="L103">
        <f t="shared" si="12"/>
        <v>16.830399999999997</v>
      </c>
      <c r="M103">
        <f t="shared" si="13"/>
        <v>23.760148895999997</v>
      </c>
      <c r="N103" s="9"/>
      <c r="O103" s="22">
        <v>0.36834699999999998</v>
      </c>
      <c r="P103" s="22">
        <v>82.066900000000004</v>
      </c>
      <c r="Q103" s="22">
        <v>-1.7822299999999999E-2</v>
      </c>
      <c r="R103" s="22">
        <v>93</v>
      </c>
      <c r="S103" s="22">
        <v>0.367645</v>
      </c>
      <c r="T103">
        <f t="shared" si="14"/>
        <v>17.822299999999998</v>
      </c>
      <c r="U103">
        <f t="shared" si="15"/>
        <v>6.5647907380999992</v>
      </c>
      <c r="X103" s="9"/>
      <c r="Y103" s="22">
        <v>1.41174</v>
      </c>
      <c r="Z103" s="22">
        <v>172.22499999999999</v>
      </c>
      <c r="AA103" s="22">
        <v>-1.6958600000000001E-2</v>
      </c>
      <c r="AB103" s="22">
        <v>93</v>
      </c>
      <c r="AC103" s="22">
        <v>1.41113</v>
      </c>
      <c r="AD103">
        <f t="shared" si="16"/>
        <v>16.958600000000001</v>
      </c>
      <c r="AE103">
        <f t="shared" si="17"/>
        <v>23.941133964000002</v>
      </c>
      <c r="AF103" s="9"/>
      <c r="AG103" s="22">
        <v>0.36834699999999998</v>
      </c>
      <c r="AH103" s="22">
        <v>286.53800000000001</v>
      </c>
      <c r="AI103" s="22">
        <v>-1.7880199999999999E-2</v>
      </c>
      <c r="AJ103" s="22">
        <v>93</v>
      </c>
      <c r="AK103" s="22">
        <v>0.36782799999999999</v>
      </c>
      <c r="AL103">
        <f t="shared" si="18"/>
        <v>17.880199999999999</v>
      </c>
      <c r="AM103">
        <f t="shared" si="19"/>
        <v>6.5861180293999988</v>
      </c>
      <c r="AP103" s="9"/>
      <c r="AQ103" s="22">
        <v>1.41174</v>
      </c>
      <c r="AR103" s="22">
        <v>359.55099999999999</v>
      </c>
      <c r="AS103" s="22">
        <v>-1.7010500000000001E-2</v>
      </c>
      <c r="AT103" s="22">
        <v>93</v>
      </c>
      <c r="AU103" s="22">
        <v>1.41083</v>
      </c>
      <c r="AV103">
        <f t="shared" si="20"/>
        <v>17.0105</v>
      </c>
      <c r="AW103">
        <f t="shared" si="21"/>
        <v>24.014403269999999</v>
      </c>
      <c r="AX103" s="9"/>
      <c r="AY103" s="22">
        <v>0.36834699999999998</v>
      </c>
      <c r="AZ103" s="22">
        <v>411.98</v>
      </c>
      <c r="BA103" s="22">
        <v>-1.7932099999999999E-2</v>
      </c>
      <c r="BB103" s="22">
        <v>93</v>
      </c>
      <c r="BC103" s="22">
        <v>0.367676</v>
      </c>
      <c r="BD103">
        <f t="shared" si="22"/>
        <v>17.932099999999998</v>
      </c>
      <c r="BE103">
        <f t="shared" si="23"/>
        <v>6.6052352386999988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24.857700000000001</v>
      </c>
      <c r="I104" s="22">
        <v>-1.6842699999999999E-2</v>
      </c>
      <c r="J104" s="22">
        <v>94</v>
      </c>
      <c r="K104" s="22">
        <v>1.40564</v>
      </c>
      <c r="L104">
        <f t="shared" si="12"/>
        <v>16.842699999999997</v>
      </c>
      <c r="M104">
        <f t="shared" si="13"/>
        <v>23.692794516999996</v>
      </c>
      <c r="N104" s="9"/>
      <c r="O104" s="22">
        <v>0.37338300000000002</v>
      </c>
      <c r="P104" s="22">
        <v>82.167599999999993</v>
      </c>
      <c r="Q104" s="22">
        <v>-1.78192E-2</v>
      </c>
      <c r="R104" s="22">
        <v>94</v>
      </c>
      <c r="S104" s="22">
        <v>0.37255899999999997</v>
      </c>
      <c r="T104">
        <f t="shared" si="14"/>
        <v>17.819199999999999</v>
      </c>
      <c r="U104">
        <f t="shared" si="15"/>
        <v>6.6533863536000002</v>
      </c>
      <c r="X104" s="9"/>
      <c r="Y104" s="22">
        <v>1.4067099999999999</v>
      </c>
      <c r="Z104" s="22">
        <v>172.32599999999999</v>
      </c>
      <c r="AA104" s="22">
        <v>-1.6970800000000001E-2</v>
      </c>
      <c r="AB104" s="22">
        <v>94</v>
      </c>
      <c r="AC104" s="22">
        <v>1.40564</v>
      </c>
      <c r="AD104">
        <f t="shared" si="16"/>
        <v>16.970800000000001</v>
      </c>
      <c r="AE104">
        <f t="shared" si="17"/>
        <v>23.872994068000001</v>
      </c>
      <c r="AF104" s="9"/>
      <c r="AG104" s="22">
        <v>0.37338300000000002</v>
      </c>
      <c r="AH104" s="22">
        <v>286.63900000000001</v>
      </c>
      <c r="AI104" s="22">
        <v>-1.78741E-2</v>
      </c>
      <c r="AJ104" s="22">
        <v>94</v>
      </c>
      <c r="AK104" s="22">
        <v>0.37274200000000002</v>
      </c>
      <c r="AL104">
        <f t="shared" si="18"/>
        <v>17.874100000000002</v>
      </c>
      <c r="AM104">
        <f t="shared" si="19"/>
        <v>6.6738850803000007</v>
      </c>
      <c r="AP104" s="9"/>
      <c r="AQ104" s="22">
        <v>1.4067099999999999</v>
      </c>
      <c r="AR104" s="22">
        <v>359.65199999999999</v>
      </c>
      <c r="AS104" s="22">
        <v>-1.70166E-2</v>
      </c>
      <c r="AT104" s="22">
        <v>94</v>
      </c>
      <c r="AU104" s="22">
        <v>1.40625</v>
      </c>
      <c r="AV104">
        <f t="shared" si="20"/>
        <v>17.0166</v>
      </c>
      <c r="AW104">
        <f t="shared" si="21"/>
        <v>23.937421386</v>
      </c>
      <c r="AX104" s="9"/>
      <c r="AY104" s="22">
        <v>0.37338300000000002</v>
      </c>
      <c r="AZ104" s="22">
        <v>412.08100000000002</v>
      </c>
      <c r="BA104" s="22">
        <v>-1.7926000000000001E-2</v>
      </c>
      <c r="BB104" s="22">
        <v>94</v>
      </c>
      <c r="BC104" s="22">
        <v>0.37271100000000001</v>
      </c>
      <c r="BD104">
        <f t="shared" si="22"/>
        <v>17.926000000000002</v>
      </c>
      <c r="BE104">
        <f t="shared" si="23"/>
        <v>6.6932636580000011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24.958400000000001</v>
      </c>
      <c r="I105" s="22">
        <v>-1.6845700000000002E-2</v>
      </c>
      <c r="J105" s="22">
        <v>95</v>
      </c>
      <c r="K105" s="22">
        <v>1.40076</v>
      </c>
      <c r="L105">
        <f t="shared" si="12"/>
        <v>16.845700000000001</v>
      </c>
      <c r="M105">
        <f t="shared" si="13"/>
        <v>23.612112319000001</v>
      </c>
      <c r="N105" s="9"/>
      <c r="O105" s="22">
        <v>0.37841799999999998</v>
      </c>
      <c r="P105" s="22">
        <v>82.268299999999996</v>
      </c>
      <c r="Q105" s="22">
        <v>-1.7816200000000001E-2</v>
      </c>
      <c r="R105" s="22">
        <v>95</v>
      </c>
      <c r="S105" s="22">
        <v>0.37762499999999999</v>
      </c>
      <c r="T105">
        <f t="shared" si="14"/>
        <v>17.816200000000002</v>
      </c>
      <c r="U105">
        <f t="shared" si="15"/>
        <v>6.7419707716000001</v>
      </c>
      <c r="X105" s="9"/>
      <c r="Y105" s="22">
        <v>1.40167</v>
      </c>
      <c r="Z105" s="22">
        <v>172.42699999999999</v>
      </c>
      <c r="AA105" s="22">
        <v>-1.6979999999999999E-2</v>
      </c>
      <c r="AB105" s="22">
        <v>95</v>
      </c>
      <c r="AC105" s="22">
        <v>1.40045</v>
      </c>
      <c r="AD105">
        <f t="shared" si="16"/>
        <v>16.979999999999997</v>
      </c>
      <c r="AE105">
        <f t="shared" si="17"/>
        <v>23.800356599999994</v>
      </c>
      <c r="AF105" s="9"/>
      <c r="AG105" s="22">
        <v>0.37841799999999998</v>
      </c>
      <c r="AH105" s="22">
        <v>286.74</v>
      </c>
      <c r="AI105" s="22">
        <v>-1.7871100000000001E-2</v>
      </c>
      <c r="AJ105" s="22">
        <v>95</v>
      </c>
      <c r="AK105" s="22">
        <v>0.377502</v>
      </c>
      <c r="AL105">
        <f t="shared" si="18"/>
        <v>17.871100000000002</v>
      </c>
      <c r="AM105">
        <f t="shared" si="19"/>
        <v>6.7627459198000004</v>
      </c>
      <c r="AP105" s="9"/>
      <c r="AQ105" s="22">
        <v>1.40167</v>
      </c>
      <c r="AR105" s="22">
        <v>359.75299999999999</v>
      </c>
      <c r="AS105" s="22">
        <v>-1.7025800000000001E-2</v>
      </c>
      <c r="AT105" s="22">
        <v>95</v>
      </c>
      <c r="AU105" s="22">
        <v>1.40045</v>
      </c>
      <c r="AV105">
        <f t="shared" si="20"/>
        <v>17.0258</v>
      </c>
      <c r="AW105">
        <f t="shared" si="21"/>
        <v>23.864553086000001</v>
      </c>
      <c r="AX105" s="9"/>
      <c r="AY105" s="22">
        <v>0.37841799999999998</v>
      </c>
      <c r="AZ105" s="22">
        <v>412.18200000000002</v>
      </c>
      <c r="BA105" s="22">
        <v>-1.7923000000000001E-2</v>
      </c>
      <c r="BB105" s="22">
        <v>95</v>
      </c>
      <c r="BC105" s="22">
        <v>0.37789899999999998</v>
      </c>
      <c r="BD105">
        <f t="shared" si="22"/>
        <v>17.923000000000002</v>
      </c>
      <c r="BE105">
        <f t="shared" si="23"/>
        <v>6.7823858140000004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25.059100000000001</v>
      </c>
      <c r="I106" s="22">
        <v>-1.68518E-2</v>
      </c>
      <c r="J106" s="22">
        <v>96</v>
      </c>
      <c r="K106" s="22">
        <v>1.3958699999999999</v>
      </c>
      <c r="L106">
        <f t="shared" si="12"/>
        <v>16.851800000000001</v>
      </c>
      <c r="M106">
        <f t="shared" si="13"/>
        <v>23.535897952000003</v>
      </c>
      <c r="N106" s="9"/>
      <c r="O106" s="22">
        <v>0.38345299999999999</v>
      </c>
      <c r="P106" s="22">
        <v>82.369</v>
      </c>
      <c r="Q106" s="22">
        <v>-1.7810099999999999E-2</v>
      </c>
      <c r="R106" s="22">
        <v>96</v>
      </c>
      <c r="S106" s="22">
        <v>0.38275100000000001</v>
      </c>
      <c r="T106">
        <f t="shared" si="14"/>
        <v>17.810099999999998</v>
      </c>
      <c r="U106">
        <f t="shared" si="15"/>
        <v>6.8293362752999993</v>
      </c>
      <c r="X106" s="9"/>
      <c r="Y106" s="22">
        <v>1.3966400000000001</v>
      </c>
      <c r="Z106" s="22">
        <v>172.52699999999999</v>
      </c>
      <c r="AA106" s="22">
        <v>-1.6983000000000002E-2</v>
      </c>
      <c r="AB106" s="22">
        <v>96</v>
      </c>
      <c r="AC106" s="22">
        <v>1.3958699999999999</v>
      </c>
      <c r="AD106">
        <f t="shared" si="16"/>
        <v>16.983000000000001</v>
      </c>
      <c r="AE106">
        <f t="shared" si="17"/>
        <v>23.719137120000003</v>
      </c>
      <c r="AF106" s="9"/>
      <c r="AG106" s="22">
        <v>0.38345299999999999</v>
      </c>
      <c r="AH106" s="22">
        <v>286.83999999999997</v>
      </c>
      <c r="AI106" s="22">
        <v>-1.7867999999999998E-2</v>
      </c>
      <c r="AJ106" s="22">
        <v>96</v>
      </c>
      <c r="AK106" s="22">
        <v>0.38293500000000003</v>
      </c>
      <c r="AL106">
        <f t="shared" si="18"/>
        <v>17.867999999999999</v>
      </c>
      <c r="AM106">
        <f t="shared" si="19"/>
        <v>6.8515382039999988</v>
      </c>
      <c r="AP106" s="9"/>
      <c r="AQ106" s="22">
        <v>1.3966400000000001</v>
      </c>
      <c r="AR106" s="22">
        <v>359.85399999999998</v>
      </c>
      <c r="AS106" s="22">
        <v>-1.7031899999999999E-2</v>
      </c>
      <c r="AT106" s="22">
        <v>96</v>
      </c>
      <c r="AU106" s="22">
        <v>1.3958699999999999</v>
      </c>
      <c r="AV106">
        <f t="shared" si="20"/>
        <v>17.0319</v>
      </c>
      <c r="AW106">
        <f t="shared" si="21"/>
        <v>23.787432816000003</v>
      </c>
      <c r="AX106" s="9"/>
      <c r="AY106" s="22">
        <v>0.38345299999999999</v>
      </c>
      <c r="AZ106" s="22">
        <v>412.28199999999998</v>
      </c>
      <c r="BA106" s="22">
        <v>-1.7923000000000001E-2</v>
      </c>
      <c r="BB106" s="22">
        <v>96</v>
      </c>
      <c r="BC106" s="22">
        <v>0.38284299999999999</v>
      </c>
      <c r="BD106">
        <f t="shared" si="22"/>
        <v>17.923000000000002</v>
      </c>
      <c r="BE106">
        <f t="shared" si="23"/>
        <v>6.8726281190000007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25.159800000000001</v>
      </c>
      <c r="I107" s="22">
        <v>-1.6857899999999999E-2</v>
      </c>
      <c r="J107" s="22">
        <v>97</v>
      </c>
      <c r="K107" s="22">
        <v>1.3913</v>
      </c>
      <c r="L107">
        <f t="shared" si="12"/>
        <v>16.857899999999997</v>
      </c>
      <c r="M107">
        <f t="shared" si="13"/>
        <v>23.459453639999996</v>
      </c>
      <c r="N107" s="9"/>
      <c r="O107" s="22">
        <v>0.38848899999999997</v>
      </c>
      <c r="P107" s="22">
        <v>82.469700000000003</v>
      </c>
      <c r="Q107" s="22">
        <v>-1.7807E-2</v>
      </c>
      <c r="R107" s="22">
        <v>97</v>
      </c>
      <c r="S107" s="22">
        <v>0.38778699999999999</v>
      </c>
      <c r="T107">
        <f t="shared" si="14"/>
        <v>17.806999999999999</v>
      </c>
      <c r="U107">
        <f t="shared" si="15"/>
        <v>6.9178236229999994</v>
      </c>
      <c r="X107" s="9"/>
      <c r="Y107" s="22">
        <v>1.3915999999999999</v>
      </c>
      <c r="Z107" s="22">
        <v>172.62799999999999</v>
      </c>
      <c r="AA107" s="22">
        <v>-1.69891E-2</v>
      </c>
      <c r="AB107" s="22">
        <v>97</v>
      </c>
      <c r="AC107" s="22">
        <v>1.3909899999999999</v>
      </c>
      <c r="AD107">
        <f t="shared" si="16"/>
        <v>16.989100000000001</v>
      </c>
      <c r="AE107">
        <f t="shared" si="17"/>
        <v>23.64203156</v>
      </c>
      <c r="AF107" s="9"/>
      <c r="AG107" s="22">
        <v>0.38848899999999997</v>
      </c>
      <c r="AH107" s="22">
        <v>286.94099999999997</v>
      </c>
      <c r="AI107" s="22">
        <v>-1.7867999999999998E-2</v>
      </c>
      <c r="AJ107" s="22">
        <v>97</v>
      </c>
      <c r="AK107" s="22">
        <v>0.387878</v>
      </c>
      <c r="AL107">
        <f t="shared" si="18"/>
        <v>17.867999999999999</v>
      </c>
      <c r="AM107">
        <f t="shared" si="19"/>
        <v>6.941521451999999</v>
      </c>
      <c r="AP107" s="9"/>
      <c r="AQ107" s="22">
        <v>1.3915999999999999</v>
      </c>
      <c r="AR107" s="22">
        <v>359.95400000000001</v>
      </c>
      <c r="AS107" s="22">
        <v>-1.7038000000000001E-2</v>
      </c>
      <c r="AT107" s="22">
        <v>97</v>
      </c>
      <c r="AU107" s="22">
        <v>1.39069</v>
      </c>
      <c r="AV107">
        <f t="shared" si="20"/>
        <v>17.038</v>
      </c>
      <c r="AW107">
        <f t="shared" si="21"/>
        <v>23.7100808</v>
      </c>
      <c r="AX107" s="9"/>
      <c r="AY107" s="22">
        <v>0.38848899999999997</v>
      </c>
      <c r="AZ107" s="22">
        <v>412.38299999999998</v>
      </c>
      <c r="BA107" s="22">
        <v>-1.7919899999999999E-2</v>
      </c>
      <c r="BB107" s="22">
        <v>97</v>
      </c>
      <c r="BC107" s="22">
        <v>0.38781700000000002</v>
      </c>
      <c r="BD107">
        <f t="shared" si="22"/>
        <v>17.919899999999998</v>
      </c>
      <c r="BE107">
        <f t="shared" si="23"/>
        <v>6.961684031099999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25.2605</v>
      </c>
      <c r="I108" s="22">
        <v>-1.6870099999999999E-2</v>
      </c>
      <c r="J108" s="22">
        <v>98</v>
      </c>
      <c r="K108" s="22">
        <v>1.38611</v>
      </c>
      <c r="L108">
        <f t="shared" si="12"/>
        <v>16.870100000000001</v>
      </c>
      <c r="M108">
        <f t="shared" si="13"/>
        <v>23.391574557000002</v>
      </c>
      <c r="N108" s="9"/>
      <c r="O108" s="22">
        <v>0.39352399999999998</v>
      </c>
      <c r="P108" s="22">
        <v>82.570400000000006</v>
      </c>
      <c r="Q108" s="22">
        <v>-1.7800900000000001E-2</v>
      </c>
      <c r="R108" s="22">
        <v>98</v>
      </c>
      <c r="S108" s="22">
        <v>0.392731</v>
      </c>
      <c r="T108">
        <f t="shared" si="14"/>
        <v>17.800900000000002</v>
      </c>
      <c r="U108">
        <f t="shared" si="15"/>
        <v>7.0050813716000002</v>
      </c>
      <c r="X108" s="9"/>
      <c r="Y108" s="22">
        <v>1.3865700000000001</v>
      </c>
      <c r="Z108" s="22">
        <v>172.72900000000001</v>
      </c>
      <c r="AA108" s="22">
        <v>-1.70013E-2</v>
      </c>
      <c r="AB108" s="22">
        <v>98</v>
      </c>
      <c r="AC108" s="22">
        <v>1.3857999999999999</v>
      </c>
      <c r="AD108">
        <f t="shared" si="16"/>
        <v>17.001300000000001</v>
      </c>
      <c r="AE108">
        <f t="shared" si="17"/>
        <v>23.573492541000004</v>
      </c>
      <c r="AF108" s="9"/>
      <c r="AG108" s="22">
        <v>0.39352399999999998</v>
      </c>
      <c r="AH108" s="22">
        <v>287.04199999999997</v>
      </c>
      <c r="AI108" s="22">
        <v>-1.7864999999999999E-2</v>
      </c>
      <c r="AJ108" s="22">
        <v>98</v>
      </c>
      <c r="AK108" s="22">
        <v>0.39288299999999998</v>
      </c>
      <c r="AL108">
        <f t="shared" si="18"/>
        <v>17.864999999999998</v>
      </c>
      <c r="AM108">
        <f t="shared" si="19"/>
        <v>7.0303062599999988</v>
      </c>
      <c r="AP108" s="9"/>
      <c r="AQ108" s="22">
        <v>1.3865700000000001</v>
      </c>
      <c r="AR108" s="22">
        <v>360.05500000000001</v>
      </c>
      <c r="AS108" s="22">
        <v>-1.70441E-2</v>
      </c>
      <c r="AT108" s="22">
        <v>98</v>
      </c>
      <c r="AU108" s="22">
        <v>1.3855</v>
      </c>
      <c r="AV108">
        <f t="shared" si="20"/>
        <v>17.0441</v>
      </c>
      <c r="AW108">
        <f t="shared" si="21"/>
        <v>23.632837737000003</v>
      </c>
      <c r="AX108" s="9"/>
      <c r="AY108" s="22">
        <v>0.39352399999999998</v>
      </c>
      <c r="AZ108" s="22">
        <v>412.48399999999998</v>
      </c>
      <c r="BA108" s="22">
        <v>-1.7913800000000001E-2</v>
      </c>
      <c r="BB108" s="22">
        <v>98</v>
      </c>
      <c r="BC108" s="22">
        <v>0.39285300000000001</v>
      </c>
      <c r="BD108">
        <f t="shared" si="22"/>
        <v>17.913800000000002</v>
      </c>
      <c r="BE108">
        <f t="shared" si="23"/>
        <v>7.0495102312000002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25.3612</v>
      </c>
      <c r="I109" s="22">
        <v>-1.6876200000000001E-2</v>
      </c>
      <c r="J109" s="22">
        <v>99</v>
      </c>
      <c r="K109" s="22">
        <v>1.3803099999999999</v>
      </c>
      <c r="L109">
        <f t="shared" si="12"/>
        <v>16.876200000000001</v>
      </c>
      <c r="M109">
        <f t="shared" si="13"/>
        <v>23.314976586</v>
      </c>
      <c r="N109" s="9"/>
      <c r="O109" s="22">
        <v>0.39856000000000003</v>
      </c>
      <c r="P109" s="22">
        <v>82.671099999999996</v>
      </c>
      <c r="Q109" s="22">
        <v>-1.77948E-2</v>
      </c>
      <c r="R109" s="22">
        <v>99</v>
      </c>
      <c r="S109" s="22">
        <v>0.39798</v>
      </c>
      <c r="T109">
        <f t="shared" si="14"/>
        <v>17.794799999999999</v>
      </c>
      <c r="U109">
        <f t="shared" si="15"/>
        <v>7.0922954879999995</v>
      </c>
      <c r="X109" s="9"/>
      <c r="Y109" s="22">
        <v>1.3815299999999999</v>
      </c>
      <c r="Z109" s="22">
        <v>172.83</v>
      </c>
      <c r="AA109" s="22">
        <v>-1.7010500000000001E-2</v>
      </c>
      <c r="AB109" s="22">
        <v>99</v>
      </c>
      <c r="AC109" s="22">
        <v>1.3809199999999999</v>
      </c>
      <c r="AD109">
        <f t="shared" si="16"/>
        <v>17.0105</v>
      </c>
      <c r="AE109">
        <f t="shared" si="17"/>
        <v>23.500516064999999</v>
      </c>
      <c r="AF109" s="9"/>
      <c r="AG109" s="22">
        <v>0.39856000000000003</v>
      </c>
      <c r="AH109" s="22">
        <v>287.14299999999997</v>
      </c>
      <c r="AI109" s="22">
        <v>-1.78589E-2</v>
      </c>
      <c r="AJ109" s="22">
        <v>99</v>
      </c>
      <c r="AK109" s="22">
        <v>0.39791900000000002</v>
      </c>
      <c r="AL109">
        <f t="shared" si="18"/>
        <v>17.858900000000002</v>
      </c>
      <c r="AM109">
        <f t="shared" si="19"/>
        <v>7.1178431840000016</v>
      </c>
      <c r="AP109" s="9"/>
      <c r="AQ109" s="22">
        <v>1.3815299999999999</v>
      </c>
      <c r="AR109" s="22">
        <v>360.15600000000001</v>
      </c>
      <c r="AS109" s="22">
        <v>-1.7047099999999999E-2</v>
      </c>
      <c r="AT109" s="22">
        <v>99</v>
      </c>
      <c r="AU109" s="22">
        <v>1.38062</v>
      </c>
      <c r="AV109">
        <f t="shared" si="20"/>
        <v>17.0471</v>
      </c>
      <c r="AW109">
        <f t="shared" si="21"/>
        <v>23.551080063000001</v>
      </c>
      <c r="AX109" s="9"/>
      <c r="AY109" s="22">
        <v>0.39856000000000003</v>
      </c>
      <c r="AZ109" s="22">
        <v>412.58499999999998</v>
      </c>
      <c r="BA109" s="22">
        <v>-1.7910800000000001E-2</v>
      </c>
      <c r="BB109" s="22">
        <v>99</v>
      </c>
      <c r="BC109" s="22">
        <v>0.39788800000000002</v>
      </c>
      <c r="BD109">
        <f t="shared" si="22"/>
        <v>17.910800000000002</v>
      </c>
      <c r="BE109">
        <f t="shared" si="23"/>
        <v>7.1385284480000015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25.4619</v>
      </c>
      <c r="I110" s="22">
        <v>-1.6882299999999999E-2</v>
      </c>
      <c r="J110" s="22">
        <v>100</v>
      </c>
      <c r="K110" s="22">
        <v>1.3760399999999999</v>
      </c>
      <c r="L110">
        <f t="shared" si="12"/>
        <v>16.882300000000001</v>
      </c>
      <c r="M110">
        <f t="shared" si="13"/>
        <v>23.238485950000001</v>
      </c>
      <c r="N110" s="9"/>
      <c r="O110" s="22">
        <v>0.40359499999999998</v>
      </c>
      <c r="P110" s="22">
        <v>82.771799999999999</v>
      </c>
      <c r="Q110" s="22">
        <v>-1.7791700000000001E-2</v>
      </c>
      <c r="R110" s="22">
        <v>100</v>
      </c>
      <c r="S110" s="22">
        <v>0.402893</v>
      </c>
      <c r="T110">
        <f t="shared" si="14"/>
        <v>17.791700000000002</v>
      </c>
      <c r="U110">
        <f t="shared" si="15"/>
        <v>7.1806411615000005</v>
      </c>
      <c r="X110" s="9"/>
      <c r="Y110" s="22">
        <v>1.3765000000000001</v>
      </c>
      <c r="Z110" s="22">
        <v>172.93</v>
      </c>
      <c r="AA110" s="22">
        <v>-1.7010500000000001E-2</v>
      </c>
      <c r="AB110" s="22">
        <v>100</v>
      </c>
      <c r="AC110" s="22">
        <v>1.3757299999999999</v>
      </c>
      <c r="AD110">
        <f t="shared" si="16"/>
        <v>17.0105</v>
      </c>
      <c r="AE110">
        <f t="shared" si="17"/>
        <v>23.41495325</v>
      </c>
      <c r="AF110" s="9"/>
      <c r="AG110" s="22">
        <v>0.40359499999999998</v>
      </c>
      <c r="AH110" s="22">
        <v>287.24299999999999</v>
      </c>
      <c r="AI110" s="22">
        <v>-1.7855800000000002E-2</v>
      </c>
      <c r="AJ110" s="22">
        <v>100</v>
      </c>
      <c r="AK110" s="22">
        <v>0.40295399999999998</v>
      </c>
      <c r="AL110">
        <f t="shared" si="18"/>
        <v>17.855800000000002</v>
      </c>
      <c r="AM110">
        <f t="shared" si="19"/>
        <v>7.2065116010000008</v>
      </c>
      <c r="AP110" s="9"/>
      <c r="AQ110" s="22">
        <v>1.3765000000000001</v>
      </c>
      <c r="AR110" s="22">
        <v>360.25599999999997</v>
      </c>
      <c r="AS110" s="22">
        <v>-1.7053200000000001E-2</v>
      </c>
      <c r="AT110" s="22">
        <v>100</v>
      </c>
      <c r="AU110" s="22">
        <v>1.3757299999999999</v>
      </c>
      <c r="AV110">
        <f t="shared" si="20"/>
        <v>17.0532</v>
      </c>
      <c r="AW110">
        <f t="shared" si="21"/>
        <v>23.473729800000001</v>
      </c>
      <c r="AX110" s="9"/>
      <c r="AY110" s="22">
        <v>0.40359499999999998</v>
      </c>
      <c r="AZ110" s="22">
        <v>412.685</v>
      </c>
      <c r="BA110" s="22">
        <v>-1.7907699999999999E-2</v>
      </c>
      <c r="BB110" s="22">
        <v>100</v>
      </c>
      <c r="BC110" s="22">
        <v>0.40298499999999998</v>
      </c>
      <c r="BD110">
        <f t="shared" si="22"/>
        <v>17.907699999999998</v>
      </c>
      <c r="BE110">
        <f t="shared" si="23"/>
        <v>7.2274581814999994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25.5627</v>
      </c>
      <c r="I111" s="22">
        <v>-1.6885399999999998E-2</v>
      </c>
      <c r="J111" s="22">
        <v>101</v>
      </c>
      <c r="K111" s="22">
        <v>1.3699300000000001</v>
      </c>
      <c r="L111">
        <f t="shared" si="12"/>
        <v>16.885399999999997</v>
      </c>
      <c r="M111">
        <f t="shared" si="13"/>
        <v>23.157650683999993</v>
      </c>
      <c r="N111" s="9"/>
      <c r="O111" s="22">
        <v>0.40862999999999999</v>
      </c>
      <c r="P111" s="22">
        <v>82.872500000000002</v>
      </c>
      <c r="Q111" s="22">
        <v>-1.7791700000000001E-2</v>
      </c>
      <c r="R111" s="22">
        <v>101</v>
      </c>
      <c r="S111" s="22">
        <v>0.40799000000000002</v>
      </c>
      <c r="T111">
        <f t="shared" si="14"/>
        <v>17.791700000000002</v>
      </c>
      <c r="U111">
        <f t="shared" si="15"/>
        <v>7.2702223710000009</v>
      </c>
      <c r="X111" s="9"/>
      <c r="Y111" s="22">
        <v>1.3714599999999999</v>
      </c>
      <c r="Z111" s="22">
        <v>173.03100000000001</v>
      </c>
      <c r="AA111" s="22">
        <v>-1.7022700000000002E-2</v>
      </c>
      <c r="AB111" s="22">
        <v>101</v>
      </c>
      <c r="AC111" s="22">
        <v>1.3705400000000001</v>
      </c>
      <c r="AD111">
        <f t="shared" si="16"/>
        <v>17.0227</v>
      </c>
      <c r="AE111">
        <f t="shared" si="17"/>
        <v>23.345952141999998</v>
      </c>
      <c r="AF111" s="9"/>
      <c r="AG111" s="22">
        <v>0.40862999999999999</v>
      </c>
      <c r="AH111" s="22">
        <v>287.34399999999999</v>
      </c>
      <c r="AI111" s="22">
        <v>-1.7852799999999999E-2</v>
      </c>
      <c r="AJ111" s="22">
        <v>101</v>
      </c>
      <c r="AK111" s="22">
        <v>0.40771499999999999</v>
      </c>
      <c r="AL111">
        <f t="shared" si="18"/>
        <v>17.852799999999998</v>
      </c>
      <c r="AM111">
        <f t="shared" si="19"/>
        <v>7.2951896639999996</v>
      </c>
      <c r="AP111" s="9"/>
      <c r="AQ111" s="22">
        <v>1.3714599999999999</v>
      </c>
      <c r="AR111" s="22">
        <v>360.35700000000003</v>
      </c>
      <c r="AS111" s="22">
        <v>-1.70685E-2</v>
      </c>
      <c r="AT111" s="22">
        <v>101</v>
      </c>
      <c r="AU111" s="22">
        <v>1.3711500000000001</v>
      </c>
      <c r="AV111">
        <f t="shared" si="20"/>
        <v>17.0685</v>
      </c>
      <c r="AW111">
        <f t="shared" si="21"/>
        <v>23.40876501</v>
      </c>
      <c r="AX111" s="9"/>
      <c r="AY111" s="22">
        <v>0.40862999999999999</v>
      </c>
      <c r="AZ111" s="22">
        <v>412.786</v>
      </c>
      <c r="BA111" s="22">
        <v>-1.7907699999999999E-2</v>
      </c>
      <c r="BB111" s="22">
        <v>101</v>
      </c>
      <c r="BC111" s="22">
        <v>0.40786699999999998</v>
      </c>
      <c r="BD111">
        <f t="shared" si="22"/>
        <v>17.907699999999998</v>
      </c>
      <c r="BE111">
        <f t="shared" si="23"/>
        <v>7.3176234509999993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25.663399999999999</v>
      </c>
      <c r="I112" s="22">
        <v>-1.68915E-2</v>
      </c>
      <c r="J112" s="22">
        <v>102</v>
      </c>
      <c r="K112" s="22">
        <v>1.3659699999999999</v>
      </c>
      <c r="L112">
        <f t="shared" si="12"/>
        <v>16.891500000000001</v>
      </c>
      <c r="M112">
        <f t="shared" si="13"/>
        <v>23.08088343</v>
      </c>
      <c r="N112" s="9"/>
      <c r="O112" s="22">
        <v>0.41366599999999998</v>
      </c>
      <c r="P112" s="22">
        <v>82.973200000000006</v>
      </c>
      <c r="Q112" s="22">
        <v>-1.7788700000000001E-2</v>
      </c>
      <c r="R112" s="22">
        <v>102</v>
      </c>
      <c r="S112" s="22">
        <v>0.41284199999999999</v>
      </c>
      <c r="T112">
        <f t="shared" si="14"/>
        <v>17.788700000000002</v>
      </c>
      <c r="U112">
        <f t="shared" si="15"/>
        <v>7.3585803742000007</v>
      </c>
      <c r="X112" s="9"/>
      <c r="Y112" s="22">
        <v>1.36642</v>
      </c>
      <c r="Z112" s="22">
        <v>173.13200000000001</v>
      </c>
      <c r="AA112" s="22">
        <v>-1.7025800000000001E-2</v>
      </c>
      <c r="AB112" s="22">
        <v>102</v>
      </c>
      <c r="AC112" s="22">
        <v>1.3653599999999999</v>
      </c>
      <c r="AD112">
        <f t="shared" si="16"/>
        <v>17.0258</v>
      </c>
      <c r="AE112">
        <f t="shared" si="17"/>
        <v>23.264393636000001</v>
      </c>
      <c r="AF112" s="9"/>
      <c r="AG112" s="22">
        <v>0.41366599999999998</v>
      </c>
      <c r="AH112" s="22">
        <v>287.44499999999999</v>
      </c>
      <c r="AI112" s="22">
        <v>-1.78467E-2</v>
      </c>
      <c r="AJ112" s="22">
        <v>102</v>
      </c>
      <c r="AK112" s="22">
        <v>0.41275000000000001</v>
      </c>
      <c r="AL112">
        <f t="shared" si="18"/>
        <v>17.846699999999998</v>
      </c>
      <c r="AM112">
        <f t="shared" si="19"/>
        <v>7.3825730021999991</v>
      </c>
      <c r="AP112" s="9"/>
      <c r="AQ112" s="22">
        <v>1.36642</v>
      </c>
      <c r="AR112" s="22">
        <v>360.45800000000003</v>
      </c>
      <c r="AS112" s="22">
        <v>-1.7074599999999999E-2</v>
      </c>
      <c r="AT112" s="22">
        <v>102</v>
      </c>
      <c r="AU112" s="22">
        <v>1.3653599999999999</v>
      </c>
      <c r="AV112">
        <f t="shared" si="20"/>
        <v>17.0746</v>
      </c>
      <c r="AW112">
        <f t="shared" si="21"/>
        <v>23.331074932</v>
      </c>
      <c r="AX112" s="9"/>
      <c r="AY112" s="22">
        <v>0.41366599999999998</v>
      </c>
      <c r="AZ112" s="22">
        <v>412.887</v>
      </c>
      <c r="BA112" s="22">
        <v>-1.79016E-2</v>
      </c>
      <c r="BB112" s="22">
        <v>102</v>
      </c>
      <c r="BC112" s="22">
        <v>0.41293299999999999</v>
      </c>
      <c r="BD112">
        <f t="shared" si="22"/>
        <v>17.901599999999998</v>
      </c>
      <c r="BE112">
        <f t="shared" si="23"/>
        <v>7.4052832655999987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25.764099999999999</v>
      </c>
      <c r="I113" s="22">
        <v>-1.6900600000000002E-2</v>
      </c>
      <c r="J113" s="22">
        <v>103</v>
      </c>
      <c r="K113" s="22">
        <v>1.3598600000000001</v>
      </c>
      <c r="L113">
        <f t="shared" si="12"/>
        <v>16.900600000000001</v>
      </c>
      <c r="M113">
        <f t="shared" si="13"/>
        <v>23.008307834000004</v>
      </c>
      <c r="N113" s="9"/>
      <c r="O113" s="22">
        <v>0.41870099999999999</v>
      </c>
      <c r="P113" s="22">
        <v>83.073999999999998</v>
      </c>
      <c r="Q113" s="22">
        <v>-1.7785599999999999E-2</v>
      </c>
      <c r="R113" s="22">
        <v>103</v>
      </c>
      <c r="S113" s="22">
        <v>0.417908</v>
      </c>
      <c r="T113">
        <f t="shared" si="14"/>
        <v>17.785599999999999</v>
      </c>
      <c r="U113">
        <f t="shared" si="15"/>
        <v>7.4468485055999993</v>
      </c>
      <c r="X113" s="9"/>
      <c r="Y113" s="22">
        <v>1.3613900000000001</v>
      </c>
      <c r="Z113" s="22">
        <v>173.232</v>
      </c>
      <c r="AA113" s="22">
        <v>-1.70288E-2</v>
      </c>
      <c r="AB113" s="22">
        <v>103</v>
      </c>
      <c r="AC113" s="22">
        <v>1.3604700000000001</v>
      </c>
      <c r="AD113">
        <f t="shared" si="16"/>
        <v>17.0288</v>
      </c>
      <c r="AE113">
        <f t="shared" si="17"/>
        <v>23.182838032000003</v>
      </c>
      <c r="AF113" s="9"/>
      <c r="AG113" s="22">
        <v>0.41870099999999999</v>
      </c>
      <c r="AH113" s="22">
        <v>287.54500000000002</v>
      </c>
      <c r="AI113" s="22">
        <v>-1.7843600000000001E-2</v>
      </c>
      <c r="AJ113" s="22">
        <v>103</v>
      </c>
      <c r="AK113" s="22">
        <v>0.41772500000000001</v>
      </c>
      <c r="AL113">
        <f t="shared" si="18"/>
        <v>17.843600000000002</v>
      </c>
      <c r="AM113">
        <f t="shared" si="19"/>
        <v>7.4711331636000011</v>
      </c>
      <c r="AP113" s="9"/>
      <c r="AQ113" s="22">
        <v>1.3613900000000001</v>
      </c>
      <c r="AR113" s="22">
        <v>360.55900000000003</v>
      </c>
      <c r="AS113" s="22">
        <v>-1.70837E-2</v>
      </c>
      <c r="AT113" s="22">
        <v>103</v>
      </c>
      <c r="AU113" s="22">
        <v>1.3604700000000001</v>
      </c>
      <c r="AV113">
        <f t="shared" si="20"/>
        <v>17.0837</v>
      </c>
      <c r="AW113">
        <f t="shared" si="21"/>
        <v>23.257578343000002</v>
      </c>
      <c r="AX113" s="9"/>
      <c r="AY113" s="22">
        <v>0.41870099999999999</v>
      </c>
      <c r="AZ113" s="22">
        <v>412.98700000000002</v>
      </c>
      <c r="BA113" s="22">
        <v>-1.7895500000000002E-2</v>
      </c>
      <c r="BB113" s="22">
        <v>103</v>
      </c>
      <c r="BC113" s="22">
        <v>0.417908</v>
      </c>
      <c r="BD113">
        <f t="shared" si="22"/>
        <v>17.895500000000002</v>
      </c>
      <c r="BE113">
        <f t="shared" si="23"/>
        <v>7.4928637455000002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25.864799999999999</v>
      </c>
      <c r="I114" s="22">
        <v>-1.69067E-2</v>
      </c>
      <c r="J114" s="22">
        <v>104</v>
      </c>
      <c r="K114" s="22">
        <v>1.3552900000000001</v>
      </c>
      <c r="L114">
        <f t="shared" si="12"/>
        <v>16.906700000000001</v>
      </c>
      <c r="M114">
        <f t="shared" si="13"/>
        <v>22.931402545000001</v>
      </c>
      <c r="N114" s="9"/>
      <c r="O114" s="22">
        <v>0.42373699999999997</v>
      </c>
      <c r="P114" s="22">
        <v>83.174700000000001</v>
      </c>
      <c r="Q114" s="22">
        <v>-1.7785599999999999E-2</v>
      </c>
      <c r="R114" s="22">
        <v>104</v>
      </c>
      <c r="S114" s="22">
        <v>0.42303499999999999</v>
      </c>
      <c r="T114">
        <f t="shared" si="14"/>
        <v>17.785599999999999</v>
      </c>
      <c r="U114">
        <f t="shared" si="15"/>
        <v>7.5364167871999994</v>
      </c>
      <c r="X114" s="9"/>
      <c r="Y114" s="22">
        <v>1.3563499999999999</v>
      </c>
      <c r="Z114" s="22">
        <v>173.333</v>
      </c>
      <c r="AA114" s="22">
        <v>-1.7031899999999999E-2</v>
      </c>
      <c r="AB114" s="22">
        <v>104</v>
      </c>
      <c r="AC114" s="22">
        <v>1.3549800000000001</v>
      </c>
      <c r="AD114">
        <f t="shared" si="16"/>
        <v>17.0319</v>
      </c>
      <c r="AE114">
        <f t="shared" si="17"/>
        <v>23.101217564999999</v>
      </c>
      <c r="AF114" s="9"/>
      <c r="AG114" s="22">
        <v>0.42373699999999997</v>
      </c>
      <c r="AH114" s="22">
        <v>287.64600000000002</v>
      </c>
      <c r="AI114" s="22">
        <v>-1.7837499999999999E-2</v>
      </c>
      <c r="AJ114" s="22">
        <v>104</v>
      </c>
      <c r="AK114" s="22">
        <v>0.42291299999999998</v>
      </c>
      <c r="AL114">
        <f t="shared" si="18"/>
        <v>17.837499999999999</v>
      </c>
      <c r="AM114">
        <f t="shared" si="19"/>
        <v>7.5584087374999989</v>
      </c>
      <c r="AP114" s="9"/>
      <c r="AQ114" s="22">
        <v>1.3563499999999999</v>
      </c>
      <c r="AR114" s="22">
        <v>360.65899999999999</v>
      </c>
      <c r="AS114" s="22">
        <v>-1.7089799999999999E-2</v>
      </c>
      <c r="AT114" s="22">
        <v>104</v>
      </c>
      <c r="AU114" s="22">
        <v>1.3555900000000001</v>
      </c>
      <c r="AV114">
        <f t="shared" si="20"/>
        <v>17.0898</v>
      </c>
      <c r="AW114">
        <f t="shared" si="21"/>
        <v>23.17975023</v>
      </c>
      <c r="AX114" s="9"/>
      <c r="AY114" s="22">
        <v>0.42373699999999997</v>
      </c>
      <c r="AZ114" s="22">
        <v>413.08800000000002</v>
      </c>
      <c r="BA114" s="22">
        <v>-1.7895500000000002E-2</v>
      </c>
      <c r="BB114" s="22">
        <v>104</v>
      </c>
      <c r="BC114" s="22">
        <v>0.423126</v>
      </c>
      <c r="BD114">
        <f t="shared" si="22"/>
        <v>17.895500000000002</v>
      </c>
      <c r="BE114">
        <f t="shared" si="23"/>
        <v>7.5829854835000008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25.965499999999999</v>
      </c>
      <c r="I115" s="22">
        <v>-1.6915900000000001E-2</v>
      </c>
      <c r="J115" s="22">
        <v>105</v>
      </c>
      <c r="K115" s="22">
        <v>1.3504</v>
      </c>
      <c r="L115">
        <f t="shared" si="12"/>
        <v>16.915900000000001</v>
      </c>
      <c r="M115">
        <f t="shared" si="13"/>
        <v>22.858793988000002</v>
      </c>
      <c r="N115" s="9"/>
      <c r="O115" s="22">
        <v>0.42877199999999999</v>
      </c>
      <c r="P115" s="22">
        <v>83.275400000000005</v>
      </c>
      <c r="Q115" s="22">
        <v>-1.77795E-2</v>
      </c>
      <c r="R115" s="22">
        <v>105</v>
      </c>
      <c r="S115" s="22">
        <v>0.42807000000000001</v>
      </c>
      <c r="T115">
        <f t="shared" si="14"/>
        <v>17.779499999999999</v>
      </c>
      <c r="U115">
        <f t="shared" si="15"/>
        <v>7.6233517739999996</v>
      </c>
      <c r="X115" s="9"/>
      <c r="Y115" s="22">
        <v>1.3513200000000001</v>
      </c>
      <c r="Z115" s="22">
        <v>173.434</v>
      </c>
      <c r="AA115" s="22">
        <v>-1.7038000000000001E-2</v>
      </c>
      <c r="AB115" s="22">
        <v>105</v>
      </c>
      <c r="AC115" s="22">
        <v>1.3504</v>
      </c>
      <c r="AD115">
        <f t="shared" si="16"/>
        <v>17.038</v>
      </c>
      <c r="AE115">
        <f t="shared" si="17"/>
        <v>23.023790160000001</v>
      </c>
      <c r="AF115" s="9"/>
      <c r="AG115" s="22">
        <v>0.42877199999999999</v>
      </c>
      <c r="AH115" s="22">
        <v>287.74700000000001</v>
      </c>
      <c r="AI115" s="22">
        <v>-1.78345E-2</v>
      </c>
      <c r="AJ115" s="22">
        <v>105</v>
      </c>
      <c r="AK115" s="22">
        <v>0.42803999999999998</v>
      </c>
      <c r="AL115">
        <f t="shared" si="18"/>
        <v>17.834499999999998</v>
      </c>
      <c r="AM115">
        <f t="shared" si="19"/>
        <v>7.6469342339999988</v>
      </c>
      <c r="AP115" s="9"/>
      <c r="AQ115" s="22">
        <v>1.3513200000000001</v>
      </c>
      <c r="AR115" s="22">
        <v>360.76</v>
      </c>
      <c r="AS115" s="22">
        <v>-1.7089799999999999E-2</v>
      </c>
      <c r="AT115" s="22">
        <v>105</v>
      </c>
      <c r="AU115" s="22">
        <v>1.3507100000000001</v>
      </c>
      <c r="AV115">
        <f t="shared" si="20"/>
        <v>17.0898</v>
      </c>
      <c r="AW115">
        <f t="shared" si="21"/>
        <v>23.093788536000002</v>
      </c>
      <c r="AX115" s="9"/>
      <c r="AY115" s="22">
        <v>0.42877199999999999</v>
      </c>
      <c r="AZ115" s="22">
        <v>413.18900000000002</v>
      </c>
      <c r="BA115" s="22">
        <v>-1.78894E-2</v>
      </c>
      <c r="BB115" s="22">
        <v>105</v>
      </c>
      <c r="BC115" s="22">
        <v>0.42803999999999998</v>
      </c>
      <c r="BD115">
        <f t="shared" si="22"/>
        <v>17.889399999999998</v>
      </c>
      <c r="BE115">
        <f t="shared" si="23"/>
        <v>7.6704738167999995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26.066199999999998</v>
      </c>
      <c r="I116" s="22">
        <v>-1.6922E-2</v>
      </c>
      <c r="J116" s="22">
        <v>106</v>
      </c>
      <c r="K116" s="22">
        <v>1.34521</v>
      </c>
      <c r="L116">
        <f t="shared" si="12"/>
        <v>16.922000000000001</v>
      </c>
      <c r="M116">
        <f t="shared" si="13"/>
        <v>22.781750159999998</v>
      </c>
      <c r="N116" s="9"/>
      <c r="O116" s="22">
        <v>0.433807</v>
      </c>
      <c r="P116" s="22">
        <v>83.376099999999994</v>
      </c>
      <c r="Q116" s="22">
        <v>-1.7776500000000001E-2</v>
      </c>
      <c r="R116" s="22">
        <v>106</v>
      </c>
      <c r="S116" s="22">
        <v>0.43304399999999998</v>
      </c>
      <c r="T116">
        <f t="shared" si="14"/>
        <v>17.776500000000002</v>
      </c>
      <c r="U116">
        <f t="shared" si="15"/>
        <v>7.7115701355000006</v>
      </c>
      <c r="X116" s="9"/>
      <c r="Y116" s="22">
        <v>1.3462799999999999</v>
      </c>
      <c r="Z116" s="22">
        <v>173.535</v>
      </c>
      <c r="AA116" s="22">
        <v>-1.7047099999999999E-2</v>
      </c>
      <c r="AB116" s="22">
        <v>106</v>
      </c>
      <c r="AC116" s="22">
        <v>1.34521</v>
      </c>
      <c r="AD116">
        <f t="shared" si="16"/>
        <v>17.0471</v>
      </c>
      <c r="AE116">
        <f t="shared" si="17"/>
        <v>22.950169788</v>
      </c>
      <c r="AF116" s="9"/>
      <c r="AG116" s="22">
        <v>0.433807</v>
      </c>
      <c r="AH116" s="22">
        <v>287.84800000000001</v>
      </c>
      <c r="AI116" s="22">
        <v>-1.78345E-2</v>
      </c>
      <c r="AJ116" s="22">
        <v>106</v>
      </c>
      <c r="AK116" s="22">
        <v>0.43325799999999998</v>
      </c>
      <c r="AL116">
        <f t="shared" si="18"/>
        <v>17.834499999999998</v>
      </c>
      <c r="AM116">
        <f t="shared" si="19"/>
        <v>7.7367309414999994</v>
      </c>
      <c r="AP116" s="9"/>
      <c r="AQ116" s="22">
        <v>1.3462799999999999</v>
      </c>
      <c r="AR116" s="22">
        <v>360.86099999999999</v>
      </c>
      <c r="AS116" s="22">
        <v>-1.7102099999999999E-2</v>
      </c>
      <c r="AT116" s="22">
        <v>106</v>
      </c>
      <c r="AU116" s="22">
        <v>1.34491</v>
      </c>
      <c r="AV116">
        <f t="shared" si="20"/>
        <v>17.1021</v>
      </c>
      <c r="AW116">
        <f t="shared" si="21"/>
        <v>23.024215187999999</v>
      </c>
      <c r="AX116" s="9"/>
      <c r="AY116" s="22">
        <v>0.433807</v>
      </c>
      <c r="AZ116" s="22">
        <v>413.28899999999999</v>
      </c>
      <c r="BA116" s="22">
        <v>-1.78864E-2</v>
      </c>
      <c r="BB116" s="22">
        <v>106</v>
      </c>
      <c r="BC116" s="22">
        <v>0.43310500000000002</v>
      </c>
      <c r="BD116">
        <f t="shared" si="22"/>
        <v>17.886400000000002</v>
      </c>
      <c r="BE116">
        <f t="shared" si="23"/>
        <v>7.7592455248000007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26.166899999999998</v>
      </c>
      <c r="I117" s="22">
        <v>-1.6924999999999999E-2</v>
      </c>
      <c r="J117" s="22">
        <v>107</v>
      </c>
      <c r="K117" s="22">
        <v>1.3394200000000001</v>
      </c>
      <c r="L117">
        <f t="shared" si="12"/>
        <v>16.925000000000001</v>
      </c>
      <c r="M117">
        <f t="shared" si="13"/>
        <v>22.700656250000002</v>
      </c>
      <c r="N117" s="9"/>
      <c r="O117" s="22">
        <v>0.43884299999999998</v>
      </c>
      <c r="P117" s="22">
        <v>83.476799999999997</v>
      </c>
      <c r="Q117" s="22">
        <v>-1.7773400000000002E-2</v>
      </c>
      <c r="R117" s="22">
        <v>107</v>
      </c>
      <c r="S117" s="22">
        <v>0.43804900000000002</v>
      </c>
      <c r="T117">
        <f t="shared" si="14"/>
        <v>17.773400000000002</v>
      </c>
      <c r="U117">
        <f t="shared" si="15"/>
        <v>7.7997321762000009</v>
      </c>
      <c r="X117" s="9"/>
      <c r="Y117" s="22">
        <v>1.3412500000000001</v>
      </c>
      <c r="Z117" s="22">
        <v>173.63499999999999</v>
      </c>
      <c r="AA117" s="22">
        <v>-1.7053200000000001E-2</v>
      </c>
      <c r="AB117" s="22">
        <v>107</v>
      </c>
      <c r="AC117" s="22">
        <v>1.3400300000000001</v>
      </c>
      <c r="AD117">
        <f t="shared" si="16"/>
        <v>17.0532</v>
      </c>
      <c r="AE117">
        <f t="shared" si="17"/>
        <v>22.872604500000001</v>
      </c>
      <c r="AF117" s="9"/>
      <c r="AG117" s="22">
        <v>0.43884299999999998</v>
      </c>
      <c r="AH117" s="22">
        <v>287.94799999999998</v>
      </c>
      <c r="AI117" s="22">
        <v>-1.7828400000000001E-2</v>
      </c>
      <c r="AJ117" s="22">
        <v>107</v>
      </c>
      <c r="AK117" s="22">
        <v>0.43786599999999998</v>
      </c>
      <c r="AL117">
        <f t="shared" si="18"/>
        <v>17.828400000000002</v>
      </c>
      <c r="AM117">
        <f t="shared" si="19"/>
        <v>7.8238685412000004</v>
      </c>
      <c r="AP117" s="9"/>
      <c r="AQ117" s="22">
        <v>1.3412500000000001</v>
      </c>
      <c r="AR117" s="22">
        <v>360.96100000000001</v>
      </c>
      <c r="AS117" s="22">
        <v>-1.71082E-2</v>
      </c>
      <c r="AT117" s="22">
        <v>107</v>
      </c>
      <c r="AU117" s="22">
        <v>1.34033</v>
      </c>
      <c r="AV117">
        <f t="shared" si="20"/>
        <v>17.1082</v>
      </c>
      <c r="AW117">
        <f t="shared" si="21"/>
        <v>22.946373250000001</v>
      </c>
      <c r="AX117" s="9"/>
      <c r="AY117" s="22">
        <v>0.43884299999999998</v>
      </c>
      <c r="AZ117" s="22">
        <v>413.39</v>
      </c>
      <c r="BA117" s="22">
        <v>-1.7883300000000001E-2</v>
      </c>
      <c r="BB117" s="22">
        <v>107</v>
      </c>
      <c r="BC117" s="22">
        <v>0.43801899999999999</v>
      </c>
      <c r="BD117">
        <f t="shared" si="22"/>
        <v>17.883300000000002</v>
      </c>
      <c r="BE117">
        <f t="shared" si="23"/>
        <v>7.8479610219000007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26.267600000000002</v>
      </c>
      <c r="I118" s="22">
        <v>-1.69312E-2</v>
      </c>
      <c r="J118" s="22">
        <v>108</v>
      </c>
      <c r="K118" s="22">
        <v>1.33484</v>
      </c>
      <c r="L118">
        <f t="shared" si="12"/>
        <v>16.9312</v>
      </c>
      <c r="M118">
        <f t="shared" si="13"/>
        <v>22.623638751999998</v>
      </c>
      <c r="N118" s="9"/>
      <c r="O118" s="22">
        <v>0.44387799999999999</v>
      </c>
      <c r="P118" s="22">
        <v>83.577500000000001</v>
      </c>
      <c r="Q118" s="22">
        <v>-1.7770399999999999E-2</v>
      </c>
      <c r="R118" s="22">
        <v>108</v>
      </c>
      <c r="S118" s="22">
        <v>0.44317600000000001</v>
      </c>
      <c r="T118">
        <f t="shared" si="14"/>
        <v>17.770399999999999</v>
      </c>
      <c r="U118">
        <f t="shared" si="15"/>
        <v>7.8878896111999994</v>
      </c>
      <c r="X118" s="9"/>
      <c r="Y118" s="22">
        <v>1.3362099999999999</v>
      </c>
      <c r="Z118" s="22">
        <v>173.73599999999999</v>
      </c>
      <c r="AA118" s="22">
        <v>-1.7062399999999998E-2</v>
      </c>
      <c r="AB118" s="22">
        <v>108</v>
      </c>
      <c r="AC118" s="22">
        <v>1.33545</v>
      </c>
      <c r="AD118">
        <f t="shared" si="16"/>
        <v>17.062399999999997</v>
      </c>
      <c r="AE118">
        <f t="shared" si="17"/>
        <v>22.798949503999992</v>
      </c>
      <c r="AF118" s="9"/>
      <c r="AG118" s="22">
        <v>0.44387799999999999</v>
      </c>
      <c r="AH118" s="22">
        <v>288.04899999999998</v>
      </c>
      <c r="AI118" s="22">
        <v>-1.7825299999999999E-2</v>
      </c>
      <c r="AJ118" s="22">
        <v>108</v>
      </c>
      <c r="AK118" s="22">
        <v>0.44345099999999998</v>
      </c>
      <c r="AL118">
        <f t="shared" si="18"/>
        <v>17.825299999999999</v>
      </c>
      <c r="AM118">
        <f t="shared" si="19"/>
        <v>7.9122585133999994</v>
      </c>
      <c r="AP118" s="9"/>
      <c r="AQ118" s="22">
        <v>1.3362099999999999</v>
      </c>
      <c r="AR118" s="22">
        <v>361.06200000000001</v>
      </c>
      <c r="AS118" s="22">
        <v>-1.7114299999999999E-2</v>
      </c>
      <c r="AT118" s="22">
        <v>108</v>
      </c>
      <c r="AU118" s="22">
        <v>1.33514</v>
      </c>
      <c r="AV118">
        <f t="shared" si="20"/>
        <v>17.1143</v>
      </c>
      <c r="AW118">
        <f t="shared" si="21"/>
        <v>22.868298802999998</v>
      </c>
      <c r="AX118" s="9"/>
      <c r="AY118" s="22">
        <v>0.44387799999999999</v>
      </c>
      <c r="AZ118" s="22">
        <v>413.49099999999999</v>
      </c>
      <c r="BA118" s="22">
        <v>-1.7880199999999999E-2</v>
      </c>
      <c r="BB118" s="22">
        <v>108</v>
      </c>
      <c r="BC118" s="22">
        <v>0.443054</v>
      </c>
      <c r="BD118">
        <f t="shared" si="22"/>
        <v>17.880199999999999</v>
      </c>
      <c r="BE118">
        <f t="shared" si="23"/>
        <v>7.9366274155999994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26.368300000000001</v>
      </c>
      <c r="I119" s="22">
        <v>-1.6937299999999999E-2</v>
      </c>
      <c r="J119" s="22">
        <v>109</v>
      </c>
      <c r="K119" s="22">
        <v>1.32996</v>
      </c>
      <c r="L119">
        <f t="shared" si="12"/>
        <v>16.9373</v>
      </c>
      <c r="M119">
        <f t="shared" si="13"/>
        <v>22.546595014000001</v>
      </c>
      <c r="N119" s="9"/>
      <c r="O119" s="22">
        <v>0.44891399999999998</v>
      </c>
      <c r="P119" s="22">
        <v>83.678200000000004</v>
      </c>
      <c r="Q119" s="22">
        <v>-1.77643E-2</v>
      </c>
      <c r="R119" s="22">
        <v>109</v>
      </c>
      <c r="S119" s="22">
        <v>0.448181</v>
      </c>
      <c r="T119">
        <f t="shared" si="14"/>
        <v>17.764299999999999</v>
      </c>
      <c r="U119">
        <f t="shared" si="15"/>
        <v>7.9746429701999988</v>
      </c>
      <c r="X119" s="9"/>
      <c r="Y119" s="22">
        <v>1.33118</v>
      </c>
      <c r="Z119" s="22">
        <v>173.83699999999999</v>
      </c>
      <c r="AA119" s="22">
        <v>-1.70685E-2</v>
      </c>
      <c r="AB119" s="22">
        <v>109</v>
      </c>
      <c r="AC119" s="22">
        <v>1.33026</v>
      </c>
      <c r="AD119">
        <f t="shared" si="16"/>
        <v>17.0685</v>
      </c>
      <c r="AE119">
        <f t="shared" si="17"/>
        <v>22.721245830000001</v>
      </c>
      <c r="AF119" s="9"/>
      <c r="AG119" s="22">
        <v>0.44891399999999998</v>
      </c>
      <c r="AH119" s="22">
        <v>288.14999999999998</v>
      </c>
      <c r="AI119" s="22">
        <v>-1.7822299999999999E-2</v>
      </c>
      <c r="AJ119" s="22">
        <v>109</v>
      </c>
      <c r="AK119" s="22">
        <v>0.44827299999999998</v>
      </c>
      <c r="AL119">
        <f t="shared" si="18"/>
        <v>17.822299999999998</v>
      </c>
      <c r="AM119">
        <f t="shared" si="19"/>
        <v>8.0006799821999994</v>
      </c>
      <c r="AP119" s="9"/>
      <c r="AQ119" s="22">
        <v>1.33118</v>
      </c>
      <c r="AR119" s="22">
        <v>361.16300000000001</v>
      </c>
      <c r="AS119" s="22">
        <v>-1.7114299999999999E-2</v>
      </c>
      <c r="AT119" s="22">
        <v>109</v>
      </c>
      <c r="AU119" s="22">
        <v>1.32996</v>
      </c>
      <c r="AV119">
        <f t="shared" si="20"/>
        <v>17.1143</v>
      </c>
      <c r="AW119">
        <f t="shared" si="21"/>
        <v>22.782213874</v>
      </c>
      <c r="AX119" s="9"/>
      <c r="AY119" s="22">
        <v>0.44891399999999998</v>
      </c>
      <c r="AZ119" s="22">
        <v>413.59199999999998</v>
      </c>
      <c r="BA119" s="22">
        <v>-1.7871100000000001E-2</v>
      </c>
      <c r="BB119" s="22">
        <v>109</v>
      </c>
      <c r="BC119" s="22">
        <v>0.448212</v>
      </c>
      <c r="BD119">
        <f t="shared" si="22"/>
        <v>17.871100000000002</v>
      </c>
      <c r="BE119">
        <f t="shared" si="23"/>
        <v>8.0225869854000003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26.469000000000001</v>
      </c>
      <c r="I120" s="22">
        <v>-1.6943400000000001E-2</v>
      </c>
      <c r="J120" s="22">
        <v>110</v>
      </c>
      <c r="K120" s="22">
        <v>1.32599</v>
      </c>
      <c r="L120">
        <f t="shared" si="12"/>
        <v>16.9434</v>
      </c>
      <c r="M120">
        <f t="shared" si="13"/>
        <v>22.469320476000004</v>
      </c>
      <c r="N120" s="9"/>
      <c r="O120" s="22">
        <v>0.45394899999999999</v>
      </c>
      <c r="P120" s="22">
        <v>83.778899999999993</v>
      </c>
      <c r="Q120" s="22">
        <v>-1.7761200000000001E-2</v>
      </c>
      <c r="R120" s="22">
        <v>110</v>
      </c>
      <c r="S120" s="22">
        <v>0.45330799999999999</v>
      </c>
      <c r="T120">
        <f t="shared" si="14"/>
        <v>17.761200000000002</v>
      </c>
      <c r="U120">
        <f t="shared" si="15"/>
        <v>8.0626789788000011</v>
      </c>
      <c r="X120" s="9"/>
      <c r="Y120" s="22">
        <v>1.3261400000000001</v>
      </c>
      <c r="Z120" s="22">
        <v>173.93700000000001</v>
      </c>
      <c r="AA120" s="22">
        <v>-1.70685E-2</v>
      </c>
      <c r="AB120" s="22">
        <v>110</v>
      </c>
      <c r="AC120" s="22">
        <v>1.32477</v>
      </c>
      <c r="AD120">
        <f t="shared" si="16"/>
        <v>17.0685</v>
      </c>
      <c r="AE120">
        <f t="shared" si="17"/>
        <v>22.635220590000003</v>
      </c>
      <c r="AF120" s="9"/>
      <c r="AG120" s="22">
        <v>0.45394899999999999</v>
      </c>
      <c r="AH120" s="22">
        <v>288.25</v>
      </c>
      <c r="AI120" s="22">
        <v>-1.7816200000000001E-2</v>
      </c>
      <c r="AJ120" s="22">
        <v>110</v>
      </c>
      <c r="AK120" s="22">
        <v>0.45318599999999998</v>
      </c>
      <c r="AL120">
        <f t="shared" si="18"/>
        <v>17.816200000000002</v>
      </c>
      <c r="AM120">
        <f t="shared" si="19"/>
        <v>8.0876461738000014</v>
      </c>
      <c r="AP120" s="9"/>
      <c r="AQ120" s="22">
        <v>1.3261400000000001</v>
      </c>
      <c r="AR120" s="22">
        <v>361.26400000000001</v>
      </c>
      <c r="AS120" s="22">
        <v>-1.7126499999999999E-2</v>
      </c>
      <c r="AT120" s="22">
        <v>110</v>
      </c>
      <c r="AU120" s="22">
        <v>1.32477</v>
      </c>
      <c r="AV120">
        <f t="shared" si="20"/>
        <v>17.1265</v>
      </c>
      <c r="AW120">
        <f t="shared" si="21"/>
        <v>22.712136710000003</v>
      </c>
      <c r="AX120" s="9"/>
      <c r="AY120" s="22">
        <v>0.45394899999999999</v>
      </c>
      <c r="AZ120" s="22">
        <v>413.69200000000001</v>
      </c>
      <c r="BA120" s="22">
        <v>-1.7871100000000001E-2</v>
      </c>
      <c r="BB120" s="22">
        <v>110</v>
      </c>
      <c r="BC120" s="22">
        <v>0.45321699999999998</v>
      </c>
      <c r="BD120">
        <f t="shared" si="22"/>
        <v>17.871100000000002</v>
      </c>
      <c r="BE120">
        <f t="shared" si="23"/>
        <v>8.112567973900001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26.569700000000001</v>
      </c>
      <c r="I121" s="22">
        <v>-1.6949499999999999E-2</v>
      </c>
      <c r="J121" s="22">
        <v>111</v>
      </c>
      <c r="K121" s="22">
        <v>1.3205</v>
      </c>
      <c r="L121">
        <f t="shared" si="12"/>
        <v>16.9495</v>
      </c>
      <c r="M121">
        <f t="shared" si="13"/>
        <v>22.392153945</v>
      </c>
      <c r="N121" s="9"/>
      <c r="O121" s="22">
        <v>0.458984</v>
      </c>
      <c r="P121" s="22">
        <v>83.879599999999996</v>
      </c>
      <c r="Q121" s="22">
        <v>-1.7758199999999998E-2</v>
      </c>
      <c r="R121" s="22">
        <v>111</v>
      </c>
      <c r="S121" s="22">
        <v>0.458038</v>
      </c>
      <c r="T121">
        <f t="shared" si="14"/>
        <v>17.758199999999999</v>
      </c>
      <c r="U121">
        <f t="shared" si="15"/>
        <v>8.1507296687999986</v>
      </c>
      <c r="X121" s="9"/>
      <c r="Y121" s="22">
        <v>1.32111</v>
      </c>
      <c r="Z121" s="22">
        <v>174.03800000000001</v>
      </c>
      <c r="AA121" s="22">
        <v>-1.7086799999999999E-2</v>
      </c>
      <c r="AB121" s="22">
        <v>111</v>
      </c>
      <c r="AC121" s="22">
        <v>1.32019</v>
      </c>
      <c r="AD121">
        <f t="shared" si="16"/>
        <v>17.0868</v>
      </c>
      <c r="AE121">
        <f t="shared" si="17"/>
        <v>22.573542348</v>
      </c>
      <c r="AF121" s="9"/>
      <c r="AG121" s="22">
        <v>0.458984</v>
      </c>
      <c r="AH121" s="22">
        <v>288.351</v>
      </c>
      <c r="AI121" s="22">
        <v>-1.7813099999999998E-2</v>
      </c>
      <c r="AJ121" s="22">
        <v>111</v>
      </c>
      <c r="AK121" s="22">
        <v>0.45834399999999997</v>
      </c>
      <c r="AL121">
        <f t="shared" si="18"/>
        <v>17.813099999999999</v>
      </c>
      <c r="AM121">
        <f t="shared" si="19"/>
        <v>8.1759278903999988</v>
      </c>
      <c r="AP121" s="9"/>
      <c r="AQ121" s="22">
        <v>1.32111</v>
      </c>
      <c r="AR121" s="22">
        <v>361.36399999999998</v>
      </c>
      <c r="AS121" s="22">
        <v>-1.7126499999999999E-2</v>
      </c>
      <c r="AT121" s="22">
        <v>111</v>
      </c>
      <c r="AU121" s="22">
        <v>1.3205</v>
      </c>
      <c r="AV121">
        <f t="shared" si="20"/>
        <v>17.1265</v>
      </c>
      <c r="AW121">
        <f t="shared" si="21"/>
        <v>22.625990415</v>
      </c>
      <c r="AX121" s="9"/>
      <c r="AY121" s="22">
        <v>0.458984</v>
      </c>
      <c r="AZ121" s="22">
        <v>413.79300000000001</v>
      </c>
      <c r="BA121" s="22">
        <v>-1.7871100000000001E-2</v>
      </c>
      <c r="BB121" s="22">
        <v>111</v>
      </c>
      <c r="BC121" s="22">
        <v>0.45825199999999999</v>
      </c>
      <c r="BD121">
        <f t="shared" si="22"/>
        <v>17.871100000000002</v>
      </c>
      <c r="BE121">
        <f t="shared" si="23"/>
        <v>8.2025489624000016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26.670400000000001</v>
      </c>
      <c r="I122" s="22">
        <v>-1.6958600000000001E-2</v>
      </c>
      <c r="J122" s="22">
        <v>112</v>
      </c>
      <c r="K122" s="22">
        <v>1.3143899999999999</v>
      </c>
      <c r="L122">
        <f t="shared" si="12"/>
        <v>16.958600000000001</v>
      </c>
      <c r="M122">
        <f t="shared" si="13"/>
        <v>22.318704702000002</v>
      </c>
      <c r="N122" s="9"/>
      <c r="O122" s="22">
        <v>0.46401999999999999</v>
      </c>
      <c r="P122" s="22">
        <v>83.9803</v>
      </c>
      <c r="Q122" s="22">
        <v>-1.7755099999999999E-2</v>
      </c>
      <c r="R122" s="22">
        <v>112</v>
      </c>
      <c r="S122" s="22">
        <v>0.46334799999999998</v>
      </c>
      <c r="T122">
        <f t="shared" si="14"/>
        <v>17.755099999999999</v>
      </c>
      <c r="U122">
        <f t="shared" si="15"/>
        <v>8.2387215019999989</v>
      </c>
      <c r="X122" s="9"/>
      <c r="Y122" s="22">
        <v>1.3160700000000001</v>
      </c>
      <c r="Z122" s="22">
        <v>174.13900000000001</v>
      </c>
      <c r="AA122" s="22">
        <v>-1.7086799999999999E-2</v>
      </c>
      <c r="AB122" s="22">
        <v>112</v>
      </c>
      <c r="AC122" s="22">
        <v>1.3149999999999999</v>
      </c>
      <c r="AD122">
        <f t="shared" si="16"/>
        <v>17.0868</v>
      </c>
      <c r="AE122">
        <f t="shared" si="17"/>
        <v>22.487424876000002</v>
      </c>
      <c r="AF122" s="9"/>
      <c r="AG122" s="22">
        <v>0.46401999999999999</v>
      </c>
      <c r="AH122" s="22">
        <v>288.452</v>
      </c>
      <c r="AI122" s="22">
        <v>-1.7813099999999998E-2</v>
      </c>
      <c r="AJ122" s="22">
        <v>112</v>
      </c>
      <c r="AK122" s="22">
        <v>0.463287</v>
      </c>
      <c r="AL122">
        <f t="shared" si="18"/>
        <v>17.813099999999999</v>
      </c>
      <c r="AM122">
        <f t="shared" si="19"/>
        <v>8.2656346619999983</v>
      </c>
      <c r="AP122" s="9"/>
      <c r="AQ122" s="22">
        <v>1.3160700000000001</v>
      </c>
      <c r="AR122" s="22">
        <v>361.46499999999997</v>
      </c>
      <c r="AS122" s="22">
        <v>-1.7135600000000001E-2</v>
      </c>
      <c r="AT122" s="22">
        <v>112</v>
      </c>
      <c r="AU122" s="22">
        <v>1.3149999999999999</v>
      </c>
      <c r="AV122">
        <f t="shared" si="20"/>
        <v>17.1356</v>
      </c>
      <c r="AW122">
        <f t="shared" si="21"/>
        <v>22.551649092000002</v>
      </c>
      <c r="AX122" s="9"/>
      <c r="AY122" s="22">
        <v>0.46401999999999999</v>
      </c>
      <c r="AZ122" s="22">
        <v>413.89400000000001</v>
      </c>
      <c r="BA122" s="22">
        <v>-1.7864999999999999E-2</v>
      </c>
      <c r="BB122" s="22">
        <v>112</v>
      </c>
      <c r="BC122" s="22">
        <v>0.46325699999999997</v>
      </c>
      <c r="BD122">
        <f t="shared" si="22"/>
        <v>17.864999999999998</v>
      </c>
      <c r="BE122">
        <f t="shared" si="23"/>
        <v>8.2897172999999995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26.7712</v>
      </c>
      <c r="I123" s="22">
        <v>-1.6964699999999999E-2</v>
      </c>
      <c r="J123" s="22">
        <v>113</v>
      </c>
      <c r="K123" s="22">
        <v>1.3098099999999999</v>
      </c>
      <c r="L123">
        <f t="shared" si="12"/>
        <v>16.964700000000001</v>
      </c>
      <c r="M123">
        <f t="shared" si="13"/>
        <v>22.241400288000001</v>
      </c>
      <c r="N123" s="9"/>
      <c r="O123" s="22">
        <v>0.469055</v>
      </c>
      <c r="P123" s="22">
        <v>84.081000000000003</v>
      </c>
      <c r="Q123" s="22">
        <v>-1.77521E-2</v>
      </c>
      <c r="R123" s="22">
        <v>113</v>
      </c>
      <c r="S123" s="22">
        <v>0.46820099999999998</v>
      </c>
      <c r="T123">
        <f t="shared" si="14"/>
        <v>17.752099999999999</v>
      </c>
      <c r="U123">
        <f t="shared" si="15"/>
        <v>8.3267112655000002</v>
      </c>
      <c r="X123" s="9"/>
      <c r="Y123" s="22">
        <v>1.31104</v>
      </c>
      <c r="Z123" s="22">
        <v>174.24</v>
      </c>
      <c r="AA123" s="22">
        <v>-1.7092900000000001E-2</v>
      </c>
      <c r="AB123" s="22">
        <v>113</v>
      </c>
      <c r="AC123" s="22">
        <v>1.3104199999999999</v>
      </c>
      <c r="AD123">
        <f t="shared" si="16"/>
        <v>17.0929</v>
      </c>
      <c r="AE123">
        <f t="shared" si="17"/>
        <v>22.409475616000002</v>
      </c>
      <c r="AF123" s="9"/>
      <c r="AG123" s="22">
        <v>0.469055</v>
      </c>
      <c r="AH123" s="22">
        <v>288.55200000000002</v>
      </c>
      <c r="AI123" s="22">
        <v>-1.7810099999999999E-2</v>
      </c>
      <c r="AJ123" s="22">
        <v>113</v>
      </c>
      <c r="AK123" s="22">
        <v>0.46820099999999998</v>
      </c>
      <c r="AL123">
        <f t="shared" si="18"/>
        <v>17.810099999999998</v>
      </c>
      <c r="AM123">
        <f t="shared" si="19"/>
        <v>8.3539164554999985</v>
      </c>
      <c r="AP123" s="9"/>
      <c r="AQ123" s="22">
        <v>1.31104</v>
      </c>
      <c r="AR123" s="22">
        <v>361.56599999999997</v>
      </c>
      <c r="AS123" s="22">
        <v>-1.7135600000000001E-2</v>
      </c>
      <c r="AT123" s="22">
        <v>113</v>
      </c>
      <c r="AU123" s="22">
        <v>1.31073</v>
      </c>
      <c r="AV123">
        <f t="shared" si="20"/>
        <v>17.1356</v>
      </c>
      <c r="AW123">
        <f t="shared" si="21"/>
        <v>22.465457023999999</v>
      </c>
      <c r="AX123" s="9"/>
      <c r="AY123" s="22">
        <v>0.469055</v>
      </c>
      <c r="AZ123" s="22">
        <v>413.99400000000003</v>
      </c>
      <c r="BA123" s="22">
        <v>-1.78619E-2</v>
      </c>
      <c r="BB123" s="22">
        <v>113</v>
      </c>
      <c r="BC123" s="22">
        <v>0.46838400000000002</v>
      </c>
      <c r="BD123">
        <f t="shared" si="22"/>
        <v>17.861899999999999</v>
      </c>
      <c r="BE123">
        <f t="shared" si="23"/>
        <v>8.3782135044999997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26.8719</v>
      </c>
      <c r="I124" s="22">
        <v>-1.6967800000000002E-2</v>
      </c>
      <c r="J124" s="22">
        <v>114</v>
      </c>
      <c r="K124" s="22">
        <v>1.3055399999999999</v>
      </c>
      <c r="L124">
        <f t="shared" si="12"/>
        <v>16.9678</v>
      </c>
      <c r="M124">
        <f t="shared" si="13"/>
        <v>22.1599468</v>
      </c>
      <c r="N124" s="9"/>
      <c r="O124" s="22">
        <v>0.47409099999999998</v>
      </c>
      <c r="P124" s="22">
        <v>84.181700000000006</v>
      </c>
      <c r="Q124" s="22">
        <v>-1.7749000000000001E-2</v>
      </c>
      <c r="R124" s="22">
        <v>114</v>
      </c>
      <c r="S124" s="22">
        <v>0.47329700000000002</v>
      </c>
      <c r="T124">
        <f t="shared" si="14"/>
        <v>17.749000000000002</v>
      </c>
      <c r="U124">
        <f t="shared" si="15"/>
        <v>8.4146411590000003</v>
      </c>
      <c r="X124" s="9"/>
      <c r="Y124" s="22">
        <v>1.306</v>
      </c>
      <c r="Z124" s="22">
        <v>174.34</v>
      </c>
      <c r="AA124" s="22">
        <v>-1.7099E-2</v>
      </c>
      <c r="AB124" s="22">
        <v>114</v>
      </c>
      <c r="AC124" s="22">
        <v>1.30524</v>
      </c>
      <c r="AD124">
        <f t="shared" si="16"/>
        <v>17.099</v>
      </c>
      <c r="AE124">
        <f t="shared" si="17"/>
        <v>22.331294</v>
      </c>
      <c r="AF124" s="9"/>
      <c r="AG124" s="22">
        <v>0.47409099999999998</v>
      </c>
      <c r="AH124" s="22">
        <v>288.65300000000002</v>
      </c>
      <c r="AI124" s="22">
        <v>-1.7807E-2</v>
      </c>
      <c r="AJ124" s="22">
        <v>114</v>
      </c>
      <c r="AK124" s="22">
        <v>0.473358</v>
      </c>
      <c r="AL124">
        <f t="shared" si="18"/>
        <v>17.806999999999999</v>
      </c>
      <c r="AM124">
        <f t="shared" si="19"/>
        <v>8.4421384369999988</v>
      </c>
      <c r="AP124" s="9"/>
      <c r="AQ124" s="22">
        <v>1.306</v>
      </c>
      <c r="AR124" s="22">
        <v>361.666</v>
      </c>
      <c r="AS124" s="22">
        <v>-1.7141699999999999E-2</v>
      </c>
      <c r="AT124" s="22">
        <v>114</v>
      </c>
      <c r="AU124" s="22">
        <v>1.30524</v>
      </c>
      <c r="AV124">
        <f t="shared" si="20"/>
        <v>17.1417</v>
      </c>
      <c r="AW124">
        <f t="shared" si="21"/>
        <v>22.387060200000001</v>
      </c>
      <c r="AX124" s="9"/>
      <c r="AY124" s="22">
        <v>0.47409099999999998</v>
      </c>
      <c r="AZ124" s="22">
        <v>414.09500000000003</v>
      </c>
      <c r="BA124" s="22">
        <v>-1.78619E-2</v>
      </c>
      <c r="BB124" s="22">
        <v>114</v>
      </c>
      <c r="BC124" s="22">
        <v>0.47311399999999998</v>
      </c>
      <c r="BD124">
        <f t="shared" si="22"/>
        <v>17.861899999999999</v>
      </c>
      <c r="BE124">
        <f t="shared" si="23"/>
        <v>8.4681660328999993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26.9726</v>
      </c>
      <c r="I125" s="22">
        <v>-1.69739E-2</v>
      </c>
      <c r="J125" s="22">
        <v>115</v>
      </c>
      <c r="K125" s="22">
        <v>1.2997399999999999</v>
      </c>
      <c r="L125">
        <f t="shared" si="12"/>
        <v>16.9739</v>
      </c>
      <c r="M125">
        <f t="shared" si="13"/>
        <v>22.082364943999998</v>
      </c>
      <c r="N125" s="9"/>
      <c r="O125" s="22">
        <v>0.479126</v>
      </c>
      <c r="P125" s="22">
        <v>84.282499999999999</v>
      </c>
      <c r="Q125" s="22">
        <v>-1.7746000000000001E-2</v>
      </c>
      <c r="R125" s="22">
        <v>115</v>
      </c>
      <c r="S125" s="22">
        <v>0.47848499999999999</v>
      </c>
      <c r="T125">
        <f t="shared" si="14"/>
        <v>17.746000000000002</v>
      </c>
      <c r="U125">
        <f t="shared" si="15"/>
        <v>8.5025699960000019</v>
      </c>
      <c r="X125" s="9"/>
      <c r="Y125" s="22">
        <v>1.3009599999999999</v>
      </c>
      <c r="Z125" s="22">
        <v>174.441</v>
      </c>
      <c r="AA125" s="22">
        <v>-1.71112E-2</v>
      </c>
      <c r="AB125" s="22">
        <v>115</v>
      </c>
      <c r="AC125" s="22">
        <v>1.2997399999999999</v>
      </c>
      <c r="AD125">
        <f t="shared" si="16"/>
        <v>17.1112</v>
      </c>
      <c r="AE125">
        <f t="shared" si="17"/>
        <v>22.260986751999997</v>
      </c>
      <c r="AF125" s="9"/>
      <c r="AG125" s="22">
        <v>0.479126</v>
      </c>
      <c r="AH125" s="22">
        <v>288.75400000000002</v>
      </c>
      <c r="AI125" s="22">
        <v>-1.7804E-2</v>
      </c>
      <c r="AJ125" s="22">
        <v>115</v>
      </c>
      <c r="AK125" s="22">
        <v>0.47845500000000002</v>
      </c>
      <c r="AL125">
        <f t="shared" si="18"/>
        <v>17.804000000000002</v>
      </c>
      <c r="AM125">
        <f t="shared" si="19"/>
        <v>8.530359304000001</v>
      </c>
      <c r="AP125" s="9"/>
      <c r="AQ125" s="22">
        <v>1.3009599999999999</v>
      </c>
      <c r="AR125" s="22">
        <v>361.767</v>
      </c>
      <c r="AS125" s="22">
        <v>-1.7147800000000001E-2</v>
      </c>
      <c r="AT125" s="22">
        <v>115</v>
      </c>
      <c r="AU125" s="22">
        <v>1.3003499999999999</v>
      </c>
      <c r="AV125">
        <f t="shared" si="20"/>
        <v>17.1478</v>
      </c>
      <c r="AW125">
        <f t="shared" si="21"/>
        <v>22.308601887999998</v>
      </c>
      <c r="AX125" s="9"/>
      <c r="AY125" s="22">
        <v>0.479126</v>
      </c>
      <c r="AZ125" s="22">
        <v>414.19600000000003</v>
      </c>
      <c r="BA125" s="22">
        <v>-1.7855800000000002E-2</v>
      </c>
      <c r="BB125" s="22">
        <v>115</v>
      </c>
      <c r="BC125" s="22">
        <v>0.47839399999999999</v>
      </c>
      <c r="BD125">
        <f t="shared" si="22"/>
        <v>17.855800000000002</v>
      </c>
      <c r="BE125">
        <f t="shared" si="23"/>
        <v>8.5551780308000005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27.0733</v>
      </c>
      <c r="I126" s="22">
        <v>-1.6983000000000002E-2</v>
      </c>
      <c r="J126" s="22">
        <v>116</v>
      </c>
      <c r="K126" s="22">
        <v>1.2951699999999999</v>
      </c>
      <c r="L126">
        <f t="shared" si="12"/>
        <v>16.983000000000001</v>
      </c>
      <c r="M126">
        <f t="shared" si="13"/>
        <v>22.008779190000002</v>
      </c>
      <c r="N126" s="9"/>
      <c r="O126" s="22">
        <v>0.48416100000000001</v>
      </c>
      <c r="P126" s="22">
        <v>84.383200000000002</v>
      </c>
      <c r="Q126" s="22">
        <v>-1.7742899999999999E-2</v>
      </c>
      <c r="R126" s="22">
        <v>116</v>
      </c>
      <c r="S126" s="22">
        <v>0.48333700000000002</v>
      </c>
      <c r="T126">
        <f t="shared" si="14"/>
        <v>17.742899999999999</v>
      </c>
      <c r="U126">
        <f t="shared" si="15"/>
        <v>8.5904202068999993</v>
      </c>
      <c r="X126" s="9"/>
      <c r="Y126" s="22">
        <v>1.29593</v>
      </c>
      <c r="Z126" s="22">
        <v>174.542</v>
      </c>
      <c r="AA126" s="22">
        <v>-1.71112E-2</v>
      </c>
      <c r="AB126" s="22">
        <v>116</v>
      </c>
      <c r="AC126" s="22">
        <v>1.2954699999999999</v>
      </c>
      <c r="AD126">
        <f t="shared" si="16"/>
        <v>17.1112</v>
      </c>
      <c r="AE126">
        <f t="shared" si="17"/>
        <v>22.174917416</v>
      </c>
      <c r="AF126" s="9"/>
      <c r="AG126" s="22">
        <v>0.48416100000000001</v>
      </c>
      <c r="AH126" s="22">
        <v>288.85500000000002</v>
      </c>
      <c r="AI126" s="22">
        <v>-1.7800900000000001E-2</v>
      </c>
      <c r="AJ126" s="22">
        <v>116</v>
      </c>
      <c r="AK126" s="22">
        <v>0.48336800000000002</v>
      </c>
      <c r="AL126">
        <f t="shared" si="18"/>
        <v>17.800900000000002</v>
      </c>
      <c r="AM126">
        <f t="shared" si="19"/>
        <v>8.6185015449000009</v>
      </c>
      <c r="AP126" s="9"/>
      <c r="AQ126" s="22">
        <v>1.29593</v>
      </c>
      <c r="AR126" s="22">
        <v>361.86799999999999</v>
      </c>
      <c r="AS126" s="22">
        <v>-1.71509E-2</v>
      </c>
      <c r="AT126" s="22">
        <v>116</v>
      </c>
      <c r="AU126" s="22">
        <v>1.2951699999999999</v>
      </c>
      <c r="AV126">
        <f t="shared" si="20"/>
        <v>17.1509</v>
      </c>
      <c r="AW126">
        <f t="shared" si="21"/>
        <v>22.226365836999999</v>
      </c>
      <c r="AX126" s="9"/>
      <c r="AY126" s="22">
        <v>0.48416100000000001</v>
      </c>
      <c r="AZ126" s="22">
        <v>414.29700000000003</v>
      </c>
      <c r="BA126" s="22">
        <v>-1.78497E-2</v>
      </c>
      <c r="BB126" s="22">
        <v>116</v>
      </c>
      <c r="BC126" s="22">
        <v>0.48333700000000002</v>
      </c>
      <c r="BD126">
        <f t="shared" si="22"/>
        <v>17.849699999999999</v>
      </c>
      <c r="BE126">
        <f t="shared" si="23"/>
        <v>8.6421286016999996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27.173999999999999</v>
      </c>
      <c r="I127" s="22">
        <v>-1.69891E-2</v>
      </c>
      <c r="J127" s="22">
        <v>117</v>
      </c>
      <c r="K127" s="22">
        <v>1.2899799999999999</v>
      </c>
      <c r="L127">
        <f t="shared" si="12"/>
        <v>16.989100000000001</v>
      </c>
      <c r="M127">
        <f t="shared" si="13"/>
        <v>21.931059299000001</v>
      </c>
      <c r="N127" s="9"/>
      <c r="O127" s="22">
        <v>0.48919699999999999</v>
      </c>
      <c r="P127" s="22">
        <v>84.483900000000006</v>
      </c>
      <c r="Q127" s="22">
        <v>-1.77368E-2</v>
      </c>
      <c r="R127" s="22">
        <v>117</v>
      </c>
      <c r="S127" s="22">
        <v>0.48849500000000001</v>
      </c>
      <c r="T127">
        <f t="shared" si="14"/>
        <v>17.736799999999999</v>
      </c>
      <c r="U127">
        <f t="shared" si="15"/>
        <v>8.6767893495999999</v>
      </c>
      <c r="X127" s="9"/>
      <c r="Y127" s="22">
        <v>1.2908900000000001</v>
      </c>
      <c r="Z127" s="22">
        <v>174.642</v>
      </c>
      <c r="AA127" s="22">
        <v>-1.7120400000000001E-2</v>
      </c>
      <c r="AB127" s="22">
        <v>117</v>
      </c>
      <c r="AC127" s="22">
        <v>1.2905899999999999</v>
      </c>
      <c r="AD127">
        <f t="shared" si="16"/>
        <v>17.1204</v>
      </c>
      <c r="AE127">
        <f t="shared" si="17"/>
        <v>22.100553156</v>
      </c>
      <c r="AF127" s="9"/>
      <c r="AG127" s="22">
        <v>0.48919699999999999</v>
      </c>
      <c r="AH127" s="22">
        <v>288.95499999999998</v>
      </c>
      <c r="AI127" s="22">
        <v>-1.77948E-2</v>
      </c>
      <c r="AJ127" s="22">
        <v>117</v>
      </c>
      <c r="AK127" s="22">
        <v>0.48846400000000001</v>
      </c>
      <c r="AL127">
        <f t="shared" si="18"/>
        <v>17.794799999999999</v>
      </c>
      <c r="AM127">
        <f t="shared" si="19"/>
        <v>8.7051627755999998</v>
      </c>
      <c r="AP127" s="9"/>
      <c r="AQ127" s="22">
        <v>1.2908900000000001</v>
      </c>
      <c r="AR127" s="22">
        <v>361.96800000000002</v>
      </c>
      <c r="AS127" s="22">
        <v>-1.7163100000000001E-2</v>
      </c>
      <c r="AT127" s="22">
        <v>117</v>
      </c>
      <c r="AU127" s="22">
        <v>1.2902800000000001</v>
      </c>
      <c r="AV127">
        <f t="shared" si="20"/>
        <v>17.1631</v>
      </c>
      <c r="AW127">
        <f t="shared" si="21"/>
        <v>22.155674159</v>
      </c>
      <c r="AX127" s="9"/>
      <c r="AY127" s="22">
        <v>0.48919699999999999</v>
      </c>
      <c r="AZ127" s="22">
        <v>414.39699999999999</v>
      </c>
      <c r="BA127" s="22">
        <v>-1.78467E-2</v>
      </c>
      <c r="BB127" s="22">
        <v>117</v>
      </c>
      <c r="BC127" s="22">
        <v>0.48840299999999998</v>
      </c>
      <c r="BD127">
        <f t="shared" si="22"/>
        <v>17.846699999999998</v>
      </c>
      <c r="BE127">
        <f t="shared" si="23"/>
        <v>8.7305520998999988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27.274699999999999</v>
      </c>
      <c r="I128" s="22">
        <v>-1.6995199999999999E-2</v>
      </c>
      <c r="J128" s="22">
        <v>118</v>
      </c>
      <c r="K128" s="22">
        <v>1.2854000000000001</v>
      </c>
      <c r="L128">
        <f t="shared" si="12"/>
        <v>16.995199999999997</v>
      </c>
      <c r="M128">
        <f t="shared" si="13"/>
        <v>21.853447871999997</v>
      </c>
      <c r="N128" s="9"/>
      <c r="O128" s="22">
        <v>0.494232</v>
      </c>
      <c r="P128" s="22">
        <v>84.584599999999995</v>
      </c>
      <c r="Q128" s="22">
        <v>-1.7733800000000001E-2</v>
      </c>
      <c r="R128" s="22">
        <v>118</v>
      </c>
      <c r="S128" s="22">
        <v>0.49340800000000001</v>
      </c>
      <c r="T128">
        <f t="shared" si="14"/>
        <v>17.733800000000002</v>
      </c>
      <c r="U128">
        <f t="shared" si="15"/>
        <v>8.7646114416000014</v>
      </c>
      <c r="X128" s="9"/>
      <c r="Y128" s="22">
        <v>1.28586</v>
      </c>
      <c r="Z128" s="22">
        <v>174.74299999999999</v>
      </c>
      <c r="AA128" s="22">
        <v>-1.7126499999999999E-2</v>
      </c>
      <c r="AB128" s="22">
        <v>118</v>
      </c>
      <c r="AC128" s="22">
        <v>1.2847900000000001</v>
      </c>
      <c r="AD128">
        <f t="shared" si="16"/>
        <v>17.1265</v>
      </c>
      <c r="AE128">
        <f t="shared" si="17"/>
        <v>22.022281289999999</v>
      </c>
      <c r="AF128" s="9"/>
      <c r="AG128" s="22">
        <v>0.494232</v>
      </c>
      <c r="AH128" s="22">
        <v>289.05599999999998</v>
      </c>
      <c r="AI128" s="22">
        <v>-1.7791700000000001E-2</v>
      </c>
      <c r="AJ128" s="22">
        <v>118</v>
      </c>
      <c r="AK128" s="22">
        <v>0.49374400000000002</v>
      </c>
      <c r="AL128">
        <f t="shared" si="18"/>
        <v>17.791700000000002</v>
      </c>
      <c r="AM128">
        <f t="shared" si="19"/>
        <v>8.7932274744000019</v>
      </c>
      <c r="AP128" s="9"/>
      <c r="AQ128" s="22">
        <v>1.28586</v>
      </c>
      <c r="AR128" s="22">
        <v>362.06900000000002</v>
      </c>
      <c r="AS128" s="22">
        <v>-1.7172199999999999E-2</v>
      </c>
      <c r="AT128" s="22">
        <v>118</v>
      </c>
      <c r="AU128" s="22">
        <v>1.2854000000000001</v>
      </c>
      <c r="AV128">
        <f t="shared" si="20"/>
        <v>17.1722</v>
      </c>
      <c r="AW128">
        <f t="shared" si="21"/>
        <v>22.081045092</v>
      </c>
      <c r="AX128" s="9"/>
      <c r="AY128" s="22">
        <v>0.494232</v>
      </c>
      <c r="AZ128" s="22">
        <v>414.49799999999999</v>
      </c>
      <c r="BA128" s="22">
        <v>-1.7840600000000002E-2</v>
      </c>
      <c r="BB128" s="22">
        <v>118</v>
      </c>
      <c r="BC128" s="22">
        <v>0.49346899999999999</v>
      </c>
      <c r="BD128">
        <f t="shared" si="22"/>
        <v>17.840600000000002</v>
      </c>
      <c r="BE128">
        <f t="shared" si="23"/>
        <v>8.8173954192000004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27.375399999999999</v>
      </c>
      <c r="I129" s="22">
        <v>-1.6995199999999999E-2</v>
      </c>
      <c r="J129" s="22">
        <v>119</v>
      </c>
      <c r="K129" s="22">
        <v>1.2796000000000001</v>
      </c>
      <c r="L129">
        <f t="shared" si="12"/>
        <v>16.995199999999997</v>
      </c>
      <c r="M129">
        <f t="shared" si="13"/>
        <v>21.767792063999998</v>
      </c>
      <c r="N129" s="9"/>
      <c r="O129" s="22">
        <v>0.49926799999999999</v>
      </c>
      <c r="P129" s="22">
        <v>84.685299999999998</v>
      </c>
      <c r="Q129" s="22">
        <v>-1.7730699999999999E-2</v>
      </c>
      <c r="R129" s="22">
        <v>119</v>
      </c>
      <c r="S129" s="22">
        <v>0.49847399999999997</v>
      </c>
      <c r="T129">
        <f t="shared" si="14"/>
        <v>17.730699999999999</v>
      </c>
      <c r="U129">
        <f t="shared" si="15"/>
        <v>8.8523711275999997</v>
      </c>
      <c r="X129" s="9"/>
      <c r="Y129" s="22">
        <v>1.2808200000000001</v>
      </c>
      <c r="Z129" s="22">
        <v>174.84399999999999</v>
      </c>
      <c r="AA129" s="22">
        <v>-1.7129499999999999E-2</v>
      </c>
      <c r="AB129" s="22">
        <v>119</v>
      </c>
      <c r="AC129" s="22">
        <v>1.2802100000000001</v>
      </c>
      <c r="AD129">
        <f t="shared" si="16"/>
        <v>17.1295</v>
      </c>
      <c r="AE129">
        <f t="shared" si="17"/>
        <v>21.939806190000002</v>
      </c>
      <c r="AF129" s="9"/>
      <c r="AG129" s="22">
        <v>0.49926799999999999</v>
      </c>
      <c r="AH129" s="22">
        <v>289.15699999999998</v>
      </c>
      <c r="AI129" s="22">
        <v>-1.7788700000000001E-2</v>
      </c>
      <c r="AJ129" s="22">
        <v>119</v>
      </c>
      <c r="AK129" s="22">
        <v>0.49853500000000001</v>
      </c>
      <c r="AL129">
        <f t="shared" si="18"/>
        <v>17.788700000000002</v>
      </c>
      <c r="AM129">
        <f t="shared" si="19"/>
        <v>8.8813286716000004</v>
      </c>
      <c r="AP129" s="9"/>
      <c r="AQ129" s="22">
        <v>1.2808200000000001</v>
      </c>
      <c r="AR129" s="22">
        <v>362.17</v>
      </c>
      <c r="AS129" s="22">
        <v>-1.7178300000000001E-2</v>
      </c>
      <c r="AT129" s="22">
        <v>119</v>
      </c>
      <c r="AU129" s="22">
        <v>1.2802100000000001</v>
      </c>
      <c r="AV129">
        <f t="shared" si="20"/>
        <v>17.1783</v>
      </c>
      <c r="AW129">
        <f t="shared" si="21"/>
        <v>22.002310206000001</v>
      </c>
      <c r="AX129" s="9"/>
      <c r="AY129" s="22">
        <v>0.49926799999999999</v>
      </c>
      <c r="AZ129" s="22">
        <v>414.59899999999999</v>
      </c>
      <c r="BA129" s="22">
        <v>-1.7837499999999999E-2</v>
      </c>
      <c r="BB129" s="22">
        <v>119</v>
      </c>
      <c r="BC129" s="22">
        <v>0.49862699999999999</v>
      </c>
      <c r="BD129">
        <f t="shared" si="22"/>
        <v>17.837499999999999</v>
      </c>
      <c r="BE129">
        <f t="shared" si="23"/>
        <v>8.9056929499999988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27.476099999999999</v>
      </c>
      <c r="I130" s="22">
        <v>-1.70013E-2</v>
      </c>
      <c r="J130" s="22">
        <v>120</v>
      </c>
      <c r="K130" s="22">
        <v>1.27502</v>
      </c>
      <c r="L130">
        <f t="shared" si="12"/>
        <v>17.001300000000001</v>
      </c>
      <c r="M130">
        <f t="shared" si="13"/>
        <v>21.690088527</v>
      </c>
      <c r="N130" s="9"/>
      <c r="O130" s="22">
        <v>0.50430299999999995</v>
      </c>
      <c r="P130" s="22">
        <v>84.786000000000001</v>
      </c>
      <c r="Q130" s="22">
        <v>-1.7727699999999999E-2</v>
      </c>
      <c r="R130" s="22">
        <v>120</v>
      </c>
      <c r="S130" s="22">
        <v>0.50353999999999999</v>
      </c>
      <c r="T130">
        <f t="shared" si="14"/>
        <v>17.727699999999999</v>
      </c>
      <c r="U130">
        <f t="shared" si="15"/>
        <v>8.9401322930999978</v>
      </c>
      <c r="X130" s="9"/>
      <c r="Y130" s="22">
        <v>1.27579</v>
      </c>
      <c r="Z130" s="22">
        <v>174.94399999999999</v>
      </c>
      <c r="AA130" s="22">
        <v>-1.7132600000000001E-2</v>
      </c>
      <c r="AB130" s="22">
        <v>120</v>
      </c>
      <c r="AC130" s="22">
        <v>1.27502</v>
      </c>
      <c r="AD130">
        <f t="shared" si="16"/>
        <v>17.1326</v>
      </c>
      <c r="AE130">
        <f t="shared" si="17"/>
        <v>21.857599753999999</v>
      </c>
      <c r="AF130" s="9"/>
      <c r="AG130" s="22">
        <v>0.50430299999999995</v>
      </c>
      <c r="AH130" s="22">
        <v>289.25700000000001</v>
      </c>
      <c r="AI130" s="22">
        <v>-1.7785599999999999E-2</v>
      </c>
      <c r="AJ130" s="22">
        <v>120</v>
      </c>
      <c r="AK130" s="22">
        <v>0.50357099999999999</v>
      </c>
      <c r="AL130">
        <f t="shared" si="18"/>
        <v>17.785599999999999</v>
      </c>
      <c r="AM130">
        <f t="shared" si="19"/>
        <v>8.9693314367999992</v>
      </c>
      <c r="AP130" s="9"/>
      <c r="AQ130" s="22">
        <v>1.27579</v>
      </c>
      <c r="AR130" s="22">
        <v>362.27100000000002</v>
      </c>
      <c r="AS130" s="22">
        <v>-1.7181399999999999E-2</v>
      </c>
      <c r="AT130" s="22">
        <v>120</v>
      </c>
      <c r="AU130" s="22">
        <v>1.27441</v>
      </c>
      <c r="AV130">
        <f t="shared" si="20"/>
        <v>17.1814</v>
      </c>
      <c r="AW130">
        <f t="shared" si="21"/>
        <v>21.919858305999998</v>
      </c>
      <c r="AX130" s="9"/>
      <c r="AY130" s="22">
        <v>0.50430299999999995</v>
      </c>
      <c r="AZ130" s="22">
        <v>414.69900000000001</v>
      </c>
      <c r="BA130" s="22">
        <v>-1.78345E-2</v>
      </c>
      <c r="BB130" s="22">
        <v>120</v>
      </c>
      <c r="BC130" s="22">
        <v>0.50351000000000001</v>
      </c>
      <c r="BD130">
        <f t="shared" si="22"/>
        <v>17.834499999999998</v>
      </c>
      <c r="BE130">
        <f t="shared" si="23"/>
        <v>8.993991853499999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27.576799999999999</v>
      </c>
      <c r="I131" s="22">
        <v>-1.7004399999999999E-2</v>
      </c>
      <c r="J131" s="22">
        <v>121</v>
      </c>
      <c r="K131" s="22">
        <v>1.2698400000000001</v>
      </c>
      <c r="L131">
        <f t="shared" si="12"/>
        <v>17.0044</v>
      </c>
      <c r="M131">
        <f t="shared" si="13"/>
        <v>21.608341300000003</v>
      </c>
      <c r="N131" s="9"/>
      <c r="O131" s="22">
        <v>0.50933799999999996</v>
      </c>
      <c r="P131" s="22">
        <v>84.886700000000005</v>
      </c>
      <c r="Q131" s="22">
        <v>-1.7721600000000001E-2</v>
      </c>
      <c r="R131" s="22">
        <v>121</v>
      </c>
      <c r="S131" s="22">
        <v>0.508575</v>
      </c>
      <c r="T131">
        <f t="shared" si="14"/>
        <v>17.721600000000002</v>
      </c>
      <c r="U131">
        <f t="shared" si="15"/>
        <v>9.0262843008000004</v>
      </c>
      <c r="X131" s="9"/>
      <c r="Y131" s="22">
        <v>1.27075</v>
      </c>
      <c r="Z131" s="22">
        <v>175.04499999999999</v>
      </c>
      <c r="AA131" s="22">
        <v>-1.7141699999999999E-2</v>
      </c>
      <c r="AB131" s="22">
        <v>121</v>
      </c>
      <c r="AC131" s="22">
        <v>1.2698400000000001</v>
      </c>
      <c r="AD131">
        <f t="shared" si="16"/>
        <v>17.1417</v>
      </c>
      <c r="AE131">
        <f t="shared" si="17"/>
        <v>21.782815275000001</v>
      </c>
      <c r="AF131" s="9"/>
      <c r="AG131" s="22">
        <v>0.50933799999999996</v>
      </c>
      <c r="AH131" s="22">
        <v>289.358</v>
      </c>
      <c r="AI131" s="22">
        <v>-1.77795E-2</v>
      </c>
      <c r="AJ131" s="22">
        <v>121</v>
      </c>
      <c r="AK131" s="22">
        <v>0.50848400000000005</v>
      </c>
      <c r="AL131">
        <f t="shared" si="18"/>
        <v>17.779499999999999</v>
      </c>
      <c r="AM131">
        <f t="shared" si="19"/>
        <v>9.0557749709999982</v>
      </c>
      <c r="AP131" s="9"/>
      <c r="AQ131" s="22">
        <v>1.27075</v>
      </c>
      <c r="AR131" s="22">
        <v>362.37099999999998</v>
      </c>
      <c r="AS131" s="22">
        <v>-1.71906E-2</v>
      </c>
      <c r="AT131" s="22">
        <v>121</v>
      </c>
      <c r="AU131" s="22">
        <v>1.26953</v>
      </c>
      <c r="AV131">
        <f t="shared" si="20"/>
        <v>17.1906</v>
      </c>
      <c r="AW131">
        <f t="shared" si="21"/>
        <v>21.844954950000002</v>
      </c>
      <c r="AX131" s="9"/>
      <c r="AY131" s="22">
        <v>0.50933799999999996</v>
      </c>
      <c r="AZ131" s="22">
        <v>414.8</v>
      </c>
      <c r="BA131" s="22">
        <v>-1.7831400000000001E-2</v>
      </c>
      <c r="BB131" s="22">
        <v>121</v>
      </c>
      <c r="BC131" s="22">
        <v>0.508606</v>
      </c>
      <c r="BD131">
        <f t="shared" si="22"/>
        <v>17.831400000000002</v>
      </c>
      <c r="BE131">
        <f t="shared" si="23"/>
        <v>9.0822096131999999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27.677499999999998</v>
      </c>
      <c r="I132" s="22">
        <v>-1.70166E-2</v>
      </c>
      <c r="J132" s="22">
        <v>122</v>
      </c>
      <c r="K132" s="22">
        <v>1.2646500000000001</v>
      </c>
      <c r="L132">
        <f t="shared" si="12"/>
        <v>17.0166</v>
      </c>
      <c r="M132">
        <f t="shared" si="13"/>
        <v>21.538250951999999</v>
      </c>
      <c r="N132" s="9"/>
      <c r="O132" s="22">
        <v>0.514374</v>
      </c>
      <c r="P132" s="22">
        <v>84.987399999999994</v>
      </c>
      <c r="Q132" s="22">
        <v>-1.7721600000000001E-2</v>
      </c>
      <c r="R132" s="22">
        <v>122</v>
      </c>
      <c r="S132" s="22">
        <v>0.51345799999999997</v>
      </c>
      <c r="T132">
        <f t="shared" si="14"/>
        <v>17.721600000000002</v>
      </c>
      <c r="U132">
        <f t="shared" si="15"/>
        <v>9.1155302784000014</v>
      </c>
      <c r="X132" s="9"/>
      <c r="Y132" s="22">
        <v>1.26572</v>
      </c>
      <c r="Z132" s="22">
        <v>175.14599999999999</v>
      </c>
      <c r="AA132" s="22">
        <v>-1.7147800000000001E-2</v>
      </c>
      <c r="AB132" s="22">
        <v>122</v>
      </c>
      <c r="AC132" s="22">
        <v>1.2652600000000001</v>
      </c>
      <c r="AD132">
        <f t="shared" si="16"/>
        <v>17.1478</v>
      </c>
      <c r="AE132">
        <f t="shared" si="17"/>
        <v>21.704313415999998</v>
      </c>
      <c r="AF132" s="9"/>
      <c r="AG132" s="22">
        <v>0.514374</v>
      </c>
      <c r="AH132" s="22">
        <v>289.459</v>
      </c>
      <c r="AI132" s="22">
        <v>-1.7776500000000001E-2</v>
      </c>
      <c r="AJ132" s="22">
        <v>122</v>
      </c>
      <c r="AK132" s="22">
        <v>0.51358000000000004</v>
      </c>
      <c r="AL132">
        <f t="shared" si="18"/>
        <v>17.776500000000002</v>
      </c>
      <c r="AM132">
        <f t="shared" si="19"/>
        <v>9.143769411000001</v>
      </c>
      <c r="AP132" s="9"/>
      <c r="AQ132" s="22">
        <v>1.26572</v>
      </c>
      <c r="AR132" s="22">
        <v>362.47199999999998</v>
      </c>
      <c r="AS132" s="22">
        <v>-1.71906E-2</v>
      </c>
      <c r="AT132" s="22">
        <v>122</v>
      </c>
      <c r="AU132" s="22">
        <v>1.26495</v>
      </c>
      <c r="AV132">
        <f t="shared" si="20"/>
        <v>17.1906</v>
      </c>
      <c r="AW132">
        <f t="shared" si="21"/>
        <v>21.758486231999999</v>
      </c>
      <c r="AX132" s="9"/>
      <c r="AY132" s="22">
        <v>0.514374</v>
      </c>
      <c r="AZ132" s="22">
        <v>414.90100000000001</v>
      </c>
      <c r="BA132" s="22">
        <v>-1.7825299999999999E-2</v>
      </c>
      <c r="BB132" s="22">
        <v>122</v>
      </c>
      <c r="BC132" s="22">
        <v>0.51364100000000001</v>
      </c>
      <c r="BD132">
        <f t="shared" si="22"/>
        <v>17.825299999999999</v>
      </c>
      <c r="BE132">
        <f t="shared" si="23"/>
        <v>9.1688708621999986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27.778199999999998</v>
      </c>
      <c r="I133" s="22">
        <v>-1.7019699999999999E-2</v>
      </c>
      <c r="J133" s="22">
        <v>123</v>
      </c>
      <c r="K133" s="22">
        <v>1.2597700000000001</v>
      </c>
      <c r="L133">
        <f t="shared" si="12"/>
        <v>17.0197</v>
      </c>
      <c r="M133">
        <f t="shared" si="13"/>
        <v>21.456395396000001</v>
      </c>
      <c r="N133" s="9"/>
      <c r="O133" s="22">
        <v>0.51940900000000001</v>
      </c>
      <c r="P133" s="22">
        <v>85.088099999999997</v>
      </c>
      <c r="Q133" s="22">
        <v>-1.7715499999999999E-2</v>
      </c>
      <c r="R133" s="22">
        <v>123</v>
      </c>
      <c r="S133" s="22">
        <v>0.51870700000000003</v>
      </c>
      <c r="T133">
        <f t="shared" si="14"/>
        <v>17.715499999999999</v>
      </c>
      <c r="U133">
        <f t="shared" si="15"/>
        <v>9.2015901395000004</v>
      </c>
      <c r="X133" s="9"/>
      <c r="Y133" s="22">
        <v>1.26068</v>
      </c>
      <c r="Z133" s="22">
        <v>175.24700000000001</v>
      </c>
      <c r="AA133" s="22">
        <v>-1.7156999999999999E-2</v>
      </c>
      <c r="AB133" s="22">
        <v>123</v>
      </c>
      <c r="AC133" s="22">
        <v>1.2603800000000001</v>
      </c>
      <c r="AD133">
        <f t="shared" si="16"/>
        <v>17.157</v>
      </c>
      <c r="AE133">
        <f t="shared" si="17"/>
        <v>21.629486759999999</v>
      </c>
      <c r="AF133" s="9"/>
      <c r="AG133" s="22">
        <v>0.51940900000000001</v>
      </c>
      <c r="AH133" s="22">
        <v>289.56</v>
      </c>
      <c r="AI133" s="22">
        <v>-1.7770399999999999E-2</v>
      </c>
      <c r="AJ133" s="22">
        <v>123</v>
      </c>
      <c r="AK133" s="22">
        <v>0.51873800000000003</v>
      </c>
      <c r="AL133">
        <f t="shared" si="18"/>
        <v>17.770399999999999</v>
      </c>
      <c r="AM133">
        <f t="shared" si="19"/>
        <v>9.2301056935999988</v>
      </c>
      <c r="AP133" s="9"/>
      <c r="AQ133" s="22">
        <v>1.26068</v>
      </c>
      <c r="AR133" s="22">
        <v>362.57299999999998</v>
      </c>
      <c r="AS133" s="22">
        <v>-1.7196699999999999E-2</v>
      </c>
      <c r="AT133" s="22">
        <v>123</v>
      </c>
      <c r="AU133" s="22">
        <v>1.26007</v>
      </c>
      <c r="AV133">
        <f t="shared" si="20"/>
        <v>17.1967</v>
      </c>
      <c r="AW133">
        <f t="shared" si="21"/>
        <v>21.679535756</v>
      </c>
      <c r="AX133" s="9"/>
      <c r="AY133" s="22">
        <v>0.51940900000000001</v>
      </c>
      <c r="AZ133" s="22">
        <v>415.00200000000001</v>
      </c>
      <c r="BA133" s="22">
        <v>-1.7825299999999999E-2</v>
      </c>
      <c r="BB133" s="22">
        <v>123</v>
      </c>
      <c r="BC133" s="22">
        <v>0.51864600000000005</v>
      </c>
      <c r="BD133">
        <f t="shared" si="22"/>
        <v>17.825299999999999</v>
      </c>
      <c r="BE133">
        <f t="shared" si="23"/>
        <v>9.2586212476999989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27.878900000000002</v>
      </c>
      <c r="I134" s="22">
        <v>-1.7025800000000001E-2</v>
      </c>
      <c r="J134" s="22">
        <v>124</v>
      </c>
      <c r="K134" s="22">
        <v>1.25458</v>
      </c>
      <c r="L134">
        <f t="shared" si="12"/>
        <v>17.0258</v>
      </c>
      <c r="M134">
        <f t="shared" si="13"/>
        <v>21.378445769999999</v>
      </c>
      <c r="N134" s="9"/>
      <c r="O134" s="22">
        <v>0.52444500000000005</v>
      </c>
      <c r="P134" s="22">
        <v>85.188800000000001</v>
      </c>
      <c r="Q134" s="22">
        <v>-1.77124E-2</v>
      </c>
      <c r="R134" s="22">
        <v>124</v>
      </c>
      <c r="S134" s="22">
        <v>0.52374299999999996</v>
      </c>
      <c r="T134">
        <f t="shared" si="14"/>
        <v>17.712399999999999</v>
      </c>
      <c r="U134">
        <f t="shared" si="15"/>
        <v>9.2891796180000004</v>
      </c>
      <c r="X134" s="9"/>
      <c r="Y134" s="22">
        <v>1.2556499999999999</v>
      </c>
      <c r="Z134" s="22">
        <v>175.34700000000001</v>
      </c>
      <c r="AA134" s="22">
        <v>-1.7156999999999999E-2</v>
      </c>
      <c r="AB134" s="22">
        <v>124</v>
      </c>
      <c r="AC134" s="22">
        <v>1.25427</v>
      </c>
      <c r="AD134">
        <f t="shared" si="16"/>
        <v>17.157</v>
      </c>
      <c r="AE134">
        <f t="shared" si="17"/>
        <v>21.54318705</v>
      </c>
      <c r="AF134" s="9"/>
      <c r="AG134" s="22">
        <v>0.52444500000000005</v>
      </c>
      <c r="AH134" s="22">
        <v>289.66000000000003</v>
      </c>
      <c r="AI134" s="22">
        <v>-1.77673E-2</v>
      </c>
      <c r="AJ134" s="22">
        <v>124</v>
      </c>
      <c r="AK134" s="22">
        <v>0.52371199999999996</v>
      </c>
      <c r="AL134">
        <f t="shared" si="18"/>
        <v>17.767299999999999</v>
      </c>
      <c r="AM134">
        <f t="shared" si="19"/>
        <v>9.3179716485000004</v>
      </c>
      <c r="AP134" s="9"/>
      <c r="AQ134" s="22">
        <v>1.2556499999999999</v>
      </c>
      <c r="AR134" s="22">
        <v>362.673</v>
      </c>
      <c r="AS134" s="22">
        <v>-1.72058E-2</v>
      </c>
      <c r="AT134" s="22">
        <v>124</v>
      </c>
      <c r="AU134" s="22">
        <v>1.25458</v>
      </c>
      <c r="AV134">
        <f t="shared" si="20"/>
        <v>17.2058</v>
      </c>
      <c r="AW134">
        <f t="shared" si="21"/>
        <v>21.604462769999998</v>
      </c>
      <c r="AX134" s="9"/>
      <c r="AY134" s="22">
        <v>0.52444500000000005</v>
      </c>
      <c r="AZ134" s="22">
        <v>415.10199999999998</v>
      </c>
      <c r="BA134" s="22">
        <v>-1.7816200000000001E-2</v>
      </c>
      <c r="BB134" s="22">
        <v>124</v>
      </c>
      <c r="BC134" s="22">
        <v>0.523895</v>
      </c>
      <c r="BD134">
        <f t="shared" si="22"/>
        <v>17.816200000000002</v>
      </c>
      <c r="BE134">
        <f t="shared" si="23"/>
        <v>9.3436170090000026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27.979600000000001</v>
      </c>
      <c r="I135" s="22">
        <v>-1.7025800000000001E-2</v>
      </c>
      <c r="J135" s="22">
        <v>125</v>
      </c>
      <c r="K135" s="22">
        <v>1.24969</v>
      </c>
      <c r="L135">
        <f t="shared" si="12"/>
        <v>17.0258</v>
      </c>
      <c r="M135">
        <f t="shared" si="13"/>
        <v>21.292635738000001</v>
      </c>
      <c r="N135" s="9"/>
      <c r="O135" s="22">
        <v>0.52947999999999995</v>
      </c>
      <c r="P135" s="22">
        <v>85.289500000000004</v>
      </c>
      <c r="Q135" s="22">
        <v>-1.7706300000000001E-2</v>
      </c>
      <c r="R135" s="22">
        <v>125</v>
      </c>
      <c r="S135" s="22">
        <v>0.52890000000000004</v>
      </c>
      <c r="T135">
        <f t="shared" si="14"/>
        <v>17.706300000000002</v>
      </c>
      <c r="U135">
        <f t="shared" si="15"/>
        <v>9.3751317240000009</v>
      </c>
      <c r="X135" s="9"/>
      <c r="Y135" s="22">
        <v>1.25061</v>
      </c>
      <c r="Z135" s="22">
        <v>175.44800000000001</v>
      </c>
      <c r="AA135" s="22">
        <v>-1.7160000000000002E-2</v>
      </c>
      <c r="AB135" s="22">
        <v>125</v>
      </c>
      <c r="AC135" s="22">
        <v>1.24939</v>
      </c>
      <c r="AD135">
        <f t="shared" si="16"/>
        <v>17.16</v>
      </c>
      <c r="AE135">
        <f t="shared" si="17"/>
        <v>21.460467600000001</v>
      </c>
      <c r="AF135" s="9"/>
      <c r="AG135" s="22">
        <v>0.52947999999999995</v>
      </c>
      <c r="AH135" s="22">
        <v>289.76100000000002</v>
      </c>
      <c r="AI135" s="22">
        <v>-1.77643E-2</v>
      </c>
      <c r="AJ135" s="22">
        <v>125</v>
      </c>
      <c r="AK135" s="22">
        <v>0.52868700000000002</v>
      </c>
      <c r="AL135">
        <f t="shared" si="18"/>
        <v>17.764299999999999</v>
      </c>
      <c r="AM135">
        <f t="shared" si="19"/>
        <v>9.4058415639999993</v>
      </c>
      <c r="AP135" s="9"/>
      <c r="AQ135" s="22">
        <v>1.25061</v>
      </c>
      <c r="AR135" s="22">
        <v>362.774</v>
      </c>
      <c r="AS135" s="22">
        <v>-1.7211899999999999E-2</v>
      </c>
      <c r="AT135" s="22">
        <v>125</v>
      </c>
      <c r="AU135" s="22">
        <v>1.24878</v>
      </c>
      <c r="AV135">
        <f t="shared" si="20"/>
        <v>17.2119</v>
      </c>
      <c r="AW135">
        <f t="shared" si="21"/>
        <v>21.525374258999999</v>
      </c>
      <c r="AX135" s="9"/>
      <c r="AY135" s="22">
        <v>0.52947999999999995</v>
      </c>
      <c r="AZ135" s="22">
        <v>415.20299999999997</v>
      </c>
      <c r="BA135" s="22">
        <v>-1.7810099999999999E-2</v>
      </c>
      <c r="BB135" s="22">
        <v>125</v>
      </c>
      <c r="BC135" s="22">
        <v>0.52883899999999995</v>
      </c>
      <c r="BD135">
        <f t="shared" si="22"/>
        <v>17.810099999999998</v>
      </c>
      <c r="BE135">
        <f t="shared" si="23"/>
        <v>9.4300917479999988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28.080400000000001</v>
      </c>
      <c r="I136" s="22">
        <v>-1.7038000000000001E-2</v>
      </c>
      <c r="J136" s="22">
        <v>126</v>
      </c>
      <c r="K136" s="22">
        <v>1.24451</v>
      </c>
      <c r="L136">
        <f t="shared" si="12"/>
        <v>17.038</v>
      </c>
      <c r="M136">
        <f t="shared" si="13"/>
        <v>21.222021660000003</v>
      </c>
      <c r="N136" s="9"/>
      <c r="O136" s="22">
        <v>0.53451499999999996</v>
      </c>
      <c r="P136" s="22">
        <v>85.390199999999993</v>
      </c>
      <c r="Q136" s="22">
        <v>-1.7700199999999999E-2</v>
      </c>
      <c r="R136" s="22">
        <v>126</v>
      </c>
      <c r="S136" s="22">
        <v>0.53363000000000005</v>
      </c>
      <c r="T136">
        <f t="shared" si="14"/>
        <v>17.700199999999999</v>
      </c>
      <c r="U136">
        <f t="shared" si="15"/>
        <v>9.4610224029999994</v>
      </c>
      <c r="X136" s="9"/>
      <c r="Y136" s="22">
        <v>1.2455700000000001</v>
      </c>
      <c r="Z136" s="22">
        <v>175.54900000000001</v>
      </c>
      <c r="AA136" s="22">
        <v>-1.7169199999999999E-2</v>
      </c>
      <c r="AB136" s="22">
        <v>126</v>
      </c>
      <c r="AC136" s="22">
        <v>1.24451</v>
      </c>
      <c r="AD136">
        <f t="shared" si="16"/>
        <v>17.1692</v>
      </c>
      <c r="AE136">
        <f t="shared" si="17"/>
        <v>21.385440444</v>
      </c>
      <c r="AF136" s="9"/>
      <c r="AG136" s="22">
        <v>0.53451499999999996</v>
      </c>
      <c r="AH136" s="22">
        <v>289.86200000000002</v>
      </c>
      <c r="AI136" s="22">
        <v>-1.7758199999999998E-2</v>
      </c>
      <c r="AJ136" s="22">
        <v>126</v>
      </c>
      <c r="AK136" s="22">
        <v>0.533752</v>
      </c>
      <c r="AL136">
        <f t="shared" si="18"/>
        <v>17.758199999999999</v>
      </c>
      <c r="AM136">
        <f t="shared" si="19"/>
        <v>9.4920242729999984</v>
      </c>
      <c r="AP136" s="9"/>
      <c r="AQ136" s="22">
        <v>1.2455700000000001</v>
      </c>
      <c r="AR136" s="22">
        <v>362.875</v>
      </c>
      <c r="AS136" s="22">
        <v>-1.7218000000000001E-2</v>
      </c>
      <c r="AT136" s="22">
        <v>126</v>
      </c>
      <c r="AU136" s="22">
        <v>1.2442</v>
      </c>
      <c r="AV136">
        <f t="shared" si="20"/>
        <v>17.218</v>
      </c>
      <c r="AW136">
        <f t="shared" si="21"/>
        <v>21.446224260000001</v>
      </c>
      <c r="AX136" s="9"/>
      <c r="AY136" s="22">
        <v>0.53451499999999996</v>
      </c>
      <c r="AZ136" s="22">
        <v>415.30399999999997</v>
      </c>
      <c r="BA136" s="22">
        <v>-1.7810099999999999E-2</v>
      </c>
      <c r="BB136" s="22">
        <v>126</v>
      </c>
      <c r="BC136" s="22">
        <v>0.53363000000000005</v>
      </c>
      <c r="BD136">
        <f t="shared" si="22"/>
        <v>17.810099999999998</v>
      </c>
      <c r="BE136">
        <f t="shared" si="23"/>
        <v>9.5197656014999978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28.181100000000001</v>
      </c>
      <c r="I137" s="22">
        <v>-1.70441E-2</v>
      </c>
      <c r="J137" s="22">
        <v>127</v>
      </c>
      <c r="K137" s="22">
        <v>1.2396199999999999</v>
      </c>
      <c r="L137">
        <f t="shared" si="12"/>
        <v>17.0441</v>
      </c>
      <c r="M137">
        <f t="shared" si="13"/>
        <v>21.143887813999999</v>
      </c>
      <c r="N137" s="9"/>
      <c r="O137" s="22">
        <v>0.539551</v>
      </c>
      <c r="P137" s="22">
        <v>85.490899999999996</v>
      </c>
      <c r="Q137" s="22">
        <v>-1.7694100000000001E-2</v>
      </c>
      <c r="R137" s="22">
        <v>127</v>
      </c>
      <c r="S137" s="22">
        <v>0.538879</v>
      </c>
      <c r="T137">
        <f t="shared" si="14"/>
        <v>17.694100000000002</v>
      </c>
      <c r="U137">
        <f t="shared" si="15"/>
        <v>9.5468693491000014</v>
      </c>
      <c r="X137" s="9"/>
      <c r="Y137" s="22">
        <v>1.24054</v>
      </c>
      <c r="Z137" s="22">
        <v>175.649</v>
      </c>
      <c r="AA137" s="22">
        <v>-1.7172199999999999E-2</v>
      </c>
      <c r="AB137" s="22">
        <v>127</v>
      </c>
      <c r="AC137" s="22">
        <v>1.2396199999999999</v>
      </c>
      <c r="AD137">
        <f t="shared" si="16"/>
        <v>17.1722</v>
      </c>
      <c r="AE137">
        <f t="shared" si="17"/>
        <v>21.302800988000001</v>
      </c>
      <c r="AF137" s="9"/>
      <c r="AG137" s="22">
        <v>0.539551</v>
      </c>
      <c r="AH137" s="22">
        <v>289.96199999999999</v>
      </c>
      <c r="AI137" s="22">
        <v>-1.7755099999999999E-2</v>
      </c>
      <c r="AJ137" s="22">
        <v>127</v>
      </c>
      <c r="AK137" s="22">
        <v>0.53878800000000004</v>
      </c>
      <c r="AL137">
        <f t="shared" si="18"/>
        <v>17.755099999999999</v>
      </c>
      <c r="AM137">
        <f t="shared" si="19"/>
        <v>9.5797819601</v>
      </c>
      <c r="AP137" s="9"/>
      <c r="AQ137" s="22">
        <v>1.24054</v>
      </c>
      <c r="AR137" s="22">
        <v>362.976</v>
      </c>
      <c r="AS137" s="22">
        <v>-1.72211E-2</v>
      </c>
      <c r="AT137" s="22">
        <v>127</v>
      </c>
      <c r="AU137" s="22">
        <v>1.23993</v>
      </c>
      <c r="AV137">
        <f t="shared" si="20"/>
        <v>17.2211</v>
      </c>
      <c r="AW137">
        <f t="shared" si="21"/>
        <v>21.363463394</v>
      </c>
      <c r="AX137" s="9"/>
      <c r="AY137" s="22">
        <v>0.539551</v>
      </c>
      <c r="AZ137" s="22">
        <v>415.404</v>
      </c>
      <c r="BA137" s="22">
        <v>-1.7804E-2</v>
      </c>
      <c r="BB137" s="22">
        <v>127</v>
      </c>
      <c r="BC137" s="22">
        <v>0.53881800000000002</v>
      </c>
      <c r="BD137">
        <f t="shared" si="22"/>
        <v>17.804000000000002</v>
      </c>
      <c r="BE137">
        <f t="shared" si="23"/>
        <v>9.6061660040000003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28.2818</v>
      </c>
      <c r="I138" s="22">
        <v>-1.70441E-2</v>
      </c>
      <c r="J138" s="22">
        <v>128</v>
      </c>
      <c r="K138" s="22">
        <v>1.23444</v>
      </c>
      <c r="L138">
        <f t="shared" si="12"/>
        <v>17.0441</v>
      </c>
      <c r="M138">
        <f t="shared" si="13"/>
        <v>21.057985550000001</v>
      </c>
      <c r="N138" s="9"/>
      <c r="O138" s="22">
        <v>0.54458600000000001</v>
      </c>
      <c r="P138" s="22">
        <v>85.591700000000003</v>
      </c>
      <c r="Q138" s="22">
        <v>-1.7694100000000001E-2</v>
      </c>
      <c r="R138" s="22">
        <v>128</v>
      </c>
      <c r="S138" s="22">
        <v>0.54391500000000004</v>
      </c>
      <c r="T138">
        <f t="shared" si="14"/>
        <v>17.694100000000002</v>
      </c>
      <c r="U138">
        <f t="shared" si="15"/>
        <v>9.6359591426000009</v>
      </c>
      <c r="X138" s="9"/>
      <c r="Y138" s="22">
        <v>1.2355</v>
      </c>
      <c r="Z138" s="22">
        <v>175.75</v>
      </c>
      <c r="AA138" s="22">
        <v>-1.7181399999999999E-2</v>
      </c>
      <c r="AB138" s="22">
        <v>128</v>
      </c>
      <c r="AC138" s="22">
        <v>1.2347399999999999</v>
      </c>
      <c r="AD138">
        <f t="shared" si="16"/>
        <v>17.1814</v>
      </c>
      <c r="AE138">
        <f t="shared" si="17"/>
        <v>21.227619700000002</v>
      </c>
      <c r="AF138" s="9"/>
      <c r="AG138" s="22">
        <v>0.54458600000000001</v>
      </c>
      <c r="AH138" s="22">
        <v>290.06299999999999</v>
      </c>
      <c r="AI138" s="22">
        <v>-1.77521E-2</v>
      </c>
      <c r="AJ138" s="22">
        <v>128</v>
      </c>
      <c r="AK138" s="22">
        <v>0.54400599999999999</v>
      </c>
      <c r="AL138">
        <f t="shared" si="18"/>
        <v>17.752099999999999</v>
      </c>
      <c r="AM138">
        <f t="shared" si="19"/>
        <v>9.6675451305999989</v>
      </c>
      <c r="AP138" s="9"/>
      <c r="AQ138" s="22">
        <v>1.2355</v>
      </c>
      <c r="AR138" s="22">
        <v>363.07600000000002</v>
      </c>
      <c r="AS138" s="22">
        <v>-1.7227200000000002E-2</v>
      </c>
      <c r="AT138" s="22">
        <v>128</v>
      </c>
      <c r="AU138" s="22">
        <v>1.23444</v>
      </c>
      <c r="AV138">
        <f t="shared" si="20"/>
        <v>17.2272</v>
      </c>
      <c r="AW138">
        <f t="shared" si="21"/>
        <v>21.2842056</v>
      </c>
      <c r="AX138" s="9"/>
      <c r="AY138" s="22">
        <v>0.54458600000000001</v>
      </c>
      <c r="AZ138" s="22">
        <v>415.505</v>
      </c>
      <c r="BA138" s="22">
        <v>-1.7800900000000001E-2</v>
      </c>
      <c r="BB138" s="22">
        <v>128</v>
      </c>
      <c r="BC138" s="22">
        <v>0.54385399999999995</v>
      </c>
      <c r="BD138">
        <f t="shared" si="22"/>
        <v>17.800900000000002</v>
      </c>
      <c r="BE138">
        <f t="shared" si="23"/>
        <v>9.694120927400002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28.3825</v>
      </c>
      <c r="I139" s="22">
        <v>-1.7053200000000001E-2</v>
      </c>
      <c r="J139" s="22">
        <v>129</v>
      </c>
      <c r="K139" s="22">
        <v>1.22986</v>
      </c>
      <c r="L139">
        <f t="shared" si="12"/>
        <v>17.0532</v>
      </c>
      <c r="M139">
        <f t="shared" si="13"/>
        <v>20.983451003999999</v>
      </c>
      <c r="N139" s="9"/>
      <c r="O139" s="22">
        <v>0.54962200000000005</v>
      </c>
      <c r="P139" s="22">
        <v>85.692400000000006</v>
      </c>
      <c r="Q139" s="22">
        <v>-1.7690999999999998E-2</v>
      </c>
      <c r="R139" s="22">
        <v>129</v>
      </c>
      <c r="S139" s="22">
        <v>0.54885899999999999</v>
      </c>
      <c r="T139">
        <f t="shared" si="14"/>
        <v>17.690999999999999</v>
      </c>
      <c r="U139">
        <f t="shared" si="15"/>
        <v>9.7233628020000005</v>
      </c>
      <c r="X139" s="9"/>
      <c r="Y139" s="22">
        <v>1.23047</v>
      </c>
      <c r="Z139" s="22">
        <v>175.851</v>
      </c>
      <c r="AA139" s="22">
        <v>-1.7184399999999999E-2</v>
      </c>
      <c r="AB139" s="22">
        <v>129</v>
      </c>
      <c r="AC139" s="22">
        <v>1.2295499999999999</v>
      </c>
      <c r="AD139">
        <f t="shared" si="16"/>
        <v>17.1844</v>
      </c>
      <c r="AE139">
        <f t="shared" si="17"/>
        <v>21.144888668</v>
      </c>
      <c r="AF139" s="9"/>
      <c r="AG139" s="22">
        <v>0.54962200000000005</v>
      </c>
      <c r="AH139" s="22">
        <v>290.16399999999999</v>
      </c>
      <c r="AI139" s="22">
        <v>-1.7746000000000001E-2</v>
      </c>
      <c r="AJ139" s="22">
        <v>129</v>
      </c>
      <c r="AK139" s="22">
        <v>0.54879800000000001</v>
      </c>
      <c r="AL139">
        <f t="shared" si="18"/>
        <v>17.746000000000002</v>
      </c>
      <c r="AM139">
        <f t="shared" si="19"/>
        <v>9.7535920120000021</v>
      </c>
      <c r="AP139" s="9"/>
      <c r="AQ139" s="22">
        <v>1.23047</v>
      </c>
      <c r="AR139" s="22">
        <v>363.17700000000002</v>
      </c>
      <c r="AS139" s="22">
        <v>-1.72333E-2</v>
      </c>
      <c r="AT139" s="22">
        <v>129</v>
      </c>
      <c r="AU139" s="22">
        <v>1.2295499999999999</v>
      </c>
      <c r="AV139">
        <f t="shared" si="20"/>
        <v>17.2333</v>
      </c>
      <c r="AW139">
        <f t="shared" si="21"/>
        <v>21.205058650999998</v>
      </c>
      <c r="AX139" s="9"/>
      <c r="AY139" s="22">
        <v>0.54962200000000005</v>
      </c>
      <c r="AZ139" s="22">
        <v>415.60599999999999</v>
      </c>
      <c r="BA139" s="22">
        <v>-1.77948E-2</v>
      </c>
      <c r="BB139" s="22">
        <v>129</v>
      </c>
      <c r="BC139" s="22">
        <v>0.54895000000000005</v>
      </c>
      <c r="BD139">
        <f t="shared" si="22"/>
        <v>17.794799999999999</v>
      </c>
      <c r="BE139">
        <f t="shared" si="23"/>
        <v>9.7804135656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28.4832</v>
      </c>
      <c r="I140" s="22">
        <v>-1.7053200000000001E-2</v>
      </c>
      <c r="J140" s="22">
        <v>130</v>
      </c>
      <c r="K140" s="22">
        <v>1.2240599999999999</v>
      </c>
      <c r="L140">
        <f t="shared" ref="L140:L203" si="24">-I140/$F$2*1000</f>
        <v>17.0532</v>
      </c>
      <c r="M140">
        <f t="shared" ref="M140:M203" si="25">L140*G140</f>
        <v>20.897502876000001</v>
      </c>
      <c r="N140" s="9"/>
      <c r="O140" s="22">
        <v>0.55465699999999996</v>
      </c>
      <c r="P140" s="22">
        <v>85.793099999999995</v>
      </c>
      <c r="Q140" s="22">
        <v>-1.7690999999999998E-2</v>
      </c>
      <c r="R140" s="22">
        <v>130</v>
      </c>
      <c r="S140" s="22">
        <v>0.55380200000000002</v>
      </c>
      <c r="T140">
        <f t="shared" ref="T140:T203" si="26">-Q140/$F$2*1000</f>
        <v>17.690999999999999</v>
      </c>
      <c r="U140">
        <f t="shared" ref="U140:U203" si="27">T140*O140</f>
        <v>9.8124369869999981</v>
      </c>
      <c r="X140" s="9"/>
      <c r="Y140" s="22">
        <v>1.22543</v>
      </c>
      <c r="Z140" s="22">
        <v>175.952</v>
      </c>
      <c r="AA140" s="22">
        <v>-1.7187500000000001E-2</v>
      </c>
      <c r="AB140" s="22">
        <v>130</v>
      </c>
      <c r="AC140" s="22">
        <v>1.2240599999999999</v>
      </c>
      <c r="AD140">
        <f t="shared" ref="AD140:AD203" si="28">-AA140/$F$2*1000</f>
        <v>17.1875</v>
      </c>
      <c r="AE140">
        <f t="shared" ref="AE140:AE203" si="29">AD140*Y140</f>
        <v>21.062078124999999</v>
      </c>
      <c r="AF140" s="9"/>
      <c r="AG140" s="22">
        <v>0.55465699999999996</v>
      </c>
      <c r="AH140" s="22">
        <v>290.26499999999999</v>
      </c>
      <c r="AI140" s="22">
        <v>-1.7746000000000001E-2</v>
      </c>
      <c r="AJ140" s="22">
        <v>130</v>
      </c>
      <c r="AK140" s="22">
        <v>0.553925</v>
      </c>
      <c r="AL140">
        <f t="shared" ref="AL140:AL203" si="30">-AI140/$F$2*1000</f>
        <v>17.746000000000002</v>
      </c>
      <c r="AM140">
        <f t="shared" ref="AM140:AM203" si="31">AL140*AG140</f>
        <v>9.8429431220000012</v>
      </c>
      <c r="AP140" s="9"/>
      <c r="AQ140" s="22">
        <v>1.22543</v>
      </c>
      <c r="AR140" s="22">
        <v>363.27800000000002</v>
      </c>
      <c r="AS140" s="22">
        <v>-1.7242400000000001E-2</v>
      </c>
      <c r="AT140" s="22">
        <v>130</v>
      </c>
      <c r="AU140" s="22">
        <v>1.2246699999999999</v>
      </c>
      <c r="AV140">
        <f t="shared" ref="AV140:AV203" si="32">-AS140/$F$2*1000</f>
        <v>17.2424</v>
      </c>
      <c r="AW140">
        <f t="shared" ref="AW140:AW203" si="33">AV140*AQ140</f>
        <v>21.129354232000001</v>
      </c>
      <c r="AX140" s="9"/>
      <c r="AY140" s="22">
        <v>0.55465699999999996</v>
      </c>
      <c r="AZ140" s="22">
        <v>415.70600000000002</v>
      </c>
      <c r="BA140" s="22">
        <v>-1.7791700000000001E-2</v>
      </c>
      <c r="BB140" s="22">
        <v>130</v>
      </c>
      <c r="BC140" s="22">
        <v>0.55398599999999998</v>
      </c>
      <c r="BD140">
        <f t="shared" ref="BD140:BD203" si="34">-BA140/$F$2*1000</f>
        <v>17.791700000000002</v>
      </c>
      <c r="BE140">
        <f t="shared" ref="BE140:BE203" si="35">BD140*AY140</f>
        <v>9.8682909469000002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28.5839</v>
      </c>
      <c r="I141" s="22">
        <v>-1.7062399999999998E-2</v>
      </c>
      <c r="J141" s="22">
        <v>131</v>
      </c>
      <c r="K141" s="22">
        <v>1.2197899999999999</v>
      </c>
      <c r="L141">
        <f t="shared" si="24"/>
        <v>17.062399999999997</v>
      </c>
      <c r="M141">
        <f t="shared" si="25"/>
        <v>20.822952959999995</v>
      </c>
      <c r="N141" s="9"/>
      <c r="O141" s="22">
        <v>0.55969199999999997</v>
      </c>
      <c r="P141" s="22">
        <v>85.893799999999999</v>
      </c>
      <c r="Q141" s="22">
        <v>-1.76849E-2</v>
      </c>
      <c r="R141" s="22">
        <v>131</v>
      </c>
      <c r="S141" s="22">
        <v>0.55902099999999999</v>
      </c>
      <c r="T141">
        <f t="shared" si="26"/>
        <v>17.684899999999999</v>
      </c>
      <c r="U141">
        <f t="shared" si="27"/>
        <v>9.8980970507999988</v>
      </c>
      <c r="X141" s="9"/>
      <c r="Y141" s="22">
        <v>1.2203999999999999</v>
      </c>
      <c r="Z141" s="22">
        <v>176.05199999999999</v>
      </c>
      <c r="AA141" s="22">
        <v>-1.7196699999999999E-2</v>
      </c>
      <c r="AB141" s="22">
        <v>131</v>
      </c>
      <c r="AC141" s="22">
        <v>1.2191799999999999</v>
      </c>
      <c r="AD141">
        <f t="shared" si="28"/>
        <v>17.1967</v>
      </c>
      <c r="AE141">
        <f t="shared" si="29"/>
        <v>20.986852679999998</v>
      </c>
      <c r="AF141" s="9"/>
      <c r="AG141" s="22">
        <v>0.55969199999999997</v>
      </c>
      <c r="AH141" s="22">
        <v>290.36500000000001</v>
      </c>
      <c r="AI141" s="22">
        <v>-1.7742899999999999E-2</v>
      </c>
      <c r="AJ141" s="22">
        <v>131</v>
      </c>
      <c r="AK141" s="22">
        <v>0.55905199999999999</v>
      </c>
      <c r="AL141">
        <f t="shared" si="30"/>
        <v>17.742899999999999</v>
      </c>
      <c r="AM141">
        <f t="shared" si="31"/>
        <v>9.9305591867999983</v>
      </c>
      <c r="AP141" s="9"/>
      <c r="AQ141" s="22">
        <v>1.2203999999999999</v>
      </c>
      <c r="AR141" s="22">
        <v>363.37799999999999</v>
      </c>
      <c r="AS141" s="22">
        <v>-1.72455E-2</v>
      </c>
      <c r="AT141" s="22">
        <v>131</v>
      </c>
      <c r="AU141" s="22">
        <v>1.2194799999999999</v>
      </c>
      <c r="AV141">
        <f t="shared" si="32"/>
        <v>17.2455</v>
      </c>
      <c r="AW141">
        <f t="shared" si="33"/>
        <v>21.046408199999998</v>
      </c>
      <c r="AX141" s="9"/>
      <c r="AY141" s="22">
        <v>0.55969199999999997</v>
      </c>
      <c r="AZ141" s="22">
        <v>415.80700000000002</v>
      </c>
      <c r="BA141" s="22">
        <v>-1.7791700000000001E-2</v>
      </c>
      <c r="BB141" s="22">
        <v>131</v>
      </c>
      <c r="BC141" s="22">
        <v>0.55889900000000003</v>
      </c>
      <c r="BD141">
        <f t="shared" si="34"/>
        <v>17.791700000000002</v>
      </c>
      <c r="BE141">
        <f t="shared" si="35"/>
        <v>9.9578721564000006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28.6846</v>
      </c>
      <c r="I142" s="22">
        <v>-1.70715E-2</v>
      </c>
      <c r="J142" s="22">
        <v>132</v>
      </c>
      <c r="K142" s="22">
        <v>1.2145999999999999</v>
      </c>
      <c r="L142">
        <f t="shared" si="24"/>
        <v>17.0715</v>
      </c>
      <c r="M142">
        <f t="shared" si="25"/>
        <v>20.74801824</v>
      </c>
      <c r="N142" s="9"/>
      <c r="O142" s="22">
        <v>0.56472800000000001</v>
      </c>
      <c r="P142" s="22">
        <v>85.994500000000002</v>
      </c>
      <c r="Q142" s="22">
        <v>-1.76819E-2</v>
      </c>
      <c r="R142" s="22">
        <v>132</v>
      </c>
      <c r="S142" s="22">
        <v>0.56402600000000003</v>
      </c>
      <c r="T142">
        <f t="shared" si="26"/>
        <v>17.681899999999999</v>
      </c>
      <c r="U142">
        <f t="shared" si="27"/>
        <v>9.9854640231999987</v>
      </c>
      <c r="X142" s="9"/>
      <c r="Y142" s="22">
        <v>1.21536</v>
      </c>
      <c r="Z142" s="22">
        <v>176.15299999999999</v>
      </c>
      <c r="AA142" s="22">
        <v>-1.7202800000000001E-2</v>
      </c>
      <c r="AB142" s="22">
        <v>132</v>
      </c>
      <c r="AC142" s="22">
        <v>1.2142900000000001</v>
      </c>
      <c r="AD142">
        <f t="shared" si="28"/>
        <v>17.2028</v>
      </c>
      <c r="AE142">
        <f t="shared" si="29"/>
        <v>20.907595008000001</v>
      </c>
      <c r="AF142" s="9"/>
      <c r="AG142" s="22">
        <v>0.56472800000000001</v>
      </c>
      <c r="AH142" s="22">
        <v>290.46600000000001</v>
      </c>
      <c r="AI142" s="22">
        <v>-1.77368E-2</v>
      </c>
      <c r="AJ142" s="22">
        <v>132</v>
      </c>
      <c r="AK142" s="22">
        <v>0.56396500000000005</v>
      </c>
      <c r="AL142">
        <f t="shared" si="30"/>
        <v>17.736799999999999</v>
      </c>
      <c r="AM142">
        <f t="shared" si="31"/>
        <v>10.0164675904</v>
      </c>
      <c r="AP142" s="9"/>
      <c r="AQ142" s="22">
        <v>1.21536</v>
      </c>
      <c r="AR142" s="22">
        <v>363.47899999999998</v>
      </c>
      <c r="AS142" s="22">
        <v>-1.72485E-2</v>
      </c>
      <c r="AT142" s="22">
        <v>132</v>
      </c>
      <c r="AU142" s="22">
        <v>1.2142900000000001</v>
      </c>
      <c r="AV142">
        <f t="shared" si="32"/>
        <v>17.2485</v>
      </c>
      <c r="AW142">
        <f t="shared" si="33"/>
        <v>20.96313696</v>
      </c>
      <c r="AX142" s="9"/>
      <c r="AY142" s="22">
        <v>0.56472800000000001</v>
      </c>
      <c r="AZ142" s="22">
        <v>415.90800000000002</v>
      </c>
      <c r="BA142" s="22">
        <v>-1.7788700000000001E-2</v>
      </c>
      <c r="BB142" s="22">
        <v>132</v>
      </c>
      <c r="BC142" s="22">
        <v>0.564056</v>
      </c>
      <c r="BD142">
        <f t="shared" si="34"/>
        <v>17.788700000000002</v>
      </c>
      <c r="BE142">
        <f t="shared" si="35"/>
        <v>10.045776973600001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28.785299999999999</v>
      </c>
      <c r="I143" s="22">
        <v>-1.7077599999999998E-2</v>
      </c>
      <c r="J143" s="22">
        <v>133</v>
      </c>
      <c r="K143" s="22">
        <v>1.2091099999999999</v>
      </c>
      <c r="L143">
        <f t="shared" si="24"/>
        <v>17.077599999999997</v>
      </c>
      <c r="M143">
        <f t="shared" si="25"/>
        <v>20.669531607999996</v>
      </c>
      <c r="N143" s="9"/>
      <c r="O143" s="22">
        <v>0.56976300000000002</v>
      </c>
      <c r="P143" s="22">
        <v>86.095200000000006</v>
      </c>
      <c r="Q143" s="22">
        <v>-1.7678800000000001E-2</v>
      </c>
      <c r="R143" s="22">
        <v>133</v>
      </c>
      <c r="S143" s="22">
        <v>0.56881700000000002</v>
      </c>
      <c r="T143">
        <f t="shared" si="26"/>
        <v>17.678800000000003</v>
      </c>
      <c r="U143">
        <f t="shared" si="27"/>
        <v>10.072726124400003</v>
      </c>
      <c r="X143" s="9"/>
      <c r="Y143" s="22">
        <v>1.2103299999999999</v>
      </c>
      <c r="Z143" s="22">
        <v>176.25399999999999</v>
      </c>
      <c r="AA143" s="22">
        <v>-1.7202800000000001E-2</v>
      </c>
      <c r="AB143" s="22">
        <v>133</v>
      </c>
      <c r="AC143" s="22">
        <v>1.2097199999999999</v>
      </c>
      <c r="AD143">
        <f t="shared" si="28"/>
        <v>17.2028</v>
      </c>
      <c r="AE143">
        <f t="shared" si="29"/>
        <v>20.821064923999998</v>
      </c>
      <c r="AF143" s="9"/>
      <c r="AG143" s="22">
        <v>0.56976300000000002</v>
      </c>
      <c r="AH143" s="22">
        <v>290.56700000000001</v>
      </c>
      <c r="AI143" s="22">
        <v>-1.7733800000000001E-2</v>
      </c>
      <c r="AJ143" s="22">
        <v>133</v>
      </c>
      <c r="AK143" s="22">
        <v>0.56903099999999995</v>
      </c>
      <c r="AL143">
        <f t="shared" si="30"/>
        <v>17.733800000000002</v>
      </c>
      <c r="AM143">
        <f t="shared" si="31"/>
        <v>10.104063089400002</v>
      </c>
      <c r="AP143" s="9"/>
      <c r="AQ143" s="22">
        <v>1.2103299999999999</v>
      </c>
      <c r="AR143" s="22">
        <v>363.58</v>
      </c>
      <c r="AS143" s="22">
        <v>-1.7257700000000001E-2</v>
      </c>
      <c r="AT143" s="22">
        <v>133</v>
      </c>
      <c r="AU143" s="22">
        <v>1.2091099999999999</v>
      </c>
      <c r="AV143">
        <f t="shared" si="32"/>
        <v>17.2577</v>
      </c>
      <c r="AW143">
        <f t="shared" si="33"/>
        <v>20.887512040999997</v>
      </c>
      <c r="AX143" s="9"/>
      <c r="AY143" s="22">
        <v>0.56976300000000002</v>
      </c>
      <c r="AZ143" s="22">
        <v>416.00900000000001</v>
      </c>
      <c r="BA143" s="22">
        <v>-1.7785599999999999E-2</v>
      </c>
      <c r="BB143" s="22">
        <v>133</v>
      </c>
      <c r="BC143" s="22">
        <v>0.56881700000000002</v>
      </c>
      <c r="BD143">
        <f t="shared" si="34"/>
        <v>17.785599999999999</v>
      </c>
      <c r="BE143">
        <f t="shared" si="35"/>
        <v>10.133576812799999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28.885999999999999</v>
      </c>
      <c r="I144" s="22">
        <v>-1.7074599999999999E-2</v>
      </c>
      <c r="J144" s="22">
        <v>134</v>
      </c>
      <c r="K144" s="22">
        <v>1.2045300000000001</v>
      </c>
      <c r="L144">
        <f t="shared" si="24"/>
        <v>17.0746</v>
      </c>
      <c r="M144">
        <f t="shared" si="25"/>
        <v>20.579844634000001</v>
      </c>
      <c r="N144" s="9"/>
      <c r="O144" s="22">
        <v>0.57479899999999995</v>
      </c>
      <c r="P144" s="22">
        <v>86.195899999999995</v>
      </c>
      <c r="Q144" s="22">
        <v>-1.7675799999999998E-2</v>
      </c>
      <c r="R144" s="22">
        <v>134</v>
      </c>
      <c r="S144" s="22">
        <v>0.57406599999999997</v>
      </c>
      <c r="T144">
        <f t="shared" si="26"/>
        <v>17.675799999999999</v>
      </c>
      <c r="U144">
        <f t="shared" si="27"/>
        <v>10.160032164199999</v>
      </c>
      <c r="X144" s="9"/>
      <c r="Y144" s="22">
        <v>1.20529</v>
      </c>
      <c r="Z144" s="22">
        <v>176.35400000000001</v>
      </c>
      <c r="AA144" s="22">
        <v>-1.7208899999999999E-2</v>
      </c>
      <c r="AB144" s="22">
        <v>134</v>
      </c>
      <c r="AC144" s="22">
        <v>1.2045300000000001</v>
      </c>
      <c r="AD144">
        <f t="shared" si="28"/>
        <v>17.2089</v>
      </c>
      <c r="AE144">
        <f t="shared" si="29"/>
        <v>20.741715080999999</v>
      </c>
      <c r="AF144" s="9"/>
      <c r="AG144" s="22">
        <v>0.57479899999999995</v>
      </c>
      <c r="AH144" s="22">
        <v>290.66699999999997</v>
      </c>
      <c r="AI144" s="22">
        <v>-1.7730699999999999E-2</v>
      </c>
      <c r="AJ144" s="22">
        <v>134</v>
      </c>
      <c r="AK144" s="22">
        <v>0.57406599999999997</v>
      </c>
      <c r="AL144">
        <f t="shared" si="30"/>
        <v>17.730699999999999</v>
      </c>
      <c r="AM144">
        <f t="shared" si="31"/>
        <v>10.191588629299998</v>
      </c>
      <c r="AP144" s="9"/>
      <c r="AQ144" s="22">
        <v>1.20529</v>
      </c>
      <c r="AR144" s="22">
        <v>363.68099999999998</v>
      </c>
      <c r="AS144" s="22">
        <v>-1.72607E-2</v>
      </c>
      <c r="AT144" s="22">
        <v>134</v>
      </c>
      <c r="AU144" s="22">
        <v>1.2045300000000001</v>
      </c>
      <c r="AV144">
        <f t="shared" si="32"/>
        <v>17.2607</v>
      </c>
      <c r="AW144">
        <f t="shared" si="33"/>
        <v>20.804149103</v>
      </c>
      <c r="AX144" s="9"/>
      <c r="AY144" s="22">
        <v>0.57479899999999995</v>
      </c>
      <c r="AZ144" s="22">
        <v>416.10899999999998</v>
      </c>
      <c r="BA144" s="22">
        <v>-1.77795E-2</v>
      </c>
      <c r="BB144" s="22">
        <v>134</v>
      </c>
      <c r="BC144" s="22">
        <v>0.57400499999999999</v>
      </c>
      <c r="BD144">
        <f t="shared" si="34"/>
        <v>17.779499999999999</v>
      </c>
      <c r="BE144">
        <f t="shared" si="35"/>
        <v>10.219638820499998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28.986699999999999</v>
      </c>
      <c r="I145" s="22">
        <v>-1.7080700000000001E-2</v>
      </c>
      <c r="J145" s="22">
        <v>135</v>
      </c>
      <c r="K145" s="22">
        <v>1.1993400000000001</v>
      </c>
      <c r="L145">
        <f t="shared" si="24"/>
        <v>17.0807</v>
      </c>
      <c r="M145">
        <f t="shared" si="25"/>
        <v>20.501280982000001</v>
      </c>
      <c r="N145" s="9"/>
      <c r="O145" s="22">
        <v>0.57983399999999996</v>
      </c>
      <c r="P145" s="22">
        <v>86.296599999999998</v>
      </c>
      <c r="Q145" s="22">
        <v>-1.76727E-2</v>
      </c>
      <c r="R145" s="22">
        <v>135</v>
      </c>
      <c r="S145" s="22">
        <v>0.57919299999999996</v>
      </c>
      <c r="T145">
        <f t="shared" si="26"/>
        <v>17.672699999999999</v>
      </c>
      <c r="U145">
        <f t="shared" si="27"/>
        <v>10.247232331799999</v>
      </c>
      <c r="X145" s="9"/>
      <c r="Y145" s="22">
        <v>1.2002600000000001</v>
      </c>
      <c r="Z145" s="22">
        <v>176.45500000000001</v>
      </c>
      <c r="AA145" s="22">
        <v>-1.7215000000000001E-2</v>
      </c>
      <c r="AB145" s="22">
        <v>135</v>
      </c>
      <c r="AC145" s="22">
        <v>1.1996500000000001</v>
      </c>
      <c r="AD145">
        <f t="shared" si="28"/>
        <v>17.215</v>
      </c>
      <c r="AE145">
        <f t="shared" si="29"/>
        <v>20.6624759</v>
      </c>
      <c r="AF145" s="9"/>
      <c r="AG145" s="22">
        <v>0.57983399999999996</v>
      </c>
      <c r="AH145" s="22">
        <v>290.76799999999997</v>
      </c>
      <c r="AI145" s="22">
        <v>-1.7730699999999999E-2</v>
      </c>
      <c r="AJ145" s="22">
        <v>135</v>
      </c>
      <c r="AK145" s="22">
        <v>0.579071</v>
      </c>
      <c r="AL145">
        <f t="shared" si="30"/>
        <v>17.730699999999999</v>
      </c>
      <c r="AM145">
        <f t="shared" si="31"/>
        <v>10.280862703799999</v>
      </c>
      <c r="AP145" s="9"/>
      <c r="AQ145" s="22">
        <v>1.2002600000000001</v>
      </c>
      <c r="AR145" s="22">
        <v>363.78100000000001</v>
      </c>
      <c r="AS145" s="22">
        <v>-1.7266799999999999E-2</v>
      </c>
      <c r="AT145" s="22">
        <v>135</v>
      </c>
      <c r="AU145" s="22">
        <v>1.1993400000000001</v>
      </c>
      <c r="AV145">
        <f t="shared" si="32"/>
        <v>17.2668</v>
      </c>
      <c r="AW145">
        <f t="shared" si="33"/>
        <v>20.724649368000001</v>
      </c>
      <c r="AX145" s="9"/>
      <c r="AY145" s="22">
        <v>0.57983399999999996</v>
      </c>
      <c r="AZ145" s="22">
        <v>416.21</v>
      </c>
      <c r="BA145" s="22">
        <v>-1.7773400000000002E-2</v>
      </c>
      <c r="BB145" s="22">
        <v>135</v>
      </c>
      <c r="BC145" s="22">
        <v>0.57904100000000003</v>
      </c>
      <c r="BD145">
        <f t="shared" si="34"/>
        <v>17.773400000000002</v>
      </c>
      <c r="BE145">
        <f t="shared" si="35"/>
        <v>10.3056216156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29.087399999999999</v>
      </c>
      <c r="I146" s="22">
        <v>-1.7092900000000001E-2</v>
      </c>
      <c r="J146" s="22">
        <v>136</v>
      </c>
      <c r="K146" s="22">
        <v>1.19476</v>
      </c>
      <c r="L146">
        <f t="shared" si="24"/>
        <v>17.0929</v>
      </c>
      <c r="M146">
        <f t="shared" si="25"/>
        <v>20.429775937999999</v>
      </c>
      <c r="N146" s="9"/>
      <c r="O146" s="22">
        <v>0.58486899999999997</v>
      </c>
      <c r="P146" s="22">
        <v>86.397300000000001</v>
      </c>
      <c r="Q146" s="22">
        <v>-1.76697E-2</v>
      </c>
      <c r="R146" s="22">
        <v>136</v>
      </c>
      <c r="S146" s="22">
        <v>0.58407600000000004</v>
      </c>
      <c r="T146">
        <f t="shared" si="26"/>
        <v>17.669699999999999</v>
      </c>
      <c r="U146">
        <f t="shared" si="27"/>
        <v>10.334459769299999</v>
      </c>
      <c r="X146" s="9"/>
      <c r="Y146" s="22">
        <v>1.1952199999999999</v>
      </c>
      <c r="Z146" s="22">
        <v>176.55600000000001</v>
      </c>
      <c r="AA146" s="22">
        <v>-1.72211E-2</v>
      </c>
      <c r="AB146" s="22">
        <v>136</v>
      </c>
      <c r="AC146" s="22">
        <v>1.1944600000000001</v>
      </c>
      <c r="AD146">
        <f t="shared" si="28"/>
        <v>17.2211</v>
      </c>
      <c r="AE146">
        <f t="shared" si="29"/>
        <v>20.583003141999999</v>
      </c>
      <c r="AF146" s="9"/>
      <c r="AG146" s="22">
        <v>0.58486899999999997</v>
      </c>
      <c r="AH146" s="22">
        <v>290.86900000000003</v>
      </c>
      <c r="AI146" s="22">
        <v>-1.7727699999999999E-2</v>
      </c>
      <c r="AJ146" s="22">
        <v>136</v>
      </c>
      <c r="AK146" s="22">
        <v>0.58404500000000004</v>
      </c>
      <c r="AL146">
        <f t="shared" si="30"/>
        <v>17.727699999999999</v>
      </c>
      <c r="AM146">
        <f t="shared" si="31"/>
        <v>10.368382171299999</v>
      </c>
      <c r="AP146" s="9"/>
      <c r="AQ146" s="22">
        <v>1.1952199999999999</v>
      </c>
      <c r="AR146" s="22">
        <v>363.88200000000001</v>
      </c>
      <c r="AS146" s="22">
        <v>-1.7272900000000001E-2</v>
      </c>
      <c r="AT146" s="22">
        <v>136</v>
      </c>
      <c r="AU146" s="22">
        <v>1.19415</v>
      </c>
      <c r="AV146">
        <f t="shared" si="32"/>
        <v>17.2729</v>
      </c>
      <c r="AW146">
        <f t="shared" si="33"/>
        <v>20.644915537999999</v>
      </c>
      <c r="AX146" s="9"/>
      <c r="AY146" s="22">
        <v>0.58486899999999997</v>
      </c>
      <c r="AZ146" s="22">
        <v>416.31099999999998</v>
      </c>
      <c r="BA146" s="22">
        <v>-1.7770399999999999E-2</v>
      </c>
      <c r="BB146" s="22">
        <v>136</v>
      </c>
      <c r="BC146" s="22">
        <v>0.58398399999999995</v>
      </c>
      <c r="BD146">
        <f t="shared" si="34"/>
        <v>17.770399999999999</v>
      </c>
      <c r="BE146">
        <f t="shared" si="35"/>
        <v>10.393356077599998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29.188099999999999</v>
      </c>
      <c r="I147" s="22">
        <v>-1.7092900000000001E-2</v>
      </c>
      <c r="J147" s="22">
        <v>137</v>
      </c>
      <c r="K147" s="22">
        <v>1.18927</v>
      </c>
      <c r="L147">
        <f t="shared" si="24"/>
        <v>17.0929</v>
      </c>
      <c r="M147">
        <f t="shared" si="25"/>
        <v>20.343798651</v>
      </c>
      <c r="N147" s="9"/>
      <c r="O147" s="22">
        <v>0.58990500000000001</v>
      </c>
      <c r="P147" s="22">
        <v>86.498000000000005</v>
      </c>
      <c r="Q147" s="22">
        <v>-1.7666600000000001E-2</v>
      </c>
      <c r="R147" s="22">
        <v>137</v>
      </c>
      <c r="S147" s="22">
        <v>0.58920300000000003</v>
      </c>
      <c r="T147">
        <f t="shared" si="26"/>
        <v>17.666600000000003</v>
      </c>
      <c r="U147">
        <f t="shared" si="27"/>
        <v>10.421615673000002</v>
      </c>
      <c r="X147" s="9"/>
      <c r="Y147" s="22">
        <v>1.1901900000000001</v>
      </c>
      <c r="Z147" s="22">
        <v>176.65700000000001</v>
      </c>
      <c r="AA147" s="22">
        <v>-1.7224099999999999E-2</v>
      </c>
      <c r="AB147" s="22">
        <v>137</v>
      </c>
      <c r="AC147" s="22">
        <v>1.18835</v>
      </c>
      <c r="AD147">
        <f t="shared" si="28"/>
        <v>17.2241</v>
      </c>
      <c r="AE147">
        <f t="shared" si="29"/>
        <v>20.499951579000001</v>
      </c>
      <c r="AF147" s="9"/>
      <c r="AG147" s="22">
        <v>0.58990500000000001</v>
      </c>
      <c r="AH147" s="22">
        <v>290.96899999999999</v>
      </c>
      <c r="AI147" s="22">
        <v>-1.7721600000000001E-2</v>
      </c>
      <c r="AJ147" s="22">
        <v>137</v>
      </c>
      <c r="AK147" s="22">
        <v>0.58917200000000003</v>
      </c>
      <c r="AL147">
        <f t="shared" si="30"/>
        <v>17.721600000000002</v>
      </c>
      <c r="AM147">
        <f t="shared" si="31"/>
        <v>10.454060448000002</v>
      </c>
      <c r="AP147" s="9"/>
      <c r="AQ147" s="22">
        <v>1.1901900000000001</v>
      </c>
      <c r="AR147" s="22">
        <v>363.983</v>
      </c>
      <c r="AS147" s="22">
        <v>-1.7279099999999999E-2</v>
      </c>
      <c r="AT147" s="22">
        <v>137</v>
      </c>
      <c r="AU147" s="22">
        <v>1.18927</v>
      </c>
      <c r="AV147">
        <f t="shared" si="32"/>
        <v>17.2791</v>
      </c>
      <c r="AW147">
        <f t="shared" si="33"/>
        <v>20.565412029000001</v>
      </c>
      <c r="AX147" s="9"/>
      <c r="AY147" s="22">
        <v>0.58990500000000001</v>
      </c>
      <c r="AZ147" s="22">
        <v>416.411</v>
      </c>
      <c r="BA147" s="22">
        <v>-1.77673E-2</v>
      </c>
      <c r="BB147" s="22">
        <v>137</v>
      </c>
      <c r="BC147" s="22">
        <v>0.58901999999999999</v>
      </c>
      <c r="BD147">
        <f t="shared" si="34"/>
        <v>17.767299999999999</v>
      </c>
      <c r="BE147">
        <f t="shared" si="35"/>
        <v>10.4810191065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29.288900000000002</v>
      </c>
      <c r="I148" s="22">
        <v>-1.7099E-2</v>
      </c>
      <c r="J148" s="22">
        <v>138</v>
      </c>
      <c r="K148" s="22">
        <v>1.1843900000000001</v>
      </c>
      <c r="L148">
        <f t="shared" si="24"/>
        <v>17.099</v>
      </c>
      <c r="M148">
        <f t="shared" si="25"/>
        <v>20.26487985</v>
      </c>
      <c r="N148" s="9"/>
      <c r="O148" s="22">
        <v>0.59494000000000002</v>
      </c>
      <c r="P148" s="22">
        <v>86.598699999999994</v>
      </c>
      <c r="Q148" s="22">
        <v>-1.7660499999999999E-2</v>
      </c>
      <c r="R148" s="22">
        <v>138</v>
      </c>
      <c r="S148" s="22">
        <v>0.59417699999999996</v>
      </c>
      <c r="T148">
        <f t="shared" si="26"/>
        <v>17.660499999999999</v>
      </c>
      <c r="U148">
        <f t="shared" si="27"/>
        <v>10.50693787</v>
      </c>
      <c r="X148" s="9"/>
      <c r="Y148" s="22">
        <v>1.1851499999999999</v>
      </c>
      <c r="Z148" s="22">
        <v>176.75700000000001</v>
      </c>
      <c r="AA148" s="22">
        <v>-1.72363E-2</v>
      </c>
      <c r="AB148" s="22">
        <v>138</v>
      </c>
      <c r="AC148" s="22">
        <v>1.1843900000000001</v>
      </c>
      <c r="AD148">
        <f t="shared" si="28"/>
        <v>17.2363</v>
      </c>
      <c r="AE148">
        <f t="shared" si="29"/>
        <v>20.427600944999998</v>
      </c>
      <c r="AF148" s="9"/>
      <c r="AG148" s="22">
        <v>0.59494000000000002</v>
      </c>
      <c r="AH148" s="22">
        <v>291.07</v>
      </c>
      <c r="AI148" s="22">
        <v>-1.7715499999999999E-2</v>
      </c>
      <c r="AJ148" s="22">
        <v>138</v>
      </c>
      <c r="AK148" s="22">
        <v>0.59414699999999998</v>
      </c>
      <c r="AL148">
        <f t="shared" si="30"/>
        <v>17.715499999999999</v>
      </c>
      <c r="AM148">
        <f t="shared" si="31"/>
        <v>10.53965957</v>
      </c>
      <c r="AP148" s="9"/>
      <c r="AQ148" s="22">
        <v>1.1851499999999999</v>
      </c>
      <c r="AR148" s="22">
        <v>364.08300000000003</v>
      </c>
      <c r="AS148" s="22">
        <v>-1.72882E-2</v>
      </c>
      <c r="AT148" s="22">
        <v>138</v>
      </c>
      <c r="AU148" s="22">
        <v>1.1837800000000001</v>
      </c>
      <c r="AV148">
        <f t="shared" si="32"/>
        <v>17.2882</v>
      </c>
      <c r="AW148">
        <f t="shared" si="33"/>
        <v>20.489110229999998</v>
      </c>
      <c r="AX148" s="9"/>
      <c r="AY148" s="22">
        <v>0.59494000000000002</v>
      </c>
      <c r="AZ148" s="22">
        <v>416.512</v>
      </c>
      <c r="BA148" s="22">
        <v>-1.77643E-2</v>
      </c>
      <c r="BB148" s="22">
        <v>138</v>
      </c>
      <c r="BC148" s="22">
        <v>0.594055</v>
      </c>
      <c r="BD148">
        <f t="shared" si="34"/>
        <v>17.764299999999999</v>
      </c>
      <c r="BE148">
        <f t="shared" si="35"/>
        <v>10.568692642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29.389600000000002</v>
      </c>
      <c r="I149" s="22">
        <v>-1.71082E-2</v>
      </c>
      <c r="J149" s="22">
        <v>139</v>
      </c>
      <c r="K149" s="22">
        <v>1.1795</v>
      </c>
      <c r="L149">
        <f t="shared" si="24"/>
        <v>17.1082</v>
      </c>
      <c r="M149">
        <f t="shared" si="25"/>
        <v>20.189557902000001</v>
      </c>
      <c r="N149" s="9"/>
      <c r="O149" s="22">
        <v>0.59997599999999995</v>
      </c>
      <c r="P149" s="22">
        <v>86.699399999999997</v>
      </c>
      <c r="Q149" s="22">
        <v>-1.76575E-2</v>
      </c>
      <c r="R149" s="22">
        <v>139</v>
      </c>
      <c r="S149" s="22">
        <v>0.599213</v>
      </c>
      <c r="T149">
        <f t="shared" si="26"/>
        <v>17.657499999999999</v>
      </c>
      <c r="U149">
        <f t="shared" si="27"/>
        <v>10.594076219999998</v>
      </c>
      <c r="X149" s="9"/>
      <c r="Y149" s="22">
        <v>1.18011</v>
      </c>
      <c r="Z149" s="22">
        <v>176.858</v>
      </c>
      <c r="AA149" s="22">
        <v>-1.7239399999999998E-2</v>
      </c>
      <c r="AB149" s="22">
        <v>139</v>
      </c>
      <c r="AC149" s="22">
        <v>1.17889</v>
      </c>
      <c r="AD149">
        <f t="shared" si="28"/>
        <v>17.2394</v>
      </c>
      <c r="AE149">
        <f t="shared" si="29"/>
        <v>20.344388334000001</v>
      </c>
      <c r="AF149" s="9"/>
      <c r="AG149" s="22">
        <v>0.59997599999999995</v>
      </c>
      <c r="AH149" s="22">
        <v>291.17099999999999</v>
      </c>
      <c r="AI149" s="22">
        <v>-1.7715499999999999E-2</v>
      </c>
      <c r="AJ149" s="22">
        <v>139</v>
      </c>
      <c r="AK149" s="22">
        <v>0.59918199999999999</v>
      </c>
      <c r="AL149">
        <f t="shared" si="30"/>
        <v>17.715499999999999</v>
      </c>
      <c r="AM149">
        <f t="shared" si="31"/>
        <v>10.628874827999999</v>
      </c>
      <c r="AP149" s="9"/>
      <c r="AQ149" s="22">
        <v>1.18011</v>
      </c>
      <c r="AR149" s="22">
        <v>364.18400000000003</v>
      </c>
      <c r="AS149" s="22">
        <v>-1.7285200000000001E-2</v>
      </c>
      <c r="AT149" s="22">
        <v>139</v>
      </c>
      <c r="AU149" s="22">
        <v>1.17859</v>
      </c>
      <c r="AV149">
        <f t="shared" si="32"/>
        <v>17.2852</v>
      </c>
      <c r="AW149">
        <f t="shared" si="33"/>
        <v>20.398437372</v>
      </c>
      <c r="AX149" s="9"/>
      <c r="AY149" s="22">
        <v>0.59997599999999995</v>
      </c>
      <c r="AZ149" s="22">
        <v>416.613</v>
      </c>
      <c r="BA149" s="22">
        <v>-1.7761200000000001E-2</v>
      </c>
      <c r="BB149" s="22">
        <v>139</v>
      </c>
      <c r="BC149" s="22">
        <v>0.59912100000000001</v>
      </c>
      <c r="BD149">
        <f t="shared" si="34"/>
        <v>17.761200000000002</v>
      </c>
      <c r="BE149">
        <f t="shared" si="35"/>
        <v>10.6562937312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29.490300000000001</v>
      </c>
      <c r="I150" s="22">
        <v>-1.71082E-2</v>
      </c>
      <c r="J150" s="22">
        <v>140</v>
      </c>
      <c r="K150" s="22">
        <v>1.17432</v>
      </c>
      <c r="L150">
        <f t="shared" si="24"/>
        <v>17.1082</v>
      </c>
      <c r="M150">
        <f t="shared" si="25"/>
        <v>20.103503655999997</v>
      </c>
      <c r="N150" s="9"/>
      <c r="O150" s="22">
        <v>0.60501099999999997</v>
      </c>
      <c r="P150" s="22">
        <v>86.800200000000004</v>
      </c>
      <c r="Q150" s="22">
        <v>-1.76575E-2</v>
      </c>
      <c r="R150" s="22">
        <v>140</v>
      </c>
      <c r="S150" s="22">
        <v>0.60430899999999999</v>
      </c>
      <c r="T150">
        <f t="shared" si="26"/>
        <v>17.657499999999999</v>
      </c>
      <c r="U150">
        <f t="shared" si="27"/>
        <v>10.682981732499998</v>
      </c>
      <c r="X150" s="9"/>
      <c r="Y150" s="22">
        <v>1.1750799999999999</v>
      </c>
      <c r="Z150" s="22">
        <v>176.959</v>
      </c>
      <c r="AA150" s="22">
        <v>-1.7242400000000001E-2</v>
      </c>
      <c r="AB150" s="22">
        <v>140</v>
      </c>
      <c r="AC150" s="22">
        <v>1.17401</v>
      </c>
      <c r="AD150">
        <f t="shared" si="28"/>
        <v>17.2424</v>
      </c>
      <c r="AE150">
        <f t="shared" si="29"/>
        <v>20.261199391999998</v>
      </c>
      <c r="AF150" s="9"/>
      <c r="AG150" s="22">
        <v>0.60501099999999997</v>
      </c>
      <c r="AH150" s="22">
        <v>291.27199999999999</v>
      </c>
      <c r="AI150" s="22">
        <v>-1.77094E-2</v>
      </c>
      <c r="AJ150" s="22">
        <v>140</v>
      </c>
      <c r="AK150" s="22">
        <v>0.60418700000000003</v>
      </c>
      <c r="AL150">
        <f t="shared" si="30"/>
        <v>17.709399999999999</v>
      </c>
      <c r="AM150">
        <f t="shared" si="31"/>
        <v>10.714381803399998</v>
      </c>
      <c r="AP150" s="9"/>
      <c r="AQ150" s="22">
        <v>1.1750799999999999</v>
      </c>
      <c r="AR150" s="22">
        <v>364.28500000000003</v>
      </c>
      <c r="AS150" s="22">
        <v>-1.7294299999999999E-2</v>
      </c>
      <c r="AT150" s="22">
        <v>140</v>
      </c>
      <c r="AU150" s="22">
        <v>1.17432</v>
      </c>
      <c r="AV150">
        <f t="shared" si="32"/>
        <v>17.2943</v>
      </c>
      <c r="AW150">
        <f t="shared" si="33"/>
        <v>20.322186043999999</v>
      </c>
      <c r="AX150" s="9"/>
      <c r="AY150" s="22">
        <v>0.60501099999999997</v>
      </c>
      <c r="AZ150" s="22">
        <v>416.714</v>
      </c>
      <c r="BA150" s="22">
        <v>-1.7755099999999999E-2</v>
      </c>
      <c r="BB150" s="22">
        <v>140</v>
      </c>
      <c r="BC150" s="22">
        <v>0.60430899999999999</v>
      </c>
      <c r="BD150">
        <f t="shared" si="34"/>
        <v>17.755099999999999</v>
      </c>
      <c r="BE150">
        <f t="shared" si="35"/>
        <v>10.742030806099999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29.591000000000001</v>
      </c>
      <c r="I151" s="22">
        <v>-1.7114299999999999E-2</v>
      </c>
      <c r="J151" s="22">
        <v>141</v>
      </c>
      <c r="K151" s="22">
        <v>1.16943</v>
      </c>
      <c r="L151">
        <f t="shared" si="24"/>
        <v>17.1143</v>
      </c>
      <c r="M151">
        <f t="shared" si="25"/>
        <v>20.024415571999999</v>
      </c>
      <c r="N151" s="9"/>
      <c r="O151" s="22">
        <v>0.61004599999999998</v>
      </c>
      <c r="P151" s="22">
        <v>86.900899999999993</v>
      </c>
      <c r="Q151" s="22">
        <v>-1.7651400000000001E-2</v>
      </c>
      <c r="R151" s="22">
        <v>141</v>
      </c>
      <c r="S151" s="22">
        <v>0.60916099999999995</v>
      </c>
      <c r="T151">
        <f t="shared" si="26"/>
        <v>17.651400000000002</v>
      </c>
      <c r="U151">
        <f t="shared" si="27"/>
        <v>10.768165964400001</v>
      </c>
      <c r="X151" s="9"/>
      <c r="Y151" s="22">
        <v>1.17004</v>
      </c>
      <c r="Z151" s="22">
        <v>177.059</v>
      </c>
      <c r="AA151" s="22">
        <v>-1.72455E-2</v>
      </c>
      <c r="AB151" s="22">
        <v>141</v>
      </c>
      <c r="AC151" s="22">
        <v>1.16882</v>
      </c>
      <c r="AD151">
        <f t="shared" si="28"/>
        <v>17.2455</v>
      </c>
      <c r="AE151">
        <f t="shared" si="29"/>
        <v>20.177924819999998</v>
      </c>
      <c r="AF151" s="9"/>
      <c r="AG151" s="22">
        <v>0.61004599999999998</v>
      </c>
      <c r="AH151" s="22">
        <v>291.37200000000001</v>
      </c>
      <c r="AI151" s="22">
        <v>-1.7706300000000001E-2</v>
      </c>
      <c r="AJ151" s="22">
        <v>141</v>
      </c>
      <c r="AK151" s="22">
        <v>0.60931400000000002</v>
      </c>
      <c r="AL151">
        <f t="shared" si="30"/>
        <v>17.706300000000002</v>
      </c>
      <c r="AM151">
        <f t="shared" si="31"/>
        <v>10.8016574898</v>
      </c>
      <c r="AP151" s="9"/>
      <c r="AQ151" s="22">
        <v>1.17004</v>
      </c>
      <c r="AR151" s="22">
        <v>364.38499999999999</v>
      </c>
      <c r="AS151" s="22">
        <v>-1.7294299999999999E-2</v>
      </c>
      <c r="AT151" s="22">
        <v>141</v>
      </c>
      <c r="AU151" s="22">
        <v>1.16913</v>
      </c>
      <c r="AV151">
        <f t="shared" si="32"/>
        <v>17.2943</v>
      </c>
      <c r="AW151">
        <f t="shared" si="33"/>
        <v>20.235022772000001</v>
      </c>
      <c r="AX151" s="9"/>
      <c r="AY151" s="22">
        <v>0.61004599999999998</v>
      </c>
      <c r="AZ151" s="22">
        <v>416.81400000000002</v>
      </c>
      <c r="BA151" s="22">
        <v>-1.7755099999999999E-2</v>
      </c>
      <c r="BB151" s="22">
        <v>141</v>
      </c>
      <c r="BC151" s="22">
        <v>0.60909999999999997</v>
      </c>
      <c r="BD151">
        <f t="shared" si="34"/>
        <v>17.755099999999999</v>
      </c>
      <c r="BE151">
        <f t="shared" si="35"/>
        <v>10.831427734599998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29.691700000000001</v>
      </c>
      <c r="I152" s="22">
        <v>-1.71234E-2</v>
      </c>
      <c r="J152" s="22">
        <v>142</v>
      </c>
      <c r="K152" s="22">
        <v>1.16394</v>
      </c>
      <c r="L152">
        <f t="shared" si="24"/>
        <v>17.1234</v>
      </c>
      <c r="M152">
        <f t="shared" si="25"/>
        <v>19.948932234000001</v>
      </c>
      <c r="N152" s="9"/>
      <c r="O152" s="22">
        <v>0.61508200000000002</v>
      </c>
      <c r="P152" s="22">
        <v>87.001599999999996</v>
      </c>
      <c r="Q152" s="22">
        <v>-1.7648299999999999E-2</v>
      </c>
      <c r="R152" s="22">
        <v>142</v>
      </c>
      <c r="S152" s="22">
        <v>0.61428799999999995</v>
      </c>
      <c r="T152">
        <f t="shared" si="26"/>
        <v>17.648299999999999</v>
      </c>
      <c r="U152">
        <f t="shared" si="27"/>
        <v>10.855151660599999</v>
      </c>
      <c r="X152" s="9"/>
      <c r="Y152" s="22">
        <v>1.1650100000000001</v>
      </c>
      <c r="Z152" s="22">
        <v>177.16</v>
      </c>
      <c r="AA152" s="22">
        <v>-1.7254599999999998E-2</v>
      </c>
      <c r="AB152" s="22">
        <v>142</v>
      </c>
      <c r="AC152" s="22">
        <v>1.16425</v>
      </c>
      <c r="AD152">
        <f t="shared" si="28"/>
        <v>17.2546</v>
      </c>
      <c r="AE152">
        <f t="shared" si="29"/>
        <v>20.101781546000002</v>
      </c>
      <c r="AF152" s="9"/>
      <c r="AG152" s="22">
        <v>0.61508200000000002</v>
      </c>
      <c r="AH152" s="22">
        <v>291.47300000000001</v>
      </c>
      <c r="AI152" s="22">
        <v>-1.7700199999999999E-2</v>
      </c>
      <c r="AJ152" s="22">
        <v>142</v>
      </c>
      <c r="AK152" s="22">
        <v>0.61428799999999995</v>
      </c>
      <c r="AL152">
        <f t="shared" si="30"/>
        <v>17.700199999999999</v>
      </c>
      <c r="AM152">
        <f t="shared" si="31"/>
        <v>10.887074416399999</v>
      </c>
      <c r="AP152" s="9"/>
      <c r="AQ152" s="22">
        <v>1.1650100000000001</v>
      </c>
      <c r="AR152" s="22">
        <v>364.48599999999999</v>
      </c>
      <c r="AS152" s="22">
        <v>-1.73004E-2</v>
      </c>
      <c r="AT152" s="22">
        <v>142</v>
      </c>
      <c r="AU152" s="22">
        <v>1.16394</v>
      </c>
      <c r="AV152">
        <f t="shared" si="32"/>
        <v>17.3004</v>
      </c>
      <c r="AW152">
        <f t="shared" si="33"/>
        <v>20.155139004000002</v>
      </c>
      <c r="AX152" s="9"/>
      <c r="AY152" s="22">
        <v>0.61508200000000002</v>
      </c>
      <c r="AZ152" s="22">
        <v>416.91500000000002</v>
      </c>
      <c r="BA152" s="22">
        <v>-1.77521E-2</v>
      </c>
      <c r="BB152" s="22">
        <v>142</v>
      </c>
      <c r="BC152" s="22">
        <v>0.61428799999999995</v>
      </c>
      <c r="BD152">
        <f t="shared" si="34"/>
        <v>17.752099999999999</v>
      </c>
      <c r="BE152">
        <f t="shared" si="35"/>
        <v>10.918997172199999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29.792400000000001</v>
      </c>
      <c r="I153" s="22">
        <v>-1.7129499999999999E-2</v>
      </c>
      <c r="J153" s="22">
        <v>143</v>
      </c>
      <c r="K153" s="22">
        <v>1.1587499999999999</v>
      </c>
      <c r="L153">
        <f t="shared" si="24"/>
        <v>17.1295</v>
      </c>
      <c r="M153">
        <f t="shared" si="25"/>
        <v>19.869706115</v>
      </c>
      <c r="N153" s="9"/>
      <c r="O153" s="22">
        <v>0.62011700000000003</v>
      </c>
      <c r="P153" s="22">
        <v>87.1023</v>
      </c>
      <c r="Q153" s="22">
        <v>-1.7645299999999999E-2</v>
      </c>
      <c r="R153" s="22">
        <v>143</v>
      </c>
      <c r="S153" s="22">
        <v>0.61941500000000005</v>
      </c>
      <c r="T153">
        <f t="shared" si="26"/>
        <v>17.645299999999999</v>
      </c>
      <c r="U153">
        <f t="shared" si="27"/>
        <v>10.9421505001</v>
      </c>
      <c r="X153" s="9"/>
      <c r="Y153" s="22">
        <v>1.1599699999999999</v>
      </c>
      <c r="Z153" s="22">
        <v>177.261</v>
      </c>
      <c r="AA153" s="22">
        <v>-1.72607E-2</v>
      </c>
      <c r="AB153" s="22">
        <v>143</v>
      </c>
      <c r="AC153" s="22">
        <v>1.1587499999999999</v>
      </c>
      <c r="AD153">
        <f t="shared" si="28"/>
        <v>17.2607</v>
      </c>
      <c r="AE153">
        <f t="shared" si="29"/>
        <v>20.021894179</v>
      </c>
      <c r="AF153" s="9"/>
      <c r="AG153" s="22">
        <v>0.62011700000000003</v>
      </c>
      <c r="AH153" s="22">
        <v>291.57400000000001</v>
      </c>
      <c r="AI153" s="22">
        <v>-1.7694100000000001E-2</v>
      </c>
      <c r="AJ153" s="22">
        <v>143</v>
      </c>
      <c r="AK153" s="22">
        <v>0.61935399999999996</v>
      </c>
      <c r="AL153">
        <f t="shared" si="30"/>
        <v>17.694100000000002</v>
      </c>
      <c r="AM153">
        <f t="shared" si="31"/>
        <v>10.972412209700002</v>
      </c>
      <c r="AP153" s="9"/>
      <c r="AQ153" s="22">
        <v>1.1599699999999999</v>
      </c>
      <c r="AR153" s="22">
        <v>364.58699999999999</v>
      </c>
      <c r="AS153" s="22">
        <v>-1.7309600000000001E-2</v>
      </c>
      <c r="AT153" s="22">
        <v>143</v>
      </c>
      <c r="AU153" s="22">
        <v>1.1593599999999999</v>
      </c>
      <c r="AV153">
        <f t="shared" si="32"/>
        <v>17.3096</v>
      </c>
      <c r="AW153">
        <f t="shared" si="33"/>
        <v>20.078616711999999</v>
      </c>
      <c r="AX153" s="9"/>
      <c r="AY153" s="22">
        <v>0.62011700000000003</v>
      </c>
      <c r="AZ153" s="22">
        <v>417.01600000000002</v>
      </c>
      <c r="BA153" s="22">
        <v>-1.7746000000000001E-2</v>
      </c>
      <c r="BB153" s="22">
        <v>143</v>
      </c>
      <c r="BC153" s="22">
        <v>0.61938499999999996</v>
      </c>
      <c r="BD153">
        <f t="shared" si="34"/>
        <v>17.746000000000002</v>
      </c>
      <c r="BE153">
        <f t="shared" si="35"/>
        <v>11.004596282000001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29.8931</v>
      </c>
      <c r="I154" s="22">
        <v>-1.7135600000000001E-2</v>
      </c>
      <c r="J154" s="22">
        <v>144</v>
      </c>
      <c r="K154" s="22">
        <v>1.1541699999999999</v>
      </c>
      <c r="L154">
        <f t="shared" si="24"/>
        <v>17.1356</v>
      </c>
      <c r="M154">
        <f t="shared" si="25"/>
        <v>19.790589864000001</v>
      </c>
      <c r="N154" s="9"/>
      <c r="O154" s="22">
        <v>0.62515299999999996</v>
      </c>
      <c r="P154" s="22">
        <v>87.203000000000003</v>
      </c>
      <c r="Q154" s="22">
        <v>-1.76422E-2</v>
      </c>
      <c r="R154" s="22">
        <v>144</v>
      </c>
      <c r="S154" s="22">
        <v>0.62445099999999998</v>
      </c>
      <c r="T154">
        <f t="shared" si="26"/>
        <v>17.642199999999999</v>
      </c>
      <c r="U154">
        <f t="shared" si="27"/>
        <v>11.0290742566</v>
      </c>
      <c r="X154" s="9"/>
      <c r="Y154" s="22">
        <v>1.1549400000000001</v>
      </c>
      <c r="Z154" s="22">
        <v>177.36099999999999</v>
      </c>
      <c r="AA154" s="22">
        <v>-1.7266799999999999E-2</v>
      </c>
      <c r="AB154" s="22">
        <v>144</v>
      </c>
      <c r="AC154" s="22">
        <v>1.15387</v>
      </c>
      <c r="AD154">
        <f t="shared" si="28"/>
        <v>17.2668</v>
      </c>
      <c r="AE154">
        <f t="shared" si="29"/>
        <v>19.942117992</v>
      </c>
      <c r="AF154" s="9"/>
      <c r="AG154" s="22">
        <v>0.62515299999999996</v>
      </c>
      <c r="AH154" s="22">
        <v>291.67399999999998</v>
      </c>
      <c r="AI154" s="22">
        <v>-1.7694100000000001E-2</v>
      </c>
      <c r="AJ154" s="22">
        <v>144</v>
      </c>
      <c r="AK154" s="22">
        <v>0.62460300000000002</v>
      </c>
      <c r="AL154">
        <f t="shared" si="30"/>
        <v>17.694100000000002</v>
      </c>
      <c r="AM154">
        <f t="shared" si="31"/>
        <v>11.061519697300001</v>
      </c>
      <c r="AP154" s="9"/>
      <c r="AQ154" s="22">
        <v>1.1549400000000001</v>
      </c>
      <c r="AR154" s="22">
        <v>364.68799999999999</v>
      </c>
      <c r="AS154" s="22">
        <v>-1.7312600000000001E-2</v>
      </c>
      <c r="AT154" s="22">
        <v>144</v>
      </c>
      <c r="AU154" s="22">
        <v>1.15387</v>
      </c>
      <c r="AV154">
        <f t="shared" si="32"/>
        <v>17.3126</v>
      </c>
      <c r="AW154">
        <f t="shared" si="33"/>
        <v>19.995014244</v>
      </c>
      <c r="AX154" s="9"/>
      <c r="AY154" s="22">
        <v>0.62515299999999996</v>
      </c>
      <c r="AZ154" s="22">
        <v>417.11599999999999</v>
      </c>
      <c r="BA154" s="22">
        <v>-1.7739899999999999E-2</v>
      </c>
      <c r="BB154" s="22">
        <v>144</v>
      </c>
      <c r="BC154" s="22">
        <v>0.62439</v>
      </c>
      <c r="BD154">
        <f t="shared" si="34"/>
        <v>17.739899999999999</v>
      </c>
      <c r="BE154">
        <f t="shared" si="35"/>
        <v>11.090151704699998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29.9938</v>
      </c>
      <c r="I155" s="22">
        <v>-1.7141699999999999E-2</v>
      </c>
      <c r="J155" s="22">
        <v>145</v>
      </c>
      <c r="K155" s="22">
        <v>1.1492899999999999</v>
      </c>
      <c r="L155">
        <f t="shared" si="24"/>
        <v>17.1417</v>
      </c>
      <c r="M155">
        <f t="shared" si="25"/>
        <v>19.711240829999998</v>
      </c>
      <c r="N155" s="9"/>
      <c r="O155" s="22">
        <v>0.63018799999999997</v>
      </c>
      <c r="P155" s="22">
        <v>87.303700000000006</v>
      </c>
      <c r="Q155" s="22">
        <v>-1.7636099999999998E-2</v>
      </c>
      <c r="R155" s="22">
        <v>145</v>
      </c>
      <c r="S155" s="22">
        <v>0.62948599999999999</v>
      </c>
      <c r="T155">
        <f t="shared" si="26"/>
        <v>17.636099999999999</v>
      </c>
      <c r="U155">
        <f t="shared" si="27"/>
        <v>11.114058586799999</v>
      </c>
      <c r="X155" s="9"/>
      <c r="Y155" s="22">
        <v>1.1498999999999999</v>
      </c>
      <c r="Z155" s="22">
        <v>177.46199999999999</v>
      </c>
      <c r="AA155" s="22">
        <v>-1.7269900000000001E-2</v>
      </c>
      <c r="AB155" s="22">
        <v>145</v>
      </c>
      <c r="AC155" s="22">
        <v>1.1492899999999999</v>
      </c>
      <c r="AD155">
        <f t="shared" si="28"/>
        <v>17.2699</v>
      </c>
      <c r="AE155">
        <f t="shared" si="29"/>
        <v>19.858658009999999</v>
      </c>
      <c r="AF155" s="9"/>
      <c r="AG155" s="22">
        <v>0.63018799999999997</v>
      </c>
      <c r="AH155" s="22">
        <v>291.77499999999998</v>
      </c>
      <c r="AI155" s="22">
        <v>-1.7690999999999998E-2</v>
      </c>
      <c r="AJ155" s="22">
        <v>145</v>
      </c>
      <c r="AK155" s="22">
        <v>0.62933300000000003</v>
      </c>
      <c r="AL155">
        <f t="shared" si="30"/>
        <v>17.690999999999999</v>
      </c>
      <c r="AM155">
        <f t="shared" si="31"/>
        <v>11.148655907999999</v>
      </c>
      <c r="AP155" s="9"/>
      <c r="AQ155" s="22">
        <v>1.1498999999999999</v>
      </c>
      <c r="AR155" s="22">
        <v>364.78800000000001</v>
      </c>
      <c r="AS155" s="22">
        <v>-1.73157E-2</v>
      </c>
      <c r="AT155" s="22">
        <v>145</v>
      </c>
      <c r="AU155" s="22">
        <v>1.1486799999999999</v>
      </c>
      <c r="AV155">
        <f t="shared" si="32"/>
        <v>17.3157</v>
      </c>
      <c r="AW155">
        <f t="shared" si="33"/>
        <v>19.911323429999999</v>
      </c>
      <c r="AX155" s="9"/>
      <c r="AY155" s="22">
        <v>0.63018799999999997</v>
      </c>
      <c r="AZ155" s="22">
        <v>417.21699999999998</v>
      </c>
      <c r="BA155" s="22">
        <v>-1.77368E-2</v>
      </c>
      <c r="BB155" s="22">
        <v>145</v>
      </c>
      <c r="BC155" s="22">
        <v>0.62933300000000003</v>
      </c>
      <c r="BD155">
        <f t="shared" si="34"/>
        <v>17.736799999999999</v>
      </c>
      <c r="BE155">
        <f t="shared" si="35"/>
        <v>11.177518518399999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30.0945</v>
      </c>
      <c r="I156" s="22">
        <v>-1.7141699999999999E-2</v>
      </c>
      <c r="J156" s="22">
        <v>146</v>
      </c>
      <c r="K156" s="22">
        <v>1.1444099999999999</v>
      </c>
      <c r="L156">
        <f t="shared" si="24"/>
        <v>17.1417</v>
      </c>
      <c r="M156">
        <f t="shared" si="25"/>
        <v>19.625018079</v>
      </c>
      <c r="N156" s="9"/>
      <c r="O156" s="22">
        <v>0.63522299999999998</v>
      </c>
      <c r="P156" s="22">
        <v>87.404399999999995</v>
      </c>
      <c r="Q156" s="22">
        <v>-1.7633099999999999E-2</v>
      </c>
      <c r="R156" s="22">
        <v>146</v>
      </c>
      <c r="S156" s="22">
        <v>0.63430799999999998</v>
      </c>
      <c r="T156">
        <f t="shared" si="26"/>
        <v>17.633099999999999</v>
      </c>
      <c r="U156">
        <f t="shared" si="27"/>
        <v>11.200950681299998</v>
      </c>
      <c r="X156" s="9"/>
      <c r="Y156" s="22">
        <v>1.1448700000000001</v>
      </c>
      <c r="Z156" s="22">
        <v>177.56299999999999</v>
      </c>
      <c r="AA156" s="22">
        <v>-1.7276E-2</v>
      </c>
      <c r="AB156" s="22">
        <v>146</v>
      </c>
      <c r="AC156" s="22">
        <v>1.1444099999999999</v>
      </c>
      <c r="AD156">
        <f t="shared" si="28"/>
        <v>17.276</v>
      </c>
      <c r="AE156">
        <f t="shared" si="29"/>
        <v>19.778774120000001</v>
      </c>
      <c r="AF156" s="9"/>
      <c r="AG156" s="22">
        <v>0.63522299999999998</v>
      </c>
      <c r="AH156" s="22">
        <v>291.87599999999998</v>
      </c>
      <c r="AI156" s="22">
        <v>-1.7687999999999999E-2</v>
      </c>
      <c r="AJ156" s="22">
        <v>146</v>
      </c>
      <c r="AK156" s="22">
        <v>0.634521</v>
      </c>
      <c r="AL156">
        <f t="shared" si="30"/>
        <v>17.687999999999999</v>
      </c>
      <c r="AM156">
        <f t="shared" si="31"/>
        <v>11.235824423999999</v>
      </c>
      <c r="AP156" s="9"/>
      <c r="AQ156" s="22">
        <v>1.1448700000000001</v>
      </c>
      <c r="AR156" s="22">
        <v>364.88900000000001</v>
      </c>
      <c r="AS156" s="22">
        <v>-1.7321799999999998E-2</v>
      </c>
      <c r="AT156" s="22">
        <v>146</v>
      </c>
      <c r="AU156" s="22">
        <v>1.1437999999999999</v>
      </c>
      <c r="AV156">
        <f t="shared" si="32"/>
        <v>17.3218</v>
      </c>
      <c r="AW156">
        <f t="shared" si="33"/>
        <v>19.831209166000001</v>
      </c>
      <c r="AX156" s="9"/>
      <c r="AY156" s="22">
        <v>0.63522299999999998</v>
      </c>
      <c r="AZ156" s="22">
        <v>417.31799999999998</v>
      </c>
      <c r="BA156" s="22">
        <v>-1.7730699999999999E-2</v>
      </c>
      <c r="BB156" s="22">
        <v>146</v>
      </c>
      <c r="BC156" s="22">
        <v>0.63443000000000005</v>
      </c>
      <c r="BD156">
        <f t="shared" si="34"/>
        <v>17.730699999999999</v>
      </c>
      <c r="BE156">
        <f t="shared" si="35"/>
        <v>11.262948446099999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30.1952</v>
      </c>
      <c r="I157" s="22">
        <v>-1.7147800000000001E-2</v>
      </c>
      <c r="J157" s="22">
        <v>147</v>
      </c>
      <c r="K157" s="22">
        <v>1.1389199999999999</v>
      </c>
      <c r="L157">
        <f t="shared" si="24"/>
        <v>17.1478</v>
      </c>
      <c r="M157">
        <f t="shared" si="25"/>
        <v>19.545576873999998</v>
      </c>
      <c r="N157" s="9"/>
      <c r="O157" s="22">
        <v>0.64025900000000002</v>
      </c>
      <c r="P157" s="22">
        <v>87.505099999999999</v>
      </c>
      <c r="Q157" s="22">
        <v>-1.7627E-2</v>
      </c>
      <c r="R157" s="22">
        <v>147</v>
      </c>
      <c r="S157" s="22">
        <v>0.63940399999999997</v>
      </c>
      <c r="T157">
        <f t="shared" si="26"/>
        <v>17.626999999999999</v>
      </c>
      <c r="U157">
        <f t="shared" si="27"/>
        <v>11.285845392999999</v>
      </c>
      <c r="X157" s="9"/>
      <c r="Y157" s="22">
        <v>1.1398299999999999</v>
      </c>
      <c r="Z157" s="22">
        <v>177.66399999999999</v>
      </c>
      <c r="AA157" s="22">
        <v>-1.7279099999999999E-2</v>
      </c>
      <c r="AB157" s="22">
        <v>147</v>
      </c>
      <c r="AC157" s="22">
        <v>1.1389199999999999</v>
      </c>
      <c r="AD157">
        <f t="shared" si="28"/>
        <v>17.2791</v>
      </c>
      <c r="AE157">
        <f t="shared" si="29"/>
        <v>19.695236552999997</v>
      </c>
      <c r="AF157" s="9"/>
      <c r="AG157" s="22">
        <v>0.64025900000000002</v>
      </c>
      <c r="AH157" s="22">
        <v>291.97699999999998</v>
      </c>
      <c r="AI157" s="22">
        <v>-1.76849E-2</v>
      </c>
      <c r="AJ157" s="22">
        <v>147</v>
      </c>
      <c r="AK157" s="22">
        <v>0.63955700000000004</v>
      </c>
      <c r="AL157">
        <f t="shared" si="30"/>
        <v>17.684899999999999</v>
      </c>
      <c r="AM157">
        <f t="shared" si="31"/>
        <v>11.3229163891</v>
      </c>
      <c r="AP157" s="9"/>
      <c r="AQ157" s="22">
        <v>1.1398299999999999</v>
      </c>
      <c r="AR157" s="22">
        <v>364.99</v>
      </c>
      <c r="AS157" s="22">
        <v>-1.7324800000000001E-2</v>
      </c>
      <c r="AT157" s="22">
        <v>147</v>
      </c>
      <c r="AU157" s="22">
        <v>1.1389199999999999</v>
      </c>
      <c r="AV157">
        <f t="shared" si="32"/>
        <v>17.3248</v>
      </c>
      <c r="AW157">
        <f t="shared" si="33"/>
        <v>19.747326783999998</v>
      </c>
      <c r="AX157" s="9"/>
      <c r="AY157" s="22">
        <v>0.64025900000000002</v>
      </c>
      <c r="AZ157" s="22">
        <v>417.41899999999998</v>
      </c>
      <c r="BA157" s="22">
        <v>-1.7730699999999999E-2</v>
      </c>
      <c r="BB157" s="22">
        <v>147</v>
      </c>
      <c r="BC157" s="22">
        <v>0.63946499999999995</v>
      </c>
      <c r="BD157">
        <f t="shared" si="34"/>
        <v>17.730699999999999</v>
      </c>
      <c r="BE157">
        <f t="shared" si="35"/>
        <v>11.3522402513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30.2959</v>
      </c>
      <c r="I158" s="22">
        <v>-1.71509E-2</v>
      </c>
      <c r="J158" s="22">
        <v>148</v>
      </c>
      <c r="K158" s="22">
        <v>1.1340300000000001</v>
      </c>
      <c r="L158">
        <f t="shared" si="24"/>
        <v>17.1509</v>
      </c>
      <c r="M158">
        <f t="shared" si="25"/>
        <v>19.462841319999999</v>
      </c>
      <c r="N158" s="9"/>
      <c r="O158" s="22">
        <v>0.64529400000000003</v>
      </c>
      <c r="P158" s="22">
        <v>87.605800000000002</v>
      </c>
      <c r="Q158" s="22">
        <v>-1.7627E-2</v>
      </c>
      <c r="R158" s="22">
        <v>148</v>
      </c>
      <c r="S158" s="22">
        <v>0.64477499999999999</v>
      </c>
      <c r="T158">
        <f t="shared" si="26"/>
        <v>17.626999999999999</v>
      </c>
      <c r="U158">
        <f t="shared" si="27"/>
        <v>11.374597337999999</v>
      </c>
      <c r="X158" s="9"/>
      <c r="Y158" s="22">
        <v>1.1348</v>
      </c>
      <c r="Z158" s="22">
        <v>177.76400000000001</v>
      </c>
      <c r="AA158" s="22">
        <v>-1.7282100000000002E-2</v>
      </c>
      <c r="AB158" s="22">
        <v>148</v>
      </c>
      <c r="AC158" s="22">
        <v>1.1340300000000001</v>
      </c>
      <c r="AD158">
        <f t="shared" si="28"/>
        <v>17.282100000000003</v>
      </c>
      <c r="AE158">
        <f t="shared" si="29"/>
        <v>19.611727080000005</v>
      </c>
      <c r="AF158" s="9"/>
      <c r="AG158" s="22">
        <v>0.64529400000000003</v>
      </c>
      <c r="AH158" s="22">
        <v>292.077</v>
      </c>
      <c r="AI158" s="22">
        <v>-1.7678800000000001E-2</v>
      </c>
      <c r="AJ158" s="22">
        <v>148</v>
      </c>
      <c r="AK158" s="22">
        <v>0.64440900000000001</v>
      </c>
      <c r="AL158">
        <f t="shared" si="30"/>
        <v>17.678800000000003</v>
      </c>
      <c r="AM158">
        <f t="shared" si="31"/>
        <v>11.408023567200003</v>
      </c>
      <c r="AP158" s="9"/>
      <c r="AQ158" s="22">
        <v>1.1348</v>
      </c>
      <c r="AR158" s="22">
        <v>365.09</v>
      </c>
      <c r="AS158" s="22">
        <v>-1.73309E-2</v>
      </c>
      <c r="AT158" s="22">
        <v>148</v>
      </c>
      <c r="AU158" s="22">
        <v>1.1331199999999999</v>
      </c>
      <c r="AV158">
        <f t="shared" si="32"/>
        <v>17.3309</v>
      </c>
      <c r="AW158">
        <f t="shared" si="33"/>
        <v>19.667105320000001</v>
      </c>
      <c r="AX158" s="9"/>
      <c r="AY158" s="22">
        <v>0.64529400000000003</v>
      </c>
      <c r="AZ158" s="22">
        <v>417.51900000000001</v>
      </c>
      <c r="BA158" s="22">
        <v>-1.77246E-2</v>
      </c>
      <c r="BB158" s="22">
        <v>148</v>
      </c>
      <c r="BC158" s="22">
        <v>0.64440900000000001</v>
      </c>
      <c r="BD158">
        <f t="shared" si="34"/>
        <v>17.724599999999999</v>
      </c>
      <c r="BE158">
        <f t="shared" si="35"/>
        <v>11.437578032399999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30.396599999999999</v>
      </c>
      <c r="I159" s="22">
        <v>-1.7160000000000002E-2</v>
      </c>
      <c r="J159" s="22">
        <v>149</v>
      </c>
      <c r="K159" s="22">
        <v>1.1285400000000001</v>
      </c>
      <c r="L159">
        <f t="shared" si="24"/>
        <v>17.16</v>
      </c>
      <c r="M159">
        <f t="shared" si="25"/>
        <v>19.386681600000003</v>
      </c>
      <c r="N159" s="9"/>
      <c r="O159" s="22">
        <v>0.65032999999999996</v>
      </c>
      <c r="P159" s="22">
        <v>87.706500000000005</v>
      </c>
      <c r="Q159" s="22">
        <v>-1.7620799999999999E-2</v>
      </c>
      <c r="R159" s="22">
        <v>149</v>
      </c>
      <c r="S159" s="22">
        <v>0.64941400000000005</v>
      </c>
      <c r="T159">
        <f t="shared" si="26"/>
        <v>17.620799999999999</v>
      </c>
      <c r="U159">
        <f t="shared" si="27"/>
        <v>11.459334863999999</v>
      </c>
      <c r="X159" s="9"/>
      <c r="Y159" s="22">
        <v>1.1297600000000001</v>
      </c>
      <c r="Z159" s="22">
        <v>177.86500000000001</v>
      </c>
      <c r="AA159" s="22">
        <v>-1.7285200000000001E-2</v>
      </c>
      <c r="AB159" s="22">
        <v>149</v>
      </c>
      <c r="AC159" s="22">
        <v>1.1291500000000001</v>
      </c>
      <c r="AD159">
        <f t="shared" si="28"/>
        <v>17.2852</v>
      </c>
      <c r="AE159">
        <f t="shared" si="29"/>
        <v>19.528127552000001</v>
      </c>
      <c r="AF159" s="9"/>
      <c r="AG159" s="22">
        <v>0.65032999999999996</v>
      </c>
      <c r="AH159" s="22">
        <v>292.178</v>
      </c>
      <c r="AI159" s="22">
        <v>-1.7678800000000001E-2</v>
      </c>
      <c r="AJ159" s="22">
        <v>149</v>
      </c>
      <c r="AK159" s="22">
        <v>0.64965799999999996</v>
      </c>
      <c r="AL159">
        <f t="shared" si="30"/>
        <v>17.678800000000003</v>
      </c>
      <c r="AM159">
        <f t="shared" si="31"/>
        <v>11.497054004000001</v>
      </c>
      <c r="AP159" s="9"/>
      <c r="AQ159" s="22">
        <v>1.1297600000000001</v>
      </c>
      <c r="AR159" s="22">
        <v>365.19099999999997</v>
      </c>
      <c r="AS159" s="22">
        <v>-1.7337000000000002E-2</v>
      </c>
      <c r="AT159" s="22">
        <v>149</v>
      </c>
      <c r="AU159" s="22">
        <v>1.1285400000000001</v>
      </c>
      <c r="AV159">
        <f t="shared" si="32"/>
        <v>17.337000000000003</v>
      </c>
      <c r="AW159">
        <f t="shared" si="33"/>
        <v>19.586649120000004</v>
      </c>
      <c r="AX159" s="9"/>
      <c r="AY159" s="22">
        <v>0.65032999999999996</v>
      </c>
      <c r="AZ159" s="22">
        <v>417.62</v>
      </c>
      <c r="BA159" s="22">
        <v>-1.7721600000000001E-2</v>
      </c>
      <c r="BB159" s="22">
        <v>149</v>
      </c>
      <c r="BC159" s="22">
        <v>0.64959699999999998</v>
      </c>
      <c r="BD159">
        <f t="shared" si="34"/>
        <v>17.721600000000002</v>
      </c>
      <c r="BE159">
        <f t="shared" si="35"/>
        <v>11.524888128000001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30.497299999999999</v>
      </c>
      <c r="I160" s="22">
        <v>-1.7169199999999999E-2</v>
      </c>
      <c r="J160" s="22">
        <v>150</v>
      </c>
      <c r="K160" s="22">
        <v>1.1239600000000001</v>
      </c>
      <c r="L160">
        <f t="shared" si="24"/>
        <v>17.1692</v>
      </c>
      <c r="M160">
        <f t="shared" si="25"/>
        <v>19.310714315999999</v>
      </c>
      <c r="N160" s="9"/>
      <c r="O160" s="22">
        <v>0.65536499999999998</v>
      </c>
      <c r="P160" s="22">
        <v>87.807199999999995</v>
      </c>
      <c r="Q160" s="22">
        <v>-1.7617799999999999E-2</v>
      </c>
      <c r="R160" s="22">
        <v>150</v>
      </c>
      <c r="S160" s="22">
        <v>0.65454100000000004</v>
      </c>
      <c r="T160">
        <f t="shared" si="26"/>
        <v>17.617799999999999</v>
      </c>
      <c r="U160">
        <f t="shared" si="27"/>
        <v>11.546089496999999</v>
      </c>
      <c r="X160" s="9"/>
      <c r="Y160" s="22">
        <v>1.12473</v>
      </c>
      <c r="Z160" s="22">
        <v>177.96600000000001</v>
      </c>
      <c r="AA160" s="22">
        <v>-1.7294299999999999E-2</v>
      </c>
      <c r="AB160" s="22">
        <v>150</v>
      </c>
      <c r="AC160" s="22">
        <v>1.1233500000000001</v>
      </c>
      <c r="AD160">
        <f t="shared" si="28"/>
        <v>17.2943</v>
      </c>
      <c r="AE160">
        <f t="shared" si="29"/>
        <v>19.451418039</v>
      </c>
      <c r="AF160" s="9"/>
      <c r="AG160" s="22">
        <v>0.65536499999999998</v>
      </c>
      <c r="AH160" s="22">
        <v>292.279</v>
      </c>
      <c r="AI160" s="22">
        <v>-1.76727E-2</v>
      </c>
      <c r="AJ160" s="22">
        <v>150</v>
      </c>
      <c r="AK160" s="22">
        <v>0.65475499999999998</v>
      </c>
      <c r="AL160">
        <f t="shared" si="30"/>
        <v>17.672699999999999</v>
      </c>
      <c r="AM160">
        <f t="shared" si="31"/>
        <v>11.582069035499998</v>
      </c>
      <c r="AP160" s="9"/>
      <c r="AQ160" s="22">
        <v>1.12473</v>
      </c>
      <c r="AR160" s="22">
        <v>365.29199999999997</v>
      </c>
      <c r="AS160" s="22">
        <v>-1.7346199999999999E-2</v>
      </c>
      <c r="AT160" s="22">
        <v>150</v>
      </c>
      <c r="AU160" s="22">
        <v>1.1236600000000001</v>
      </c>
      <c r="AV160">
        <f t="shared" si="32"/>
        <v>17.3462</v>
      </c>
      <c r="AW160">
        <f t="shared" si="33"/>
        <v>19.509791526000001</v>
      </c>
      <c r="AX160" s="9"/>
      <c r="AY160" s="22">
        <v>0.65536499999999998</v>
      </c>
      <c r="AZ160" s="22">
        <v>417.721</v>
      </c>
      <c r="BA160" s="22">
        <v>-1.7718500000000002E-2</v>
      </c>
      <c r="BB160" s="22">
        <v>150</v>
      </c>
      <c r="BC160" s="22">
        <v>0.65457200000000004</v>
      </c>
      <c r="BD160">
        <f t="shared" si="34"/>
        <v>17.718500000000002</v>
      </c>
      <c r="BE160">
        <f t="shared" si="35"/>
        <v>11.612084752500001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30.598099999999999</v>
      </c>
      <c r="I161" s="22">
        <v>-1.71661E-2</v>
      </c>
      <c r="J161" s="22">
        <v>151</v>
      </c>
      <c r="K161" s="22">
        <v>1.1178600000000001</v>
      </c>
      <c r="L161">
        <f t="shared" si="24"/>
        <v>17.1661</v>
      </c>
      <c r="M161">
        <f t="shared" si="25"/>
        <v>19.220710509</v>
      </c>
      <c r="N161" s="9"/>
      <c r="O161" s="22">
        <v>0.66039999999999999</v>
      </c>
      <c r="P161" s="22">
        <v>87.907899999999998</v>
      </c>
      <c r="Q161" s="22">
        <v>-1.7611700000000001E-2</v>
      </c>
      <c r="R161" s="22">
        <v>151</v>
      </c>
      <c r="S161" s="22">
        <v>0.65963700000000003</v>
      </c>
      <c r="T161">
        <f t="shared" si="26"/>
        <v>17.611700000000003</v>
      </c>
      <c r="U161">
        <f t="shared" si="27"/>
        <v>11.630766680000001</v>
      </c>
      <c r="X161" s="9"/>
      <c r="Y161" s="22">
        <v>1.1196900000000001</v>
      </c>
      <c r="Z161" s="22">
        <v>178.066</v>
      </c>
      <c r="AA161" s="22">
        <v>-1.7297400000000001E-2</v>
      </c>
      <c r="AB161" s="22">
        <v>151</v>
      </c>
      <c r="AC161" s="22">
        <v>1.1184700000000001</v>
      </c>
      <c r="AD161">
        <f t="shared" si="28"/>
        <v>17.2974</v>
      </c>
      <c r="AE161">
        <f t="shared" si="29"/>
        <v>19.367725805999999</v>
      </c>
      <c r="AF161" s="9"/>
      <c r="AG161" s="22">
        <v>0.66039999999999999</v>
      </c>
      <c r="AH161" s="22">
        <v>292.37900000000002</v>
      </c>
      <c r="AI161" s="22">
        <v>-1.76697E-2</v>
      </c>
      <c r="AJ161" s="22">
        <v>151</v>
      </c>
      <c r="AK161" s="22">
        <v>0.65948499999999999</v>
      </c>
      <c r="AL161">
        <f t="shared" si="30"/>
        <v>17.669699999999999</v>
      </c>
      <c r="AM161">
        <f t="shared" si="31"/>
        <v>11.669069879999999</v>
      </c>
      <c r="AP161" s="9"/>
      <c r="AQ161" s="22">
        <v>1.1196900000000001</v>
      </c>
      <c r="AR161" s="22">
        <v>365.39299999999997</v>
      </c>
      <c r="AS161" s="22">
        <v>-1.7352300000000001E-2</v>
      </c>
      <c r="AT161" s="22">
        <v>151</v>
      </c>
      <c r="AU161" s="22">
        <v>1.11877</v>
      </c>
      <c r="AV161">
        <f t="shared" si="32"/>
        <v>17.3523</v>
      </c>
      <c r="AW161">
        <f t="shared" si="33"/>
        <v>19.429196787000002</v>
      </c>
      <c r="AX161" s="9"/>
      <c r="AY161" s="22">
        <v>0.66039999999999999</v>
      </c>
      <c r="AZ161" s="22">
        <v>417.82100000000003</v>
      </c>
      <c r="BA161" s="22">
        <v>-1.7715499999999999E-2</v>
      </c>
      <c r="BB161" s="22">
        <v>151</v>
      </c>
      <c r="BC161" s="22">
        <v>0.65957600000000005</v>
      </c>
      <c r="BD161">
        <f t="shared" si="34"/>
        <v>17.715499999999999</v>
      </c>
      <c r="BE161">
        <f t="shared" si="35"/>
        <v>11.699316199999998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30.698799999999999</v>
      </c>
      <c r="I162" s="22">
        <v>-1.7175300000000001E-2</v>
      </c>
      <c r="J162" s="22">
        <v>152</v>
      </c>
      <c r="K162" s="22">
        <v>1.1129800000000001</v>
      </c>
      <c r="L162">
        <f t="shared" si="24"/>
        <v>17.1753</v>
      </c>
      <c r="M162">
        <f t="shared" si="25"/>
        <v>19.144448144999998</v>
      </c>
      <c r="N162" s="9"/>
      <c r="O162" s="22">
        <v>0.66543600000000003</v>
      </c>
      <c r="P162" s="22">
        <v>88.008600000000001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1.1146499999999999</v>
      </c>
      <c r="Z162" s="22">
        <v>178.167</v>
      </c>
      <c r="AA162" s="22">
        <v>-1.73004E-2</v>
      </c>
      <c r="AB162" s="22">
        <v>152</v>
      </c>
      <c r="AC162" s="22">
        <v>1.11389</v>
      </c>
      <c r="AD162">
        <f t="shared" si="28"/>
        <v>17.3004</v>
      </c>
      <c r="AE162">
        <f t="shared" si="29"/>
        <v>19.28389086</v>
      </c>
      <c r="AF162" s="9"/>
      <c r="AG162" s="22">
        <v>0.66543600000000003</v>
      </c>
      <c r="AH162" s="22">
        <v>292.48</v>
      </c>
      <c r="AI162" s="22">
        <v>-1.7663600000000002E-2</v>
      </c>
      <c r="AJ162" s="22">
        <v>152</v>
      </c>
      <c r="AK162" s="22">
        <v>0.66452</v>
      </c>
      <c r="AL162">
        <f t="shared" si="30"/>
        <v>17.663600000000002</v>
      </c>
      <c r="AM162">
        <f t="shared" si="31"/>
        <v>11.753995329600002</v>
      </c>
      <c r="AP162" s="9"/>
      <c r="AQ162" s="22">
        <v>1.1146499999999999</v>
      </c>
      <c r="AR162" s="22">
        <v>365.49299999999999</v>
      </c>
      <c r="AS162" s="22">
        <v>-1.7346199999999999E-2</v>
      </c>
      <c r="AT162" s="22">
        <v>152</v>
      </c>
      <c r="AU162" s="22">
        <v>1.11328</v>
      </c>
      <c r="AV162">
        <f t="shared" si="32"/>
        <v>17.3462</v>
      </c>
      <c r="AW162">
        <f t="shared" si="33"/>
        <v>19.334941829999998</v>
      </c>
      <c r="AX162" s="9"/>
      <c r="AY162" s="22">
        <v>0.66543600000000003</v>
      </c>
      <c r="AZ162" s="22">
        <v>417.92200000000003</v>
      </c>
      <c r="BA162" s="22">
        <v>-1.77094E-2</v>
      </c>
      <c r="BB162" s="22">
        <v>152</v>
      </c>
      <c r="BC162" s="22">
        <v>0.66458099999999998</v>
      </c>
      <c r="BD162">
        <f t="shared" si="34"/>
        <v>17.709399999999999</v>
      </c>
      <c r="BE162">
        <f t="shared" si="35"/>
        <v>11.784472298399999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30.799499999999998</v>
      </c>
      <c r="I163" s="22">
        <v>-1.7184399999999999E-2</v>
      </c>
      <c r="J163" s="22">
        <v>153</v>
      </c>
      <c r="K163" s="22">
        <v>1.1087</v>
      </c>
      <c r="L163">
        <f t="shared" si="24"/>
        <v>17.1844</v>
      </c>
      <c r="M163">
        <f t="shared" si="25"/>
        <v>19.068153928000001</v>
      </c>
      <c r="N163" s="9"/>
      <c r="O163" s="22">
        <v>0.67047100000000004</v>
      </c>
      <c r="P163" s="22">
        <v>88.109399999999994</v>
      </c>
      <c r="Q163" s="22">
        <v>-1.7608599999999999E-2</v>
      </c>
      <c r="R163" s="22">
        <v>153</v>
      </c>
      <c r="S163" s="22">
        <v>0.669678</v>
      </c>
      <c r="T163">
        <f t="shared" si="26"/>
        <v>17.608599999999999</v>
      </c>
      <c r="U163">
        <f t="shared" si="27"/>
        <v>11.806055650599999</v>
      </c>
      <c r="X163" s="9"/>
      <c r="Y163" s="22">
        <v>1.1096200000000001</v>
      </c>
      <c r="Z163" s="22">
        <v>178.268</v>
      </c>
      <c r="AA163" s="22">
        <v>-1.7306499999999999E-2</v>
      </c>
      <c r="AB163" s="22">
        <v>153</v>
      </c>
      <c r="AC163" s="22">
        <v>1.1084000000000001</v>
      </c>
      <c r="AD163">
        <f t="shared" si="28"/>
        <v>17.3065</v>
      </c>
      <c r="AE163">
        <f t="shared" si="29"/>
        <v>19.203638529999999</v>
      </c>
      <c r="AF163" s="9"/>
      <c r="AG163" s="22">
        <v>0.67047100000000004</v>
      </c>
      <c r="AH163" s="22">
        <v>292.58100000000002</v>
      </c>
      <c r="AI163" s="22">
        <v>-1.7660499999999999E-2</v>
      </c>
      <c r="AJ163" s="22">
        <v>153</v>
      </c>
      <c r="AK163" s="22">
        <v>0.66970799999999997</v>
      </c>
      <c r="AL163">
        <f t="shared" si="30"/>
        <v>17.660499999999999</v>
      </c>
      <c r="AM163">
        <f t="shared" si="31"/>
        <v>11.8408530955</v>
      </c>
      <c r="AP163" s="9"/>
      <c r="AQ163" s="22">
        <v>1.1096200000000001</v>
      </c>
      <c r="AR163" s="22">
        <v>365.59399999999999</v>
      </c>
      <c r="AS163" s="22">
        <v>-1.73584E-2</v>
      </c>
      <c r="AT163" s="22">
        <v>153</v>
      </c>
      <c r="AU163" s="22">
        <v>1.1087</v>
      </c>
      <c r="AV163">
        <f t="shared" si="32"/>
        <v>17.3584</v>
      </c>
      <c r="AW163">
        <f t="shared" si="33"/>
        <v>19.261227808000001</v>
      </c>
      <c r="AX163" s="9"/>
      <c r="AY163" s="22">
        <v>0.67047100000000004</v>
      </c>
      <c r="AZ163" s="22">
        <v>418.02300000000002</v>
      </c>
      <c r="BA163" s="22">
        <v>-1.7706300000000001E-2</v>
      </c>
      <c r="BB163" s="22">
        <v>153</v>
      </c>
      <c r="BC163" s="22">
        <v>0.66976899999999995</v>
      </c>
      <c r="BD163">
        <f t="shared" si="34"/>
        <v>17.706300000000002</v>
      </c>
      <c r="BE163">
        <f t="shared" si="35"/>
        <v>11.871560667300002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30.900200000000002</v>
      </c>
      <c r="I164" s="22">
        <v>-1.7181399999999999E-2</v>
      </c>
      <c r="J164" s="22">
        <v>154</v>
      </c>
      <c r="K164" s="22">
        <v>1.10321</v>
      </c>
      <c r="L164">
        <f t="shared" si="24"/>
        <v>17.1814</v>
      </c>
      <c r="M164">
        <f t="shared" si="25"/>
        <v>18.978230812</v>
      </c>
      <c r="N164" s="9"/>
      <c r="O164" s="22">
        <v>0.67550699999999997</v>
      </c>
      <c r="P164" s="22">
        <v>88.210099999999997</v>
      </c>
      <c r="Q164" s="22">
        <v>-1.7599500000000001E-2</v>
      </c>
      <c r="R164" s="22">
        <v>154</v>
      </c>
      <c r="S164" s="22">
        <v>0.67471300000000001</v>
      </c>
      <c r="T164">
        <f t="shared" si="26"/>
        <v>17.599499999999999</v>
      </c>
      <c r="U164">
        <f t="shared" si="27"/>
        <v>11.888585446499999</v>
      </c>
      <c r="X164" s="9"/>
      <c r="Y164" s="22">
        <v>1.1045799999999999</v>
      </c>
      <c r="Z164" s="22">
        <v>178.369</v>
      </c>
      <c r="AA164" s="22">
        <v>-1.73157E-2</v>
      </c>
      <c r="AB164" s="22">
        <v>154</v>
      </c>
      <c r="AC164" s="22">
        <v>1.1035200000000001</v>
      </c>
      <c r="AD164">
        <f t="shared" si="28"/>
        <v>17.3157</v>
      </c>
      <c r="AE164">
        <f t="shared" si="29"/>
        <v>19.126575905999999</v>
      </c>
      <c r="AF164" s="9"/>
      <c r="AG164" s="22">
        <v>0.67550699999999997</v>
      </c>
      <c r="AH164" s="22">
        <v>292.68200000000002</v>
      </c>
      <c r="AI164" s="22">
        <v>-1.76575E-2</v>
      </c>
      <c r="AJ164" s="22">
        <v>154</v>
      </c>
      <c r="AK164" s="22">
        <v>0.67468300000000003</v>
      </c>
      <c r="AL164">
        <f t="shared" si="30"/>
        <v>17.657499999999999</v>
      </c>
      <c r="AM164">
        <f t="shared" si="31"/>
        <v>11.927764852499999</v>
      </c>
      <c r="AP164" s="9"/>
      <c r="AQ164" s="22">
        <v>1.1045799999999999</v>
      </c>
      <c r="AR164" s="22">
        <v>365.69499999999999</v>
      </c>
      <c r="AS164" s="22">
        <v>-1.7364500000000001E-2</v>
      </c>
      <c r="AT164" s="22">
        <v>154</v>
      </c>
      <c r="AU164" s="22">
        <v>1.1035200000000001</v>
      </c>
      <c r="AV164">
        <f t="shared" si="32"/>
        <v>17.364500000000003</v>
      </c>
      <c r="AW164">
        <f t="shared" si="33"/>
        <v>19.18047941</v>
      </c>
      <c r="AX164" s="9"/>
      <c r="AY164" s="22">
        <v>0.67550699999999997</v>
      </c>
      <c r="AZ164" s="22">
        <v>418.12299999999999</v>
      </c>
      <c r="BA164" s="22">
        <v>-1.7706300000000001E-2</v>
      </c>
      <c r="BB164" s="22">
        <v>154</v>
      </c>
      <c r="BC164" s="22">
        <v>0.67468300000000003</v>
      </c>
      <c r="BD164">
        <f t="shared" si="34"/>
        <v>17.706300000000002</v>
      </c>
      <c r="BE164">
        <f t="shared" si="35"/>
        <v>11.960729594100002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31.000900000000001</v>
      </c>
      <c r="I165" s="22">
        <v>-1.71906E-2</v>
      </c>
      <c r="J165" s="22">
        <v>155</v>
      </c>
      <c r="K165" s="22">
        <v>1.09863</v>
      </c>
      <c r="L165">
        <f t="shared" si="24"/>
        <v>17.1906</v>
      </c>
      <c r="M165">
        <f t="shared" si="25"/>
        <v>18.901924229999999</v>
      </c>
      <c r="N165" s="9"/>
      <c r="O165" s="22">
        <v>0.68054199999999998</v>
      </c>
      <c r="P165" s="22">
        <v>88.3108</v>
      </c>
      <c r="Q165" s="22">
        <v>-1.7599500000000001E-2</v>
      </c>
      <c r="R165" s="22">
        <v>155</v>
      </c>
      <c r="S165" s="22">
        <v>0.67965699999999996</v>
      </c>
      <c r="T165">
        <f t="shared" si="26"/>
        <v>17.599499999999999</v>
      </c>
      <c r="U165">
        <f t="shared" si="27"/>
        <v>11.977198928999998</v>
      </c>
      <c r="X165" s="9"/>
      <c r="Y165" s="22">
        <v>1.09955</v>
      </c>
      <c r="Z165" s="22">
        <v>178.46899999999999</v>
      </c>
      <c r="AA165" s="22">
        <v>-1.73157E-2</v>
      </c>
      <c r="AB165" s="22">
        <v>155</v>
      </c>
      <c r="AC165" s="22">
        <v>1.09833</v>
      </c>
      <c r="AD165">
        <f t="shared" si="28"/>
        <v>17.3157</v>
      </c>
      <c r="AE165">
        <f t="shared" si="29"/>
        <v>19.039477935000001</v>
      </c>
      <c r="AF165" s="9"/>
      <c r="AG165" s="22">
        <v>0.68054199999999998</v>
      </c>
      <c r="AH165" s="22">
        <v>292.78199999999998</v>
      </c>
      <c r="AI165" s="22">
        <v>-1.7654400000000001E-2</v>
      </c>
      <c r="AJ165" s="22">
        <v>155</v>
      </c>
      <c r="AK165" s="22">
        <v>0.67977900000000002</v>
      </c>
      <c r="AL165">
        <f t="shared" si="30"/>
        <v>17.654399999999999</v>
      </c>
      <c r="AM165">
        <f t="shared" si="31"/>
        <v>12.014560684799999</v>
      </c>
      <c r="AP165" s="9"/>
      <c r="AQ165" s="22">
        <v>1.09955</v>
      </c>
      <c r="AR165" s="22">
        <v>365.79500000000002</v>
      </c>
      <c r="AS165" s="22">
        <v>-1.7364500000000001E-2</v>
      </c>
      <c r="AT165" s="22">
        <v>155</v>
      </c>
      <c r="AU165" s="22">
        <v>1.09833</v>
      </c>
      <c r="AV165">
        <f t="shared" si="32"/>
        <v>17.364500000000003</v>
      </c>
      <c r="AW165">
        <f t="shared" si="33"/>
        <v>19.093135975000003</v>
      </c>
      <c r="AX165" s="9"/>
      <c r="AY165" s="22">
        <v>0.68054199999999998</v>
      </c>
      <c r="AZ165" s="22">
        <v>418.22399999999999</v>
      </c>
      <c r="BA165" s="22">
        <v>-1.7700199999999999E-2</v>
      </c>
      <c r="BB165" s="22">
        <v>155</v>
      </c>
      <c r="BC165" s="22">
        <v>0.67974900000000005</v>
      </c>
      <c r="BD165">
        <f t="shared" si="34"/>
        <v>17.700199999999999</v>
      </c>
      <c r="BE165">
        <f t="shared" si="35"/>
        <v>12.045729508399999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31.101600000000001</v>
      </c>
      <c r="I166" s="22">
        <v>-1.7196699999999999E-2</v>
      </c>
      <c r="J166" s="22">
        <v>156</v>
      </c>
      <c r="K166" s="22">
        <v>1.09283</v>
      </c>
      <c r="L166">
        <f t="shared" si="24"/>
        <v>17.1967</v>
      </c>
      <c r="M166">
        <f t="shared" si="25"/>
        <v>18.821960117</v>
      </c>
      <c r="N166" s="9"/>
      <c r="O166" s="22">
        <v>0.68557699999999999</v>
      </c>
      <c r="P166" s="22">
        <v>88.411500000000004</v>
      </c>
      <c r="Q166" s="22">
        <v>-1.7599500000000001E-2</v>
      </c>
      <c r="R166" s="22">
        <v>156</v>
      </c>
      <c r="S166" s="22">
        <v>0.68490600000000001</v>
      </c>
      <c r="T166">
        <f t="shared" si="26"/>
        <v>17.599499999999999</v>
      </c>
      <c r="U166">
        <f t="shared" si="27"/>
        <v>12.0658124115</v>
      </c>
      <c r="X166" s="9"/>
      <c r="Y166" s="22">
        <v>1.0945100000000001</v>
      </c>
      <c r="Z166" s="22">
        <v>178.57</v>
      </c>
      <c r="AA166" s="22">
        <v>-1.7321799999999998E-2</v>
      </c>
      <c r="AB166" s="22">
        <v>156</v>
      </c>
      <c r="AC166" s="22">
        <v>1.09314</v>
      </c>
      <c r="AD166">
        <f t="shared" si="28"/>
        <v>17.3218</v>
      </c>
      <c r="AE166">
        <f t="shared" si="29"/>
        <v>18.958883318000002</v>
      </c>
      <c r="AF166" s="9"/>
      <c r="AG166" s="22">
        <v>0.68557699999999999</v>
      </c>
      <c r="AH166" s="22">
        <v>292.88299999999998</v>
      </c>
      <c r="AI166" s="22">
        <v>-1.7654400000000001E-2</v>
      </c>
      <c r="AJ166" s="22">
        <v>156</v>
      </c>
      <c r="AK166" s="22">
        <v>0.68490600000000001</v>
      </c>
      <c r="AL166">
        <f t="shared" si="30"/>
        <v>17.654399999999999</v>
      </c>
      <c r="AM166">
        <f t="shared" si="31"/>
        <v>12.103450588799999</v>
      </c>
      <c r="AP166" s="9"/>
      <c r="AQ166" s="22">
        <v>1.0945100000000001</v>
      </c>
      <c r="AR166" s="22">
        <v>365.89600000000002</v>
      </c>
      <c r="AS166" s="22">
        <v>-1.7364500000000001E-2</v>
      </c>
      <c r="AT166" s="22">
        <v>156</v>
      </c>
      <c r="AU166" s="22">
        <v>1.09314</v>
      </c>
      <c r="AV166">
        <f t="shared" si="32"/>
        <v>17.364500000000003</v>
      </c>
      <c r="AW166">
        <f t="shared" si="33"/>
        <v>19.005618895000005</v>
      </c>
      <c r="AX166" s="9"/>
      <c r="AY166" s="22">
        <v>0.68557699999999999</v>
      </c>
      <c r="AZ166" s="22">
        <v>418.32499999999999</v>
      </c>
      <c r="BA166" s="22">
        <v>-1.76971E-2</v>
      </c>
      <c r="BB166" s="22">
        <v>156</v>
      </c>
      <c r="BC166" s="22">
        <v>0.68487500000000001</v>
      </c>
      <c r="BD166">
        <f t="shared" si="34"/>
        <v>17.697099999999999</v>
      </c>
      <c r="BE166">
        <f t="shared" si="35"/>
        <v>12.132724726699999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31.202300000000001</v>
      </c>
      <c r="I167" s="22">
        <v>-1.7196699999999999E-2</v>
      </c>
      <c r="J167" s="22">
        <v>157</v>
      </c>
      <c r="K167" s="22">
        <v>1.08826</v>
      </c>
      <c r="L167">
        <f t="shared" si="24"/>
        <v>17.1967</v>
      </c>
      <c r="M167">
        <f t="shared" si="25"/>
        <v>18.735460715999999</v>
      </c>
      <c r="N167" s="9"/>
      <c r="O167" s="22">
        <v>0.69061300000000003</v>
      </c>
      <c r="P167" s="22">
        <v>88.512200000000007</v>
      </c>
      <c r="Q167" s="22">
        <v>-1.75903E-2</v>
      </c>
      <c r="R167" s="22">
        <v>157</v>
      </c>
      <c r="S167" s="22">
        <v>0.690002</v>
      </c>
      <c r="T167">
        <f t="shared" si="26"/>
        <v>17.590299999999999</v>
      </c>
      <c r="U167">
        <f t="shared" si="27"/>
        <v>12.1480898539</v>
      </c>
      <c r="X167" s="9"/>
      <c r="Y167" s="22">
        <v>1.08948</v>
      </c>
      <c r="Z167" s="22">
        <v>178.67099999999999</v>
      </c>
      <c r="AA167" s="22">
        <v>-1.73309E-2</v>
      </c>
      <c r="AB167" s="22">
        <v>157</v>
      </c>
      <c r="AC167" s="22">
        <v>1.08856</v>
      </c>
      <c r="AD167">
        <f t="shared" si="28"/>
        <v>17.3309</v>
      </c>
      <c r="AE167">
        <f t="shared" si="29"/>
        <v>18.881668932</v>
      </c>
      <c r="AF167" s="9"/>
      <c r="AG167" s="22">
        <v>0.69061300000000003</v>
      </c>
      <c r="AH167" s="22">
        <v>292.98399999999998</v>
      </c>
      <c r="AI167" s="22">
        <v>-1.7648299999999999E-2</v>
      </c>
      <c r="AJ167" s="22">
        <v>157</v>
      </c>
      <c r="AK167" s="22">
        <v>0.689697</v>
      </c>
      <c r="AL167">
        <f t="shared" si="30"/>
        <v>17.648299999999999</v>
      </c>
      <c r="AM167">
        <f t="shared" si="31"/>
        <v>12.1881454079</v>
      </c>
      <c r="AP167" s="9"/>
      <c r="AQ167" s="22">
        <v>1.08948</v>
      </c>
      <c r="AR167" s="22">
        <v>365.99700000000001</v>
      </c>
      <c r="AS167" s="22">
        <v>-1.7373699999999999E-2</v>
      </c>
      <c r="AT167" s="22">
        <v>157</v>
      </c>
      <c r="AU167" s="22">
        <v>1.08795</v>
      </c>
      <c r="AV167">
        <f t="shared" si="32"/>
        <v>17.373699999999999</v>
      </c>
      <c r="AW167">
        <f t="shared" si="33"/>
        <v>18.928298676000001</v>
      </c>
      <c r="AX167" s="9"/>
      <c r="AY167" s="22">
        <v>0.69061300000000003</v>
      </c>
      <c r="AZ167" s="22">
        <v>418.42599999999999</v>
      </c>
      <c r="BA167" s="22">
        <v>-1.7694100000000001E-2</v>
      </c>
      <c r="BB167" s="22">
        <v>157</v>
      </c>
      <c r="BC167" s="22">
        <v>0.68981899999999996</v>
      </c>
      <c r="BD167">
        <f t="shared" si="34"/>
        <v>17.694100000000002</v>
      </c>
      <c r="BE167">
        <f t="shared" si="35"/>
        <v>12.219775483300003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31.303000000000001</v>
      </c>
      <c r="I168" s="22">
        <v>-1.7202800000000001E-2</v>
      </c>
      <c r="J168" s="22">
        <v>158</v>
      </c>
      <c r="K168" s="22">
        <v>1.0833699999999999</v>
      </c>
      <c r="L168">
        <f t="shared" si="24"/>
        <v>17.2028</v>
      </c>
      <c r="M168">
        <f t="shared" si="25"/>
        <v>18.655404432000001</v>
      </c>
      <c r="N168" s="9"/>
      <c r="O168" s="22">
        <v>0.69564800000000004</v>
      </c>
      <c r="P168" s="22">
        <v>88.612899999999996</v>
      </c>
      <c r="Q168" s="22">
        <v>-1.7584200000000001E-2</v>
      </c>
      <c r="R168" s="22">
        <v>158</v>
      </c>
      <c r="S168" s="22">
        <v>0.69500700000000004</v>
      </c>
      <c r="T168">
        <f t="shared" si="26"/>
        <v>17.584200000000003</v>
      </c>
      <c r="U168">
        <f t="shared" si="27"/>
        <v>12.232413561600003</v>
      </c>
      <c r="X168" s="9"/>
      <c r="Y168" s="22">
        <v>1.0844400000000001</v>
      </c>
      <c r="Z168" s="22">
        <v>178.77099999999999</v>
      </c>
      <c r="AA168" s="22">
        <v>-1.7333999999999999E-2</v>
      </c>
      <c r="AB168" s="22">
        <v>158</v>
      </c>
      <c r="AC168" s="22">
        <v>1.0839799999999999</v>
      </c>
      <c r="AD168">
        <f t="shared" si="28"/>
        <v>17.334</v>
      </c>
      <c r="AE168">
        <f t="shared" si="29"/>
        <v>18.797682959999999</v>
      </c>
      <c r="AF168" s="9"/>
      <c r="AG168" s="22">
        <v>0.69564800000000004</v>
      </c>
      <c r="AH168" s="22">
        <v>293.084</v>
      </c>
      <c r="AI168" s="22">
        <v>-1.7645299999999999E-2</v>
      </c>
      <c r="AJ168" s="22">
        <v>158</v>
      </c>
      <c r="AK168" s="22">
        <v>0.69491599999999998</v>
      </c>
      <c r="AL168">
        <f t="shared" si="30"/>
        <v>17.645299999999999</v>
      </c>
      <c r="AM168">
        <f t="shared" si="31"/>
        <v>12.274917654399999</v>
      </c>
      <c r="AP168" s="9"/>
      <c r="AQ168" s="22">
        <v>1.0844400000000001</v>
      </c>
      <c r="AR168" s="22">
        <v>366.09800000000001</v>
      </c>
      <c r="AS168" s="22">
        <v>-1.7373699999999999E-2</v>
      </c>
      <c r="AT168" s="22">
        <v>158</v>
      </c>
      <c r="AU168" s="22">
        <v>1.08368</v>
      </c>
      <c r="AV168">
        <f t="shared" si="32"/>
        <v>17.373699999999999</v>
      </c>
      <c r="AW168">
        <f t="shared" si="33"/>
        <v>18.840735228</v>
      </c>
      <c r="AX168" s="9"/>
      <c r="AY168" s="22">
        <v>0.69564800000000004</v>
      </c>
      <c r="AZ168" s="22">
        <v>418.52600000000001</v>
      </c>
      <c r="BA168" s="22">
        <v>-1.7687999999999999E-2</v>
      </c>
      <c r="BB168" s="22">
        <v>158</v>
      </c>
      <c r="BC168" s="22">
        <v>0.69488499999999997</v>
      </c>
      <c r="BD168">
        <f t="shared" si="34"/>
        <v>17.687999999999999</v>
      </c>
      <c r="BE168">
        <f t="shared" si="35"/>
        <v>12.304621824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31.403700000000001</v>
      </c>
      <c r="I169" s="22">
        <v>-1.7211899999999999E-2</v>
      </c>
      <c r="J169" s="22">
        <v>159</v>
      </c>
      <c r="K169" s="22">
        <v>1.07819</v>
      </c>
      <c r="L169">
        <f t="shared" si="24"/>
        <v>17.2119</v>
      </c>
      <c r="M169">
        <f t="shared" si="25"/>
        <v>18.578696979</v>
      </c>
      <c r="N169" s="9"/>
      <c r="O169" s="22">
        <v>0.70068399999999997</v>
      </c>
      <c r="P169" s="22">
        <v>88.7136</v>
      </c>
      <c r="Q169" s="22">
        <v>-1.7581200000000002E-2</v>
      </c>
      <c r="R169" s="22">
        <v>159</v>
      </c>
      <c r="S169" s="22">
        <v>0.69992100000000002</v>
      </c>
      <c r="T169">
        <f t="shared" si="26"/>
        <v>17.581200000000003</v>
      </c>
      <c r="U169">
        <f t="shared" si="27"/>
        <v>12.318865540800001</v>
      </c>
      <c r="X169" s="9"/>
      <c r="Y169" s="22">
        <v>1.07941</v>
      </c>
      <c r="Z169" s="22">
        <v>178.87200000000001</v>
      </c>
      <c r="AA169" s="22">
        <v>-1.7340100000000001E-2</v>
      </c>
      <c r="AB169" s="22">
        <v>159</v>
      </c>
      <c r="AC169" s="22">
        <v>1.07819</v>
      </c>
      <c r="AD169">
        <f t="shared" si="28"/>
        <v>17.3401</v>
      </c>
      <c r="AE169">
        <f t="shared" si="29"/>
        <v>18.717077341</v>
      </c>
      <c r="AF169" s="9"/>
      <c r="AG169" s="22">
        <v>0.70068399999999997</v>
      </c>
      <c r="AH169" s="22">
        <v>293.185</v>
      </c>
      <c r="AI169" s="22">
        <v>-1.76422E-2</v>
      </c>
      <c r="AJ169" s="22">
        <v>159</v>
      </c>
      <c r="AK169" s="22">
        <v>0.69995099999999999</v>
      </c>
      <c r="AL169">
        <f t="shared" si="30"/>
        <v>17.642199999999999</v>
      </c>
      <c r="AM169">
        <f t="shared" si="31"/>
        <v>12.361607264799998</v>
      </c>
      <c r="AP169" s="9"/>
      <c r="AQ169" s="22">
        <v>1.07941</v>
      </c>
      <c r="AR169" s="22">
        <v>366.19799999999998</v>
      </c>
      <c r="AS169" s="22">
        <v>-1.73828E-2</v>
      </c>
      <c r="AT169" s="22">
        <v>159</v>
      </c>
      <c r="AU169" s="22">
        <v>1.07819</v>
      </c>
      <c r="AV169">
        <f t="shared" si="32"/>
        <v>17.3828</v>
      </c>
      <c r="AW169">
        <f t="shared" si="33"/>
        <v>18.763168147999998</v>
      </c>
      <c r="AX169" s="9"/>
      <c r="AY169" s="22">
        <v>0.70068399999999997</v>
      </c>
      <c r="AZ169" s="22">
        <v>418.62700000000001</v>
      </c>
      <c r="BA169" s="22">
        <v>-1.76819E-2</v>
      </c>
      <c r="BB169" s="22">
        <v>159</v>
      </c>
      <c r="BC169" s="22">
        <v>0.69992100000000002</v>
      </c>
      <c r="BD169">
        <f t="shared" si="34"/>
        <v>17.681899999999999</v>
      </c>
      <c r="BE169">
        <f t="shared" si="35"/>
        <v>12.389424419599999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31.5044</v>
      </c>
      <c r="I170" s="22">
        <v>-1.7218000000000001E-2</v>
      </c>
      <c r="J170" s="22">
        <v>160</v>
      </c>
      <c r="K170" s="22">
        <v>1.073</v>
      </c>
      <c r="L170">
        <f t="shared" si="24"/>
        <v>17.218</v>
      </c>
      <c r="M170">
        <f t="shared" si="25"/>
        <v>18.49850266</v>
      </c>
      <c r="N170" s="9"/>
      <c r="O170" s="22">
        <v>0.70571899999999999</v>
      </c>
      <c r="P170" s="22">
        <v>88.814300000000003</v>
      </c>
      <c r="Q170" s="22">
        <v>-1.7581200000000002E-2</v>
      </c>
      <c r="R170" s="22">
        <v>160</v>
      </c>
      <c r="S170" s="22">
        <v>0.70507799999999998</v>
      </c>
      <c r="T170">
        <f t="shared" si="26"/>
        <v>17.581200000000003</v>
      </c>
      <c r="U170">
        <f t="shared" si="27"/>
        <v>12.407386882800001</v>
      </c>
      <c r="X170" s="9"/>
      <c r="Y170" s="22">
        <v>1.07437</v>
      </c>
      <c r="Z170" s="22">
        <v>178.97300000000001</v>
      </c>
      <c r="AA170" s="22">
        <v>-1.7346199999999999E-2</v>
      </c>
      <c r="AB170" s="22">
        <v>160</v>
      </c>
      <c r="AC170" s="22">
        <v>1.07361</v>
      </c>
      <c r="AD170">
        <f t="shared" si="28"/>
        <v>17.3462</v>
      </c>
      <c r="AE170">
        <f t="shared" si="29"/>
        <v>18.636236894</v>
      </c>
      <c r="AF170" s="9"/>
      <c r="AG170" s="22">
        <v>0.70571899999999999</v>
      </c>
      <c r="AH170" s="22">
        <v>293.286</v>
      </c>
      <c r="AI170" s="22">
        <v>-1.7636099999999998E-2</v>
      </c>
      <c r="AJ170" s="22">
        <v>160</v>
      </c>
      <c r="AK170" s="22">
        <v>0.705322</v>
      </c>
      <c r="AL170">
        <f t="shared" si="30"/>
        <v>17.636099999999999</v>
      </c>
      <c r="AM170">
        <f t="shared" si="31"/>
        <v>12.4461308559</v>
      </c>
      <c r="AP170" s="9"/>
      <c r="AQ170" s="22">
        <v>1.07437</v>
      </c>
      <c r="AR170" s="22">
        <v>366.29899999999998</v>
      </c>
      <c r="AS170" s="22">
        <v>-1.7385899999999999E-2</v>
      </c>
      <c r="AT170" s="22">
        <v>160</v>
      </c>
      <c r="AU170" s="22">
        <v>1.073</v>
      </c>
      <c r="AV170">
        <f t="shared" si="32"/>
        <v>17.385899999999999</v>
      </c>
      <c r="AW170">
        <f t="shared" si="33"/>
        <v>18.678889383000001</v>
      </c>
      <c r="AX170" s="9"/>
      <c r="AY170" s="22">
        <v>0.70571899999999999</v>
      </c>
      <c r="AZ170" s="22">
        <v>418.72800000000001</v>
      </c>
      <c r="BA170" s="22">
        <v>-1.7678800000000001E-2</v>
      </c>
      <c r="BB170" s="22">
        <v>160</v>
      </c>
      <c r="BC170" s="22">
        <v>0.70492600000000005</v>
      </c>
      <c r="BD170">
        <f t="shared" si="34"/>
        <v>17.678800000000003</v>
      </c>
      <c r="BE170">
        <f t="shared" si="35"/>
        <v>12.476265057200001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31.6051</v>
      </c>
      <c r="I171" s="22">
        <v>-1.72211E-2</v>
      </c>
      <c r="J171" s="22">
        <v>161</v>
      </c>
      <c r="K171" s="22">
        <v>1.06873</v>
      </c>
      <c r="L171">
        <f t="shared" si="24"/>
        <v>17.2211</v>
      </c>
      <c r="M171">
        <f t="shared" si="25"/>
        <v>18.415211073999998</v>
      </c>
      <c r="N171" s="9"/>
      <c r="O171" s="22">
        <v>0.710754</v>
      </c>
      <c r="P171" s="22">
        <v>88.915000000000006</v>
      </c>
      <c r="Q171" s="22">
        <v>-1.7578099999999999E-2</v>
      </c>
      <c r="R171" s="22">
        <v>161</v>
      </c>
      <c r="S171" s="22">
        <v>0.71005200000000002</v>
      </c>
      <c r="T171">
        <f t="shared" si="26"/>
        <v>17.578099999999999</v>
      </c>
      <c r="U171">
        <f t="shared" si="27"/>
        <v>12.4937048874</v>
      </c>
      <c r="X171" s="9"/>
      <c r="Y171" s="22">
        <v>1.06934</v>
      </c>
      <c r="Z171" s="22">
        <v>179.07400000000001</v>
      </c>
      <c r="AA171" s="22">
        <v>-1.7346199999999999E-2</v>
      </c>
      <c r="AB171" s="22">
        <v>161</v>
      </c>
      <c r="AC171" s="22">
        <v>1.06873</v>
      </c>
      <c r="AD171">
        <f t="shared" si="28"/>
        <v>17.3462</v>
      </c>
      <c r="AE171">
        <f t="shared" si="29"/>
        <v>18.548985507999998</v>
      </c>
      <c r="AF171" s="9"/>
      <c r="AG171" s="22">
        <v>0.710754</v>
      </c>
      <c r="AH171" s="22">
        <v>293.38600000000002</v>
      </c>
      <c r="AI171" s="22">
        <v>-1.7636099999999998E-2</v>
      </c>
      <c r="AJ171" s="22">
        <v>161</v>
      </c>
      <c r="AK171" s="22">
        <v>0.70999100000000004</v>
      </c>
      <c r="AL171">
        <f t="shared" si="30"/>
        <v>17.636099999999999</v>
      </c>
      <c r="AM171">
        <f t="shared" si="31"/>
        <v>12.534928619399999</v>
      </c>
      <c r="AP171" s="9"/>
      <c r="AQ171" s="22">
        <v>1.06934</v>
      </c>
      <c r="AR171" s="22">
        <v>366.4</v>
      </c>
      <c r="AS171" s="22">
        <v>-1.7392000000000001E-2</v>
      </c>
      <c r="AT171" s="22">
        <v>161</v>
      </c>
      <c r="AU171" s="22">
        <v>1.0684199999999999</v>
      </c>
      <c r="AV171">
        <f t="shared" si="32"/>
        <v>17.391999999999999</v>
      </c>
      <c r="AW171">
        <f t="shared" si="33"/>
        <v>18.59796128</v>
      </c>
      <c r="AX171" s="9"/>
      <c r="AY171" s="22">
        <v>0.710754</v>
      </c>
      <c r="AZ171" s="22">
        <v>418.82799999999997</v>
      </c>
      <c r="BA171" s="22">
        <v>-1.7675799999999998E-2</v>
      </c>
      <c r="BB171" s="22">
        <v>161</v>
      </c>
      <c r="BC171" s="22">
        <v>0.70986899999999997</v>
      </c>
      <c r="BD171">
        <f t="shared" si="34"/>
        <v>17.675799999999999</v>
      </c>
      <c r="BE171">
        <f t="shared" si="35"/>
        <v>12.563145553199998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31.7058</v>
      </c>
      <c r="I172" s="22">
        <v>-1.7227200000000002E-2</v>
      </c>
      <c r="J172" s="22">
        <v>162</v>
      </c>
      <c r="K172" s="22">
        <v>1.0635399999999999</v>
      </c>
      <c r="L172">
        <f t="shared" si="24"/>
        <v>17.2272</v>
      </c>
      <c r="M172">
        <f t="shared" si="25"/>
        <v>18.33490896</v>
      </c>
      <c r="N172" s="9"/>
      <c r="O172" s="22">
        <v>0.71579000000000004</v>
      </c>
      <c r="P172" s="22">
        <v>89.015699999999995</v>
      </c>
      <c r="Q172" s="22">
        <v>-1.7572000000000001E-2</v>
      </c>
      <c r="R172" s="22">
        <v>162</v>
      </c>
      <c r="S172" s="22">
        <v>0.71505700000000005</v>
      </c>
      <c r="T172">
        <f t="shared" si="26"/>
        <v>17.571999999999999</v>
      </c>
      <c r="U172">
        <f t="shared" si="27"/>
        <v>12.57786188</v>
      </c>
      <c r="X172" s="9"/>
      <c r="Y172" s="22">
        <v>1.0643</v>
      </c>
      <c r="Z172" s="22">
        <v>179.17400000000001</v>
      </c>
      <c r="AA172" s="22">
        <v>-1.7352300000000001E-2</v>
      </c>
      <c r="AB172" s="22">
        <v>162</v>
      </c>
      <c r="AC172" s="22">
        <v>1.0629299999999999</v>
      </c>
      <c r="AD172">
        <f t="shared" si="28"/>
        <v>17.3523</v>
      </c>
      <c r="AE172">
        <f t="shared" si="29"/>
        <v>18.468052889999999</v>
      </c>
      <c r="AF172" s="9"/>
      <c r="AG172" s="22">
        <v>0.71579000000000004</v>
      </c>
      <c r="AH172" s="22">
        <v>293.48700000000002</v>
      </c>
      <c r="AI172" s="22">
        <v>-1.763E-2</v>
      </c>
      <c r="AJ172" s="22">
        <v>162</v>
      </c>
      <c r="AK172" s="22">
        <v>0.71505700000000005</v>
      </c>
      <c r="AL172">
        <f t="shared" si="30"/>
        <v>17.63</v>
      </c>
      <c r="AM172">
        <f t="shared" si="31"/>
        <v>12.619377699999999</v>
      </c>
      <c r="AP172" s="9"/>
      <c r="AQ172" s="22">
        <v>1.0643</v>
      </c>
      <c r="AR172" s="22">
        <v>366.5</v>
      </c>
      <c r="AS172" s="22">
        <v>-1.73981E-2</v>
      </c>
      <c r="AT172" s="22">
        <v>162</v>
      </c>
      <c r="AU172" s="22">
        <v>1.0632299999999999</v>
      </c>
      <c r="AV172">
        <f t="shared" si="32"/>
        <v>17.398099999999999</v>
      </c>
      <c r="AW172">
        <f t="shared" si="33"/>
        <v>18.516797830000002</v>
      </c>
      <c r="AX172" s="9"/>
      <c r="AY172" s="22">
        <v>0.71579000000000004</v>
      </c>
      <c r="AZ172" s="22">
        <v>418.92899999999997</v>
      </c>
      <c r="BA172" s="22">
        <v>-1.76697E-2</v>
      </c>
      <c r="BB172" s="22">
        <v>162</v>
      </c>
      <c r="BC172" s="22">
        <v>0.71499599999999996</v>
      </c>
      <c r="BD172">
        <f t="shared" si="34"/>
        <v>17.669699999999999</v>
      </c>
      <c r="BE172">
        <f t="shared" si="35"/>
        <v>12.647794563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31.8066</v>
      </c>
      <c r="I173" s="22">
        <v>-1.72333E-2</v>
      </c>
      <c r="J173" s="22">
        <v>163</v>
      </c>
      <c r="K173" s="22">
        <v>1.0589599999999999</v>
      </c>
      <c r="L173">
        <f t="shared" si="24"/>
        <v>17.2333</v>
      </c>
      <c r="M173">
        <f t="shared" si="25"/>
        <v>18.254717691</v>
      </c>
      <c r="N173" s="9"/>
      <c r="O173" s="22">
        <v>0.72082500000000005</v>
      </c>
      <c r="P173" s="22">
        <v>89.116399999999999</v>
      </c>
      <c r="Q173" s="22">
        <v>-1.7565899999999999E-2</v>
      </c>
      <c r="R173" s="22">
        <v>163</v>
      </c>
      <c r="S173" s="22">
        <v>0.72006199999999998</v>
      </c>
      <c r="T173">
        <f t="shared" si="26"/>
        <v>17.565899999999999</v>
      </c>
      <c r="U173">
        <f t="shared" si="27"/>
        <v>12.661939867500001</v>
      </c>
      <c r="X173" s="9"/>
      <c r="Y173" s="22">
        <v>1.0592699999999999</v>
      </c>
      <c r="Z173" s="22">
        <v>179.27500000000001</v>
      </c>
      <c r="AA173" s="22">
        <v>-1.7361499999999998E-2</v>
      </c>
      <c r="AB173" s="22">
        <v>163</v>
      </c>
      <c r="AC173" s="22">
        <v>1.0586500000000001</v>
      </c>
      <c r="AD173">
        <f t="shared" si="28"/>
        <v>17.361499999999999</v>
      </c>
      <c r="AE173">
        <f t="shared" si="29"/>
        <v>18.390516105</v>
      </c>
      <c r="AF173" s="9"/>
      <c r="AG173" s="22">
        <v>0.72082500000000005</v>
      </c>
      <c r="AH173" s="22">
        <v>293.58800000000002</v>
      </c>
      <c r="AI173" s="22">
        <v>-1.7627E-2</v>
      </c>
      <c r="AJ173" s="22">
        <v>163</v>
      </c>
      <c r="AK173" s="22">
        <v>0.72009299999999998</v>
      </c>
      <c r="AL173">
        <f t="shared" si="30"/>
        <v>17.626999999999999</v>
      </c>
      <c r="AM173">
        <f t="shared" si="31"/>
        <v>12.705982275</v>
      </c>
      <c r="AP173" s="9"/>
      <c r="AQ173" s="22">
        <v>1.0592699999999999</v>
      </c>
      <c r="AR173" s="22">
        <v>366.601</v>
      </c>
      <c r="AS173" s="22">
        <v>-1.7404200000000002E-2</v>
      </c>
      <c r="AT173" s="22">
        <v>163</v>
      </c>
      <c r="AU173" s="22">
        <v>1.0583499999999999</v>
      </c>
      <c r="AV173">
        <f t="shared" si="32"/>
        <v>17.404200000000003</v>
      </c>
      <c r="AW173">
        <f t="shared" si="33"/>
        <v>18.435746934000001</v>
      </c>
      <c r="AX173" s="9"/>
      <c r="AY173" s="22">
        <v>0.72082500000000005</v>
      </c>
      <c r="AZ173" s="22">
        <v>419.03</v>
      </c>
      <c r="BA173" s="22">
        <v>-1.76697E-2</v>
      </c>
      <c r="BB173" s="22">
        <v>163</v>
      </c>
      <c r="BC173" s="22">
        <v>0.720001</v>
      </c>
      <c r="BD173">
        <f t="shared" si="34"/>
        <v>17.669699999999999</v>
      </c>
      <c r="BE173">
        <f t="shared" si="35"/>
        <v>12.7367615025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31.907299999999999</v>
      </c>
      <c r="I174" s="22">
        <v>-1.72363E-2</v>
      </c>
      <c r="J174" s="22">
        <v>164</v>
      </c>
      <c r="K174" s="22">
        <v>1.0525500000000001</v>
      </c>
      <c r="L174">
        <f t="shared" si="24"/>
        <v>17.2363</v>
      </c>
      <c r="M174">
        <f t="shared" si="25"/>
        <v>18.171024548999998</v>
      </c>
      <c r="N174" s="9"/>
      <c r="O174" s="22">
        <v>0.72586099999999998</v>
      </c>
      <c r="P174" s="22">
        <v>89.217100000000002</v>
      </c>
      <c r="Q174" s="22">
        <v>-1.7562899999999999E-2</v>
      </c>
      <c r="R174" s="22">
        <v>164</v>
      </c>
      <c r="S174" s="22">
        <v>0.72512799999999999</v>
      </c>
      <c r="T174">
        <f t="shared" si="26"/>
        <v>17.562899999999999</v>
      </c>
      <c r="U174">
        <f t="shared" si="27"/>
        <v>12.748224156899999</v>
      </c>
      <c r="X174" s="9"/>
      <c r="Y174" s="22">
        <v>1.05423</v>
      </c>
      <c r="Z174" s="22">
        <v>179.376</v>
      </c>
      <c r="AA174" s="22">
        <v>-1.7364500000000001E-2</v>
      </c>
      <c r="AB174" s="22">
        <v>164</v>
      </c>
      <c r="AC174" s="22">
        <v>1.0531600000000001</v>
      </c>
      <c r="AD174">
        <f t="shared" si="28"/>
        <v>17.364500000000003</v>
      </c>
      <c r="AE174">
        <f t="shared" si="29"/>
        <v>18.306176835000002</v>
      </c>
      <c r="AF174" s="9"/>
      <c r="AG174" s="22">
        <v>0.72586099999999998</v>
      </c>
      <c r="AH174" s="22">
        <v>293.68900000000002</v>
      </c>
      <c r="AI174" s="22">
        <v>-1.7620799999999999E-2</v>
      </c>
      <c r="AJ174" s="22">
        <v>164</v>
      </c>
      <c r="AK174" s="22">
        <v>0.72506700000000002</v>
      </c>
      <c r="AL174">
        <f t="shared" si="30"/>
        <v>17.620799999999999</v>
      </c>
      <c r="AM174">
        <f t="shared" si="31"/>
        <v>12.790251508799999</v>
      </c>
      <c r="AP174" s="9"/>
      <c r="AQ174" s="22">
        <v>1.05423</v>
      </c>
      <c r="AR174" s="22">
        <v>366.702</v>
      </c>
      <c r="AS174" s="22">
        <v>-1.74103E-2</v>
      </c>
      <c r="AT174" s="22">
        <v>164</v>
      </c>
      <c r="AU174" s="22">
        <v>1.0534699999999999</v>
      </c>
      <c r="AV174">
        <f t="shared" si="32"/>
        <v>17.410299999999999</v>
      </c>
      <c r="AW174">
        <f t="shared" si="33"/>
        <v>18.354460569</v>
      </c>
      <c r="AX174" s="9"/>
      <c r="AY174" s="22">
        <v>0.72586099999999998</v>
      </c>
      <c r="AZ174" s="22">
        <v>419.13099999999997</v>
      </c>
      <c r="BA174" s="22">
        <v>-1.7666600000000001E-2</v>
      </c>
      <c r="BB174" s="22">
        <v>164</v>
      </c>
      <c r="BC174" s="22">
        <v>0.72509800000000002</v>
      </c>
      <c r="BD174">
        <f t="shared" si="34"/>
        <v>17.666600000000003</v>
      </c>
      <c r="BE174">
        <f t="shared" si="35"/>
        <v>12.823495942600001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32.008000000000003</v>
      </c>
      <c r="I175" s="22">
        <v>-1.7242400000000001E-2</v>
      </c>
      <c r="J175" s="22">
        <v>165</v>
      </c>
      <c r="K175" s="22">
        <v>1.0476700000000001</v>
      </c>
      <c r="L175">
        <f t="shared" si="24"/>
        <v>17.2424</v>
      </c>
      <c r="M175">
        <f t="shared" si="25"/>
        <v>18.090553656000001</v>
      </c>
      <c r="N175" s="9"/>
      <c r="O175" s="22">
        <v>0.73089599999999999</v>
      </c>
      <c r="P175" s="22">
        <v>89.317899999999995</v>
      </c>
      <c r="Q175" s="22">
        <v>-1.75598E-2</v>
      </c>
      <c r="R175" s="22">
        <v>165</v>
      </c>
      <c r="S175" s="22">
        <v>0.73022500000000001</v>
      </c>
      <c r="T175">
        <f t="shared" si="26"/>
        <v>17.559799999999999</v>
      </c>
      <c r="U175">
        <f t="shared" si="27"/>
        <v>12.8343875808</v>
      </c>
      <c r="X175" s="9"/>
      <c r="Y175" s="22">
        <v>1.0491900000000001</v>
      </c>
      <c r="Z175" s="22">
        <v>179.476</v>
      </c>
      <c r="AA175" s="22">
        <v>-1.73676E-2</v>
      </c>
      <c r="AB175" s="22">
        <v>165</v>
      </c>
      <c r="AC175" s="22">
        <v>1.0485800000000001</v>
      </c>
      <c r="AD175">
        <f t="shared" si="28"/>
        <v>17.367599999999999</v>
      </c>
      <c r="AE175">
        <f t="shared" si="29"/>
        <v>18.221912244000002</v>
      </c>
      <c r="AF175" s="9"/>
      <c r="AG175" s="22">
        <v>0.73089599999999999</v>
      </c>
      <c r="AH175" s="22">
        <v>293.78899999999999</v>
      </c>
      <c r="AI175" s="22">
        <v>-1.7620799999999999E-2</v>
      </c>
      <c r="AJ175" s="22">
        <v>165</v>
      </c>
      <c r="AK175" s="22">
        <v>0.73004199999999997</v>
      </c>
      <c r="AL175">
        <f t="shared" si="30"/>
        <v>17.620799999999999</v>
      </c>
      <c r="AM175">
        <f t="shared" si="31"/>
        <v>12.878972236799999</v>
      </c>
      <c r="AP175" s="9"/>
      <c r="AQ175" s="22">
        <v>1.0491900000000001</v>
      </c>
      <c r="AR175" s="22">
        <v>366.80200000000002</v>
      </c>
      <c r="AS175" s="22">
        <v>-1.7416399999999999E-2</v>
      </c>
      <c r="AT175" s="22">
        <v>165</v>
      </c>
      <c r="AU175" s="22">
        <v>1.0482800000000001</v>
      </c>
      <c r="AV175">
        <f t="shared" si="32"/>
        <v>17.416399999999999</v>
      </c>
      <c r="AW175">
        <f t="shared" si="33"/>
        <v>18.273112716</v>
      </c>
      <c r="AX175" s="9"/>
      <c r="AY175" s="22">
        <v>0.73089599999999999</v>
      </c>
      <c r="AZ175" s="22">
        <v>419.23099999999999</v>
      </c>
      <c r="BA175" s="22">
        <v>-1.7660499999999999E-2</v>
      </c>
      <c r="BB175" s="22">
        <v>165</v>
      </c>
      <c r="BC175" s="22">
        <v>0.73004199999999997</v>
      </c>
      <c r="BD175">
        <f t="shared" si="34"/>
        <v>17.660499999999999</v>
      </c>
      <c r="BE175">
        <f t="shared" si="35"/>
        <v>12.907988807999999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32.108699999999999</v>
      </c>
      <c r="I176" s="22">
        <v>-1.72455E-2</v>
      </c>
      <c r="J176" s="22">
        <v>166</v>
      </c>
      <c r="K176" s="22">
        <v>1.0427900000000001</v>
      </c>
      <c r="L176">
        <f t="shared" si="24"/>
        <v>17.2455</v>
      </c>
      <c r="M176">
        <f t="shared" si="25"/>
        <v>18.007061279999999</v>
      </c>
      <c r="N176" s="9"/>
      <c r="O176" s="22">
        <v>0.735931</v>
      </c>
      <c r="P176" s="22">
        <v>89.418599999999998</v>
      </c>
      <c r="Q176" s="22">
        <v>-1.75598E-2</v>
      </c>
      <c r="R176" s="22">
        <v>166</v>
      </c>
      <c r="S176" s="22">
        <v>0.73519900000000005</v>
      </c>
      <c r="T176">
        <f t="shared" si="26"/>
        <v>17.559799999999999</v>
      </c>
      <c r="U176">
        <f t="shared" si="27"/>
        <v>12.9228011738</v>
      </c>
      <c r="X176" s="9"/>
      <c r="Y176" s="22">
        <v>1.04416</v>
      </c>
      <c r="Z176" s="22">
        <v>179.577</v>
      </c>
      <c r="AA176" s="22">
        <v>-1.7376699999999998E-2</v>
      </c>
      <c r="AB176" s="22">
        <v>166</v>
      </c>
      <c r="AC176" s="22">
        <v>1.0427900000000001</v>
      </c>
      <c r="AD176">
        <f t="shared" si="28"/>
        <v>17.3767</v>
      </c>
      <c r="AE176">
        <f t="shared" si="29"/>
        <v>18.144055072</v>
      </c>
      <c r="AF176" s="9"/>
      <c r="AG176" s="22">
        <v>0.735931</v>
      </c>
      <c r="AH176" s="22">
        <v>293.89</v>
      </c>
      <c r="AI176" s="22">
        <v>-1.7617799999999999E-2</v>
      </c>
      <c r="AJ176" s="22">
        <v>166</v>
      </c>
      <c r="AK176" s="22">
        <v>0.73553500000000005</v>
      </c>
      <c r="AL176">
        <f t="shared" si="30"/>
        <v>17.617799999999999</v>
      </c>
      <c r="AM176">
        <f t="shared" si="31"/>
        <v>12.965485171799999</v>
      </c>
      <c r="AP176" s="9"/>
      <c r="AQ176" s="22">
        <v>1.04416</v>
      </c>
      <c r="AR176" s="22">
        <v>366.90300000000002</v>
      </c>
      <c r="AS176" s="22">
        <v>-1.7416399999999999E-2</v>
      </c>
      <c r="AT176" s="22">
        <v>166</v>
      </c>
      <c r="AU176" s="22">
        <v>1.0430900000000001</v>
      </c>
      <c r="AV176">
        <f t="shared" si="32"/>
        <v>17.416399999999999</v>
      </c>
      <c r="AW176">
        <f t="shared" si="33"/>
        <v>18.185508223999999</v>
      </c>
      <c r="AX176" s="9"/>
      <c r="AY176" s="22">
        <v>0.735931</v>
      </c>
      <c r="AZ176" s="22">
        <v>419.33199999999999</v>
      </c>
      <c r="BA176" s="22">
        <v>-1.7660499999999999E-2</v>
      </c>
      <c r="BB176" s="22">
        <v>166</v>
      </c>
      <c r="BC176" s="22">
        <v>0.735016</v>
      </c>
      <c r="BD176">
        <f t="shared" si="34"/>
        <v>17.660499999999999</v>
      </c>
      <c r="BE176">
        <f t="shared" si="35"/>
        <v>12.996909425499998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32.209400000000002</v>
      </c>
      <c r="I177" s="22">
        <v>-1.72485E-2</v>
      </c>
      <c r="J177" s="22">
        <v>167</v>
      </c>
      <c r="K177" s="22">
        <v>1.0382100000000001</v>
      </c>
      <c r="L177">
        <f t="shared" si="24"/>
        <v>17.2485</v>
      </c>
      <c r="M177">
        <f t="shared" si="25"/>
        <v>17.923261320000002</v>
      </c>
      <c r="N177" s="9"/>
      <c r="O177" s="22">
        <v>0.74096700000000004</v>
      </c>
      <c r="P177" s="22">
        <v>89.519300000000001</v>
      </c>
      <c r="Q177" s="22">
        <v>-1.7553699999999998E-2</v>
      </c>
      <c r="R177" s="22">
        <v>167</v>
      </c>
      <c r="S177" s="22">
        <v>0.74026499999999995</v>
      </c>
      <c r="T177">
        <f t="shared" si="26"/>
        <v>17.553699999999999</v>
      </c>
      <c r="U177">
        <f t="shared" si="27"/>
        <v>13.0067124279</v>
      </c>
      <c r="X177" s="9"/>
      <c r="Y177" s="22">
        <v>1.03912</v>
      </c>
      <c r="Z177" s="22">
        <v>179.678</v>
      </c>
      <c r="AA177" s="22">
        <v>-1.7376699999999998E-2</v>
      </c>
      <c r="AB177" s="22">
        <v>167</v>
      </c>
      <c r="AC177" s="22">
        <v>1.03851</v>
      </c>
      <c r="AD177">
        <f t="shared" si="28"/>
        <v>17.3767</v>
      </c>
      <c r="AE177">
        <f t="shared" si="29"/>
        <v>18.056476503999999</v>
      </c>
      <c r="AF177" s="9"/>
      <c r="AG177" s="22">
        <v>0.74096700000000004</v>
      </c>
      <c r="AH177" s="22">
        <v>293.99099999999999</v>
      </c>
      <c r="AI177" s="22">
        <v>-1.7611700000000001E-2</v>
      </c>
      <c r="AJ177" s="22">
        <v>167</v>
      </c>
      <c r="AK177" s="22">
        <v>0.74020399999999997</v>
      </c>
      <c r="AL177">
        <f t="shared" si="30"/>
        <v>17.611700000000003</v>
      </c>
      <c r="AM177">
        <f t="shared" si="31"/>
        <v>13.049688513900003</v>
      </c>
      <c r="AP177" s="9"/>
      <c r="AQ177" s="22">
        <v>1.03912</v>
      </c>
      <c r="AR177" s="22">
        <v>367.00400000000002</v>
      </c>
      <c r="AS177" s="22">
        <v>-1.74255E-2</v>
      </c>
      <c r="AT177" s="22">
        <v>167</v>
      </c>
      <c r="AU177" s="22">
        <v>1.0382100000000001</v>
      </c>
      <c r="AV177">
        <f t="shared" si="32"/>
        <v>17.4255</v>
      </c>
      <c r="AW177">
        <f t="shared" si="33"/>
        <v>18.107185560000001</v>
      </c>
      <c r="AX177" s="9"/>
      <c r="AY177" s="22">
        <v>0.74096700000000004</v>
      </c>
      <c r="AZ177" s="22">
        <v>419.43299999999999</v>
      </c>
      <c r="BA177" s="22">
        <v>-1.76575E-2</v>
      </c>
      <c r="BB177" s="22">
        <v>167</v>
      </c>
      <c r="BC177" s="22">
        <v>0.74038700000000002</v>
      </c>
      <c r="BD177">
        <f t="shared" si="34"/>
        <v>17.657499999999999</v>
      </c>
      <c r="BE177">
        <f t="shared" si="35"/>
        <v>13.083624802499999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32.310099999999998</v>
      </c>
      <c r="I178" s="22">
        <v>-1.7251599999999999E-2</v>
      </c>
      <c r="J178" s="22">
        <v>168</v>
      </c>
      <c r="K178" s="22">
        <v>1.03302</v>
      </c>
      <c r="L178">
        <f t="shared" si="24"/>
        <v>17.2516</v>
      </c>
      <c r="M178">
        <f t="shared" si="25"/>
        <v>17.839707044000001</v>
      </c>
      <c r="N178" s="9"/>
      <c r="O178" s="22">
        <v>0.74600200000000005</v>
      </c>
      <c r="P178" s="22">
        <v>89.62</v>
      </c>
      <c r="Q178" s="22">
        <v>-1.7550699999999999E-2</v>
      </c>
      <c r="R178" s="22">
        <v>168</v>
      </c>
      <c r="S178" s="22">
        <v>0.74520900000000001</v>
      </c>
      <c r="T178">
        <f t="shared" si="26"/>
        <v>17.550699999999999</v>
      </c>
      <c r="U178">
        <f t="shared" si="27"/>
        <v>13.0928573014</v>
      </c>
      <c r="X178" s="9"/>
      <c r="Y178" s="22">
        <v>1.03409</v>
      </c>
      <c r="Z178" s="22">
        <v>179.77799999999999</v>
      </c>
      <c r="AA178" s="22">
        <v>-1.73828E-2</v>
      </c>
      <c r="AB178" s="22">
        <v>168</v>
      </c>
      <c r="AC178" s="22">
        <v>1.0333300000000001</v>
      </c>
      <c r="AD178">
        <f t="shared" si="28"/>
        <v>17.3828</v>
      </c>
      <c r="AE178">
        <f t="shared" si="29"/>
        <v>17.975379651999997</v>
      </c>
      <c r="AF178" s="9"/>
      <c r="AG178" s="22">
        <v>0.74600200000000005</v>
      </c>
      <c r="AH178" s="22">
        <v>294.09100000000001</v>
      </c>
      <c r="AI178" s="22">
        <v>-1.7605599999999999E-2</v>
      </c>
      <c r="AJ178" s="22">
        <v>168</v>
      </c>
      <c r="AK178" s="22">
        <v>0.74520900000000001</v>
      </c>
      <c r="AL178">
        <f t="shared" si="30"/>
        <v>17.605599999999999</v>
      </c>
      <c r="AM178">
        <f t="shared" si="31"/>
        <v>13.1338128112</v>
      </c>
      <c r="AP178" s="9"/>
      <c r="AQ178" s="22">
        <v>1.03409</v>
      </c>
      <c r="AR178" s="22">
        <v>367.10500000000002</v>
      </c>
      <c r="AS178" s="22">
        <v>-1.7431599999999998E-2</v>
      </c>
      <c r="AT178" s="22">
        <v>168</v>
      </c>
      <c r="AU178" s="22">
        <v>1.03302</v>
      </c>
      <c r="AV178">
        <f t="shared" si="32"/>
        <v>17.4316</v>
      </c>
      <c r="AW178">
        <f t="shared" si="33"/>
        <v>18.025843243999997</v>
      </c>
      <c r="AX178" s="9"/>
      <c r="AY178" s="22">
        <v>0.74600200000000005</v>
      </c>
      <c r="AZ178" s="22">
        <v>419.53300000000002</v>
      </c>
      <c r="BA178" s="22">
        <v>-1.7651400000000001E-2</v>
      </c>
      <c r="BB178" s="22">
        <v>168</v>
      </c>
      <c r="BC178" s="22">
        <v>0.74517800000000001</v>
      </c>
      <c r="BD178">
        <f t="shared" si="34"/>
        <v>17.651400000000002</v>
      </c>
      <c r="BE178">
        <f t="shared" si="35"/>
        <v>13.167979702800002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32.410800000000002</v>
      </c>
      <c r="I179" s="22">
        <v>-1.72607E-2</v>
      </c>
      <c r="J179" s="22">
        <v>169</v>
      </c>
      <c r="K179" s="22">
        <v>1.02783</v>
      </c>
      <c r="L179">
        <f t="shared" si="24"/>
        <v>17.2607</v>
      </c>
      <c r="M179">
        <f t="shared" si="25"/>
        <v>17.762123335000002</v>
      </c>
      <c r="N179" s="9"/>
      <c r="O179" s="22">
        <v>0.75103799999999998</v>
      </c>
      <c r="P179" s="22">
        <v>89.720699999999994</v>
      </c>
      <c r="Q179" s="22">
        <v>-1.7541500000000002E-2</v>
      </c>
      <c r="R179" s="22">
        <v>169</v>
      </c>
      <c r="S179" s="22">
        <v>0.75012199999999996</v>
      </c>
      <c r="T179">
        <f t="shared" si="26"/>
        <v>17.541500000000003</v>
      </c>
      <c r="U179">
        <f t="shared" si="27"/>
        <v>13.174333077000002</v>
      </c>
      <c r="X179" s="9"/>
      <c r="Y179" s="22">
        <v>1.02905</v>
      </c>
      <c r="Z179" s="22">
        <v>179.87899999999999</v>
      </c>
      <c r="AA179" s="22">
        <v>-1.7388899999999999E-2</v>
      </c>
      <c r="AB179" s="22">
        <v>169</v>
      </c>
      <c r="AC179" s="22">
        <v>1.0281400000000001</v>
      </c>
      <c r="AD179">
        <f t="shared" si="28"/>
        <v>17.3889</v>
      </c>
      <c r="AE179">
        <f t="shared" si="29"/>
        <v>17.894047544999999</v>
      </c>
      <c r="AF179" s="9"/>
      <c r="AG179" s="22">
        <v>0.75103799999999998</v>
      </c>
      <c r="AH179" s="22">
        <v>294.19200000000001</v>
      </c>
      <c r="AI179" s="22">
        <v>-1.7605599999999999E-2</v>
      </c>
      <c r="AJ179" s="22">
        <v>169</v>
      </c>
      <c r="AK179" s="22">
        <v>0.75027500000000003</v>
      </c>
      <c r="AL179">
        <f t="shared" si="30"/>
        <v>17.605599999999999</v>
      </c>
      <c r="AM179">
        <f t="shared" si="31"/>
        <v>13.222474612799999</v>
      </c>
      <c r="AP179" s="9"/>
      <c r="AQ179" s="22">
        <v>1.02905</v>
      </c>
      <c r="AR179" s="22">
        <v>367.20499999999998</v>
      </c>
      <c r="AS179" s="22">
        <v>-1.7434700000000001E-2</v>
      </c>
      <c r="AT179" s="22">
        <v>169</v>
      </c>
      <c r="AU179" s="22">
        <v>1.0281400000000001</v>
      </c>
      <c r="AV179">
        <f t="shared" si="32"/>
        <v>17.434699999999999</v>
      </c>
      <c r="AW179">
        <f t="shared" si="33"/>
        <v>17.941178035</v>
      </c>
      <c r="AX179" s="9"/>
      <c r="AY179" s="22">
        <v>0.75103799999999998</v>
      </c>
      <c r="AZ179" s="22">
        <v>419.63400000000001</v>
      </c>
      <c r="BA179" s="22">
        <v>-1.7648299999999999E-2</v>
      </c>
      <c r="BB179" s="22">
        <v>169</v>
      </c>
      <c r="BC179" s="22">
        <v>0.75027500000000003</v>
      </c>
      <c r="BD179">
        <f t="shared" si="34"/>
        <v>17.648299999999999</v>
      </c>
      <c r="BE179">
        <f t="shared" si="35"/>
        <v>13.254543935399999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32.511499999999998</v>
      </c>
      <c r="I180" s="22">
        <v>-1.7269900000000001E-2</v>
      </c>
      <c r="J180" s="22">
        <v>170</v>
      </c>
      <c r="K180" s="22">
        <v>1.02264</v>
      </c>
      <c r="L180">
        <f t="shared" si="24"/>
        <v>17.2699</v>
      </c>
      <c r="M180">
        <f t="shared" si="25"/>
        <v>17.684722997999998</v>
      </c>
      <c r="N180" s="9"/>
      <c r="O180" s="22">
        <v>0.756073</v>
      </c>
      <c r="P180" s="22">
        <v>89.821399999999997</v>
      </c>
      <c r="Q180" s="22">
        <v>-1.7541500000000002E-2</v>
      </c>
      <c r="R180" s="22">
        <v>170</v>
      </c>
      <c r="S180" s="22">
        <v>0.75470000000000004</v>
      </c>
      <c r="T180">
        <f t="shared" si="26"/>
        <v>17.541500000000003</v>
      </c>
      <c r="U180">
        <f t="shared" si="27"/>
        <v>13.262654529500002</v>
      </c>
      <c r="X180" s="9"/>
      <c r="Y180" s="22">
        <v>1.0240199999999999</v>
      </c>
      <c r="Z180" s="22">
        <v>179.98</v>
      </c>
      <c r="AA180" s="22">
        <v>-1.7392000000000001E-2</v>
      </c>
      <c r="AB180" s="22">
        <v>170</v>
      </c>
      <c r="AC180" s="22">
        <v>1.02264</v>
      </c>
      <c r="AD180">
        <f t="shared" si="28"/>
        <v>17.391999999999999</v>
      </c>
      <c r="AE180">
        <f t="shared" si="29"/>
        <v>17.809755839999998</v>
      </c>
      <c r="AF180" s="9"/>
      <c r="AG180" s="22">
        <v>0.756073</v>
      </c>
      <c r="AH180" s="22">
        <v>294.29300000000001</v>
      </c>
      <c r="AI180" s="22">
        <v>-1.7599500000000001E-2</v>
      </c>
      <c r="AJ180" s="22">
        <v>170</v>
      </c>
      <c r="AK180" s="22">
        <v>0.75531000000000004</v>
      </c>
      <c r="AL180">
        <f t="shared" si="30"/>
        <v>17.599499999999999</v>
      </c>
      <c r="AM180">
        <f t="shared" si="31"/>
        <v>13.3065067635</v>
      </c>
      <c r="AP180" s="9"/>
      <c r="AQ180" s="22">
        <v>1.0240199999999999</v>
      </c>
      <c r="AR180" s="22">
        <v>367.30599999999998</v>
      </c>
      <c r="AS180" s="22">
        <v>-1.74377E-2</v>
      </c>
      <c r="AT180" s="22">
        <v>170</v>
      </c>
      <c r="AU180" s="22">
        <v>1.02295</v>
      </c>
      <c r="AV180">
        <f t="shared" si="32"/>
        <v>17.4377</v>
      </c>
      <c r="AW180">
        <f t="shared" si="33"/>
        <v>17.856553553999998</v>
      </c>
      <c r="AX180" s="9"/>
      <c r="AY180" s="22">
        <v>0.756073</v>
      </c>
      <c r="AZ180" s="22">
        <v>419.73500000000001</v>
      </c>
      <c r="BA180" s="22">
        <v>-1.76422E-2</v>
      </c>
      <c r="BB180" s="22">
        <v>170</v>
      </c>
      <c r="BC180" s="22">
        <v>0.75500500000000004</v>
      </c>
      <c r="BD180">
        <f t="shared" si="34"/>
        <v>17.642199999999999</v>
      </c>
      <c r="BE180">
        <f t="shared" si="35"/>
        <v>13.338791080599998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32.612200000000001</v>
      </c>
      <c r="I181" s="22">
        <v>-1.7276E-2</v>
      </c>
      <c r="J181" s="22">
        <v>171</v>
      </c>
      <c r="K181" s="22">
        <v>1.01837</v>
      </c>
      <c r="L181">
        <f t="shared" si="24"/>
        <v>17.276</v>
      </c>
      <c r="M181">
        <f t="shared" si="25"/>
        <v>17.603898479999998</v>
      </c>
      <c r="N181" s="9"/>
      <c r="O181" s="22">
        <v>0.76110800000000001</v>
      </c>
      <c r="P181" s="22">
        <v>89.9221</v>
      </c>
      <c r="Q181" s="22">
        <v>-1.7541500000000002E-2</v>
      </c>
      <c r="R181" s="22">
        <v>171</v>
      </c>
      <c r="S181" s="22">
        <v>0.75958300000000001</v>
      </c>
      <c r="T181">
        <f t="shared" si="26"/>
        <v>17.541500000000003</v>
      </c>
      <c r="U181">
        <f t="shared" si="27"/>
        <v>13.350975982000001</v>
      </c>
      <c r="X181" s="9"/>
      <c r="Y181" s="22">
        <v>1.01898</v>
      </c>
      <c r="Z181" s="22">
        <v>180.08099999999999</v>
      </c>
      <c r="AA181" s="22">
        <v>-1.73981E-2</v>
      </c>
      <c r="AB181" s="22">
        <v>171</v>
      </c>
      <c r="AC181" s="22">
        <v>1.01837</v>
      </c>
      <c r="AD181">
        <f t="shared" si="28"/>
        <v>17.398099999999999</v>
      </c>
      <c r="AE181">
        <f t="shared" si="29"/>
        <v>17.728315937999998</v>
      </c>
      <c r="AF181" s="9"/>
      <c r="AG181" s="22">
        <v>0.76110800000000001</v>
      </c>
      <c r="AH181" s="22">
        <v>294.39400000000001</v>
      </c>
      <c r="AI181" s="22">
        <v>-1.7596400000000002E-2</v>
      </c>
      <c r="AJ181" s="22">
        <v>171</v>
      </c>
      <c r="AK181" s="22">
        <v>0.75958300000000001</v>
      </c>
      <c r="AL181">
        <f t="shared" si="30"/>
        <v>17.596400000000003</v>
      </c>
      <c r="AM181">
        <f t="shared" si="31"/>
        <v>13.392760811200002</v>
      </c>
      <c r="AP181" s="9"/>
      <c r="AQ181" s="22">
        <v>1.01898</v>
      </c>
      <c r="AR181" s="22">
        <v>367.40699999999998</v>
      </c>
      <c r="AS181" s="22">
        <v>-1.7446900000000001E-2</v>
      </c>
      <c r="AT181" s="22">
        <v>171</v>
      </c>
      <c r="AU181" s="22">
        <v>1.01776</v>
      </c>
      <c r="AV181">
        <f t="shared" si="32"/>
        <v>17.446900000000003</v>
      </c>
      <c r="AW181">
        <f t="shared" si="33"/>
        <v>17.778042162000002</v>
      </c>
      <c r="AX181" s="9"/>
      <c r="AY181" s="22">
        <v>0.76110800000000001</v>
      </c>
      <c r="AZ181" s="22">
        <v>419.83600000000001</v>
      </c>
      <c r="BA181" s="22">
        <v>-1.7639200000000001E-2</v>
      </c>
      <c r="BB181" s="22">
        <v>171</v>
      </c>
      <c r="BC181" s="22">
        <v>0.76019300000000001</v>
      </c>
      <c r="BD181">
        <f t="shared" si="34"/>
        <v>17.639200000000002</v>
      </c>
      <c r="BE181">
        <f t="shared" si="35"/>
        <v>13.425336233600001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32.712899999999998</v>
      </c>
      <c r="I182" s="22">
        <v>-1.7276E-2</v>
      </c>
      <c r="J182" s="22">
        <v>172</v>
      </c>
      <c r="K182" s="22">
        <v>1.01318</v>
      </c>
      <c r="L182">
        <f t="shared" si="24"/>
        <v>17.276</v>
      </c>
      <c r="M182">
        <f t="shared" si="25"/>
        <v>17.517000199999998</v>
      </c>
      <c r="N182" s="9"/>
      <c r="O182" s="22">
        <v>0.76614400000000005</v>
      </c>
      <c r="P182" s="22">
        <v>90.022800000000004</v>
      </c>
      <c r="Q182" s="22">
        <v>-1.75354E-2</v>
      </c>
      <c r="R182" s="22">
        <v>172</v>
      </c>
      <c r="S182" s="22">
        <v>0.76507599999999998</v>
      </c>
      <c r="T182">
        <f t="shared" si="26"/>
        <v>17.535399999999999</v>
      </c>
      <c r="U182">
        <f t="shared" si="27"/>
        <v>13.434641497599999</v>
      </c>
      <c r="X182" s="9"/>
      <c r="Y182" s="22">
        <v>1.0139499999999999</v>
      </c>
      <c r="Z182" s="22">
        <v>180.18100000000001</v>
      </c>
      <c r="AA182" s="22">
        <v>-1.7404200000000002E-2</v>
      </c>
      <c r="AB182" s="22">
        <v>172</v>
      </c>
      <c r="AC182" s="22">
        <v>1.01318</v>
      </c>
      <c r="AD182">
        <f t="shared" si="28"/>
        <v>17.404200000000003</v>
      </c>
      <c r="AE182">
        <f t="shared" si="29"/>
        <v>17.646988590000003</v>
      </c>
      <c r="AF182" s="9"/>
      <c r="AG182" s="22">
        <v>0.76614400000000005</v>
      </c>
      <c r="AH182" s="22">
        <v>294.49400000000003</v>
      </c>
      <c r="AI182" s="22">
        <v>-1.75873E-2</v>
      </c>
      <c r="AJ182" s="22">
        <v>172</v>
      </c>
      <c r="AK182" s="22">
        <v>0.76538099999999998</v>
      </c>
      <c r="AL182">
        <f t="shared" si="30"/>
        <v>17.587299999999999</v>
      </c>
      <c r="AM182">
        <f t="shared" si="31"/>
        <v>13.4744043712</v>
      </c>
      <c r="AP182" s="9"/>
      <c r="AQ182" s="22">
        <v>1.0139499999999999</v>
      </c>
      <c r="AR182" s="22">
        <v>367.50700000000001</v>
      </c>
      <c r="AS182" s="22">
        <v>-1.7446900000000001E-2</v>
      </c>
      <c r="AT182" s="22">
        <v>172</v>
      </c>
      <c r="AU182" s="22">
        <v>1.01227</v>
      </c>
      <c r="AV182">
        <f t="shared" si="32"/>
        <v>17.446900000000003</v>
      </c>
      <c r="AW182">
        <f t="shared" si="33"/>
        <v>17.690284255000002</v>
      </c>
      <c r="AX182" s="9"/>
      <c r="AY182" s="22">
        <v>0.76614400000000005</v>
      </c>
      <c r="AZ182" s="22">
        <v>419.93599999999998</v>
      </c>
      <c r="BA182" s="22">
        <v>-1.7633099999999999E-2</v>
      </c>
      <c r="BB182" s="22">
        <v>172</v>
      </c>
      <c r="BC182" s="22">
        <v>0.76446499999999995</v>
      </c>
      <c r="BD182">
        <f t="shared" si="34"/>
        <v>17.633099999999999</v>
      </c>
      <c r="BE182">
        <f t="shared" si="35"/>
        <v>13.5094937664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32.813600000000001</v>
      </c>
      <c r="I183" s="22">
        <v>-1.7279099999999999E-2</v>
      </c>
      <c r="J183" s="22">
        <v>173</v>
      </c>
      <c r="K183" s="22">
        <v>1.00769</v>
      </c>
      <c r="L183">
        <f t="shared" si="24"/>
        <v>17.2791</v>
      </c>
      <c r="M183">
        <f t="shared" si="25"/>
        <v>17.433056780999998</v>
      </c>
      <c r="N183" s="9"/>
      <c r="O183" s="22">
        <v>0.77117899999999995</v>
      </c>
      <c r="P183" s="22">
        <v>90.123500000000007</v>
      </c>
      <c r="Q183" s="22">
        <v>-1.7529300000000001E-2</v>
      </c>
      <c r="R183" s="22">
        <v>173</v>
      </c>
      <c r="S183" s="22">
        <v>0.77056899999999995</v>
      </c>
      <c r="T183">
        <f t="shared" si="26"/>
        <v>17.529300000000003</v>
      </c>
      <c r="U183">
        <f t="shared" si="27"/>
        <v>13.518228044700001</v>
      </c>
      <c r="X183" s="9"/>
      <c r="Y183" s="22">
        <v>1.00891</v>
      </c>
      <c r="Z183" s="22">
        <v>180.28200000000001</v>
      </c>
      <c r="AA183" s="22">
        <v>-1.7407200000000001E-2</v>
      </c>
      <c r="AB183" s="22">
        <v>173</v>
      </c>
      <c r="AC183" s="22">
        <v>1.008</v>
      </c>
      <c r="AD183">
        <f t="shared" si="28"/>
        <v>17.4072</v>
      </c>
      <c r="AE183">
        <f t="shared" si="29"/>
        <v>17.562298152</v>
      </c>
      <c r="AF183" s="9"/>
      <c r="AG183" s="22">
        <v>0.77117899999999995</v>
      </c>
      <c r="AH183" s="22">
        <v>294.59500000000003</v>
      </c>
      <c r="AI183" s="22">
        <v>-1.7584200000000001E-2</v>
      </c>
      <c r="AJ183" s="22">
        <v>173</v>
      </c>
      <c r="AK183" s="22">
        <v>0.77026399999999995</v>
      </c>
      <c r="AL183">
        <f t="shared" si="30"/>
        <v>17.584200000000003</v>
      </c>
      <c r="AM183">
        <f t="shared" si="31"/>
        <v>13.5605657718</v>
      </c>
      <c r="AP183" s="9"/>
      <c r="AQ183" s="22">
        <v>1.00891</v>
      </c>
      <c r="AR183" s="22">
        <v>367.608</v>
      </c>
      <c r="AS183" s="22">
        <v>-1.7453E-2</v>
      </c>
      <c r="AT183" s="22">
        <v>173</v>
      </c>
      <c r="AU183" s="22">
        <v>1.00769</v>
      </c>
      <c r="AV183">
        <f t="shared" si="32"/>
        <v>17.452999999999999</v>
      </c>
      <c r="AW183">
        <f t="shared" si="33"/>
        <v>17.60850623</v>
      </c>
      <c r="AX183" s="9"/>
      <c r="AY183" s="22">
        <v>0.77117899999999995</v>
      </c>
      <c r="AZ183" s="22">
        <v>420.03699999999998</v>
      </c>
      <c r="BA183" s="22">
        <v>-1.763E-2</v>
      </c>
      <c r="BB183" s="22">
        <v>173</v>
      </c>
      <c r="BC183" s="22">
        <v>0.77056899999999995</v>
      </c>
      <c r="BD183">
        <f t="shared" si="34"/>
        <v>17.63</v>
      </c>
      <c r="BE183">
        <f t="shared" si="35"/>
        <v>13.595885769999999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32.914299999999997</v>
      </c>
      <c r="I184" s="22">
        <v>-1.7285200000000001E-2</v>
      </c>
      <c r="J184" s="22">
        <v>174</v>
      </c>
      <c r="K184" s="22">
        <v>1.0031099999999999</v>
      </c>
      <c r="L184">
        <f t="shared" si="24"/>
        <v>17.2852</v>
      </c>
      <c r="M184">
        <f t="shared" si="25"/>
        <v>17.352266576000002</v>
      </c>
      <c r="N184" s="9"/>
      <c r="O184" s="22">
        <v>0.77621499999999999</v>
      </c>
      <c r="P184" s="22">
        <v>90.224199999999996</v>
      </c>
      <c r="Q184" s="22">
        <v>-1.7529300000000001E-2</v>
      </c>
      <c r="R184" s="22">
        <v>174</v>
      </c>
      <c r="S184" s="22">
        <v>0.774536</v>
      </c>
      <c r="T184">
        <f t="shared" si="26"/>
        <v>17.529300000000003</v>
      </c>
      <c r="U184">
        <f t="shared" si="27"/>
        <v>13.606505599500002</v>
      </c>
      <c r="X184" s="9"/>
      <c r="Y184" s="22">
        <v>1.0038800000000001</v>
      </c>
      <c r="Z184" s="22">
        <v>180.38300000000001</v>
      </c>
      <c r="AA184" s="22">
        <v>-1.7407200000000001E-2</v>
      </c>
      <c r="AB184" s="22">
        <v>174</v>
      </c>
      <c r="AC184" s="22">
        <v>1.00281</v>
      </c>
      <c r="AD184">
        <f t="shared" si="28"/>
        <v>17.4072</v>
      </c>
      <c r="AE184">
        <f t="shared" si="29"/>
        <v>17.474739936000002</v>
      </c>
      <c r="AF184" s="9"/>
      <c r="AG184" s="22">
        <v>0.77621499999999999</v>
      </c>
      <c r="AH184" s="22">
        <v>294.69600000000003</v>
      </c>
      <c r="AI184" s="22">
        <v>-1.7581200000000002E-2</v>
      </c>
      <c r="AJ184" s="22">
        <v>174</v>
      </c>
      <c r="AK184" s="22">
        <v>0.77575700000000003</v>
      </c>
      <c r="AL184">
        <f t="shared" si="30"/>
        <v>17.581200000000003</v>
      </c>
      <c r="AM184">
        <f t="shared" si="31"/>
        <v>13.646791158000001</v>
      </c>
      <c r="AP184" s="9"/>
      <c r="AQ184" s="22">
        <v>1.0038800000000001</v>
      </c>
      <c r="AR184" s="22">
        <v>367.709</v>
      </c>
      <c r="AS184" s="22">
        <v>-1.7456099999999999E-2</v>
      </c>
      <c r="AT184" s="22">
        <v>174</v>
      </c>
      <c r="AU184" s="22">
        <v>1.00281</v>
      </c>
      <c r="AV184">
        <f t="shared" si="32"/>
        <v>17.456099999999999</v>
      </c>
      <c r="AW184">
        <f t="shared" si="33"/>
        <v>17.523829668000001</v>
      </c>
      <c r="AX184" s="9"/>
      <c r="AY184" s="22">
        <v>0.77621499999999999</v>
      </c>
      <c r="AZ184" s="22">
        <v>420.13799999999998</v>
      </c>
      <c r="BA184" s="22">
        <v>-1.7623900000000001E-2</v>
      </c>
      <c r="BB184" s="22">
        <v>174</v>
      </c>
      <c r="BC184" s="22">
        <v>0.774841</v>
      </c>
      <c r="BD184">
        <f t="shared" si="34"/>
        <v>17.623900000000003</v>
      </c>
      <c r="BE184">
        <f t="shared" si="35"/>
        <v>13.679935538500002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33.015000000000001</v>
      </c>
      <c r="I185" s="22">
        <v>-1.72882E-2</v>
      </c>
      <c r="J185" s="22">
        <v>175</v>
      </c>
      <c r="K185" s="22">
        <v>0.99822999999999995</v>
      </c>
      <c r="L185">
        <f t="shared" si="24"/>
        <v>17.2882</v>
      </c>
      <c r="M185">
        <f t="shared" si="25"/>
        <v>17.268145688000001</v>
      </c>
      <c r="N185" s="9"/>
      <c r="O185" s="22">
        <v>0.78125</v>
      </c>
      <c r="P185" s="22">
        <v>90.3249</v>
      </c>
      <c r="Q185" s="22">
        <v>-1.7523199999999999E-2</v>
      </c>
      <c r="R185" s="22">
        <v>175</v>
      </c>
      <c r="S185" s="22">
        <v>0.78064</v>
      </c>
      <c r="T185">
        <f t="shared" si="26"/>
        <v>17.523199999999999</v>
      </c>
      <c r="U185">
        <f t="shared" si="27"/>
        <v>13.69</v>
      </c>
      <c r="X185" s="9"/>
      <c r="Y185" s="22">
        <v>0.99883999999999995</v>
      </c>
      <c r="Z185" s="22">
        <v>180.483</v>
      </c>
      <c r="AA185" s="22">
        <v>-1.74133E-2</v>
      </c>
      <c r="AB185" s="22">
        <v>175</v>
      </c>
      <c r="AC185" s="22">
        <v>0.99761999999999995</v>
      </c>
      <c r="AD185">
        <f t="shared" si="28"/>
        <v>17.4133</v>
      </c>
      <c r="AE185">
        <f t="shared" si="29"/>
        <v>17.393100571999998</v>
      </c>
      <c r="AF185" s="9"/>
      <c r="AG185" s="22">
        <v>0.78125</v>
      </c>
      <c r="AH185" s="22">
        <v>294.79599999999999</v>
      </c>
      <c r="AI185" s="22">
        <v>-1.75873E-2</v>
      </c>
      <c r="AJ185" s="22">
        <v>175</v>
      </c>
      <c r="AK185" s="22">
        <v>0.78002899999999997</v>
      </c>
      <c r="AL185">
        <f t="shared" si="30"/>
        <v>17.587299999999999</v>
      </c>
      <c r="AM185">
        <f t="shared" si="31"/>
        <v>13.740078125</v>
      </c>
      <c r="AP185" s="9"/>
      <c r="AQ185" s="22">
        <v>0.99883999999999995</v>
      </c>
      <c r="AR185" s="22">
        <v>367.81</v>
      </c>
      <c r="AS185" s="22">
        <v>-1.7462200000000001E-2</v>
      </c>
      <c r="AT185" s="22">
        <v>175</v>
      </c>
      <c r="AU185" s="22">
        <v>0.99792499999999995</v>
      </c>
      <c r="AV185">
        <f t="shared" si="32"/>
        <v>17.462199999999999</v>
      </c>
      <c r="AW185">
        <f t="shared" si="33"/>
        <v>17.441943847999998</v>
      </c>
      <c r="AX185" s="9"/>
      <c r="AY185" s="22">
        <v>0.78125</v>
      </c>
      <c r="AZ185" s="22">
        <v>420.238</v>
      </c>
      <c r="BA185" s="22">
        <v>-1.7620799999999999E-2</v>
      </c>
      <c r="BB185" s="22">
        <v>175</v>
      </c>
      <c r="BC185" s="22">
        <v>0.78002899999999997</v>
      </c>
      <c r="BD185">
        <f t="shared" si="34"/>
        <v>17.620799999999999</v>
      </c>
      <c r="BE185">
        <f t="shared" si="35"/>
        <v>13.766249999999999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33.1158</v>
      </c>
      <c r="I186" s="22">
        <v>-1.7291299999999999E-2</v>
      </c>
      <c r="J186" s="22">
        <v>176</v>
      </c>
      <c r="K186" s="22">
        <v>0.99273699999999998</v>
      </c>
      <c r="L186">
        <f t="shared" si="24"/>
        <v>17.2913</v>
      </c>
      <c r="M186">
        <f t="shared" si="25"/>
        <v>17.1841803965</v>
      </c>
      <c r="N186" s="9"/>
      <c r="O186" s="22">
        <v>0.78628500000000001</v>
      </c>
      <c r="P186" s="22">
        <v>90.425600000000003</v>
      </c>
      <c r="Q186" s="22">
        <v>-1.7523199999999999E-2</v>
      </c>
      <c r="R186" s="22">
        <v>176</v>
      </c>
      <c r="S186" s="22">
        <v>0.78521700000000005</v>
      </c>
      <c r="T186">
        <f t="shared" si="26"/>
        <v>17.523199999999999</v>
      </c>
      <c r="U186">
        <f t="shared" si="27"/>
        <v>13.778229311999999</v>
      </c>
      <c r="X186" s="9"/>
      <c r="Y186" s="22">
        <v>0.99380500000000005</v>
      </c>
      <c r="Z186" s="22">
        <v>180.584</v>
      </c>
      <c r="AA186" s="22">
        <v>-1.7419400000000002E-2</v>
      </c>
      <c r="AB186" s="22">
        <v>176</v>
      </c>
      <c r="AC186" s="22">
        <v>0.99273699999999998</v>
      </c>
      <c r="AD186">
        <f t="shared" si="28"/>
        <v>17.419400000000003</v>
      </c>
      <c r="AE186">
        <f t="shared" si="29"/>
        <v>17.311486817000002</v>
      </c>
      <c r="AF186" s="9"/>
      <c r="AG186" s="22">
        <v>0.78628500000000001</v>
      </c>
      <c r="AH186" s="22">
        <v>294.89699999999999</v>
      </c>
      <c r="AI186" s="22">
        <v>-1.75751E-2</v>
      </c>
      <c r="AJ186" s="22">
        <v>176</v>
      </c>
      <c r="AK186" s="22">
        <v>0.78521700000000005</v>
      </c>
      <c r="AL186">
        <f t="shared" si="30"/>
        <v>17.575099999999999</v>
      </c>
      <c r="AM186">
        <f t="shared" si="31"/>
        <v>13.819037503499999</v>
      </c>
      <c r="AP186" s="9"/>
      <c r="AQ186" s="22">
        <v>0.99380500000000005</v>
      </c>
      <c r="AR186" s="22">
        <v>367.91</v>
      </c>
      <c r="AS186" s="22">
        <v>-1.74652E-2</v>
      </c>
      <c r="AT186" s="22">
        <v>176</v>
      </c>
      <c r="AU186" s="22">
        <v>0.99304199999999998</v>
      </c>
      <c r="AV186">
        <f t="shared" si="32"/>
        <v>17.465199999999999</v>
      </c>
      <c r="AW186">
        <f t="shared" si="33"/>
        <v>17.357003085999999</v>
      </c>
      <c r="AX186" s="9"/>
      <c r="AY186" s="22">
        <v>0.78628500000000001</v>
      </c>
      <c r="AZ186" s="22">
        <v>420.339</v>
      </c>
      <c r="BA186" s="22">
        <v>-1.7617799999999999E-2</v>
      </c>
      <c r="BB186" s="22">
        <v>176</v>
      </c>
      <c r="BC186" s="22">
        <v>0.78552200000000005</v>
      </c>
      <c r="BD186">
        <f t="shared" si="34"/>
        <v>17.617799999999999</v>
      </c>
      <c r="BE186">
        <f t="shared" si="35"/>
        <v>13.852611872999999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33.216500000000003</v>
      </c>
      <c r="I187" s="22">
        <v>-1.7297400000000001E-2</v>
      </c>
      <c r="J187" s="22">
        <v>177</v>
      </c>
      <c r="K187" s="22">
        <v>0.98785400000000001</v>
      </c>
      <c r="L187">
        <f t="shared" si="24"/>
        <v>17.2974</v>
      </c>
      <c r="M187">
        <f t="shared" si="25"/>
        <v>17.103150198000002</v>
      </c>
      <c r="N187" s="9"/>
      <c r="O187" s="22">
        <v>0.79132100000000005</v>
      </c>
      <c r="P187" s="22">
        <v>90.526300000000006</v>
      </c>
      <c r="Q187" s="22">
        <v>-1.7517100000000001E-2</v>
      </c>
      <c r="R187" s="22">
        <v>177</v>
      </c>
      <c r="S187" s="22">
        <v>0.79071000000000002</v>
      </c>
      <c r="T187">
        <f t="shared" si="26"/>
        <v>17.517099999999999</v>
      </c>
      <c r="U187">
        <f t="shared" si="27"/>
        <v>13.8616490891</v>
      </c>
      <c r="X187" s="9"/>
      <c r="Y187" s="22">
        <v>0.98877000000000004</v>
      </c>
      <c r="Z187" s="22">
        <v>180.685</v>
      </c>
      <c r="AA187" s="22">
        <v>-1.74255E-2</v>
      </c>
      <c r="AB187" s="22">
        <v>177</v>
      </c>
      <c r="AC187" s="22">
        <v>0.98754900000000001</v>
      </c>
      <c r="AD187">
        <f t="shared" si="28"/>
        <v>17.4255</v>
      </c>
      <c r="AE187">
        <f t="shared" si="29"/>
        <v>17.229811635000001</v>
      </c>
      <c r="AF187" s="9"/>
      <c r="AG187" s="22">
        <v>0.79132100000000005</v>
      </c>
      <c r="AH187" s="22">
        <v>294.99799999999999</v>
      </c>
      <c r="AI187" s="22">
        <v>-1.7572000000000001E-2</v>
      </c>
      <c r="AJ187" s="22">
        <v>177</v>
      </c>
      <c r="AK187" s="22">
        <v>0.79010000000000002</v>
      </c>
      <c r="AL187">
        <f t="shared" si="30"/>
        <v>17.571999999999999</v>
      </c>
      <c r="AM187">
        <f t="shared" si="31"/>
        <v>13.905092612000001</v>
      </c>
      <c r="AP187" s="9"/>
      <c r="AQ187" s="22">
        <v>0.98877000000000004</v>
      </c>
      <c r="AR187" s="22">
        <v>368.01100000000002</v>
      </c>
      <c r="AS187" s="22">
        <v>-1.7471299999999999E-2</v>
      </c>
      <c r="AT187" s="22">
        <v>177</v>
      </c>
      <c r="AU187" s="22">
        <v>0.98785400000000001</v>
      </c>
      <c r="AV187">
        <f t="shared" si="32"/>
        <v>17.471299999999999</v>
      </c>
      <c r="AW187">
        <f t="shared" si="33"/>
        <v>17.275097300999999</v>
      </c>
      <c r="AX187" s="9"/>
      <c r="AY187" s="22">
        <v>0.79132100000000005</v>
      </c>
      <c r="AZ187" s="22">
        <v>420.44</v>
      </c>
      <c r="BA187" s="22">
        <v>-1.76147E-2</v>
      </c>
      <c r="BB187" s="22">
        <v>177</v>
      </c>
      <c r="BC187" s="22">
        <v>0.79040500000000002</v>
      </c>
      <c r="BD187">
        <f t="shared" si="34"/>
        <v>17.614699999999999</v>
      </c>
      <c r="BE187">
        <f t="shared" si="35"/>
        <v>13.938882018700001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33.3172</v>
      </c>
      <c r="I188" s="22">
        <v>-1.7303499999999999E-2</v>
      </c>
      <c r="J188" s="22">
        <v>178</v>
      </c>
      <c r="K188" s="22">
        <v>0.98297100000000004</v>
      </c>
      <c r="L188">
        <f t="shared" si="24"/>
        <v>17.3035</v>
      </c>
      <c r="M188">
        <f t="shared" si="25"/>
        <v>17.022041268999999</v>
      </c>
      <c r="N188" s="9"/>
      <c r="O188" s="22">
        <v>0.79635599999999995</v>
      </c>
      <c r="P188" s="22">
        <v>90.627099999999999</v>
      </c>
      <c r="Q188" s="22">
        <v>-1.7510999999999999E-2</v>
      </c>
      <c r="R188" s="22">
        <v>178</v>
      </c>
      <c r="S188" s="22">
        <v>0.79528799999999999</v>
      </c>
      <c r="T188">
        <f t="shared" si="26"/>
        <v>17.510999999999999</v>
      </c>
      <c r="U188">
        <f t="shared" si="27"/>
        <v>13.944989915999999</v>
      </c>
      <c r="X188" s="9"/>
      <c r="Y188" s="22">
        <v>0.983734</v>
      </c>
      <c r="Z188" s="22">
        <v>180.786</v>
      </c>
      <c r="AA188" s="22">
        <v>-1.7434700000000001E-2</v>
      </c>
      <c r="AB188" s="22">
        <v>178</v>
      </c>
      <c r="AC188" s="22">
        <v>0.98266600000000004</v>
      </c>
      <c r="AD188">
        <f t="shared" si="28"/>
        <v>17.434699999999999</v>
      </c>
      <c r="AE188">
        <f t="shared" si="29"/>
        <v>17.151107169799999</v>
      </c>
      <c r="AF188" s="9"/>
      <c r="AG188" s="22">
        <v>0.79635599999999995</v>
      </c>
      <c r="AH188" s="22">
        <v>295.09800000000001</v>
      </c>
      <c r="AI188" s="22">
        <v>-1.7569000000000001E-2</v>
      </c>
      <c r="AJ188" s="22">
        <v>178</v>
      </c>
      <c r="AK188" s="22">
        <v>0.79528799999999999</v>
      </c>
      <c r="AL188">
        <f t="shared" si="30"/>
        <v>17.569000000000003</v>
      </c>
      <c r="AM188">
        <f t="shared" si="31"/>
        <v>13.991178564000002</v>
      </c>
      <c r="AP188" s="9"/>
      <c r="AQ188" s="22">
        <v>0.983734</v>
      </c>
      <c r="AR188" s="22">
        <v>368.11200000000002</v>
      </c>
      <c r="AS188" s="22">
        <v>-1.7477400000000001E-2</v>
      </c>
      <c r="AT188" s="22">
        <v>178</v>
      </c>
      <c r="AU188" s="22">
        <v>0.98266600000000004</v>
      </c>
      <c r="AV188">
        <f t="shared" si="32"/>
        <v>17.477399999999999</v>
      </c>
      <c r="AW188">
        <f t="shared" si="33"/>
        <v>17.1931126116</v>
      </c>
      <c r="AX188" s="9"/>
      <c r="AY188" s="22">
        <v>0.79635599999999995</v>
      </c>
      <c r="AZ188" s="22">
        <v>420.54</v>
      </c>
      <c r="BA188" s="22">
        <v>-1.7611700000000001E-2</v>
      </c>
      <c r="BB188" s="22">
        <v>178</v>
      </c>
      <c r="BC188" s="22">
        <v>0.79559299999999999</v>
      </c>
      <c r="BD188">
        <f t="shared" si="34"/>
        <v>17.611700000000003</v>
      </c>
      <c r="BE188">
        <f t="shared" si="35"/>
        <v>14.025182965200001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33.417900000000003</v>
      </c>
      <c r="I189" s="22">
        <v>-1.7306499999999999E-2</v>
      </c>
      <c r="J189" s="22">
        <v>179</v>
      </c>
      <c r="K189" s="22">
        <v>0.97747799999999996</v>
      </c>
      <c r="L189">
        <f t="shared" si="24"/>
        <v>17.3065</v>
      </c>
      <c r="M189">
        <f t="shared" si="25"/>
        <v>16.937854243499999</v>
      </c>
      <c r="N189" s="9"/>
      <c r="O189" s="22">
        <v>0.80139199999999999</v>
      </c>
      <c r="P189" s="22">
        <v>90.727800000000002</v>
      </c>
      <c r="Q189" s="22">
        <v>-1.75079E-2</v>
      </c>
      <c r="R189" s="22">
        <v>179</v>
      </c>
      <c r="S189" s="22">
        <v>0.80017099999999997</v>
      </c>
      <c r="T189">
        <f t="shared" si="26"/>
        <v>17.507899999999999</v>
      </c>
      <c r="U189">
        <f t="shared" si="27"/>
        <v>14.030690996799999</v>
      </c>
      <c r="X189" s="9"/>
      <c r="Y189" s="22">
        <v>0.97869899999999999</v>
      </c>
      <c r="Z189" s="22">
        <v>180.886</v>
      </c>
      <c r="AA189" s="22">
        <v>-1.7434700000000001E-2</v>
      </c>
      <c r="AB189" s="22">
        <v>179</v>
      </c>
      <c r="AC189" s="22">
        <v>0.97717299999999996</v>
      </c>
      <c r="AD189">
        <f t="shared" si="28"/>
        <v>17.434699999999999</v>
      </c>
      <c r="AE189">
        <f t="shared" si="29"/>
        <v>17.063323455300001</v>
      </c>
      <c r="AF189" s="9"/>
      <c r="AG189" s="22">
        <v>0.80139199999999999</v>
      </c>
      <c r="AH189" s="22">
        <v>295.19900000000001</v>
      </c>
      <c r="AI189" s="22">
        <v>-1.7565899999999999E-2</v>
      </c>
      <c r="AJ189" s="22">
        <v>179</v>
      </c>
      <c r="AK189" s="22">
        <v>0.80047599999999997</v>
      </c>
      <c r="AL189">
        <f t="shared" si="30"/>
        <v>17.565899999999999</v>
      </c>
      <c r="AM189">
        <f t="shared" si="31"/>
        <v>14.077171732799998</v>
      </c>
      <c r="AP189" s="9"/>
      <c r="AQ189" s="22">
        <v>0.97869899999999999</v>
      </c>
      <c r="AR189" s="22">
        <v>368.21199999999999</v>
      </c>
      <c r="AS189" s="22">
        <v>-1.7483499999999999E-2</v>
      </c>
      <c r="AT189" s="22">
        <v>179</v>
      </c>
      <c r="AU189" s="22">
        <v>0.97778299999999996</v>
      </c>
      <c r="AV189">
        <f t="shared" si="32"/>
        <v>17.483499999999999</v>
      </c>
      <c r="AW189">
        <f t="shared" si="33"/>
        <v>17.111083966500001</v>
      </c>
      <c r="AX189" s="9"/>
      <c r="AY189" s="22">
        <v>0.80139199999999999</v>
      </c>
      <c r="AZ189" s="22">
        <v>420.64100000000002</v>
      </c>
      <c r="BA189" s="22">
        <v>-1.7605599999999999E-2</v>
      </c>
      <c r="BB189" s="22">
        <v>179</v>
      </c>
      <c r="BC189" s="22">
        <v>0.80078099999999997</v>
      </c>
      <c r="BD189">
        <f t="shared" si="34"/>
        <v>17.605599999999999</v>
      </c>
      <c r="BE189">
        <f t="shared" si="35"/>
        <v>14.108986995199999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33.518599999999999</v>
      </c>
      <c r="I190" s="22">
        <v>-1.7312600000000001E-2</v>
      </c>
      <c r="J190" s="22">
        <v>180</v>
      </c>
      <c r="K190" s="22">
        <v>0.97289999999999999</v>
      </c>
      <c r="L190">
        <f t="shared" si="24"/>
        <v>17.3126</v>
      </c>
      <c r="M190">
        <f t="shared" si="25"/>
        <v>16.856638053799998</v>
      </c>
      <c r="N190" s="9"/>
      <c r="O190" s="22">
        <v>0.806427</v>
      </c>
      <c r="P190" s="22">
        <v>90.828500000000005</v>
      </c>
      <c r="Q190" s="22">
        <v>-1.75079E-2</v>
      </c>
      <c r="R190" s="22">
        <v>180</v>
      </c>
      <c r="S190" s="22">
        <v>0.80535900000000005</v>
      </c>
      <c r="T190">
        <f t="shared" si="26"/>
        <v>17.507899999999999</v>
      </c>
      <c r="U190">
        <f t="shared" si="27"/>
        <v>14.1188432733</v>
      </c>
      <c r="X190" s="9"/>
      <c r="Y190" s="22">
        <v>0.97366299999999995</v>
      </c>
      <c r="Z190" s="22">
        <v>180.98699999999999</v>
      </c>
      <c r="AA190" s="22">
        <v>-1.74377E-2</v>
      </c>
      <c r="AB190" s="22">
        <v>180</v>
      </c>
      <c r="AC190" s="22">
        <v>0.97228999999999999</v>
      </c>
      <c r="AD190">
        <f t="shared" si="28"/>
        <v>17.4377</v>
      </c>
      <c r="AE190">
        <f t="shared" si="29"/>
        <v>16.9784432951</v>
      </c>
      <c r="AF190" s="9"/>
      <c r="AG190" s="22">
        <v>0.806427</v>
      </c>
      <c r="AH190" s="22">
        <v>295.3</v>
      </c>
      <c r="AI190" s="22">
        <v>-1.7562899999999999E-2</v>
      </c>
      <c r="AJ190" s="22">
        <v>180</v>
      </c>
      <c r="AK190" s="22">
        <v>0.80535900000000005</v>
      </c>
      <c r="AL190">
        <f t="shared" si="30"/>
        <v>17.562899999999999</v>
      </c>
      <c r="AM190">
        <f t="shared" si="31"/>
        <v>14.1631967583</v>
      </c>
      <c r="AP190" s="9"/>
      <c r="AQ190" s="22">
        <v>0.97366299999999995</v>
      </c>
      <c r="AR190" s="22">
        <v>368.31299999999999</v>
      </c>
      <c r="AS190" s="22">
        <v>-1.7483499999999999E-2</v>
      </c>
      <c r="AT190" s="22">
        <v>180</v>
      </c>
      <c r="AU190" s="22">
        <v>0.97289999999999999</v>
      </c>
      <c r="AV190">
        <f t="shared" si="32"/>
        <v>17.483499999999999</v>
      </c>
      <c r="AW190">
        <f t="shared" si="33"/>
        <v>17.023037060499998</v>
      </c>
      <c r="AX190" s="9"/>
      <c r="AY190" s="22">
        <v>0.806427</v>
      </c>
      <c r="AZ190" s="22">
        <v>420.74200000000002</v>
      </c>
      <c r="BA190" s="22">
        <v>-1.76025E-2</v>
      </c>
      <c r="BB190" s="22">
        <v>180</v>
      </c>
      <c r="BC190" s="22">
        <v>0.80566400000000005</v>
      </c>
      <c r="BD190">
        <f t="shared" si="34"/>
        <v>17.602499999999999</v>
      </c>
      <c r="BE190">
        <f t="shared" si="35"/>
        <v>14.195131267499999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33.619300000000003</v>
      </c>
      <c r="I191" s="22">
        <v>-1.73157E-2</v>
      </c>
      <c r="J191" s="22">
        <v>181</v>
      </c>
      <c r="K191" s="22">
        <v>0.96740700000000002</v>
      </c>
      <c r="L191">
        <f t="shared" si="24"/>
        <v>17.3157</v>
      </c>
      <c r="M191">
        <f t="shared" si="25"/>
        <v>16.7724718596</v>
      </c>
      <c r="N191" s="9"/>
      <c r="O191" s="22">
        <v>0.81146200000000002</v>
      </c>
      <c r="P191" s="22">
        <v>90.929199999999994</v>
      </c>
      <c r="Q191" s="22">
        <v>-1.7501800000000001E-2</v>
      </c>
      <c r="R191" s="22">
        <v>181</v>
      </c>
      <c r="S191" s="22">
        <v>0.81024200000000002</v>
      </c>
      <c r="T191">
        <f t="shared" si="26"/>
        <v>17.501800000000003</v>
      </c>
      <c r="U191">
        <f t="shared" si="27"/>
        <v>14.202045631600003</v>
      </c>
      <c r="X191" s="9"/>
      <c r="Y191" s="22">
        <v>0.96862800000000004</v>
      </c>
      <c r="Z191" s="22">
        <v>181.08799999999999</v>
      </c>
      <c r="AA191" s="22">
        <v>-1.7440799999999999E-2</v>
      </c>
      <c r="AB191" s="22">
        <v>181</v>
      </c>
      <c r="AC191" s="22">
        <v>0.96801800000000005</v>
      </c>
      <c r="AD191">
        <f t="shared" si="28"/>
        <v>17.440799999999999</v>
      </c>
      <c r="AE191">
        <f t="shared" si="29"/>
        <v>16.893647222399998</v>
      </c>
      <c r="AF191" s="9"/>
      <c r="AG191" s="22">
        <v>0.81146200000000002</v>
      </c>
      <c r="AH191" s="22">
        <v>295.40100000000001</v>
      </c>
      <c r="AI191" s="22">
        <v>-1.75598E-2</v>
      </c>
      <c r="AJ191" s="22">
        <v>181</v>
      </c>
      <c r="AK191" s="22">
        <v>0.81024200000000002</v>
      </c>
      <c r="AL191">
        <f t="shared" si="30"/>
        <v>17.559799999999999</v>
      </c>
      <c r="AM191">
        <f t="shared" si="31"/>
        <v>14.2491104276</v>
      </c>
      <c r="AP191" s="9"/>
      <c r="AQ191" s="22">
        <v>0.96862800000000004</v>
      </c>
      <c r="AR191" s="22">
        <v>368.41399999999999</v>
      </c>
      <c r="AS191" s="22">
        <v>-1.7489600000000001E-2</v>
      </c>
      <c r="AT191" s="22">
        <v>181</v>
      </c>
      <c r="AU191" s="22">
        <v>0.96771200000000002</v>
      </c>
      <c r="AV191">
        <f t="shared" si="32"/>
        <v>17.489599999999999</v>
      </c>
      <c r="AW191">
        <f t="shared" si="33"/>
        <v>16.940916268799999</v>
      </c>
      <c r="AX191" s="9"/>
      <c r="AY191" s="22">
        <v>0.81146200000000002</v>
      </c>
      <c r="AZ191" s="22">
        <v>420.84300000000002</v>
      </c>
      <c r="BA191" s="22">
        <v>-1.76025E-2</v>
      </c>
      <c r="BB191" s="22">
        <v>181</v>
      </c>
      <c r="BC191" s="22">
        <v>0.81054700000000002</v>
      </c>
      <c r="BD191">
        <f t="shared" si="34"/>
        <v>17.602499999999999</v>
      </c>
      <c r="BE191">
        <f t="shared" si="35"/>
        <v>14.283759855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33.72</v>
      </c>
      <c r="I192" s="22">
        <v>-1.7321799999999998E-2</v>
      </c>
      <c r="J192" s="22">
        <v>182</v>
      </c>
      <c r="K192" s="22">
        <v>0.96252400000000005</v>
      </c>
      <c r="L192">
        <f t="shared" si="24"/>
        <v>17.3218</v>
      </c>
      <c r="M192">
        <f t="shared" si="25"/>
        <v>16.691165227399999</v>
      </c>
      <c r="N192" s="9"/>
      <c r="O192" s="22">
        <v>0.81649799999999995</v>
      </c>
      <c r="P192" s="22">
        <v>91.029899999999998</v>
      </c>
      <c r="Q192" s="22">
        <v>-1.7498799999999998E-2</v>
      </c>
      <c r="R192" s="22">
        <v>182</v>
      </c>
      <c r="S192" s="22">
        <v>0.81512499999999999</v>
      </c>
      <c r="T192">
        <f t="shared" si="26"/>
        <v>17.498799999999999</v>
      </c>
      <c r="U192">
        <f t="shared" si="27"/>
        <v>14.287735202399999</v>
      </c>
      <c r="X192" s="9"/>
      <c r="Y192" s="22">
        <v>0.96359300000000003</v>
      </c>
      <c r="Z192" s="22">
        <v>181.18799999999999</v>
      </c>
      <c r="AA192" s="22">
        <v>-1.745E-2</v>
      </c>
      <c r="AB192" s="22">
        <v>182</v>
      </c>
      <c r="AC192" s="22">
        <v>0.96252400000000005</v>
      </c>
      <c r="AD192">
        <f t="shared" si="28"/>
        <v>17.45</v>
      </c>
      <c r="AE192">
        <f t="shared" si="29"/>
        <v>16.814697849999998</v>
      </c>
      <c r="AF192" s="9"/>
      <c r="AG192" s="22">
        <v>0.81649799999999995</v>
      </c>
      <c r="AH192" s="22">
        <v>295.50099999999998</v>
      </c>
      <c r="AI192" s="22">
        <v>-1.7553699999999998E-2</v>
      </c>
      <c r="AJ192" s="22">
        <v>182</v>
      </c>
      <c r="AK192" s="22">
        <v>0.81573499999999999</v>
      </c>
      <c r="AL192">
        <f t="shared" si="30"/>
        <v>17.553699999999999</v>
      </c>
      <c r="AM192">
        <f t="shared" si="31"/>
        <v>14.332560942599999</v>
      </c>
      <c r="AP192" s="9"/>
      <c r="AQ192" s="22">
        <v>0.96359300000000003</v>
      </c>
      <c r="AR192" s="22">
        <v>368.51400000000001</v>
      </c>
      <c r="AS192" s="22">
        <v>-1.7489600000000001E-2</v>
      </c>
      <c r="AT192" s="22">
        <v>182</v>
      </c>
      <c r="AU192" s="22">
        <v>0.96252400000000005</v>
      </c>
      <c r="AV192">
        <f t="shared" si="32"/>
        <v>17.489599999999999</v>
      </c>
      <c r="AW192">
        <f t="shared" si="33"/>
        <v>16.8528561328</v>
      </c>
      <c r="AX192" s="9"/>
      <c r="AY192" s="22">
        <v>0.81649799999999995</v>
      </c>
      <c r="AZ192" s="22">
        <v>420.94299999999998</v>
      </c>
      <c r="BA192" s="22">
        <v>-1.7596400000000002E-2</v>
      </c>
      <c r="BB192" s="22">
        <v>182</v>
      </c>
      <c r="BC192" s="22">
        <v>0.81542999999999999</v>
      </c>
      <c r="BD192">
        <f t="shared" si="34"/>
        <v>17.596400000000003</v>
      </c>
      <c r="BE192">
        <f t="shared" si="35"/>
        <v>14.367425407200001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33.820700000000002</v>
      </c>
      <c r="I193" s="22">
        <v>-1.73309E-2</v>
      </c>
      <c r="J193" s="22">
        <v>183</v>
      </c>
      <c r="K193" s="22">
        <v>0.95733599999999996</v>
      </c>
      <c r="L193">
        <f t="shared" si="24"/>
        <v>17.3309</v>
      </c>
      <c r="M193">
        <f t="shared" si="25"/>
        <v>16.612655511299998</v>
      </c>
      <c r="N193" s="9"/>
      <c r="O193" s="22">
        <v>0.82153299999999996</v>
      </c>
      <c r="P193" s="22">
        <v>91.130600000000001</v>
      </c>
      <c r="Q193" s="22">
        <v>-1.74927E-2</v>
      </c>
      <c r="R193" s="22">
        <v>183</v>
      </c>
      <c r="S193" s="22">
        <v>0.82000700000000004</v>
      </c>
      <c r="T193">
        <f t="shared" si="26"/>
        <v>17.492699999999999</v>
      </c>
      <c r="U193">
        <f t="shared" si="27"/>
        <v>14.370830309099999</v>
      </c>
      <c r="X193" s="9"/>
      <c r="Y193" s="22">
        <v>0.95855699999999999</v>
      </c>
      <c r="Z193" s="22">
        <v>181.28899999999999</v>
      </c>
      <c r="AA193" s="22">
        <v>-1.745E-2</v>
      </c>
      <c r="AB193" s="22">
        <v>183</v>
      </c>
      <c r="AC193" s="22">
        <v>0.95764199999999999</v>
      </c>
      <c r="AD193">
        <f t="shared" si="28"/>
        <v>17.45</v>
      </c>
      <c r="AE193">
        <f t="shared" si="29"/>
        <v>16.726819649999999</v>
      </c>
      <c r="AF193" s="9"/>
      <c r="AG193" s="22">
        <v>0.82153299999999996</v>
      </c>
      <c r="AH193" s="22">
        <v>295.60199999999998</v>
      </c>
      <c r="AI193" s="22">
        <v>-1.7550699999999999E-2</v>
      </c>
      <c r="AJ193" s="22">
        <v>183</v>
      </c>
      <c r="AK193" s="22">
        <v>0.82031299999999996</v>
      </c>
      <c r="AL193">
        <f t="shared" si="30"/>
        <v>17.550699999999999</v>
      </c>
      <c r="AM193">
        <f t="shared" si="31"/>
        <v>14.418479223099999</v>
      </c>
      <c r="AP193" s="9"/>
      <c r="AQ193" s="22">
        <v>0.95855699999999999</v>
      </c>
      <c r="AR193" s="22">
        <v>368.61500000000001</v>
      </c>
      <c r="AS193" s="22">
        <v>-1.7495699999999999E-2</v>
      </c>
      <c r="AT193" s="22">
        <v>183</v>
      </c>
      <c r="AU193" s="22">
        <v>0.95794699999999999</v>
      </c>
      <c r="AV193">
        <f t="shared" si="32"/>
        <v>17.495699999999999</v>
      </c>
      <c r="AW193">
        <f t="shared" si="33"/>
        <v>16.770625704899999</v>
      </c>
      <c r="AX193" s="9"/>
      <c r="AY193" s="22">
        <v>0.82153299999999996</v>
      </c>
      <c r="AZ193" s="22">
        <v>421.04399999999998</v>
      </c>
      <c r="BA193" s="22">
        <v>-1.7593399999999999E-2</v>
      </c>
      <c r="BB193" s="22">
        <v>183</v>
      </c>
      <c r="BC193" s="22">
        <v>0.82061799999999996</v>
      </c>
      <c r="BD193">
        <f t="shared" si="34"/>
        <v>17.593399999999999</v>
      </c>
      <c r="BE193">
        <f t="shared" si="35"/>
        <v>14.453558682199999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33.921399999999998</v>
      </c>
      <c r="I194" s="22">
        <v>-1.73309E-2</v>
      </c>
      <c r="J194" s="22">
        <v>184</v>
      </c>
      <c r="K194" s="22">
        <v>0.95336900000000002</v>
      </c>
      <c r="L194">
        <f t="shared" si="24"/>
        <v>17.3309</v>
      </c>
      <c r="M194">
        <f t="shared" si="25"/>
        <v>16.525394429799999</v>
      </c>
      <c r="N194" s="9"/>
      <c r="O194" s="22">
        <v>0.826569</v>
      </c>
      <c r="P194" s="22">
        <v>91.231300000000005</v>
      </c>
      <c r="Q194" s="22">
        <v>-1.7486600000000001E-2</v>
      </c>
      <c r="R194" s="22">
        <v>184</v>
      </c>
      <c r="S194" s="22">
        <v>0.82580600000000004</v>
      </c>
      <c r="T194">
        <f t="shared" si="26"/>
        <v>17.486600000000003</v>
      </c>
      <c r="U194">
        <f t="shared" si="27"/>
        <v>14.453881475400003</v>
      </c>
      <c r="X194" s="9"/>
      <c r="Y194" s="22">
        <v>0.95352199999999998</v>
      </c>
      <c r="Z194" s="22">
        <v>181.39</v>
      </c>
      <c r="AA194" s="22">
        <v>-1.7456099999999999E-2</v>
      </c>
      <c r="AB194" s="22">
        <v>184</v>
      </c>
      <c r="AC194" s="22">
        <v>0.95245400000000002</v>
      </c>
      <c r="AD194">
        <f t="shared" si="28"/>
        <v>17.456099999999999</v>
      </c>
      <c r="AE194">
        <f t="shared" si="29"/>
        <v>16.644775384199999</v>
      </c>
      <c r="AF194" s="9"/>
      <c r="AG194" s="22">
        <v>0.826569</v>
      </c>
      <c r="AH194" s="22">
        <v>295.70299999999997</v>
      </c>
      <c r="AI194" s="22">
        <v>-1.75446E-2</v>
      </c>
      <c r="AJ194" s="22">
        <v>184</v>
      </c>
      <c r="AK194" s="22">
        <v>0.82611100000000004</v>
      </c>
      <c r="AL194">
        <f t="shared" si="30"/>
        <v>17.544599999999999</v>
      </c>
      <c r="AM194">
        <f t="shared" si="31"/>
        <v>14.501822477399999</v>
      </c>
      <c r="AP194" s="9"/>
      <c r="AQ194" s="22">
        <v>0.95352199999999998</v>
      </c>
      <c r="AR194" s="22">
        <v>368.71600000000001</v>
      </c>
      <c r="AS194" s="22">
        <v>-1.7501800000000001E-2</v>
      </c>
      <c r="AT194" s="22">
        <v>184</v>
      </c>
      <c r="AU194" s="22">
        <v>0.95306400000000002</v>
      </c>
      <c r="AV194">
        <f t="shared" si="32"/>
        <v>17.501800000000003</v>
      </c>
      <c r="AW194">
        <f t="shared" si="33"/>
        <v>16.688351339600004</v>
      </c>
      <c r="AX194" s="9"/>
      <c r="AY194" s="22">
        <v>0.826569</v>
      </c>
      <c r="AZ194" s="22">
        <v>421.14499999999998</v>
      </c>
      <c r="BA194" s="22">
        <v>-1.75873E-2</v>
      </c>
      <c r="BB194" s="22">
        <v>184</v>
      </c>
      <c r="BC194" s="22">
        <v>0.82580600000000004</v>
      </c>
      <c r="BD194">
        <f t="shared" si="34"/>
        <v>17.587299999999999</v>
      </c>
      <c r="BE194">
        <f t="shared" si="35"/>
        <v>14.5371169737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34.022100000000002</v>
      </c>
      <c r="I195" s="22">
        <v>-1.7340100000000001E-2</v>
      </c>
      <c r="J195" s="22">
        <v>185</v>
      </c>
      <c r="K195" s="22">
        <v>0.94696000000000002</v>
      </c>
      <c r="L195">
        <f t="shared" si="24"/>
        <v>17.3401</v>
      </c>
      <c r="M195">
        <f t="shared" si="25"/>
        <v>16.4468420886</v>
      </c>
      <c r="N195" s="9"/>
      <c r="O195" s="22">
        <v>0.83160400000000001</v>
      </c>
      <c r="P195" s="22">
        <v>91.331999999999994</v>
      </c>
      <c r="Q195" s="22">
        <v>-1.7483499999999999E-2</v>
      </c>
      <c r="R195" s="22">
        <v>185</v>
      </c>
      <c r="S195" s="22">
        <v>0.83038299999999998</v>
      </c>
      <c r="T195">
        <f t="shared" si="26"/>
        <v>17.483499999999999</v>
      </c>
      <c r="U195">
        <f t="shared" si="27"/>
        <v>14.539348534</v>
      </c>
      <c r="X195" s="9"/>
      <c r="Y195" s="22">
        <v>0.94848600000000005</v>
      </c>
      <c r="Z195" s="22">
        <v>181.49</v>
      </c>
      <c r="AA195" s="22">
        <v>-1.7456099999999999E-2</v>
      </c>
      <c r="AB195" s="22">
        <v>185</v>
      </c>
      <c r="AC195" s="22">
        <v>0.94696000000000002</v>
      </c>
      <c r="AD195">
        <f t="shared" si="28"/>
        <v>17.456099999999999</v>
      </c>
      <c r="AE195">
        <f t="shared" si="29"/>
        <v>16.556866464599999</v>
      </c>
      <c r="AF195" s="9"/>
      <c r="AG195" s="22">
        <v>0.83160400000000001</v>
      </c>
      <c r="AH195" s="22">
        <v>295.803</v>
      </c>
      <c r="AI195" s="22">
        <v>-1.7538499999999999E-2</v>
      </c>
      <c r="AJ195" s="22">
        <v>185</v>
      </c>
      <c r="AK195" s="22">
        <v>0.83099400000000001</v>
      </c>
      <c r="AL195">
        <f t="shared" si="30"/>
        <v>17.538499999999999</v>
      </c>
      <c r="AM195">
        <f t="shared" si="31"/>
        <v>14.585086753999999</v>
      </c>
      <c r="AP195" s="9"/>
      <c r="AQ195" s="22">
        <v>0.94848600000000005</v>
      </c>
      <c r="AR195" s="22">
        <v>368.81700000000001</v>
      </c>
      <c r="AS195" s="22">
        <v>-1.75079E-2</v>
      </c>
      <c r="AT195" s="22">
        <v>185</v>
      </c>
      <c r="AU195" s="22">
        <v>0.94787600000000005</v>
      </c>
      <c r="AV195">
        <f t="shared" si="32"/>
        <v>17.507899999999999</v>
      </c>
      <c r="AW195">
        <f t="shared" si="33"/>
        <v>16.605998039399999</v>
      </c>
      <c r="AX195" s="9"/>
      <c r="AY195" s="22">
        <v>0.83160400000000001</v>
      </c>
      <c r="AZ195" s="22">
        <v>421.245</v>
      </c>
      <c r="BA195" s="22">
        <v>-1.7584200000000001E-2</v>
      </c>
      <c r="BB195" s="22">
        <v>185</v>
      </c>
      <c r="BC195" s="22">
        <v>0.83099400000000001</v>
      </c>
      <c r="BD195">
        <f t="shared" si="34"/>
        <v>17.584200000000003</v>
      </c>
      <c r="BE195">
        <f t="shared" si="35"/>
        <v>14.623091056800002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34.122799999999998</v>
      </c>
      <c r="I196" s="22">
        <v>-1.7340100000000001E-2</v>
      </c>
      <c r="J196" s="22">
        <v>186</v>
      </c>
      <c r="K196" s="22">
        <v>0.94238299999999997</v>
      </c>
      <c r="L196">
        <f t="shared" si="24"/>
        <v>17.3401</v>
      </c>
      <c r="M196">
        <f t="shared" si="25"/>
        <v>16.359534685100002</v>
      </c>
      <c r="N196" s="9"/>
      <c r="O196" s="22">
        <v>0.83663900000000002</v>
      </c>
      <c r="P196" s="22">
        <v>91.432699999999997</v>
      </c>
      <c r="Q196" s="22">
        <v>-1.74805E-2</v>
      </c>
      <c r="R196" s="22">
        <v>186</v>
      </c>
      <c r="S196" s="22">
        <v>0.83587599999999995</v>
      </c>
      <c r="T196">
        <f t="shared" si="26"/>
        <v>17.480499999999999</v>
      </c>
      <c r="U196">
        <f t="shared" si="27"/>
        <v>14.624868039499999</v>
      </c>
      <c r="X196" s="9"/>
      <c r="Y196" s="22">
        <v>0.94345100000000004</v>
      </c>
      <c r="Z196" s="22">
        <v>181.59100000000001</v>
      </c>
      <c r="AA196" s="22">
        <v>-1.74652E-2</v>
      </c>
      <c r="AB196" s="22">
        <v>186</v>
      </c>
      <c r="AC196" s="22">
        <v>0.94268799999999997</v>
      </c>
      <c r="AD196">
        <f t="shared" si="28"/>
        <v>17.465199999999999</v>
      </c>
      <c r="AE196">
        <f t="shared" si="29"/>
        <v>16.477560405199998</v>
      </c>
      <c r="AF196" s="9"/>
      <c r="AG196" s="22">
        <v>0.83663900000000002</v>
      </c>
      <c r="AH196" s="22">
        <v>295.904</v>
      </c>
      <c r="AI196" s="22">
        <v>-1.7538499999999999E-2</v>
      </c>
      <c r="AJ196" s="22">
        <v>186</v>
      </c>
      <c r="AK196" s="22">
        <v>0.83557099999999995</v>
      </c>
      <c r="AL196">
        <f t="shared" si="30"/>
        <v>17.538499999999999</v>
      </c>
      <c r="AM196">
        <f t="shared" si="31"/>
        <v>14.6733931015</v>
      </c>
      <c r="AP196" s="9"/>
      <c r="AQ196" s="22">
        <v>0.94345100000000004</v>
      </c>
      <c r="AR196" s="22">
        <v>368.91699999999997</v>
      </c>
      <c r="AS196" s="22">
        <v>-1.75079E-2</v>
      </c>
      <c r="AT196" s="22">
        <v>186</v>
      </c>
      <c r="AU196" s="22">
        <v>0.94268799999999997</v>
      </c>
      <c r="AV196">
        <f t="shared" si="32"/>
        <v>17.507899999999999</v>
      </c>
      <c r="AW196">
        <f t="shared" si="33"/>
        <v>16.517845762899999</v>
      </c>
      <c r="AX196" s="9"/>
      <c r="AY196" s="22">
        <v>0.83663900000000002</v>
      </c>
      <c r="AZ196" s="22">
        <v>421.346</v>
      </c>
      <c r="BA196" s="22">
        <v>-1.7578099999999999E-2</v>
      </c>
      <c r="BB196" s="22">
        <v>186</v>
      </c>
      <c r="BC196" s="22">
        <v>0.83587599999999995</v>
      </c>
      <c r="BD196">
        <f t="shared" si="34"/>
        <v>17.578099999999999</v>
      </c>
      <c r="BE196">
        <f t="shared" si="35"/>
        <v>14.7065240059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34.223500000000001</v>
      </c>
      <c r="I197" s="22">
        <v>-1.7346199999999999E-2</v>
      </c>
      <c r="J197" s="22">
        <v>187</v>
      </c>
      <c r="K197" s="22">
        <v>0.9375</v>
      </c>
      <c r="L197">
        <f t="shared" si="24"/>
        <v>17.3462</v>
      </c>
      <c r="M197">
        <f t="shared" si="25"/>
        <v>16.2779516192</v>
      </c>
      <c r="N197" s="9"/>
      <c r="O197" s="22">
        <v>0.84167499999999995</v>
      </c>
      <c r="P197" s="22">
        <v>91.5334</v>
      </c>
      <c r="Q197" s="22">
        <v>-1.7477400000000001E-2</v>
      </c>
      <c r="R197" s="22">
        <v>187</v>
      </c>
      <c r="S197" s="22">
        <v>0.84014900000000003</v>
      </c>
      <c r="T197">
        <f t="shared" si="26"/>
        <v>17.477399999999999</v>
      </c>
      <c r="U197">
        <f t="shared" si="27"/>
        <v>14.710290644999999</v>
      </c>
      <c r="X197" s="9"/>
      <c r="Y197" s="22">
        <v>0.93841600000000003</v>
      </c>
      <c r="Z197" s="22">
        <v>181.69200000000001</v>
      </c>
      <c r="AA197" s="22">
        <v>-1.7468299999999999E-2</v>
      </c>
      <c r="AB197" s="22">
        <v>187</v>
      </c>
      <c r="AC197" s="22">
        <v>0.9375</v>
      </c>
      <c r="AD197">
        <f t="shared" si="28"/>
        <v>17.468299999999999</v>
      </c>
      <c r="AE197">
        <f t="shared" si="29"/>
        <v>16.392532212799999</v>
      </c>
      <c r="AF197" s="9"/>
      <c r="AG197" s="22">
        <v>0.84167499999999995</v>
      </c>
      <c r="AH197" s="22">
        <v>296.005</v>
      </c>
      <c r="AI197" s="22">
        <v>-1.75354E-2</v>
      </c>
      <c r="AJ197" s="22">
        <v>187</v>
      </c>
      <c r="AK197" s="22">
        <v>0.84136999999999995</v>
      </c>
      <c r="AL197">
        <f t="shared" si="30"/>
        <v>17.535399999999999</v>
      </c>
      <c r="AM197">
        <f t="shared" si="31"/>
        <v>14.759107794999998</v>
      </c>
      <c r="AP197" s="9"/>
      <c r="AQ197" s="22">
        <v>0.93841600000000003</v>
      </c>
      <c r="AR197" s="22">
        <v>369.01799999999997</v>
      </c>
      <c r="AS197" s="22">
        <v>-1.7513999999999998E-2</v>
      </c>
      <c r="AT197" s="22">
        <v>187</v>
      </c>
      <c r="AU197" s="22">
        <v>0.937195</v>
      </c>
      <c r="AV197">
        <f t="shared" si="32"/>
        <v>17.513999999999999</v>
      </c>
      <c r="AW197">
        <f t="shared" si="33"/>
        <v>16.435417823999998</v>
      </c>
      <c r="AX197" s="9"/>
      <c r="AY197" s="22">
        <v>0.84167499999999995</v>
      </c>
      <c r="AZ197" s="22">
        <v>421.447</v>
      </c>
      <c r="BA197" s="22">
        <v>-1.7578099999999999E-2</v>
      </c>
      <c r="BB197" s="22">
        <v>187</v>
      </c>
      <c r="BC197" s="22">
        <v>0.84014900000000003</v>
      </c>
      <c r="BD197">
        <f t="shared" si="34"/>
        <v>17.578099999999999</v>
      </c>
      <c r="BE197">
        <f t="shared" si="35"/>
        <v>14.795047317499998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34.324300000000001</v>
      </c>
      <c r="I198" s="22">
        <v>-1.7355300000000001E-2</v>
      </c>
      <c r="J198" s="22">
        <v>188</v>
      </c>
      <c r="K198" s="22">
        <v>0.93200700000000003</v>
      </c>
      <c r="L198">
        <f t="shared" si="24"/>
        <v>17.3553</v>
      </c>
      <c r="M198">
        <f t="shared" si="25"/>
        <v>16.199089913999998</v>
      </c>
      <c r="N198" s="9"/>
      <c r="O198" s="22">
        <v>0.84670999999999996</v>
      </c>
      <c r="P198" s="22">
        <v>91.634100000000004</v>
      </c>
      <c r="Q198" s="22">
        <v>-1.7474400000000001E-2</v>
      </c>
      <c r="R198" s="22">
        <v>188</v>
      </c>
      <c r="S198" s="22">
        <v>0.84533700000000001</v>
      </c>
      <c r="T198">
        <f t="shared" si="26"/>
        <v>17.474400000000003</v>
      </c>
      <c r="U198">
        <f t="shared" si="27"/>
        <v>14.795749224000001</v>
      </c>
      <c r="X198" s="9"/>
      <c r="Y198" s="22">
        <v>0.93337999999999999</v>
      </c>
      <c r="Z198" s="22">
        <v>181.79300000000001</v>
      </c>
      <c r="AA198" s="22">
        <v>-1.7468299999999999E-2</v>
      </c>
      <c r="AB198" s="22">
        <v>188</v>
      </c>
      <c r="AC198" s="22">
        <v>0.93292200000000003</v>
      </c>
      <c r="AD198">
        <f t="shared" si="28"/>
        <v>17.468299999999999</v>
      </c>
      <c r="AE198">
        <f t="shared" si="29"/>
        <v>16.304561853999999</v>
      </c>
      <c r="AF198" s="9"/>
      <c r="AG198" s="22">
        <v>0.84670999999999996</v>
      </c>
      <c r="AH198" s="22">
        <v>296.10599999999999</v>
      </c>
      <c r="AI198" s="22">
        <v>-1.7529300000000001E-2</v>
      </c>
      <c r="AJ198" s="22">
        <v>188</v>
      </c>
      <c r="AK198" s="22">
        <v>0.845642</v>
      </c>
      <c r="AL198">
        <f t="shared" si="30"/>
        <v>17.529300000000003</v>
      </c>
      <c r="AM198">
        <f t="shared" si="31"/>
        <v>14.842233603000002</v>
      </c>
      <c r="AP198" s="9"/>
      <c r="AQ198" s="22">
        <v>0.93337999999999999</v>
      </c>
      <c r="AR198" s="22">
        <v>369.11900000000003</v>
      </c>
      <c r="AS198" s="22">
        <v>-1.75201E-2</v>
      </c>
      <c r="AT198" s="22">
        <v>188</v>
      </c>
      <c r="AU198" s="22">
        <v>0.93261700000000003</v>
      </c>
      <c r="AV198">
        <f t="shared" si="32"/>
        <v>17.520099999999999</v>
      </c>
      <c r="AW198">
        <f t="shared" si="33"/>
        <v>16.352910938000001</v>
      </c>
      <c r="AX198" s="9"/>
      <c r="AY198" s="22">
        <v>0.84670999999999996</v>
      </c>
      <c r="AZ198" s="22">
        <v>421.548</v>
      </c>
      <c r="BA198" s="22">
        <v>-1.7569000000000001E-2</v>
      </c>
      <c r="BB198" s="22">
        <v>188</v>
      </c>
      <c r="BC198" s="22">
        <v>0.846252</v>
      </c>
      <c r="BD198">
        <f t="shared" si="34"/>
        <v>17.569000000000003</v>
      </c>
      <c r="BE198">
        <f t="shared" si="35"/>
        <v>14.875847990000002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34.424999999999997</v>
      </c>
      <c r="I199" s="22">
        <v>-1.7355300000000001E-2</v>
      </c>
      <c r="J199" s="22">
        <v>189</v>
      </c>
      <c r="K199" s="22">
        <v>0.92742899999999995</v>
      </c>
      <c r="L199">
        <f t="shared" si="24"/>
        <v>17.3553</v>
      </c>
      <c r="M199">
        <f t="shared" si="25"/>
        <v>16.111705978499998</v>
      </c>
      <c r="N199" s="9"/>
      <c r="O199" s="22">
        <v>0.851746</v>
      </c>
      <c r="P199" s="22">
        <v>91.734800000000007</v>
      </c>
      <c r="Q199" s="22">
        <v>-1.7468299999999999E-2</v>
      </c>
      <c r="R199" s="22">
        <v>189</v>
      </c>
      <c r="S199" s="22">
        <v>0.85113499999999997</v>
      </c>
      <c r="T199">
        <f t="shared" si="26"/>
        <v>17.468299999999999</v>
      </c>
      <c r="U199">
        <f t="shared" si="27"/>
        <v>14.8785546518</v>
      </c>
      <c r="X199" s="9"/>
      <c r="Y199" s="22">
        <v>0.92834499999999998</v>
      </c>
      <c r="Z199" s="22">
        <v>181.893</v>
      </c>
      <c r="AA199" s="22">
        <v>-1.7474400000000001E-2</v>
      </c>
      <c r="AB199" s="22">
        <v>189</v>
      </c>
      <c r="AC199" s="22">
        <v>0.92742899999999995</v>
      </c>
      <c r="AD199">
        <f t="shared" si="28"/>
        <v>17.474400000000003</v>
      </c>
      <c r="AE199">
        <f t="shared" si="29"/>
        <v>16.222271868000004</v>
      </c>
      <c r="AF199" s="9"/>
      <c r="AG199" s="22">
        <v>0.851746</v>
      </c>
      <c r="AH199" s="22">
        <v>296.20600000000002</v>
      </c>
      <c r="AI199" s="22">
        <v>-1.7526199999999999E-2</v>
      </c>
      <c r="AJ199" s="22">
        <v>189</v>
      </c>
      <c r="AK199" s="22">
        <v>0.85113499999999997</v>
      </c>
      <c r="AL199">
        <f t="shared" si="30"/>
        <v>17.526199999999999</v>
      </c>
      <c r="AM199">
        <f t="shared" si="31"/>
        <v>14.9278707452</v>
      </c>
      <c r="AP199" s="9"/>
      <c r="AQ199" s="22">
        <v>0.92834499999999998</v>
      </c>
      <c r="AR199" s="22">
        <v>369.21899999999999</v>
      </c>
      <c r="AS199" s="22">
        <v>-1.7523199999999999E-2</v>
      </c>
      <c r="AT199" s="22">
        <v>189</v>
      </c>
      <c r="AU199" s="22">
        <v>0.92712399999999995</v>
      </c>
      <c r="AV199">
        <f t="shared" si="32"/>
        <v>17.523199999999999</v>
      </c>
      <c r="AW199">
        <f t="shared" si="33"/>
        <v>16.267575103999999</v>
      </c>
      <c r="AX199" s="9"/>
      <c r="AY199" s="22">
        <v>0.851746</v>
      </c>
      <c r="AZ199" s="22">
        <v>421.64800000000002</v>
      </c>
      <c r="BA199" s="22">
        <v>-1.7572000000000001E-2</v>
      </c>
      <c r="BB199" s="22">
        <v>189</v>
      </c>
      <c r="BC199" s="22">
        <v>0.85052499999999998</v>
      </c>
      <c r="BD199">
        <f t="shared" si="34"/>
        <v>17.571999999999999</v>
      </c>
      <c r="BE199">
        <f t="shared" si="35"/>
        <v>14.966880712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34.525700000000001</v>
      </c>
      <c r="I200" s="22">
        <v>-1.7352300000000001E-2</v>
      </c>
      <c r="J200" s="22">
        <v>190</v>
      </c>
      <c r="K200" s="22">
        <v>0.92193599999999998</v>
      </c>
      <c r="L200">
        <f t="shared" si="24"/>
        <v>17.3523</v>
      </c>
      <c r="M200">
        <f t="shared" si="25"/>
        <v>16.0215347607</v>
      </c>
      <c r="N200" s="9"/>
      <c r="O200" s="22">
        <v>0.85678100000000001</v>
      </c>
      <c r="P200" s="22">
        <v>91.835599999999999</v>
      </c>
      <c r="Q200" s="22">
        <v>-1.74652E-2</v>
      </c>
      <c r="R200" s="22">
        <v>190</v>
      </c>
      <c r="S200" s="22">
        <v>0.85601799999999995</v>
      </c>
      <c r="T200">
        <f t="shared" si="26"/>
        <v>17.465199999999999</v>
      </c>
      <c r="U200">
        <f t="shared" si="27"/>
        <v>14.963851521200001</v>
      </c>
      <c r="X200" s="9"/>
      <c r="Y200" s="22">
        <v>0.92330900000000005</v>
      </c>
      <c r="Z200" s="22">
        <v>181.994</v>
      </c>
      <c r="AA200" s="22">
        <v>-1.74805E-2</v>
      </c>
      <c r="AB200" s="22">
        <v>190</v>
      </c>
      <c r="AC200" s="22">
        <v>0.92224099999999998</v>
      </c>
      <c r="AD200">
        <f t="shared" si="28"/>
        <v>17.480499999999999</v>
      </c>
      <c r="AE200">
        <f t="shared" si="29"/>
        <v>16.1399029745</v>
      </c>
      <c r="AF200" s="9"/>
      <c r="AG200" s="22">
        <v>0.85678100000000001</v>
      </c>
      <c r="AH200" s="22">
        <v>296.30700000000002</v>
      </c>
      <c r="AI200" s="22">
        <v>-1.7523199999999999E-2</v>
      </c>
      <c r="AJ200" s="22">
        <v>190</v>
      </c>
      <c r="AK200" s="22">
        <v>0.85601799999999995</v>
      </c>
      <c r="AL200">
        <f t="shared" si="30"/>
        <v>17.523199999999999</v>
      </c>
      <c r="AM200">
        <f t="shared" si="31"/>
        <v>15.0135448192</v>
      </c>
      <c r="AP200" s="9"/>
      <c r="AQ200" s="22">
        <v>0.92330900000000005</v>
      </c>
      <c r="AR200" s="22">
        <v>369.32</v>
      </c>
      <c r="AS200" s="22">
        <v>-1.7526199999999999E-2</v>
      </c>
      <c r="AT200" s="22">
        <v>190</v>
      </c>
      <c r="AU200" s="22">
        <v>0.92224099999999998</v>
      </c>
      <c r="AV200">
        <f t="shared" si="32"/>
        <v>17.526199999999999</v>
      </c>
      <c r="AW200">
        <f t="shared" si="33"/>
        <v>16.182098195800002</v>
      </c>
      <c r="AX200" s="9"/>
      <c r="AY200" s="22">
        <v>0.85678100000000001</v>
      </c>
      <c r="AZ200" s="22">
        <v>421.74900000000002</v>
      </c>
      <c r="BA200" s="22">
        <v>-1.7565899999999999E-2</v>
      </c>
      <c r="BB200" s="22">
        <v>190</v>
      </c>
      <c r="BC200" s="22">
        <v>0.85601799999999995</v>
      </c>
      <c r="BD200">
        <f t="shared" si="34"/>
        <v>17.565899999999999</v>
      </c>
      <c r="BE200">
        <f t="shared" si="35"/>
        <v>15.0501293679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34.626399999999997</v>
      </c>
      <c r="I201" s="22">
        <v>-1.7361499999999998E-2</v>
      </c>
      <c r="J201" s="22">
        <v>191</v>
      </c>
      <c r="K201" s="22">
        <v>0.91705300000000001</v>
      </c>
      <c r="L201">
        <f t="shared" si="24"/>
        <v>17.361499999999999</v>
      </c>
      <c r="M201">
        <f t="shared" si="25"/>
        <v>15.942614051</v>
      </c>
      <c r="N201" s="9"/>
      <c r="O201" s="22">
        <v>0.86181600000000003</v>
      </c>
      <c r="P201" s="22">
        <v>91.936300000000003</v>
      </c>
      <c r="Q201" s="22">
        <v>-1.7462200000000001E-2</v>
      </c>
      <c r="R201" s="22">
        <v>191</v>
      </c>
      <c r="S201" s="22">
        <v>0.86059600000000003</v>
      </c>
      <c r="T201">
        <f t="shared" si="26"/>
        <v>17.462199999999999</v>
      </c>
      <c r="U201">
        <f t="shared" si="27"/>
        <v>15.0492033552</v>
      </c>
      <c r="X201" s="9"/>
      <c r="Y201" s="22">
        <v>0.91827400000000003</v>
      </c>
      <c r="Z201" s="22">
        <v>182.095</v>
      </c>
      <c r="AA201" s="22">
        <v>-1.7486600000000001E-2</v>
      </c>
      <c r="AB201" s="22">
        <v>191</v>
      </c>
      <c r="AC201" s="22">
        <v>0.91735800000000001</v>
      </c>
      <c r="AD201">
        <f t="shared" si="28"/>
        <v>17.486600000000003</v>
      </c>
      <c r="AE201">
        <f t="shared" si="29"/>
        <v>16.057490128400005</v>
      </c>
      <c r="AF201" s="9"/>
      <c r="AG201" s="22">
        <v>0.86181600000000003</v>
      </c>
      <c r="AH201" s="22">
        <v>296.40800000000002</v>
      </c>
      <c r="AI201" s="22">
        <v>-1.75201E-2</v>
      </c>
      <c r="AJ201" s="22">
        <v>191</v>
      </c>
      <c r="AK201" s="22">
        <v>0.86090100000000003</v>
      </c>
      <c r="AL201">
        <f t="shared" si="30"/>
        <v>17.520099999999999</v>
      </c>
      <c r="AM201">
        <f t="shared" si="31"/>
        <v>15.099102501599999</v>
      </c>
      <c r="AP201" s="9"/>
      <c r="AQ201" s="22">
        <v>0.91827400000000003</v>
      </c>
      <c r="AR201" s="22">
        <v>369.42099999999999</v>
      </c>
      <c r="AS201" s="22">
        <v>-1.7532300000000001E-2</v>
      </c>
      <c r="AT201" s="22">
        <v>191</v>
      </c>
      <c r="AU201" s="22">
        <v>0.91766400000000004</v>
      </c>
      <c r="AV201">
        <f t="shared" si="32"/>
        <v>17.532299999999999</v>
      </c>
      <c r="AW201">
        <f t="shared" si="33"/>
        <v>16.099455250199998</v>
      </c>
      <c r="AX201" s="9"/>
      <c r="AY201" s="22">
        <v>0.86181600000000003</v>
      </c>
      <c r="AZ201" s="22">
        <v>421.85</v>
      </c>
      <c r="BA201" s="22">
        <v>-1.75598E-2</v>
      </c>
      <c r="BB201" s="22">
        <v>191</v>
      </c>
      <c r="BC201" s="22">
        <v>0.86090100000000003</v>
      </c>
      <c r="BD201">
        <f t="shared" si="34"/>
        <v>17.559799999999999</v>
      </c>
      <c r="BE201">
        <f t="shared" si="35"/>
        <v>15.1333165968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34.7271</v>
      </c>
      <c r="I202" s="22">
        <v>-1.73676E-2</v>
      </c>
      <c r="J202" s="22">
        <v>192</v>
      </c>
      <c r="K202" s="22">
        <v>0.91217000000000004</v>
      </c>
      <c r="L202">
        <f t="shared" si="24"/>
        <v>17.367599999999999</v>
      </c>
      <c r="M202">
        <f t="shared" si="25"/>
        <v>15.8607696564</v>
      </c>
      <c r="N202" s="9"/>
      <c r="O202" s="22">
        <v>0.86685199999999996</v>
      </c>
      <c r="P202" s="22">
        <v>92.037000000000006</v>
      </c>
      <c r="Q202" s="22">
        <v>-1.7456099999999999E-2</v>
      </c>
      <c r="R202" s="22">
        <v>192</v>
      </c>
      <c r="S202" s="22">
        <v>0.866089</v>
      </c>
      <c r="T202">
        <f t="shared" si="26"/>
        <v>17.456099999999999</v>
      </c>
      <c r="U202">
        <f t="shared" si="27"/>
        <v>15.131855197199998</v>
      </c>
      <c r="X202" s="9"/>
      <c r="Y202" s="22">
        <v>0.91323900000000002</v>
      </c>
      <c r="Z202" s="22">
        <v>182.19499999999999</v>
      </c>
      <c r="AA202" s="22">
        <v>-1.7486600000000001E-2</v>
      </c>
      <c r="AB202" s="22">
        <v>192</v>
      </c>
      <c r="AC202" s="22">
        <v>0.91278099999999995</v>
      </c>
      <c r="AD202">
        <f t="shared" si="28"/>
        <v>17.486600000000003</v>
      </c>
      <c r="AE202">
        <f t="shared" si="29"/>
        <v>15.969445097400003</v>
      </c>
      <c r="AF202" s="9"/>
      <c r="AG202" s="22">
        <v>0.86685199999999996</v>
      </c>
      <c r="AH202" s="22">
        <v>296.50799999999998</v>
      </c>
      <c r="AI202" s="22">
        <v>-1.7510999999999999E-2</v>
      </c>
      <c r="AJ202" s="22">
        <v>192</v>
      </c>
      <c r="AK202" s="22">
        <v>0.866089</v>
      </c>
      <c r="AL202">
        <f t="shared" si="30"/>
        <v>17.510999999999999</v>
      </c>
      <c r="AM202">
        <f t="shared" si="31"/>
        <v>15.179445371999998</v>
      </c>
      <c r="AP202" s="9"/>
      <c r="AQ202" s="22">
        <v>0.91323900000000002</v>
      </c>
      <c r="AR202" s="22">
        <v>369.52199999999999</v>
      </c>
      <c r="AS202" s="22">
        <v>-1.7538499999999999E-2</v>
      </c>
      <c r="AT202" s="22">
        <v>192</v>
      </c>
      <c r="AU202" s="22">
        <v>0.91278099999999995</v>
      </c>
      <c r="AV202">
        <f t="shared" si="32"/>
        <v>17.538499999999999</v>
      </c>
      <c r="AW202">
        <f t="shared" si="33"/>
        <v>16.016842201500001</v>
      </c>
      <c r="AX202" s="9"/>
      <c r="AY202" s="22">
        <v>0.86685199999999996</v>
      </c>
      <c r="AZ202" s="22">
        <v>421.95</v>
      </c>
      <c r="BA202" s="22">
        <v>-1.7556800000000001E-2</v>
      </c>
      <c r="BB202" s="22">
        <v>192</v>
      </c>
      <c r="BC202" s="22">
        <v>0.866089</v>
      </c>
      <c r="BD202">
        <f t="shared" si="34"/>
        <v>17.556800000000003</v>
      </c>
      <c r="BE202">
        <f t="shared" si="35"/>
        <v>15.219147193600001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34.827800000000003</v>
      </c>
      <c r="I203" s="22">
        <v>-1.73706E-2</v>
      </c>
      <c r="J203" s="22">
        <v>193</v>
      </c>
      <c r="K203" s="22">
        <v>0.90759299999999998</v>
      </c>
      <c r="L203">
        <f t="shared" si="24"/>
        <v>17.3706</v>
      </c>
      <c r="M203">
        <f t="shared" si="25"/>
        <v>15.776031031799999</v>
      </c>
      <c r="N203" s="9"/>
      <c r="O203" s="22">
        <v>0.87188699999999997</v>
      </c>
      <c r="P203" s="22">
        <v>92.137699999999995</v>
      </c>
      <c r="Q203" s="22">
        <v>-1.7453E-2</v>
      </c>
      <c r="R203" s="22">
        <v>193</v>
      </c>
      <c r="S203" s="22">
        <v>0.87066699999999997</v>
      </c>
      <c r="T203">
        <f t="shared" si="26"/>
        <v>17.452999999999999</v>
      </c>
      <c r="U203">
        <f t="shared" si="27"/>
        <v>15.217043810999998</v>
      </c>
      <c r="X203" s="9"/>
      <c r="Y203" s="22">
        <v>0.90820299999999998</v>
      </c>
      <c r="Z203" s="22">
        <v>182.29599999999999</v>
      </c>
      <c r="AA203" s="22">
        <v>-1.7495699999999999E-2</v>
      </c>
      <c r="AB203" s="22">
        <v>193</v>
      </c>
      <c r="AC203" s="22">
        <v>0.90759299999999998</v>
      </c>
      <c r="AD203">
        <f t="shared" si="28"/>
        <v>17.495699999999999</v>
      </c>
      <c r="AE203">
        <f t="shared" si="29"/>
        <v>15.889647227099999</v>
      </c>
      <c r="AF203" s="9"/>
      <c r="AG203" s="22">
        <v>0.87188699999999997</v>
      </c>
      <c r="AH203" s="22">
        <v>296.60899999999998</v>
      </c>
      <c r="AI203" s="22">
        <v>-1.75079E-2</v>
      </c>
      <c r="AJ203" s="22">
        <v>193</v>
      </c>
      <c r="AK203" s="22">
        <v>0.87066699999999997</v>
      </c>
      <c r="AL203">
        <f t="shared" si="30"/>
        <v>17.507899999999999</v>
      </c>
      <c r="AM203">
        <f t="shared" si="31"/>
        <v>15.264910407299999</v>
      </c>
      <c r="AP203" s="9"/>
      <c r="AQ203" s="22">
        <v>0.90820299999999998</v>
      </c>
      <c r="AR203" s="22">
        <v>369.62200000000001</v>
      </c>
      <c r="AS203" s="22">
        <v>-1.7541500000000002E-2</v>
      </c>
      <c r="AT203" s="22">
        <v>193</v>
      </c>
      <c r="AU203" s="22">
        <v>0.90759299999999998</v>
      </c>
      <c r="AV203">
        <f t="shared" si="32"/>
        <v>17.541500000000003</v>
      </c>
      <c r="AW203">
        <f t="shared" si="33"/>
        <v>15.931242924500003</v>
      </c>
      <c r="AX203" s="9"/>
      <c r="AY203" s="22">
        <v>0.87188699999999997</v>
      </c>
      <c r="AZ203" s="22">
        <v>422.05099999999999</v>
      </c>
      <c r="BA203" s="22">
        <v>-1.75476E-2</v>
      </c>
      <c r="BB203" s="22">
        <v>193</v>
      </c>
      <c r="BC203" s="22">
        <v>0.87036100000000005</v>
      </c>
      <c r="BD203">
        <f t="shared" si="34"/>
        <v>17.547599999999999</v>
      </c>
      <c r="BE203">
        <f t="shared" si="35"/>
        <v>15.299524321199998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34.9285</v>
      </c>
      <c r="I204" s="22">
        <v>-1.7373699999999999E-2</v>
      </c>
      <c r="J204" s="22">
        <v>194</v>
      </c>
      <c r="K204" s="22">
        <v>0.90210000000000001</v>
      </c>
      <c r="L204">
        <f t="shared" ref="L204:L267" si="36">-I204/$F$2*1000</f>
        <v>17.373699999999999</v>
      </c>
      <c r="M204">
        <f t="shared" ref="M204:M267" si="37">L204*G204</f>
        <v>15.691369881599998</v>
      </c>
      <c r="N204" s="9"/>
      <c r="O204" s="22">
        <v>0.87692300000000001</v>
      </c>
      <c r="P204" s="22">
        <v>92.238399999999999</v>
      </c>
      <c r="Q204" s="22">
        <v>-1.745E-2</v>
      </c>
      <c r="R204" s="22">
        <v>194</v>
      </c>
      <c r="S204" s="22">
        <v>0.87646500000000005</v>
      </c>
      <c r="T204">
        <f t="shared" ref="T204:T267" si="38">-Q204/$F$2*1000</f>
        <v>17.45</v>
      </c>
      <c r="U204">
        <f t="shared" ref="U204:U267" si="39">T204*O204</f>
        <v>15.30230635</v>
      </c>
      <c r="X204" s="9"/>
      <c r="Y204" s="22">
        <v>0.90316799999999997</v>
      </c>
      <c r="Z204" s="22">
        <v>182.39699999999999</v>
      </c>
      <c r="AA204" s="22">
        <v>-1.7501800000000001E-2</v>
      </c>
      <c r="AB204" s="22">
        <v>194</v>
      </c>
      <c r="AC204" s="22">
        <v>0.90210000000000001</v>
      </c>
      <c r="AD204">
        <f t="shared" ref="AD204:AD267" si="40">-AA204/$F$2*1000</f>
        <v>17.501800000000003</v>
      </c>
      <c r="AE204">
        <f t="shared" ref="AE204:AE267" si="41">AD204*Y204</f>
        <v>15.807065702400003</v>
      </c>
      <c r="AF204" s="9"/>
      <c r="AG204" s="22">
        <v>0.87692300000000001</v>
      </c>
      <c r="AH204" s="22">
        <v>296.70999999999998</v>
      </c>
      <c r="AI204" s="22">
        <v>-1.75079E-2</v>
      </c>
      <c r="AJ204" s="22">
        <v>194</v>
      </c>
      <c r="AK204" s="22">
        <v>0.87585400000000002</v>
      </c>
      <c r="AL204">
        <f t="shared" ref="AL204:AL267" si="42">-AI204/$F$2*1000</f>
        <v>17.507899999999999</v>
      </c>
      <c r="AM204">
        <f t="shared" ref="AM204:AM267" si="43">AL204*AG204</f>
        <v>15.3530801917</v>
      </c>
      <c r="AP204" s="9"/>
      <c r="AQ204" s="22">
        <v>0.90316799999999997</v>
      </c>
      <c r="AR204" s="22">
        <v>369.72300000000001</v>
      </c>
      <c r="AS204" s="22">
        <v>-1.75446E-2</v>
      </c>
      <c r="AT204" s="22">
        <v>194</v>
      </c>
      <c r="AU204" s="22">
        <v>0.90271000000000001</v>
      </c>
      <c r="AV204">
        <f t="shared" ref="AV204:AV267" si="44">-AS204/$F$2*1000</f>
        <v>17.544599999999999</v>
      </c>
      <c r="AW204">
        <f t="shared" ref="AW204:AW267" si="45">AV204*AQ204</f>
        <v>15.845721292799999</v>
      </c>
      <c r="AX204" s="9"/>
      <c r="AY204" s="22">
        <v>0.87692300000000001</v>
      </c>
      <c r="AZ204" s="22">
        <v>422.15199999999999</v>
      </c>
      <c r="BA204" s="22">
        <v>-1.75476E-2</v>
      </c>
      <c r="BB204" s="22">
        <v>194</v>
      </c>
      <c r="BC204" s="22">
        <v>0.87524400000000002</v>
      </c>
      <c r="BD204">
        <f t="shared" ref="BD204:BD267" si="46">-BA204/$F$2*1000</f>
        <v>17.547599999999999</v>
      </c>
      <c r="BE204">
        <f t="shared" ref="BE204:BE267" si="47">BD204*AY204</f>
        <v>15.387894034799999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35.029200000000003</v>
      </c>
      <c r="I205" s="22">
        <v>-1.7379800000000001E-2</v>
      </c>
      <c r="J205" s="22">
        <v>195</v>
      </c>
      <c r="K205" s="22">
        <v>0.89721700000000004</v>
      </c>
      <c r="L205">
        <f t="shared" si="36"/>
        <v>17.379799999999999</v>
      </c>
      <c r="M205">
        <f t="shared" si="37"/>
        <v>15.609354533599999</v>
      </c>
      <c r="N205" s="9"/>
      <c r="O205" s="22">
        <v>0.88195800000000002</v>
      </c>
      <c r="P205" s="22">
        <v>92.339100000000002</v>
      </c>
      <c r="Q205" s="22">
        <v>-1.7443799999999999E-2</v>
      </c>
      <c r="R205" s="22">
        <v>195</v>
      </c>
      <c r="S205" s="22">
        <v>0.88073699999999999</v>
      </c>
      <c r="T205">
        <f t="shared" si="38"/>
        <v>17.4438</v>
      </c>
      <c r="U205">
        <f t="shared" si="39"/>
        <v>15.3846989604</v>
      </c>
      <c r="X205" s="9"/>
      <c r="Y205" s="22">
        <v>0.89813200000000004</v>
      </c>
      <c r="Z205" s="22">
        <v>182.49799999999999</v>
      </c>
      <c r="AA205" s="22">
        <v>-1.7501800000000001E-2</v>
      </c>
      <c r="AB205" s="22">
        <v>195</v>
      </c>
      <c r="AC205" s="22">
        <v>0.89691200000000004</v>
      </c>
      <c r="AD205">
        <f t="shared" si="40"/>
        <v>17.501800000000003</v>
      </c>
      <c r="AE205">
        <f t="shared" si="41"/>
        <v>15.718926637600003</v>
      </c>
      <c r="AF205" s="9"/>
      <c r="AG205" s="22">
        <v>0.88195800000000002</v>
      </c>
      <c r="AH205" s="22">
        <v>296.81099999999998</v>
      </c>
      <c r="AI205" s="22">
        <v>-1.75049E-2</v>
      </c>
      <c r="AJ205" s="22">
        <v>195</v>
      </c>
      <c r="AK205" s="22">
        <v>0.88073699999999999</v>
      </c>
      <c r="AL205">
        <f t="shared" si="42"/>
        <v>17.504899999999999</v>
      </c>
      <c r="AM205">
        <f t="shared" si="43"/>
        <v>15.4385865942</v>
      </c>
      <c r="AP205" s="9"/>
      <c r="AQ205" s="22">
        <v>0.89813200000000004</v>
      </c>
      <c r="AR205" s="22">
        <v>369.82400000000001</v>
      </c>
      <c r="AS205" s="22">
        <v>-1.7550699999999999E-2</v>
      </c>
      <c r="AT205" s="22">
        <v>195</v>
      </c>
      <c r="AU205" s="22">
        <v>0.89752200000000004</v>
      </c>
      <c r="AV205">
        <f t="shared" si="44"/>
        <v>17.550699999999999</v>
      </c>
      <c r="AW205">
        <f t="shared" si="45"/>
        <v>15.7628452924</v>
      </c>
      <c r="AX205" s="9"/>
      <c r="AY205" s="22">
        <v>0.88195800000000002</v>
      </c>
      <c r="AZ205" s="22">
        <v>422.25299999999999</v>
      </c>
      <c r="BA205" s="22">
        <v>-1.75446E-2</v>
      </c>
      <c r="BB205" s="22">
        <v>195</v>
      </c>
      <c r="BC205" s="22">
        <v>0.88104199999999999</v>
      </c>
      <c r="BD205">
        <f t="shared" si="46"/>
        <v>17.544599999999999</v>
      </c>
      <c r="BE205">
        <f t="shared" si="47"/>
        <v>15.4736003268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35.129899999999999</v>
      </c>
      <c r="I206" s="22">
        <v>-1.73828E-2</v>
      </c>
      <c r="J206" s="22">
        <v>196</v>
      </c>
      <c r="K206" s="22">
        <v>0.89202899999999996</v>
      </c>
      <c r="L206">
        <f t="shared" si="36"/>
        <v>17.3828</v>
      </c>
      <c r="M206">
        <f t="shared" si="37"/>
        <v>15.524526531599999</v>
      </c>
      <c r="N206" s="9"/>
      <c r="O206" s="22">
        <v>0.88699300000000003</v>
      </c>
      <c r="P206" s="22">
        <v>92.439800000000005</v>
      </c>
      <c r="Q206" s="22">
        <v>-1.7440799999999999E-2</v>
      </c>
      <c r="R206" s="22">
        <v>196</v>
      </c>
      <c r="S206" s="22">
        <v>0.88592499999999996</v>
      </c>
      <c r="T206">
        <f t="shared" si="38"/>
        <v>17.440799999999999</v>
      </c>
      <c r="U206">
        <f t="shared" si="39"/>
        <v>15.469867514400001</v>
      </c>
      <c r="X206" s="9"/>
      <c r="Y206" s="22">
        <v>0.89309700000000003</v>
      </c>
      <c r="Z206" s="22">
        <v>182.59800000000001</v>
      </c>
      <c r="AA206" s="22">
        <v>-1.75079E-2</v>
      </c>
      <c r="AB206" s="22">
        <v>196</v>
      </c>
      <c r="AC206" s="22">
        <v>0.89263899999999996</v>
      </c>
      <c r="AD206">
        <f t="shared" si="40"/>
        <v>17.507899999999999</v>
      </c>
      <c r="AE206">
        <f t="shared" si="41"/>
        <v>15.636252966300001</v>
      </c>
      <c r="AF206" s="9"/>
      <c r="AG206" s="22">
        <v>0.88699300000000003</v>
      </c>
      <c r="AH206" s="22">
        <v>296.911</v>
      </c>
      <c r="AI206" s="22">
        <v>-1.7498799999999998E-2</v>
      </c>
      <c r="AJ206" s="22">
        <v>196</v>
      </c>
      <c r="AK206" s="22">
        <v>0.88622999999999996</v>
      </c>
      <c r="AL206">
        <f t="shared" si="42"/>
        <v>17.498799999999999</v>
      </c>
      <c r="AM206">
        <f t="shared" si="43"/>
        <v>15.521313108399999</v>
      </c>
      <c r="AP206" s="9"/>
      <c r="AQ206" s="22">
        <v>0.89309700000000003</v>
      </c>
      <c r="AR206" s="22">
        <v>369.92399999999998</v>
      </c>
      <c r="AS206" s="22">
        <v>-1.7553699999999998E-2</v>
      </c>
      <c r="AT206" s="22">
        <v>196</v>
      </c>
      <c r="AU206" s="22">
        <v>0.89202899999999996</v>
      </c>
      <c r="AV206">
        <f t="shared" si="44"/>
        <v>17.553699999999999</v>
      </c>
      <c r="AW206">
        <f t="shared" si="45"/>
        <v>15.6771568089</v>
      </c>
      <c r="AX206" s="9"/>
      <c r="AY206" s="22">
        <v>0.88699300000000003</v>
      </c>
      <c r="AZ206" s="22">
        <v>422.35300000000001</v>
      </c>
      <c r="BA206" s="22">
        <v>-1.7538499999999999E-2</v>
      </c>
      <c r="BB206" s="22">
        <v>196</v>
      </c>
      <c r="BC206" s="22">
        <v>0.88592499999999996</v>
      </c>
      <c r="BD206">
        <f t="shared" si="46"/>
        <v>17.538499999999999</v>
      </c>
      <c r="BE206">
        <f t="shared" si="47"/>
        <v>15.5565267305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35.230600000000003</v>
      </c>
      <c r="I207" s="22">
        <v>-1.7388899999999999E-2</v>
      </c>
      <c r="J207" s="22">
        <v>197</v>
      </c>
      <c r="K207" s="22">
        <v>0.88684099999999999</v>
      </c>
      <c r="L207">
        <f t="shared" si="36"/>
        <v>17.3889</v>
      </c>
      <c r="M207">
        <f t="shared" si="37"/>
        <v>15.4424213118</v>
      </c>
      <c r="N207" s="9"/>
      <c r="O207" s="22">
        <v>0.89202899999999996</v>
      </c>
      <c r="P207" s="22">
        <v>92.540499999999994</v>
      </c>
      <c r="Q207" s="22">
        <v>-1.7434700000000001E-2</v>
      </c>
      <c r="R207" s="22">
        <v>197</v>
      </c>
      <c r="S207" s="22">
        <v>0.89172399999999996</v>
      </c>
      <c r="T207">
        <f t="shared" si="38"/>
        <v>17.434699999999999</v>
      </c>
      <c r="U207">
        <f t="shared" si="39"/>
        <v>15.552258006299999</v>
      </c>
      <c r="X207" s="9"/>
      <c r="Y207" s="22">
        <v>0.88806200000000002</v>
      </c>
      <c r="Z207" s="22">
        <v>182.69900000000001</v>
      </c>
      <c r="AA207" s="22">
        <v>-1.7510999999999999E-2</v>
      </c>
      <c r="AB207" s="22">
        <v>197</v>
      </c>
      <c r="AC207" s="22">
        <v>0.88714599999999999</v>
      </c>
      <c r="AD207">
        <f t="shared" si="40"/>
        <v>17.510999999999999</v>
      </c>
      <c r="AE207">
        <f t="shared" si="41"/>
        <v>15.550853682</v>
      </c>
      <c r="AF207" s="9"/>
      <c r="AG207" s="22">
        <v>0.89202899999999996</v>
      </c>
      <c r="AH207" s="22">
        <v>297.012</v>
      </c>
      <c r="AI207" s="22">
        <v>-1.7495699999999999E-2</v>
      </c>
      <c r="AJ207" s="22">
        <v>197</v>
      </c>
      <c r="AK207" s="22">
        <v>0.89111300000000004</v>
      </c>
      <c r="AL207">
        <f t="shared" si="42"/>
        <v>17.495699999999999</v>
      </c>
      <c r="AM207">
        <f t="shared" si="43"/>
        <v>15.606671775299999</v>
      </c>
      <c r="AP207" s="9"/>
      <c r="AQ207" s="22">
        <v>0.88806200000000002</v>
      </c>
      <c r="AR207" s="22">
        <v>370.02499999999998</v>
      </c>
      <c r="AS207" s="22">
        <v>-1.75598E-2</v>
      </c>
      <c r="AT207" s="22">
        <v>197</v>
      </c>
      <c r="AU207" s="22">
        <v>0.88653599999999999</v>
      </c>
      <c r="AV207">
        <f t="shared" si="44"/>
        <v>17.559799999999999</v>
      </c>
      <c r="AW207">
        <f t="shared" si="45"/>
        <v>15.5941911076</v>
      </c>
      <c r="AX207" s="9"/>
      <c r="AY207" s="22">
        <v>0.89202899999999996</v>
      </c>
      <c r="AZ207" s="22">
        <v>422.45400000000001</v>
      </c>
      <c r="BA207" s="22">
        <v>-1.7532300000000001E-2</v>
      </c>
      <c r="BB207" s="22">
        <v>197</v>
      </c>
      <c r="BC207" s="22">
        <v>0.89141800000000004</v>
      </c>
      <c r="BD207">
        <f t="shared" si="46"/>
        <v>17.532299999999999</v>
      </c>
      <c r="BE207">
        <f t="shared" si="47"/>
        <v>15.639320036699999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35.331299999999999</v>
      </c>
      <c r="I208" s="22">
        <v>-1.7388899999999999E-2</v>
      </c>
      <c r="J208" s="22">
        <v>198</v>
      </c>
      <c r="K208" s="22">
        <v>0.88195800000000002</v>
      </c>
      <c r="L208">
        <f t="shared" si="36"/>
        <v>17.3889</v>
      </c>
      <c r="M208">
        <f t="shared" si="37"/>
        <v>15.354850811399999</v>
      </c>
      <c r="N208" s="9"/>
      <c r="O208" s="22">
        <v>0.89706399999999997</v>
      </c>
      <c r="P208" s="22">
        <v>92.641199999999998</v>
      </c>
      <c r="Q208" s="22">
        <v>-1.7431599999999998E-2</v>
      </c>
      <c r="R208" s="22">
        <v>198</v>
      </c>
      <c r="S208" s="22">
        <v>0.89630100000000001</v>
      </c>
      <c r="T208">
        <f t="shared" si="38"/>
        <v>17.4316</v>
      </c>
      <c r="U208">
        <f t="shared" si="39"/>
        <v>15.637260822399998</v>
      </c>
      <c r="X208" s="9"/>
      <c r="Y208" s="22">
        <v>0.88302599999999998</v>
      </c>
      <c r="Z208" s="22">
        <v>182.8</v>
      </c>
      <c r="AA208" s="22">
        <v>-1.7513999999999998E-2</v>
      </c>
      <c r="AB208" s="22">
        <v>198</v>
      </c>
      <c r="AC208" s="22">
        <v>0.88226300000000002</v>
      </c>
      <c r="AD208">
        <f t="shared" si="40"/>
        <v>17.513999999999999</v>
      </c>
      <c r="AE208">
        <f t="shared" si="41"/>
        <v>15.465317363999999</v>
      </c>
      <c r="AF208" s="9"/>
      <c r="AG208" s="22">
        <v>0.89706399999999997</v>
      </c>
      <c r="AH208" s="22">
        <v>297.113</v>
      </c>
      <c r="AI208" s="22">
        <v>-1.7486600000000001E-2</v>
      </c>
      <c r="AJ208" s="22">
        <v>198</v>
      </c>
      <c r="AK208" s="22">
        <v>0.89599600000000001</v>
      </c>
      <c r="AL208">
        <f t="shared" si="42"/>
        <v>17.486600000000003</v>
      </c>
      <c r="AM208">
        <f t="shared" si="43"/>
        <v>15.686599342400003</v>
      </c>
      <c r="AP208" s="9"/>
      <c r="AQ208" s="22">
        <v>0.88302599999999998</v>
      </c>
      <c r="AR208" s="22">
        <v>370.12599999999998</v>
      </c>
      <c r="AS208" s="22">
        <v>-1.75598E-2</v>
      </c>
      <c r="AT208" s="22">
        <v>198</v>
      </c>
      <c r="AU208" s="22">
        <v>0.88195800000000002</v>
      </c>
      <c r="AV208">
        <f t="shared" si="44"/>
        <v>17.559799999999999</v>
      </c>
      <c r="AW208">
        <f t="shared" si="45"/>
        <v>15.505759954799998</v>
      </c>
      <c r="AX208" s="9"/>
      <c r="AY208" s="22">
        <v>0.89706399999999997</v>
      </c>
      <c r="AZ208" s="22">
        <v>422.55500000000001</v>
      </c>
      <c r="BA208" s="22">
        <v>-1.7529300000000001E-2</v>
      </c>
      <c r="BB208" s="22">
        <v>198</v>
      </c>
      <c r="BC208" s="22">
        <v>0.89538600000000002</v>
      </c>
      <c r="BD208">
        <f t="shared" si="46"/>
        <v>17.529300000000003</v>
      </c>
      <c r="BE208">
        <f t="shared" si="47"/>
        <v>15.724903975200002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35.432000000000002</v>
      </c>
      <c r="I209" s="22">
        <v>-1.7395000000000001E-2</v>
      </c>
      <c r="J209" s="22">
        <v>199</v>
      </c>
      <c r="K209" s="22">
        <v>0.87738000000000005</v>
      </c>
      <c r="L209">
        <f t="shared" si="36"/>
        <v>17.395</v>
      </c>
      <c r="M209">
        <f t="shared" si="37"/>
        <v>15.272653445</v>
      </c>
      <c r="N209" s="9"/>
      <c r="O209" s="22">
        <v>0.90210000000000001</v>
      </c>
      <c r="P209" s="22">
        <v>92.741900000000001</v>
      </c>
      <c r="Q209" s="22">
        <v>-1.74255E-2</v>
      </c>
      <c r="R209" s="22">
        <v>199</v>
      </c>
      <c r="S209" s="22">
        <v>0.90179399999999998</v>
      </c>
      <c r="T209">
        <f t="shared" si="38"/>
        <v>17.4255</v>
      </c>
      <c r="U209">
        <f t="shared" si="39"/>
        <v>15.719543549999999</v>
      </c>
      <c r="X209" s="9"/>
      <c r="Y209" s="22">
        <v>0.87799099999999997</v>
      </c>
      <c r="Z209" s="22">
        <v>182.9</v>
      </c>
      <c r="AA209" s="22">
        <v>-1.7517100000000001E-2</v>
      </c>
      <c r="AB209" s="22">
        <v>199</v>
      </c>
      <c r="AC209" s="22">
        <v>0.87677000000000005</v>
      </c>
      <c r="AD209">
        <f t="shared" si="40"/>
        <v>17.517099999999999</v>
      </c>
      <c r="AE209">
        <f t="shared" si="41"/>
        <v>15.379856146099998</v>
      </c>
      <c r="AF209" s="9"/>
      <c r="AG209" s="22">
        <v>0.90210000000000001</v>
      </c>
      <c r="AH209" s="22">
        <v>297.21300000000002</v>
      </c>
      <c r="AI209" s="22">
        <v>-1.7483499999999999E-2</v>
      </c>
      <c r="AJ209" s="22">
        <v>199</v>
      </c>
      <c r="AK209" s="22">
        <v>0.90148899999999998</v>
      </c>
      <c r="AL209">
        <f t="shared" si="42"/>
        <v>17.483499999999999</v>
      </c>
      <c r="AM209">
        <f t="shared" si="43"/>
        <v>15.771865349999999</v>
      </c>
      <c r="AP209" s="9"/>
      <c r="AQ209" s="22">
        <v>0.87799099999999997</v>
      </c>
      <c r="AR209" s="22">
        <v>370.22699999999998</v>
      </c>
      <c r="AS209" s="22">
        <v>-1.7562899999999999E-2</v>
      </c>
      <c r="AT209" s="22">
        <v>199</v>
      </c>
      <c r="AU209" s="22">
        <v>0.87707500000000005</v>
      </c>
      <c r="AV209">
        <f t="shared" si="44"/>
        <v>17.562899999999999</v>
      </c>
      <c r="AW209">
        <f t="shared" si="45"/>
        <v>15.420068133899999</v>
      </c>
      <c r="AX209" s="9"/>
      <c r="AY209" s="22">
        <v>0.90210000000000001</v>
      </c>
      <c r="AZ209" s="22">
        <v>422.65499999999997</v>
      </c>
      <c r="BA209" s="22">
        <v>-1.7526199999999999E-2</v>
      </c>
      <c r="BB209" s="22">
        <v>199</v>
      </c>
      <c r="BC209" s="22">
        <v>0.90148899999999998</v>
      </c>
      <c r="BD209">
        <f t="shared" si="46"/>
        <v>17.526199999999999</v>
      </c>
      <c r="BE209">
        <f t="shared" si="47"/>
        <v>15.81038502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35.532699999999998</v>
      </c>
      <c r="I210" s="22">
        <v>-1.73981E-2</v>
      </c>
      <c r="J210" s="22">
        <v>200</v>
      </c>
      <c r="K210" s="22">
        <v>0.87158199999999997</v>
      </c>
      <c r="L210">
        <f t="shared" si="36"/>
        <v>17.398099999999999</v>
      </c>
      <c r="M210">
        <f t="shared" si="37"/>
        <v>15.1877583855</v>
      </c>
      <c r="N210" s="9"/>
      <c r="O210" s="22">
        <v>0.90713500000000002</v>
      </c>
      <c r="P210" s="22">
        <v>92.842600000000004</v>
      </c>
      <c r="Q210" s="22">
        <v>-1.74255E-2</v>
      </c>
      <c r="R210" s="22">
        <v>200</v>
      </c>
      <c r="S210" s="22">
        <v>0.90606699999999996</v>
      </c>
      <c r="T210">
        <f t="shared" si="38"/>
        <v>17.4255</v>
      </c>
      <c r="U210">
        <f t="shared" si="39"/>
        <v>15.8072809425</v>
      </c>
      <c r="X210" s="9"/>
      <c r="Y210" s="22">
        <v>0.87295500000000004</v>
      </c>
      <c r="Z210" s="22">
        <v>183.001</v>
      </c>
      <c r="AA210" s="22">
        <v>-1.7523199999999999E-2</v>
      </c>
      <c r="AB210" s="22">
        <v>200</v>
      </c>
      <c r="AC210" s="22">
        <v>0.872498</v>
      </c>
      <c r="AD210">
        <f t="shared" si="40"/>
        <v>17.523199999999999</v>
      </c>
      <c r="AE210">
        <f t="shared" si="41"/>
        <v>15.296965055999999</v>
      </c>
      <c r="AF210" s="9"/>
      <c r="AG210" s="22">
        <v>0.90713500000000002</v>
      </c>
      <c r="AH210" s="22">
        <v>297.31400000000002</v>
      </c>
      <c r="AI210" s="22">
        <v>-1.74805E-2</v>
      </c>
      <c r="AJ210" s="22">
        <v>200</v>
      </c>
      <c r="AK210" s="22">
        <v>0.90606699999999996</v>
      </c>
      <c r="AL210">
        <f t="shared" si="42"/>
        <v>17.480499999999999</v>
      </c>
      <c r="AM210">
        <f t="shared" si="43"/>
        <v>15.8571733675</v>
      </c>
      <c r="AP210" s="9"/>
      <c r="AQ210" s="22">
        <v>0.87295500000000004</v>
      </c>
      <c r="AR210" s="22">
        <v>370.327</v>
      </c>
      <c r="AS210" s="22">
        <v>-1.7569000000000001E-2</v>
      </c>
      <c r="AT210" s="22">
        <v>200</v>
      </c>
      <c r="AU210" s="22">
        <v>0.872498</v>
      </c>
      <c r="AV210">
        <f t="shared" si="44"/>
        <v>17.569000000000003</v>
      </c>
      <c r="AW210">
        <f t="shared" si="45"/>
        <v>15.336946395000004</v>
      </c>
      <c r="AX210" s="9"/>
      <c r="AY210" s="22">
        <v>0.90713500000000002</v>
      </c>
      <c r="AZ210" s="22">
        <v>422.75599999999997</v>
      </c>
      <c r="BA210" s="22">
        <v>-1.7523199999999999E-2</v>
      </c>
      <c r="BB210" s="22">
        <v>200</v>
      </c>
      <c r="BC210" s="22">
        <v>0.90606699999999996</v>
      </c>
      <c r="BD210">
        <f t="shared" si="46"/>
        <v>17.523199999999999</v>
      </c>
      <c r="BE210">
        <f t="shared" si="47"/>
        <v>15.895908031999999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35.633499999999998</v>
      </c>
      <c r="I211" s="22">
        <v>-1.7401099999999999E-2</v>
      </c>
      <c r="J211" s="22">
        <v>201</v>
      </c>
      <c r="K211" s="22">
        <v>0.867004</v>
      </c>
      <c r="L211">
        <f t="shared" si="36"/>
        <v>17.4011</v>
      </c>
      <c r="M211">
        <f t="shared" si="37"/>
        <v>15.102762712000001</v>
      </c>
      <c r="N211" s="9"/>
      <c r="O211" s="22">
        <v>0.91217000000000004</v>
      </c>
      <c r="P211" s="22">
        <v>92.943299999999994</v>
      </c>
      <c r="Q211" s="22">
        <v>-1.74225E-2</v>
      </c>
      <c r="R211" s="22">
        <v>201</v>
      </c>
      <c r="S211" s="22">
        <v>0.91095000000000004</v>
      </c>
      <c r="T211">
        <f t="shared" si="38"/>
        <v>17.422499999999999</v>
      </c>
      <c r="U211">
        <f t="shared" si="39"/>
        <v>15.892281825</v>
      </c>
      <c r="X211" s="9"/>
      <c r="Y211" s="22">
        <v>0.86792000000000002</v>
      </c>
      <c r="Z211" s="22">
        <v>183.102</v>
      </c>
      <c r="AA211" s="22">
        <v>-1.7526199999999999E-2</v>
      </c>
      <c r="AB211" s="22">
        <v>201</v>
      </c>
      <c r="AC211" s="22">
        <v>0.866699</v>
      </c>
      <c r="AD211">
        <f t="shared" si="40"/>
        <v>17.526199999999999</v>
      </c>
      <c r="AE211">
        <f t="shared" si="41"/>
        <v>15.211339504</v>
      </c>
      <c r="AF211" s="9"/>
      <c r="AG211" s="22">
        <v>0.91217000000000004</v>
      </c>
      <c r="AH211" s="22">
        <v>297.41500000000002</v>
      </c>
      <c r="AI211" s="22">
        <v>-1.7477400000000001E-2</v>
      </c>
      <c r="AJ211" s="22">
        <v>201</v>
      </c>
      <c r="AK211" s="22">
        <v>0.91095000000000004</v>
      </c>
      <c r="AL211">
        <f t="shared" si="42"/>
        <v>17.477399999999999</v>
      </c>
      <c r="AM211">
        <f t="shared" si="43"/>
        <v>15.942359958000001</v>
      </c>
      <c r="AP211" s="9"/>
      <c r="AQ211" s="22">
        <v>0.86792000000000002</v>
      </c>
      <c r="AR211" s="22">
        <v>370.428</v>
      </c>
      <c r="AS211" s="22">
        <v>-1.75751E-2</v>
      </c>
      <c r="AT211" s="22">
        <v>201</v>
      </c>
      <c r="AU211" s="22">
        <v>0.866699</v>
      </c>
      <c r="AV211">
        <f t="shared" si="44"/>
        <v>17.575099999999999</v>
      </c>
      <c r="AW211">
        <f t="shared" si="45"/>
        <v>15.253780791999999</v>
      </c>
      <c r="AX211" s="9"/>
      <c r="AY211" s="22">
        <v>0.91217000000000004</v>
      </c>
      <c r="AZ211" s="22">
        <v>422.85700000000003</v>
      </c>
      <c r="BA211" s="22">
        <v>-1.75201E-2</v>
      </c>
      <c r="BB211" s="22">
        <v>201</v>
      </c>
      <c r="BC211" s="22">
        <v>0.91125500000000004</v>
      </c>
      <c r="BD211">
        <f t="shared" si="46"/>
        <v>17.520099999999999</v>
      </c>
      <c r="BE211">
        <f t="shared" si="47"/>
        <v>15.981309617000001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35.734200000000001</v>
      </c>
      <c r="I212" s="22">
        <v>-1.7407200000000001E-2</v>
      </c>
      <c r="J212" s="22">
        <v>202</v>
      </c>
      <c r="K212" s="22">
        <v>0.86181600000000003</v>
      </c>
      <c r="L212">
        <f t="shared" si="36"/>
        <v>17.4072</v>
      </c>
      <c r="M212">
        <f t="shared" si="37"/>
        <v>15.020411771999999</v>
      </c>
      <c r="N212" s="9"/>
      <c r="O212" s="22">
        <v>0.91720599999999997</v>
      </c>
      <c r="P212" s="22">
        <v>93.043999999999997</v>
      </c>
      <c r="Q212" s="22">
        <v>-1.7416399999999999E-2</v>
      </c>
      <c r="R212" s="22">
        <v>202</v>
      </c>
      <c r="S212" s="22">
        <v>0.91674800000000001</v>
      </c>
      <c r="T212">
        <f t="shared" si="38"/>
        <v>17.416399999999999</v>
      </c>
      <c r="U212">
        <f t="shared" si="39"/>
        <v>15.974426578399999</v>
      </c>
      <c r="X212" s="9"/>
      <c r="Y212" s="22">
        <v>0.86288500000000001</v>
      </c>
      <c r="Z212" s="22">
        <v>183.203</v>
      </c>
      <c r="AA212" s="22">
        <v>-1.7532300000000001E-2</v>
      </c>
      <c r="AB212" s="22">
        <v>202</v>
      </c>
      <c r="AC212" s="22">
        <v>0.86151100000000003</v>
      </c>
      <c r="AD212">
        <f t="shared" si="40"/>
        <v>17.532299999999999</v>
      </c>
      <c r="AE212">
        <f t="shared" si="41"/>
        <v>15.1283586855</v>
      </c>
      <c r="AF212" s="9"/>
      <c r="AG212" s="22">
        <v>0.91720599999999997</v>
      </c>
      <c r="AH212" s="22">
        <v>297.51499999999999</v>
      </c>
      <c r="AI212" s="22">
        <v>-1.7474400000000001E-2</v>
      </c>
      <c r="AJ212" s="22">
        <v>202</v>
      </c>
      <c r="AK212" s="22">
        <v>0.91613800000000001</v>
      </c>
      <c r="AL212">
        <f t="shared" si="42"/>
        <v>17.474400000000003</v>
      </c>
      <c r="AM212">
        <f t="shared" si="43"/>
        <v>16.0276245264</v>
      </c>
      <c r="AP212" s="9"/>
      <c r="AQ212" s="22">
        <v>0.86288500000000001</v>
      </c>
      <c r="AR212" s="22">
        <v>370.529</v>
      </c>
      <c r="AS212" s="22">
        <v>-1.75751E-2</v>
      </c>
      <c r="AT212" s="22">
        <v>202</v>
      </c>
      <c r="AU212" s="22">
        <v>0.86212200000000005</v>
      </c>
      <c r="AV212">
        <f t="shared" si="44"/>
        <v>17.575099999999999</v>
      </c>
      <c r="AW212">
        <f t="shared" si="45"/>
        <v>15.1652901635</v>
      </c>
      <c r="AX212" s="9"/>
      <c r="AY212" s="22">
        <v>0.91720599999999997</v>
      </c>
      <c r="AZ212" s="22">
        <v>422.95699999999999</v>
      </c>
      <c r="BA212" s="22">
        <v>-1.7517100000000001E-2</v>
      </c>
      <c r="BB212" s="22">
        <v>202</v>
      </c>
      <c r="BC212" s="22">
        <v>0.91644300000000001</v>
      </c>
      <c r="BD212">
        <f t="shared" si="46"/>
        <v>17.517099999999999</v>
      </c>
      <c r="BE212">
        <f t="shared" si="47"/>
        <v>16.066789222599997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35.834899999999998</v>
      </c>
      <c r="I213" s="22">
        <v>-1.74133E-2</v>
      </c>
      <c r="J213" s="22">
        <v>203</v>
      </c>
      <c r="K213" s="22">
        <v>0.85754399999999997</v>
      </c>
      <c r="L213">
        <f t="shared" si="36"/>
        <v>17.4133</v>
      </c>
      <c r="M213">
        <f t="shared" si="37"/>
        <v>14.937981991699999</v>
      </c>
      <c r="N213" s="9"/>
      <c r="O213" s="22">
        <v>0.92224099999999998</v>
      </c>
      <c r="P213" s="22">
        <v>93.144800000000004</v>
      </c>
      <c r="Q213" s="22">
        <v>-1.74103E-2</v>
      </c>
      <c r="R213" s="22">
        <v>203</v>
      </c>
      <c r="S213" s="22">
        <v>0.92163099999999998</v>
      </c>
      <c r="T213">
        <f t="shared" si="38"/>
        <v>17.410299999999999</v>
      </c>
      <c r="U213">
        <f t="shared" si="39"/>
        <v>16.056492482299998</v>
      </c>
      <c r="X213" s="9"/>
      <c r="Y213" s="22">
        <v>0.85784899999999997</v>
      </c>
      <c r="Z213" s="22">
        <v>183.303</v>
      </c>
      <c r="AA213" s="22">
        <v>-1.75354E-2</v>
      </c>
      <c r="AB213" s="22">
        <v>203</v>
      </c>
      <c r="AC213" s="22">
        <v>0.85693399999999997</v>
      </c>
      <c r="AD213">
        <f t="shared" si="40"/>
        <v>17.535399999999999</v>
      </c>
      <c r="AE213">
        <f t="shared" si="41"/>
        <v>15.042725354599998</v>
      </c>
      <c r="AF213" s="9"/>
      <c r="AG213" s="22">
        <v>0.92224099999999998</v>
      </c>
      <c r="AH213" s="22">
        <v>297.61599999999999</v>
      </c>
      <c r="AI213" s="22">
        <v>-1.7471299999999999E-2</v>
      </c>
      <c r="AJ213" s="22">
        <v>203</v>
      </c>
      <c r="AK213" s="22">
        <v>0.92132599999999998</v>
      </c>
      <c r="AL213">
        <f t="shared" si="42"/>
        <v>17.471299999999999</v>
      </c>
      <c r="AM213">
        <f t="shared" si="43"/>
        <v>16.1127491833</v>
      </c>
      <c r="AP213" s="9"/>
      <c r="AQ213" s="22">
        <v>0.85784899999999997</v>
      </c>
      <c r="AR213" s="22">
        <v>370.62900000000002</v>
      </c>
      <c r="AS213" s="22">
        <v>-1.7584200000000001E-2</v>
      </c>
      <c r="AT213" s="22">
        <v>203</v>
      </c>
      <c r="AU213" s="22">
        <v>0.85632299999999995</v>
      </c>
      <c r="AV213">
        <f t="shared" si="44"/>
        <v>17.584200000000003</v>
      </c>
      <c r="AW213">
        <f t="shared" si="45"/>
        <v>15.084588385800002</v>
      </c>
      <c r="AX213" s="9"/>
      <c r="AY213" s="22">
        <v>0.92224099999999998</v>
      </c>
      <c r="AZ213" s="22">
        <v>423.05799999999999</v>
      </c>
      <c r="BA213" s="22">
        <v>-1.7510999999999999E-2</v>
      </c>
      <c r="BB213" s="22">
        <v>203</v>
      </c>
      <c r="BC213" s="22">
        <v>0.92071499999999995</v>
      </c>
      <c r="BD213">
        <f t="shared" si="46"/>
        <v>17.510999999999999</v>
      </c>
      <c r="BE213">
        <f t="shared" si="47"/>
        <v>16.149362150999998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35.935600000000001</v>
      </c>
      <c r="I214" s="22">
        <v>-1.7419400000000002E-2</v>
      </c>
      <c r="J214" s="22">
        <v>204</v>
      </c>
      <c r="K214" s="22">
        <v>0.85143999999999997</v>
      </c>
      <c r="L214">
        <f t="shared" si="36"/>
        <v>17.419400000000003</v>
      </c>
      <c r="M214">
        <f t="shared" si="37"/>
        <v>14.855508191600002</v>
      </c>
      <c r="N214" s="9"/>
      <c r="O214" s="22">
        <v>0.92727700000000002</v>
      </c>
      <c r="P214" s="22">
        <v>93.245500000000007</v>
      </c>
      <c r="Q214" s="22">
        <v>-1.7404200000000002E-2</v>
      </c>
      <c r="R214" s="22">
        <v>204</v>
      </c>
      <c r="S214" s="22">
        <v>0.92651399999999995</v>
      </c>
      <c r="T214">
        <f t="shared" si="38"/>
        <v>17.404200000000003</v>
      </c>
      <c r="U214">
        <f t="shared" si="39"/>
        <v>16.138514363400002</v>
      </c>
      <c r="X214" s="9"/>
      <c r="Y214" s="22">
        <v>0.85281399999999996</v>
      </c>
      <c r="Z214" s="22">
        <v>183.404</v>
      </c>
      <c r="AA214" s="22">
        <v>-1.7541500000000002E-2</v>
      </c>
      <c r="AB214" s="22">
        <v>204</v>
      </c>
      <c r="AC214" s="22">
        <v>0.851746</v>
      </c>
      <c r="AD214">
        <f t="shared" si="40"/>
        <v>17.541500000000003</v>
      </c>
      <c r="AE214">
        <f t="shared" si="41"/>
        <v>14.959636781000002</v>
      </c>
      <c r="AF214" s="9"/>
      <c r="AG214" s="22">
        <v>0.92727700000000002</v>
      </c>
      <c r="AH214" s="22">
        <v>297.71699999999998</v>
      </c>
      <c r="AI214" s="22">
        <v>-1.7462200000000001E-2</v>
      </c>
      <c r="AJ214" s="22">
        <v>204</v>
      </c>
      <c r="AK214" s="22">
        <v>0.92681899999999995</v>
      </c>
      <c r="AL214">
        <f t="shared" si="42"/>
        <v>17.462199999999999</v>
      </c>
      <c r="AM214">
        <f t="shared" si="43"/>
        <v>16.192296429399999</v>
      </c>
      <c r="AP214" s="9"/>
      <c r="AQ214" s="22">
        <v>0.85281399999999996</v>
      </c>
      <c r="AR214" s="22">
        <v>370.73</v>
      </c>
      <c r="AS214" s="22">
        <v>-1.7584200000000001E-2</v>
      </c>
      <c r="AT214" s="22">
        <v>204</v>
      </c>
      <c r="AU214" s="22">
        <v>0.85143999999999997</v>
      </c>
      <c r="AV214">
        <f t="shared" si="44"/>
        <v>17.584200000000003</v>
      </c>
      <c r="AW214">
        <f t="shared" si="45"/>
        <v>14.996051938800001</v>
      </c>
      <c r="AX214" s="9"/>
      <c r="AY214" s="22">
        <v>0.92727700000000002</v>
      </c>
      <c r="AZ214" s="22">
        <v>423.15899999999999</v>
      </c>
      <c r="BA214" s="22">
        <v>-1.75049E-2</v>
      </c>
      <c r="BB214" s="22">
        <v>204</v>
      </c>
      <c r="BC214" s="22">
        <v>0.92651399999999995</v>
      </c>
      <c r="BD214">
        <f t="shared" si="46"/>
        <v>17.504899999999999</v>
      </c>
      <c r="BE214">
        <f t="shared" si="47"/>
        <v>16.231891157299998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36.036299999999997</v>
      </c>
      <c r="I215" s="22">
        <v>-1.7419400000000002E-2</v>
      </c>
      <c r="J215" s="22">
        <v>205</v>
      </c>
      <c r="K215" s="22">
        <v>0.84686300000000003</v>
      </c>
      <c r="L215">
        <f t="shared" si="36"/>
        <v>17.419400000000003</v>
      </c>
      <c r="M215">
        <f t="shared" si="37"/>
        <v>14.767784093200003</v>
      </c>
      <c r="N215" s="9"/>
      <c r="O215" s="22">
        <v>0.93231200000000003</v>
      </c>
      <c r="P215" s="22">
        <v>93.346199999999996</v>
      </c>
      <c r="Q215" s="22">
        <v>-1.7401099999999999E-2</v>
      </c>
      <c r="R215" s="22">
        <v>205</v>
      </c>
      <c r="S215" s="22">
        <v>0.93170200000000003</v>
      </c>
      <c r="T215">
        <f t="shared" si="38"/>
        <v>17.4011</v>
      </c>
      <c r="U215">
        <f t="shared" si="39"/>
        <v>16.223254343200001</v>
      </c>
      <c r="X215" s="9"/>
      <c r="Y215" s="22">
        <v>0.84777800000000003</v>
      </c>
      <c r="Z215" s="22">
        <v>183.505</v>
      </c>
      <c r="AA215" s="22">
        <v>-1.7541500000000002E-2</v>
      </c>
      <c r="AB215" s="22">
        <v>205</v>
      </c>
      <c r="AC215" s="22">
        <v>0.84655800000000003</v>
      </c>
      <c r="AD215">
        <f t="shared" si="40"/>
        <v>17.541500000000003</v>
      </c>
      <c r="AE215">
        <f t="shared" si="41"/>
        <v>14.871297787000003</v>
      </c>
      <c r="AF215" s="9"/>
      <c r="AG215" s="22">
        <v>0.93231200000000003</v>
      </c>
      <c r="AH215" s="22">
        <v>297.81799999999998</v>
      </c>
      <c r="AI215" s="22">
        <v>-1.7462200000000001E-2</v>
      </c>
      <c r="AJ215" s="22">
        <v>205</v>
      </c>
      <c r="AK215" s="22">
        <v>0.930786</v>
      </c>
      <c r="AL215">
        <f t="shared" si="42"/>
        <v>17.462199999999999</v>
      </c>
      <c r="AM215">
        <f t="shared" si="43"/>
        <v>16.280218606399998</v>
      </c>
      <c r="AP215" s="9"/>
      <c r="AQ215" s="22">
        <v>0.84777800000000003</v>
      </c>
      <c r="AR215" s="22">
        <v>370.83100000000002</v>
      </c>
      <c r="AS215" s="22">
        <v>-1.7593399999999999E-2</v>
      </c>
      <c r="AT215" s="22">
        <v>205</v>
      </c>
      <c r="AU215" s="22">
        <v>0.84686300000000003</v>
      </c>
      <c r="AV215">
        <f t="shared" si="44"/>
        <v>17.593399999999999</v>
      </c>
      <c r="AW215">
        <f t="shared" si="45"/>
        <v>14.9152974652</v>
      </c>
      <c r="AX215" s="9"/>
      <c r="AY215" s="22">
        <v>0.93231200000000003</v>
      </c>
      <c r="AZ215" s="22">
        <v>423.26</v>
      </c>
      <c r="BA215" s="22">
        <v>-1.7501800000000001E-2</v>
      </c>
      <c r="BB215" s="22">
        <v>205</v>
      </c>
      <c r="BC215" s="22">
        <v>0.931091</v>
      </c>
      <c r="BD215">
        <f t="shared" si="46"/>
        <v>17.501800000000003</v>
      </c>
      <c r="BE215">
        <f t="shared" si="47"/>
        <v>16.317138161600003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36.137</v>
      </c>
      <c r="I216" s="22">
        <v>-1.7428599999999999E-2</v>
      </c>
      <c r="J216" s="22">
        <v>206</v>
      </c>
      <c r="K216" s="22">
        <v>0.84197999999999995</v>
      </c>
      <c r="L216">
        <f t="shared" si="36"/>
        <v>17.428599999999999</v>
      </c>
      <c r="M216">
        <f t="shared" si="37"/>
        <v>14.6878306498</v>
      </c>
      <c r="N216" s="9"/>
      <c r="O216" s="22">
        <v>0.93734700000000004</v>
      </c>
      <c r="P216" s="22">
        <v>93.446899999999999</v>
      </c>
      <c r="Q216" s="22">
        <v>-1.73981E-2</v>
      </c>
      <c r="R216" s="22">
        <v>206</v>
      </c>
      <c r="S216" s="22">
        <v>0.93658399999999997</v>
      </c>
      <c r="T216">
        <f t="shared" si="38"/>
        <v>17.398099999999999</v>
      </c>
      <c r="U216">
        <f t="shared" si="39"/>
        <v>16.308056840700001</v>
      </c>
      <c r="X216" s="9"/>
      <c r="Y216" s="22">
        <v>0.84274300000000002</v>
      </c>
      <c r="Z216" s="22">
        <v>183.60499999999999</v>
      </c>
      <c r="AA216" s="22">
        <v>-1.75446E-2</v>
      </c>
      <c r="AB216" s="22">
        <v>206</v>
      </c>
      <c r="AC216" s="22">
        <v>0.84228499999999995</v>
      </c>
      <c r="AD216">
        <f t="shared" si="40"/>
        <v>17.544599999999999</v>
      </c>
      <c r="AE216">
        <f t="shared" si="41"/>
        <v>14.785588837799999</v>
      </c>
      <c r="AF216" s="9"/>
      <c r="AG216" s="22">
        <v>0.93734700000000004</v>
      </c>
      <c r="AH216" s="22">
        <v>297.91800000000001</v>
      </c>
      <c r="AI216" s="22">
        <v>-1.7456099999999999E-2</v>
      </c>
      <c r="AJ216" s="22">
        <v>206</v>
      </c>
      <c r="AK216" s="22">
        <v>0.93627899999999997</v>
      </c>
      <c r="AL216">
        <f t="shared" si="42"/>
        <v>17.456099999999999</v>
      </c>
      <c r="AM216">
        <f t="shared" si="43"/>
        <v>16.362422966699999</v>
      </c>
      <c r="AP216" s="9"/>
      <c r="AQ216" s="22">
        <v>0.84274300000000002</v>
      </c>
      <c r="AR216" s="22">
        <v>370.93099999999998</v>
      </c>
      <c r="AS216" s="22">
        <v>-1.7593399999999999E-2</v>
      </c>
      <c r="AT216" s="22">
        <v>206</v>
      </c>
      <c r="AU216" s="22">
        <v>0.84167499999999995</v>
      </c>
      <c r="AV216">
        <f t="shared" si="44"/>
        <v>17.593399999999999</v>
      </c>
      <c r="AW216">
        <f t="shared" si="45"/>
        <v>14.8267146962</v>
      </c>
      <c r="AX216" s="9"/>
      <c r="AY216" s="22">
        <v>0.93734700000000004</v>
      </c>
      <c r="AZ216" s="22">
        <v>423.36</v>
      </c>
      <c r="BA216" s="22">
        <v>-1.7501800000000001E-2</v>
      </c>
      <c r="BB216" s="22">
        <v>206</v>
      </c>
      <c r="BC216" s="22">
        <v>0.93658399999999997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36.237699999999997</v>
      </c>
      <c r="I217" s="22">
        <v>-1.7431599999999998E-2</v>
      </c>
      <c r="J217" s="22">
        <v>207</v>
      </c>
      <c r="K217" s="22">
        <v>0.83740199999999998</v>
      </c>
      <c r="L217">
        <f t="shared" si="36"/>
        <v>17.4316</v>
      </c>
      <c r="M217">
        <f t="shared" si="37"/>
        <v>14.602590772799999</v>
      </c>
      <c r="N217" s="9"/>
      <c r="O217" s="22">
        <v>0.94238299999999997</v>
      </c>
      <c r="P217" s="22">
        <v>93.547600000000003</v>
      </c>
      <c r="Q217" s="22">
        <v>-1.7392000000000001E-2</v>
      </c>
      <c r="R217" s="22">
        <v>207</v>
      </c>
      <c r="S217" s="22">
        <v>0.94116200000000005</v>
      </c>
      <c r="T217">
        <f t="shared" si="38"/>
        <v>17.391999999999999</v>
      </c>
      <c r="U217">
        <f t="shared" si="39"/>
        <v>16.389925135999999</v>
      </c>
      <c r="X217" s="9"/>
      <c r="Y217" s="22">
        <v>0.83770800000000001</v>
      </c>
      <c r="Z217" s="22">
        <v>183.70599999999999</v>
      </c>
      <c r="AA217" s="22">
        <v>-1.7550699999999999E-2</v>
      </c>
      <c r="AB217" s="22">
        <v>207</v>
      </c>
      <c r="AC217" s="22">
        <v>0.83709699999999998</v>
      </c>
      <c r="AD217">
        <f t="shared" si="40"/>
        <v>17.550699999999999</v>
      </c>
      <c r="AE217">
        <f t="shared" si="41"/>
        <v>14.7023617956</v>
      </c>
      <c r="AF217" s="9"/>
      <c r="AG217" s="22">
        <v>0.94238299999999997</v>
      </c>
      <c r="AH217" s="22">
        <v>298.01900000000001</v>
      </c>
      <c r="AI217" s="22">
        <v>-1.7453E-2</v>
      </c>
      <c r="AJ217" s="22">
        <v>207</v>
      </c>
      <c r="AK217" s="22">
        <v>0.94085700000000005</v>
      </c>
      <c r="AL217">
        <f t="shared" si="42"/>
        <v>17.452999999999999</v>
      </c>
      <c r="AM217">
        <f t="shared" si="43"/>
        <v>16.447410499</v>
      </c>
      <c r="AP217" s="9"/>
      <c r="AQ217" s="22">
        <v>0.83770800000000001</v>
      </c>
      <c r="AR217" s="22">
        <v>371.03199999999998</v>
      </c>
      <c r="AS217" s="22">
        <v>-1.7599500000000001E-2</v>
      </c>
      <c r="AT217" s="22">
        <v>207</v>
      </c>
      <c r="AU217" s="22">
        <v>0.83679199999999998</v>
      </c>
      <c r="AV217">
        <f t="shared" si="44"/>
        <v>17.599499999999999</v>
      </c>
      <c r="AW217">
        <f t="shared" si="45"/>
        <v>14.743241945999999</v>
      </c>
      <c r="AX217" s="9"/>
      <c r="AY217" s="22">
        <v>0.94238299999999997</v>
      </c>
      <c r="AZ217" s="22">
        <v>423.46100000000001</v>
      </c>
      <c r="BA217" s="22">
        <v>-1.7495699999999999E-2</v>
      </c>
      <c r="BB217" s="22">
        <v>207</v>
      </c>
      <c r="BC217" s="22">
        <v>0.94116200000000005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36.3384</v>
      </c>
      <c r="I218" s="22">
        <v>-1.7434700000000001E-2</v>
      </c>
      <c r="J218" s="22">
        <v>208</v>
      </c>
      <c r="K218" s="22">
        <v>0.83190900000000001</v>
      </c>
      <c r="L218">
        <f t="shared" si="36"/>
        <v>17.434699999999999</v>
      </c>
      <c r="M218">
        <f t="shared" si="37"/>
        <v>14.517386518399999</v>
      </c>
      <c r="N218" s="9"/>
      <c r="O218" s="22">
        <v>0.94741799999999998</v>
      </c>
      <c r="P218" s="22">
        <v>93.648300000000006</v>
      </c>
      <c r="Q218" s="22">
        <v>-1.7388899999999999E-2</v>
      </c>
      <c r="R218" s="22">
        <v>208</v>
      </c>
      <c r="S218" s="22">
        <v>0.94574000000000003</v>
      </c>
      <c r="T218">
        <f t="shared" si="38"/>
        <v>17.3889</v>
      </c>
      <c r="U218">
        <f t="shared" si="39"/>
        <v>16.4745568602</v>
      </c>
      <c r="X218" s="9"/>
      <c r="Y218" s="22">
        <v>0.83267199999999997</v>
      </c>
      <c r="Z218" s="22">
        <v>183.80699999999999</v>
      </c>
      <c r="AA218" s="22">
        <v>-1.7553699999999998E-2</v>
      </c>
      <c r="AB218" s="22">
        <v>208</v>
      </c>
      <c r="AC218" s="22">
        <v>0.83190900000000001</v>
      </c>
      <c r="AD218">
        <f t="shared" si="40"/>
        <v>17.553699999999999</v>
      </c>
      <c r="AE218">
        <f t="shared" si="41"/>
        <v>14.6164744864</v>
      </c>
      <c r="AF218" s="9"/>
      <c r="AG218" s="22">
        <v>0.94741799999999998</v>
      </c>
      <c r="AH218" s="22">
        <v>298.12</v>
      </c>
      <c r="AI218" s="22">
        <v>-1.745E-2</v>
      </c>
      <c r="AJ218" s="22">
        <v>208</v>
      </c>
      <c r="AK218" s="22">
        <v>0.94604500000000002</v>
      </c>
      <c r="AL218">
        <f t="shared" si="42"/>
        <v>17.45</v>
      </c>
      <c r="AM218">
        <f t="shared" si="43"/>
        <v>16.532444099999999</v>
      </c>
      <c r="AP218" s="9"/>
      <c r="AQ218" s="22">
        <v>0.83267199999999997</v>
      </c>
      <c r="AR218" s="22">
        <v>371.13299999999998</v>
      </c>
      <c r="AS218" s="22">
        <v>-1.7599500000000001E-2</v>
      </c>
      <c r="AT218" s="22">
        <v>208</v>
      </c>
      <c r="AU218" s="22">
        <v>0.83190900000000001</v>
      </c>
      <c r="AV218">
        <f t="shared" si="44"/>
        <v>17.599499999999999</v>
      </c>
      <c r="AW218">
        <f t="shared" si="45"/>
        <v>14.654610863999999</v>
      </c>
      <c r="AX218" s="9"/>
      <c r="AY218" s="22">
        <v>0.94741799999999998</v>
      </c>
      <c r="AZ218" s="22">
        <v>423.56200000000001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36.439100000000003</v>
      </c>
      <c r="I219" s="22">
        <v>-1.74377E-2</v>
      </c>
      <c r="J219" s="22">
        <v>209</v>
      </c>
      <c r="K219" s="22">
        <v>0.82672100000000004</v>
      </c>
      <c r="L219">
        <f t="shared" si="36"/>
        <v>17.4377</v>
      </c>
      <c r="M219">
        <f t="shared" si="37"/>
        <v>14.432085714899999</v>
      </c>
      <c r="N219" s="9"/>
      <c r="O219" s="22">
        <v>0.95245400000000002</v>
      </c>
      <c r="P219" s="22">
        <v>93.748999999999995</v>
      </c>
      <c r="Q219" s="22">
        <v>-1.7388899999999999E-2</v>
      </c>
      <c r="R219" s="22">
        <v>209</v>
      </c>
      <c r="S219" s="22">
        <v>0.95184299999999999</v>
      </c>
      <c r="T219">
        <f t="shared" si="38"/>
        <v>17.3889</v>
      </c>
      <c r="U219">
        <f t="shared" si="39"/>
        <v>16.562127360600002</v>
      </c>
      <c r="X219" s="9"/>
      <c r="Y219" s="22">
        <v>0.82763699999999996</v>
      </c>
      <c r="Z219" s="22">
        <v>183.90700000000001</v>
      </c>
      <c r="AA219" s="22">
        <v>-1.75598E-2</v>
      </c>
      <c r="AB219" s="22">
        <v>209</v>
      </c>
      <c r="AC219" s="22">
        <v>0.82733199999999996</v>
      </c>
      <c r="AD219">
        <f t="shared" si="40"/>
        <v>17.559799999999999</v>
      </c>
      <c r="AE219">
        <f t="shared" si="41"/>
        <v>14.533140192599998</v>
      </c>
      <c r="AF219" s="9"/>
      <c r="AG219" s="22">
        <v>0.95245400000000002</v>
      </c>
      <c r="AH219" s="22">
        <v>298.22000000000003</v>
      </c>
      <c r="AI219" s="22">
        <v>-1.7440799999999999E-2</v>
      </c>
      <c r="AJ219" s="22">
        <v>209</v>
      </c>
      <c r="AK219" s="22">
        <v>0.95214799999999999</v>
      </c>
      <c r="AL219">
        <f t="shared" si="42"/>
        <v>17.440799999999999</v>
      </c>
      <c r="AM219">
        <f t="shared" si="43"/>
        <v>16.611559723199999</v>
      </c>
      <c r="AP219" s="9"/>
      <c r="AQ219" s="22">
        <v>0.82763699999999996</v>
      </c>
      <c r="AR219" s="22">
        <v>371.23399999999998</v>
      </c>
      <c r="AS219" s="22">
        <v>-1.7605599999999999E-2</v>
      </c>
      <c r="AT219" s="22">
        <v>209</v>
      </c>
      <c r="AU219" s="22">
        <v>0.82672100000000004</v>
      </c>
      <c r="AV219">
        <f t="shared" si="44"/>
        <v>17.605599999999999</v>
      </c>
      <c r="AW219">
        <f t="shared" si="45"/>
        <v>14.571045967199998</v>
      </c>
      <c r="AX219" s="9"/>
      <c r="AY219" s="22">
        <v>0.95245400000000002</v>
      </c>
      <c r="AZ219" s="22">
        <v>423.66199999999998</v>
      </c>
      <c r="BA219" s="22">
        <v>-1.7483499999999999E-2</v>
      </c>
      <c r="BB219" s="22">
        <v>209</v>
      </c>
      <c r="BC219" s="22">
        <v>0.950928</v>
      </c>
      <c r="BD219">
        <f t="shared" si="46"/>
        <v>17.483499999999999</v>
      </c>
      <c r="BE219">
        <f t="shared" si="47"/>
        <v>16.652229509000001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36.5398</v>
      </c>
      <c r="I220" s="22">
        <v>-1.7446900000000001E-2</v>
      </c>
      <c r="J220" s="22">
        <v>210</v>
      </c>
      <c r="K220" s="22">
        <v>0.82153299999999996</v>
      </c>
      <c r="L220">
        <f t="shared" si="36"/>
        <v>17.446900000000003</v>
      </c>
      <c r="M220">
        <f t="shared" si="37"/>
        <v>14.351837386900003</v>
      </c>
      <c r="N220" s="9"/>
      <c r="O220" s="22">
        <v>0.95748900000000003</v>
      </c>
      <c r="P220" s="22">
        <v>93.849699999999999</v>
      </c>
      <c r="Q220" s="22">
        <v>-1.73828E-2</v>
      </c>
      <c r="R220" s="22">
        <v>210</v>
      </c>
      <c r="S220" s="22">
        <v>0.95642099999999997</v>
      </c>
      <c r="T220">
        <f t="shared" si="38"/>
        <v>17.3828</v>
      </c>
      <c r="U220">
        <f t="shared" si="39"/>
        <v>16.643839789200001</v>
      </c>
      <c r="X220" s="9"/>
      <c r="Y220" s="22">
        <v>0.82260100000000003</v>
      </c>
      <c r="Z220" s="22">
        <v>184.00800000000001</v>
      </c>
      <c r="AA220" s="22">
        <v>-1.7565899999999999E-2</v>
      </c>
      <c r="AB220" s="22">
        <v>210</v>
      </c>
      <c r="AC220" s="22">
        <v>0.82122799999999996</v>
      </c>
      <c r="AD220">
        <f t="shared" si="40"/>
        <v>17.565899999999999</v>
      </c>
      <c r="AE220">
        <f t="shared" si="41"/>
        <v>14.4497269059</v>
      </c>
      <c r="AF220" s="9"/>
      <c r="AG220" s="22">
        <v>0.95748900000000003</v>
      </c>
      <c r="AH220" s="22">
        <v>298.32100000000003</v>
      </c>
      <c r="AI220" s="22">
        <v>-1.7440799999999999E-2</v>
      </c>
      <c r="AJ220" s="22">
        <v>210</v>
      </c>
      <c r="AK220" s="22">
        <v>0.95642099999999997</v>
      </c>
      <c r="AL220">
        <f t="shared" si="42"/>
        <v>17.440799999999999</v>
      </c>
      <c r="AM220">
        <f t="shared" si="43"/>
        <v>16.699374151200001</v>
      </c>
      <c r="AP220" s="9"/>
      <c r="AQ220" s="22">
        <v>0.82260100000000003</v>
      </c>
      <c r="AR220" s="22">
        <v>371.334</v>
      </c>
      <c r="AS220" s="22">
        <v>-1.7608599999999999E-2</v>
      </c>
      <c r="AT220" s="22">
        <v>210</v>
      </c>
      <c r="AU220" s="22">
        <v>0.82183799999999996</v>
      </c>
      <c r="AV220">
        <f t="shared" si="44"/>
        <v>17.608599999999999</v>
      </c>
      <c r="AW220">
        <f t="shared" si="45"/>
        <v>14.484851968599999</v>
      </c>
      <c r="AX220" s="9"/>
      <c r="AY220" s="22">
        <v>0.95748900000000003</v>
      </c>
      <c r="AZ220" s="22">
        <v>423.76299999999998</v>
      </c>
      <c r="BA220" s="22">
        <v>-1.74805E-2</v>
      </c>
      <c r="BB220" s="22">
        <v>210</v>
      </c>
      <c r="BC220" s="22">
        <v>0.95642099999999997</v>
      </c>
      <c r="BD220">
        <f t="shared" si="46"/>
        <v>17.480499999999999</v>
      </c>
      <c r="BE220">
        <f t="shared" si="47"/>
        <v>16.737386464499998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36.640500000000003</v>
      </c>
      <c r="I221" s="22">
        <v>-1.7446900000000001E-2</v>
      </c>
      <c r="J221" s="22">
        <v>211</v>
      </c>
      <c r="K221" s="22">
        <v>0.81664999999999999</v>
      </c>
      <c r="L221">
        <f t="shared" si="36"/>
        <v>17.446900000000003</v>
      </c>
      <c r="M221">
        <f t="shared" si="37"/>
        <v>14.263992245400003</v>
      </c>
      <c r="N221" s="9"/>
      <c r="O221" s="22">
        <v>0.96252400000000005</v>
      </c>
      <c r="P221" s="22">
        <v>93.950400000000002</v>
      </c>
      <c r="Q221" s="22">
        <v>-1.7379800000000001E-2</v>
      </c>
      <c r="R221" s="22">
        <v>211</v>
      </c>
      <c r="S221" s="22">
        <v>0.96130400000000005</v>
      </c>
      <c r="T221">
        <f t="shared" si="38"/>
        <v>17.379799999999999</v>
      </c>
      <c r="U221">
        <f t="shared" si="39"/>
        <v>16.7284746152</v>
      </c>
      <c r="X221" s="9"/>
      <c r="Y221" s="22">
        <v>0.81756600000000001</v>
      </c>
      <c r="Z221" s="22">
        <v>184.10900000000001</v>
      </c>
      <c r="AA221" s="22">
        <v>-1.7565899999999999E-2</v>
      </c>
      <c r="AB221" s="22">
        <v>211</v>
      </c>
      <c r="AC221" s="22">
        <v>0.81695600000000002</v>
      </c>
      <c r="AD221">
        <f t="shared" si="40"/>
        <v>17.565899999999999</v>
      </c>
      <c r="AE221">
        <f t="shared" si="41"/>
        <v>14.361282599399999</v>
      </c>
      <c r="AF221" s="9"/>
      <c r="AG221" s="22">
        <v>0.96252400000000005</v>
      </c>
      <c r="AH221" s="22">
        <v>298.42200000000003</v>
      </c>
      <c r="AI221" s="22">
        <v>-1.7434700000000001E-2</v>
      </c>
      <c r="AJ221" s="22">
        <v>211</v>
      </c>
      <c r="AK221" s="22">
        <v>0.96160900000000005</v>
      </c>
      <c r="AL221">
        <f t="shared" si="42"/>
        <v>17.434699999999999</v>
      </c>
      <c r="AM221">
        <f t="shared" si="43"/>
        <v>16.781317182799999</v>
      </c>
      <c r="AP221" s="9"/>
      <c r="AQ221" s="22">
        <v>0.81756600000000001</v>
      </c>
      <c r="AR221" s="22">
        <v>371.435</v>
      </c>
      <c r="AS221" s="22">
        <v>-1.7611700000000001E-2</v>
      </c>
      <c r="AT221" s="22">
        <v>211</v>
      </c>
      <c r="AU221" s="22">
        <v>0.81726100000000002</v>
      </c>
      <c r="AV221">
        <f t="shared" si="44"/>
        <v>17.611700000000003</v>
      </c>
      <c r="AW221">
        <f t="shared" si="45"/>
        <v>14.398727122200002</v>
      </c>
      <c r="AX221" s="9"/>
      <c r="AY221" s="22">
        <v>0.96252400000000005</v>
      </c>
      <c r="AZ221" s="22">
        <v>423.86399999999998</v>
      </c>
      <c r="BA221" s="22">
        <v>-1.74805E-2</v>
      </c>
      <c r="BB221" s="22">
        <v>211</v>
      </c>
      <c r="BC221" s="22">
        <v>0.96099900000000005</v>
      </c>
      <c r="BD221">
        <f t="shared" si="46"/>
        <v>17.480499999999999</v>
      </c>
      <c r="BE221">
        <f t="shared" si="47"/>
        <v>16.825400781999999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36.741199999999999</v>
      </c>
      <c r="I222" s="22">
        <v>-1.7453E-2</v>
      </c>
      <c r="J222" s="22">
        <v>212</v>
      </c>
      <c r="K222" s="22">
        <v>0.81146200000000002</v>
      </c>
      <c r="L222">
        <f t="shared" si="36"/>
        <v>17.452999999999999</v>
      </c>
      <c r="M222">
        <f t="shared" si="37"/>
        <v>14.181103542999999</v>
      </c>
      <c r="N222" s="9"/>
      <c r="O222" s="22">
        <v>0.96755999999999998</v>
      </c>
      <c r="P222" s="22">
        <v>94.051100000000005</v>
      </c>
      <c r="Q222" s="22">
        <v>-1.73706E-2</v>
      </c>
      <c r="R222" s="22">
        <v>212</v>
      </c>
      <c r="S222" s="22">
        <v>0.96649200000000002</v>
      </c>
      <c r="T222">
        <f t="shared" si="38"/>
        <v>17.3706</v>
      </c>
      <c r="U222">
        <f t="shared" si="39"/>
        <v>16.807097735999999</v>
      </c>
      <c r="X222" s="9"/>
      <c r="Y222" s="22">
        <v>0.812531</v>
      </c>
      <c r="Z222" s="22">
        <v>184.21</v>
      </c>
      <c r="AA222" s="22">
        <v>-1.7572000000000001E-2</v>
      </c>
      <c r="AB222" s="22">
        <v>212</v>
      </c>
      <c r="AC222" s="22">
        <v>0.81176800000000005</v>
      </c>
      <c r="AD222">
        <f t="shared" si="40"/>
        <v>17.571999999999999</v>
      </c>
      <c r="AE222">
        <f t="shared" si="41"/>
        <v>14.277794732</v>
      </c>
      <c r="AF222" s="9"/>
      <c r="AG222" s="22">
        <v>0.96755999999999998</v>
      </c>
      <c r="AH222" s="22">
        <v>298.52300000000002</v>
      </c>
      <c r="AI222" s="22">
        <v>-1.7431599999999998E-2</v>
      </c>
      <c r="AJ222" s="22">
        <v>212</v>
      </c>
      <c r="AK222" s="22">
        <v>0.96649200000000002</v>
      </c>
      <c r="AL222">
        <f t="shared" si="42"/>
        <v>17.4316</v>
      </c>
      <c r="AM222">
        <f t="shared" si="43"/>
        <v>16.866118896</v>
      </c>
      <c r="AP222" s="9"/>
      <c r="AQ222" s="22">
        <v>0.812531</v>
      </c>
      <c r="AR222" s="22">
        <v>371.536</v>
      </c>
      <c r="AS222" s="22">
        <v>-1.7617799999999999E-2</v>
      </c>
      <c r="AT222" s="22">
        <v>212</v>
      </c>
      <c r="AU222" s="22">
        <v>0.81176800000000005</v>
      </c>
      <c r="AV222">
        <f t="shared" si="44"/>
        <v>17.617799999999999</v>
      </c>
      <c r="AW222">
        <f t="shared" si="45"/>
        <v>14.315008651799999</v>
      </c>
      <c r="AX222" s="9"/>
      <c r="AY222" s="22">
        <v>0.96755999999999998</v>
      </c>
      <c r="AZ222" s="22">
        <v>423.96499999999997</v>
      </c>
      <c r="BA222" s="22">
        <v>-1.7471299999999999E-2</v>
      </c>
      <c r="BB222" s="22">
        <v>212</v>
      </c>
      <c r="BC222" s="22">
        <v>0.96679700000000002</v>
      </c>
      <c r="BD222">
        <f t="shared" si="46"/>
        <v>17.471299999999999</v>
      </c>
      <c r="BE222">
        <f t="shared" si="47"/>
        <v>16.904531027999997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36.841999999999999</v>
      </c>
      <c r="I223" s="22">
        <v>-1.7453E-2</v>
      </c>
      <c r="J223" s="22">
        <v>213</v>
      </c>
      <c r="K223" s="22">
        <v>0.80688499999999996</v>
      </c>
      <c r="L223">
        <f t="shared" si="36"/>
        <v>17.452999999999999</v>
      </c>
      <c r="M223">
        <f t="shared" si="37"/>
        <v>14.093210234999999</v>
      </c>
      <c r="N223" s="9"/>
      <c r="O223" s="22">
        <v>0.97259499999999999</v>
      </c>
      <c r="P223" s="22">
        <v>94.151799999999994</v>
      </c>
      <c r="Q223" s="22">
        <v>-1.7373699999999999E-2</v>
      </c>
      <c r="R223" s="22">
        <v>213</v>
      </c>
      <c r="S223" s="22">
        <v>0.97167999999999999</v>
      </c>
      <c r="T223">
        <f t="shared" si="38"/>
        <v>17.373699999999999</v>
      </c>
      <c r="U223">
        <f t="shared" si="39"/>
        <v>16.897573751499998</v>
      </c>
      <c r="X223" s="9"/>
      <c r="Y223" s="22">
        <v>0.80749499999999996</v>
      </c>
      <c r="Z223" s="22">
        <v>184.31</v>
      </c>
      <c r="AA223" s="22">
        <v>-1.7578099999999999E-2</v>
      </c>
      <c r="AB223" s="22">
        <v>213</v>
      </c>
      <c r="AC223" s="22">
        <v>0.80688499999999996</v>
      </c>
      <c r="AD223">
        <f t="shared" si="40"/>
        <v>17.578099999999999</v>
      </c>
      <c r="AE223">
        <f t="shared" si="41"/>
        <v>14.194227859499998</v>
      </c>
      <c r="AF223" s="9"/>
      <c r="AG223" s="22">
        <v>0.97259499999999999</v>
      </c>
      <c r="AH223" s="22">
        <v>298.62299999999999</v>
      </c>
      <c r="AI223" s="22">
        <v>-1.74255E-2</v>
      </c>
      <c r="AJ223" s="22">
        <v>213</v>
      </c>
      <c r="AK223" s="22">
        <v>0.97167999999999999</v>
      </c>
      <c r="AL223">
        <f t="shared" si="42"/>
        <v>17.4255</v>
      </c>
      <c r="AM223">
        <f t="shared" si="43"/>
        <v>16.947954172499998</v>
      </c>
      <c r="AP223" s="9"/>
      <c r="AQ223" s="22">
        <v>0.80749499999999996</v>
      </c>
      <c r="AR223" s="22">
        <v>371.63600000000002</v>
      </c>
      <c r="AS223" s="22">
        <v>-1.7623900000000001E-2</v>
      </c>
      <c r="AT223" s="22">
        <v>213</v>
      </c>
      <c r="AU223" s="22">
        <v>0.80657999999999996</v>
      </c>
      <c r="AV223">
        <f t="shared" si="44"/>
        <v>17.623900000000003</v>
      </c>
      <c r="AW223">
        <f t="shared" si="45"/>
        <v>14.231211130500002</v>
      </c>
      <c r="AX223" s="9"/>
      <c r="AY223" s="22">
        <v>0.97259499999999999</v>
      </c>
      <c r="AZ223" s="22">
        <v>424.065</v>
      </c>
      <c r="BA223" s="22">
        <v>-1.74652E-2</v>
      </c>
      <c r="BB223" s="22">
        <v>213</v>
      </c>
      <c r="BC223" s="22">
        <v>0.97167999999999999</v>
      </c>
      <c r="BD223">
        <f t="shared" si="46"/>
        <v>17.465199999999999</v>
      </c>
      <c r="BE223">
        <f t="shared" si="47"/>
        <v>16.986566193999998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36.942700000000002</v>
      </c>
      <c r="I224" s="22">
        <v>-1.7459100000000002E-2</v>
      </c>
      <c r="J224" s="22">
        <v>214</v>
      </c>
      <c r="K224" s="22">
        <v>0.80230699999999999</v>
      </c>
      <c r="L224">
        <f t="shared" si="36"/>
        <v>17.459100000000003</v>
      </c>
      <c r="M224">
        <f t="shared" si="37"/>
        <v>14.010229386000001</v>
      </c>
      <c r="N224" s="9"/>
      <c r="O224" s="22">
        <v>0.97763100000000003</v>
      </c>
      <c r="P224" s="22">
        <v>94.252499999999998</v>
      </c>
      <c r="Q224" s="22">
        <v>-1.73706E-2</v>
      </c>
      <c r="R224" s="22">
        <v>214</v>
      </c>
      <c r="S224" s="22">
        <v>0.97686799999999996</v>
      </c>
      <c r="T224">
        <f t="shared" si="38"/>
        <v>17.3706</v>
      </c>
      <c r="U224">
        <f t="shared" si="39"/>
        <v>16.982037048599999</v>
      </c>
      <c r="X224" s="9"/>
      <c r="Y224" s="22">
        <v>0.80245999999999995</v>
      </c>
      <c r="Z224" s="22">
        <v>184.411</v>
      </c>
      <c r="AA224" s="22">
        <v>-1.7581200000000002E-2</v>
      </c>
      <c r="AB224" s="22">
        <v>214</v>
      </c>
      <c r="AC224" s="22">
        <v>0.80200199999999999</v>
      </c>
      <c r="AD224">
        <f t="shared" si="40"/>
        <v>17.581200000000003</v>
      </c>
      <c r="AE224">
        <f t="shared" si="41"/>
        <v>14.108209752</v>
      </c>
      <c r="AF224" s="9"/>
      <c r="AG224" s="22">
        <v>0.97763100000000003</v>
      </c>
      <c r="AH224" s="22">
        <v>298.72399999999999</v>
      </c>
      <c r="AI224" s="22">
        <v>-1.74225E-2</v>
      </c>
      <c r="AJ224" s="22">
        <v>214</v>
      </c>
      <c r="AK224" s="22">
        <v>0.97625700000000004</v>
      </c>
      <c r="AL224">
        <f t="shared" si="42"/>
        <v>17.422499999999999</v>
      </c>
      <c r="AM224">
        <f t="shared" si="43"/>
        <v>17.032776097500001</v>
      </c>
      <c r="AP224" s="9"/>
      <c r="AQ224" s="22">
        <v>0.80245999999999995</v>
      </c>
      <c r="AR224" s="22">
        <v>371.73700000000002</v>
      </c>
      <c r="AS224" s="22">
        <v>-1.7627E-2</v>
      </c>
      <c r="AT224" s="22">
        <v>214</v>
      </c>
      <c r="AU224" s="22">
        <v>0.80139199999999999</v>
      </c>
      <c r="AV224">
        <f t="shared" si="44"/>
        <v>17.626999999999999</v>
      </c>
      <c r="AW224">
        <f t="shared" si="45"/>
        <v>14.144962419999999</v>
      </c>
      <c r="AX224" s="9"/>
      <c r="AY224" s="22">
        <v>0.97763100000000003</v>
      </c>
      <c r="AZ224" s="22">
        <v>424.166</v>
      </c>
      <c r="BA224" s="22">
        <v>-1.7459100000000002E-2</v>
      </c>
      <c r="BB224" s="22">
        <v>214</v>
      </c>
      <c r="BC224" s="22">
        <v>0.97625700000000004</v>
      </c>
      <c r="BD224">
        <f t="shared" si="46"/>
        <v>17.459100000000003</v>
      </c>
      <c r="BE224">
        <f t="shared" si="47"/>
        <v>17.068557392100004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37.043399999999998</v>
      </c>
      <c r="I225" s="22">
        <v>-1.74652E-2</v>
      </c>
      <c r="J225" s="22">
        <v>215</v>
      </c>
      <c r="K225" s="22">
        <v>0.79681400000000002</v>
      </c>
      <c r="L225">
        <f t="shared" si="36"/>
        <v>17.465199999999999</v>
      </c>
      <c r="M225">
        <f t="shared" si="37"/>
        <v>13.927169644799999</v>
      </c>
      <c r="N225" s="9"/>
      <c r="O225" s="22">
        <v>0.98266600000000004</v>
      </c>
      <c r="P225" s="22">
        <v>94.353300000000004</v>
      </c>
      <c r="Q225" s="22">
        <v>-1.7361499999999998E-2</v>
      </c>
      <c r="R225" s="22">
        <v>215</v>
      </c>
      <c r="S225" s="22">
        <v>0.98144500000000001</v>
      </c>
      <c r="T225">
        <f t="shared" si="38"/>
        <v>17.361499999999999</v>
      </c>
      <c r="U225">
        <f t="shared" si="39"/>
        <v>17.060555759</v>
      </c>
      <c r="X225" s="9"/>
      <c r="Y225" s="22">
        <v>0.79742400000000002</v>
      </c>
      <c r="Z225" s="22">
        <v>184.512</v>
      </c>
      <c r="AA225" s="22">
        <v>-1.7584200000000001E-2</v>
      </c>
      <c r="AB225" s="22">
        <v>215</v>
      </c>
      <c r="AC225" s="22">
        <v>0.79620400000000002</v>
      </c>
      <c r="AD225">
        <f t="shared" si="40"/>
        <v>17.584200000000003</v>
      </c>
      <c r="AE225">
        <f t="shared" si="41"/>
        <v>14.022063100800002</v>
      </c>
      <c r="AF225" s="9"/>
      <c r="AG225" s="22">
        <v>0.98266600000000004</v>
      </c>
      <c r="AH225" s="22">
        <v>298.82499999999999</v>
      </c>
      <c r="AI225" s="22">
        <v>-1.7419400000000002E-2</v>
      </c>
      <c r="AJ225" s="22">
        <v>215</v>
      </c>
      <c r="AK225" s="22">
        <v>0.98205600000000004</v>
      </c>
      <c r="AL225">
        <f t="shared" si="42"/>
        <v>17.419400000000003</v>
      </c>
      <c r="AM225">
        <f t="shared" si="43"/>
        <v>17.117452120400003</v>
      </c>
      <c r="AP225" s="9"/>
      <c r="AQ225" s="22">
        <v>0.79742400000000002</v>
      </c>
      <c r="AR225" s="22">
        <v>371.83800000000002</v>
      </c>
      <c r="AS225" s="22">
        <v>-1.763E-2</v>
      </c>
      <c r="AT225" s="22">
        <v>215</v>
      </c>
      <c r="AU225" s="22">
        <v>0.79711900000000002</v>
      </c>
      <c r="AV225">
        <f t="shared" si="44"/>
        <v>17.63</v>
      </c>
      <c r="AW225">
        <f t="shared" si="45"/>
        <v>14.05858512</v>
      </c>
      <c r="AX225" s="9"/>
      <c r="AY225" s="22">
        <v>0.98266600000000004</v>
      </c>
      <c r="AZ225" s="22">
        <v>424.267</v>
      </c>
      <c r="BA225" s="22">
        <v>-1.7456099999999999E-2</v>
      </c>
      <c r="BB225" s="22">
        <v>215</v>
      </c>
      <c r="BC225" s="22">
        <v>0.98114000000000001</v>
      </c>
      <c r="BD225">
        <f t="shared" si="46"/>
        <v>17.456099999999999</v>
      </c>
      <c r="BE225">
        <f t="shared" si="47"/>
        <v>17.1535159626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37.144100000000002</v>
      </c>
      <c r="I226" s="22">
        <v>-1.7468299999999999E-2</v>
      </c>
      <c r="J226" s="22">
        <v>216</v>
      </c>
      <c r="K226" s="22">
        <v>0.79132100000000005</v>
      </c>
      <c r="L226">
        <f t="shared" si="36"/>
        <v>17.468299999999999</v>
      </c>
      <c r="M226">
        <f t="shared" si="37"/>
        <v>13.841688768699999</v>
      </c>
      <c r="N226" s="9"/>
      <c r="O226" s="22">
        <v>0.98770100000000005</v>
      </c>
      <c r="P226" s="22">
        <v>94.453999999999994</v>
      </c>
      <c r="Q226" s="22">
        <v>-1.73584E-2</v>
      </c>
      <c r="R226" s="22">
        <v>216</v>
      </c>
      <c r="S226" s="22">
        <v>0.98693799999999998</v>
      </c>
      <c r="T226">
        <f t="shared" si="38"/>
        <v>17.3584</v>
      </c>
      <c r="U226">
        <f t="shared" si="39"/>
        <v>17.144909038400002</v>
      </c>
      <c r="X226" s="9"/>
      <c r="Y226" s="22">
        <v>0.79238900000000001</v>
      </c>
      <c r="Z226" s="22">
        <v>184.61199999999999</v>
      </c>
      <c r="AA226" s="22">
        <v>-1.7593399999999999E-2</v>
      </c>
      <c r="AB226" s="22">
        <v>216</v>
      </c>
      <c r="AC226" s="22">
        <v>0.79162600000000005</v>
      </c>
      <c r="AD226">
        <f t="shared" si="40"/>
        <v>17.593399999999999</v>
      </c>
      <c r="AE226">
        <f t="shared" si="41"/>
        <v>13.940816632599999</v>
      </c>
      <c r="AF226" s="9"/>
      <c r="AG226" s="22">
        <v>0.98770100000000005</v>
      </c>
      <c r="AH226" s="22">
        <v>298.92500000000001</v>
      </c>
      <c r="AI226" s="22">
        <v>-1.7416399999999999E-2</v>
      </c>
      <c r="AJ226" s="22">
        <v>216</v>
      </c>
      <c r="AK226" s="22">
        <v>0.98632799999999998</v>
      </c>
      <c r="AL226">
        <f t="shared" si="42"/>
        <v>17.416399999999999</v>
      </c>
      <c r="AM226">
        <f t="shared" si="43"/>
        <v>17.2021956964</v>
      </c>
      <c r="AP226" s="9"/>
      <c r="AQ226" s="22">
        <v>0.79238900000000001</v>
      </c>
      <c r="AR226" s="22">
        <v>371.93900000000002</v>
      </c>
      <c r="AS226" s="22">
        <v>-1.7636099999999998E-2</v>
      </c>
      <c r="AT226" s="22">
        <v>216</v>
      </c>
      <c r="AU226" s="22">
        <v>0.79101600000000005</v>
      </c>
      <c r="AV226">
        <f t="shared" si="44"/>
        <v>17.636099999999999</v>
      </c>
      <c r="AW226">
        <f t="shared" si="45"/>
        <v>13.9746516429</v>
      </c>
      <c r="AX226" s="9"/>
      <c r="AY226" s="22">
        <v>0.98770100000000005</v>
      </c>
      <c r="AZ226" s="22">
        <v>424.36700000000002</v>
      </c>
      <c r="BA226" s="22">
        <v>-1.745E-2</v>
      </c>
      <c r="BB226" s="22">
        <v>216</v>
      </c>
      <c r="BC226" s="22">
        <v>0.98632799999999998</v>
      </c>
      <c r="BD226">
        <f t="shared" si="46"/>
        <v>17.45</v>
      </c>
      <c r="BE226">
        <f t="shared" si="47"/>
        <v>17.235382449999999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37.244799999999998</v>
      </c>
      <c r="I227" s="22">
        <v>-1.7471299999999999E-2</v>
      </c>
      <c r="J227" s="22">
        <v>217</v>
      </c>
      <c r="K227" s="22">
        <v>0.78613299999999997</v>
      </c>
      <c r="L227">
        <f t="shared" si="36"/>
        <v>17.471299999999999</v>
      </c>
      <c r="M227">
        <f t="shared" si="37"/>
        <v>13.7560979402</v>
      </c>
      <c r="N227" s="9"/>
      <c r="O227" s="22">
        <v>0.99273699999999998</v>
      </c>
      <c r="P227" s="22">
        <v>94.554699999999997</v>
      </c>
      <c r="Q227" s="22">
        <v>-1.73584E-2</v>
      </c>
      <c r="R227" s="22">
        <v>217</v>
      </c>
      <c r="S227" s="22">
        <v>0.99090599999999995</v>
      </c>
      <c r="T227">
        <f t="shared" si="38"/>
        <v>17.3584</v>
      </c>
      <c r="U227">
        <f t="shared" si="39"/>
        <v>17.232325940799999</v>
      </c>
      <c r="X227" s="9"/>
      <c r="Y227" s="22">
        <v>0.787354</v>
      </c>
      <c r="Z227" s="22">
        <v>184.71299999999999</v>
      </c>
      <c r="AA227" s="22">
        <v>-1.7596400000000002E-2</v>
      </c>
      <c r="AB227" s="22">
        <v>217</v>
      </c>
      <c r="AC227" s="22">
        <v>0.78704799999999997</v>
      </c>
      <c r="AD227">
        <f t="shared" si="40"/>
        <v>17.596400000000003</v>
      </c>
      <c r="AE227">
        <f t="shared" si="41"/>
        <v>13.854595925600002</v>
      </c>
      <c r="AF227" s="9"/>
      <c r="AG227" s="22">
        <v>0.99273699999999998</v>
      </c>
      <c r="AH227" s="22">
        <v>299.02600000000001</v>
      </c>
      <c r="AI227" s="22">
        <v>-1.7407200000000001E-2</v>
      </c>
      <c r="AJ227" s="22">
        <v>217</v>
      </c>
      <c r="AK227" s="22">
        <v>0.99182099999999995</v>
      </c>
      <c r="AL227">
        <f t="shared" si="42"/>
        <v>17.4072</v>
      </c>
      <c r="AM227">
        <f t="shared" si="43"/>
        <v>17.280771506400001</v>
      </c>
      <c r="AP227" s="9"/>
      <c r="AQ227" s="22">
        <v>0.787354</v>
      </c>
      <c r="AR227" s="22">
        <v>372.03899999999999</v>
      </c>
      <c r="AS227" s="22">
        <v>-1.7639200000000001E-2</v>
      </c>
      <c r="AT227" s="22">
        <v>217</v>
      </c>
      <c r="AU227" s="22">
        <v>0.78613299999999997</v>
      </c>
      <c r="AV227">
        <f t="shared" si="44"/>
        <v>17.639200000000002</v>
      </c>
      <c r="AW227">
        <f t="shared" si="45"/>
        <v>13.888294676800001</v>
      </c>
      <c r="AX227" s="9"/>
      <c r="AY227" s="22">
        <v>0.99273699999999998</v>
      </c>
      <c r="AZ227" s="22">
        <v>424.46800000000002</v>
      </c>
      <c r="BA227" s="22">
        <v>-1.7446900000000001E-2</v>
      </c>
      <c r="BB227" s="22">
        <v>217</v>
      </c>
      <c r="BC227" s="22">
        <v>0.99151599999999995</v>
      </c>
      <c r="BD227">
        <f t="shared" si="46"/>
        <v>17.446900000000003</v>
      </c>
      <c r="BE227">
        <f t="shared" si="47"/>
        <v>17.320183165300001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37.345500000000001</v>
      </c>
      <c r="I228" s="22">
        <v>-1.7477400000000001E-2</v>
      </c>
      <c r="J228" s="22">
        <v>218</v>
      </c>
      <c r="K228" s="22">
        <v>0.781555</v>
      </c>
      <c r="L228">
        <f t="shared" si="36"/>
        <v>17.477399999999999</v>
      </c>
      <c r="M228">
        <f t="shared" si="37"/>
        <v>13.672884613199999</v>
      </c>
      <c r="N228" s="9"/>
      <c r="O228" s="22">
        <v>0.99777199999999999</v>
      </c>
      <c r="P228" s="22">
        <v>94.6554</v>
      </c>
      <c r="Q228" s="22">
        <v>-1.7352300000000001E-2</v>
      </c>
      <c r="R228" s="22">
        <v>218</v>
      </c>
      <c r="S228" s="22">
        <v>0.99700900000000003</v>
      </c>
      <c r="T228">
        <f t="shared" si="38"/>
        <v>17.3523</v>
      </c>
      <c r="U228">
        <f t="shared" si="39"/>
        <v>17.313639075600001</v>
      </c>
      <c r="X228" s="9"/>
      <c r="Y228" s="22">
        <v>0.78231799999999996</v>
      </c>
      <c r="Z228" s="22">
        <v>184.81399999999999</v>
      </c>
      <c r="AA228" s="22">
        <v>-1.7596400000000002E-2</v>
      </c>
      <c r="AB228" s="22">
        <v>218</v>
      </c>
      <c r="AC228" s="22">
        <v>0.78216600000000003</v>
      </c>
      <c r="AD228">
        <f t="shared" si="40"/>
        <v>17.596400000000003</v>
      </c>
      <c r="AE228">
        <f t="shared" si="41"/>
        <v>13.765980455200001</v>
      </c>
      <c r="AF228" s="9"/>
      <c r="AG228" s="22">
        <v>0.99777199999999999</v>
      </c>
      <c r="AH228" s="22">
        <v>299.12700000000001</v>
      </c>
      <c r="AI228" s="22">
        <v>-1.7401099999999999E-2</v>
      </c>
      <c r="AJ228" s="22">
        <v>218</v>
      </c>
      <c r="AK228" s="22">
        <v>0.99670400000000003</v>
      </c>
      <c r="AL228">
        <f t="shared" si="42"/>
        <v>17.4011</v>
      </c>
      <c r="AM228">
        <f t="shared" si="43"/>
        <v>17.362330349200001</v>
      </c>
      <c r="AP228" s="9"/>
      <c r="AQ228" s="22">
        <v>0.78231799999999996</v>
      </c>
      <c r="AR228" s="22">
        <v>372.14</v>
      </c>
      <c r="AS228" s="22">
        <v>-1.7639200000000001E-2</v>
      </c>
      <c r="AT228" s="22">
        <v>218</v>
      </c>
      <c r="AU228" s="22">
        <v>0.78125</v>
      </c>
      <c r="AV228">
        <f t="shared" si="44"/>
        <v>17.639200000000002</v>
      </c>
      <c r="AW228">
        <f t="shared" si="45"/>
        <v>13.799463665600001</v>
      </c>
      <c r="AX228" s="9"/>
      <c r="AY228" s="22">
        <v>0.99777199999999999</v>
      </c>
      <c r="AZ228" s="22">
        <v>424.56900000000002</v>
      </c>
      <c r="BA228" s="22">
        <v>-1.7443799999999999E-2</v>
      </c>
      <c r="BB228" s="22">
        <v>218</v>
      </c>
      <c r="BC228" s="22">
        <v>0.99639900000000003</v>
      </c>
      <c r="BD228">
        <f t="shared" si="46"/>
        <v>17.4438</v>
      </c>
      <c r="BE228">
        <f t="shared" si="47"/>
        <v>17.404935213599998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37.446199999999997</v>
      </c>
      <c r="I229" s="22">
        <v>-1.74805E-2</v>
      </c>
      <c r="J229" s="22">
        <v>219</v>
      </c>
      <c r="K229" s="22">
        <v>0.77667200000000003</v>
      </c>
      <c r="L229">
        <f t="shared" si="36"/>
        <v>17.480499999999999</v>
      </c>
      <c r="M229">
        <f t="shared" si="37"/>
        <v>13.587295481499998</v>
      </c>
      <c r="N229" s="9"/>
      <c r="O229" s="22">
        <v>1.00281</v>
      </c>
      <c r="P229" s="22">
        <v>94.756100000000004</v>
      </c>
      <c r="Q229" s="22">
        <v>-1.7346199999999999E-2</v>
      </c>
      <c r="R229" s="22">
        <v>219</v>
      </c>
      <c r="S229" s="22">
        <v>1.0018899999999999</v>
      </c>
      <c r="T229">
        <f t="shared" si="38"/>
        <v>17.3462</v>
      </c>
      <c r="U229">
        <f t="shared" si="39"/>
        <v>17.394942822000001</v>
      </c>
      <c r="X229" s="9"/>
      <c r="Y229" s="22">
        <v>0.77728299999999995</v>
      </c>
      <c r="Z229" s="22">
        <v>184.91499999999999</v>
      </c>
      <c r="AA229" s="22">
        <v>-1.7596400000000002E-2</v>
      </c>
      <c r="AB229" s="22">
        <v>219</v>
      </c>
      <c r="AC229" s="22">
        <v>0.77636700000000003</v>
      </c>
      <c r="AD229">
        <f t="shared" si="40"/>
        <v>17.596400000000003</v>
      </c>
      <c r="AE229">
        <f t="shared" si="41"/>
        <v>13.677382581200002</v>
      </c>
      <c r="AF229" s="9"/>
      <c r="AG229" s="22">
        <v>1.00281</v>
      </c>
      <c r="AH229" s="22">
        <v>299.22800000000001</v>
      </c>
      <c r="AI229" s="22">
        <v>-1.7401099999999999E-2</v>
      </c>
      <c r="AJ229" s="22">
        <v>219</v>
      </c>
      <c r="AK229" s="22">
        <v>1.0022</v>
      </c>
      <c r="AL229">
        <f t="shared" si="42"/>
        <v>17.4011</v>
      </c>
      <c r="AM229">
        <f t="shared" si="43"/>
        <v>17.449997091</v>
      </c>
      <c r="AP229" s="9"/>
      <c r="AQ229" s="22">
        <v>0.77728299999999995</v>
      </c>
      <c r="AR229" s="22">
        <v>372.24099999999999</v>
      </c>
      <c r="AS229" s="22">
        <v>-1.7645299999999999E-2</v>
      </c>
      <c r="AT229" s="22">
        <v>219</v>
      </c>
      <c r="AU229" s="22">
        <v>0.77697799999999995</v>
      </c>
      <c r="AV229">
        <f t="shared" si="44"/>
        <v>17.645299999999999</v>
      </c>
      <c r="AW229">
        <f t="shared" si="45"/>
        <v>13.715391719899998</v>
      </c>
      <c r="AX229" s="9"/>
      <c r="AY229" s="22">
        <v>1.00281</v>
      </c>
      <c r="AZ229" s="22">
        <v>424.66899999999998</v>
      </c>
      <c r="BA229" s="22">
        <v>-1.74377E-2</v>
      </c>
      <c r="BB229" s="22">
        <v>219</v>
      </c>
      <c r="BC229" s="22">
        <v>1.0012799999999999</v>
      </c>
      <c r="BD229">
        <f t="shared" si="46"/>
        <v>17.4377</v>
      </c>
      <c r="BE229">
        <f t="shared" si="47"/>
        <v>17.486699937000001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37.546900000000001</v>
      </c>
      <c r="I230" s="22">
        <v>-1.74805E-2</v>
      </c>
      <c r="J230" s="22">
        <v>220</v>
      </c>
      <c r="K230" s="22">
        <v>0.77117899999999995</v>
      </c>
      <c r="L230">
        <f t="shared" si="36"/>
        <v>17.480499999999999</v>
      </c>
      <c r="M230">
        <f t="shared" si="37"/>
        <v>13.499263683500001</v>
      </c>
      <c r="N230" s="9"/>
      <c r="O230" s="22">
        <v>1.0078400000000001</v>
      </c>
      <c r="P230" s="22">
        <v>94.856800000000007</v>
      </c>
      <c r="Q230" s="22">
        <v>-1.7340100000000001E-2</v>
      </c>
      <c r="R230" s="22">
        <v>220</v>
      </c>
      <c r="S230" s="22">
        <v>1.00708</v>
      </c>
      <c r="T230">
        <f t="shared" si="38"/>
        <v>17.3401</v>
      </c>
      <c r="U230">
        <f t="shared" si="39"/>
        <v>17.476046384</v>
      </c>
      <c r="X230" s="9"/>
      <c r="Y230" s="22">
        <v>0.77224700000000002</v>
      </c>
      <c r="Z230" s="22">
        <v>185.01499999999999</v>
      </c>
      <c r="AA230" s="22">
        <v>-1.7605599999999999E-2</v>
      </c>
      <c r="AB230" s="22">
        <v>220</v>
      </c>
      <c r="AC230" s="22">
        <v>0.77178999999999998</v>
      </c>
      <c r="AD230">
        <f t="shared" si="40"/>
        <v>17.605599999999999</v>
      </c>
      <c r="AE230">
        <f t="shared" si="41"/>
        <v>13.5958717832</v>
      </c>
      <c r="AF230" s="9"/>
      <c r="AG230" s="22">
        <v>1.0078400000000001</v>
      </c>
      <c r="AH230" s="22">
        <v>299.32799999999997</v>
      </c>
      <c r="AI230" s="22">
        <v>-1.7395000000000001E-2</v>
      </c>
      <c r="AJ230" s="22">
        <v>220</v>
      </c>
      <c r="AK230" s="22">
        <v>1.00647</v>
      </c>
      <c r="AL230">
        <f t="shared" si="42"/>
        <v>17.395</v>
      </c>
      <c r="AM230">
        <f t="shared" si="43"/>
        <v>17.5313768</v>
      </c>
      <c r="AP230" s="9"/>
      <c r="AQ230" s="22">
        <v>0.77224700000000002</v>
      </c>
      <c r="AR230" s="22">
        <v>372.34100000000001</v>
      </c>
      <c r="AS230" s="22">
        <v>-1.7648299999999999E-2</v>
      </c>
      <c r="AT230" s="22">
        <v>220</v>
      </c>
      <c r="AU230" s="22">
        <v>0.77056899999999995</v>
      </c>
      <c r="AV230">
        <f t="shared" si="44"/>
        <v>17.648299999999999</v>
      </c>
      <c r="AW230">
        <f t="shared" si="45"/>
        <v>13.628846730099999</v>
      </c>
      <c r="AX230" s="9"/>
      <c r="AY230" s="22">
        <v>1.0078400000000001</v>
      </c>
      <c r="AZ230" s="22">
        <v>424.77</v>
      </c>
      <c r="BA230" s="22">
        <v>-1.7434700000000001E-2</v>
      </c>
      <c r="BB230" s="22">
        <v>220</v>
      </c>
      <c r="BC230" s="22">
        <v>1.00647</v>
      </c>
      <c r="BD230">
        <f t="shared" si="46"/>
        <v>17.434699999999999</v>
      </c>
      <c r="BE230">
        <f t="shared" si="47"/>
        <v>17.571388047999999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37.647599999999997</v>
      </c>
      <c r="I231" s="22">
        <v>-1.7483499999999999E-2</v>
      </c>
      <c r="J231" s="22">
        <v>221</v>
      </c>
      <c r="K231" s="22">
        <v>0.76629599999999998</v>
      </c>
      <c r="L231">
        <f t="shared" si="36"/>
        <v>17.483499999999999</v>
      </c>
      <c r="M231">
        <f t="shared" si="37"/>
        <v>13.413551002</v>
      </c>
      <c r="N231" s="9"/>
      <c r="O231" s="22">
        <v>1.01288</v>
      </c>
      <c r="P231" s="22">
        <v>94.957499999999996</v>
      </c>
      <c r="Q231" s="22">
        <v>-1.7333999999999999E-2</v>
      </c>
      <c r="R231" s="22">
        <v>221</v>
      </c>
      <c r="S231" s="22">
        <v>1.01166</v>
      </c>
      <c r="T231">
        <f t="shared" si="38"/>
        <v>17.334</v>
      </c>
      <c r="U231">
        <f t="shared" si="39"/>
        <v>17.557261919999998</v>
      </c>
      <c r="X231" s="9"/>
      <c r="Y231" s="22">
        <v>0.76721200000000001</v>
      </c>
      <c r="Z231" s="22">
        <v>185.11600000000001</v>
      </c>
      <c r="AA231" s="22">
        <v>-1.7608599999999999E-2</v>
      </c>
      <c r="AB231" s="22">
        <v>221</v>
      </c>
      <c r="AC231" s="22">
        <v>0.76660200000000001</v>
      </c>
      <c r="AD231">
        <f t="shared" si="40"/>
        <v>17.608599999999999</v>
      </c>
      <c r="AE231">
        <f t="shared" si="41"/>
        <v>13.509529223199999</v>
      </c>
      <c r="AF231" s="9"/>
      <c r="AG231" s="22">
        <v>1.01288</v>
      </c>
      <c r="AH231" s="22">
        <v>299.42899999999997</v>
      </c>
      <c r="AI231" s="22">
        <v>-1.7388899999999999E-2</v>
      </c>
      <c r="AJ231" s="22">
        <v>221</v>
      </c>
      <c r="AK231" s="22">
        <v>1.01227</v>
      </c>
      <c r="AL231">
        <f t="shared" si="42"/>
        <v>17.3889</v>
      </c>
      <c r="AM231">
        <f t="shared" si="43"/>
        <v>17.612869031999999</v>
      </c>
      <c r="AP231" s="9"/>
      <c r="AQ231" s="22">
        <v>0.76721200000000001</v>
      </c>
      <c r="AR231" s="22">
        <v>372.44200000000001</v>
      </c>
      <c r="AS231" s="22">
        <v>-1.7651400000000001E-2</v>
      </c>
      <c r="AT231" s="22">
        <v>221</v>
      </c>
      <c r="AU231" s="22">
        <v>0.76629599999999998</v>
      </c>
      <c r="AV231">
        <f t="shared" si="44"/>
        <v>17.651400000000002</v>
      </c>
      <c r="AW231">
        <f t="shared" si="45"/>
        <v>13.542365896800002</v>
      </c>
      <c r="AX231" s="9"/>
      <c r="AY231" s="22">
        <v>1.01288</v>
      </c>
      <c r="AZ231" s="22">
        <v>424.87099999999998</v>
      </c>
      <c r="BA231" s="22">
        <v>-1.74255E-2</v>
      </c>
      <c r="BB231" s="22">
        <v>221</v>
      </c>
      <c r="BC231" s="22">
        <v>1.01166</v>
      </c>
      <c r="BD231">
        <f t="shared" si="46"/>
        <v>17.4255</v>
      </c>
      <c r="BE231">
        <f t="shared" si="47"/>
        <v>17.649940439999998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37.7483</v>
      </c>
      <c r="I232" s="22">
        <v>-1.7489600000000001E-2</v>
      </c>
      <c r="J232" s="22">
        <v>222</v>
      </c>
      <c r="K232" s="22">
        <v>0.76110800000000001</v>
      </c>
      <c r="L232">
        <f t="shared" si="36"/>
        <v>17.489599999999999</v>
      </c>
      <c r="M232">
        <f t="shared" si="37"/>
        <v>13.330170859199999</v>
      </c>
      <c r="N232" s="9"/>
      <c r="O232" s="22">
        <v>1.0179100000000001</v>
      </c>
      <c r="P232" s="22">
        <v>95.058199999999999</v>
      </c>
      <c r="Q232" s="22">
        <v>-1.73309E-2</v>
      </c>
      <c r="R232" s="22">
        <v>222</v>
      </c>
      <c r="S232" s="22">
        <v>1.01685</v>
      </c>
      <c r="T232">
        <f t="shared" si="38"/>
        <v>17.3309</v>
      </c>
      <c r="U232">
        <f t="shared" si="39"/>
        <v>17.641296419</v>
      </c>
      <c r="X232" s="9"/>
      <c r="Y232" s="22">
        <v>0.76217699999999999</v>
      </c>
      <c r="Z232" s="22">
        <v>185.21700000000001</v>
      </c>
      <c r="AA232" s="22">
        <v>-1.76147E-2</v>
      </c>
      <c r="AB232" s="22">
        <v>222</v>
      </c>
      <c r="AC232" s="22">
        <v>0.76141400000000004</v>
      </c>
      <c r="AD232">
        <f t="shared" si="40"/>
        <v>17.614699999999999</v>
      </c>
      <c r="AE232">
        <f t="shared" si="41"/>
        <v>13.425519201899998</v>
      </c>
      <c r="AF232" s="9"/>
      <c r="AG232" s="22">
        <v>1.0179100000000001</v>
      </c>
      <c r="AH232" s="22">
        <v>299.52999999999997</v>
      </c>
      <c r="AI232" s="22">
        <v>-1.73828E-2</v>
      </c>
      <c r="AJ232" s="22">
        <v>222</v>
      </c>
      <c r="AK232" s="22">
        <v>1.01654</v>
      </c>
      <c r="AL232">
        <f t="shared" si="42"/>
        <v>17.3828</v>
      </c>
      <c r="AM232">
        <f t="shared" si="43"/>
        <v>17.694125948</v>
      </c>
      <c r="AP232" s="9"/>
      <c r="AQ232" s="22">
        <v>0.76217699999999999</v>
      </c>
      <c r="AR232" s="22">
        <v>372.54300000000001</v>
      </c>
      <c r="AS232" s="22">
        <v>-1.76575E-2</v>
      </c>
      <c r="AT232" s="22">
        <v>222</v>
      </c>
      <c r="AU232" s="22">
        <v>0.76141400000000004</v>
      </c>
      <c r="AV232">
        <f t="shared" si="44"/>
        <v>17.657499999999999</v>
      </c>
      <c r="AW232">
        <f t="shared" si="45"/>
        <v>13.458140377499999</v>
      </c>
      <c r="AX232" s="9"/>
      <c r="AY232" s="22">
        <v>1.0179100000000001</v>
      </c>
      <c r="AZ232" s="22">
        <v>424.97199999999998</v>
      </c>
      <c r="BA232" s="22">
        <v>-1.74225E-2</v>
      </c>
      <c r="BB232" s="22">
        <v>222</v>
      </c>
      <c r="BC232" s="22">
        <v>1.01685</v>
      </c>
      <c r="BD232">
        <f t="shared" si="46"/>
        <v>17.422499999999999</v>
      </c>
      <c r="BE232">
        <f t="shared" si="47"/>
        <v>17.734536975000001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37.848999999999997</v>
      </c>
      <c r="I233" s="22">
        <v>-1.74927E-2</v>
      </c>
      <c r="J233" s="22">
        <v>223</v>
      </c>
      <c r="K233" s="22">
        <v>0.75622599999999995</v>
      </c>
      <c r="L233">
        <f t="shared" si="36"/>
        <v>17.492699999999999</v>
      </c>
      <c r="M233">
        <f t="shared" si="37"/>
        <v>13.244440370699998</v>
      </c>
      <c r="N233" s="9"/>
      <c r="O233" s="22">
        <v>1.02295</v>
      </c>
      <c r="P233" s="22">
        <v>95.158900000000003</v>
      </c>
      <c r="Q233" s="22">
        <v>-1.7321799999999998E-2</v>
      </c>
      <c r="R233" s="22">
        <v>223</v>
      </c>
      <c r="S233" s="22">
        <v>1.02173</v>
      </c>
      <c r="T233">
        <f t="shared" si="38"/>
        <v>17.3218</v>
      </c>
      <c r="U233">
        <f t="shared" si="39"/>
        <v>17.719335310000002</v>
      </c>
      <c r="X233" s="9"/>
      <c r="Y233" s="22">
        <v>0.75714099999999995</v>
      </c>
      <c r="Z233" s="22">
        <v>185.31700000000001</v>
      </c>
      <c r="AA233" s="22">
        <v>-1.76147E-2</v>
      </c>
      <c r="AB233" s="22">
        <v>223</v>
      </c>
      <c r="AC233" s="22">
        <v>0.75622599999999995</v>
      </c>
      <c r="AD233">
        <f t="shared" si="40"/>
        <v>17.614699999999999</v>
      </c>
      <c r="AE233">
        <f t="shared" si="41"/>
        <v>13.336811572699999</v>
      </c>
      <c r="AF233" s="9"/>
      <c r="AG233" s="22">
        <v>1.02295</v>
      </c>
      <c r="AH233" s="22">
        <v>299.63</v>
      </c>
      <c r="AI233" s="22">
        <v>-1.73828E-2</v>
      </c>
      <c r="AJ233" s="22">
        <v>223</v>
      </c>
      <c r="AK233" s="22">
        <v>1.02203</v>
      </c>
      <c r="AL233">
        <f t="shared" si="42"/>
        <v>17.3828</v>
      </c>
      <c r="AM233">
        <f t="shared" si="43"/>
        <v>17.781735260000001</v>
      </c>
      <c r="AP233" s="9"/>
      <c r="AQ233" s="22">
        <v>0.75714099999999995</v>
      </c>
      <c r="AR233" s="22">
        <v>372.64400000000001</v>
      </c>
      <c r="AS233" s="22">
        <v>-1.7660499999999999E-2</v>
      </c>
      <c r="AT233" s="22">
        <v>223</v>
      </c>
      <c r="AU233" s="22">
        <v>0.75622599999999995</v>
      </c>
      <c r="AV233">
        <f t="shared" si="44"/>
        <v>17.660499999999999</v>
      </c>
      <c r="AW233">
        <f t="shared" si="45"/>
        <v>13.371488630499998</v>
      </c>
      <c r="AX233" s="9"/>
      <c r="AY233" s="22">
        <v>1.02295</v>
      </c>
      <c r="AZ233" s="22">
        <v>425.072</v>
      </c>
      <c r="BA233" s="22">
        <v>-1.7419400000000002E-2</v>
      </c>
      <c r="BB233" s="22">
        <v>223</v>
      </c>
      <c r="BC233" s="22">
        <v>1.02142</v>
      </c>
      <c r="BD233">
        <f t="shared" si="46"/>
        <v>17.419400000000003</v>
      </c>
      <c r="BE233">
        <f t="shared" si="47"/>
        <v>17.819175230000003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37.9497</v>
      </c>
      <c r="I234" s="22">
        <v>-1.7498799999999998E-2</v>
      </c>
      <c r="J234" s="22">
        <v>224</v>
      </c>
      <c r="K234" s="22">
        <v>0.75112900000000005</v>
      </c>
      <c r="L234">
        <f t="shared" si="36"/>
        <v>17.498799999999999</v>
      </c>
      <c r="M234">
        <f t="shared" si="37"/>
        <v>13.1609524728</v>
      </c>
      <c r="N234" s="9"/>
      <c r="O234" s="22">
        <v>1.0279799999999999</v>
      </c>
      <c r="P234" s="22">
        <v>95.259600000000006</v>
      </c>
      <c r="Q234" s="22">
        <v>-1.7318699999999999E-2</v>
      </c>
      <c r="R234" s="22">
        <v>224</v>
      </c>
      <c r="S234" s="22">
        <v>1.0269200000000001</v>
      </c>
      <c r="T234">
        <f t="shared" si="38"/>
        <v>17.3187</v>
      </c>
      <c r="U234">
        <f t="shared" si="39"/>
        <v>17.803277225999999</v>
      </c>
      <c r="X234" s="9"/>
      <c r="Y234" s="22">
        <v>0.75210600000000005</v>
      </c>
      <c r="Z234" s="22">
        <v>185.41800000000001</v>
      </c>
      <c r="AA234" s="22">
        <v>-1.7620799999999999E-2</v>
      </c>
      <c r="AB234" s="22">
        <v>224</v>
      </c>
      <c r="AC234" s="22">
        <v>0.75134299999999998</v>
      </c>
      <c r="AD234">
        <f t="shared" si="40"/>
        <v>17.620799999999999</v>
      </c>
      <c r="AE234">
        <f t="shared" si="41"/>
        <v>13.252709404800001</v>
      </c>
      <c r="AF234" s="9"/>
      <c r="AG234" s="22">
        <v>1.0279799999999999</v>
      </c>
      <c r="AH234" s="22">
        <v>299.73099999999999</v>
      </c>
      <c r="AI234" s="22">
        <v>-1.7376699999999998E-2</v>
      </c>
      <c r="AJ234" s="22">
        <v>224</v>
      </c>
      <c r="AK234" s="22">
        <v>1.0269200000000001</v>
      </c>
      <c r="AL234">
        <f t="shared" si="42"/>
        <v>17.3767</v>
      </c>
      <c r="AM234">
        <f t="shared" si="43"/>
        <v>17.862900065999998</v>
      </c>
      <c r="AP234" s="9"/>
      <c r="AQ234" s="22">
        <v>0.75210600000000005</v>
      </c>
      <c r="AR234" s="22">
        <v>372.74400000000003</v>
      </c>
      <c r="AS234" s="22">
        <v>-1.7663600000000002E-2</v>
      </c>
      <c r="AT234" s="22">
        <v>224</v>
      </c>
      <c r="AU234" s="22">
        <v>0.75103799999999998</v>
      </c>
      <c r="AV234">
        <f t="shared" si="44"/>
        <v>17.663600000000002</v>
      </c>
      <c r="AW234">
        <f t="shared" si="45"/>
        <v>13.284899541600003</v>
      </c>
      <c r="AX234" s="9"/>
      <c r="AY234" s="22">
        <v>1.0279799999999999</v>
      </c>
      <c r="AZ234" s="22">
        <v>425.173</v>
      </c>
      <c r="BA234" s="22">
        <v>-1.74133E-2</v>
      </c>
      <c r="BB234" s="22">
        <v>224</v>
      </c>
      <c r="BC234" s="22">
        <v>1.02661</v>
      </c>
      <c r="BD234">
        <f t="shared" si="46"/>
        <v>17.4133</v>
      </c>
      <c r="BE234">
        <f t="shared" si="47"/>
        <v>17.900524133999998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38.050400000000003</v>
      </c>
      <c r="I235" s="22">
        <v>-1.7498799999999998E-2</v>
      </c>
      <c r="J235" s="22">
        <v>225</v>
      </c>
      <c r="K235" s="22">
        <v>0.74603299999999995</v>
      </c>
      <c r="L235">
        <f t="shared" si="36"/>
        <v>17.498799999999999</v>
      </c>
      <c r="M235">
        <f t="shared" si="37"/>
        <v>13.072828516</v>
      </c>
      <c r="N235" s="9"/>
      <c r="O235" s="22">
        <v>1.03302</v>
      </c>
      <c r="P235" s="22">
        <v>95.360299999999995</v>
      </c>
      <c r="Q235" s="22">
        <v>-1.7318699999999999E-2</v>
      </c>
      <c r="R235" s="22">
        <v>225</v>
      </c>
      <c r="S235" s="22">
        <v>1.0318000000000001</v>
      </c>
      <c r="T235">
        <f t="shared" si="38"/>
        <v>17.3187</v>
      </c>
      <c r="U235">
        <f t="shared" si="39"/>
        <v>17.890563474</v>
      </c>
      <c r="X235" s="9"/>
      <c r="Y235" s="22">
        <v>0.74707000000000001</v>
      </c>
      <c r="Z235" s="22">
        <v>185.51900000000001</v>
      </c>
      <c r="AA235" s="22">
        <v>-1.7627E-2</v>
      </c>
      <c r="AB235" s="22">
        <v>225</v>
      </c>
      <c r="AC235" s="22">
        <v>0.74630700000000005</v>
      </c>
      <c r="AD235">
        <f t="shared" si="40"/>
        <v>17.626999999999999</v>
      </c>
      <c r="AE235">
        <f t="shared" si="41"/>
        <v>13.168602889999999</v>
      </c>
      <c r="AF235" s="9"/>
      <c r="AG235" s="22">
        <v>1.03302</v>
      </c>
      <c r="AH235" s="22">
        <v>299.83199999999999</v>
      </c>
      <c r="AI235" s="22">
        <v>-1.7373699999999999E-2</v>
      </c>
      <c r="AJ235" s="22">
        <v>225</v>
      </c>
      <c r="AK235" s="22">
        <v>1.0321</v>
      </c>
      <c r="AL235">
        <f t="shared" si="42"/>
        <v>17.373699999999999</v>
      </c>
      <c r="AM235">
        <f t="shared" si="43"/>
        <v>17.947379573999999</v>
      </c>
      <c r="AP235" s="9"/>
      <c r="AQ235" s="22">
        <v>0.74707000000000001</v>
      </c>
      <c r="AR235" s="22">
        <v>372.84500000000003</v>
      </c>
      <c r="AS235" s="22">
        <v>-1.76727E-2</v>
      </c>
      <c r="AT235" s="22">
        <v>225</v>
      </c>
      <c r="AU235" s="22">
        <v>0.74633799999999995</v>
      </c>
      <c r="AV235">
        <f t="shared" si="44"/>
        <v>17.672699999999999</v>
      </c>
      <c r="AW235">
        <f t="shared" si="45"/>
        <v>13.202743989</v>
      </c>
      <c r="AX235" s="9"/>
      <c r="AY235" s="22">
        <v>1.03302</v>
      </c>
      <c r="AZ235" s="22">
        <v>425.274</v>
      </c>
      <c r="BA235" s="22">
        <v>-1.7407200000000001E-2</v>
      </c>
      <c r="BB235" s="22">
        <v>225</v>
      </c>
      <c r="BC235" s="22">
        <v>1.0321</v>
      </c>
      <c r="BD235">
        <f t="shared" si="46"/>
        <v>17.4072</v>
      </c>
      <c r="BE235">
        <f t="shared" si="47"/>
        <v>17.981985743999999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38.151200000000003</v>
      </c>
      <c r="I236" s="22">
        <v>-1.75049E-2</v>
      </c>
      <c r="J236" s="22">
        <v>226</v>
      </c>
      <c r="K236" s="22">
        <v>0.74111899999999997</v>
      </c>
      <c r="L236">
        <f t="shared" si="36"/>
        <v>17.504899999999999</v>
      </c>
      <c r="M236">
        <f t="shared" si="37"/>
        <v>12.9892484715</v>
      </c>
      <c r="N236" s="9"/>
      <c r="O236" s="22">
        <v>1.03806</v>
      </c>
      <c r="P236" s="22">
        <v>95.460999999999999</v>
      </c>
      <c r="Q236" s="22">
        <v>-1.7312600000000001E-2</v>
      </c>
      <c r="R236" s="22">
        <v>226</v>
      </c>
      <c r="S236" s="22">
        <v>1.03668</v>
      </c>
      <c r="T236">
        <f t="shared" si="38"/>
        <v>17.3126</v>
      </c>
      <c r="U236">
        <f t="shared" si="39"/>
        <v>17.971517555999998</v>
      </c>
      <c r="X236" s="9"/>
      <c r="Y236" s="22">
        <v>0.742035</v>
      </c>
      <c r="Z236" s="22">
        <v>185.62</v>
      </c>
      <c r="AA236" s="22">
        <v>-1.7627E-2</v>
      </c>
      <c r="AB236" s="22">
        <v>226</v>
      </c>
      <c r="AC236" s="22">
        <v>0.74130200000000002</v>
      </c>
      <c r="AD236">
        <f t="shared" si="40"/>
        <v>17.626999999999999</v>
      </c>
      <c r="AE236">
        <f t="shared" si="41"/>
        <v>13.079850944999999</v>
      </c>
      <c r="AF236" s="9"/>
      <c r="AG236" s="22">
        <v>1.03806</v>
      </c>
      <c r="AH236" s="22">
        <v>299.93200000000002</v>
      </c>
      <c r="AI236" s="22">
        <v>-1.73676E-2</v>
      </c>
      <c r="AJ236" s="22">
        <v>226</v>
      </c>
      <c r="AK236" s="22">
        <v>1.0369900000000001</v>
      </c>
      <c r="AL236">
        <f t="shared" si="42"/>
        <v>17.367599999999999</v>
      </c>
      <c r="AM236">
        <f t="shared" si="43"/>
        <v>18.028610856</v>
      </c>
      <c r="AP236" s="9"/>
      <c r="AQ236" s="22">
        <v>0.742035</v>
      </c>
      <c r="AR236" s="22">
        <v>372.94600000000003</v>
      </c>
      <c r="AS236" s="22">
        <v>-1.76727E-2</v>
      </c>
      <c r="AT236" s="22">
        <v>226</v>
      </c>
      <c r="AU236" s="22">
        <v>0.74124100000000004</v>
      </c>
      <c r="AV236">
        <f t="shared" si="44"/>
        <v>17.672699999999999</v>
      </c>
      <c r="AW236">
        <f t="shared" si="45"/>
        <v>13.113761944499998</v>
      </c>
      <c r="AX236" s="9"/>
      <c r="AY236" s="22">
        <v>1.03806</v>
      </c>
      <c r="AZ236" s="22">
        <v>425.37400000000002</v>
      </c>
      <c r="BA236" s="22">
        <v>-1.7401099999999999E-2</v>
      </c>
      <c r="BB236" s="22">
        <v>226</v>
      </c>
      <c r="BC236" s="22">
        <v>1.0369900000000001</v>
      </c>
      <c r="BD236">
        <f t="shared" si="46"/>
        <v>17.4011</v>
      </c>
      <c r="BE236">
        <f t="shared" si="47"/>
        <v>18.063385866000001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38.251899999999999</v>
      </c>
      <c r="I237" s="22">
        <v>-1.7513999999999998E-2</v>
      </c>
      <c r="J237" s="22">
        <v>227</v>
      </c>
      <c r="K237" s="22">
        <v>0.73623700000000003</v>
      </c>
      <c r="L237">
        <f t="shared" si="36"/>
        <v>17.513999999999999</v>
      </c>
      <c r="M237">
        <f t="shared" si="37"/>
        <v>12.907817999999999</v>
      </c>
      <c r="N237" s="9"/>
      <c r="O237" s="22">
        <v>1.0430900000000001</v>
      </c>
      <c r="P237" s="22">
        <v>95.561700000000002</v>
      </c>
      <c r="Q237" s="22">
        <v>-1.7306499999999999E-2</v>
      </c>
      <c r="R237" s="22">
        <v>227</v>
      </c>
      <c r="S237" s="22">
        <v>1.0424800000000001</v>
      </c>
      <c r="T237">
        <f t="shared" si="38"/>
        <v>17.3065</v>
      </c>
      <c r="U237">
        <f t="shared" si="39"/>
        <v>18.052237085000002</v>
      </c>
      <c r="X237" s="9"/>
      <c r="Y237" s="22">
        <v>0.73699999999999999</v>
      </c>
      <c r="Z237" s="22">
        <v>185.72</v>
      </c>
      <c r="AA237" s="22">
        <v>-1.7633099999999999E-2</v>
      </c>
      <c r="AB237" s="22">
        <v>227</v>
      </c>
      <c r="AC237" s="22">
        <v>0.73635899999999999</v>
      </c>
      <c r="AD237">
        <f t="shared" si="40"/>
        <v>17.633099999999999</v>
      </c>
      <c r="AE237">
        <f t="shared" si="41"/>
        <v>12.9955947</v>
      </c>
      <c r="AF237" s="9"/>
      <c r="AG237" s="22">
        <v>1.0430900000000001</v>
      </c>
      <c r="AH237" s="22">
        <v>300.03300000000002</v>
      </c>
      <c r="AI237" s="22">
        <v>-1.73676E-2</v>
      </c>
      <c r="AJ237" s="22">
        <v>227</v>
      </c>
      <c r="AK237" s="22">
        <v>1.0424800000000001</v>
      </c>
      <c r="AL237">
        <f t="shared" si="42"/>
        <v>17.367599999999999</v>
      </c>
      <c r="AM237">
        <f t="shared" si="43"/>
        <v>18.115969884000002</v>
      </c>
      <c r="AP237" s="9"/>
      <c r="AQ237" s="22">
        <v>0.73699999999999999</v>
      </c>
      <c r="AR237" s="22">
        <v>373.04599999999999</v>
      </c>
      <c r="AS237" s="22">
        <v>-1.7678800000000001E-2</v>
      </c>
      <c r="AT237" s="22">
        <v>227</v>
      </c>
      <c r="AU237" s="22">
        <v>0.73629800000000001</v>
      </c>
      <c r="AV237">
        <f t="shared" si="44"/>
        <v>17.678800000000003</v>
      </c>
      <c r="AW237">
        <f t="shared" si="45"/>
        <v>13.029275600000002</v>
      </c>
      <c r="AX237" s="9"/>
      <c r="AY237" s="22">
        <v>1.0430900000000001</v>
      </c>
      <c r="AZ237" s="22">
        <v>425.47500000000002</v>
      </c>
      <c r="BA237" s="22">
        <v>-1.7401099999999999E-2</v>
      </c>
      <c r="BB237" s="22">
        <v>227</v>
      </c>
      <c r="BC237" s="22">
        <v>1.0418700000000001</v>
      </c>
      <c r="BD237">
        <f t="shared" si="46"/>
        <v>17.4011</v>
      </c>
      <c r="BE237">
        <f t="shared" si="47"/>
        <v>18.150913399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38.352600000000002</v>
      </c>
      <c r="I238" s="22">
        <v>-1.7513999999999998E-2</v>
      </c>
      <c r="J238" s="22">
        <v>228</v>
      </c>
      <c r="K238" s="22">
        <v>0.73111000000000004</v>
      </c>
      <c r="L238">
        <f t="shared" si="36"/>
        <v>17.513999999999999</v>
      </c>
      <c r="M238">
        <f t="shared" si="37"/>
        <v>12.819617495999999</v>
      </c>
      <c r="N238" s="9"/>
      <c r="O238" s="22">
        <v>1.04813</v>
      </c>
      <c r="P238" s="22">
        <v>95.662499999999994</v>
      </c>
      <c r="Q238" s="22">
        <v>-1.7306499999999999E-2</v>
      </c>
      <c r="R238" s="22">
        <v>228</v>
      </c>
      <c r="S238" s="22">
        <v>1.0467500000000001</v>
      </c>
      <c r="T238">
        <f t="shared" si="38"/>
        <v>17.3065</v>
      </c>
      <c r="U238">
        <f t="shared" si="39"/>
        <v>18.139461845</v>
      </c>
      <c r="X238" s="9"/>
      <c r="Y238" s="22">
        <v>0.73196399999999995</v>
      </c>
      <c r="Z238" s="22">
        <v>185.821</v>
      </c>
      <c r="AA238" s="22">
        <v>-1.7636099999999998E-2</v>
      </c>
      <c r="AB238" s="22">
        <v>228</v>
      </c>
      <c r="AC238" s="22">
        <v>0.73120099999999999</v>
      </c>
      <c r="AD238">
        <f t="shared" si="40"/>
        <v>17.636099999999999</v>
      </c>
      <c r="AE238">
        <f t="shared" si="41"/>
        <v>12.908990300399998</v>
      </c>
      <c r="AF238" s="9"/>
      <c r="AG238" s="22">
        <v>1.04813</v>
      </c>
      <c r="AH238" s="22">
        <v>300.13400000000001</v>
      </c>
      <c r="AI238" s="22">
        <v>-1.73584E-2</v>
      </c>
      <c r="AJ238" s="22">
        <v>228</v>
      </c>
      <c r="AK238" s="22">
        <v>1.0464500000000001</v>
      </c>
      <c r="AL238">
        <f t="shared" si="42"/>
        <v>17.3584</v>
      </c>
      <c r="AM238">
        <f t="shared" si="43"/>
        <v>18.193859792000001</v>
      </c>
      <c r="AP238" s="9"/>
      <c r="AQ238" s="22">
        <v>0.73196399999999995</v>
      </c>
      <c r="AR238" s="22">
        <v>373.14699999999999</v>
      </c>
      <c r="AS238" s="22">
        <v>-1.7678800000000001E-2</v>
      </c>
      <c r="AT238" s="22">
        <v>228</v>
      </c>
      <c r="AU238" s="22">
        <v>0.73129299999999997</v>
      </c>
      <c r="AV238">
        <f t="shared" si="44"/>
        <v>17.678800000000003</v>
      </c>
      <c r="AW238">
        <f t="shared" si="45"/>
        <v>12.9402451632</v>
      </c>
      <c r="AX238" s="9"/>
      <c r="AY238" s="22">
        <v>1.04813</v>
      </c>
      <c r="AZ238" s="22">
        <v>425.57600000000002</v>
      </c>
      <c r="BA238" s="22">
        <v>-1.73981E-2</v>
      </c>
      <c r="BB238" s="22">
        <v>228</v>
      </c>
      <c r="BC238" s="22">
        <v>1.0464500000000001</v>
      </c>
      <c r="BD238">
        <f t="shared" si="46"/>
        <v>17.398099999999999</v>
      </c>
      <c r="BE238">
        <f t="shared" si="47"/>
        <v>18.235470552999999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38.453299999999999</v>
      </c>
      <c r="I239" s="22">
        <v>-1.7517100000000001E-2</v>
      </c>
      <c r="J239" s="22">
        <v>229</v>
      </c>
      <c r="K239" s="22">
        <v>0.72613499999999997</v>
      </c>
      <c r="L239">
        <f t="shared" si="36"/>
        <v>17.517099999999999</v>
      </c>
      <c r="M239">
        <f t="shared" si="37"/>
        <v>12.7336879859</v>
      </c>
      <c r="N239" s="9"/>
      <c r="O239" s="22">
        <v>1.0531600000000001</v>
      </c>
      <c r="P239" s="22">
        <v>95.763199999999998</v>
      </c>
      <c r="Q239" s="22">
        <v>-1.7297400000000001E-2</v>
      </c>
      <c r="R239" s="22">
        <v>229</v>
      </c>
      <c r="S239" s="22">
        <v>1.0519400000000001</v>
      </c>
      <c r="T239">
        <f t="shared" si="38"/>
        <v>17.2974</v>
      </c>
      <c r="U239">
        <f t="shared" si="39"/>
        <v>18.216929784000001</v>
      </c>
      <c r="X239" s="9"/>
      <c r="Y239" s="22">
        <v>0.72692900000000005</v>
      </c>
      <c r="Z239" s="22">
        <v>185.922</v>
      </c>
      <c r="AA239" s="22">
        <v>-1.7639200000000001E-2</v>
      </c>
      <c r="AB239" s="22">
        <v>229</v>
      </c>
      <c r="AC239" s="22">
        <v>0.72619599999999995</v>
      </c>
      <c r="AD239">
        <f t="shared" si="40"/>
        <v>17.639200000000002</v>
      </c>
      <c r="AE239">
        <f t="shared" si="41"/>
        <v>12.822446016800003</v>
      </c>
      <c r="AF239" s="9"/>
      <c r="AG239" s="22">
        <v>1.0531600000000001</v>
      </c>
      <c r="AH239" s="22">
        <v>300.23500000000001</v>
      </c>
      <c r="AI239" s="22">
        <v>-1.7355300000000001E-2</v>
      </c>
      <c r="AJ239" s="22">
        <v>229</v>
      </c>
      <c r="AK239" s="22">
        <v>1.0519400000000001</v>
      </c>
      <c r="AL239">
        <f t="shared" si="42"/>
        <v>17.3553</v>
      </c>
      <c r="AM239">
        <f t="shared" si="43"/>
        <v>18.277907748000001</v>
      </c>
      <c r="AP239" s="9"/>
      <c r="AQ239" s="22">
        <v>0.72692900000000005</v>
      </c>
      <c r="AR239" s="22">
        <v>373.24799999999999</v>
      </c>
      <c r="AS239" s="22">
        <v>-1.7687999999999999E-2</v>
      </c>
      <c r="AT239" s="22">
        <v>229</v>
      </c>
      <c r="AU239" s="22">
        <v>0.72622699999999996</v>
      </c>
      <c r="AV239">
        <f t="shared" si="44"/>
        <v>17.687999999999999</v>
      </c>
      <c r="AW239">
        <f t="shared" si="45"/>
        <v>12.857920152</v>
      </c>
      <c r="AX239" s="9"/>
      <c r="AY239" s="22">
        <v>1.0531600000000001</v>
      </c>
      <c r="AZ239" s="22">
        <v>425.67700000000002</v>
      </c>
      <c r="BA239" s="22">
        <v>-1.7392000000000001E-2</v>
      </c>
      <c r="BB239" s="22">
        <v>229</v>
      </c>
      <c r="BC239" s="22">
        <v>1.0522499999999999</v>
      </c>
      <c r="BD239">
        <f t="shared" si="46"/>
        <v>17.391999999999999</v>
      </c>
      <c r="BE239">
        <f t="shared" si="47"/>
        <v>18.31655872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38.554000000000002</v>
      </c>
      <c r="I240" s="22">
        <v>-1.75201E-2</v>
      </c>
      <c r="J240" s="22">
        <v>230</v>
      </c>
      <c r="K240" s="22">
        <v>0.72116100000000005</v>
      </c>
      <c r="L240">
        <f t="shared" si="36"/>
        <v>17.520099999999999</v>
      </c>
      <c r="M240">
        <f t="shared" si="37"/>
        <v>12.647637549299999</v>
      </c>
      <c r="N240" s="9"/>
      <c r="O240" s="22">
        <v>1.0582</v>
      </c>
      <c r="P240" s="22">
        <v>95.863900000000001</v>
      </c>
      <c r="Q240" s="22">
        <v>-1.7291299999999999E-2</v>
      </c>
      <c r="R240" s="22">
        <v>230</v>
      </c>
      <c r="S240" s="22">
        <v>1.0574300000000001</v>
      </c>
      <c r="T240">
        <f t="shared" si="38"/>
        <v>17.2913</v>
      </c>
      <c r="U240">
        <f t="shared" si="39"/>
        <v>18.297653660000002</v>
      </c>
      <c r="X240" s="9"/>
      <c r="Y240" s="22">
        <v>0.72189300000000001</v>
      </c>
      <c r="Z240" s="22">
        <v>186.02199999999999</v>
      </c>
      <c r="AA240" s="22">
        <v>-1.76422E-2</v>
      </c>
      <c r="AB240" s="22">
        <v>230</v>
      </c>
      <c r="AC240" s="22">
        <v>0.72109999999999996</v>
      </c>
      <c r="AD240">
        <f t="shared" si="40"/>
        <v>17.642199999999999</v>
      </c>
      <c r="AE240">
        <f t="shared" si="41"/>
        <v>12.7357806846</v>
      </c>
      <c r="AF240" s="9"/>
      <c r="AG240" s="22">
        <v>1.0582</v>
      </c>
      <c r="AH240" s="22">
        <v>300.33499999999998</v>
      </c>
      <c r="AI240" s="22">
        <v>-1.7346199999999999E-2</v>
      </c>
      <c r="AJ240" s="22">
        <v>230</v>
      </c>
      <c r="AK240" s="22">
        <v>1.0571299999999999</v>
      </c>
      <c r="AL240">
        <f t="shared" si="42"/>
        <v>17.3462</v>
      </c>
      <c r="AM240">
        <f t="shared" si="43"/>
        <v>18.35574884</v>
      </c>
      <c r="AP240" s="9"/>
      <c r="AQ240" s="22">
        <v>0.72189300000000001</v>
      </c>
      <c r="AR240" s="22">
        <v>373.34800000000001</v>
      </c>
      <c r="AS240" s="22">
        <v>-1.7687999999999999E-2</v>
      </c>
      <c r="AT240" s="22">
        <v>230</v>
      </c>
      <c r="AU240" s="22">
        <v>0.72097800000000001</v>
      </c>
      <c r="AV240">
        <f t="shared" si="44"/>
        <v>17.687999999999999</v>
      </c>
      <c r="AW240">
        <f t="shared" si="45"/>
        <v>12.768843383999998</v>
      </c>
      <c r="AX240" s="9"/>
      <c r="AY240" s="22">
        <v>1.0582</v>
      </c>
      <c r="AZ240" s="22">
        <v>425.77699999999999</v>
      </c>
      <c r="BA240" s="22">
        <v>-1.7385899999999999E-2</v>
      </c>
      <c r="BB240" s="22">
        <v>230</v>
      </c>
      <c r="BC240" s="22">
        <v>1.0574300000000001</v>
      </c>
      <c r="BD240">
        <f t="shared" si="46"/>
        <v>17.385899999999999</v>
      </c>
      <c r="BE240">
        <f t="shared" si="47"/>
        <v>18.39775938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38.654699999999998</v>
      </c>
      <c r="I241" s="22">
        <v>-1.7523199999999999E-2</v>
      </c>
      <c r="J241" s="22">
        <v>231</v>
      </c>
      <c r="K241" s="22">
        <v>0.71640000000000004</v>
      </c>
      <c r="L241">
        <f t="shared" si="36"/>
        <v>17.523199999999999</v>
      </c>
      <c r="M241">
        <f t="shared" si="37"/>
        <v>12.5616461056</v>
      </c>
      <c r="N241" s="9"/>
      <c r="O241" s="22">
        <v>1.0632299999999999</v>
      </c>
      <c r="P241" s="22">
        <v>95.964600000000004</v>
      </c>
      <c r="Q241" s="22">
        <v>-1.7291299999999999E-2</v>
      </c>
      <c r="R241" s="22">
        <v>231</v>
      </c>
      <c r="S241" s="22">
        <v>1.0620099999999999</v>
      </c>
      <c r="T241">
        <f t="shared" si="38"/>
        <v>17.2913</v>
      </c>
      <c r="U241">
        <f t="shared" si="39"/>
        <v>18.384628898999999</v>
      </c>
      <c r="X241" s="9"/>
      <c r="Y241" s="22">
        <v>0.716858</v>
      </c>
      <c r="Z241" s="22">
        <v>186.12299999999999</v>
      </c>
      <c r="AA241" s="22">
        <v>-1.7648299999999999E-2</v>
      </c>
      <c r="AB241" s="22">
        <v>231</v>
      </c>
      <c r="AC241" s="22">
        <v>0.71609500000000004</v>
      </c>
      <c r="AD241">
        <f t="shared" si="40"/>
        <v>17.648299999999999</v>
      </c>
      <c r="AE241">
        <f t="shared" si="41"/>
        <v>12.6513250414</v>
      </c>
      <c r="AF241" s="9"/>
      <c r="AG241" s="22">
        <v>1.0632299999999999</v>
      </c>
      <c r="AH241" s="22">
        <v>300.43599999999998</v>
      </c>
      <c r="AI241" s="22">
        <v>-1.7346199999999999E-2</v>
      </c>
      <c r="AJ241" s="22">
        <v>231</v>
      </c>
      <c r="AK241" s="22">
        <v>1.0613999999999999</v>
      </c>
      <c r="AL241">
        <f t="shared" si="42"/>
        <v>17.3462</v>
      </c>
      <c r="AM241">
        <f t="shared" si="43"/>
        <v>18.443000225999999</v>
      </c>
      <c r="AP241" s="9"/>
      <c r="AQ241" s="22">
        <v>0.716858</v>
      </c>
      <c r="AR241" s="22">
        <v>373.44900000000001</v>
      </c>
      <c r="AS241" s="22">
        <v>-1.7694100000000001E-2</v>
      </c>
      <c r="AT241" s="22">
        <v>231</v>
      </c>
      <c r="AU241" s="22">
        <v>0.71621699999999999</v>
      </c>
      <c r="AV241">
        <f t="shared" si="44"/>
        <v>17.694100000000002</v>
      </c>
      <c r="AW241">
        <f t="shared" si="45"/>
        <v>12.684157137800002</v>
      </c>
      <c r="AX241" s="9"/>
      <c r="AY241" s="22">
        <v>1.0632299999999999</v>
      </c>
      <c r="AZ241" s="22">
        <v>425.87799999999999</v>
      </c>
      <c r="BA241" s="22">
        <v>-1.73828E-2</v>
      </c>
      <c r="BB241" s="22">
        <v>231</v>
      </c>
      <c r="BC241" s="22">
        <v>1.0623199999999999</v>
      </c>
      <c r="BD241">
        <f t="shared" si="46"/>
        <v>17.3828</v>
      </c>
      <c r="BE241">
        <f t="shared" si="47"/>
        <v>18.481914443999997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38.755400000000002</v>
      </c>
      <c r="I242" s="22">
        <v>-1.7532300000000001E-2</v>
      </c>
      <c r="J242" s="22">
        <v>232</v>
      </c>
      <c r="K242" s="22">
        <v>0.71084599999999998</v>
      </c>
      <c r="L242">
        <f t="shared" si="36"/>
        <v>17.532299999999999</v>
      </c>
      <c r="M242">
        <f t="shared" si="37"/>
        <v>12.4798943829</v>
      </c>
      <c r="N242" s="9"/>
      <c r="O242" s="22">
        <v>1.0682700000000001</v>
      </c>
      <c r="P242" s="22">
        <v>96.065299999999993</v>
      </c>
      <c r="Q242" s="22">
        <v>-1.7282100000000002E-2</v>
      </c>
      <c r="R242" s="22">
        <v>232</v>
      </c>
      <c r="S242" s="22">
        <v>1.0678099999999999</v>
      </c>
      <c r="T242">
        <f t="shared" si="38"/>
        <v>17.282100000000003</v>
      </c>
      <c r="U242">
        <f t="shared" si="39"/>
        <v>18.461948967000005</v>
      </c>
      <c r="X242" s="9"/>
      <c r="Y242" s="22">
        <v>0.71182299999999998</v>
      </c>
      <c r="Z242" s="22">
        <v>186.22399999999999</v>
      </c>
      <c r="AA242" s="22">
        <v>-1.7648299999999999E-2</v>
      </c>
      <c r="AB242" s="22">
        <v>232</v>
      </c>
      <c r="AC242" s="22">
        <v>0.711121</v>
      </c>
      <c r="AD242">
        <f t="shared" si="40"/>
        <v>17.648299999999999</v>
      </c>
      <c r="AE242">
        <f t="shared" si="41"/>
        <v>12.562465850899999</v>
      </c>
      <c r="AF242" s="9"/>
      <c r="AG242" s="22">
        <v>1.0682700000000001</v>
      </c>
      <c r="AH242" s="22">
        <v>300.53699999999998</v>
      </c>
      <c r="AI242" s="22">
        <v>-1.7333999999999999E-2</v>
      </c>
      <c r="AJ242" s="22">
        <v>232</v>
      </c>
      <c r="AK242" s="22">
        <v>1.0678099999999999</v>
      </c>
      <c r="AL242">
        <f t="shared" si="42"/>
        <v>17.334</v>
      </c>
      <c r="AM242">
        <f t="shared" si="43"/>
        <v>18.517392180000002</v>
      </c>
      <c r="AP242" s="9"/>
      <c r="AQ242" s="22">
        <v>0.71182299999999998</v>
      </c>
      <c r="AR242" s="22">
        <v>373.55</v>
      </c>
      <c r="AS242" s="22">
        <v>-1.76971E-2</v>
      </c>
      <c r="AT242" s="22">
        <v>232</v>
      </c>
      <c r="AU242" s="22">
        <v>0.71109</v>
      </c>
      <c r="AV242">
        <f t="shared" si="44"/>
        <v>17.697099999999999</v>
      </c>
      <c r="AW242">
        <f t="shared" si="45"/>
        <v>12.597202813299999</v>
      </c>
      <c r="AX242" s="9"/>
      <c r="AY242" s="22">
        <v>1.0682700000000001</v>
      </c>
      <c r="AZ242" s="22">
        <v>425.97899999999998</v>
      </c>
      <c r="BA242" s="22">
        <v>-1.7376699999999998E-2</v>
      </c>
      <c r="BB242" s="22">
        <v>232</v>
      </c>
      <c r="BC242" s="22">
        <v>1.0674999999999999</v>
      </c>
      <c r="BD242">
        <f t="shared" si="46"/>
        <v>17.3767</v>
      </c>
      <c r="BE242">
        <f t="shared" si="47"/>
        <v>18.563007309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38.856099999999998</v>
      </c>
      <c r="I243" s="22">
        <v>-1.75354E-2</v>
      </c>
      <c r="J243" s="22">
        <v>233</v>
      </c>
      <c r="K243" s="22">
        <v>0.70605499999999999</v>
      </c>
      <c r="L243">
        <f t="shared" si="36"/>
        <v>17.535399999999999</v>
      </c>
      <c r="M243">
        <f t="shared" si="37"/>
        <v>12.3937927598</v>
      </c>
      <c r="N243" s="9"/>
      <c r="O243" s="22">
        <v>1.0732999999999999</v>
      </c>
      <c r="P243" s="22">
        <v>96.165999999999997</v>
      </c>
      <c r="Q243" s="22">
        <v>-1.7279099999999999E-2</v>
      </c>
      <c r="R243" s="22">
        <v>233</v>
      </c>
      <c r="S243" s="22">
        <v>1.0720799999999999</v>
      </c>
      <c r="T243">
        <f t="shared" si="38"/>
        <v>17.2791</v>
      </c>
      <c r="U243">
        <f t="shared" si="39"/>
        <v>18.545658029999998</v>
      </c>
      <c r="X243" s="9"/>
      <c r="Y243" s="22">
        <v>0.70678700000000005</v>
      </c>
      <c r="Z243" s="22">
        <v>186.32400000000001</v>
      </c>
      <c r="AA243" s="22">
        <v>-1.7654400000000001E-2</v>
      </c>
      <c r="AB243" s="22">
        <v>233</v>
      </c>
      <c r="AC243" s="22">
        <v>0.70587200000000005</v>
      </c>
      <c r="AD243">
        <f t="shared" si="40"/>
        <v>17.654399999999999</v>
      </c>
      <c r="AE243">
        <f t="shared" si="41"/>
        <v>12.4779004128</v>
      </c>
      <c r="AF243" s="9"/>
      <c r="AG243" s="22">
        <v>1.0732999999999999</v>
      </c>
      <c r="AH243" s="22">
        <v>300.637</v>
      </c>
      <c r="AI243" s="22">
        <v>-1.73309E-2</v>
      </c>
      <c r="AJ243" s="22">
        <v>233</v>
      </c>
      <c r="AK243" s="22">
        <v>1.07239</v>
      </c>
      <c r="AL243">
        <f t="shared" si="42"/>
        <v>17.3309</v>
      </c>
      <c r="AM243">
        <f t="shared" si="43"/>
        <v>18.601254969999999</v>
      </c>
      <c r="AP243" s="9"/>
      <c r="AQ243" s="22">
        <v>0.70678700000000005</v>
      </c>
      <c r="AR243" s="22">
        <v>373.65100000000001</v>
      </c>
      <c r="AS243" s="22">
        <v>-1.7703199999999999E-2</v>
      </c>
      <c r="AT243" s="22">
        <v>233</v>
      </c>
      <c r="AU243" s="22">
        <v>0.70596300000000001</v>
      </c>
      <c r="AV243">
        <f t="shared" si="44"/>
        <v>17.703199999999999</v>
      </c>
      <c r="AW243">
        <f t="shared" si="45"/>
        <v>12.512391618400001</v>
      </c>
      <c r="AX243" s="9"/>
      <c r="AY243" s="22">
        <v>1.0732999999999999</v>
      </c>
      <c r="AZ243" s="22">
        <v>426.07900000000001</v>
      </c>
      <c r="BA243" s="22">
        <v>-1.73706E-2</v>
      </c>
      <c r="BB243" s="22">
        <v>233</v>
      </c>
      <c r="BC243" s="22">
        <v>1.0720799999999999</v>
      </c>
      <c r="BD243">
        <f t="shared" si="46"/>
        <v>17.3706</v>
      </c>
      <c r="BE243">
        <f t="shared" si="47"/>
        <v>18.643864979999996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38.956800000000001</v>
      </c>
      <c r="I244" s="22">
        <v>-1.7538499999999999E-2</v>
      </c>
      <c r="J244" s="22">
        <v>234</v>
      </c>
      <c r="K244" s="22">
        <v>0.70095799999999997</v>
      </c>
      <c r="L244">
        <f t="shared" si="36"/>
        <v>17.538499999999999</v>
      </c>
      <c r="M244">
        <f t="shared" si="37"/>
        <v>12.307677452</v>
      </c>
      <c r="N244" s="9"/>
      <c r="O244" s="22">
        <v>1.0783400000000001</v>
      </c>
      <c r="P244" s="22">
        <v>96.2667</v>
      </c>
      <c r="Q244" s="22">
        <v>-1.7272900000000001E-2</v>
      </c>
      <c r="R244" s="22">
        <v>234</v>
      </c>
      <c r="S244" s="22">
        <v>1.07666</v>
      </c>
      <c r="T244">
        <f t="shared" si="38"/>
        <v>17.2729</v>
      </c>
      <c r="U244">
        <f t="shared" si="39"/>
        <v>18.626058986</v>
      </c>
      <c r="X244" s="9"/>
      <c r="Y244" s="22">
        <v>0.70175200000000004</v>
      </c>
      <c r="Z244" s="22">
        <v>186.42500000000001</v>
      </c>
      <c r="AA244" s="22">
        <v>-1.76575E-2</v>
      </c>
      <c r="AB244" s="22">
        <v>234</v>
      </c>
      <c r="AC244" s="22">
        <v>0.70083600000000001</v>
      </c>
      <c r="AD244">
        <f t="shared" si="40"/>
        <v>17.657499999999999</v>
      </c>
      <c r="AE244">
        <f t="shared" si="41"/>
        <v>12.39118594</v>
      </c>
      <c r="AF244" s="9"/>
      <c r="AG244" s="22">
        <v>1.0783400000000001</v>
      </c>
      <c r="AH244" s="22">
        <v>300.738</v>
      </c>
      <c r="AI244" s="22">
        <v>-1.73279E-2</v>
      </c>
      <c r="AJ244" s="22">
        <v>234</v>
      </c>
      <c r="AK244" s="22">
        <v>1.07758</v>
      </c>
      <c r="AL244">
        <f t="shared" si="42"/>
        <v>17.3279</v>
      </c>
      <c r="AM244">
        <f t="shared" si="43"/>
        <v>18.685367685999999</v>
      </c>
      <c r="AP244" s="9"/>
      <c r="AQ244" s="22">
        <v>0.70175200000000004</v>
      </c>
      <c r="AR244" s="22">
        <v>373.75099999999998</v>
      </c>
      <c r="AS244" s="22">
        <v>-1.7703199999999999E-2</v>
      </c>
      <c r="AT244" s="22">
        <v>234</v>
      </c>
      <c r="AU244" s="22">
        <v>0.70098899999999997</v>
      </c>
      <c r="AV244">
        <f t="shared" si="44"/>
        <v>17.703199999999999</v>
      </c>
      <c r="AW244">
        <f t="shared" si="45"/>
        <v>12.423256006400001</v>
      </c>
      <c r="AX244" s="9"/>
      <c r="AY244" s="22">
        <v>1.0783400000000001</v>
      </c>
      <c r="AZ244" s="22">
        <v>426.18</v>
      </c>
      <c r="BA244" s="22">
        <v>-1.73676E-2</v>
      </c>
      <c r="BB244" s="22">
        <v>234</v>
      </c>
      <c r="BC244" s="22">
        <v>1.0772699999999999</v>
      </c>
      <c r="BD244">
        <f t="shared" si="46"/>
        <v>17.367599999999999</v>
      </c>
      <c r="BE244">
        <f t="shared" si="47"/>
        <v>18.728177784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39.057499999999997</v>
      </c>
      <c r="I245" s="22">
        <v>-1.7541500000000002E-2</v>
      </c>
      <c r="J245" s="22">
        <v>235</v>
      </c>
      <c r="K245" s="22">
        <v>0.69595300000000004</v>
      </c>
      <c r="L245">
        <f t="shared" si="36"/>
        <v>17.541500000000003</v>
      </c>
      <c r="M245">
        <f t="shared" si="37"/>
        <v>12.221443714000001</v>
      </c>
      <c r="N245" s="9"/>
      <c r="O245" s="22">
        <v>1.0833699999999999</v>
      </c>
      <c r="P245" s="22">
        <v>96.367400000000004</v>
      </c>
      <c r="Q245" s="22">
        <v>-1.7272900000000001E-2</v>
      </c>
      <c r="R245" s="22">
        <v>235</v>
      </c>
      <c r="S245" s="22">
        <v>1.08246</v>
      </c>
      <c r="T245">
        <f t="shared" si="38"/>
        <v>17.2729</v>
      </c>
      <c r="U245">
        <f t="shared" si="39"/>
        <v>18.712941673</v>
      </c>
      <c r="X245" s="9"/>
      <c r="Y245" s="22">
        <v>0.696716</v>
      </c>
      <c r="Z245" s="22">
        <v>186.52600000000001</v>
      </c>
      <c r="AA245" s="22">
        <v>-1.7660499999999999E-2</v>
      </c>
      <c r="AB245" s="22">
        <v>235</v>
      </c>
      <c r="AC245" s="22">
        <v>0.69589199999999996</v>
      </c>
      <c r="AD245">
        <f t="shared" si="40"/>
        <v>17.660499999999999</v>
      </c>
      <c r="AE245">
        <f t="shared" si="41"/>
        <v>12.304352917999999</v>
      </c>
      <c r="AF245" s="9"/>
      <c r="AG245" s="22">
        <v>1.0833699999999999</v>
      </c>
      <c r="AH245" s="22">
        <v>300.839</v>
      </c>
      <c r="AI245" s="22">
        <v>-1.7324800000000001E-2</v>
      </c>
      <c r="AJ245" s="22">
        <v>235</v>
      </c>
      <c r="AK245" s="22">
        <v>1.08246</v>
      </c>
      <c r="AL245">
        <f t="shared" si="42"/>
        <v>17.3248</v>
      </c>
      <c r="AM245">
        <f t="shared" si="43"/>
        <v>18.769168575999998</v>
      </c>
      <c r="AP245" s="9"/>
      <c r="AQ245" s="22">
        <v>0.696716</v>
      </c>
      <c r="AR245" s="22">
        <v>373.85199999999998</v>
      </c>
      <c r="AS245" s="22">
        <v>-1.77124E-2</v>
      </c>
      <c r="AT245" s="22">
        <v>235</v>
      </c>
      <c r="AU245" s="22">
        <v>0.69598400000000005</v>
      </c>
      <c r="AV245">
        <f t="shared" si="44"/>
        <v>17.712399999999999</v>
      </c>
      <c r="AW245">
        <f t="shared" si="45"/>
        <v>12.340512478399999</v>
      </c>
      <c r="AX245" s="9"/>
      <c r="AY245" s="22">
        <v>1.0833699999999999</v>
      </c>
      <c r="AZ245" s="22">
        <v>426.28100000000001</v>
      </c>
      <c r="BA245" s="22">
        <v>-1.7364500000000001E-2</v>
      </c>
      <c r="BB245" s="22">
        <v>235</v>
      </c>
      <c r="BC245" s="22">
        <v>1.0827599999999999</v>
      </c>
      <c r="BD245">
        <f t="shared" si="46"/>
        <v>17.364500000000003</v>
      </c>
      <c r="BE245">
        <f t="shared" si="47"/>
        <v>18.812178365000001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39.158200000000001</v>
      </c>
      <c r="I246" s="22">
        <v>-1.75476E-2</v>
      </c>
      <c r="J246" s="22">
        <v>236</v>
      </c>
      <c r="K246" s="22">
        <v>0.69094800000000001</v>
      </c>
      <c r="L246">
        <f t="shared" si="36"/>
        <v>17.547599999999999</v>
      </c>
      <c r="M246">
        <f t="shared" si="37"/>
        <v>12.137341515599999</v>
      </c>
      <c r="N246" s="9"/>
      <c r="O246" s="22">
        <v>1.0884100000000001</v>
      </c>
      <c r="P246" s="22">
        <v>96.468100000000007</v>
      </c>
      <c r="Q246" s="22">
        <v>-1.7269900000000001E-2</v>
      </c>
      <c r="R246" s="22">
        <v>236</v>
      </c>
      <c r="S246" s="22">
        <v>1.08795</v>
      </c>
      <c r="T246">
        <f t="shared" si="38"/>
        <v>17.2699</v>
      </c>
      <c r="U246">
        <f t="shared" si="39"/>
        <v>18.796731859000001</v>
      </c>
      <c r="X246" s="9"/>
      <c r="Y246" s="22">
        <v>0.69168099999999999</v>
      </c>
      <c r="Z246" s="22">
        <v>186.62700000000001</v>
      </c>
      <c r="AA246" s="22">
        <v>-1.7666600000000001E-2</v>
      </c>
      <c r="AB246" s="22">
        <v>236</v>
      </c>
      <c r="AC246" s="22">
        <v>0.69085700000000005</v>
      </c>
      <c r="AD246">
        <f t="shared" si="40"/>
        <v>17.666600000000003</v>
      </c>
      <c r="AE246">
        <f t="shared" si="41"/>
        <v>12.219651554600002</v>
      </c>
      <c r="AF246" s="9"/>
      <c r="AG246" s="22">
        <v>1.0884100000000001</v>
      </c>
      <c r="AH246" s="22">
        <v>300.94</v>
      </c>
      <c r="AI246" s="22">
        <v>-1.7321799999999998E-2</v>
      </c>
      <c r="AJ246" s="22">
        <v>236</v>
      </c>
      <c r="AK246" s="22">
        <v>1.08704</v>
      </c>
      <c r="AL246">
        <f t="shared" si="42"/>
        <v>17.3218</v>
      </c>
      <c r="AM246">
        <f t="shared" si="43"/>
        <v>18.853220338</v>
      </c>
      <c r="AP246" s="9"/>
      <c r="AQ246" s="22">
        <v>0.69168099999999999</v>
      </c>
      <c r="AR246" s="22">
        <v>373.95299999999997</v>
      </c>
      <c r="AS246" s="22">
        <v>-1.7715499999999999E-2</v>
      </c>
      <c r="AT246" s="22">
        <v>236</v>
      </c>
      <c r="AU246" s="22">
        <v>0.69101000000000001</v>
      </c>
      <c r="AV246">
        <f t="shared" si="44"/>
        <v>17.715499999999999</v>
      </c>
      <c r="AW246">
        <f t="shared" si="45"/>
        <v>12.253474755499999</v>
      </c>
      <c r="AX246" s="9"/>
      <c r="AY246" s="22">
        <v>1.0884100000000001</v>
      </c>
      <c r="AZ246" s="22">
        <v>426.38200000000001</v>
      </c>
      <c r="BA246" s="22">
        <v>-1.7361499999999998E-2</v>
      </c>
      <c r="BB246" s="22">
        <v>236</v>
      </c>
      <c r="BC246" s="22">
        <v>1.08765</v>
      </c>
      <c r="BD246">
        <f t="shared" si="46"/>
        <v>17.361499999999999</v>
      </c>
      <c r="BE246">
        <f t="shared" si="47"/>
        <v>18.896430215000002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39.258899999999997</v>
      </c>
      <c r="I247" s="22">
        <v>-1.7550699999999999E-2</v>
      </c>
      <c r="J247" s="22">
        <v>237</v>
      </c>
      <c r="K247" s="22">
        <v>0.68585200000000002</v>
      </c>
      <c r="L247">
        <f t="shared" si="36"/>
        <v>17.550699999999999</v>
      </c>
      <c r="M247">
        <f t="shared" si="37"/>
        <v>12.051117952199998</v>
      </c>
      <c r="N247" s="9"/>
      <c r="O247" s="22">
        <v>1.09344</v>
      </c>
      <c r="P247" s="22">
        <v>96.568799999999996</v>
      </c>
      <c r="Q247" s="22">
        <v>-1.72607E-2</v>
      </c>
      <c r="R247" s="22">
        <v>237</v>
      </c>
      <c r="S247" s="22">
        <v>1.09192</v>
      </c>
      <c r="T247">
        <f t="shared" si="38"/>
        <v>17.2607</v>
      </c>
      <c r="U247">
        <f t="shared" si="39"/>
        <v>18.873539808</v>
      </c>
      <c r="X247" s="9"/>
      <c r="Y247" s="22">
        <v>0.68664599999999998</v>
      </c>
      <c r="Z247" s="22">
        <v>186.727</v>
      </c>
      <c r="AA247" s="22">
        <v>-1.76697E-2</v>
      </c>
      <c r="AB247" s="22">
        <v>237</v>
      </c>
      <c r="AC247" s="22">
        <v>0.68582200000000004</v>
      </c>
      <c r="AD247">
        <f t="shared" si="40"/>
        <v>17.669699999999999</v>
      </c>
      <c r="AE247">
        <f t="shared" si="41"/>
        <v>12.132828826199999</v>
      </c>
      <c r="AF247" s="9"/>
      <c r="AG247" s="22">
        <v>1.09344</v>
      </c>
      <c r="AH247" s="22">
        <v>301.04000000000002</v>
      </c>
      <c r="AI247" s="22">
        <v>-1.73157E-2</v>
      </c>
      <c r="AJ247" s="22">
        <v>237</v>
      </c>
      <c r="AK247" s="22">
        <v>1.09222</v>
      </c>
      <c r="AL247">
        <f t="shared" si="42"/>
        <v>17.3157</v>
      </c>
      <c r="AM247">
        <f t="shared" si="43"/>
        <v>18.933679007999999</v>
      </c>
      <c r="AP247" s="9"/>
      <c r="AQ247" s="22">
        <v>0.68664599999999998</v>
      </c>
      <c r="AR247" s="22">
        <v>374.053</v>
      </c>
      <c r="AS247" s="22">
        <v>-1.7718500000000002E-2</v>
      </c>
      <c r="AT247" s="22">
        <v>237</v>
      </c>
      <c r="AU247" s="22">
        <v>0.68576000000000004</v>
      </c>
      <c r="AV247">
        <f t="shared" si="44"/>
        <v>17.718500000000002</v>
      </c>
      <c r="AW247">
        <f t="shared" si="45"/>
        <v>12.166337151</v>
      </c>
      <c r="AX247" s="9"/>
      <c r="AY247" s="22">
        <v>1.09344</v>
      </c>
      <c r="AZ247" s="22">
        <v>426.48200000000003</v>
      </c>
      <c r="BA247" s="22">
        <v>-1.73584E-2</v>
      </c>
      <c r="BB247" s="22">
        <v>237</v>
      </c>
      <c r="BC247" s="22">
        <v>1.09253</v>
      </c>
      <c r="BD247">
        <f t="shared" si="46"/>
        <v>17.3584</v>
      </c>
      <c r="BE247">
        <f t="shared" si="47"/>
        <v>18.980368895999998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39.359699999999997</v>
      </c>
      <c r="I248" s="22">
        <v>-1.7556800000000001E-2</v>
      </c>
      <c r="J248" s="22">
        <v>238</v>
      </c>
      <c r="K248" s="22">
        <v>0.68090799999999996</v>
      </c>
      <c r="L248">
        <f t="shared" si="36"/>
        <v>17.556800000000003</v>
      </c>
      <c r="M248">
        <f t="shared" si="37"/>
        <v>11.966890448000003</v>
      </c>
      <c r="N248" s="9"/>
      <c r="O248" s="22">
        <v>1.0984799999999999</v>
      </c>
      <c r="P248" s="22">
        <v>96.669499999999999</v>
      </c>
      <c r="Q248" s="22">
        <v>-1.7254599999999998E-2</v>
      </c>
      <c r="R248" s="22">
        <v>238</v>
      </c>
      <c r="S248" s="22">
        <v>1.09741</v>
      </c>
      <c r="T248">
        <f t="shared" si="38"/>
        <v>17.2546</v>
      </c>
      <c r="U248">
        <f t="shared" si="39"/>
        <v>18.953833007999997</v>
      </c>
      <c r="X248" s="9"/>
      <c r="Y248" s="22">
        <v>0.68161000000000005</v>
      </c>
      <c r="Z248" s="22">
        <v>186.828</v>
      </c>
      <c r="AA248" s="22">
        <v>-1.76697E-2</v>
      </c>
      <c r="AB248" s="22">
        <v>238</v>
      </c>
      <c r="AC248" s="22">
        <v>0.68084699999999998</v>
      </c>
      <c r="AD248">
        <f t="shared" si="40"/>
        <v>17.669699999999999</v>
      </c>
      <c r="AE248">
        <f t="shared" si="41"/>
        <v>12.043844217</v>
      </c>
      <c r="AF248" s="9"/>
      <c r="AG248" s="22">
        <v>1.0984799999999999</v>
      </c>
      <c r="AH248" s="22">
        <v>301.14100000000002</v>
      </c>
      <c r="AI248" s="22">
        <v>-1.7309600000000001E-2</v>
      </c>
      <c r="AJ248" s="22">
        <v>238</v>
      </c>
      <c r="AK248" s="22">
        <v>1.09772</v>
      </c>
      <c r="AL248">
        <f t="shared" si="42"/>
        <v>17.3096</v>
      </c>
      <c r="AM248">
        <f t="shared" si="43"/>
        <v>19.014249407999998</v>
      </c>
      <c r="AP248" s="9"/>
      <c r="AQ248" s="22">
        <v>0.68161000000000005</v>
      </c>
      <c r="AR248" s="22">
        <v>374.154</v>
      </c>
      <c r="AS248" s="22">
        <v>-1.7718500000000002E-2</v>
      </c>
      <c r="AT248" s="22">
        <v>238</v>
      </c>
      <c r="AU248" s="22">
        <v>0.68075600000000003</v>
      </c>
      <c r="AV248">
        <f t="shared" si="44"/>
        <v>17.718500000000002</v>
      </c>
      <c r="AW248">
        <f t="shared" si="45"/>
        <v>12.077106785000003</v>
      </c>
      <c r="AX248" s="9"/>
      <c r="AY248" s="22">
        <v>1.0984799999999999</v>
      </c>
      <c r="AZ248" s="22">
        <v>426.58300000000003</v>
      </c>
      <c r="BA248" s="22">
        <v>-1.7349199999999999E-2</v>
      </c>
      <c r="BB248" s="22">
        <v>238</v>
      </c>
      <c r="BC248" s="22">
        <v>1.09741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39.4604</v>
      </c>
      <c r="I249" s="22">
        <v>-1.75598E-2</v>
      </c>
      <c r="J249" s="22">
        <v>239</v>
      </c>
      <c r="K249" s="22">
        <v>0.67571999999999999</v>
      </c>
      <c r="L249">
        <f t="shared" si="36"/>
        <v>17.559799999999999</v>
      </c>
      <c r="M249">
        <f t="shared" si="37"/>
        <v>11.880521685</v>
      </c>
      <c r="N249" s="9"/>
      <c r="O249" s="22">
        <v>1.1035200000000001</v>
      </c>
      <c r="P249" s="22">
        <v>96.770200000000003</v>
      </c>
      <c r="Q249" s="22">
        <v>-1.72485E-2</v>
      </c>
      <c r="R249" s="22">
        <v>239</v>
      </c>
      <c r="S249" s="22">
        <v>1.1026</v>
      </c>
      <c r="T249">
        <f t="shared" si="38"/>
        <v>17.2485</v>
      </c>
      <c r="U249">
        <f t="shared" si="39"/>
        <v>19.03406472</v>
      </c>
      <c r="X249" s="9"/>
      <c r="Y249" s="22">
        <v>0.67657500000000004</v>
      </c>
      <c r="Z249" s="22">
        <v>186.929</v>
      </c>
      <c r="AA249" s="22">
        <v>-1.7678800000000001E-2</v>
      </c>
      <c r="AB249" s="22">
        <v>239</v>
      </c>
      <c r="AC249" s="22">
        <v>0.67569000000000001</v>
      </c>
      <c r="AD249">
        <f t="shared" si="40"/>
        <v>17.678800000000003</v>
      </c>
      <c r="AE249">
        <f t="shared" si="41"/>
        <v>11.961034110000002</v>
      </c>
      <c r="AF249" s="9"/>
      <c r="AG249" s="22">
        <v>1.1035200000000001</v>
      </c>
      <c r="AH249" s="22">
        <v>301.24200000000002</v>
      </c>
      <c r="AI249" s="22">
        <v>-1.7309600000000001E-2</v>
      </c>
      <c r="AJ249" s="22">
        <v>239</v>
      </c>
      <c r="AK249" s="22">
        <v>1.1026</v>
      </c>
      <c r="AL249">
        <f t="shared" si="42"/>
        <v>17.3096</v>
      </c>
      <c r="AM249">
        <f t="shared" si="43"/>
        <v>19.101489791999999</v>
      </c>
      <c r="AP249" s="9"/>
      <c r="AQ249" s="22">
        <v>0.67657500000000004</v>
      </c>
      <c r="AR249" s="22">
        <v>374.255</v>
      </c>
      <c r="AS249" s="22">
        <v>-1.7727699999999999E-2</v>
      </c>
      <c r="AT249" s="22">
        <v>239</v>
      </c>
      <c r="AU249" s="22">
        <v>0.67569000000000001</v>
      </c>
      <c r="AV249">
        <f t="shared" si="44"/>
        <v>17.727699999999999</v>
      </c>
      <c r="AW249">
        <f t="shared" si="45"/>
        <v>11.994118627499999</v>
      </c>
      <c r="AX249" s="9"/>
      <c r="AY249" s="22">
        <v>1.1035200000000001</v>
      </c>
      <c r="AZ249" s="22">
        <v>426.68400000000003</v>
      </c>
      <c r="BA249" s="22">
        <v>-1.73431E-2</v>
      </c>
      <c r="BB249" s="22">
        <v>239</v>
      </c>
      <c r="BC249" s="22">
        <v>1.1026</v>
      </c>
      <c r="BD249">
        <f t="shared" si="46"/>
        <v>17.3431</v>
      </c>
      <c r="BE249">
        <f t="shared" si="47"/>
        <v>19.138457712000001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39.561100000000003</v>
      </c>
      <c r="I250" s="22">
        <v>-1.7565899999999999E-2</v>
      </c>
      <c r="J250" s="22">
        <v>240</v>
      </c>
      <c r="K250" s="22">
        <v>0.67071499999999995</v>
      </c>
      <c r="L250">
        <f t="shared" si="36"/>
        <v>17.565899999999999</v>
      </c>
      <c r="M250">
        <f t="shared" si="37"/>
        <v>11.7961869201</v>
      </c>
      <c r="N250" s="9"/>
      <c r="O250" s="22">
        <v>1.1085499999999999</v>
      </c>
      <c r="P250" s="22">
        <v>96.870999999999995</v>
      </c>
      <c r="Q250" s="22">
        <v>-1.7242400000000001E-2</v>
      </c>
      <c r="R250" s="22">
        <v>240</v>
      </c>
      <c r="S250" s="22">
        <v>1.1071800000000001</v>
      </c>
      <c r="T250">
        <f t="shared" si="38"/>
        <v>17.2424</v>
      </c>
      <c r="U250">
        <f t="shared" si="39"/>
        <v>19.114062519999997</v>
      </c>
      <c r="X250" s="9"/>
      <c r="Y250" s="22">
        <v>0.671539</v>
      </c>
      <c r="Z250" s="22">
        <v>187.029</v>
      </c>
      <c r="AA250" s="22">
        <v>-1.7678800000000001E-2</v>
      </c>
      <c r="AB250" s="22">
        <v>240</v>
      </c>
      <c r="AC250" s="22">
        <v>0.67071499999999995</v>
      </c>
      <c r="AD250">
        <f t="shared" si="40"/>
        <v>17.678800000000003</v>
      </c>
      <c r="AE250">
        <f t="shared" si="41"/>
        <v>11.872003673200002</v>
      </c>
      <c r="AF250" s="9"/>
      <c r="AG250" s="22">
        <v>1.1085499999999999</v>
      </c>
      <c r="AH250" s="22">
        <v>301.34199999999998</v>
      </c>
      <c r="AI250" s="22">
        <v>-1.73004E-2</v>
      </c>
      <c r="AJ250" s="22">
        <v>240</v>
      </c>
      <c r="AK250" s="22">
        <v>1.10748</v>
      </c>
      <c r="AL250">
        <f t="shared" si="42"/>
        <v>17.3004</v>
      </c>
      <c r="AM250">
        <f t="shared" si="43"/>
        <v>19.178358419999999</v>
      </c>
      <c r="AP250" s="9"/>
      <c r="AQ250" s="22">
        <v>0.671539</v>
      </c>
      <c r="AR250" s="22">
        <v>374.35599999999999</v>
      </c>
      <c r="AS250" s="22">
        <v>-1.7727699999999999E-2</v>
      </c>
      <c r="AT250" s="22">
        <v>240</v>
      </c>
      <c r="AU250" s="22">
        <v>0.67071499999999995</v>
      </c>
      <c r="AV250">
        <f t="shared" si="44"/>
        <v>17.727699999999999</v>
      </c>
      <c r="AW250">
        <f t="shared" si="45"/>
        <v>11.9048419303</v>
      </c>
      <c r="AX250" s="9"/>
      <c r="AY250" s="22">
        <v>1.1085499999999999</v>
      </c>
      <c r="AZ250" s="22">
        <v>426.78399999999999</v>
      </c>
      <c r="BA250" s="22">
        <v>-1.7340100000000001E-2</v>
      </c>
      <c r="BB250" s="22">
        <v>240</v>
      </c>
      <c r="BC250" s="22">
        <v>1.10748</v>
      </c>
      <c r="BD250">
        <f t="shared" si="46"/>
        <v>17.3401</v>
      </c>
      <c r="BE250">
        <f t="shared" si="47"/>
        <v>19.222367854999998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39.661799999999999</v>
      </c>
      <c r="I251" s="22">
        <v>-1.7572000000000001E-2</v>
      </c>
      <c r="J251" s="22">
        <v>241</v>
      </c>
      <c r="K251" s="22">
        <v>0.66568000000000005</v>
      </c>
      <c r="L251">
        <f t="shared" si="36"/>
        <v>17.571999999999999</v>
      </c>
      <c r="M251">
        <f t="shared" si="37"/>
        <v>11.711808287999999</v>
      </c>
      <c r="N251" s="9"/>
      <c r="O251" s="22">
        <v>1.1135900000000001</v>
      </c>
      <c r="P251" s="22">
        <v>96.971699999999998</v>
      </c>
      <c r="Q251" s="22">
        <v>-1.72363E-2</v>
      </c>
      <c r="R251" s="22">
        <v>241</v>
      </c>
      <c r="S251" s="22">
        <v>1.11267</v>
      </c>
      <c r="T251">
        <f t="shared" si="38"/>
        <v>17.2363</v>
      </c>
      <c r="U251">
        <f t="shared" si="39"/>
        <v>19.194171317000002</v>
      </c>
      <c r="X251" s="9"/>
      <c r="Y251" s="22">
        <v>0.66650399999999999</v>
      </c>
      <c r="Z251" s="22">
        <v>187.13</v>
      </c>
      <c r="AA251" s="22">
        <v>-1.76819E-2</v>
      </c>
      <c r="AB251" s="22">
        <v>241</v>
      </c>
      <c r="AC251" s="22">
        <v>0.66561899999999996</v>
      </c>
      <c r="AD251">
        <f t="shared" si="40"/>
        <v>17.681899999999999</v>
      </c>
      <c r="AE251">
        <f t="shared" si="41"/>
        <v>11.785057077599999</v>
      </c>
      <c r="AF251" s="9"/>
      <c r="AG251" s="22">
        <v>1.1135900000000001</v>
      </c>
      <c r="AH251" s="22">
        <v>301.44299999999998</v>
      </c>
      <c r="AI251" s="22">
        <v>-1.7294299999999999E-2</v>
      </c>
      <c r="AJ251" s="22">
        <v>241</v>
      </c>
      <c r="AK251" s="22">
        <v>1.1123700000000001</v>
      </c>
      <c r="AL251">
        <f t="shared" si="42"/>
        <v>17.2943</v>
      </c>
      <c r="AM251">
        <f t="shared" si="43"/>
        <v>19.258759537</v>
      </c>
      <c r="AP251" s="9"/>
      <c r="AQ251" s="22">
        <v>0.66650399999999999</v>
      </c>
      <c r="AR251" s="22">
        <v>374.45600000000002</v>
      </c>
      <c r="AS251" s="22">
        <v>-1.7739899999999999E-2</v>
      </c>
      <c r="AT251" s="22">
        <v>241</v>
      </c>
      <c r="AU251" s="22">
        <v>0.66571000000000002</v>
      </c>
      <c r="AV251">
        <f t="shared" si="44"/>
        <v>17.739899999999999</v>
      </c>
      <c r="AW251">
        <f t="shared" si="45"/>
        <v>11.8237143096</v>
      </c>
      <c r="AX251" s="9"/>
      <c r="AY251" s="22">
        <v>1.1135900000000001</v>
      </c>
      <c r="AZ251" s="22">
        <v>426.88499999999999</v>
      </c>
      <c r="BA251" s="22">
        <v>-1.73309E-2</v>
      </c>
      <c r="BB251" s="22">
        <v>241</v>
      </c>
      <c r="BC251" s="22">
        <v>1.1123700000000001</v>
      </c>
      <c r="BD251">
        <f t="shared" si="46"/>
        <v>17.3309</v>
      </c>
      <c r="BE251">
        <f t="shared" si="47"/>
        <v>19.299516930999999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39.762500000000003</v>
      </c>
      <c r="I252" s="22">
        <v>-1.7572000000000001E-2</v>
      </c>
      <c r="J252" s="22">
        <v>242</v>
      </c>
      <c r="K252" s="22">
        <v>0.66061400000000003</v>
      </c>
      <c r="L252">
        <f t="shared" si="36"/>
        <v>17.571999999999999</v>
      </c>
      <c r="M252">
        <f t="shared" si="37"/>
        <v>11.623333268</v>
      </c>
      <c r="N252" s="9"/>
      <c r="O252" s="22">
        <v>1.1186199999999999</v>
      </c>
      <c r="P252" s="22">
        <v>97.072400000000002</v>
      </c>
      <c r="Q252" s="22">
        <v>-1.72363E-2</v>
      </c>
      <c r="R252" s="22">
        <v>242</v>
      </c>
      <c r="S252" s="22">
        <v>1.1178600000000001</v>
      </c>
      <c r="T252">
        <f t="shared" si="38"/>
        <v>17.2363</v>
      </c>
      <c r="U252">
        <f t="shared" si="39"/>
        <v>19.280869906</v>
      </c>
      <c r="X252" s="9"/>
      <c r="Y252" s="22">
        <v>0.66146899999999997</v>
      </c>
      <c r="Z252" s="22">
        <v>187.23099999999999</v>
      </c>
      <c r="AA252" s="22">
        <v>-1.76849E-2</v>
      </c>
      <c r="AB252" s="22">
        <v>242</v>
      </c>
      <c r="AC252" s="22">
        <v>0.66082799999999997</v>
      </c>
      <c r="AD252">
        <f t="shared" si="40"/>
        <v>17.684899999999999</v>
      </c>
      <c r="AE252">
        <f t="shared" si="41"/>
        <v>11.698013118099999</v>
      </c>
      <c r="AF252" s="9"/>
      <c r="AG252" s="22">
        <v>1.1186199999999999</v>
      </c>
      <c r="AH252" s="22">
        <v>301.54399999999998</v>
      </c>
      <c r="AI252" s="22">
        <v>-1.72882E-2</v>
      </c>
      <c r="AJ252" s="22">
        <v>242</v>
      </c>
      <c r="AK252" s="22">
        <v>1.11694</v>
      </c>
      <c r="AL252">
        <f t="shared" si="42"/>
        <v>17.2882</v>
      </c>
      <c r="AM252">
        <f t="shared" si="43"/>
        <v>19.338926283999999</v>
      </c>
      <c r="AP252" s="9"/>
      <c r="AQ252" s="22">
        <v>0.66146899999999997</v>
      </c>
      <c r="AR252" s="22">
        <v>374.55700000000002</v>
      </c>
      <c r="AS252" s="22">
        <v>-1.7739899999999999E-2</v>
      </c>
      <c r="AT252" s="22">
        <v>242</v>
      </c>
      <c r="AU252" s="22">
        <v>0.66070600000000002</v>
      </c>
      <c r="AV252">
        <f t="shared" si="44"/>
        <v>17.739899999999999</v>
      </c>
      <c r="AW252">
        <f t="shared" si="45"/>
        <v>11.734393913099998</v>
      </c>
      <c r="AX252" s="9"/>
      <c r="AY252" s="22">
        <v>1.1186199999999999</v>
      </c>
      <c r="AZ252" s="22">
        <v>426.98599999999999</v>
      </c>
      <c r="BA252" s="22">
        <v>-1.73309E-2</v>
      </c>
      <c r="BB252" s="22">
        <v>242</v>
      </c>
      <c r="BC252" s="22">
        <v>1.11755</v>
      </c>
      <c r="BD252">
        <f t="shared" si="46"/>
        <v>17.3309</v>
      </c>
      <c r="BE252">
        <f t="shared" si="47"/>
        <v>19.386691358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39.863199999999999</v>
      </c>
      <c r="I253" s="22">
        <v>-1.75751E-2</v>
      </c>
      <c r="J253" s="22">
        <v>243</v>
      </c>
      <c r="K253" s="22">
        <v>0.65576199999999996</v>
      </c>
      <c r="L253">
        <f t="shared" si="36"/>
        <v>17.575099999999999</v>
      </c>
      <c r="M253">
        <f t="shared" si="37"/>
        <v>11.5368756183</v>
      </c>
      <c r="N253" s="9"/>
      <c r="O253" s="22">
        <v>1.1236600000000001</v>
      </c>
      <c r="P253" s="22">
        <v>97.173100000000005</v>
      </c>
      <c r="Q253" s="22">
        <v>-1.7230200000000001E-2</v>
      </c>
      <c r="R253" s="22">
        <v>243</v>
      </c>
      <c r="S253" s="22">
        <v>1.1230500000000001</v>
      </c>
      <c r="T253">
        <f t="shared" si="38"/>
        <v>17.2302</v>
      </c>
      <c r="U253">
        <f t="shared" si="39"/>
        <v>19.360886532000002</v>
      </c>
      <c r="X253" s="9"/>
      <c r="Y253" s="22">
        <v>0.65643300000000004</v>
      </c>
      <c r="Z253" s="22">
        <v>187.33199999999999</v>
      </c>
      <c r="AA253" s="22">
        <v>-1.7687999999999999E-2</v>
      </c>
      <c r="AB253" s="22">
        <v>243</v>
      </c>
      <c r="AC253" s="22">
        <v>0.65564</v>
      </c>
      <c r="AD253">
        <f t="shared" si="40"/>
        <v>17.687999999999999</v>
      </c>
      <c r="AE253">
        <f t="shared" si="41"/>
        <v>11.610986904000001</v>
      </c>
      <c r="AF253" s="9"/>
      <c r="AG253" s="22">
        <v>1.1236600000000001</v>
      </c>
      <c r="AH253" s="22">
        <v>301.64499999999998</v>
      </c>
      <c r="AI253" s="22">
        <v>-1.7282100000000002E-2</v>
      </c>
      <c r="AJ253" s="22">
        <v>243</v>
      </c>
      <c r="AK253" s="22">
        <v>1.1227400000000001</v>
      </c>
      <c r="AL253">
        <f t="shared" si="42"/>
        <v>17.282100000000003</v>
      </c>
      <c r="AM253">
        <f t="shared" si="43"/>
        <v>19.419204486000005</v>
      </c>
      <c r="AP253" s="9"/>
      <c r="AQ253" s="22">
        <v>0.65643300000000004</v>
      </c>
      <c r="AR253" s="22">
        <v>374.65800000000002</v>
      </c>
      <c r="AS253" s="22">
        <v>-1.7742899999999999E-2</v>
      </c>
      <c r="AT253" s="22">
        <v>243</v>
      </c>
      <c r="AU253" s="22">
        <v>0.65570099999999998</v>
      </c>
      <c r="AV253">
        <f t="shared" si="44"/>
        <v>17.742899999999999</v>
      </c>
      <c r="AW253">
        <f t="shared" si="45"/>
        <v>11.6470250757</v>
      </c>
      <c r="AX253" s="9"/>
      <c r="AY253" s="22">
        <v>1.1236600000000001</v>
      </c>
      <c r="AZ253" s="22">
        <v>427.08600000000001</v>
      </c>
      <c r="BA253" s="22">
        <v>-1.7324800000000001E-2</v>
      </c>
      <c r="BB253" s="22">
        <v>243</v>
      </c>
      <c r="BC253" s="22">
        <v>1.1224400000000001</v>
      </c>
      <c r="BD253">
        <f t="shared" si="46"/>
        <v>17.3248</v>
      </c>
      <c r="BE253">
        <f t="shared" si="47"/>
        <v>19.467184768000003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39.963900000000002</v>
      </c>
      <c r="I254" s="22">
        <v>-1.7578099999999999E-2</v>
      </c>
      <c r="J254" s="22">
        <v>244</v>
      </c>
      <c r="K254" s="22">
        <v>0.65063499999999996</v>
      </c>
      <c r="L254">
        <f t="shared" si="36"/>
        <v>17.578099999999999</v>
      </c>
      <c r="M254">
        <f t="shared" si="37"/>
        <v>11.450339183800001</v>
      </c>
      <c r="N254" s="9"/>
      <c r="O254" s="22">
        <v>1.12869</v>
      </c>
      <c r="P254" s="22">
        <v>97.273799999999994</v>
      </c>
      <c r="Q254" s="22">
        <v>-1.7230200000000001E-2</v>
      </c>
      <c r="R254" s="22">
        <v>244</v>
      </c>
      <c r="S254" s="22">
        <v>1.1282300000000001</v>
      </c>
      <c r="T254">
        <f t="shared" si="38"/>
        <v>17.2302</v>
      </c>
      <c r="U254">
        <f t="shared" si="39"/>
        <v>19.447554438000001</v>
      </c>
      <c r="X254" s="9"/>
      <c r="Y254" s="22">
        <v>0.65139800000000003</v>
      </c>
      <c r="Z254" s="22">
        <v>187.43199999999999</v>
      </c>
      <c r="AA254" s="22">
        <v>-1.7694100000000001E-2</v>
      </c>
      <c r="AB254" s="22">
        <v>244</v>
      </c>
      <c r="AC254" s="22">
        <v>0.65045200000000003</v>
      </c>
      <c r="AD254">
        <f t="shared" si="40"/>
        <v>17.694100000000002</v>
      </c>
      <c r="AE254">
        <f t="shared" si="41"/>
        <v>11.525901351800002</v>
      </c>
      <c r="AF254" s="9"/>
      <c r="AG254" s="22">
        <v>1.12869</v>
      </c>
      <c r="AH254" s="22">
        <v>301.745</v>
      </c>
      <c r="AI254" s="22">
        <v>-1.7285200000000001E-2</v>
      </c>
      <c r="AJ254" s="22">
        <v>244</v>
      </c>
      <c r="AK254" s="22">
        <v>1.1273200000000001</v>
      </c>
      <c r="AL254">
        <f t="shared" si="42"/>
        <v>17.2852</v>
      </c>
      <c r="AM254">
        <f t="shared" si="43"/>
        <v>19.509632388</v>
      </c>
      <c r="AP254" s="9"/>
      <c r="AQ254" s="22">
        <v>0.65139800000000003</v>
      </c>
      <c r="AR254" s="22">
        <v>374.75799999999998</v>
      </c>
      <c r="AS254" s="22">
        <v>-1.7746000000000001E-2</v>
      </c>
      <c r="AT254" s="22">
        <v>244</v>
      </c>
      <c r="AU254" s="22">
        <v>0.650787</v>
      </c>
      <c r="AV254">
        <f t="shared" si="44"/>
        <v>17.746000000000002</v>
      </c>
      <c r="AW254">
        <f t="shared" si="45"/>
        <v>11.559708908000003</v>
      </c>
      <c r="AX254" s="9"/>
      <c r="AY254" s="22">
        <v>1.12869</v>
      </c>
      <c r="AZ254" s="22">
        <v>427.18700000000001</v>
      </c>
      <c r="BA254" s="22">
        <v>-1.7321799999999998E-2</v>
      </c>
      <c r="BB254" s="22">
        <v>244</v>
      </c>
      <c r="BC254" s="22">
        <v>1.1270100000000001</v>
      </c>
      <c r="BD254">
        <f t="shared" si="46"/>
        <v>17.3218</v>
      </c>
      <c r="BE254">
        <f t="shared" si="47"/>
        <v>19.550942442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40.064599999999999</v>
      </c>
      <c r="I255" s="22">
        <v>-1.7581200000000002E-2</v>
      </c>
      <c r="J255" s="22">
        <v>245</v>
      </c>
      <c r="K255" s="22">
        <v>0.64559900000000003</v>
      </c>
      <c r="L255">
        <f t="shared" si="36"/>
        <v>17.581200000000003</v>
      </c>
      <c r="M255">
        <f t="shared" si="37"/>
        <v>11.363819594400001</v>
      </c>
      <c r="N255" s="9"/>
      <c r="O255" s="22">
        <v>1.1337299999999999</v>
      </c>
      <c r="P255" s="22">
        <v>97.374499999999998</v>
      </c>
      <c r="Q255" s="22">
        <v>-1.7224099999999999E-2</v>
      </c>
      <c r="R255" s="22">
        <v>245</v>
      </c>
      <c r="S255" s="22">
        <v>1.1328100000000001</v>
      </c>
      <c r="T255">
        <f t="shared" si="38"/>
        <v>17.2241</v>
      </c>
      <c r="U255">
        <f t="shared" si="39"/>
        <v>19.527478892999998</v>
      </c>
      <c r="X255" s="9"/>
      <c r="Y255" s="22">
        <v>0.64636199999999999</v>
      </c>
      <c r="Z255" s="22">
        <v>187.53299999999999</v>
      </c>
      <c r="AA255" s="22">
        <v>-1.7700199999999999E-2</v>
      </c>
      <c r="AB255" s="22">
        <v>245</v>
      </c>
      <c r="AC255" s="22">
        <v>0.64569100000000001</v>
      </c>
      <c r="AD255">
        <f t="shared" si="40"/>
        <v>17.700199999999999</v>
      </c>
      <c r="AE255">
        <f t="shared" si="41"/>
        <v>11.4407366724</v>
      </c>
      <c r="AF255" s="9"/>
      <c r="AG255" s="22">
        <v>1.1337299999999999</v>
      </c>
      <c r="AH255" s="22">
        <v>301.846</v>
      </c>
      <c r="AI255" s="22">
        <v>-1.7276E-2</v>
      </c>
      <c r="AJ255" s="22">
        <v>245</v>
      </c>
      <c r="AK255" s="22">
        <v>1.1328100000000001</v>
      </c>
      <c r="AL255">
        <f t="shared" si="42"/>
        <v>17.276</v>
      </c>
      <c r="AM255">
        <f t="shared" si="43"/>
        <v>19.586319479999997</v>
      </c>
      <c r="AP255" s="9"/>
      <c r="AQ255" s="22">
        <v>0.64636199999999999</v>
      </c>
      <c r="AR255" s="22">
        <v>374.85899999999998</v>
      </c>
      <c r="AS255" s="22">
        <v>-1.77521E-2</v>
      </c>
      <c r="AT255" s="22">
        <v>245</v>
      </c>
      <c r="AU255" s="22">
        <v>0.64563000000000004</v>
      </c>
      <c r="AV255">
        <f t="shared" si="44"/>
        <v>17.752099999999999</v>
      </c>
      <c r="AW255">
        <f t="shared" si="45"/>
        <v>11.474282860199999</v>
      </c>
      <c r="AX255" s="9"/>
      <c r="AY255" s="22">
        <v>1.1337299999999999</v>
      </c>
      <c r="AZ255" s="22">
        <v>427.28800000000001</v>
      </c>
      <c r="BA255" s="22">
        <v>-1.73157E-2</v>
      </c>
      <c r="BB255" s="22">
        <v>245</v>
      </c>
      <c r="BC255" s="22">
        <v>1.1325099999999999</v>
      </c>
      <c r="BD255">
        <f t="shared" si="46"/>
        <v>17.3157</v>
      </c>
      <c r="BE255">
        <f t="shared" si="47"/>
        <v>19.631328560999997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40.165300000000002</v>
      </c>
      <c r="I256" s="22">
        <v>-1.75873E-2</v>
      </c>
      <c r="J256" s="22">
        <v>246</v>
      </c>
      <c r="K256" s="22">
        <v>0.640594</v>
      </c>
      <c r="L256">
        <f t="shared" si="36"/>
        <v>17.587299999999999</v>
      </c>
      <c r="M256">
        <f t="shared" si="37"/>
        <v>11.279210347099999</v>
      </c>
      <c r="N256" s="9"/>
      <c r="O256" s="22">
        <v>1.13876</v>
      </c>
      <c r="P256" s="22">
        <v>97.475200000000001</v>
      </c>
      <c r="Q256" s="22">
        <v>-1.7215000000000001E-2</v>
      </c>
      <c r="R256" s="22">
        <v>246</v>
      </c>
      <c r="S256" s="22">
        <v>1.1376999999999999</v>
      </c>
      <c r="T256">
        <f t="shared" si="38"/>
        <v>17.215</v>
      </c>
      <c r="U256">
        <f t="shared" si="39"/>
        <v>19.603753399999999</v>
      </c>
      <c r="X256" s="9"/>
      <c r="Y256" s="22">
        <v>0.64132699999999998</v>
      </c>
      <c r="Z256" s="22">
        <v>187.63399999999999</v>
      </c>
      <c r="AA256" s="22">
        <v>-1.7703199999999999E-2</v>
      </c>
      <c r="AB256" s="22">
        <v>246</v>
      </c>
      <c r="AC256" s="22">
        <v>0.64047200000000004</v>
      </c>
      <c r="AD256">
        <f t="shared" si="40"/>
        <v>17.703199999999999</v>
      </c>
      <c r="AE256">
        <f t="shared" si="41"/>
        <v>11.353540146399999</v>
      </c>
      <c r="AF256" s="9"/>
      <c r="AG256" s="22">
        <v>1.13876</v>
      </c>
      <c r="AH256" s="22">
        <v>301.947</v>
      </c>
      <c r="AI256" s="22">
        <v>-1.7263799999999999E-2</v>
      </c>
      <c r="AJ256" s="22">
        <v>246</v>
      </c>
      <c r="AK256" s="22">
        <v>1.1373899999999999</v>
      </c>
      <c r="AL256">
        <f t="shared" si="42"/>
        <v>17.2638</v>
      </c>
      <c r="AM256">
        <f t="shared" si="43"/>
        <v>19.659324888</v>
      </c>
      <c r="AP256" s="9"/>
      <c r="AQ256" s="22">
        <v>0.64132699999999998</v>
      </c>
      <c r="AR256" s="22">
        <v>374.96</v>
      </c>
      <c r="AS256" s="22">
        <v>-1.7758199999999998E-2</v>
      </c>
      <c r="AT256" s="22">
        <v>246</v>
      </c>
      <c r="AU256" s="22">
        <v>0.64056400000000002</v>
      </c>
      <c r="AV256">
        <f t="shared" si="44"/>
        <v>17.758199999999999</v>
      </c>
      <c r="AW256">
        <f t="shared" si="45"/>
        <v>11.388813131399999</v>
      </c>
      <c r="AX256" s="9"/>
      <c r="AY256" s="22">
        <v>1.13876</v>
      </c>
      <c r="AZ256" s="22">
        <v>427.38900000000001</v>
      </c>
      <c r="BA256" s="22">
        <v>-1.7309600000000001E-2</v>
      </c>
      <c r="BB256" s="22">
        <v>246</v>
      </c>
      <c r="BC256" s="22">
        <v>1.1376999999999999</v>
      </c>
      <c r="BD256">
        <f t="shared" si="46"/>
        <v>17.3096</v>
      </c>
      <c r="BE256">
        <f t="shared" si="47"/>
        <v>19.711480095999999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40.265999999999998</v>
      </c>
      <c r="I257" s="22">
        <v>-1.75903E-2</v>
      </c>
      <c r="J257" s="22">
        <v>247</v>
      </c>
      <c r="K257" s="22">
        <v>0.63525399999999999</v>
      </c>
      <c r="L257">
        <f t="shared" si="36"/>
        <v>17.590299999999999</v>
      </c>
      <c r="M257">
        <f t="shared" si="37"/>
        <v>11.192567167599998</v>
      </c>
      <c r="N257" s="9"/>
      <c r="O257" s="22">
        <v>1.1437999999999999</v>
      </c>
      <c r="P257" s="22">
        <v>97.575900000000004</v>
      </c>
      <c r="Q257" s="22">
        <v>-1.7211899999999999E-2</v>
      </c>
      <c r="R257" s="22">
        <v>247</v>
      </c>
      <c r="S257" s="22">
        <v>1.1425799999999999</v>
      </c>
      <c r="T257">
        <f t="shared" si="38"/>
        <v>17.2119</v>
      </c>
      <c r="U257">
        <f t="shared" si="39"/>
        <v>19.68697122</v>
      </c>
      <c r="X257" s="9"/>
      <c r="Y257" s="22">
        <v>0.63629199999999997</v>
      </c>
      <c r="Z257" s="22">
        <v>187.73400000000001</v>
      </c>
      <c r="AA257" s="22">
        <v>-1.77094E-2</v>
      </c>
      <c r="AB257" s="22">
        <v>247</v>
      </c>
      <c r="AC257" s="22">
        <v>0.63558999999999999</v>
      </c>
      <c r="AD257">
        <f t="shared" si="40"/>
        <v>17.709399999999999</v>
      </c>
      <c r="AE257">
        <f t="shared" si="41"/>
        <v>11.2683495448</v>
      </c>
      <c r="AF257" s="9"/>
      <c r="AG257" s="22">
        <v>1.1437999999999999</v>
      </c>
      <c r="AH257" s="22">
        <v>302.04700000000003</v>
      </c>
      <c r="AI257" s="22">
        <v>-1.7266799999999999E-2</v>
      </c>
      <c r="AJ257" s="22">
        <v>247</v>
      </c>
      <c r="AK257" s="22">
        <v>1.1428799999999999</v>
      </c>
      <c r="AL257">
        <f t="shared" si="42"/>
        <v>17.2668</v>
      </c>
      <c r="AM257">
        <f t="shared" si="43"/>
        <v>19.749765839999998</v>
      </c>
      <c r="AP257" s="9"/>
      <c r="AQ257" s="22">
        <v>0.63629199999999997</v>
      </c>
      <c r="AR257" s="22">
        <v>375.06099999999998</v>
      </c>
      <c r="AS257" s="22">
        <v>-1.7758199999999998E-2</v>
      </c>
      <c r="AT257" s="22">
        <v>247</v>
      </c>
      <c r="AU257" s="22">
        <v>0.63565099999999997</v>
      </c>
      <c r="AV257">
        <f t="shared" si="44"/>
        <v>17.758199999999999</v>
      </c>
      <c r="AW257">
        <f t="shared" si="45"/>
        <v>11.299400594399998</v>
      </c>
      <c r="AX257" s="9"/>
      <c r="AY257" s="22">
        <v>1.1437999999999999</v>
      </c>
      <c r="AZ257" s="22">
        <v>427.48899999999998</v>
      </c>
      <c r="BA257" s="22">
        <v>-1.73004E-2</v>
      </c>
      <c r="BB257" s="22">
        <v>247</v>
      </c>
      <c r="BC257" s="22">
        <v>1.1428799999999999</v>
      </c>
      <c r="BD257">
        <f t="shared" si="46"/>
        <v>17.3004</v>
      </c>
      <c r="BE257">
        <f t="shared" si="47"/>
        <v>19.788197519999997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40.366700000000002</v>
      </c>
      <c r="I258" s="22">
        <v>-1.7596400000000002E-2</v>
      </c>
      <c r="J258" s="22">
        <v>248</v>
      </c>
      <c r="K258" s="22">
        <v>0.63040200000000002</v>
      </c>
      <c r="L258">
        <f t="shared" si="36"/>
        <v>17.596400000000003</v>
      </c>
      <c r="M258">
        <f t="shared" si="37"/>
        <v>11.107833078400002</v>
      </c>
      <c r="N258" s="9"/>
      <c r="O258" s="22">
        <v>1.14883</v>
      </c>
      <c r="P258" s="22">
        <v>97.676599999999993</v>
      </c>
      <c r="Q258" s="22">
        <v>-1.7208899999999999E-2</v>
      </c>
      <c r="R258" s="22">
        <v>248</v>
      </c>
      <c r="S258" s="22">
        <v>1.14838</v>
      </c>
      <c r="T258">
        <f t="shared" si="38"/>
        <v>17.2089</v>
      </c>
      <c r="U258">
        <f t="shared" si="39"/>
        <v>19.770100587000002</v>
      </c>
      <c r="X258" s="9"/>
      <c r="Y258" s="22">
        <v>0.63125600000000004</v>
      </c>
      <c r="Z258" s="22">
        <v>187.83500000000001</v>
      </c>
      <c r="AA258" s="22">
        <v>-1.77094E-2</v>
      </c>
      <c r="AB258" s="22">
        <v>248</v>
      </c>
      <c r="AC258" s="22">
        <v>0.630463</v>
      </c>
      <c r="AD258">
        <f t="shared" si="40"/>
        <v>17.709399999999999</v>
      </c>
      <c r="AE258">
        <f t="shared" si="41"/>
        <v>11.1791650064</v>
      </c>
      <c r="AF258" s="9"/>
      <c r="AG258" s="22">
        <v>1.14883</v>
      </c>
      <c r="AH258" s="22">
        <v>302.14800000000002</v>
      </c>
      <c r="AI258" s="22">
        <v>-1.7257700000000001E-2</v>
      </c>
      <c r="AJ258" s="22">
        <v>248</v>
      </c>
      <c r="AK258" s="22">
        <v>1.14838</v>
      </c>
      <c r="AL258">
        <f t="shared" si="42"/>
        <v>17.2577</v>
      </c>
      <c r="AM258">
        <f t="shared" si="43"/>
        <v>19.826163490999999</v>
      </c>
      <c r="AP258" s="9"/>
      <c r="AQ258" s="22">
        <v>0.63125600000000004</v>
      </c>
      <c r="AR258" s="22">
        <v>375.161</v>
      </c>
      <c r="AS258" s="22">
        <v>-1.77643E-2</v>
      </c>
      <c r="AT258" s="22">
        <v>248</v>
      </c>
      <c r="AU258" s="22">
        <v>0.63049299999999997</v>
      </c>
      <c r="AV258">
        <f t="shared" si="44"/>
        <v>17.764299999999999</v>
      </c>
      <c r="AW258">
        <f t="shared" si="45"/>
        <v>11.2138209608</v>
      </c>
      <c r="AX258" s="9"/>
      <c r="AY258" s="22">
        <v>1.14883</v>
      </c>
      <c r="AZ258" s="22">
        <v>427.59</v>
      </c>
      <c r="BA258" s="22">
        <v>-1.73004E-2</v>
      </c>
      <c r="BB258" s="22">
        <v>248</v>
      </c>
      <c r="BC258" s="22">
        <v>1.1486799999999999</v>
      </c>
      <c r="BD258">
        <f t="shared" si="46"/>
        <v>17.3004</v>
      </c>
      <c r="BE258">
        <f t="shared" si="47"/>
        <v>19.875218532000002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40.467399999999998</v>
      </c>
      <c r="I259" s="22">
        <v>-1.7599500000000001E-2</v>
      </c>
      <c r="J259" s="22">
        <v>249</v>
      </c>
      <c r="K259" s="22">
        <v>0.625305</v>
      </c>
      <c r="L259">
        <f t="shared" si="36"/>
        <v>17.599499999999999</v>
      </c>
      <c r="M259">
        <f t="shared" si="37"/>
        <v>11.0211764895</v>
      </c>
      <c r="N259" s="9"/>
      <c r="O259" s="22">
        <v>1.15387</v>
      </c>
      <c r="P259" s="22">
        <v>97.777299999999997</v>
      </c>
      <c r="Q259" s="22">
        <v>-1.7199699999999998E-2</v>
      </c>
      <c r="R259" s="22">
        <v>249</v>
      </c>
      <c r="S259" s="22">
        <v>1.1529499999999999</v>
      </c>
      <c r="T259">
        <f t="shared" si="38"/>
        <v>17.1997</v>
      </c>
      <c r="U259">
        <f t="shared" si="39"/>
        <v>19.846217838999998</v>
      </c>
      <c r="X259" s="9"/>
      <c r="Y259" s="22">
        <v>0.62622100000000003</v>
      </c>
      <c r="Z259" s="22">
        <v>187.93600000000001</v>
      </c>
      <c r="AA259" s="22">
        <v>-1.7715499999999999E-2</v>
      </c>
      <c r="AB259" s="22">
        <v>249</v>
      </c>
      <c r="AC259" s="22">
        <v>0.62551900000000005</v>
      </c>
      <c r="AD259">
        <f t="shared" si="40"/>
        <v>17.715499999999999</v>
      </c>
      <c r="AE259">
        <f t="shared" si="41"/>
        <v>11.0938181255</v>
      </c>
      <c r="AF259" s="9"/>
      <c r="AG259" s="22">
        <v>1.15387</v>
      </c>
      <c r="AH259" s="22">
        <v>302.24900000000002</v>
      </c>
      <c r="AI259" s="22">
        <v>-1.7254599999999998E-2</v>
      </c>
      <c r="AJ259" s="22">
        <v>249</v>
      </c>
      <c r="AK259" s="22">
        <v>1.1529499999999999</v>
      </c>
      <c r="AL259">
        <f t="shared" si="42"/>
        <v>17.2546</v>
      </c>
      <c r="AM259">
        <f t="shared" si="43"/>
        <v>19.909565302000001</v>
      </c>
      <c r="AP259" s="9"/>
      <c r="AQ259" s="22">
        <v>0.62622100000000003</v>
      </c>
      <c r="AR259" s="22">
        <v>375.262</v>
      </c>
      <c r="AS259" s="22">
        <v>-1.77643E-2</v>
      </c>
      <c r="AT259" s="22">
        <v>249</v>
      </c>
      <c r="AU259" s="22">
        <v>0.62545799999999996</v>
      </c>
      <c r="AV259">
        <f t="shared" si="44"/>
        <v>17.764299999999999</v>
      </c>
      <c r="AW259">
        <f t="shared" si="45"/>
        <v>11.124377710299999</v>
      </c>
      <c r="AX259" s="9"/>
      <c r="AY259" s="22">
        <v>1.15387</v>
      </c>
      <c r="AZ259" s="22">
        <v>427.69099999999997</v>
      </c>
      <c r="BA259" s="22">
        <v>-1.7291299999999999E-2</v>
      </c>
      <c r="BB259" s="22">
        <v>249</v>
      </c>
      <c r="BC259" s="22">
        <v>1.15265</v>
      </c>
      <c r="BD259">
        <f t="shared" si="46"/>
        <v>17.2913</v>
      </c>
      <c r="BE259">
        <f t="shared" si="47"/>
        <v>19.951912330999999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40.568100000000001</v>
      </c>
      <c r="I260" s="22">
        <v>-1.76025E-2</v>
      </c>
      <c r="J260" s="22">
        <v>250</v>
      </c>
      <c r="K260" s="22">
        <v>0.62048300000000001</v>
      </c>
      <c r="L260">
        <f t="shared" si="36"/>
        <v>17.602499999999999</v>
      </c>
      <c r="M260">
        <f t="shared" si="37"/>
        <v>10.934408962499999</v>
      </c>
      <c r="N260" s="9"/>
      <c r="O260" s="22">
        <v>1.1589100000000001</v>
      </c>
      <c r="P260" s="22">
        <v>97.878</v>
      </c>
      <c r="Q260" s="22">
        <v>-1.71936E-2</v>
      </c>
      <c r="R260" s="22">
        <v>250</v>
      </c>
      <c r="S260" s="22">
        <v>1.1581399999999999</v>
      </c>
      <c r="T260">
        <f t="shared" si="38"/>
        <v>17.1936</v>
      </c>
      <c r="U260">
        <f t="shared" si="39"/>
        <v>19.925834976000001</v>
      </c>
      <c r="X260" s="9"/>
      <c r="Y260" s="22">
        <v>0.62118499999999999</v>
      </c>
      <c r="Z260" s="22">
        <v>188.03700000000001</v>
      </c>
      <c r="AA260" s="22">
        <v>-1.77246E-2</v>
      </c>
      <c r="AB260" s="22">
        <v>250</v>
      </c>
      <c r="AC260" s="22">
        <v>0.62051400000000001</v>
      </c>
      <c r="AD260">
        <f t="shared" si="40"/>
        <v>17.724599999999999</v>
      </c>
      <c r="AE260">
        <f t="shared" si="41"/>
        <v>11.010255651</v>
      </c>
      <c r="AF260" s="9"/>
      <c r="AG260" s="22">
        <v>1.1589100000000001</v>
      </c>
      <c r="AH260" s="22">
        <v>302.34899999999999</v>
      </c>
      <c r="AI260" s="22">
        <v>-1.7251599999999999E-2</v>
      </c>
      <c r="AJ260" s="22">
        <v>250</v>
      </c>
      <c r="AK260" s="22">
        <v>1.15845</v>
      </c>
      <c r="AL260">
        <f t="shared" si="42"/>
        <v>17.2516</v>
      </c>
      <c r="AM260">
        <f t="shared" si="43"/>
        <v>19.993051756000003</v>
      </c>
      <c r="AP260" s="9"/>
      <c r="AQ260" s="22">
        <v>0.62118499999999999</v>
      </c>
      <c r="AR260" s="22">
        <v>375.363</v>
      </c>
      <c r="AS260" s="22">
        <v>-1.77673E-2</v>
      </c>
      <c r="AT260" s="22">
        <v>250</v>
      </c>
      <c r="AU260" s="22">
        <v>0.62060499999999996</v>
      </c>
      <c r="AV260">
        <f t="shared" si="44"/>
        <v>17.767299999999999</v>
      </c>
      <c r="AW260">
        <f t="shared" si="45"/>
        <v>11.0367802505</v>
      </c>
      <c r="AX260" s="9"/>
      <c r="AY260" s="22">
        <v>1.1589100000000001</v>
      </c>
      <c r="AZ260" s="22">
        <v>427.791</v>
      </c>
      <c r="BA260" s="22">
        <v>-1.72882E-2</v>
      </c>
      <c r="BB260" s="22">
        <v>250</v>
      </c>
      <c r="BC260" s="22">
        <v>1.15784</v>
      </c>
      <c r="BD260">
        <f t="shared" si="46"/>
        <v>17.2882</v>
      </c>
      <c r="BE260">
        <f t="shared" si="47"/>
        <v>20.035467862000001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40.668900000000001</v>
      </c>
      <c r="I261" s="22">
        <v>-1.76025E-2</v>
      </c>
      <c r="J261" s="22">
        <v>251</v>
      </c>
      <c r="K261" s="22">
        <v>0.61563100000000004</v>
      </c>
      <c r="L261">
        <f t="shared" si="36"/>
        <v>17.602499999999999</v>
      </c>
      <c r="M261">
        <f t="shared" si="37"/>
        <v>10.845780374999999</v>
      </c>
      <c r="N261" s="9"/>
      <c r="O261" s="22">
        <v>1.16394</v>
      </c>
      <c r="P261" s="22">
        <v>97.978700000000003</v>
      </c>
      <c r="Q261" s="22">
        <v>-1.71906E-2</v>
      </c>
      <c r="R261" s="22">
        <v>251</v>
      </c>
      <c r="S261" s="22">
        <v>1.16272</v>
      </c>
      <c r="T261">
        <f t="shared" si="38"/>
        <v>17.1906</v>
      </c>
      <c r="U261">
        <f t="shared" si="39"/>
        <v>20.008826964000001</v>
      </c>
      <c r="X261" s="9"/>
      <c r="Y261" s="22">
        <v>0.61614999999999998</v>
      </c>
      <c r="Z261" s="22">
        <v>188.137</v>
      </c>
      <c r="AA261" s="22">
        <v>-1.77246E-2</v>
      </c>
      <c r="AB261" s="22">
        <v>251</v>
      </c>
      <c r="AC261" s="22">
        <v>0.61532600000000004</v>
      </c>
      <c r="AD261">
        <f t="shared" si="40"/>
        <v>17.724599999999999</v>
      </c>
      <c r="AE261">
        <f t="shared" si="41"/>
        <v>10.921012289999998</v>
      </c>
      <c r="AF261" s="9"/>
      <c r="AG261" s="22">
        <v>1.16394</v>
      </c>
      <c r="AH261" s="22">
        <v>302.45</v>
      </c>
      <c r="AI261" s="22">
        <v>-1.7242400000000001E-2</v>
      </c>
      <c r="AJ261" s="22">
        <v>251</v>
      </c>
      <c r="AK261" s="22">
        <v>1.16272</v>
      </c>
      <c r="AL261">
        <f t="shared" si="42"/>
        <v>17.2424</v>
      </c>
      <c r="AM261">
        <f t="shared" si="43"/>
        <v>20.069119055999998</v>
      </c>
      <c r="AP261" s="9"/>
      <c r="AQ261" s="22">
        <v>0.61614999999999998</v>
      </c>
      <c r="AR261" s="22">
        <v>375.46300000000002</v>
      </c>
      <c r="AS261" s="22">
        <v>-1.7770399999999999E-2</v>
      </c>
      <c r="AT261" s="22">
        <v>251</v>
      </c>
      <c r="AU261" s="22">
        <v>0.61517299999999997</v>
      </c>
      <c r="AV261">
        <f t="shared" si="44"/>
        <v>17.770399999999999</v>
      </c>
      <c r="AW261">
        <f t="shared" si="45"/>
        <v>10.949231959999999</v>
      </c>
      <c r="AX261" s="9"/>
      <c r="AY261" s="22">
        <v>1.16394</v>
      </c>
      <c r="AZ261" s="22">
        <v>427.892</v>
      </c>
      <c r="BA261" s="22">
        <v>-1.7282100000000002E-2</v>
      </c>
      <c r="BB261" s="22">
        <v>251</v>
      </c>
      <c r="BC261" s="22">
        <v>1.1630199999999999</v>
      </c>
      <c r="BD261">
        <f t="shared" si="46"/>
        <v>17.282100000000003</v>
      </c>
      <c r="BE261">
        <f t="shared" si="47"/>
        <v>20.115327474000004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40.769599999999997</v>
      </c>
      <c r="I262" s="22">
        <v>-1.7611700000000001E-2</v>
      </c>
      <c r="J262" s="22">
        <v>252</v>
      </c>
      <c r="K262" s="22">
        <v>0.61026000000000002</v>
      </c>
      <c r="L262">
        <f t="shared" si="36"/>
        <v>17.611700000000003</v>
      </c>
      <c r="M262">
        <f t="shared" si="37"/>
        <v>10.7627740455</v>
      </c>
      <c r="N262" s="9"/>
      <c r="O262" s="22">
        <v>1.1689799999999999</v>
      </c>
      <c r="P262" s="22">
        <v>98.079400000000007</v>
      </c>
      <c r="Q262" s="22">
        <v>-1.7184399999999999E-2</v>
      </c>
      <c r="R262" s="22">
        <v>252</v>
      </c>
      <c r="S262" s="22">
        <v>1.16791</v>
      </c>
      <c r="T262">
        <f t="shared" si="38"/>
        <v>17.1844</v>
      </c>
      <c r="U262">
        <f t="shared" si="39"/>
        <v>20.088219912</v>
      </c>
      <c r="X262" s="9"/>
      <c r="Y262" s="22">
        <v>0.61111499999999996</v>
      </c>
      <c r="Z262" s="22">
        <v>188.238</v>
      </c>
      <c r="AA262" s="22">
        <v>-1.7727699999999999E-2</v>
      </c>
      <c r="AB262" s="22">
        <v>252</v>
      </c>
      <c r="AC262" s="22">
        <v>0.61050400000000005</v>
      </c>
      <c r="AD262">
        <f t="shared" si="40"/>
        <v>17.727699999999999</v>
      </c>
      <c r="AE262">
        <f t="shared" si="41"/>
        <v>10.833663385499998</v>
      </c>
      <c r="AF262" s="9"/>
      <c r="AG262" s="22">
        <v>1.1689799999999999</v>
      </c>
      <c r="AH262" s="22">
        <v>302.55099999999999</v>
      </c>
      <c r="AI262" s="22">
        <v>-1.72333E-2</v>
      </c>
      <c r="AJ262" s="22">
        <v>252</v>
      </c>
      <c r="AK262" s="22">
        <v>1.16791</v>
      </c>
      <c r="AL262">
        <f t="shared" si="42"/>
        <v>17.2333</v>
      </c>
      <c r="AM262">
        <f t="shared" si="43"/>
        <v>20.145383033999998</v>
      </c>
      <c r="AP262" s="9"/>
      <c r="AQ262" s="22">
        <v>0.61111499999999996</v>
      </c>
      <c r="AR262" s="22">
        <v>375.56400000000002</v>
      </c>
      <c r="AS262" s="22">
        <v>-1.7770399999999999E-2</v>
      </c>
      <c r="AT262" s="22">
        <v>252</v>
      </c>
      <c r="AU262" s="22">
        <v>0.61038199999999998</v>
      </c>
      <c r="AV262">
        <f t="shared" si="44"/>
        <v>17.770399999999999</v>
      </c>
      <c r="AW262">
        <f t="shared" si="45"/>
        <v>10.859757995999999</v>
      </c>
      <c r="AX262" s="9"/>
      <c r="AY262" s="22">
        <v>1.1689799999999999</v>
      </c>
      <c r="AZ262" s="22">
        <v>427.99299999999999</v>
      </c>
      <c r="BA262" s="22">
        <v>-1.7276E-2</v>
      </c>
      <c r="BB262" s="22">
        <v>252</v>
      </c>
      <c r="BC262" s="22">
        <v>1.16791</v>
      </c>
      <c r="BD262">
        <f t="shared" si="46"/>
        <v>17.276</v>
      </c>
      <c r="BE262">
        <f t="shared" si="47"/>
        <v>20.195298479999998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40.8703</v>
      </c>
      <c r="I263" s="22">
        <v>-1.76147E-2</v>
      </c>
      <c r="J263" s="22">
        <v>253</v>
      </c>
      <c r="K263" s="22">
        <v>0.60516400000000004</v>
      </c>
      <c r="L263">
        <f t="shared" si="36"/>
        <v>17.614699999999999</v>
      </c>
      <c r="M263">
        <f t="shared" si="37"/>
        <v>10.6758997613</v>
      </c>
      <c r="N263" s="9"/>
      <c r="O263" s="22">
        <v>1.17401</v>
      </c>
      <c r="P263" s="22">
        <v>98.180199999999999</v>
      </c>
      <c r="Q263" s="22">
        <v>-1.7181399999999999E-2</v>
      </c>
      <c r="R263" s="22">
        <v>253</v>
      </c>
      <c r="S263" s="22">
        <v>1.1731</v>
      </c>
      <c r="T263">
        <f t="shared" si="38"/>
        <v>17.1814</v>
      </c>
      <c r="U263">
        <f t="shared" si="39"/>
        <v>20.171135413999998</v>
      </c>
      <c r="X263" s="9"/>
      <c r="Y263" s="22">
        <v>0.60607900000000003</v>
      </c>
      <c r="Z263" s="22">
        <v>188.339</v>
      </c>
      <c r="AA263" s="22">
        <v>-1.7730699999999999E-2</v>
      </c>
      <c r="AB263" s="22">
        <v>253</v>
      </c>
      <c r="AC263" s="22">
        <v>0.60525499999999999</v>
      </c>
      <c r="AD263">
        <f t="shared" si="40"/>
        <v>17.730699999999999</v>
      </c>
      <c r="AE263">
        <f t="shared" si="41"/>
        <v>10.746204925300001</v>
      </c>
      <c r="AF263" s="9"/>
      <c r="AG263" s="22">
        <v>1.17401</v>
      </c>
      <c r="AH263" s="22">
        <v>302.65199999999999</v>
      </c>
      <c r="AI263" s="22">
        <v>-1.7230200000000001E-2</v>
      </c>
      <c r="AJ263" s="22">
        <v>253</v>
      </c>
      <c r="AK263" s="22">
        <v>1.1731</v>
      </c>
      <c r="AL263">
        <f t="shared" si="42"/>
        <v>17.2302</v>
      </c>
      <c r="AM263">
        <f t="shared" si="43"/>
        <v>20.228427102000001</v>
      </c>
      <c r="AP263" s="9"/>
      <c r="AQ263" s="22">
        <v>0.60607900000000003</v>
      </c>
      <c r="AR263" s="22">
        <v>375.66500000000002</v>
      </c>
      <c r="AS263" s="22">
        <v>-1.77795E-2</v>
      </c>
      <c r="AT263" s="22">
        <v>253</v>
      </c>
      <c r="AU263" s="22">
        <v>0.60525499999999999</v>
      </c>
      <c r="AV263">
        <f t="shared" si="44"/>
        <v>17.779499999999999</v>
      </c>
      <c r="AW263">
        <f t="shared" si="45"/>
        <v>10.7757815805</v>
      </c>
      <c r="AX263" s="9"/>
      <c r="AY263" s="22">
        <v>1.17401</v>
      </c>
      <c r="AZ263" s="22">
        <v>428.09399999999999</v>
      </c>
      <c r="BA263" s="22">
        <v>-1.7276E-2</v>
      </c>
      <c r="BB263" s="22">
        <v>253</v>
      </c>
      <c r="BC263" s="22">
        <v>1.1731</v>
      </c>
      <c r="BD263">
        <f t="shared" si="46"/>
        <v>17.276</v>
      </c>
      <c r="BE263">
        <f t="shared" si="47"/>
        <v>20.282196760000001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40.970999999999997</v>
      </c>
      <c r="I264" s="22">
        <v>-1.7617799999999999E-2</v>
      </c>
      <c r="J264" s="22">
        <v>254</v>
      </c>
      <c r="K264" s="22">
        <v>0.60021999999999998</v>
      </c>
      <c r="L264">
        <f t="shared" si="36"/>
        <v>17.617799999999999</v>
      </c>
      <c r="M264">
        <f t="shared" si="37"/>
        <v>10.589072983199999</v>
      </c>
      <c r="N264" s="9"/>
      <c r="O264" s="22">
        <v>1.1790499999999999</v>
      </c>
      <c r="P264" s="22">
        <v>98.280900000000003</v>
      </c>
      <c r="Q264" s="22">
        <v>-1.7175300000000001E-2</v>
      </c>
      <c r="R264" s="22">
        <v>254</v>
      </c>
      <c r="S264" s="22">
        <v>1.17798</v>
      </c>
      <c r="T264">
        <f t="shared" si="38"/>
        <v>17.1753</v>
      </c>
      <c r="U264">
        <f t="shared" si="39"/>
        <v>20.250537464999997</v>
      </c>
      <c r="X264" s="9"/>
      <c r="Y264" s="22">
        <v>0.60104400000000002</v>
      </c>
      <c r="Z264" s="22">
        <v>188.43899999999999</v>
      </c>
      <c r="AA264" s="22">
        <v>-1.77368E-2</v>
      </c>
      <c r="AB264" s="22">
        <v>254</v>
      </c>
      <c r="AC264" s="22">
        <v>0.60028099999999995</v>
      </c>
      <c r="AD264">
        <f t="shared" si="40"/>
        <v>17.736799999999999</v>
      </c>
      <c r="AE264">
        <f t="shared" si="41"/>
        <v>10.6605972192</v>
      </c>
      <c r="AF264" s="9"/>
      <c r="AG264" s="22">
        <v>1.1790499999999999</v>
      </c>
      <c r="AH264" s="22">
        <v>302.75200000000001</v>
      </c>
      <c r="AI264" s="22">
        <v>-1.7230200000000001E-2</v>
      </c>
      <c r="AJ264" s="22">
        <v>254</v>
      </c>
      <c r="AK264" s="22">
        <v>1.17767</v>
      </c>
      <c r="AL264">
        <f t="shared" si="42"/>
        <v>17.2302</v>
      </c>
      <c r="AM264">
        <f t="shared" si="43"/>
        <v>20.315267309999999</v>
      </c>
      <c r="AP264" s="9"/>
      <c r="AQ264" s="22">
        <v>0.60104400000000002</v>
      </c>
      <c r="AR264" s="22">
        <v>375.76499999999999</v>
      </c>
      <c r="AS264" s="22">
        <v>-1.7782599999999999E-2</v>
      </c>
      <c r="AT264" s="22">
        <v>254</v>
      </c>
      <c r="AU264" s="22">
        <v>0.60021999999999998</v>
      </c>
      <c r="AV264">
        <f t="shared" si="44"/>
        <v>17.782599999999999</v>
      </c>
      <c r="AW264">
        <f t="shared" si="45"/>
        <v>10.688125034399999</v>
      </c>
      <c r="AX264" s="9"/>
      <c r="AY264" s="22">
        <v>1.1790499999999999</v>
      </c>
      <c r="AZ264" s="22">
        <v>428.19400000000002</v>
      </c>
      <c r="BA264" s="22">
        <v>-1.7276E-2</v>
      </c>
      <c r="BB264" s="22">
        <v>254</v>
      </c>
      <c r="BC264" s="22">
        <v>1.17828</v>
      </c>
      <c r="BD264">
        <f t="shared" si="46"/>
        <v>17.276</v>
      </c>
      <c r="BE264">
        <f t="shared" si="47"/>
        <v>20.369267799999999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41.0717</v>
      </c>
      <c r="I265" s="22">
        <v>-1.7620799999999999E-2</v>
      </c>
      <c r="J265" s="22">
        <v>255</v>
      </c>
      <c r="K265" s="22">
        <v>0.595001</v>
      </c>
      <c r="L265">
        <f t="shared" si="36"/>
        <v>17.620799999999999</v>
      </c>
      <c r="M265">
        <f t="shared" si="37"/>
        <v>10.502137766399999</v>
      </c>
      <c r="N265" s="9"/>
      <c r="O265" s="22">
        <v>1.18408</v>
      </c>
      <c r="P265" s="22">
        <v>98.381600000000006</v>
      </c>
      <c r="Q265" s="22">
        <v>-1.7169199999999999E-2</v>
      </c>
      <c r="R265" s="22">
        <v>255</v>
      </c>
      <c r="S265" s="22">
        <v>1.18347</v>
      </c>
      <c r="T265">
        <f t="shared" si="38"/>
        <v>17.1692</v>
      </c>
      <c r="U265">
        <f t="shared" si="39"/>
        <v>20.329706336000001</v>
      </c>
      <c r="X265" s="9"/>
      <c r="Y265" s="22">
        <v>0.59600799999999998</v>
      </c>
      <c r="Z265" s="22">
        <v>188.54</v>
      </c>
      <c r="AA265" s="22">
        <v>-1.7733800000000001E-2</v>
      </c>
      <c r="AB265" s="22">
        <v>255</v>
      </c>
      <c r="AC265" s="22">
        <v>0.59521500000000005</v>
      </c>
      <c r="AD265">
        <f t="shared" si="40"/>
        <v>17.733800000000002</v>
      </c>
      <c r="AE265">
        <f t="shared" si="41"/>
        <v>10.569486670400002</v>
      </c>
      <c r="AF265" s="9"/>
      <c r="AG265" s="22">
        <v>1.18408</v>
      </c>
      <c r="AH265" s="22">
        <v>302.85300000000001</v>
      </c>
      <c r="AI265" s="22">
        <v>-1.72211E-2</v>
      </c>
      <c r="AJ265" s="22">
        <v>255</v>
      </c>
      <c r="AK265" s="22">
        <v>1.18347</v>
      </c>
      <c r="AL265">
        <f t="shared" si="42"/>
        <v>17.2211</v>
      </c>
      <c r="AM265">
        <f t="shared" si="43"/>
        <v>20.391160087999999</v>
      </c>
      <c r="AP265" s="9"/>
      <c r="AQ265" s="22">
        <v>0.59600799999999998</v>
      </c>
      <c r="AR265" s="22">
        <v>375.86599999999999</v>
      </c>
      <c r="AS265" s="22">
        <v>-1.7788700000000001E-2</v>
      </c>
      <c r="AT265" s="22">
        <v>255</v>
      </c>
      <c r="AU265" s="22">
        <v>0.59518400000000005</v>
      </c>
      <c r="AV265">
        <f t="shared" si="44"/>
        <v>17.788700000000002</v>
      </c>
      <c r="AW265">
        <f t="shared" si="45"/>
        <v>10.602207509600001</v>
      </c>
      <c r="AX265" s="9"/>
      <c r="AY265" s="22">
        <v>1.18408</v>
      </c>
      <c r="AZ265" s="22">
        <v>428.29500000000002</v>
      </c>
      <c r="BA265" s="22">
        <v>-1.7266799999999999E-2</v>
      </c>
      <c r="BB265" s="22">
        <v>255</v>
      </c>
      <c r="BC265" s="22">
        <v>1.18347</v>
      </c>
      <c r="BD265">
        <f t="shared" si="46"/>
        <v>17.2668</v>
      </c>
      <c r="BE265">
        <f t="shared" si="47"/>
        <v>20.445272544000002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41.172400000000003</v>
      </c>
      <c r="I266" s="22">
        <v>-1.7627E-2</v>
      </c>
      <c r="J266" s="22">
        <v>256</v>
      </c>
      <c r="K266" s="22">
        <v>0.59017900000000001</v>
      </c>
      <c r="L266">
        <f t="shared" si="36"/>
        <v>17.626999999999999</v>
      </c>
      <c r="M266">
        <f t="shared" si="37"/>
        <v>10.417081070999998</v>
      </c>
      <c r="N266" s="9"/>
      <c r="O266" s="22">
        <v>1.18912</v>
      </c>
      <c r="P266" s="22">
        <v>98.482299999999995</v>
      </c>
      <c r="Q266" s="22">
        <v>-1.7169199999999999E-2</v>
      </c>
      <c r="R266" s="22">
        <v>256</v>
      </c>
      <c r="S266" s="22">
        <v>1.1880500000000001</v>
      </c>
      <c r="T266">
        <f t="shared" si="38"/>
        <v>17.1692</v>
      </c>
      <c r="U266">
        <f t="shared" si="39"/>
        <v>20.416239103999999</v>
      </c>
      <c r="X266" s="9"/>
      <c r="Y266" s="22">
        <v>0.59097299999999997</v>
      </c>
      <c r="Z266" s="22">
        <v>188.64099999999999</v>
      </c>
      <c r="AA266" s="22">
        <v>-1.7739899999999999E-2</v>
      </c>
      <c r="AB266" s="22">
        <v>256</v>
      </c>
      <c r="AC266" s="22">
        <v>0.59017900000000001</v>
      </c>
      <c r="AD266">
        <f t="shared" si="40"/>
        <v>17.739899999999999</v>
      </c>
      <c r="AE266">
        <f t="shared" si="41"/>
        <v>10.483801922699998</v>
      </c>
      <c r="AF266" s="9"/>
      <c r="AG266" s="22">
        <v>1.18912</v>
      </c>
      <c r="AH266" s="22">
        <v>302.95400000000001</v>
      </c>
      <c r="AI266" s="22">
        <v>-1.7218000000000001E-2</v>
      </c>
      <c r="AJ266" s="22">
        <v>256</v>
      </c>
      <c r="AK266" s="22">
        <v>1.1880500000000001</v>
      </c>
      <c r="AL266">
        <f t="shared" si="42"/>
        <v>17.218</v>
      </c>
      <c r="AM266">
        <f t="shared" si="43"/>
        <v>20.474268159999998</v>
      </c>
      <c r="AP266" s="9"/>
      <c r="AQ266" s="22">
        <v>0.59097299999999997</v>
      </c>
      <c r="AR266" s="22">
        <v>375.96699999999998</v>
      </c>
      <c r="AS266" s="22">
        <v>-1.7791700000000001E-2</v>
      </c>
      <c r="AT266" s="22">
        <v>256</v>
      </c>
      <c r="AU266" s="22">
        <v>0.59017900000000001</v>
      </c>
      <c r="AV266">
        <f t="shared" si="44"/>
        <v>17.791700000000002</v>
      </c>
      <c r="AW266">
        <f t="shared" si="45"/>
        <v>10.514414324100001</v>
      </c>
      <c r="AX266" s="9"/>
      <c r="AY266" s="22">
        <v>1.18912</v>
      </c>
      <c r="AZ266" s="22">
        <v>428.39600000000002</v>
      </c>
      <c r="BA266" s="22">
        <v>-1.7257700000000001E-2</v>
      </c>
      <c r="BB266" s="22">
        <v>256</v>
      </c>
      <c r="BC266" s="22">
        <v>1.18774</v>
      </c>
      <c r="BD266">
        <f t="shared" si="46"/>
        <v>17.2577</v>
      </c>
      <c r="BE266">
        <f t="shared" si="47"/>
        <v>20.521476224000001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41.273099999999999</v>
      </c>
      <c r="I267" s="22">
        <v>-1.763E-2</v>
      </c>
      <c r="J267" s="22">
        <v>257</v>
      </c>
      <c r="K267" s="22">
        <v>0.58520499999999998</v>
      </c>
      <c r="L267">
        <f t="shared" si="36"/>
        <v>17.63</v>
      </c>
      <c r="M267">
        <f t="shared" si="37"/>
        <v>10.330086939999999</v>
      </c>
      <c r="N267" s="9"/>
      <c r="O267" s="22">
        <v>1.19415</v>
      </c>
      <c r="P267" s="22">
        <v>98.582999999999998</v>
      </c>
      <c r="Q267" s="22">
        <v>-1.7160000000000002E-2</v>
      </c>
      <c r="R267" s="22">
        <v>257</v>
      </c>
      <c r="S267" s="22">
        <v>1.19293</v>
      </c>
      <c r="T267">
        <f t="shared" si="38"/>
        <v>17.16</v>
      </c>
      <c r="U267">
        <f t="shared" si="39"/>
        <v>20.491614000000002</v>
      </c>
      <c r="X267" s="9"/>
      <c r="Y267" s="22">
        <v>0.58593799999999996</v>
      </c>
      <c r="Z267" s="22">
        <v>188.74100000000001</v>
      </c>
      <c r="AA267" s="22">
        <v>-1.7746000000000001E-2</v>
      </c>
      <c r="AB267" s="22">
        <v>257</v>
      </c>
      <c r="AC267" s="22">
        <v>0.585175</v>
      </c>
      <c r="AD267">
        <f t="shared" si="40"/>
        <v>17.746000000000002</v>
      </c>
      <c r="AE267">
        <f t="shared" si="41"/>
        <v>10.398055748000001</v>
      </c>
      <c r="AF267" s="9"/>
      <c r="AG267" s="22">
        <v>1.19415</v>
      </c>
      <c r="AH267" s="22">
        <v>303.05399999999997</v>
      </c>
      <c r="AI267" s="22">
        <v>-1.7208899999999999E-2</v>
      </c>
      <c r="AJ267" s="22">
        <v>257</v>
      </c>
      <c r="AK267" s="22">
        <v>1.1926300000000001</v>
      </c>
      <c r="AL267">
        <f t="shared" si="42"/>
        <v>17.2089</v>
      </c>
      <c r="AM267">
        <f t="shared" si="43"/>
        <v>20.550007935</v>
      </c>
      <c r="AP267" s="9"/>
      <c r="AQ267" s="22">
        <v>0.58593799999999996</v>
      </c>
      <c r="AR267" s="22">
        <v>376.06799999999998</v>
      </c>
      <c r="AS267" s="22">
        <v>-1.77948E-2</v>
      </c>
      <c r="AT267" s="22">
        <v>257</v>
      </c>
      <c r="AU267" s="22">
        <v>0.585175</v>
      </c>
      <c r="AV267">
        <f t="shared" si="44"/>
        <v>17.794799999999999</v>
      </c>
      <c r="AW267">
        <f t="shared" si="45"/>
        <v>10.426649522399998</v>
      </c>
      <c r="AX267" s="9"/>
      <c r="AY267" s="22">
        <v>1.19415</v>
      </c>
      <c r="AZ267" s="22">
        <v>428.49599999999998</v>
      </c>
      <c r="BA267" s="22">
        <v>-1.7254599999999998E-2</v>
      </c>
      <c r="BB267" s="22">
        <v>257</v>
      </c>
      <c r="BC267" s="22">
        <v>1.1932400000000001</v>
      </c>
      <c r="BD267">
        <f t="shared" si="46"/>
        <v>17.2546</v>
      </c>
      <c r="BE267">
        <f t="shared" si="47"/>
        <v>20.604580590000001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41.373800000000003</v>
      </c>
      <c r="I268" s="22">
        <v>-1.7633099999999999E-2</v>
      </c>
      <c r="J268" s="22">
        <v>258</v>
      </c>
      <c r="K268" s="22">
        <v>0.58004800000000001</v>
      </c>
      <c r="L268">
        <f t="shared" ref="L268:L331" si="48">-I268/$F$2*1000</f>
        <v>17.633099999999999</v>
      </c>
      <c r="M268">
        <f t="shared" ref="M268:M331" si="49">L268*G268</f>
        <v>10.243103056200001</v>
      </c>
      <c r="N268" s="9"/>
      <c r="O268" s="22">
        <v>1.19919</v>
      </c>
      <c r="P268" s="22">
        <v>98.683700000000002</v>
      </c>
      <c r="Q268" s="22">
        <v>-1.7160000000000002E-2</v>
      </c>
      <c r="R268" s="22">
        <v>258</v>
      </c>
      <c r="S268" s="22">
        <v>1.1981200000000001</v>
      </c>
      <c r="T268">
        <f t="shared" ref="T268:T331" si="50">-Q268/$F$2*1000</f>
        <v>17.16</v>
      </c>
      <c r="U268">
        <f t="shared" ref="U268:U331" si="51">T268*O268</f>
        <v>20.5781004</v>
      </c>
      <c r="X268" s="9"/>
      <c r="Y268" s="22">
        <v>0.58090200000000003</v>
      </c>
      <c r="Z268" s="22">
        <v>188.84200000000001</v>
      </c>
      <c r="AA268" s="22">
        <v>-1.77521E-2</v>
      </c>
      <c r="AB268" s="22">
        <v>258</v>
      </c>
      <c r="AC268" s="22">
        <v>0.58010899999999999</v>
      </c>
      <c r="AD268">
        <f t="shared" ref="AD268:AD331" si="52">-AA268/$F$2*1000</f>
        <v>17.752099999999999</v>
      </c>
      <c r="AE268">
        <f t="shared" ref="AE268:AE331" si="53">AD268*Y268</f>
        <v>10.3122303942</v>
      </c>
      <c r="AF268" s="9"/>
      <c r="AG268" s="22">
        <v>1.19919</v>
      </c>
      <c r="AH268" s="22">
        <v>303.15499999999997</v>
      </c>
      <c r="AI268" s="22">
        <v>-1.7208899999999999E-2</v>
      </c>
      <c r="AJ268" s="22">
        <v>258</v>
      </c>
      <c r="AK268" s="22">
        <v>1.1981200000000001</v>
      </c>
      <c r="AL268">
        <f t="shared" ref="AL268:AL331" si="54">-AI268/$F$2*1000</f>
        <v>17.2089</v>
      </c>
      <c r="AM268">
        <f t="shared" ref="AM268:AM331" si="55">AL268*AG268</f>
        <v>20.636740791000001</v>
      </c>
      <c r="AP268" s="9"/>
      <c r="AQ268" s="22">
        <v>0.58090200000000003</v>
      </c>
      <c r="AR268" s="22">
        <v>376.16800000000001</v>
      </c>
      <c r="AS268" s="22">
        <v>-1.77948E-2</v>
      </c>
      <c r="AT268" s="22">
        <v>258</v>
      </c>
      <c r="AU268" s="22">
        <v>0.57986499999999996</v>
      </c>
      <c r="AV268">
        <f t="shared" ref="AV268:AV331" si="56">-AS268/$F$2*1000</f>
        <v>17.794799999999999</v>
      </c>
      <c r="AW268">
        <f t="shared" ref="AW268:AW331" si="57">AV268*AQ268</f>
        <v>10.3370349096</v>
      </c>
      <c r="AX268" s="9"/>
      <c r="AY268" s="22">
        <v>1.19919</v>
      </c>
      <c r="AZ268" s="22">
        <v>428.59699999999998</v>
      </c>
      <c r="BA268" s="22">
        <v>-1.72455E-2</v>
      </c>
      <c r="BB268" s="22">
        <v>258</v>
      </c>
      <c r="BC268" s="22">
        <v>1.1981200000000001</v>
      </c>
      <c r="BD268">
        <f t="shared" ref="BD268:BD331" si="58">-BA268/$F$2*1000</f>
        <v>17.2455</v>
      </c>
      <c r="BE268">
        <f t="shared" ref="BE268:BE331" si="59">BD268*AY268</f>
        <v>20.680631145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41.474499999999999</v>
      </c>
      <c r="I269" s="22">
        <v>-1.7636099999999998E-2</v>
      </c>
      <c r="J269" s="22">
        <v>259</v>
      </c>
      <c r="K269" s="22">
        <v>0.57504299999999997</v>
      </c>
      <c r="L269">
        <f t="shared" si="48"/>
        <v>17.636099999999999</v>
      </c>
      <c r="M269">
        <f t="shared" si="49"/>
        <v>10.1560479987</v>
      </c>
      <c r="N269" s="9"/>
      <c r="O269" s="22">
        <v>1.2042200000000001</v>
      </c>
      <c r="P269" s="22">
        <v>98.784400000000005</v>
      </c>
      <c r="Q269" s="22">
        <v>-1.71509E-2</v>
      </c>
      <c r="R269" s="22">
        <v>259</v>
      </c>
      <c r="S269" s="22">
        <v>1.2030000000000001</v>
      </c>
      <c r="T269">
        <f t="shared" si="50"/>
        <v>17.1509</v>
      </c>
      <c r="U269">
        <f t="shared" si="51"/>
        <v>20.653456798000001</v>
      </c>
      <c r="X269" s="9"/>
      <c r="Y269" s="22">
        <v>0.57586700000000002</v>
      </c>
      <c r="Z269" s="22">
        <v>188.94300000000001</v>
      </c>
      <c r="AA269" s="22">
        <v>-1.7749000000000001E-2</v>
      </c>
      <c r="AB269" s="22">
        <v>259</v>
      </c>
      <c r="AC269" s="22">
        <v>0.57498199999999999</v>
      </c>
      <c r="AD269">
        <f t="shared" si="52"/>
        <v>17.749000000000002</v>
      </c>
      <c r="AE269">
        <f t="shared" si="53"/>
        <v>10.221063383000002</v>
      </c>
      <c r="AF269" s="9"/>
      <c r="AG269" s="22">
        <v>1.2042200000000001</v>
      </c>
      <c r="AH269" s="22">
        <v>303.25599999999997</v>
      </c>
      <c r="AI269" s="22">
        <v>-1.7202800000000001E-2</v>
      </c>
      <c r="AJ269" s="22">
        <v>259</v>
      </c>
      <c r="AK269" s="22">
        <v>1.2030000000000001</v>
      </c>
      <c r="AL269">
        <f t="shared" si="54"/>
        <v>17.2028</v>
      </c>
      <c r="AM269">
        <f t="shared" si="55"/>
        <v>20.715955816000001</v>
      </c>
      <c r="AP269" s="9"/>
      <c r="AQ269" s="22">
        <v>0.57586700000000002</v>
      </c>
      <c r="AR269" s="22">
        <v>376.26900000000001</v>
      </c>
      <c r="AS269" s="22">
        <v>-1.7800900000000001E-2</v>
      </c>
      <c r="AT269" s="22">
        <v>259</v>
      </c>
      <c r="AU269" s="22">
        <v>0.57507299999999995</v>
      </c>
      <c r="AV269">
        <f t="shared" si="56"/>
        <v>17.800900000000002</v>
      </c>
      <c r="AW269">
        <f t="shared" si="57"/>
        <v>10.250950880300001</v>
      </c>
      <c r="AX269" s="9"/>
      <c r="AY269" s="22">
        <v>1.2042200000000001</v>
      </c>
      <c r="AZ269" s="22">
        <v>428.69799999999998</v>
      </c>
      <c r="BA269" s="22">
        <v>-1.72455E-2</v>
      </c>
      <c r="BB269" s="22">
        <v>259</v>
      </c>
      <c r="BC269" s="22">
        <v>1.2033100000000001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41.575200000000002</v>
      </c>
      <c r="I270" s="22">
        <v>-1.7639200000000001E-2</v>
      </c>
      <c r="J270" s="22">
        <v>260</v>
      </c>
      <c r="K270" s="22">
        <v>0.570129</v>
      </c>
      <c r="L270">
        <f t="shared" si="48"/>
        <v>17.639200000000002</v>
      </c>
      <c r="M270">
        <f t="shared" si="49"/>
        <v>10.069002175200001</v>
      </c>
      <c r="N270" s="9"/>
      <c r="O270" s="22">
        <v>1.20926</v>
      </c>
      <c r="P270" s="22">
        <v>98.885099999999994</v>
      </c>
      <c r="Q270" s="22">
        <v>-1.7144800000000002E-2</v>
      </c>
      <c r="R270" s="22">
        <v>260</v>
      </c>
      <c r="S270" s="22">
        <v>1.2084999999999999</v>
      </c>
      <c r="T270">
        <f t="shared" si="50"/>
        <v>17.1448</v>
      </c>
      <c r="U270">
        <f t="shared" si="51"/>
        <v>20.732520848</v>
      </c>
      <c r="X270" s="9"/>
      <c r="Y270" s="22">
        <v>0.57083099999999998</v>
      </c>
      <c r="Z270" s="22">
        <v>189.04400000000001</v>
      </c>
      <c r="AA270" s="22">
        <v>-1.77521E-2</v>
      </c>
      <c r="AB270" s="22">
        <v>260</v>
      </c>
      <c r="AC270" s="22">
        <v>0.57003800000000004</v>
      </c>
      <c r="AD270">
        <f t="shared" si="52"/>
        <v>17.752099999999999</v>
      </c>
      <c r="AE270">
        <f t="shared" si="53"/>
        <v>10.133448995099998</v>
      </c>
      <c r="AF270" s="9"/>
      <c r="AG270" s="22">
        <v>1.20926</v>
      </c>
      <c r="AH270" s="22">
        <v>303.35700000000003</v>
      </c>
      <c r="AI270" s="22">
        <v>-1.71936E-2</v>
      </c>
      <c r="AJ270" s="22">
        <v>260</v>
      </c>
      <c r="AK270" s="22">
        <v>1.2084999999999999</v>
      </c>
      <c r="AL270">
        <f t="shared" si="54"/>
        <v>17.1936</v>
      </c>
      <c r="AM270">
        <f t="shared" si="55"/>
        <v>20.791532736000001</v>
      </c>
      <c r="AP270" s="9"/>
      <c r="AQ270" s="22">
        <v>0.57083099999999998</v>
      </c>
      <c r="AR270" s="22">
        <v>376.37</v>
      </c>
      <c r="AS270" s="22">
        <v>-1.7807E-2</v>
      </c>
      <c r="AT270" s="22">
        <v>260</v>
      </c>
      <c r="AU270" s="22">
        <v>0.57000700000000004</v>
      </c>
      <c r="AV270">
        <f t="shared" si="56"/>
        <v>17.806999999999999</v>
      </c>
      <c r="AW270">
        <f t="shared" si="57"/>
        <v>10.164787616999998</v>
      </c>
      <c r="AX270" s="9"/>
      <c r="AY270" s="22">
        <v>1.20926</v>
      </c>
      <c r="AZ270" s="22">
        <v>428.79899999999998</v>
      </c>
      <c r="BA270" s="22">
        <v>-1.72333E-2</v>
      </c>
      <c r="BB270" s="22">
        <v>260</v>
      </c>
      <c r="BC270" s="22">
        <v>1.2084999999999999</v>
      </c>
      <c r="BD270">
        <f t="shared" si="58"/>
        <v>17.2333</v>
      </c>
      <c r="BE270">
        <f t="shared" si="59"/>
        <v>20.839540358000001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41.675899999999999</v>
      </c>
      <c r="I271" s="22">
        <v>-1.7645299999999999E-2</v>
      </c>
      <c r="J271" s="22">
        <v>261</v>
      </c>
      <c r="K271" s="22">
        <v>0.56524700000000005</v>
      </c>
      <c r="L271">
        <f t="shared" si="48"/>
        <v>17.645299999999999</v>
      </c>
      <c r="M271">
        <f t="shared" si="49"/>
        <v>9.9836401587999983</v>
      </c>
      <c r="N271" s="9"/>
      <c r="O271" s="22">
        <v>1.2142900000000001</v>
      </c>
      <c r="P271" s="22">
        <v>98.985799999999998</v>
      </c>
      <c r="Q271" s="22">
        <v>-1.7135600000000001E-2</v>
      </c>
      <c r="R271" s="22">
        <v>261</v>
      </c>
      <c r="S271" s="22">
        <v>1.2133799999999999</v>
      </c>
      <c r="T271">
        <f t="shared" si="50"/>
        <v>17.1356</v>
      </c>
      <c r="U271">
        <f t="shared" si="51"/>
        <v>20.807587724000001</v>
      </c>
      <c r="X271" s="9"/>
      <c r="Y271" s="22">
        <v>0.56579599999999997</v>
      </c>
      <c r="Z271" s="22">
        <v>189.14400000000001</v>
      </c>
      <c r="AA271" s="22">
        <v>-1.7758199999999998E-2</v>
      </c>
      <c r="AB271" s="22">
        <v>261</v>
      </c>
      <c r="AC271" s="22">
        <v>0.56503300000000001</v>
      </c>
      <c r="AD271">
        <f t="shared" si="52"/>
        <v>17.758199999999999</v>
      </c>
      <c r="AE271">
        <f t="shared" si="53"/>
        <v>10.047518527199999</v>
      </c>
      <c r="AF271" s="9"/>
      <c r="AG271" s="22">
        <v>1.2142900000000001</v>
      </c>
      <c r="AH271" s="22">
        <v>303.45699999999999</v>
      </c>
      <c r="AI271" s="22">
        <v>-1.7187500000000001E-2</v>
      </c>
      <c r="AJ271" s="22">
        <v>261</v>
      </c>
      <c r="AK271" s="22">
        <v>1.2130700000000001</v>
      </c>
      <c r="AL271">
        <f t="shared" si="54"/>
        <v>17.1875</v>
      </c>
      <c r="AM271">
        <f t="shared" si="55"/>
        <v>20.870609375000001</v>
      </c>
      <c r="AP271" s="9"/>
      <c r="AQ271" s="22">
        <v>0.56579599999999997</v>
      </c>
      <c r="AR271" s="22">
        <v>376.47</v>
      </c>
      <c r="AS271" s="22">
        <v>-1.7810099999999999E-2</v>
      </c>
      <c r="AT271" s="22">
        <v>261</v>
      </c>
      <c r="AU271" s="22">
        <v>0.56506299999999998</v>
      </c>
      <c r="AV271">
        <f t="shared" si="56"/>
        <v>17.810099999999998</v>
      </c>
      <c r="AW271">
        <f t="shared" si="57"/>
        <v>10.076883339599998</v>
      </c>
      <c r="AX271" s="9"/>
      <c r="AY271" s="22">
        <v>1.2142900000000001</v>
      </c>
      <c r="AZ271" s="22">
        <v>428.899</v>
      </c>
      <c r="BA271" s="22">
        <v>-1.7230200000000001E-2</v>
      </c>
      <c r="BB271" s="22">
        <v>261</v>
      </c>
      <c r="BC271" s="22">
        <v>1.2133799999999999</v>
      </c>
      <c r="BD271">
        <f t="shared" si="58"/>
        <v>17.2302</v>
      </c>
      <c r="BE271">
        <f t="shared" si="59"/>
        <v>20.922459558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41.776600000000002</v>
      </c>
      <c r="I272" s="22">
        <v>-1.7645299999999999E-2</v>
      </c>
      <c r="J272" s="22">
        <v>262</v>
      </c>
      <c r="K272" s="22">
        <v>0.56002799999999997</v>
      </c>
      <c r="L272">
        <f t="shared" si="48"/>
        <v>17.645299999999999</v>
      </c>
      <c r="M272">
        <f t="shared" si="49"/>
        <v>9.8947784280000004</v>
      </c>
      <c r="N272" s="9"/>
      <c r="O272" s="22">
        <v>1.21933</v>
      </c>
      <c r="P272" s="22">
        <v>99.086500000000001</v>
      </c>
      <c r="Q272" s="22">
        <v>-1.7132600000000001E-2</v>
      </c>
      <c r="R272" s="22">
        <v>262</v>
      </c>
      <c r="S272" s="22">
        <v>1.2179599999999999</v>
      </c>
      <c r="T272">
        <f t="shared" si="50"/>
        <v>17.1326</v>
      </c>
      <c r="U272">
        <f t="shared" si="51"/>
        <v>20.890293158000002</v>
      </c>
      <c r="X272" s="9"/>
      <c r="Y272" s="22">
        <v>0.56076000000000004</v>
      </c>
      <c r="Z272" s="22">
        <v>189.245</v>
      </c>
      <c r="AA272" s="22">
        <v>-1.7761200000000001E-2</v>
      </c>
      <c r="AB272" s="22">
        <v>262</v>
      </c>
      <c r="AC272" s="22">
        <v>0.55993700000000002</v>
      </c>
      <c r="AD272">
        <f t="shared" si="52"/>
        <v>17.761200000000002</v>
      </c>
      <c r="AE272">
        <f t="shared" si="53"/>
        <v>9.9597705120000022</v>
      </c>
      <c r="AF272" s="9"/>
      <c r="AG272" s="22">
        <v>1.21933</v>
      </c>
      <c r="AH272" s="22">
        <v>303.55799999999999</v>
      </c>
      <c r="AI272" s="22">
        <v>-1.7184399999999999E-2</v>
      </c>
      <c r="AJ272" s="22">
        <v>262</v>
      </c>
      <c r="AK272" s="22">
        <v>1.2188699999999999</v>
      </c>
      <c r="AL272">
        <f t="shared" si="54"/>
        <v>17.1844</v>
      </c>
      <c r="AM272">
        <f t="shared" si="55"/>
        <v>20.953454451999999</v>
      </c>
      <c r="AP272" s="9"/>
      <c r="AQ272" s="22">
        <v>0.56076000000000004</v>
      </c>
      <c r="AR272" s="22">
        <v>376.57100000000003</v>
      </c>
      <c r="AS272" s="22">
        <v>-1.7813099999999998E-2</v>
      </c>
      <c r="AT272" s="22">
        <v>262</v>
      </c>
      <c r="AU272" s="22">
        <v>0.56008899999999995</v>
      </c>
      <c r="AV272">
        <f t="shared" si="56"/>
        <v>17.813099999999999</v>
      </c>
      <c r="AW272">
        <f t="shared" si="57"/>
        <v>9.9888739559999991</v>
      </c>
      <c r="AX272" s="9"/>
      <c r="AY272" s="22">
        <v>1.21933</v>
      </c>
      <c r="AZ272" s="22">
        <v>429</v>
      </c>
      <c r="BA272" s="22">
        <v>-1.7224099999999999E-2</v>
      </c>
      <c r="BB272" s="22">
        <v>262</v>
      </c>
      <c r="BC272" s="22">
        <v>1.2185699999999999</v>
      </c>
      <c r="BD272">
        <f t="shared" si="58"/>
        <v>17.2241</v>
      </c>
      <c r="BE272">
        <f t="shared" si="59"/>
        <v>21.001861853000001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41.877400000000002</v>
      </c>
      <c r="I273" s="22">
        <v>-1.7654400000000001E-2</v>
      </c>
      <c r="J273" s="22">
        <v>263</v>
      </c>
      <c r="K273" s="22">
        <v>0.55493199999999998</v>
      </c>
      <c r="L273">
        <f t="shared" si="48"/>
        <v>17.654399999999999</v>
      </c>
      <c r="M273">
        <f t="shared" si="49"/>
        <v>9.8109914400000005</v>
      </c>
      <c r="N273" s="9"/>
      <c r="O273" s="22">
        <v>1.22437</v>
      </c>
      <c r="P273" s="22">
        <v>99.187200000000004</v>
      </c>
      <c r="Q273" s="22">
        <v>-1.7129499999999999E-2</v>
      </c>
      <c r="R273" s="22">
        <v>263</v>
      </c>
      <c r="S273" s="22">
        <v>1.2234499999999999</v>
      </c>
      <c r="T273">
        <f t="shared" si="50"/>
        <v>17.1295</v>
      </c>
      <c r="U273">
        <f t="shared" si="51"/>
        <v>20.972845915000001</v>
      </c>
      <c r="X273" s="9"/>
      <c r="Y273" s="22">
        <v>0.55572500000000002</v>
      </c>
      <c r="Z273" s="22">
        <v>189.346</v>
      </c>
      <c r="AA273" s="22">
        <v>-1.77673E-2</v>
      </c>
      <c r="AB273" s="22">
        <v>263</v>
      </c>
      <c r="AC273" s="22">
        <v>0.55499299999999996</v>
      </c>
      <c r="AD273">
        <f t="shared" si="52"/>
        <v>17.767299999999999</v>
      </c>
      <c r="AE273">
        <f t="shared" si="53"/>
        <v>9.8737327925000002</v>
      </c>
      <c r="AF273" s="9"/>
      <c r="AG273" s="22">
        <v>1.22437</v>
      </c>
      <c r="AH273" s="22">
        <v>303.65899999999999</v>
      </c>
      <c r="AI273" s="22">
        <v>-1.7172199999999999E-2</v>
      </c>
      <c r="AJ273" s="22">
        <v>263</v>
      </c>
      <c r="AK273" s="22">
        <v>1.2240599999999999</v>
      </c>
      <c r="AL273">
        <f t="shared" si="54"/>
        <v>17.1722</v>
      </c>
      <c r="AM273">
        <f t="shared" si="55"/>
        <v>21.025126514</v>
      </c>
      <c r="AP273" s="9"/>
      <c r="AQ273" s="22">
        <v>0.55572500000000002</v>
      </c>
      <c r="AR273" s="22">
        <v>376.67200000000003</v>
      </c>
      <c r="AS273" s="22">
        <v>-1.7816200000000001E-2</v>
      </c>
      <c r="AT273" s="22">
        <v>263</v>
      </c>
      <c r="AU273" s="22">
        <v>0.55496199999999996</v>
      </c>
      <c r="AV273">
        <f t="shared" si="56"/>
        <v>17.816200000000002</v>
      </c>
      <c r="AW273">
        <f t="shared" si="57"/>
        <v>9.9009077450000014</v>
      </c>
      <c r="AX273" s="9"/>
      <c r="AY273" s="22">
        <v>1.22437</v>
      </c>
      <c r="AZ273" s="22">
        <v>429.101</v>
      </c>
      <c r="BA273" s="22">
        <v>-1.72211E-2</v>
      </c>
      <c r="BB273" s="22">
        <v>263</v>
      </c>
      <c r="BC273" s="22">
        <v>1.2234499999999999</v>
      </c>
      <c r="BD273">
        <f t="shared" si="58"/>
        <v>17.2211</v>
      </c>
      <c r="BE273">
        <f t="shared" si="59"/>
        <v>21.084998206999998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41.978099999999998</v>
      </c>
      <c r="I274" s="22">
        <v>-1.7660499999999999E-2</v>
      </c>
      <c r="J274" s="22">
        <v>264</v>
      </c>
      <c r="K274" s="22">
        <v>0.55001800000000001</v>
      </c>
      <c r="L274">
        <f t="shared" si="48"/>
        <v>17.660499999999999</v>
      </c>
      <c r="M274">
        <f t="shared" si="49"/>
        <v>9.7254607449999995</v>
      </c>
      <c r="N274" s="9"/>
      <c r="O274" s="22">
        <v>1.2294</v>
      </c>
      <c r="P274" s="22">
        <v>99.287899999999993</v>
      </c>
      <c r="Q274" s="22">
        <v>-1.71234E-2</v>
      </c>
      <c r="R274" s="22">
        <v>264</v>
      </c>
      <c r="S274" s="22">
        <v>1.2283299999999999</v>
      </c>
      <c r="T274">
        <f t="shared" si="50"/>
        <v>17.1234</v>
      </c>
      <c r="U274">
        <f t="shared" si="51"/>
        <v>21.051507960000002</v>
      </c>
      <c r="X274" s="9"/>
      <c r="Y274" s="22">
        <v>0.55069000000000001</v>
      </c>
      <c r="Z274" s="22">
        <v>189.446</v>
      </c>
      <c r="AA274" s="22">
        <v>-1.7773400000000002E-2</v>
      </c>
      <c r="AB274" s="22">
        <v>264</v>
      </c>
      <c r="AC274" s="22">
        <v>0.54995700000000003</v>
      </c>
      <c r="AD274">
        <f t="shared" si="52"/>
        <v>17.773400000000002</v>
      </c>
      <c r="AE274">
        <f t="shared" si="53"/>
        <v>9.7876336460000015</v>
      </c>
      <c r="AF274" s="9"/>
      <c r="AG274" s="22">
        <v>1.2294</v>
      </c>
      <c r="AH274" s="22">
        <v>303.75900000000001</v>
      </c>
      <c r="AI274" s="22">
        <v>-1.7175300000000001E-2</v>
      </c>
      <c r="AJ274" s="22">
        <v>264</v>
      </c>
      <c r="AK274" s="22">
        <v>1.2289399999999999</v>
      </c>
      <c r="AL274">
        <f t="shared" si="54"/>
        <v>17.1753</v>
      </c>
      <c r="AM274">
        <f t="shared" si="55"/>
        <v>21.115313820000001</v>
      </c>
      <c r="AP274" s="9"/>
      <c r="AQ274" s="22">
        <v>0.55069000000000001</v>
      </c>
      <c r="AR274" s="22">
        <v>376.77300000000002</v>
      </c>
      <c r="AS274" s="22">
        <v>-1.7825299999999999E-2</v>
      </c>
      <c r="AT274" s="22">
        <v>264</v>
      </c>
      <c r="AU274" s="22">
        <v>0.54992700000000005</v>
      </c>
      <c r="AV274">
        <f t="shared" si="56"/>
        <v>17.825299999999999</v>
      </c>
      <c r="AW274">
        <f t="shared" si="57"/>
        <v>9.8162144569999992</v>
      </c>
      <c r="AX274" s="9"/>
      <c r="AY274" s="22">
        <v>1.2294</v>
      </c>
      <c r="AZ274" s="22">
        <v>429.20100000000002</v>
      </c>
      <c r="BA274" s="22">
        <v>-1.7215000000000001E-2</v>
      </c>
      <c r="BB274" s="22">
        <v>264</v>
      </c>
      <c r="BC274" s="22">
        <v>1.22864</v>
      </c>
      <c r="BD274">
        <f t="shared" si="58"/>
        <v>17.215</v>
      </c>
      <c r="BE274">
        <f t="shared" si="59"/>
        <v>21.164121000000002</v>
      </c>
    </row>
    <row r="275" spans="6:101">
      <c r="F275" s="9"/>
      <c r="G275" s="22">
        <v>0.54565399999999997</v>
      </c>
      <c r="H275" s="22">
        <v>42.078800000000001</v>
      </c>
      <c r="I275" s="22">
        <v>-1.7660499999999999E-2</v>
      </c>
      <c r="J275" s="22">
        <v>265</v>
      </c>
      <c r="K275" s="22">
        <v>0.54479999999999995</v>
      </c>
      <c r="L275">
        <f t="shared" si="48"/>
        <v>17.660499999999999</v>
      </c>
      <c r="M275">
        <f t="shared" si="49"/>
        <v>9.6365224669999989</v>
      </c>
      <c r="N275" s="9"/>
      <c r="O275" s="22">
        <v>1.23444</v>
      </c>
      <c r="P275" s="22">
        <v>99.3887</v>
      </c>
      <c r="Q275" s="22">
        <v>-1.7120400000000001E-2</v>
      </c>
      <c r="R275" s="22">
        <v>265</v>
      </c>
      <c r="S275" s="22">
        <v>1.2335199999999999</v>
      </c>
      <c r="T275">
        <f t="shared" si="50"/>
        <v>17.1204</v>
      </c>
      <c r="U275">
        <f t="shared" si="51"/>
        <v>21.134106576000001</v>
      </c>
      <c r="X275" s="9"/>
      <c r="Y275" s="22">
        <v>0.54565399999999997</v>
      </c>
      <c r="Z275" s="22">
        <v>189.547</v>
      </c>
      <c r="AA275" s="22">
        <v>-1.7773400000000002E-2</v>
      </c>
      <c r="AB275" s="22">
        <v>265</v>
      </c>
      <c r="AC275" s="22">
        <v>0.54495199999999999</v>
      </c>
      <c r="AD275">
        <f t="shared" si="52"/>
        <v>17.773400000000002</v>
      </c>
      <c r="AE275">
        <f t="shared" si="53"/>
        <v>9.698126803600001</v>
      </c>
      <c r="AF275" s="9"/>
      <c r="AG275" s="22">
        <v>1.23444</v>
      </c>
      <c r="AH275" s="22">
        <v>303.86</v>
      </c>
      <c r="AI275" s="22">
        <v>-1.71661E-2</v>
      </c>
      <c r="AJ275" s="22">
        <v>265</v>
      </c>
      <c r="AK275" s="22">
        <v>1.2335199999999999</v>
      </c>
      <c r="AL275">
        <f t="shared" si="54"/>
        <v>17.1661</v>
      </c>
      <c r="AM275">
        <f t="shared" si="55"/>
        <v>21.190520484</v>
      </c>
      <c r="AP275" s="9"/>
      <c r="AQ275" s="22">
        <v>0.54565399999999997</v>
      </c>
      <c r="AR275" s="22">
        <v>376.87299999999999</v>
      </c>
      <c r="AS275" s="22">
        <v>-1.7822299999999999E-2</v>
      </c>
      <c r="AT275" s="22">
        <v>265</v>
      </c>
      <c r="AU275" s="22">
        <v>0.54479999999999995</v>
      </c>
      <c r="AV275">
        <f t="shared" si="56"/>
        <v>17.822299999999998</v>
      </c>
      <c r="AW275">
        <f t="shared" si="57"/>
        <v>9.7248092841999991</v>
      </c>
      <c r="AX275" s="9"/>
      <c r="AY275" s="22">
        <v>1.23444</v>
      </c>
      <c r="AZ275" s="22">
        <v>429.30200000000002</v>
      </c>
      <c r="BA275" s="22">
        <v>-1.7211899999999999E-2</v>
      </c>
      <c r="BB275" s="22">
        <v>265</v>
      </c>
      <c r="BC275" s="22">
        <v>1.23322</v>
      </c>
      <c r="BD275">
        <f t="shared" si="58"/>
        <v>17.2119</v>
      </c>
      <c r="BE275">
        <f t="shared" si="59"/>
        <v>21.247057836</v>
      </c>
    </row>
    <row r="276" spans="6:101">
      <c r="F276" s="9"/>
      <c r="G276" s="22">
        <v>0.54061899999999996</v>
      </c>
      <c r="H276" s="22">
        <v>42.179499999999997</v>
      </c>
      <c r="I276" s="22">
        <v>-1.7666600000000001E-2</v>
      </c>
      <c r="J276" s="22">
        <v>266</v>
      </c>
      <c r="K276" s="22">
        <v>0.53961199999999998</v>
      </c>
      <c r="L276">
        <f t="shared" si="48"/>
        <v>17.666600000000003</v>
      </c>
      <c r="M276">
        <f t="shared" si="49"/>
        <v>9.5508996254000014</v>
      </c>
      <c r="N276" s="9"/>
      <c r="O276" s="22">
        <v>1.2394700000000001</v>
      </c>
      <c r="P276" s="22">
        <v>99.489400000000003</v>
      </c>
      <c r="Q276" s="22">
        <v>-1.7114299999999999E-2</v>
      </c>
      <c r="R276" s="22">
        <v>266</v>
      </c>
      <c r="S276" s="22">
        <v>1.23871</v>
      </c>
      <c r="T276">
        <f t="shared" si="50"/>
        <v>17.1143</v>
      </c>
      <c r="U276">
        <f t="shared" si="51"/>
        <v>21.212661421</v>
      </c>
      <c r="X276" s="9"/>
      <c r="Y276" s="22">
        <v>0.54061899999999996</v>
      </c>
      <c r="Z276" s="22">
        <v>189.648</v>
      </c>
      <c r="AA276" s="22">
        <v>-1.77795E-2</v>
      </c>
      <c r="AB276" s="22">
        <v>266</v>
      </c>
      <c r="AC276" s="22">
        <v>0.53991699999999998</v>
      </c>
      <c r="AD276">
        <f t="shared" si="52"/>
        <v>17.779499999999999</v>
      </c>
      <c r="AE276">
        <f t="shared" si="53"/>
        <v>9.6119355104999986</v>
      </c>
      <c r="AF276" s="9"/>
      <c r="AG276" s="22">
        <v>1.2394700000000001</v>
      </c>
      <c r="AH276" s="22">
        <v>303.96100000000001</v>
      </c>
      <c r="AI276" s="22">
        <v>-1.7163100000000001E-2</v>
      </c>
      <c r="AJ276" s="22">
        <v>266</v>
      </c>
      <c r="AK276" s="22">
        <v>1.23871</v>
      </c>
      <c r="AL276">
        <f t="shared" si="54"/>
        <v>17.1631</v>
      </c>
      <c r="AM276">
        <f t="shared" si="55"/>
        <v>21.273147557000001</v>
      </c>
      <c r="AP276" s="9"/>
      <c r="AQ276" s="22">
        <v>0.54061899999999996</v>
      </c>
      <c r="AR276" s="22">
        <v>376.97399999999999</v>
      </c>
      <c r="AS276" s="22">
        <v>-1.7825299999999999E-2</v>
      </c>
      <c r="AT276" s="22">
        <v>266</v>
      </c>
      <c r="AU276" s="22">
        <v>0.539825</v>
      </c>
      <c r="AV276">
        <f t="shared" si="56"/>
        <v>17.825299999999999</v>
      </c>
      <c r="AW276">
        <f t="shared" si="57"/>
        <v>9.636695860699998</v>
      </c>
      <c r="AX276" s="9"/>
      <c r="AY276" s="22">
        <v>1.2394700000000001</v>
      </c>
      <c r="AZ276" s="22">
        <v>429.40300000000002</v>
      </c>
      <c r="BA276" s="22">
        <v>-1.7202800000000001E-2</v>
      </c>
      <c r="BB276" s="22">
        <v>266</v>
      </c>
      <c r="BC276" s="22">
        <v>1.2383999999999999</v>
      </c>
      <c r="BD276">
        <f t="shared" si="58"/>
        <v>17.2028</v>
      </c>
      <c r="BE276">
        <f t="shared" si="59"/>
        <v>21.322354516000001</v>
      </c>
    </row>
    <row r="277" spans="6:101">
      <c r="F277" s="9"/>
      <c r="G277" s="22">
        <v>0.53558300000000003</v>
      </c>
      <c r="H277" s="22">
        <v>42.280200000000001</v>
      </c>
      <c r="I277" s="22">
        <v>-1.76697E-2</v>
      </c>
      <c r="J277" s="22">
        <v>267</v>
      </c>
      <c r="K277" s="22">
        <v>0.53488199999999997</v>
      </c>
      <c r="L277">
        <f t="shared" si="48"/>
        <v>17.669699999999999</v>
      </c>
      <c r="M277">
        <f t="shared" si="49"/>
        <v>9.4635909350999992</v>
      </c>
      <c r="N277" s="9"/>
      <c r="O277" s="22">
        <v>1.24451</v>
      </c>
      <c r="P277" s="22">
        <v>99.590100000000007</v>
      </c>
      <c r="Q277" s="22">
        <v>-1.7105100000000002E-2</v>
      </c>
      <c r="R277" s="22">
        <v>267</v>
      </c>
      <c r="S277" s="22">
        <v>1.24359</v>
      </c>
      <c r="T277">
        <f t="shared" si="50"/>
        <v>17.1051</v>
      </c>
      <c r="U277">
        <f t="shared" si="51"/>
        <v>21.287468001000001</v>
      </c>
      <c r="X277" s="9"/>
      <c r="Y277" s="22">
        <v>0.53558300000000003</v>
      </c>
      <c r="Z277" s="22">
        <v>189.749</v>
      </c>
      <c r="AA277" s="22">
        <v>-1.7782599999999999E-2</v>
      </c>
      <c r="AB277" s="22">
        <v>267</v>
      </c>
      <c r="AC277" s="22">
        <v>0.53500400000000004</v>
      </c>
      <c r="AD277">
        <f t="shared" si="52"/>
        <v>17.782599999999999</v>
      </c>
      <c r="AE277">
        <f t="shared" si="53"/>
        <v>9.5240582558</v>
      </c>
      <c r="AF277" s="9"/>
      <c r="AG277" s="22">
        <v>1.24451</v>
      </c>
      <c r="AH277" s="22">
        <v>304.06200000000001</v>
      </c>
      <c r="AI277" s="22">
        <v>-1.7156999999999999E-2</v>
      </c>
      <c r="AJ277" s="22">
        <v>267</v>
      </c>
      <c r="AK277" s="22">
        <v>1.24359</v>
      </c>
      <c r="AL277">
        <f t="shared" si="54"/>
        <v>17.157</v>
      </c>
      <c r="AM277">
        <f t="shared" si="55"/>
        <v>21.352058070000002</v>
      </c>
      <c r="AP277" s="9"/>
      <c r="AQ277" s="22">
        <v>0.53558300000000003</v>
      </c>
      <c r="AR277" s="22">
        <v>377.07499999999999</v>
      </c>
      <c r="AS277" s="22">
        <v>-1.7831400000000001E-2</v>
      </c>
      <c r="AT277" s="22">
        <v>267</v>
      </c>
      <c r="AU277" s="22">
        <v>0.53460700000000005</v>
      </c>
      <c r="AV277">
        <f t="shared" si="56"/>
        <v>17.831400000000002</v>
      </c>
      <c r="AW277">
        <f t="shared" si="57"/>
        <v>9.550194706200001</v>
      </c>
      <c r="AX277" s="9"/>
      <c r="AY277" s="22">
        <v>1.24451</v>
      </c>
      <c r="AZ277" s="22">
        <v>429.50299999999999</v>
      </c>
      <c r="BA277" s="22">
        <v>-1.7196699999999999E-2</v>
      </c>
      <c r="BB277" s="22">
        <v>267</v>
      </c>
      <c r="BC277" s="22">
        <v>1.24359</v>
      </c>
      <c r="BD277">
        <f t="shared" si="58"/>
        <v>17.1967</v>
      </c>
      <c r="BE277">
        <f t="shared" si="59"/>
        <v>21.401465117000001</v>
      </c>
    </row>
    <row r="278" spans="6:101">
      <c r="F278" s="9"/>
      <c r="G278" s="22">
        <v>0.53054800000000002</v>
      </c>
      <c r="H278" s="22">
        <v>42.380899999999997</v>
      </c>
      <c r="I278" s="22">
        <v>-1.76727E-2</v>
      </c>
      <c r="J278" s="22">
        <v>268</v>
      </c>
      <c r="K278" s="22">
        <v>0.52966299999999999</v>
      </c>
      <c r="L278">
        <f t="shared" si="48"/>
        <v>17.672699999999999</v>
      </c>
      <c r="M278">
        <f t="shared" si="49"/>
        <v>9.3762156395999998</v>
      </c>
      <c r="N278" s="9"/>
      <c r="O278" s="22">
        <v>1.2495400000000001</v>
      </c>
      <c r="P278" s="22">
        <v>99.690799999999996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0.53054800000000002</v>
      </c>
      <c r="Z278" s="22">
        <v>189.84899999999999</v>
      </c>
      <c r="AA278" s="22">
        <v>-1.7785599999999999E-2</v>
      </c>
      <c r="AB278" s="22">
        <v>268</v>
      </c>
      <c r="AC278" s="22">
        <v>0.52984600000000004</v>
      </c>
      <c r="AD278">
        <f t="shared" si="52"/>
        <v>17.785599999999999</v>
      </c>
      <c r="AE278">
        <f t="shared" si="53"/>
        <v>9.4361145087999994</v>
      </c>
      <c r="AF278" s="9"/>
      <c r="AG278" s="22">
        <v>1.2495400000000001</v>
      </c>
      <c r="AH278" s="22">
        <v>304.16199999999998</v>
      </c>
      <c r="AI278" s="22">
        <v>-1.7141699999999999E-2</v>
      </c>
      <c r="AJ278" s="22">
        <v>268</v>
      </c>
      <c r="AK278" s="22">
        <v>1.24847</v>
      </c>
      <c r="AL278">
        <f t="shared" si="54"/>
        <v>17.1417</v>
      </c>
      <c r="AM278">
        <f t="shared" si="55"/>
        <v>21.419239818000001</v>
      </c>
      <c r="AP278" s="9"/>
      <c r="AQ278" s="22">
        <v>0.53054800000000002</v>
      </c>
      <c r="AR278" s="22">
        <v>377.17500000000001</v>
      </c>
      <c r="AS278" s="22">
        <v>-1.78345E-2</v>
      </c>
      <c r="AT278" s="22">
        <v>268</v>
      </c>
      <c r="AU278" s="22">
        <v>0.52966299999999999</v>
      </c>
      <c r="AV278">
        <f t="shared" si="56"/>
        <v>17.834499999999998</v>
      </c>
      <c r="AW278">
        <f t="shared" si="57"/>
        <v>9.4620583059999994</v>
      </c>
      <c r="AX278" s="9"/>
      <c r="AY278" s="22">
        <v>1.2495400000000001</v>
      </c>
      <c r="AZ278" s="22">
        <v>429.60399999999998</v>
      </c>
      <c r="BA278" s="22">
        <v>-1.71906E-2</v>
      </c>
      <c r="BB278" s="22">
        <v>268</v>
      </c>
      <c r="BC278" s="22">
        <v>1.24847</v>
      </c>
      <c r="BD278">
        <f t="shared" si="58"/>
        <v>17.1906</v>
      </c>
      <c r="BE278">
        <f t="shared" si="59"/>
        <v>21.480342324000002</v>
      </c>
    </row>
    <row r="279" spans="6:101">
      <c r="F279" s="9"/>
      <c r="G279" s="22">
        <v>0.52551300000000001</v>
      </c>
      <c r="H279" s="22">
        <v>42.4816</v>
      </c>
      <c r="I279" s="22">
        <v>-1.7678800000000001E-2</v>
      </c>
      <c r="J279" s="22">
        <v>269</v>
      </c>
      <c r="K279" s="22">
        <v>0.52478000000000002</v>
      </c>
      <c r="L279">
        <f t="shared" si="48"/>
        <v>17.678800000000003</v>
      </c>
      <c r="M279">
        <f t="shared" si="49"/>
        <v>9.2904392244000018</v>
      </c>
      <c r="N279" s="9"/>
      <c r="O279" s="22">
        <v>1.25458</v>
      </c>
      <c r="P279" s="22">
        <v>99.791499999999999</v>
      </c>
      <c r="Q279" s="22">
        <v>-1.7099E-2</v>
      </c>
      <c r="R279" s="22">
        <v>269</v>
      </c>
      <c r="S279" s="22">
        <v>1.25366</v>
      </c>
      <c r="T279">
        <f t="shared" si="50"/>
        <v>17.099</v>
      </c>
      <c r="U279">
        <f t="shared" si="51"/>
        <v>21.452063420000002</v>
      </c>
      <c r="X279" s="9"/>
      <c r="Y279" s="22">
        <v>0.52551300000000001</v>
      </c>
      <c r="Z279" s="22">
        <v>189.95</v>
      </c>
      <c r="AA279" s="22">
        <v>-1.7788700000000001E-2</v>
      </c>
      <c r="AB279" s="22">
        <v>269</v>
      </c>
      <c r="AC279" s="22">
        <v>0.524841</v>
      </c>
      <c r="AD279">
        <f t="shared" si="52"/>
        <v>17.788700000000002</v>
      </c>
      <c r="AE279">
        <f t="shared" si="53"/>
        <v>9.3481931031000016</v>
      </c>
      <c r="AF279" s="9"/>
      <c r="AG279" s="22">
        <v>1.25458</v>
      </c>
      <c r="AH279" s="22">
        <v>304.26299999999998</v>
      </c>
      <c r="AI279" s="22">
        <v>-1.7144800000000002E-2</v>
      </c>
      <c r="AJ279" s="22">
        <v>269</v>
      </c>
      <c r="AK279" s="22">
        <v>1.25397</v>
      </c>
      <c r="AL279">
        <f t="shared" si="54"/>
        <v>17.1448</v>
      </c>
      <c r="AM279">
        <f t="shared" si="55"/>
        <v>21.509523183999999</v>
      </c>
      <c r="AP279" s="9"/>
      <c r="AQ279" s="22">
        <v>0.52551300000000001</v>
      </c>
      <c r="AR279" s="22">
        <v>377.27600000000001</v>
      </c>
      <c r="AS279" s="22">
        <v>-1.7840600000000002E-2</v>
      </c>
      <c r="AT279" s="22">
        <v>269</v>
      </c>
      <c r="AU279" s="22">
        <v>0.52465799999999996</v>
      </c>
      <c r="AV279">
        <f t="shared" si="56"/>
        <v>17.840600000000002</v>
      </c>
      <c r="AW279">
        <f t="shared" si="57"/>
        <v>9.3754672278000015</v>
      </c>
      <c r="AX279" s="9"/>
      <c r="AY279" s="22">
        <v>1.25458</v>
      </c>
      <c r="AZ279" s="22">
        <v>429.70499999999998</v>
      </c>
      <c r="BA279" s="22">
        <v>-1.7187500000000001E-2</v>
      </c>
      <c r="BB279" s="22">
        <v>269</v>
      </c>
      <c r="BC279" s="22">
        <v>1.25366</v>
      </c>
      <c r="BD279">
        <f t="shared" si="58"/>
        <v>17.1875</v>
      </c>
      <c r="BE279">
        <f t="shared" si="59"/>
        <v>21.56309375</v>
      </c>
    </row>
    <row r="280" spans="6:101">
      <c r="F280" s="9"/>
      <c r="G280" s="22">
        <v>0.52047699999999997</v>
      </c>
      <c r="H280" s="22">
        <v>42.582299999999996</v>
      </c>
      <c r="I280" s="22">
        <v>-1.76819E-2</v>
      </c>
      <c r="J280" s="22">
        <v>270</v>
      </c>
      <c r="K280" s="22">
        <v>0.51977499999999999</v>
      </c>
      <c r="L280">
        <f t="shared" si="48"/>
        <v>17.681899999999999</v>
      </c>
      <c r="M280">
        <f t="shared" si="49"/>
        <v>9.2030222662999996</v>
      </c>
      <c r="N280" s="9"/>
      <c r="O280" s="22">
        <v>1.2596099999999999</v>
      </c>
      <c r="P280" s="22">
        <v>99.892200000000003</v>
      </c>
      <c r="Q280" s="22">
        <v>-1.7095900000000001E-2</v>
      </c>
      <c r="R280" s="22">
        <v>270</v>
      </c>
      <c r="S280" s="22">
        <v>1.25793</v>
      </c>
      <c r="T280">
        <f t="shared" si="50"/>
        <v>17.0959</v>
      </c>
      <c r="U280">
        <f t="shared" si="51"/>
        <v>21.534166598999999</v>
      </c>
      <c r="X280" s="9"/>
      <c r="Y280" s="22">
        <v>0.52047699999999997</v>
      </c>
      <c r="Z280" s="22">
        <v>190.05099999999999</v>
      </c>
      <c r="AA280" s="22">
        <v>-1.77948E-2</v>
      </c>
      <c r="AB280" s="22">
        <v>270</v>
      </c>
      <c r="AC280" s="22">
        <v>0.51968400000000003</v>
      </c>
      <c r="AD280">
        <f t="shared" si="52"/>
        <v>17.794799999999999</v>
      </c>
      <c r="AE280">
        <f t="shared" si="53"/>
        <v>9.2617841195999979</v>
      </c>
      <c r="AF280" s="9"/>
      <c r="AG280" s="22">
        <v>1.2596099999999999</v>
      </c>
      <c r="AH280" s="22">
        <v>304.36399999999998</v>
      </c>
      <c r="AI280" s="22">
        <v>-1.71387E-2</v>
      </c>
      <c r="AJ280" s="22">
        <v>270</v>
      </c>
      <c r="AK280" s="22">
        <v>1.25885</v>
      </c>
      <c r="AL280">
        <f t="shared" si="54"/>
        <v>17.1387</v>
      </c>
      <c r="AM280">
        <f t="shared" si="55"/>
        <v>21.588077906999999</v>
      </c>
      <c r="AP280" s="9"/>
      <c r="AQ280" s="22">
        <v>0.52047699999999997</v>
      </c>
      <c r="AR280" s="22">
        <v>377.37700000000001</v>
      </c>
      <c r="AS280" s="22">
        <v>-1.7840600000000002E-2</v>
      </c>
      <c r="AT280" s="22">
        <v>270</v>
      </c>
      <c r="AU280" s="22">
        <v>0.51965300000000003</v>
      </c>
      <c r="AV280">
        <f t="shared" si="56"/>
        <v>17.840600000000002</v>
      </c>
      <c r="AW280">
        <f t="shared" si="57"/>
        <v>9.2856219662000008</v>
      </c>
      <c r="AX280" s="9"/>
      <c r="AY280" s="22">
        <v>1.2596099999999999</v>
      </c>
      <c r="AZ280" s="22">
        <v>429.80599999999998</v>
      </c>
      <c r="BA280" s="22">
        <v>-1.7178300000000001E-2</v>
      </c>
      <c r="BB280" s="22">
        <v>270</v>
      </c>
      <c r="BC280" s="22">
        <v>1.2591600000000001</v>
      </c>
      <c r="BD280">
        <f t="shared" si="58"/>
        <v>17.1783</v>
      </c>
      <c r="BE280">
        <f t="shared" si="59"/>
        <v>21.637958462999997</v>
      </c>
    </row>
    <row r="281" spans="6:101">
      <c r="F281" s="9"/>
      <c r="G281" s="22">
        <v>0.51544199999999996</v>
      </c>
      <c r="H281" s="22">
        <v>42.683</v>
      </c>
      <c r="I281" s="22">
        <v>-1.76849E-2</v>
      </c>
      <c r="J281" s="22">
        <v>271</v>
      </c>
      <c r="K281" s="22">
        <v>0.51446499999999995</v>
      </c>
      <c r="L281">
        <f t="shared" si="48"/>
        <v>17.684899999999999</v>
      </c>
      <c r="M281">
        <f t="shared" si="49"/>
        <v>9.1155402257999985</v>
      </c>
      <c r="N281" s="9"/>
      <c r="O281" s="22">
        <v>1.2646500000000001</v>
      </c>
      <c r="P281" s="22">
        <v>99.992900000000006</v>
      </c>
      <c r="Q281" s="22">
        <v>-1.7086799999999999E-2</v>
      </c>
      <c r="R281" s="22">
        <v>271</v>
      </c>
      <c r="S281" s="22">
        <v>1.26373</v>
      </c>
      <c r="T281">
        <f t="shared" si="50"/>
        <v>17.0868</v>
      </c>
      <c r="U281">
        <f t="shared" si="51"/>
        <v>21.608821620000001</v>
      </c>
      <c r="X281" s="9"/>
      <c r="Y281" s="22">
        <v>0.51544199999999996</v>
      </c>
      <c r="Z281" s="22">
        <v>190.15100000000001</v>
      </c>
      <c r="AA281" s="22">
        <v>-1.7797899999999998E-2</v>
      </c>
      <c r="AB281" s="22">
        <v>271</v>
      </c>
      <c r="AC281" s="22">
        <v>0.51461800000000002</v>
      </c>
      <c r="AD281">
        <f t="shared" si="52"/>
        <v>17.797899999999998</v>
      </c>
      <c r="AE281">
        <f t="shared" si="53"/>
        <v>9.1737851717999987</v>
      </c>
      <c r="AF281" s="9"/>
      <c r="AG281" s="22">
        <v>1.2646500000000001</v>
      </c>
      <c r="AH281" s="22">
        <v>304.464</v>
      </c>
      <c r="AI281" s="22">
        <v>-1.7135600000000001E-2</v>
      </c>
      <c r="AJ281" s="22">
        <v>271</v>
      </c>
      <c r="AK281" s="22">
        <v>1.26373</v>
      </c>
      <c r="AL281">
        <f t="shared" si="54"/>
        <v>17.1356</v>
      </c>
      <c r="AM281">
        <f t="shared" si="55"/>
        <v>21.670536540000001</v>
      </c>
      <c r="AP281" s="9"/>
      <c r="AQ281" s="22">
        <v>0.51544199999999996</v>
      </c>
      <c r="AR281" s="22">
        <v>377.47800000000001</v>
      </c>
      <c r="AS281" s="22">
        <v>-1.78467E-2</v>
      </c>
      <c r="AT281" s="22">
        <v>271</v>
      </c>
      <c r="AU281" s="22">
        <v>0.51461800000000002</v>
      </c>
      <c r="AV281">
        <f t="shared" si="56"/>
        <v>17.846699999999998</v>
      </c>
      <c r="AW281">
        <f t="shared" si="57"/>
        <v>9.1989387413999992</v>
      </c>
      <c r="AX281" s="9"/>
      <c r="AY281" s="22">
        <v>1.2646500000000001</v>
      </c>
      <c r="AZ281" s="22">
        <v>429.90600000000001</v>
      </c>
      <c r="BA281" s="22">
        <v>-1.7178300000000001E-2</v>
      </c>
      <c r="BB281" s="22">
        <v>271</v>
      </c>
      <c r="BC281" s="22">
        <v>1.2640400000000001</v>
      </c>
      <c r="BD281">
        <f t="shared" si="58"/>
        <v>17.1783</v>
      </c>
      <c r="BE281">
        <f t="shared" si="59"/>
        <v>21.724537095000002</v>
      </c>
    </row>
    <row r="282" spans="6:101">
      <c r="F282" s="9"/>
      <c r="G282" s="22">
        <v>0.51040600000000003</v>
      </c>
      <c r="H282" s="22">
        <v>42.783700000000003</v>
      </c>
      <c r="I282" s="22">
        <v>-1.7687999999999999E-2</v>
      </c>
      <c r="J282" s="22">
        <v>272</v>
      </c>
      <c r="K282" s="22">
        <v>0.50958300000000001</v>
      </c>
      <c r="L282">
        <f t="shared" si="48"/>
        <v>17.687999999999999</v>
      </c>
      <c r="M282">
        <f t="shared" si="49"/>
        <v>9.0280613279999997</v>
      </c>
      <c r="N282" s="9"/>
      <c r="O282" s="22">
        <v>1.2696799999999999</v>
      </c>
      <c r="P282" s="22">
        <v>100.09399999999999</v>
      </c>
      <c r="Q282" s="22">
        <v>-1.7086799999999999E-2</v>
      </c>
      <c r="R282" s="22">
        <v>272</v>
      </c>
      <c r="S282" s="22">
        <v>1.26892</v>
      </c>
      <c r="T282">
        <f t="shared" si="50"/>
        <v>17.0868</v>
      </c>
      <c r="U282">
        <f t="shared" si="51"/>
        <v>21.694768224000001</v>
      </c>
      <c r="X282" s="9"/>
      <c r="Y282" s="22">
        <v>0.51040600000000003</v>
      </c>
      <c r="Z282" s="22">
        <v>190.25200000000001</v>
      </c>
      <c r="AA282" s="22">
        <v>-1.7800900000000001E-2</v>
      </c>
      <c r="AB282" s="22">
        <v>272</v>
      </c>
      <c r="AC282" s="22">
        <v>0.50961299999999998</v>
      </c>
      <c r="AD282">
        <f t="shared" si="52"/>
        <v>17.800900000000002</v>
      </c>
      <c r="AE282">
        <f t="shared" si="53"/>
        <v>9.0856861654000021</v>
      </c>
      <c r="AF282" s="9"/>
      <c r="AG282" s="22">
        <v>1.2696799999999999</v>
      </c>
      <c r="AH282" s="22">
        <v>304.565</v>
      </c>
      <c r="AI282" s="22">
        <v>-1.7129499999999999E-2</v>
      </c>
      <c r="AJ282" s="22">
        <v>272</v>
      </c>
      <c r="AK282" s="22">
        <v>1.2686200000000001</v>
      </c>
      <c r="AL282">
        <f t="shared" si="54"/>
        <v>17.1295</v>
      </c>
      <c r="AM282">
        <f t="shared" si="55"/>
        <v>21.748983559999999</v>
      </c>
      <c r="AP282" s="9"/>
      <c r="AQ282" s="22">
        <v>0.51040600000000003</v>
      </c>
      <c r="AR282" s="22">
        <v>377.57799999999997</v>
      </c>
      <c r="AS282" s="22">
        <v>-1.78497E-2</v>
      </c>
      <c r="AT282" s="22">
        <v>272</v>
      </c>
      <c r="AU282" s="22">
        <v>0.50982700000000003</v>
      </c>
      <c r="AV282">
        <f t="shared" si="56"/>
        <v>17.849699999999999</v>
      </c>
      <c r="AW282">
        <f t="shared" si="57"/>
        <v>9.1105939781999989</v>
      </c>
      <c r="AX282" s="9"/>
      <c r="AY282" s="22">
        <v>1.2696799999999999</v>
      </c>
      <c r="AZ282" s="22">
        <v>430.00700000000001</v>
      </c>
      <c r="BA282" s="22">
        <v>-1.7163100000000001E-2</v>
      </c>
      <c r="BB282" s="22">
        <v>272</v>
      </c>
      <c r="BC282" s="22">
        <v>1.2692300000000001</v>
      </c>
      <c r="BD282">
        <f t="shared" si="58"/>
        <v>17.1631</v>
      </c>
      <c r="BE282">
        <f t="shared" si="59"/>
        <v>21.791644807999997</v>
      </c>
    </row>
    <row r="283" spans="6:101">
      <c r="F283" s="9"/>
      <c r="G283" s="22">
        <v>0.50537100000000001</v>
      </c>
      <c r="H283" s="22">
        <v>42.884399999999999</v>
      </c>
      <c r="I283" s="22">
        <v>-1.7690999999999998E-2</v>
      </c>
      <c r="J283" s="22">
        <v>273</v>
      </c>
      <c r="K283" s="22">
        <v>0.50436400000000003</v>
      </c>
      <c r="L283">
        <f t="shared" si="48"/>
        <v>17.690999999999999</v>
      </c>
      <c r="M283">
        <f t="shared" si="49"/>
        <v>8.9405183610000005</v>
      </c>
      <c r="N283" s="9"/>
      <c r="O283" s="22">
        <v>1.2747200000000001</v>
      </c>
      <c r="P283" s="22">
        <v>100.194</v>
      </c>
      <c r="Q283" s="22">
        <v>-1.70715E-2</v>
      </c>
      <c r="R283" s="22">
        <v>273</v>
      </c>
      <c r="S283" s="22">
        <v>1.2741100000000001</v>
      </c>
      <c r="T283">
        <f t="shared" si="50"/>
        <v>17.0715</v>
      </c>
      <c r="U283">
        <f t="shared" si="51"/>
        <v>21.761382480000002</v>
      </c>
      <c r="X283" s="9"/>
      <c r="Y283" s="22">
        <v>0.50537100000000001</v>
      </c>
      <c r="Z283" s="22">
        <v>190.35300000000001</v>
      </c>
      <c r="AA283" s="22">
        <v>-1.7804E-2</v>
      </c>
      <c r="AB283" s="22">
        <v>273</v>
      </c>
      <c r="AC283" s="22">
        <v>0.50460799999999995</v>
      </c>
      <c r="AD283">
        <f t="shared" si="52"/>
        <v>17.804000000000002</v>
      </c>
      <c r="AE283">
        <f t="shared" si="53"/>
        <v>8.9976252840000015</v>
      </c>
      <c r="AF283" s="9"/>
      <c r="AG283" s="22">
        <v>1.2747200000000001</v>
      </c>
      <c r="AH283" s="22">
        <v>304.666</v>
      </c>
      <c r="AI283" s="22">
        <v>-1.71234E-2</v>
      </c>
      <c r="AJ283" s="22">
        <v>273</v>
      </c>
      <c r="AK283" s="22">
        <v>1.2741100000000001</v>
      </c>
      <c r="AL283">
        <f t="shared" si="54"/>
        <v>17.1234</v>
      </c>
      <c r="AM283">
        <f t="shared" si="55"/>
        <v>21.827540448000001</v>
      </c>
      <c r="AP283" s="9"/>
      <c r="AQ283" s="22">
        <v>0.50537100000000001</v>
      </c>
      <c r="AR283" s="22">
        <v>377.67899999999997</v>
      </c>
      <c r="AS283" s="22">
        <v>-1.7855800000000002E-2</v>
      </c>
      <c r="AT283" s="22">
        <v>273</v>
      </c>
      <c r="AU283" s="22">
        <v>0.50466900000000003</v>
      </c>
      <c r="AV283">
        <f t="shared" si="56"/>
        <v>17.855800000000002</v>
      </c>
      <c r="AW283">
        <f t="shared" si="57"/>
        <v>9.0238035018000016</v>
      </c>
      <c r="AX283" s="9"/>
      <c r="AY283" s="22">
        <v>1.2747200000000001</v>
      </c>
      <c r="AZ283" s="22">
        <v>430.108</v>
      </c>
      <c r="BA283" s="22">
        <v>-1.7163100000000001E-2</v>
      </c>
      <c r="BB283" s="22">
        <v>273</v>
      </c>
      <c r="BC283" s="22">
        <v>1.27441</v>
      </c>
      <c r="BD283">
        <f t="shared" si="58"/>
        <v>17.1631</v>
      </c>
      <c r="BE283">
        <f t="shared" si="59"/>
        <v>21.878146832000002</v>
      </c>
    </row>
    <row r="284" spans="6:101">
      <c r="F284" s="9"/>
      <c r="G284" s="22">
        <v>0.500336</v>
      </c>
      <c r="H284" s="22">
        <v>42.985100000000003</v>
      </c>
      <c r="I284" s="22">
        <v>-1.7694100000000001E-2</v>
      </c>
      <c r="J284" s="22">
        <v>274</v>
      </c>
      <c r="K284" s="22">
        <v>0.499695</v>
      </c>
      <c r="L284">
        <f t="shared" si="48"/>
        <v>17.694100000000002</v>
      </c>
      <c r="M284">
        <f t="shared" si="49"/>
        <v>8.852995217600002</v>
      </c>
      <c r="N284" s="9"/>
      <c r="O284" s="22">
        <v>1.2797499999999999</v>
      </c>
      <c r="P284" s="22">
        <v>100.295</v>
      </c>
      <c r="Q284" s="22">
        <v>-1.70715E-2</v>
      </c>
      <c r="R284" s="22">
        <v>274</v>
      </c>
      <c r="S284" s="22">
        <v>1.2786900000000001</v>
      </c>
      <c r="T284">
        <f t="shared" si="50"/>
        <v>17.0715</v>
      </c>
      <c r="U284">
        <f t="shared" si="51"/>
        <v>21.847252125000001</v>
      </c>
      <c r="X284" s="9"/>
      <c r="Y284" s="22">
        <v>0.500336</v>
      </c>
      <c r="Z284" s="22">
        <v>190.45400000000001</v>
      </c>
      <c r="AA284" s="22">
        <v>-1.7807E-2</v>
      </c>
      <c r="AB284" s="22">
        <v>274</v>
      </c>
      <c r="AC284" s="22">
        <v>0.49948100000000001</v>
      </c>
      <c r="AD284">
        <f t="shared" si="52"/>
        <v>17.806999999999999</v>
      </c>
      <c r="AE284">
        <f t="shared" si="53"/>
        <v>8.909483152</v>
      </c>
      <c r="AF284" s="9"/>
      <c r="AG284" s="22">
        <v>1.2797499999999999</v>
      </c>
      <c r="AH284" s="22">
        <v>304.76600000000002</v>
      </c>
      <c r="AI284" s="22">
        <v>-1.7114299999999999E-2</v>
      </c>
      <c r="AJ284" s="22">
        <v>274</v>
      </c>
      <c r="AK284" s="22">
        <v>1.2786900000000001</v>
      </c>
      <c r="AL284">
        <f t="shared" si="54"/>
        <v>17.1143</v>
      </c>
      <c r="AM284">
        <f t="shared" si="55"/>
        <v>21.902025424999998</v>
      </c>
      <c r="AP284" s="9"/>
      <c r="AQ284" s="22">
        <v>0.500336</v>
      </c>
      <c r="AR284" s="22">
        <v>377.78</v>
      </c>
      <c r="AS284" s="22">
        <v>-1.7855800000000002E-2</v>
      </c>
      <c r="AT284" s="22">
        <v>274</v>
      </c>
      <c r="AU284" s="22">
        <v>0.49957299999999999</v>
      </c>
      <c r="AV284">
        <f t="shared" si="56"/>
        <v>17.855800000000002</v>
      </c>
      <c r="AW284">
        <f t="shared" si="57"/>
        <v>8.9338995488000013</v>
      </c>
      <c r="AX284" s="9"/>
      <c r="AY284" s="22">
        <v>1.2797499999999999</v>
      </c>
      <c r="AZ284" s="22">
        <v>430.20800000000003</v>
      </c>
      <c r="BA284" s="22">
        <v>-1.7156999999999999E-2</v>
      </c>
      <c r="BB284" s="22">
        <v>274</v>
      </c>
      <c r="BC284" s="22">
        <v>1.2786900000000001</v>
      </c>
      <c r="BD284">
        <f t="shared" si="58"/>
        <v>17.157</v>
      </c>
      <c r="BE284">
        <f t="shared" si="59"/>
        <v>21.956670750000001</v>
      </c>
    </row>
    <row r="285" spans="6:101">
      <c r="F285" s="9"/>
      <c r="G285" s="22">
        <v>0.49530000000000002</v>
      </c>
      <c r="H285" s="22">
        <v>43.085799999999999</v>
      </c>
      <c r="I285" s="22">
        <v>-1.7694100000000001E-2</v>
      </c>
      <c r="J285" s="22">
        <v>275</v>
      </c>
      <c r="K285" s="22">
        <v>0.49459799999999998</v>
      </c>
      <c r="L285">
        <f t="shared" si="48"/>
        <v>17.694100000000002</v>
      </c>
      <c r="M285">
        <f t="shared" si="49"/>
        <v>8.7638877300000022</v>
      </c>
      <c r="N285" s="9"/>
      <c r="O285" s="22">
        <v>1.2847900000000001</v>
      </c>
      <c r="P285" s="22">
        <v>100.396</v>
      </c>
      <c r="Q285" s="22">
        <v>-1.7065400000000001E-2</v>
      </c>
      <c r="R285" s="22">
        <v>275</v>
      </c>
      <c r="S285" s="22">
        <v>1.2838700000000001</v>
      </c>
      <c r="T285">
        <f t="shared" si="50"/>
        <v>17.0654</v>
      </c>
      <c r="U285">
        <f t="shared" si="51"/>
        <v>21.925455266000004</v>
      </c>
      <c r="X285" s="9"/>
      <c r="Y285" s="22">
        <v>0.49530000000000002</v>
      </c>
      <c r="Z285" s="22">
        <v>190.554</v>
      </c>
      <c r="AA285" s="22">
        <v>-1.7813099999999998E-2</v>
      </c>
      <c r="AB285" s="22">
        <v>275</v>
      </c>
      <c r="AC285" s="22">
        <v>0.49462899999999999</v>
      </c>
      <c r="AD285">
        <f t="shared" si="52"/>
        <v>17.813099999999999</v>
      </c>
      <c r="AE285">
        <f t="shared" si="53"/>
        <v>8.8228284299999995</v>
      </c>
      <c r="AF285" s="9"/>
      <c r="AG285" s="22">
        <v>1.2847900000000001</v>
      </c>
      <c r="AH285" s="22">
        <v>304.86700000000002</v>
      </c>
      <c r="AI285" s="22">
        <v>-1.71112E-2</v>
      </c>
      <c r="AJ285" s="22">
        <v>275</v>
      </c>
      <c r="AK285" s="22">
        <v>1.2844800000000001</v>
      </c>
      <c r="AL285">
        <f t="shared" si="54"/>
        <v>17.1112</v>
      </c>
      <c r="AM285">
        <f t="shared" si="55"/>
        <v>21.984298648000003</v>
      </c>
      <c r="AP285" s="9"/>
      <c r="AQ285" s="22">
        <v>0.49530000000000002</v>
      </c>
      <c r="AR285" s="22">
        <v>377.88</v>
      </c>
      <c r="AS285" s="22">
        <v>-1.78619E-2</v>
      </c>
      <c r="AT285" s="22">
        <v>275</v>
      </c>
      <c r="AU285" s="22">
        <v>0.49450699999999997</v>
      </c>
      <c r="AV285">
        <f t="shared" si="56"/>
        <v>17.861899999999999</v>
      </c>
      <c r="AW285">
        <f t="shared" si="57"/>
        <v>8.846999069999999</v>
      </c>
      <c r="AX285" s="9"/>
      <c r="AY285" s="22">
        <v>1.2847900000000001</v>
      </c>
      <c r="AZ285" s="22">
        <v>430.30900000000003</v>
      </c>
      <c r="BA285" s="22">
        <v>-1.71539E-2</v>
      </c>
      <c r="BB285" s="22">
        <v>275</v>
      </c>
      <c r="BC285" s="22">
        <v>1.2835700000000001</v>
      </c>
      <c r="BD285">
        <f t="shared" si="58"/>
        <v>17.1539</v>
      </c>
      <c r="BE285">
        <f t="shared" si="59"/>
        <v>22.039159181000002</v>
      </c>
    </row>
    <row r="286" spans="6:101">
      <c r="F286" s="9"/>
      <c r="G286" s="22">
        <v>0.49026500000000001</v>
      </c>
      <c r="H286" s="22">
        <v>43.186599999999999</v>
      </c>
      <c r="I286" s="22">
        <v>-1.7703199999999999E-2</v>
      </c>
      <c r="J286" s="22">
        <v>276</v>
      </c>
      <c r="K286" s="22">
        <v>0.48947099999999999</v>
      </c>
      <c r="L286">
        <f t="shared" si="48"/>
        <v>17.703199999999999</v>
      </c>
      <c r="M286">
        <f t="shared" si="49"/>
        <v>8.6792593480000004</v>
      </c>
      <c r="N286" s="9"/>
      <c r="O286" s="22">
        <v>1.28983</v>
      </c>
      <c r="P286" s="22">
        <v>100.496</v>
      </c>
      <c r="Q286" s="22">
        <v>-1.70563E-2</v>
      </c>
      <c r="R286" s="22">
        <v>276</v>
      </c>
      <c r="S286" s="22">
        <v>1.2890600000000001</v>
      </c>
      <c r="T286">
        <f t="shared" si="50"/>
        <v>17.0563</v>
      </c>
      <c r="U286">
        <f t="shared" si="51"/>
        <v>21.999727429</v>
      </c>
      <c r="X286" s="9"/>
      <c r="Y286" s="22">
        <v>0.49026500000000001</v>
      </c>
      <c r="Z286" s="22">
        <v>190.655</v>
      </c>
      <c r="AA286" s="22">
        <v>-1.7813099999999998E-2</v>
      </c>
      <c r="AB286" s="22">
        <v>276</v>
      </c>
      <c r="AC286" s="22">
        <v>0.48959399999999997</v>
      </c>
      <c r="AD286">
        <f t="shared" si="52"/>
        <v>17.813099999999999</v>
      </c>
      <c r="AE286">
        <f t="shared" si="53"/>
        <v>8.7331394714999995</v>
      </c>
      <c r="AF286" s="9"/>
      <c r="AG286" s="22">
        <v>1.28983</v>
      </c>
      <c r="AH286" s="22">
        <v>304.96800000000002</v>
      </c>
      <c r="AI286" s="22">
        <v>-1.7105100000000002E-2</v>
      </c>
      <c r="AJ286" s="22">
        <v>276</v>
      </c>
      <c r="AK286" s="22">
        <v>1.2887599999999999</v>
      </c>
      <c r="AL286">
        <f t="shared" si="54"/>
        <v>17.1051</v>
      </c>
      <c r="AM286">
        <f t="shared" si="55"/>
        <v>22.062671133000002</v>
      </c>
      <c r="AP286" s="9"/>
      <c r="AQ286" s="22">
        <v>0.49026500000000001</v>
      </c>
      <c r="AR286" s="22">
        <v>377.98099999999999</v>
      </c>
      <c r="AS286" s="22">
        <v>-1.78619E-2</v>
      </c>
      <c r="AT286" s="22">
        <v>276</v>
      </c>
      <c r="AU286" s="22">
        <v>0.48959399999999997</v>
      </c>
      <c r="AV286">
        <f t="shared" si="56"/>
        <v>17.861899999999999</v>
      </c>
      <c r="AW286">
        <f t="shared" si="57"/>
        <v>8.7570644034999994</v>
      </c>
      <c r="AX286" s="9"/>
      <c r="AY286" s="22">
        <v>1.28983</v>
      </c>
      <c r="AZ286" s="22">
        <v>430.41</v>
      </c>
      <c r="BA286" s="22">
        <v>-1.7144800000000002E-2</v>
      </c>
      <c r="BB286" s="22">
        <v>276</v>
      </c>
      <c r="BC286" s="22">
        <v>1.2893699999999999</v>
      </c>
      <c r="BD286">
        <f t="shared" si="58"/>
        <v>17.1448</v>
      </c>
      <c r="BE286">
        <f t="shared" si="59"/>
        <v>22.113877384000002</v>
      </c>
    </row>
    <row r="287" spans="6:101">
      <c r="F287" s="9"/>
      <c r="G287" s="22">
        <v>0.48522900000000002</v>
      </c>
      <c r="H287" s="22">
        <v>43.287300000000002</v>
      </c>
      <c r="I287" s="22">
        <v>-1.7706300000000001E-2</v>
      </c>
      <c r="J287" s="22">
        <v>277</v>
      </c>
      <c r="K287" s="22">
        <v>0.484344</v>
      </c>
      <c r="L287">
        <f t="shared" si="48"/>
        <v>17.706300000000002</v>
      </c>
      <c r="M287">
        <f t="shared" si="49"/>
        <v>8.5916102427000016</v>
      </c>
      <c r="N287" s="9"/>
      <c r="O287" s="22">
        <v>1.2948599999999999</v>
      </c>
      <c r="P287" s="22">
        <v>100.59699999999999</v>
      </c>
      <c r="Q287" s="22">
        <v>-1.70563E-2</v>
      </c>
      <c r="R287" s="22">
        <v>277</v>
      </c>
      <c r="S287" s="22">
        <v>1.2936399999999999</v>
      </c>
      <c r="T287">
        <f t="shared" si="50"/>
        <v>17.0563</v>
      </c>
      <c r="U287">
        <f t="shared" si="51"/>
        <v>22.085520618</v>
      </c>
      <c r="X287" s="9"/>
      <c r="Y287" s="22">
        <v>0.48522900000000002</v>
      </c>
      <c r="Z287" s="22">
        <v>190.756</v>
      </c>
      <c r="AA287" s="22">
        <v>-1.7816200000000001E-2</v>
      </c>
      <c r="AB287" s="22">
        <v>277</v>
      </c>
      <c r="AC287" s="22">
        <v>0.48452800000000001</v>
      </c>
      <c r="AD287">
        <f t="shared" si="52"/>
        <v>17.816200000000002</v>
      </c>
      <c r="AE287">
        <f t="shared" si="53"/>
        <v>8.644936909800002</v>
      </c>
      <c r="AF287" s="9"/>
      <c r="AG287" s="22">
        <v>1.2948599999999999</v>
      </c>
      <c r="AH287" s="22">
        <v>305.06900000000002</v>
      </c>
      <c r="AI287" s="22">
        <v>-1.7099E-2</v>
      </c>
      <c r="AJ287" s="22">
        <v>277</v>
      </c>
      <c r="AK287" s="22">
        <v>1.2942499999999999</v>
      </c>
      <c r="AL287">
        <f t="shared" si="54"/>
        <v>17.099</v>
      </c>
      <c r="AM287">
        <f t="shared" si="55"/>
        <v>22.14081114</v>
      </c>
      <c r="AP287" s="9"/>
      <c r="AQ287" s="22">
        <v>0.48522900000000002</v>
      </c>
      <c r="AR287" s="22">
        <v>378.08199999999999</v>
      </c>
      <c r="AS287" s="22">
        <v>-1.7864999999999999E-2</v>
      </c>
      <c r="AT287" s="22">
        <v>277</v>
      </c>
      <c r="AU287" s="22">
        <v>0.48449700000000001</v>
      </c>
      <c r="AV287">
        <f t="shared" si="56"/>
        <v>17.864999999999998</v>
      </c>
      <c r="AW287">
        <f t="shared" si="57"/>
        <v>8.668616085</v>
      </c>
      <c r="AX287" s="9"/>
      <c r="AY287" s="22">
        <v>1.2948599999999999</v>
      </c>
      <c r="AZ287" s="22">
        <v>430.51100000000002</v>
      </c>
      <c r="BA287" s="22">
        <v>-1.7141699999999999E-2</v>
      </c>
      <c r="BB287" s="22">
        <v>277</v>
      </c>
      <c r="BC287" s="22">
        <v>1.2933300000000001</v>
      </c>
      <c r="BD287">
        <f t="shared" si="58"/>
        <v>17.1417</v>
      </c>
      <c r="BE287">
        <f t="shared" si="59"/>
        <v>22.196101662</v>
      </c>
    </row>
    <row r="288" spans="6:101">
      <c r="F288" s="9"/>
      <c r="G288" s="22">
        <v>0.48019400000000001</v>
      </c>
      <c r="H288" s="22">
        <v>43.387999999999998</v>
      </c>
      <c r="I288" s="22">
        <v>-1.77124E-2</v>
      </c>
      <c r="J288" s="22">
        <v>278</v>
      </c>
      <c r="K288" s="22">
        <v>0.479431</v>
      </c>
      <c r="L288">
        <f t="shared" si="48"/>
        <v>17.712399999999999</v>
      </c>
      <c r="M288">
        <f t="shared" si="49"/>
        <v>8.5053882055999992</v>
      </c>
      <c r="N288" s="9"/>
      <c r="O288" s="22">
        <v>1.2999000000000001</v>
      </c>
      <c r="P288" s="22">
        <v>100.69799999999999</v>
      </c>
      <c r="Q288" s="22">
        <v>-1.7047099999999999E-2</v>
      </c>
      <c r="R288" s="22">
        <v>278</v>
      </c>
      <c r="S288" s="22">
        <v>1.2988299999999999</v>
      </c>
      <c r="T288">
        <f t="shared" si="50"/>
        <v>17.0471</v>
      </c>
      <c r="U288">
        <f t="shared" si="51"/>
        <v>22.159525290000001</v>
      </c>
      <c r="X288" s="9"/>
      <c r="Y288" s="22">
        <v>0.48019400000000001</v>
      </c>
      <c r="Z288" s="22">
        <v>190.85599999999999</v>
      </c>
      <c r="AA288" s="22">
        <v>-1.78192E-2</v>
      </c>
      <c r="AB288" s="22">
        <v>278</v>
      </c>
      <c r="AC288" s="22">
        <v>0.479462</v>
      </c>
      <c r="AD288">
        <f t="shared" si="52"/>
        <v>17.819199999999999</v>
      </c>
      <c r="AE288">
        <f t="shared" si="53"/>
        <v>8.5566729247999991</v>
      </c>
      <c r="AF288" s="9"/>
      <c r="AG288" s="22">
        <v>1.2999000000000001</v>
      </c>
      <c r="AH288" s="22">
        <v>305.16899999999998</v>
      </c>
      <c r="AI288" s="22">
        <v>-1.7092900000000001E-2</v>
      </c>
      <c r="AJ288" s="22">
        <v>278</v>
      </c>
      <c r="AK288" s="22">
        <v>1.2994399999999999</v>
      </c>
      <c r="AL288">
        <f t="shared" si="54"/>
        <v>17.0929</v>
      </c>
      <c r="AM288">
        <f t="shared" si="55"/>
        <v>22.219060710000001</v>
      </c>
      <c r="AP288" s="9"/>
      <c r="AQ288" s="22">
        <v>0.48019400000000001</v>
      </c>
      <c r="AR288" s="22">
        <v>378.18200000000002</v>
      </c>
      <c r="AS288" s="22">
        <v>-1.7867999999999998E-2</v>
      </c>
      <c r="AT288" s="22">
        <v>278</v>
      </c>
      <c r="AU288" s="22">
        <v>0.47933999999999999</v>
      </c>
      <c r="AV288">
        <f t="shared" si="56"/>
        <v>17.867999999999999</v>
      </c>
      <c r="AW288">
        <f t="shared" si="57"/>
        <v>8.5801063919999994</v>
      </c>
      <c r="AX288" s="9"/>
      <c r="AY288" s="22">
        <v>1.2999000000000001</v>
      </c>
      <c r="AZ288" s="22">
        <v>430.61099999999999</v>
      </c>
      <c r="BA288" s="22">
        <v>-1.7135600000000001E-2</v>
      </c>
      <c r="BB288" s="22">
        <v>278</v>
      </c>
      <c r="BC288" s="22">
        <v>1.2994399999999999</v>
      </c>
      <c r="BD288">
        <f t="shared" si="58"/>
        <v>17.1356</v>
      </c>
      <c r="BE288">
        <f t="shared" si="59"/>
        <v>22.274566440000001</v>
      </c>
    </row>
    <row r="289" spans="6:57">
      <c r="F289" s="9"/>
      <c r="G289" s="22">
        <v>0.475159</v>
      </c>
      <c r="H289" s="22">
        <v>43.488700000000001</v>
      </c>
      <c r="I289" s="22">
        <v>-1.77124E-2</v>
      </c>
      <c r="J289" s="22">
        <v>279</v>
      </c>
      <c r="K289" s="22">
        <v>0.47445700000000002</v>
      </c>
      <c r="L289">
        <f t="shared" si="48"/>
        <v>17.712399999999999</v>
      </c>
      <c r="M289">
        <f t="shared" si="49"/>
        <v>8.4162062716000001</v>
      </c>
      <c r="N289" s="9"/>
      <c r="O289" s="22">
        <v>1.3049299999999999</v>
      </c>
      <c r="P289" s="22">
        <v>100.79900000000001</v>
      </c>
      <c r="Q289" s="22">
        <v>-1.7047099999999999E-2</v>
      </c>
      <c r="R289" s="22">
        <v>279</v>
      </c>
      <c r="S289" s="22">
        <v>1.3043199999999999</v>
      </c>
      <c r="T289">
        <f t="shared" si="50"/>
        <v>17.0471</v>
      </c>
      <c r="U289">
        <f t="shared" si="51"/>
        <v>22.245272202999999</v>
      </c>
      <c r="X289" s="9"/>
      <c r="Y289" s="22">
        <v>0.475159</v>
      </c>
      <c r="Z289" s="22">
        <v>190.95699999999999</v>
      </c>
      <c r="AA289" s="22">
        <v>-1.7825299999999999E-2</v>
      </c>
      <c r="AB289" s="22">
        <v>279</v>
      </c>
      <c r="AC289" s="22">
        <v>0.47445700000000002</v>
      </c>
      <c r="AD289">
        <f t="shared" si="52"/>
        <v>17.825299999999999</v>
      </c>
      <c r="AE289">
        <f t="shared" si="53"/>
        <v>8.4698517226999996</v>
      </c>
      <c r="AF289" s="9"/>
      <c r="AG289" s="22">
        <v>1.3049299999999999</v>
      </c>
      <c r="AH289" s="22">
        <v>305.27</v>
      </c>
      <c r="AI289" s="22">
        <v>-1.7089799999999999E-2</v>
      </c>
      <c r="AJ289" s="22">
        <v>279</v>
      </c>
      <c r="AK289" s="22">
        <v>1.30402</v>
      </c>
      <c r="AL289">
        <f t="shared" si="54"/>
        <v>17.0898</v>
      </c>
      <c r="AM289">
        <f t="shared" si="55"/>
        <v>22.300992713999999</v>
      </c>
      <c r="AP289" s="9"/>
      <c r="AQ289" s="22">
        <v>0.475159</v>
      </c>
      <c r="AR289" s="22">
        <v>378.28300000000002</v>
      </c>
      <c r="AS289" s="22">
        <v>-1.7871100000000001E-2</v>
      </c>
      <c r="AT289" s="22">
        <v>279</v>
      </c>
      <c r="AU289" s="22">
        <v>0.47445700000000002</v>
      </c>
      <c r="AV289">
        <f t="shared" si="56"/>
        <v>17.871100000000002</v>
      </c>
      <c r="AW289">
        <f t="shared" si="57"/>
        <v>8.4916140049000006</v>
      </c>
      <c r="AX289" s="9"/>
      <c r="AY289" s="22">
        <v>1.3049299999999999</v>
      </c>
      <c r="AZ289" s="22">
        <v>430.71199999999999</v>
      </c>
      <c r="BA289" s="22">
        <v>-1.7132600000000001E-2</v>
      </c>
      <c r="BB289" s="22">
        <v>279</v>
      </c>
      <c r="BC289" s="22">
        <v>1.3037099999999999</v>
      </c>
      <c r="BD289">
        <f t="shared" si="58"/>
        <v>17.1326</v>
      </c>
      <c r="BE289">
        <f t="shared" si="59"/>
        <v>22.356843718</v>
      </c>
    </row>
    <row r="290" spans="6:57">
      <c r="F290" s="9"/>
      <c r="G290" s="22">
        <v>0.47012300000000001</v>
      </c>
      <c r="H290" s="22">
        <v>43.589399999999998</v>
      </c>
      <c r="I290" s="22">
        <v>-1.7718500000000002E-2</v>
      </c>
      <c r="J290" s="22">
        <v>280</v>
      </c>
      <c r="K290" s="22">
        <v>0.469391</v>
      </c>
      <c r="L290">
        <f t="shared" si="48"/>
        <v>17.718500000000002</v>
      </c>
      <c r="M290">
        <f t="shared" si="49"/>
        <v>8.3298743755000011</v>
      </c>
      <c r="N290" s="9"/>
      <c r="O290" s="22">
        <v>1.3099700000000001</v>
      </c>
      <c r="P290" s="22">
        <v>100.899</v>
      </c>
      <c r="Q290" s="22">
        <v>-1.7034899999999999E-2</v>
      </c>
      <c r="R290" s="22">
        <v>280</v>
      </c>
      <c r="S290" s="22">
        <v>1.3089</v>
      </c>
      <c r="T290">
        <f t="shared" si="50"/>
        <v>17.0349</v>
      </c>
      <c r="U290">
        <f t="shared" si="51"/>
        <v>22.315207953000002</v>
      </c>
      <c r="X290" s="9"/>
      <c r="Y290" s="22">
        <v>0.47012300000000001</v>
      </c>
      <c r="Z290" s="22">
        <v>191.05799999999999</v>
      </c>
      <c r="AA290" s="22">
        <v>-1.7831400000000001E-2</v>
      </c>
      <c r="AB290" s="22">
        <v>280</v>
      </c>
      <c r="AC290" s="22">
        <v>0.46945199999999998</v>
      </c>
      <c r="AD290">
        <f t="shared" si="52"/>
        <v>17.831400000000002</v>
      </c>
      <c r="AE290">
        <f t="shared" si="53"/>
        <v>8.3829512622000006</v>
      </c>
      <c r="AF290" s="9"/>
      <c r="AG290" s="22">
        <v>1.3099700000000001</v>
      </c>
      <c r="AH290" s="22">
        <v>305.37099999999998</v>
      </c>
      <c r="AI290" s="22">
        <v>-1.7080700000000001E-2</v>
      </c>
      <c r="AJ290" s="22">
        <v>280</v>
      </c>
      <c r="AK290" s="22">
        <v>1.3091999999999999</v>
      </c>
      <c r="AL290">
        <f t="shared" si="54"/>
        <v>17.0807</v>
      </c>
      <c r="AM290">
        <f t="shared" si="55"/>
        <v>22.375204579000002</v>
      </c>
      <c r="AP290" s="9"/>
      <c r="AQ290" s="22">
        <v>0.47012300000000001</v>
      </c>
      <c r="AR290" s="22">
        <v>378.38400000000001</v>
      </c>
      <c r="AS290" s="22">
        <v>-1.7877199999999999E-2</v>
      </c>
      <c r="AT290" s="22">
        <v>280</v>
      </c>
      <c r="AU290" s="22">
        <v>0.46917700000000001</v>
      </c>
      <c r="AV290">
        <f t="shared" si="56"/>
        <v>17.877199999999998</v>
      </c>
      <c r="AW290">
        <f t="shared" si="57"/>
        <v>8.4044828955999993</v>
      </c>
      <c r="AX290" s="9"/>
      <c r="AY290" s="22">
        <v>1.3099700000000001</v>
      </c>
      <c r="AZ290" s="22">
        <v>430.81299999999999</v>
      </c>
      <c r="BA290" s="22">
        <v>-1.71234E-2</v>
      </c>
      <c r="BB290" s="22">
        <v>280</v>
      </c>
      <c r="BC290" s="22">
        <v>1.3091999999999999</v>
      </c>
      <c r="BD290">
        <f t="shared" si="58"/>
        <v>17.1234</v>
      </c>
      <c r="BE290">
        <f t="shared" si="59"/>
        <v>22.431140298000003</v>
      </c>
    </row>
    <row r="291" spans="6:57">
      <c r="F291" s="9"/>
      <c r="G291" s="22">
        <v>0.465088</v>
      </c>
      <c r="H291" s="22">
        <v>43.690100000000001</v>
      </c>
      <c r="I291" s="22">
        <v>-1.7721600000000001E-2</v>
      </c>
      <c r="J291" s="22">
        <v>281</v>
      </c>
      <c r="K291" s="22">
        <v>0.46423300000000001</v>
      </c>
      <c r="L291">
        <f t="shared" si="48"/>
        <v>17.721600000000002</v>
      </c>
      <c r="M291">
        <f t="shared" si="49"/>
        <v>8.2421035008000008</v>
      </c>
      <c r="N291" s="9"/>
      <c r="O291" s="22">
        <v>1.3149999999999999</v>
      </c>
      <c r="P291" s="22">
        <v>101</v>
      </c>
      <c r="Q291" s="22">
        <v>-1.70288E-2</v>
      </c>
      <c r="R291" s="22">
        <v>281</v>
      </c>
      <c r="S291" s="22">
        <v>1.3143899999999999</v>
      </c>
      <c r="T291">
        <f t="shared" si="50"/>
        <v>17.0288</v>
      </c>
      <c r="U291">
        <f t="shared" si="51"/>
        <v>22.392872000000001</v>
      </c>
      <c r="X291" s="9"/>
      <c r="Y291" s="22">
        <v>0.465088</v>
      </c>
      <c r="Z291" s="22">
        <v>191.15799999999999</v>
      </c>
      <c r="AA291" s="22">
        <v>-1.7831400000000001E-2</v>
      </c>
      <c r="AB291" s="22">
        <v>281</v>
      </c>
      <c r="AC291" s="22">
        <v>0.46426400000000001</v>
      </c>
      <c r="AD291">
        <f t="shared" si="52"/>
        <v>17.831400000000002</v>
      </c>
      <c r="AE291">
        <f t="shared" si="53"/>
        <v>8.293170163200001</v>
      </c>
      <c r="AF291" s="9"/>
      <c r="AG291" s="22">
        <v>1.3149999999999999</v>
      </c>
      <c r="AH291" s="22">
        <v>305.471</v>
      </c>
      <c r="AI291" s="22">
        <v>-1.7077599999999998E-2</v>
      </c>
      <c r="AJ291" s="22">
        <v>281</v>
      </c>
      <c r="AK291" s="22">
        <v>1.31409</v>
      </c>
      <c r="AL291">
        <f t="shared" si="54"/>
        <v>17.077599999999997</v>
      </c>
      <c r="AM291">
        <f t="shared" si="55"/>
        <v>22.457043999999996</v>
      </c>
      <c r="AP291" s="9"/>
      <c r="AQ291" s="22">
        <v>0.465088</v>
      </c>
      <c r="AR291" s="22">
        <v>378.48500000000001</v>
      </c>
      <c r="AS291" s="22">
        <v>-1.7880199999999999E-2</v>
      </c>
      <c r="AT291" s="22">
        <v>281</v>
      </c>
      <c r="AU291" s="22">
        <v>0.464478</v>
      </c>
      <c r="AV291">
        <f t="shared" si="56"/>
        <v>17.880199999999999</v>
      </c>
      <c r="AW291">
        <f t="shared" si="57"/>
        <v>8.3158664575999985</v>
      </c>
      <c r="AX291" s="9"/>
      <c r="AY291" s="22">
        <v>1.3149999999999999</v>
      </c>
      <c r="AZ291" s="22">
        <v>430.91300000000001</v>
      </c>
      <c r="BA291" s="22">
        <v>-1.71112E-2</v>
      </c>
      <c r="BB291" s="22">
        <v>281</v>
      </c>
      <c r="BC291" s="22">
        <v>1.3137799999999999</v>
      </c>
      <c r="BD291">
        <f t="shared" si="58"/>
        <v>17.1112</v>
      </c>
      <c r="BE291">
        <f t="shared" si="59"/>
        <v>22.501227999999998</v>
      </c>
    </row>
    <row r="292" spans="6:57">
      <c r="F292" s="9"/>
      <c r="G292" s="22">
        <v>0.46005200000000002</v>
      </c>
      <c r="H292" s="22">
        <v>43.790799999999997</v>
      </c>
      <c r="I292" s="22">
        <v>-1.7721600000000001E-2</v>
      </c>
      <c r="J292" s="22">
        <v>282</v>
      </c>
      <c r="K292" s="22">
        <v>0.45935100000000001</v>
      </c>
      <c r="L292">
        <f t="shared" si="48"/>
        <v>17.721600000000002</v>
      </c>
      <c r="M292">
        <f t="shared" si="49"/>
        <v>8.1528575232000016</v>
      </c>
      <c r="N292" s="9"/>
      <c r="O292" s="22">
        <v>1.3200400000000001</v>
      </c>
      <c r="P292" s="22">
        <v>101.101</v>
      </c>
      <c r="Q292" s="22">
        <v>-1.7022700000000002E-2</v>
      </c>
      <c r="R292" s="22">
        <v>282</v>
      </c>
      <c r="S292" s="22">
        <v>1.3192699999999999</v>
      </c>
      <c r="T292">
        <f t="shared" si="50"/>
        <v>17.0227</v>
      </c>
      <c r="U292">
        <f t="shared" si="51"/>
        <v>22.470644908000001</v>
      </c>
      <c r="X292" s="9"/>
      <c r="Y292" s="22">
        <v>0.46005200000000002</v>
      </c>
      <c r="Z292" s="22">
        <v>191.25899999999999</v>
      </c>
      <c r="AA292" s="22">
        <v>-1.7837499999999999E-2</v>
      </c>
      <c r="AB292" s="22">
        <v>282</v>
      </c>
      <c r="AC292" s="22">
        <v>0.45938099999999998</v>
      </c>
      <c r="AD292">
        <f t="shared" si="52"/>
        <v>17.837499999999999</v>
      </c>
      <c r="AE292">
        <f t="shared" si="53"/>
        <v>8.2061775499999996</v>
      </c>
      <c r="AF292" s="9"/>
      <c r="AG292" s="22">
        <v>1.3200400000000001</v>
      </c>
      <c r="AH292" s="22">
        <v>305.572</v>
      </c>
      <c r="AI292" s="22">
        <v>-1.70715E-2</v>
      </c>
      <c r="AJ292" s="22">
        <v>282</v>
      </c>
      <c r="AK292" s="22">
        <v>1.31989</v>
      </c>
      <c r="AL292">
        <f t="shared" si="54"/>
        <v>17.0715</v>
      </c>
      <c r="AM292">
        <f t="shared" si="55"/>
        <v>22.535062860000004</v>
      </c>
      <c r="AP292" s="9"/>
      <c r="AQ292" s="22">
        <v>0.46005200000000002</v>
      </c>
      <c r="AR292" s="22">
        <v>378.58499999999998</v>
      </c>
      <c r="AS292" s="22">
        <v>-1.7883300000000001E-2</v>
      </c>
      <c r="AT292" s="22">
        <v>282</v>
      </c>
      <c r="AU292" s="22">
        <v>0.45932000000000001</v>
      </c>
      <c r="AV292">
        <f t="shared" si="56"/>
        <v>17.883300000000002</v>
      </c>
      <c r="AW292">
        <f t="shared" si="57"/>
        <v>8.2272479316000009</v>
      </c>
      <c r="AX292" s="9"/>
      <c r="AY292" s="22">
        <v>1.3200400000000001</v>
      </c>
      <c r="AZ292" s="22">
        <v>431.01400000000001</v>
      </c>
      <c r="BA292" s="22">
        <v>-1.7105100000000002E-2</v>
      </c>
      <c r="BB292" s="22">
        <v>282</v>
      </c>
      <c r="BC292" s="22">
        <v>1.3192699999999999</v>
      </c>
      <c r="BD292">
        <f t="shared" si="58"/>
        <v>17.1051</v>
      </c>
      <c r="BE292">
        <f t="shared" si="59"/>
        <v>22.579416204000001</v>
      </c>
    </row>
    <row r="293" spans="6:57">
      <c r="F293" s="9"/>
      <c r="G293" s="22">
        <v>0.455017</v>
      </c>
      <c r="H293" s="22">
        <v>43.891500000000001</v>
      </c>
      <c r="I293" s="22">
        <v>-1.7730699999999999E-2</v>
      </c>
      <c r="J293" s="22">
        <v>283</v>
      </c>
      <c r="K293" s="22">
        <v>0.45425399999999999</v>
      </c>
      <c r="L293">
        <f t="shared" si="48"/>
        <v>17.730699999999999</v>
      </c>
      <c r="M293">
        <f t="shared" si="49"/>
        <v>8.0677699219000001</v>
      </c>
      <c r="N293" s="9"/>
      <c r="O293" s="22">
        <v>1.32507</v>
      </c>
      <c r="P293" s="22">
        <v>101.20099999999999</v>
      </c>
      <c r="Q293" s="22">
        <v>-1.7013500000000001E-2</v>
      </c>
      <c r="R293" s="22">
        <v>283</v>
      </c>
      <c r="S293" s="22">
        <v>1.32446</v>
      </c>
      <c r="T293">
        <f t="shared" si="50"/>
        <v>17.013500000000001</v>
      </c>
      <c r="U293">
        <f t="shared" si="51"/>
        <v>22.544078445</v>
      </c>
      <c r="X293" s="9"/>
      <c r="Y293" s="22">
        <v>0.455017</v>
      </c>
      <c r="Z293" s="22">
        <v>191.36</v>
      </c>
      <c r="AA293" s="22">
        <v>-1.7843600000000001E-2</v>
      </c>
      <c r="AB293" s="22">
        <v>283</v>
      </c>
      <c r="AC293" s="22">
        <v>0.45431500000000002</v>
      </c>
      <c r="AD293">
        <f t="shared" si="52"/>
        <v>17.843600000000002</v>
      </c>
      <c r="AE293">
        <f t="shared" si="53"/>
        <v>8.1191413412000006</v>
      </c>
      <c r="AF293" s="9"/>
      <c r="AG293" s="22">
        <v>1.32507</v>
      </c>
      <c r="AH293" s="22">
        <v>305.673</v>
      </c>
      <c r="AI293" s="22">
        <v>-1.7062399999999998E-2</v>
      </c>
      <c r="AJ293" s="22">
        <v>283</v>
      </c>
      <c r="AK293" s="22">
        <v>1.32385</v>
      </c>
      <c r="AL293">
        <f t="shared" si="54"/>
        <v>17.062399999999997</v>
      </c>
      <c r="AM293">
        <f t="shared" si="55"/>
        <v>22.608874367999995</v>
      </c>
      <c r="AP293" s="9"/>
      <c r="AQ293" s="22">
        <v>0.455017</v>
      </c>
      <c r="AR293" s="22">
        <v>378.68599999999998</v>
      </c>
      <c r="AS293" s="22">
        <v>-1.78864E-2</v>
      </c>
      <c r="AT293" s="22">
        <v>283</v>
      </c>
      <c r="AU293" s="22">
        <v>0.45443699999999998</v>
      </c>
      <c r="AV293">
        <f t="shared" si="56"/>
        <v>17.886400000000002</v>
      </c>
      <c r="AW293">
        <f t="shared" si="57"/>
        <v>8.1386160688000011</v>
      </c>
      <c r="AX293" s="9"/>
      <c r="AY293" s="22">
        <v>1.32507</v>
      </c>
      <c r="AZ293" s="22">
        <v>431.11500000000001</v>
      </c>
      <c r="BA293" s="22">
        <v>-1.7099E-2</v>
      </c>
      <c r="BB293" s="22">
        <v>283</v>
      </c>
      <c r="BC293" s="22">
        <v>1.32477</v>
      </c>
      <c r="BD293">
        <f t="shared" si="58"/>
        <v>17.099</v>
      </c>
      <c r="BE293">
        <f t="shared" si="59"/>
        <v>22.65737193</v>
      </c>
    </row>
    <row r="294" spans="6:57">
      <c r="F294" s="9"/>
      <c r="G294" s="22">
        <v>0.44998199999999999</v>
      </c>
      <c r="H294" s="22">
        <v>43.992199999999997</v>
      </c>
      <c r="I294" s="22">
        <v>-1.7730699999999999E-2</v>
      </c>
      <c r="J294" s="22">
        <v>284</v>
      </c>
      <c r="K294" s="22">
        <v>0.44921899999999998</v>
      </c>
      <c r="L294">
        <f t="shared" si="48"/>
        <v>17.730699999999999</v>
      </c>
      <c r="M294">
        <f t="shared" si="49"/>
        <v>7.9784958473999996</v>
      </c>
      <c r="N294" s="9"/>
      <c r="O294" s="22">
        <v>1.3301099999999999</v>
      </c>
      <c r="P294" s="22">
        <v>101.30200000000001</v>
      </c>
      <c r="Q294" s="22">
        <v>-1.7013500000000001E-2</v>
      </c>
      <c r="R294" s="22">
        <v>284</v>
      </c>
      <c r="S294" s="22">
        <v>1.32904</v>
      </c>
      <c r="T294">
        <f t="shared" si="50"/>
        <v>17.013500000000001</v>
      </c>
      <c r="U294">
        <f t="shared" si="51"/>
        <v>22.629826484999999</v>
      </c>
      <c r="X294" s="9"/>
      <c r="Y294" s="22">
        <v>0.44998199999999999</v>
      </c>
      <c r="Z294" s="22">
        <v>191.46100000000001</v>
      </c>
      <c r="AA294" s="22">
        <v>-1.7843600000000001E-2</v>
      </c>
      <c r="AB294" s="22">
        <v>284</v>
      </c>
      <c r="AC294" s="22">
        <v>0.449127</v>
      </c>
      <c r="AD294">
        <f t="shared" si="52"/>
        <v>17.843600000000002</v>
      </c>
      <c r="AE294">
        <f t="shared" si="53"/>
        <v>8.0292988152000007</v>
      </c>
      <c r="AF294" s="9"/>
      <c r="AG294" s="22">
        <v>1.3301099999999999</v>
      </c>
      <c r="AH294" s="22">
        <v>305.774</v>
      </c>
      <c r="AI294" s="22">
        <v>-1.70563E-2</v>
      </c>
      <c r="AJ294" s="22">
        <v>284</v>
      </c>
      <c r="AK294" s="22">
        <v>1.32874</v>
      </c>
      <c r="AL294">
        <f t="shared" si="54"/>
        <v>17.0563</v>
      </c>
      <c r="AM294">
        <f t="shared" si="55"/>
        <v>22.686755193</v>
      </c>
      <c r="AP294" s="9"/>
      <c r="AQ294" s="22">
        <v>0.44998199999999999</v>
      </c>
      <c r="AR294" s="22">
        <v>378.78699999999998</v>
      </c>
      <c r="AS294" s="22">
        <v>-1.7892499999999999E-2</v>
      </c>
      <c r="AT294" s="22">
        <v>284</v>
      </c>
      <c r="AU294" s="22">
        <v>0.44928000000000001</v>
      </c>
      <c r="AV294">
        <f t="shared" si="56"/>
        <v>17.892499999999998</v>
      </c>
      <c r="AW294">
        <f t="shared" si="57"/>
        <v>8.0513029349999989</v>
      </c>
      <c r="AX294" s="9"/>
      <c r="AY294" s="22">
        <v>1.3301099999999999</v>
      </c>
      <c r="AZ294" s="22">
        <v>431.21600000000001</v>
      </c>
      <c r="BA294" s="22">
        <v>-1.7095900000000001E-2</v>
      </c>
      <c r="BB294" s="22">
        <v>284</v>
      </c>
      <c r="BC294" s="22">
        <v>1.32965</v>
      </c>
      <c r="BD294">
        <f t="shared" si="58"/>
        <v>17.0959</v>
      </c>
      <c r="BE294">
        <f t="shared" si="59"/>
        <v>22.739427548999998</v>
      </c>
    </row>
    <row r="295" spans="6:57">
      <c r="F295" s="9"/>
      <c r="G295" s="22">
        <v>0.44494600000000001</v>
      </c>
      <c r="H295" s="22">
        <v>44.0929</v>
      </c>
      <c r="I295" s="22">
        <v>-1.77368E-2</v>
      </c>
      <c r="J295" s="22">
        <v>285</v>
      </c>
      <c r="K295" s="22">
        <v>0.44427499999999998</v>
      </c>
      <c r="L295">
        <f t="shared" si="48"/>
        <v>17.736799999999999</v>
      </c>
      <c r="M295">
        <f t="shared" si="49"/>
        <v>7.8919182127999994</v>
      </c>
      <c r="N295" s="9"/>
      <c r="O295" s="22">
        <v>1.33514</v>
      </c>
      <c r="P295" s="22">
        <v>101.40300000000001</v>
      </c>
      <c r="Q295" s="22">
        <v>-1.7007399999999999E-2</v>
      </c>
      <c r="R295" s="22">
        <v>285</v>
      </c>
      <c r="S295" s="22">
        <v>1.33392</v>
      </c>
      <c r="T295">
        <f t="shared" si="50"/>
        <v>17.007400000000001</v>
      </c>
      <c r="U295">
        <f t="shared" si="51"/>
        <v>22.707260036000001</v>
      </c>
      <c r="X295" s="9"/>
      <c r="Y295" s="22">
        <v>0.44494600000000001</v>
      </c>
      <c r="Z295" s="22">
        <v>191.56100000000001</v>
      </c>
      <c r="AA295" s="22">
        <v>-1.78497E-2</v>
      </c>
      <c r="AB295" s="22">
        <v>285</v>
      </c>
      <c r="AC295" s="22">
        <v>0.44424400000000003</v>
      </c>
      <c r="AD295">
        <f t="shared" si="52"/>
        <v>17.849699999999999</v>
      </c>
      <c r="AE295">
        <f t="shared" si="53"/>
        <v>7.9421526161999996</v>
      </c>
      <c r="AF295" s="9"/>
      <c r="AG295" s="22">
        <v>1.33514</v>
      </c>
      <c r="AH295" s="22">
        <v>305.87400000000002</v>
      </c>
      <c r="AI295" s="22">
        <v>-1.7053200000000001E-2</v>
      </c>
      <c r="AJ295" s="22">
        <v>285</v>
      </c>
      <c r="AK295" s="22">
        <v>1.33423</v>
      </c>
      <c r="AL295">
        <f t="shared" si="54"/>
        <v>17.0532</v>
      </c>
      <c r="AM295">
        <f t="shared" si="55"/>
        <v>22.768409448</v>
      </c>
      <c r="AP295" s="9"/>
      <c r="AQ295" s="22">
        <v>0.44494600000000001</v>
      </c>
      <c r="AR295" s="22">
        <v>378.887</v>
      </c>
      <c r="AS295" s="22">
        <v>-1.7895500000000002E-2</v>
      </c>
      <c r="AT295" s="22">
        <v>285</v>
      </c>
      <c r="AU295" s="22">
        <v>0.44439699999999999</v>
      </c>
      <c r="AV295">
        <f t="shared" si="56"/>
        <v>17.895500000000002</v>
      </c>
      <c r="AW295">
        <f t="shared" si="57"/>
        <v>7.9625311430000014</v>
      </c>
      <c r="AX295" s="9"/>
      <c r="AY295" s="22">
        <v>1.33514</v>
      </c>
      <c r="AZ295" s="22">
        <v>431.31599999999997</v>
      </c>
      <c r="BA295" s="22">
        <v>-1.7086799999999999E-2</v>
      </c>
      <c r="BB295" s="22">
        <v>285</v>
      </c>
      <c r="BC295" s="22">
        <v>1.33453</v>
      </c>
      <c r="BD295">
        <f t="shared" si="58"/>
        <v>17.0868</v>
      </c>
      <c r="BE295">
        <f t="shared" si="59"/>
        <v>22.813270152000001</v>
      </c>
    </row>
    <row r="296" spans="6:57">
      <c r="F296" s="9"/>
      <c r="G296" s="22">
        <v>0.439911</v>
      </c>
      <c r="H296" s="22">
        <v>44.193600000000004</v>
      </c>
      <c r="I296" s="22">
        <v>-1.7742899999999999E-2</v>
      </c>
      <c r="J296" s="22">
        <v>286</v>
      </c>
      <c r="K296" s="22">
        <v>0.43911699999999998</v>
      </c>
      <c r="L296">
        <f t="shared" si="48"/>
        <v>17.742899999999999</v>
      </c>
      <c r="M296">
        <f t="shared" si="49"/>
        <v>7.8052968818999995</v>
      </c>
      <c r="N296" s="9"/>
      <c r="O296" s="22">
        <v>1.3401799999999999</v>
      </c>
      <c r="P296" s="22">
        <v>101.504</v>
      </c>
      <c r="Q296" s="22">
        <v>-1.70013E-2</v>
      </c>
      <c r="R296" s="22">
        <v>286</v>
      </c>
      <c r="S296" s="22">
        <v>1.3394200000000001</v>
      </c>
      <c r="T296">
        <f t="shared" si="50"/>
        <v>17.001300000000001</v>
      </c>
      <c r="U296">
        <f t="shared" si="51"/>
        <v>22.784802234000001</v>
      </c>
      <c r="X296" s="9"/>
      <c r="Y296" s="22">
        <v>0.439911</v>
      </c>
      <c r="Z296" s="22">
        <v>191.66200000000001</v>
      </c>
      <c r="AA296" s="22">
        <v>-1.78497E-2</v>
      </c>
      <c r="AB296" s="22">
        <v>286</v>
      </c>
      <c r="AC296" s="22">
        <v>0.43893399999999999</v>
      </c>
      <c r="AD296">
        <f t="shared" si="52"/>
        <v>17.849699999999999</v>
      </c>
      <c r="AE296">
        <f t="shared" si="53"/>
        <v>7.8522793766999994</v>
      </c>
      <c r="AF296" s="9"/>
      <c r="AG296" s="22">
        <v>1.3401799999999999</v>
      </c>
      <c r="AH296" s="22">
        <v>305.97500000000002</v>
      </c>
      <c r="AI296" s="22">
        <v>-1.7041000000000001E-2</v>
      </c>
      <c r="AJ296" s="22">
        <v>286</v>
      </c>
      <c r="AK296" s="22">
        <v>1.3394200000000001</v>
      </c>
      <c r="AL296">
        <f t="shared" si="54"/>
        <v>17.041</v>
      </c>
      <c r="AM296">
        <f t="shared" si="55"/>
        <v>22.838007380000001</v>
      </c>
      <c r="AP296" s="9"/>
      <c r="AQ296" s="22">
        <v>0.439911</v>
      </c>
      <c r="AR296" s="22">
        <v>378.988</v>
      </c>
      <c r="AS296" s="22">
        <v>-1.7895500000000002E-2</v>
      </c>
      <c r="AT296" s="22">
        <v>286</v>
      </c>
      <c r="AU296" s="22">
        <v>0.43933100000000003</v>
      </c>
      <c r="AV296">
        <f t="shared" si="56"/>
        <v>17.895500000000002</v>
      </c>
      <c r="AW296">
        <f t="shared" si="57"/>
        <v>7.8724273005000009</v>
      </c>
      <c r="AX296" s="9"/>
      <c r="AY296" s="22">
        <v>1.3401799999999999</v>
      </c>
      <c r="AZ296" s="22">
        <v>431.41699999999997</v>
      </c>
      <c r="BA296" s="22">
        <v>-1.7077599999999998E-2</v>
      </c>
      <c r="BB296" s="22">
        <v>286</v>
      </c>
      <c r="BC296" s="22">
        <v>1.3388100000000001</v>
      </c>
      <c r="BD296">
        <f t="shared" si="58"/>
        <v>17.077599999999997</v>
      </c>
      <c r="BE296">
        <f t="shared" si="59"/>
        <v>22.887057967999993</v>
      </c>
    </row>
    <row r="297" spans="6:57">
      <c r="F297" s="9"/>
      <c r="G297" s="22">
        <v>0.43487500000000001</v>
      </c>
      <c r="H297" s="22">
        <v>44.2943</v>
      </c>
      <c r="I297" s="22">
        <v>-1.7746000000000001E-2</v>
      </c>
      <c r="J297" s="22">
        <v>287</v>
      </c>
      <c r="K297" s="22">
        <v>0.434143</v>
      </c>
      <c r="L297">
        <f t="shared" si="48"/>
        <v>17.746000000000002</v>
      </c>
      <c r="M297">
        <f t="shared" si="49"/>
        <v>7.7172917500000011</v>
      </c>
      <c r="N297" s="9"/>
      <c r="O297" s="22">
        <v>1.34521</v>
      </c>
      <c r="P297" s="22">
        <v>101.604</v>
      </c>
      <c r="Q297" s="22">
        <v>-1.6992199999999999E-2</v>
      </c>
      <c r="R297" s="22">
        <v>287</v>
      </c>
      <c r="S297" s="22">
        <v>1.34399</v>
      </c>
      <c r="T297">
        <f t="shared" si="50"/>
        <v>16.9922</v>
      </c>
      <c r="U297">
        <f t="shared" si="51"/>
        <v>22.858077362</v>
      </c>
      <c r="X297" s="9"/>
      <c r="Y297" s="22">
        <v>0.43487500000000001</v>
      </c>
      <c r="Z297" s="22">
        <v>191.76300000000001</v>
      </c>
      <c r="AA297" s="22">
        <v>-1.78497E-2</v>
      </c>
      <c r="AB297" s="22">
        <v>287</v>
      </c>
      <c r="AC297" s="22">
        <v>0.43420399999999998</v>
      </c>
      <c r="AD297">
        <f t="shared" si="52"/>
        <v>17.849699999999999</v>
      </c>
      <c r="AE297">
        <f t="shared" si="53"/>
        <v>7.7623882874999994</v>
      </c>
      <c r="AF297" s="9"/>
      <c r="AG297" s="22">
        <v>1.34521</v>
      </c>
      <c r="AH297" s="22">
        <v>306.07600000000002</v>
      </c>
      <c r="AI297" s="22">
        <v>-1.7038000000000001E-2</v>
      </c>
      <c r="AJ297" s="22">
        <v>287</v>
      </c>
      <c r="AK297" s="22">
        <v>1.3446</v>
      </c>
      <c r="AL297">
        <f t="shared" si="54"/>
        <v>17.038</v>
      </c>
      <c r="AM297">
        <f t="shared" si="55"/>
        <v>22.919687979999999</v>
      </c>
      <c r="AP297" s="9"/>
      <c r="AQ297" s="22">
        <v>0.43487500000000001</v>
      </c>
      <c r="AR297" s="22">
        <v>379.089</v>
      </c>
      <c r="AS297" s="22">
        <v>-1.7904699999999999E-2</v>
      </c>
      <c r="AT297" s="22">
        <v>287</v>
      </c>
      <c r="AU297" s="22">
        <v>0.43411300000000003</v>
      </c>
      <c r="AV297">
        <f t="shared" si="56"/>
        <v>17.904699999999998</v>
      </c>
      <c r="AW297">
        <f t="shared" si="57"/>
        <v>7.7863064124999992</v>
      </c>
      <c r="AX297" s="9"/>
      <c r="AY297" s="22">
        <v>1.34521</v>
      </c>
      <c r="AZ297" s="22">
        <v>431.51799999999997</v>
      </c>
      <c r="BA297" s="22">
        <v>-1.7074599999999999E-2</v>
      </c>
      <c r="BB297" s="22">
        <v>287</v>
      </c>
      <c r="BC297" s="22">
        <v>1.3443000000000001</v>
      </c>
      <c r="BD297">
        <f t="shared" si="58"/>
        <v>17.0746</v>
      </c>
      <c r="BE297">
        <f t="shared" si="59"/>
        <v>22.968922666000001</v>
      </c>
    </row>
    <row r="298" spans="6:57">
      <c r="F298" s="9"/>
      <c r="G298" s="22">
        <v>0.42984</v>
      </c>
      <c r="H298" s="22">
        <v>44.395099999999999</v>
      </c>
      <c r="I298" s="22">
        <v>-1.77521E-2</v>
      </c>
      <c r="J298" s="22">
        <v>288</v>
      </c>
      <c r="K298" s="22">
        <v>0.42910799999999999</v>
      </c>
      <c r="L298">
        <f t="shared" si="48"/>
        <v>17.752099999999999</v>
      </c>
      <c r="M298">
        <f t="shared" si="49"/>
        <v>7.6305626639999993</v>
      </c>
      <c r="N298" s="9"/>
      <c r="O298" s="22">
        <v>1.35025</v>
      </c>
      <c r="P298" s="22">
        <v>101.705</v>
      </c>
      <c r="Q298" s="22">
        <v>-1.6983000000000002E-2</v>
      </c>
      <c r="R298" s="22">
        <v>288</v>
      </c>
      <c r="S298" s="22">
        <v>1.34918</v>
      </c>
      <c r="T298">
        <f t="shared" si="50"/>
        <v>16.983000000000001</v>
      </c>
      <c r="U298">
        <f t="shared" si="51"/>
        <v>22.93129575</v>
      </c>
      <c r="X298" s="9"/>
      <c r="Y298" s="22">
        <v>0.42984</v>
      </c>
      <c r="Z298" s="22">
        <v>191.863</v>
      </c>
      <c r="AA298" s="22">
        <v>-1.78589E-2</v>
      </c>
      <c r="AB298" s="22">
        <v>288</v>
      </c>
      <c r="AC298" s="22">
        <v>0.42910799999999999</v>
      </c>
      <c r="AD298">
        <f t="shared" si="52"/>
        <v>17.858900000000002</v>
      </c>
      <c r="AE298">
        <f t="shared" si="53"/>
        <v>7.6764695760000006</v>
      </c>
      <c r="AF298" s="9"/>
      <c r="AG298" s="22">
        <v>1.35025</v>
      </c>
      <c r="AH298" s="22">
        <v>306.17599999999999</v>
      </c>
      <c r="AI298" s="22">
        <v>-1.70288E-2</v>
      </c>
      <c r="AJ298" s="22">
        <v>288</v>
      </c>
      <c r="AK298" s="22">
        <v>1.3501000000000001</v>
      </c>
      <c r="AL298">
        <f t="shared" si="54"/>
        <v>17.0288</v>
      </c>
      <c r="AM298">
        <f t="shared" si="55"/>
        <v>22.9931372</v>
      </c>
      <c r="AP298" s="9"/>
      <c r="AQ298" s="22">
        <v>0.42984</v>
      </c>
      <c r="AR298" s="22">
        <v>379.19</v>
      </c>
      <c r="AS298" s="22">
        <v>-1.7907699999999999E-2</v>
      </c>
      <c r="AT298" s="22">
        <v>288</v>
      </c>
      <c r="AU298" s="22">
        <v>0.42910799999999999</v>
      </c>
      <c r="AV298">
        <f t="shared" si="56"/>
        <v>17.907699999999998</v>
      </c>
      <c r="AW298">
        <f t="shared" si="57"/>
        <v>7.6974457679999997</v>
      </c>
      <c r="AX298" s="9"/>
      <c r="AY298" s="22">
        <v>1.35025</v>
      </c>
      <c r="AZ298" s="22">
        <v>431.61799999999999</v>
      </c>
      <c r="BA298" s="22">
        <v>-1.70715E-2</v>
      </c>
      <c r="BB298" s="22">
        <v>288</v>
      </c>
      <c r="BC298" s="22">
        <v>1.34918</v>
      </c>
      <c r="BD298">
        <f t="shared" si="58"/>
        <v>17.0715</v>
      </c>
      <c r="BE298">
        <f t="shared" si="59"/>
        <v>23.050792874999999</v>
      </c>
    </row>
    <row r="299" spans="6:57">
      <c r="F299" s="9"/>
      <c r="G299" s="22">
        <v>0.42480499999999999</v>
      </c>
      <c r="H299" s="22">
        <v>44.495800000000003</v>
      </c>
      <c r="I299" s="22">
        <v>-1.7755099999999999E-2</v>
      </c>
      <c r="J299" s="22">
        <v>289</v>
      </c>
      <c r="K299" s="22">
        <v>0.42431600000000003</v>
      </c>
      <c r="L299">
        <f t="shared" si="48"/>
        <v>17.755099999999999</v>
      </c>
      <c r="M299">
        <f t="shared" si="49"/>
        <v>7.5424552554999993</v>
      </c>
      <c r="N299" s="9"/>
      <c r="O299" s="22">
        <v>1.3552900000000001</v>
      </c>
      <c r="P299" s="22">
        <v>101.806</v>
      </c>
      <c r="Q299" s="22">
        <v>-1.6979999999999999E-2</v>
      </c>
      <c r="R299" s="22">
        <v>289</v>
      </c>
      <c r="S299" s="22">
        <v>1.35406</v>
      </c>
      <c r="T299">
        <f t="shared" si="50"/>
        <v>16.979999999999997</v>
      </c>
      <c r="U299">
        <f t="shared" si="51"/>
        <v>23.012824199999997</v>
      </c>
      <c r="X299" s="9"/>
      <c r="Y299" s="22">
        <v>0.42480499999999999</v>
      </c>
      <c r="Z299" s="22">
        <v>191.964</v>
      </c>
      <c r="AA299" s="22">
        <v>-1.78619E-2</v>
      </c>
      <c r="AB299" s="22">
        <v>289</v>
      </c>
      <c r="AC299" s="22">
        <v>0.42416399999999999</v>
      </c>
      <c r="AD299">
        <f t="shared" si="52"/>
        <v>17.861899999999999</v>
      </c>
      <c r="AE299">
        <f t="shared" si="53"/>
        <v>7.5878244294999995</v>
      </c>
      <c r="AF299" s="9"/>
      <c r="AG299" s="22">
        <v>1.3552900000000001</v>
      </c>
      <c r="AH299" s="22">
        <v>306.27699999999999</v>
      </c>
      <c r="AI299" s="22">
        <v>-1.7022700000000002E-2</v>
      </c>
      <c r="AJ299" s="22">
        <v>289</v>
      </c>
      <c r="AK299" s="22">
        <v>1.3543700000000001</v>
      </c>
      <c r="AL299">
        <f t="shared" si="54"/>
        <v>17.0227</v>
      </c>
      <c r="AM299">
        <f t="shared" si="55"/>
        <v>23.070695083000004</v>
      </c>
      <c r="AP299" s="9"/>
      <c r="AQ299" s="22">
        <v>0.42480499999999999</v>
      </c>
      <c r="AR299" s="22">
        <v>379.29</v>
      </c>
      <c r="AS299" s="22">
        <v>-1.7913800000000001E-2</v>
      </c>
      <c r="AT299" s="22">
        <v>289</v>
      </c>
      <c r="AU299" s="22">
        <v>0.42404199999999997</v>
      </c>
      <c r="AV299">
        <f t="shared" si="56"/>
        <v>17.913800000000002</v>
      </c>
      <c r="AW299">
        <f t="shared" si="57"/>
        <v>7.6098718090000004</v>
      </c>
      <c r="AX299" s="9"/>
      <c r="AY299" s="22">
        <v>1.3552900000000001</v>
      </c>
      <c r="AZ299" s="22">
        <v>431.71899999999999</v>
      </c>
      <c r="BA299" s="22">
        <v>-1.7065400000000001E-2</v>
      </c>
      <c r="BB299" s="22">
        <v>289</v>
      </c>
      <c r="BC299" s="22">
        <v>1.3546800000000001</v>
      </c>
      <c r="BD299">
        <f t="shared" si="58"/>
        <v>17.0654</v>
      </c>
      <c r="BE299">
        <f t="shared" si="59"/>
        <v>23.128565966000004</v>
      </c>
    </row>
    <row r="300" spans="6:57">
      <c r="F300" s="9"/>
      <c r="G300" s="22">
        <v>0.419769</v>
      </c>
      <c r="H300" s="22">
        <v>44.596499999999999</v>
      </c>
      <c r="I300" s="22">
        <v>-1.7755099999999999E-2</v>
      </c>
      <c r="J300" s="22">
        <v>290</v>
      </c>
      <c r="K300" s="22">
        <v>0.41888399999999998</v>
      </c>
      <c r="L300">
        <f t="shared" si="48"/>
        <v>17.755099999999999</v>
      </c>
      <c r="M300">
        <f t="shared" si="49"/>
        <v>7.4530405718999999</v>
      </c>
      <c r="N300" s="9"/>
      <c r="O300" s="22">
        <v>1.36032</v>
      </c>
      <c r="P300" s="22">
        <v>101.90600000000001</v>
      </c>
      <c r="Q300" s="22">
        <v>-1.69739E-2</v>
      </c>
      <c r="R300" s="22">
        <v>290</v>
      </c>
      <c r="S300" s="22">
        <v>1.3592500000000001</v>
      </c>
      <c r="T300">
        <f t="shared" si="50"/>
        <v>16.9739</v>
      </c>
      <c r="U300">
        <f t="shared" si="51"/>
        <v>23.089935648000001</v>
      </c>
      <c r="X300" s="9"/>
      <c r="Y300" s="22">
        <v>0.419769</v>
      </c>
      <c r="Z300" s="22">
        <v>192.065</v>
      </c>
      <c r="AA300" s="22">
        <v>-1.7864999999999999E-2</v>
      </c>
      <c r="AB300" s="22">
        <v>290</v>
      </c>
      <c r="AC300" s="22">
        <v>0.418854</v>
      </c>
      <c r="AD300">
        <f t="shared" si="52"/>
        <v>17.864999999999998</v>
      </c>
      <c r="AE300">
        <f t="shared" si="53"/>
        <v>7.4991731849999992</v>
      </c>
      <c r="AF300" s="9"/>
      <c r="AG300" s="22">
        <v>1.36032</v>
      </c>
      <c r="AH300" s="22">
        <v>306.37799999999999</v>
      </c>
      <c r="AI300" s="22">
        <v>-1.7019699999999999E-2</v>
      </c>
      <c r="AJ300" s="22">
        <v>290</v>
      </c>
      <c r="AK300" s="22">
        <v>1.3598600000000001</v>
      </c>
      <c r="AL300">
        <f t="shared" si="54"/>
        <v>17.0197</v>
      </c>
      <c r="AM300">
        <f t="shared" si="55"/>
        <v>23.152238304000001</v>
      </c>
      <c r="AP300" s="9"/>
      <c r="AQ300" s="22">
        <v>0.419769</v>
      </c>
      <c r="AR300" s="22">
        <v>379.39100000000002</v>
      </c>
      <c r="AS300" s="22">
        <v>-1.7916899999999999E-2</v>
      </c>
      <c r="AT300" s="22">
        <v>290</v>
      </c>
      <c r="AU300" s="22">
        <v>0.41928100000000001</v>
      </c>
      <c r="AV300">
        <f t="shared" si="56"/>
        <v>17.916899999999998</v>
      </c>
      <c r="AW300">
        <f t="shared" si="57"/>
        <v>7.5209591960999997</v>
      </c>
      <c r="AX300" s="9"/>
      <c r="AY300" s="22">
        <v>1.36032</v>
      </c>
      <c r="AZ300" s="22">
        <v>431.82</v>
      </c>
      <c r="BA300" s="22">
        <v>-1.70563E-2</v>
      </c>
      <c r="BB300" s="22">
        <v>290</v>
      </c>
      <c r="BC300" s="22">
        <v>1.3598600000000001</v>
      </c>
      <c r="BD300">
        <f t="shared" si="58"/>
        <v>17.0563</v>
      </c>
      <c r="BE300">
        <f t="shared" si="59"/>
        <v>23.202026016000001</v>
      </c>
    </row>
    <row r="301" spans="6:57">
      <c r="F301" s="9"/>
      <c r="G301" s="22">
        <v>0.41473399999999999</v>
      </c>
      <c r="H301" s="22">
        <v>44.697200000000002</v>
      </c>
      <c r="I301" s="22">
        <v>-1.7758199999999998E-2</v>
      </c>
      <c r="J301" s="22">
        <v>291</v>
      </c>
      <c r="K301" s="22">
        <v>0.41381800000000002</v>
      </c>
      <c r="L301">
        <f t="shared" si="48"/>
        <v>17.758199999999999</v>
      </c>
      <c r="M301">
        <f t="shared" si="49"/>
        <v>7.3649293187999989</v>
      </c>
      <c r="N301" s="9"/>
      <c r="O301" s="22">
        <v>1.3653599999999999</v>
      </c>
      <c r="P301" s="22">
        <v>102.00700000000001</v>
      </c>
      <c r="Q301" s="22">
        <v>-1.6967800000000002E-2</v>
      </c>
      <c r="R301" s="22">
        <v>291</v>
      </c>
      <c r="S301" s="22">
        <v>1.3647499999999999</v>
      </c>
      <c r="T301">
        <f t="shared" si="50"/>
        <v>16.9678</v>
      </c>
      <c r="U301">
        <f t="shared" si="51"/>
        <v>23.167155407999999</v>
      </c>
      <c r="X301" s="9"/>
      <c r="Y301" s="22">
        <v>0.41473399999999999</v>
      </c>
      <c r="Z301" s="22">
        <v>192.166</v>
      </c>
      <c r="AA301" s="22">
        <v>-1.7871100000000001E-2</v>
      </c>
      <c r="AB301" s="22">
        <v>291</v>
      </c>
      <c r="AC301" s="22">
        <v>0.41406300000000001</v>
      </c>
      <c r="AD301">
        <f t="shared" si="52"/>
        <v>17.871100000000002</v>
      </c>
      <c r="AE301">
        <f t="shared" si="53"/>
        <v>7.4117527874000011</v>
      </c>
      <c r="AF301" s="9"/>
      <c r="AG301" s="22">
        <v>1.3653599999999999</v>
      </c>
      <c r="AH301" s="22">
        <v>306.47800000000001</v>
      </c>
      <c r="AI301" s="22">
        <v>-1.7013500000000001E-2</v>
      </c>
      <c r="AJ301" s="22">
        <v>291</v>
      </c>
      <c r="AK301" s="22">
        <v>1.3644400000000001</v>
      </c>
      <c r="AL301">
        <f t="shared" si="54"/>
        <v>17.013500000000001</v>
      </c>
      <c r="AM301">
        <f t="shared" si="55"/>
        <v>23.22955236</v>
      </c>
      <c r="AP301" s="9"/>
      <c r="AQ301" s="22">
        <v>0.41473399999999999</v>
      </c>
      <c r="AR301" s="22">
        <v>379.49200000000002</v>
      </c>
      <c r="AS301" s="22">
        <v>-1.7923000000000001E-2</v>
      </c>
      <c r="AT301" s="22">
        <v>291</v>
      </c>
      <c r="AU301" s="22">
        <v>0.41418500000000003</v>
      </c>
      <c r="AV301">
        <f t="shared" si="56"/>
        <v>17.923000000000002</v>
      </c>
      <c r="AW301">
        <f t="shared" si="57"/>
        <v>7.4332774820000003</v>
      </c>
      <c r="AX301" s="9"/>
      <c r="AY301" s="22">
        <v>1.3653599999999999</v>
      </c>
      <c r="AZ301" s="22">
        <v>431.92</v>
      </c>
      <c r="BA301" s="22">
        <v>-1.7050200000000001E-2</v>
      </c>
      <c r="BB301" s="22">
        <v>291</v>
      </c>
      <c r="BC301" s="22">
        <v>1.3641399999999999</v>
      </c>
      <c r="BD301">
        <f t="shared" si="58"/>
        <v>17.0502</v>
      </c>
      <c r="BE301">
        <f t="shared" si="59"/>
        <v>23.279661072</v>
      </c>
    </row>
    <row r="302" spans="6:57">
      <c r="F302" s="9"/>
      <c r="G302" s="22">
        <v>0.40969800000000001</v>
      </c>
      <c r="H302" s="22">
        <v>44.797899999999998</v>
      </c>
      <c r="I302" s="22">
        <v>-1.77643E-2</v>
      </c>
      <c r="J302" s="22">
        <v>292</v>
      </c>
      <c r="K302" s="22">
        <v>0.40914899999999998</v>
      </c>
      <c r="L302">
        <f t="shared" si="48"/>
        <v>17.764299999999999</v>
      </c>
      <c r="M302">
        <f t="shared" si="49"/>
        <v>7.2779981813999992</v>
      </c>
      <c r="N302" s="9"/>
      <c r="O302" s="22">
        <v>1.37039</v>
      </c>
      <c r="P302" s="22">
        <v>102.108</v>
      </c>
      <c r="Q302" s="22">
        <v>-1.69617E-2</v>
      </c>
      <c r="R302" s="22">
        <v>292</v>
      </c>
      <c r="S302" s="22">
        <v>1.3699300000000001</v>
      </c>
      <c r="T302">
        <f t="shared" si="50"/>
        <v>16.9617</v>
      </c>
      <c r="U302">
        <f t="shared" si="51"/>
        <v>23.244144063</v>
      </c>
      <c r="X302" s="9"/>
      <c r="Y302" s="22">
        <v>0.40969800000000001</v>
      </c>
      <c r="Z302" s="22">
        <v>192.26599999999999</v>
      </c>
      <c r="AA302" s="22">
        <v>-1.78741E-2</v>
      </c>
      <c r="AB302" s="22">
        <v>292</v>
      </c>
      <c r="AC302" s="22">
        <v>0.40902699999999997</v>
      </c>
      <c r="AD302">
        <f t="shared" si="52"/>
        <v>17.874100000000002</v>
      </c>
      <c r="AE302">
        <f t="shared" si="53"/>
        <v>7.3229830218000007</v>
      </c>
      <c r="AF302" s="9"/>
      <c r="AG302" s="22">
        <v>1.37039</v>
      </c>
      <c r="AH302" s="22">
        <v>306.57900000000001</v>
      </c>
      <c r="AI302" s="22">
        <v>-1.7007399999999999E-2</v>
      </c>
      <c r="AJ302" s="22">
        <v>292</v>
      </c>
      <c r="AK302" s="22">
        <v>1.3693200000000001</v>
      </c>
      <c r="AL302">
        <f t="shared" si="54"/>
        <v>17.007400000000001</v>
      </c>
      <c r="AM302">
        <f t="shared" si="55"/>
        <v>23.306770885999999</v>
      </c>
      <c r="AP302" s="9"/>
      <c r="AQ302" s="22">
        <v>0.40969800000000001</v>
      </c>
      <c r="AR302" s="22">
        <v>379.59199999999998</v>
      </c>
      <c r="AS302" s="22">
        <v>-1.7926000000000001E-2</v>
      </c>
      <c r="AT302" s="22">
        <v>292</v>
      </c>
      <c r="AU302" s="22">
        <v>0.40902699999999997</v>
      </c>
      <c r="AV302">
        <f t="shared" si="56"/>
        <v>17.926000000000002</v>
      </c>
      <c r="AW302">
        <f t="shared" si="57"/>
        <v>7.3442463480000013</v>
      </c>
      <c r="AX302" s="9"/>
      <c r="AY302" s="22">
        <v>1.37039</v>
      </c>
      <c r="AZ302" s="22">
        <v>432.02100000000002</v>
      </c>
      <c r="BA302" s="22">
        <v>-1.70441E-2</v>
      </c>
      <c r="BB302" s="22">
        <v>292</v>
      </c>
      <c r="BC302" s="22">
        <v>1.3696299999999999</v>
      </c>
      <c r="BD302">
        <f t="shared" si="58"/>
        <v>17.0441</v>
      </c>
      <c r="BE302">
        <f t="shared" si="59"/>
        <v>23.357064199</v>
      </c>
    </row>
    <row r="303" spans="6:57">
      <c r="F303" s="9"/>
      <c r="G303" s="22">
        <v>0.40466299999999999</v>
      </c>
      <c r="H303" s="22">
        <v>44.898600000000002</v>
      </c>
      <c r="I303" s="22">
        <v>-1.77673E-2</v>
      </c>
      <c r="J303" s="22">
        <v>293</v>
      </c>
      <c r="K303" s="22">
        <v>0.40399200000000002</v>
      </c>
      <c r="L303">
        <f t="shared" si="48"/>
        <v>17.767299999999999</v>
      </c>
      <c r="M303">
        <f t="shared" si="49"/>
        <v>7.1897689198999997</v>
      </c>
      <c r="N303" s="9"/>
      <c r="O303" s="22">
        <v>1.3754299999999999</v>
      </c>
      <c r="P303" s="22">
        <v>102.208</v>
      </c>
      <c r="Q303" s="22">
        <v>-1.6958600000000001E-2</v>
      </c>
      <c r="R303" s="22">
        <v>293</v>
      </c>
      <c r="S303" s="22">
        <v>1.3738999999999999</v>
      </c>
      <c r="T303">
        <f t="shared" si="50"/>
        <v>16.958600000000001</v>
      </c>
      <c r="U303">
        <f t="shared" si="51"/>
        <v>23.325367197999999</v>
      </c>
      <c r="X303" s="9"/>
      <c r="Y303" s="22">
        <v>0.40466299999999999</v>
      </c>
      <c r="Z303" s="22">
        <v>192.36699999999999</v>
      </c>
      <c r="AA303" s="22">
        <v>-1.78741E-2</v>
      </c>
      <c r="AB303" s="22">
        <v>293</v>
      </c>
      <c r="AC303" s="22">
        <v>0.40389999999999998</v>
      </c>
      <c r="AD303">
        <f t="shared" si="52"/>
        <v>17.874100000000002</v>
      </c>
      <c r="AE303">
        <f t="shared" si="53"/>
        <v>7.2329869283000008</v>
      </c>
      <c r="AF303" s="9"/>
      <c r="AG303" s="22">
        <v>1.3754299999999999</v>
      </c>
      <c r="AH303" s="22">
        <v>306.68</v>
      </c>
      <c r="AI303" s="22">
        <v>-1.6998300000000001E-2</v>
      </c>
      <c r="AJ303" s="22">
        <v>293</v>
      </c>
      <c r="AK303" s="22">
        <v>1.3748199999999999</v>
      </c>
      <c r="AL303">
        <f t="shared" si="54"/>
        <v>16.9983</v>
      </c>
      <c r="AM303">
        <f t="shared" si="55"/>
        <v>23.379971769000001</v>
      </c>
      <c r="AP303" s="9"/>
      <c r="AQ303" s="22">
        <v>0.40466299999999999</v>
      </c>
      <c r="AR303" s="22">
        <v>379.69299999999998</v>
      </c>
      <c r="AS303" s="22">
        <v>-1.79291E-2</v>
      </c>
      <c r="AT303" s="22">
        <v>293</v>
      </c>
      <c r="AU303" s="22">
        <v>0.40396100000000001</v>
      </c>
      <c r="AV303">
        <f t="shared" si="56"/>
        <v>17.929099999999998</v>
      </c>
      <c r="AW303">
        <f t="shared" si="57"/>
        <v>7.2552433932999989</v>
      </c>
      <c r="AX303" s="9"/>
      <c r="AY303" s="22">
        <v>1.3754299999999999</v>
      </c>
      <c r="AZ303" s="22">
        <v>432.12200000000001</v>
      </c>
      <c r="BA303" s="22">
        <v>-1.7038000000000001E-2</v>
      </c>
      <c r="BB303" s="22">
        <v>293</v>
      </c>
      <c r="BC303" s="22">
        <v>1.3742099999999999</v>
      </c>
      <c r="BD303">
        <f t="shared" si="58"/>
        <v>17.038</v>
      </c>
      <c r="BE303">
        <f t="shared" si="59"/>
        <v>23.43457634</v>
      </c>
    </row>
    <row r="304" spans="6:57">
      <c r="F304" s="9"/>
      <c r="G304" s="22">
        <v>0.39962799999999998</v>
      </c>
      <c r="H304" s="22">
        <v>44.999299999999998</v>
      </c>
      <c r="I304" s="22">
        <v>-1.7773400000000002E-2</v>
      </c>
      <c r="J304" s="22">
        <v>294</v>
      </c>
      <c r="K304" s="22">
        <v>0.39895599999999998</v>
      </c>
      <c r="L304">
        <f t="shared" si="48"/>
        <v>17.773400000000002</v>
      </c>
      <c r="M304">
        <f t="shared" si="49"/>
        <v>7.1027482952000005</v>
      </c>
      <c r="N304" s="9"/>
      <c r="O304" s="22">
        <v>1.38046</v>
      </c>
      <c r="P304" s="22">
        <v>102.309</v>
      </c>
      <c r="Q304" s="22">
        <v>-1.6952499999999999E-2</v>
      </c>
      <c r="R304" s="22">
        <v>294</v>
      </c>
      <c r="S304" s="22">
        <v>1.38</v>
      </c>
      <c r="T304">
        <f t="shared" si="50"/>
        <v>16.952500000000001</v>
      </c>
      <c r="U304">
        <f t="shared" si="51"/>
        <v>23.402248150000002</v>
      </c>
      <c r="X304" s="9"/>
      <c r="Y304" s="22">
        <v>0.39962799999999998</v>
      </c>
      <c r="Z304" s="22">
        <v>192.46799999999999</v>
      </c>
      <c r="AA304" s="22">
        <v>-1.7877199999999999E-2</v>
      </c>
      <c r="AB304" s="22">
        <v>294</v>
      </c>
      <c r="AC304" s="22">
        <v>0.398895</v>
      </c>
      <c r="AD304">
        <f t="shared" si="52"/>
        <v>17.877199999999998</v>
      </c>
      <c r="AE304">
        <f t="shared" si="53"/>
        <v>7.1442296815999988</v>
      </c>
      <c r="AF304" s="9"/>
      <c r="AG304" s="22">
        <v>1.38046</v>
      </c>
      <c r="AH304" s="22">
        <v>306.78100000000001</v>
      </c>
      <c r="AI304" s="22">
        <v>-1.69891E-2</v>
      </c>
      <c r="AJ304" s="22">
        <v>294</v>
      </c>
      <c r="AK304" s="22">
        <v>1.3790899999999999</v>
      </c>
      <c r="AL304">
        <f t="shared" si="54"/>
        <v>16.989100000000001</v>
      </c>
      <c r="AM304">
        <f t="shared" si="55"/>
        <v>23.452772985999999</v>
      </c>
      <c r="AP304" s="9"/>
      <c r="AQ304" s="22">
        <v>0.39962799999999998</v>
      </c>
      <c r="AR304" s="22">
        <v>379.79399999999998</v>
      </c>
      <c r="AS304" s="22">
        <v>-1.79291E-2</v>
      </c>
      <c r="AT304" s="22">
        <v>294</v>
      </c>
      <c r="AU304" s="22">
        <v>0.39883400000000002</v>
      </c>
      <c r="AV304">
        <f t="shared" si="56"/>
        <v>17.929099999999998</v>
      </c>
      <c r="AW304">
        <f t="shared" si="57"/>
        <v>7.1649703747999993</v>
      </c>
      <c r="AX304" s="9"/>
      <c r="AY304" s="22">
        <v>1.38046</v>
      </c>
      <c r="AZ304" s="22">
        <v>432.22300000000001</v>
      </c>
      <c r="BA304" s="22">
        <v>-1.70288E-2</v>
      </c>
      <c r="BB304" s="22">
        <v>294</v>
      </c>
      <c r="BC304" s="22">
        <v>1.3793899999999999</v>
      </c>
      <c r="BD304">
        <f t="shared" si="58"/>
        <v>17.0288</v>
      </c>
      <c r="BE304">
        <f t="shared" si="59"/>
        <v>23.507577248</v>
      </c>
    </row>
    <row r="305" spans="6:57">
      <c r="F305" s="9"/>
      <c r="G305" s="22">
        <v>0.394592</v>
      </c>
      <c r="H305" s="22">
        <v>45.1</v>
      </c>
      <c r="I305" s="22">
        <v>-1.7776500000000001E-2</v>
      </c>
      <c r="J305" s="22">
        <v>295</v>
      </c>
      <c r="K305" s="22">
        <v>0.39407300000000001</v>
      </c>
      <c r="L305">
        <f t="shared" si="48"/>
        <v>17.776500000000002</v>
      </c>
      <c r="M305">
        <f t="shared" si="49"/>
        <v>7.0144646880000012</v>
      </c>
      <c r="N305" s="9"/>
      <c r="O305" s="22">
        <v>1.3855</v>
      </c>
      <c r="P305" s="22">
        <v>102.41</v>
      </c>
      <c r="Q305" s="22">
        <v>-1.6940299999999998E-2</v>
      </c>
      <c r="R305" s="22">
        <v>295</v>
      </c>
      <c r="S305" s="22">
        <v>1.38489</v>
      </c>
      <c r="T305">
        <f t="shared" si="50"/>
        <v>16.940299999999997</v>
      </c>
      <c r="U305">
        <f t="shared" si="51"/>
        <v>23.470785649999996</v>
      </c>
      <c r="X305" s="9"/>
      <c r="Y305" s="22">
        <v>0.394592</v>
      </c>
      <c r="Z305" s="22">
        <v>192.56800000000001</v>
      </c>
      <c r="AA305" s="22">
        <v>-1.7883300000000001E-2</v>
      </c>
      <c r="AB305" s="22">
        <v>295</v>
      </c>
      <c r="AC305" s="22">
        <v>0.39385999999999999</v>
      </c>
      <c r="AD305">
        <f t="shared" si="52"/>
        <v>17.883300000000002</v>
      </c>
      <c r="AE305">
        <f t="shared" si="53"/>
        <v>7.056607113600001</v>
      </c>
      <c r="AF305" s="9"/>
      <c r="AG305" s="22">
        <v>1.3855</v>
      </c>
      <c r="AH305" s="22">
        <v>306.88099999999997</v>
      </c>
      <c r="AI305" s="22">
        <v>-1.6979999999999999E-2</v>
      </c>
      <c r="AJ305" s="22">
        <v>295</v>
      </c>
      <c r="AK305" s="22">
        <v>1.38489</v>
      </c>
      <c r="AL305">
        <f t="shared" si="54"/>
        <v>16.979999999999997</v>
      </c>
      <c r="AM305">
        <f t="shared" si="55"/>
        <v>23.525789999999994</v>
      </c>
      <c r="AP305" s="9"/>
      <c r="AQ305" s="22">
        <v>0.394592</v>
      </c>
      <c r="AR305" s="22">
        <v>379.89400000000001</v>
      </c>
      <c r="AS305" s="22">
        <v>-1.7935199999999998E-2</v>
      </c>
      <c r="AT305" s="22">
        <v>295</v>
      </c>
      <c r="AU305" s="22">
        <v>0.393951</v>
      </c>
      <c r="AV305">
        <f t="shared" si="56"/>
        <v>17.935199999999998</v>
      </c>
      <c r="AW305">
        <f t="shared" si="57"/>
        <v>7.0770864383999994</v>
      </c>
      <c r="AX305" s="9"/>
      <c r="AY305" s="22">
        <v>1.3855</v>
      </c>
      <c r="AZ305" s="22">
        <v>432.32299999999998</v>
      </c>
      <c r="BA305" s="22">
        <v>-1.7022700000000002E-2</v>
      </c>
      <c r="BB305" s="22">
        <v>295</v>
      </c>
      <c r="BC305" s="22">
        <v>1.38489</v>
      </c>
      <c r="BD305">
        <f t="shared" si="58"/>
        <v>17.0227</v>
      </c>
      <c r="BE305">
        <f t="shared" si="59"/>
        <v>23.584950849999998</v>
      </c>
    </row>
    <row r="306" spans="6:57">
      <c r="F306" s="9"/>
      <c r="G306" s="22">
        <v>0.38955699999999999</v>
      </c>
      <c r="H306" s="22">
        <v>45.200699999999998</v>
      </c>
      <c r="I306" s="22">
        <v>-1.7776500000000001E-2</v>
      </c>
      <c r="J306" s="22">
        <v>296</v>
      </c>
      <c r="K306" s="22">
        <v>0.38916000000000001</v>
      </c>
      <c r="L306">
        <f t="shared" si="48"/>
        <v>17.776500000000002</v>
      </c>
      <c r="M306">
        <f t="shared" si="49"/>
        <v>6.9249600105000004</v>
      </c>
      <c r="N306" s="9"/>
      <c r="O306" s="22">
        <v>1.39053</v>
      </c>
      <c r="P306" s="22">
        <v>102.511</v>
      </c>
      <c r="Q306" s="22">
        <v>-1.69312E-2</v>
      </c>
      <c r="R306" s="22">
        <v>296</v>
      </c>
      <c r="S306" s="22">
        <v>1.38947</v>
      </c>
      <c r="T306">
        <f t="shared" si="50"/>
        <v>16.9312</v>
      </c>
      <c r="U306">
        <f t="shared" si="51"/>
        <v>23.543341536</v>
      </c>
      <c r="X306" s="9"/>
      <c r="Y306" s="22">
        <v>0.38955699999999999</v>
      </c>
      <c r="Z306" s="22">
        <v>192.66900000000001</v>
      </c>
      <c r="AA306" s="22">
        <v>-1.78894E-2</v>
      </c>
      <c r="AB306" s="22">
        <v>296</v>
      </c>
      <c r="AC306" s="22">
        <v>0.388733</v>
      </c>
      <c r="AD306">
        <f t="shared" si="52"/>
        <v>17.889399999999998</v>
      </c>
      <c r="AE306">
        <f t="shared" si="53"/>
        <v>6.9689409957999988</v>
      </c>
      <c r="AF306" s="9"/>
      <c r="AG306" s="22">
        <v>1.39053</v>
      </c>
      <c r="AH306" s="22">
        <v>306.98200000000003</v>
      </c>
      <c r="AI306" s="22">
        <v>-1.69739E-2</v>
      </c>
      <c r="AJ306" s="22">
        <v>296</v>
      </c>
      <c r="AK306" s="22">
        <v>1.3897699999999999</v>
      </c>
      <c r="AL306">
        <f t="shared" si="54"/>
        <v>16.9739</v>
      </c>
      <c r="AM306">
        <f t="shared" si="55"/>
        <v>23.602717167000002</v>
      </c>
      <c r="AP306" s="9"/>
      <c r="AQ306" s="22">
        <v>0.38955699999999999</v>
      </c>
      <c r="AR306" s="22">
        <v>379.995</v>
      </c>
      <c r="AS306" s="22">
        <v>-1.79413E-2</v>
      </c>
      <c r="AT306" s="22">
        <v>296</v>
      </c>
      <c r="AU306" s="22">
        <v>0.38888499999999998</v>
      </c>
      <c r="AV306">
        <f t="shared" si="56"/>
        <v>17.941300000000002</v>
      </c>
      <c r="AW306">
        <f t="shared" si="57"/>
        <v>6.9891590041000002</v>
      </c>
      <c r="AX306" s="9"/>
      <c r="AY306" s="22">
        <v>1.39053</v>
      </c>
      <c r="AZ306" s="22">
        <v>432.42399999999998</v>
      </c>
      <c r="BA306" s="22">
        <v>-1.7019699999999999E-2</v>
      </c>
      <c r="BB306" s="22">
        <v>296</v>
      </c>
      <c r="BC306" s="22">
        <v>1.3897699999999999</v>
      </c>
      <c r="BD306">
        <f t="shared" si="58"/>
        <v>17.0197</v>
      </c>
      <c r="BE306">
        <f t="shared" si="59"/>
        <v>23.666403441</v>
      </c>
    </row>
    <row r="307" spans="6:57">
      <c r="F307" s="9"/>
      <c r="G307" s="22">
        <v>0.384521</v>
      </c>
      <c r="H307" s="22">
        <v>45.301400000000001</v>
      </c>
      <c r="I307" s="22">
        <v>-1.7782599999999999E-2</v>
      </c>
      <c r="J307" s="22">
        <v>297</v>
      </c>
      <c r="K307" s="22">
        <v>0.38378899999999999</v>
      </c>
      <c r="L307">
        <f t="shared" si="48"/>
        <v>17.782599999999999</v>
      </c>
      <c r="M307">
        <f t="shared" si="49"/>
        <v>6.8377831345999995</v>
      </c>
      <c r="N307" s="9"/>
      <c r="O307" s="22">
        <v>1.39557</v>
      </c>
      <c r="P307" s="22">
        <v>102.611</v>
      </c>
      <c r="Q307" s="22">
        <v>-1.69342E-2</v>
      </c>
      <c r="R307" s="22">
        <v>297</v>
      </c>
      <c r="S307" s="22">
        <v>1.39496</v>
      </c>
      <c r="T307">
        <f t="shared" si="50"/>
        <v>16.934200000000001</v>
      </c>
      <c r="U307">
        <f t="shared" si="51"/>
        <v>23.632861494</v>
      </c>
      <c r="X307" s="9"/>
      <c r="Y307" s="22">
        <v>0.384521</v>
      </c>
      <c r="Z307" s="22">
        <v>192.77</v>
      </c>
      <c r="AA307" s="22">
        <v>-1.78894E-2</v>
      </c>
      <c r="AB307" s="22">
        <v>297</v>
      </c>
      <c r="AC307" s="22">
        <v>0.38403300000000001</v>
      </c>
      <c r="AD307">
        <f t="shared" si="52"/>
        <v>17.889399999999998</v>
      </c>
      <c r="AE307">
        <f t="shared" si="53"/>
        <v>6.8788499773999998</v>
      </c>
      <c r="AF307" s="9"/>
      <c r="AG307" s="22">
        <v>1.39557</v>
      </c>
      <c r="AH307" s="22">
        <v>307.08300000000003</v>
      </c>
      <c r="AI307" s="22">
        <v>-1.6967800000000002E-2</v>
      </c>
      <c r="AJ307" s="22">
        <v>297</v>
      </c>
      <c r="AK307" s="22">
        <v>1.39496</v>
      </c>
      <c r="AL307">
        <f t="shared" si="54"/>
        <v>16.9678</v>
      </c>
      <c r="AM307">
        <f t="shared" si="55"/>
        <v>23.679752646000001</v>
      </c>
      <c r="AP307" s="9"/>
      <c r="AQ307" s="22">
        <v>0.384521</v>
      </c>
      <c r="AR307" s="22">
        <v>380.096</v>
      </c>
      <c r="AS307" s="22">
        <v>-1.79443E-2</v>
      </c>
      <c r="AT307" s="22">
        <v>297</v>
      </c>
      <c r="AU307" s="22">
        <v>0.38381999999999999</v>
      </c>
      <c r="AV307">
        <f t="shared" si="56"/>
        <v>17.944299999999998</v>
      </c>
      <c r="AW307">
        <f t="shared" si="57"/>
        <v>6.899960180299999</v>
      </c>
      <c r="AX307" s="9"/>
      <c r="AY307" s="22">
        <v>1.39557</v>
      </c>
      <c r="AZ307" s="22">
        <v>432.52499999999998</v>
      </c>
      <c r="BA307" s="22">
        <v>-1.7013500000000001E-2</v>
      </c>
      <c r="BB307" s="22">
        <v>297</v>
      </c>
      <c r="BC307" s="22">
        <v>1.39496</v>
      </c>
      <c r="BD307">
        <f t="shared" si="58"/>
        <v>17.013500000000001</v>
      </c>
      <c r="BE307">
        <f t="shared" si="59"/>
        <v>23.743530195000002</v>
      </c>
    </row>
    <row r="308" spans="6:57">
      <c r="F308" s="9"/>
      <c r="G308" s="22">
        <v>0.37948599999999999</v>
      </c>
      <c r="H308" s="22">
        <v>45.402099999999997</v>
      </c>
      <c r="I308" s="22">
        <v>-1.7785599999999999E-2</v>
      </c>
      <c r="J308" s="22">
        <v>298</v>
      </c>
      <c r="K308" s="22">
        <v>0.37878400000000001</v>
      </c>
      <c r="L308">
        <f t="shared" si="48"/>
        <v>17.785599999999999</v>
      </c>
      <c r="M308">
        <f t="shared" si="49"/>
        <v>6.7493862015999992</v>
      </c>
      <c r="N308" s="9"/>
      <c r="O308" s="22">
        <v>1.4006000000000001</v>
      </c>
      <c r="P308" s="22">
        <v>102.712</v>
      </c>
      <c r="Q308" s="22">
        <v>-1.6924999999999999E-2</v>
      </c>
      <c r="R308" s="22">
        <v>298</v>
      </c>
      <c r="S308" s="22">
        <v>1.39984</v>
      </c>
      <c r="T308">
        <f t="shared" si="50"/>
        <v>16.925000000000001</v>
      </c>
      <c r="U308">
        <f t="shared" si="51"/>
        <v>23.705155000000001</v>
      </c>
      <c r="X308" s="9"/>
      <c r="Y308" s="22">
        <v>0.37948599999999999</v>
      </c>
      <c r="Z308" s="22">
        <v>192.87100000000001</v>
      </c>
      <c r="AA308" s="22">
        <v>-1.7892499999999999E-2</v>
      </c>
      <c r="AB308" s="22">
        <v>298</v>
      </c>
      <c r="AC308" s="22">
        <v>0.37890600000000002</v>
      </c>
      <c r="AD308">
        <f t="shared" si="52"/>
        <v>17.892499999999998</v>
      </c>
      <c r="AE308">
        <f t="shared" si="53"/>
        <v>6.7899532549999995</v>
      </c>
      <c r="AF308" s="9"/>
      <c r="AG308" s="22">
        <v>1.4006000000000001</v>
      </c>
      <c r="AH308" s="22">
        <v>307.18299999999999</v>
      </c>
      <c r="AI308" s="22">
        <v>-1.69617E-2</v>
      </c>
      <c r="AJ308" s="22">
        <v>298</v>
      </c>
      <c r="AK308" s="22">
        <v>1.40015</v>
      </c>
      <c r="AL308">
        <f t="shared" si="54"/>
        <v>16.9617</v>
      </c>
      <c r="AM308">
        <f t="shared" si="55"/>
        <v>23.756557020000002</v>
      </c>
      <c r="AP308" s="9"/>
      <c r="AQ308" s="22">
        <v>0.37948599999999999</v>
      </c>
      <c r="AR308" s="22">
        <v>380.197</v>
      </c>
      <c r="AS308" s="22">
        <v>-1.7947399999999999E-2</v>
      </c>
      <c r="AT308" s="22">
        <v>298</v>
      </c>
      <c r="AU308" s="22">
        <v>0.37878400000000001</v>
      </c>
      <c r="AV308">
        <f t="shared" si="56"/>
        <v>17.947399999999998</v>
      </c>
      <c r="AW308">
        <f t="shared" si="57"/>
        <v>6.8107870363999989</v>
      </c>
      <c r="AX308" s="9"/>
      <c r="AY308" s="22">
        <v>1.4006000000000001</v>
      </c>
      <c r="AZ308" s="22">
        <v>432.625</v>
      </c>
      <c r="BA308" s="22">
        <v>-1.7004399999999999E-2</v>
      </c>
      <c r="BB308" s="22">
        <v>298</v>
      </c>
      <c r="BC308" s="22">
        <v>1.39984</v>
      </c>
      <c r="BD308">
        <f t="shared" si="58"/>
        <v>17.0044</v>
      </c>
      <c r="BE308">
        <f t="shared" si="59"/>
        <v>23.816362640000001</v>
      </c>
    </row>
    <row r="309" spans="6:57">
      <c r="F309" s="9"/>
      <c r="G309" s="22">
        <v>0.37445099999999998</v>
      </c>
      <c r="H309" s="22">
        <v>45.502800000000001</v>
      </c>
      <c r="I309" s="22">
        <v>-1.7788700000000001E-2</v>
      </c>
      <c r="J309" s="22">
        <v>299</v>
      </c>
      <c r="K309" s="22">
        <v>0.37390099999999998</v>
      </c>
      <c r="L309">
        <f t="shared" si="48"/>
        <v>17.788700000000002</v>
      </c>
      <c r="M309">
        <f t="shared" si="49"/>
        <v>6.6609965037000007</v>
      </c>
      <c r="N309" s="9"/>
      <c r="O309" s="22">
        <v>1.40564</v>
      </c>
      <c r="P309" s="22">
        <v>102.813</v>
      </c>
      <c r="Q309" s="22">
        <v>-1.6915900000000001E-2</v>
      </c>
      <c r="R309" s="22">
        <v>299</v>
      </c>
      <c r="S309" s="22">
        <v>1.40503</v>
      </c>
      <c r="T309">
        <f t="shared" si="50"/>
        <v>16.915900000000001</v>
      </c>
      <c r="U309">
        <f t="shared" si="51"/>
        <v>23.777665676000002</v>
      </c>
      <c r="X309" s="9"/>
      <c r="Y309" s="22">
        <v>0.37445099999999998</v>
      </c>
      <c r="Z309" s="22">
        <v>192.971</v>
      </c>
      <c r="AA309" s="22">
        <v>-1.7892499999999999E-2</v>
      </c>
      <c r="AB309" s="22">
        <v>299</v>
      </c>
      <c r="AC309" s="22">
        <v>0.37368800000000002</v>
      </c>
      <c r="AD309">
        <f t="shared" si="52"/>
        <v>17.892499999999998</v>
      </c>
      <c r="AE309">
        <f t="shared" si="53"/>
        <v>6.6998645174999991</v>
      </c>
      <c r="AF309" s="9"/>
      <c r="AG309" s="22">
        <v>1.40564</v>
      </c>
      <c r="AH309" s="22">
        <v>307.28399999999999</v>
      </c>
      <c r="AI309" s="22">
        <v>-1.6958600000000001E-2</v>
      </c>
      <c r="AJ309" s="22">
        <v>299</v>
      </c>
      <c r="AK309" s="22">
        <v>1.40472</v>
      </c>
      <c r="AL309">
        <f t="shared" si="54"/>
        <v>16.958600000000001</v>
      </c>
      <c r="AM309">
        <f t="shared" si="55"/>
        <v>23.837686504000001</v>
      </c>
      <c r="AP309" s="9"/>
      <c r="AQ309" s="22">
        <v>0.37445099999999998</v>
      </c>
      <c r="AR309" s="22">
        <v>380.29700000000003</v>
      </c>
      <c r="AS309" s="22">
        <v>-1.7947399999999999E-2</v>
      </c>
      <c r="AT309" s="22">
        <v>299</v>
      </c>
      <c r="AU309" s="22">
        <v>0.37368800000000002</v>
      </c>
      <c r="AV309">
        <f t="shared" si="56"/>
        <v>17.947399999999998</v>
      </c>
      <c r="AW309">
        <f t="shared" si="57"/>
        <v>6.7204218773999989</v>
      </c>
      <c r="AX309" s="9"/>
      <c r="AY309" s="22">
        <v>1.40564</v>
      </c>
      <c r="AZ309" s="22">
        <v>432.726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0.36941499999999999</v>
      </c>
      <c r="H310" s="22">
        <v>45.603499999999997</v>
      </c>
      <c r="I310" s="22">
        <v>-1.77948E-2</v>
      </c>
      <c r="J310" s="22">
        <v>300</v>
      </c>
      <c r="K310" s="22">
        <v>0.36868299999999998</v>
      </c>
      <c r="L310">
        <f t="shared" si="48"/>
        <v>17.794799999999999</v>
      </c>
      <c r="M310">
        <f t="shared" si="49"/>
        <v>6.5736660419999993</v>
      </c>
      <c r="N310" s="9"/>
      <c r="O310" s="22">
        <v>1.4106799999999999</v>
      </c>
      <c r="P310" s="22">
        <v>102.913</v>
      </c>
      <c r="Q310" s="22">
        <v>-1.6912799999999999E-2</v>
      </c>
      <c r="R310" s="22">
        <v>300</v>
      </c>
      <c r="S310" s="22">
        <v>1.40961</v>
      </c>
      <c r="T310">
        <f t="shared" si="50"/>
        <v>16.912799999999997</v>
      </c>
      <c r="U310">
        <f t="shared" si="51"/>
        <v>23.858548703999993</v>
      </c>
      <c r="X310" s="9"/>
      <c r="Y310" s="22">
        <v>0.36941499999999999</v>
      </c>
      <c r="Z310" s="22">
        <v>193.072</v>
      </c>
      <c r="AA310" s="22">
        <v>-1.7898600000000001E-2</v>
      </c>
      <c r="AB310" s="22">
        <v>300</v>
      </c>
      <c r="AC310" s="22">
        <v>0.36868299999999998</v>
      </c>
      <c r="AD310">
        <f t="shared" si="52"/>
        <v>17.898600000000002</v>
      </c>
      <c r="AE310">
        <f t="shared" si="53"/>
        <v>6.6120113190000005</v>
      </c>
      <c r="AF310" s="9"/>
      <c r="AG310" s="22">
        <v>1.4106799999999999</v>
      </c>
      <c r="AH310" s="22">
        <v>307.38499999999999</v>
      </c>
      <c r="AI310" s="22">
        <v>-1.69464E-2</v>
      </c>
      <c r="AJ310" s="22">
        <v>300</v>
      </c>
      <c r="AK310" s="22">
        <v>1.40991</v>
      </c>
      <c r="AL310">
        <f t="shared" si="54"/>
        <v>16.946400000000001</v>
      </c>
      <c r="AM310">
        <f t="shared" si="55"/>
        <v>23.905947552000001</v>
      </c>
      <c r="AP310" s="9"/>
      <c r="AQ310" s="22">
        <v>0.36941499999999999</v>
      </c>
      <c r="AR310" s="22">
        <v>380.39800000000002</v>
      </c>
      <c r="AS310" s="22">
        <v>-1.7953500000000001E-2</v>
      </c>
      <c r="AT310" s="22">
        <v>300</v>
      </c>
      <c r="AU310" s="22">
        <v>0.36874400000000002</v>
      </c>
      <c r="AV310">
        <f t="shared" si="56"/>
        <v>17.953500000000002</v>
      </c>
      <c r="AW310">
        <f t="shared" si="57"/>
        <v>6.6322922025000004</v>
      </c>
      <c r="AX310" s="9"/>
      <c r="AY310" s="22">
        <v>1.4106799999999999</v>
      </c>
      <c r="AZ310" s="22">
        <v>432.827</v>
      </c>
      <c r="BA310" s="22">
        <v>-1.6986100000000001E-2</v>
      </c>
      <c r="BB310" s="22">
        <v>300</v>
      </c>
      <c r="BC310" s="22">
        <v>1.41022</v>
      </c>
      <c r="BD310">
        <f t="shared" si="58"/>
        <v>16.9861</v>
      </c>
      <c r="BE310">
        <f t="shared" si="59"/>
        <v>23.961951547999998</v>
      </c>
    </row>
    <row r="311" spans="6:57">
      <c r="F311" s="9"/>
      <c r="G311" s="22">
        <v>0.36437999999999998</v>
      </c>
      <c r="H311" s="22">
        <v>45.704300000000003</v>
      </c>
      <c r="I311" s="22">
        <v>-1.7797899999999998E-2</v>
      </c>
      <c r="J311" s="22">
        <v>301</v>
      </c>
      <c r="K311" s="22">
        <v>0.36361700000000002</v>
      </c>
      <c r="L311">
        <f t="shared" si="48"/>
        <v>17.797899999999998</v>
      </c>
      <c r="M311">
        <f t="shared" si="49"/>
        <v>6.4851988019999993</v>
      </c>
      <c r="N311" s="9"/>
      <c r="O311" s="22">
        <v>1.41571</v>
      </c>
      <c r="P311" s="22">
        <v>103.014</v>
      </c>
      <c r="Q311" s="22">
        <v>-1.6900600000000002E-2</v>
      </c>
      <c r="R311" s="22">
        <v>301</v>
      </c>
      <c r="S311" s="22">
        <v>1.4151</v>
      </c>
      <c r="T311">
        <f t="shared" si="50"/>
        <v>16.900600000000001</v>
      </c>
      <c r="U311">
        <f t="shared" si="51"/>
        <v>23.926348426000001</v>
      </c>
      <c r="X311" s="9"/>
      <c r="Y311" s="22">
        <v>0.36437999999999998</v>
      </c>
      <c r="Z311" s="22">
        <v>193.173</v>
      </c>
      <c r="AA311" s="22">
        <v>-1.79016E-2</v>
      </c>
      <c r="AB311" s="22">
        <v>301</v>
      </c>
      <c r="AC311" s="22">
        <v>0.363678</v>
      </c>
      <c r="AD311">
        <f t="shared" si="52"/>
        <v>17.901599999999998</v>
      </c>
      <c r="AE311">
        <f t="shared" si="53"/>
        <v>6.5229850079999991</v>
      </c>
      <c r="AF311" s="9"/>
      <c r="AG311" s="22">
        <v>1.41571</v>
      </c>
      <c r="AH311" s="22">
        <v>307.48599999999999</v>
      </c>
      <c r="AI311" s="22">
        <v>-1.6937299999999999E-2</v>
      </c>
      <c r="AJ311" s="22">
        <v>301</v>
      </c>
      <c r="AK311" s="22">
        <v>1.4154100000000001</v>
      </c>
      <c r="AL311">
        <f t="shared" si="54"/>
        <v>16.9373</v>
      </c>
      <c r="AM311">
        <f t="shared" si="55"/>
        <v>23.978304983000001</v>
      </c>
      <c r="AP311" s="9"/>
      <c r="AQ311" s="22">
        <v>0.36437999999999998</v>
      </c>
      <c r="AR311" s="22">
        <v>380.49900000000002</v>
      </c>
      <c r="AS311" s="22">
        <v>-1.79565E-2</v>
      </c>
      <c r="AT311" s="22">
        <v>301</v>
      </c>
      <c r="AU311" s="22">
        <v>0.363647</v>
      </c>
      <c r="AV311">
        <f t="shared" si="56"/>
        <v>17.956500000000002</v>
      </c>
      <c r="AW311">
        <f t="shared" si="57"/>
        <v>6.5429894700000002</v>
      </c>
      <c r="AX311" s="9"/>
      <c r="AY311" s="22">
        <v>1.41571</v>
      </c>
      <c r="AZ311" s="22">
        <v>432.928</v>
      </c>
      <c r="BA311" s="22">
        <v>-1.6986100000000001E-2</v>
      </c>
      <c r="BB311" s="22">
        <v>301</v>
      </c>
      <c r="BC311" s="22">
        <v>1.41479</v>
      </c>
      <c r="BD311">
        <f t="shared" si="58"/>
        <v>16.9861</v>
      </c>
      <c r="BE311">
        <f t="shared" si="59"/>
        <v>24.047391631</v>
      </c>
    </row>
    <row r="312" spans="6:57">
      <c r="F312" s="9"/>
      <c r="G312" s="22">
        <v>0.359344</v>
      </c>
      <c r="H312" s="22">
        <v>45.805</v>
      </c>
      <c r="I312" s="22">
        <v>-1.7800900000000001E-2</v>
      </c>
      <c r="J312" s="22">
        <v>302</v>
      </c>
      <c r="K312" s="22">
        <v>0.35864299999999999</v>
      </c>
      <c r="L312">
        <f t="shared" si="48"/>
        <v>17.800900000000002</v>
      </c>
      <c r="M312">
        <f t="shared" si="49"/>
        <v>6.3966466096000003</v>
      </c>
      <c r="N312" s="9"/>
      <c r="O312" s="22">
        <v>1.42075</v>
      </c>
      <c r="P312" s="22">
        <v>103.11499999999999</v>
      </c>
      <c r="Q312" s="22">
        <v>-1.6897599999999999E-2</v>
      </c>
      <c r="R312" s="22">
        <v>302</v>
      </c>
      <c r="S312" s="22">
        <v>1.4196800000000001</v>
      </c>
      <c r="T312">
        <f t="shared" si="50"/>
        <v>16.897599999999997</v>
      </c>
      <c r="U312">
        <f t="shared" si="51"/>
        <v>24.007265199999996</v>
      </c>
      <c r="X312" s="9"/>
      <c r="Y312" s="22">
        <v>0.359344</v>
      </c>
      <c r="Z312" s="22">
        <v>193.273</v>
      </c>
      <c r="AA312" s="22">
        <v>-1.7907699999999999E-2</v>
      </c>
      <c r="AB312" s="22">
        <v>302</v>
      </c>
      <c r="AC312" s="22">
        <v>0.358765</v>
      </c>
      <c r="AD312">
        <f t="shared" si="52"/>
        <v>17.907699999999998</v>
      </c>
      <c r="AE312">
        <f t="shared" si="53"/>
        <v>6.4350245487999995</v>
      </c>
      <c r="AF312" s="9"/>
      <c r="AG312" s="22">
        <v>1.42075</v>
      </c>
      <c r="AH312" s="22">
        <v>307.58600000000001</v>
      </c>
      <c r="AI312" s="22">
        <v>-1.6928100000000001E-2</v>
      </c>
      <c r="AJ312" s="22">
        <v>302</v>
      </c>
      <c r="AK312" s="22">
        <v>1.41998</v>
      </c>
      <c r="AL312">
        <f t="shared" si="54"/>
        <v>16.928100000000001</v>
      </c>
      <c r="AM312">
        <f t="shared" si="55"/>
        <v>24.050598075</v>
      </c>
      <c r="AP312" s="9"/>
      <c r="AQ312" s="22">
        <v>0.359344</v>
      </c>
      <c r="AR312" s="22">
        <v>380.59899999999999</v>
      </c>
      <c r="AS312" s="22">
        <v>-1.7959599999999999E-2</v>
      </c>
      <c r="AT312" s="22">
        <v>302</v>
      </c>
      <c r="AU312" s="22">
        <v>0.35858200000000001</v>
      </c>
      <c r="AV312">
        <f t="shared" si="56"/>
        <v>17.959599999999998</v>
      </c>
      <c r="AW312">
        <f t="shared" si="57"/>
        <v>6.4536745023999993</v>
      </c>
      <c r="AX312" s="9"/>
      <c r="AY312" s="22">
        <v>1.42075</v>
      </c>
      <c r="AZ312" s="22">
        <v>433.02800000000002</v>
      </c>
      <c r="BA312" s="22">
        <v>-1.69769E-2</v>
      </c>
      <c r="BB312" s="22">
        <v>302</v>
      </c>
      <c r="BC312" s="22">
        <v>1.41998</v>
      </c>
      <c r="BD312">
        <f t="shared" si="58"/>
        <v>16.976900000000001</v>
      </c>
      <c r="BE312">
        <f t="shared" si="59"/>
        <v>24.119930674999999</v>
      </c>
    </row>
    <row r="313" spans="6:57">
      <c r="F313" s="9"/>
      <c r="G313" s="22">
        <v>0.35430899999999999</v>
      </c>
      <c r="H313" s="22">
        <v>45.905700000000003</v>
      </c>
      <c r="I313" s="22">
        <v>-1.7804E-2</v>
      </c>
      <c r="J313" s="22">
        <v>303</v>
      </c>
      <c r="K313" s="22">
        <v>0.353607</v>
      </c>
      <c r="L313">
        <f t="shared" si="48"/>
        <v>17.804000000000002</v>
      </c>
      <c r="M313">
        <f t="shared" si="49"/>
        <v>6.3081174360000007</v>
      </c>
      <c r="N313" s="9"/>
      <c r="O313" s="22">
        <v>1.42578</v>
      </c>
      <c r="P313" s="22">
        <v>103.21599999999999</v>
      </c>
      <c r="Q313" s="22">
        <v>-1.6888400000000001E-2</v>
      </c>
      <c r="R313" s="22">
        <v>303</v>
      </c>
      <c r="S313" s="22">
        <v>1.42456</v>
      </c>
      <c r="T313">
        <f t="shared" si="50"/>
        <v>16.888400000000001</v>
      </c>
      <c r="U313">
        <f t="shared" si="51"/>
        <v>24.079142952000002</v>
      </c>
      <c r="X313" s="9"/>
      <c r="Y313" s="22">
        <v>0.35430899999999999</v>
      </c>
      <c r="Z313" s="22">
        <v>193.374</v>
      </c>
      <c r="AA313" s="22">
        <v>-1.7913800000000001E-2</v>
      </c>
      <c r="AB313" s="22">
        <v>303</v>
      </c>
      <c r="AC313" s="22">
        <v>0.35363800000000001</v>
      </c>
      <c r="AD313">
        <f t="shared" si="52"/>
        <v>17.913800000000002</v>
      </c>
      <c r="AE313">
        <f t="shared" si="53"/>
        <v>6.3470205642000002</v>
      </c>
      <c r="AF313" s="9"/>
      <c r="AG313" s="22">
        <v>1.42578</v>
      </c>
      <c r="AH313" s="22">
        <v>307.68700000000001</v>
      </c>
      <c r="AI313" s="22">
        <v>-1.6922E-2</v>
      </c>
      <c r="AJ313" s="22">
        <v>303</v>
      </c>
      <c r="AK313" s="22">
        <v>1.4248700000000001</v>
      </c>
      <c r="AL313">
        <f t="shared" si="54"/>
        <v>16.922000000000001</v>
      </c>
      <c r="AM313">
        <f t="shared" si="55"/>
        <v>24.127049160000002</v>
      </c>
      <c r="AP313" s="9"/>
      <c r="AQ313" s="22">
        <v>0.35430899999999999</v>
      </c>
      <c r="AR313" s="22">
        <v>380.7</v>
      </c>
      <c r="AS313" s="22">
        <v>-1.7965700000000001E-2</v>
      </c>
      <c r="AT313" s="22">
        <v>303</v>
      </c>
      <c r="AU313" s="22">
        <v>0.35363800000000001</v>
      </c>
      <c r="AV313">
        <f t="shared" si="56"/>
        <v>17.965700000000002</v>
      </c>
      <c r="AW313">
        <f t="shared" si="57"/>
        <v>6.3654092013000003</v>
      </c>
      <c r="AX313" s="9"/>
      <c r="AY313" s="22">
        <v>1.42578</v>
      </c>
      <c r="AZ313" s="22">
        <v>433.12900000000002</v>
      </c>
      <c r="BA313" s="22">
        <v>-1.6964699999999999E-2</v>
      </c>
      <c r="BB313" s="22">
        <v>303</v>
      </c>
      <c r="BC313" s="22">
        <v>1.4248700000000001</v>
      </c>
      <c r="BD313">
        <f t="shared" si="58"/>
        <v>16.964700000000001</v>
      </c>
      <c r="BE313">
        <f t="shared" si="59"/>
        <v>24.187929966000002</v>
      </c>
    </row>
    <row r="314" spans="6:57">
      <c r="F314" s="9"/>
      <c r="G314" s="22">
        <v>0.34927399999999997</v>
      </c>
      <c r="H314" s="22">
        <v>46.006399999999999</v>
      </c>
      <c r="I314" s="22">
        <v>-1.7804E-2</v>
      </c>
      <c r="J314" s="22">
        <v>304</v>
      </c>
      <c r="K314" s="22">
        <v>0.34860200000000002</v>
      </c>
      <c r="L314">
        <f t="shared" si="48"/>
        <v>17.804000000000002</v>
      </c>
      <c r="M314">
        <f t="shared" si="49"/>
        <v>6.2184742960000001</v>
      </c>
      <c r="N314" s="9"/>
      <c r="O314" s="22">
        <v>1.43082</v>
      </c>
      <c r="P314" s="22">
        <v>103.316</v>
      </c>
      <c r="Q314" s="22">
        <v>-1.6882299999999999E-2</v>
      </c>
      <c r="R314" s="22">
        <v>304</v>
      </c>
      <c r="S314" s="22">
        <v>1.4303600000000001</v>
      </c>
      <c r="T314">
        <f t="shared" si="50"/>
        <v>16.882300000000001</v>
      </c>
      <c r="U314">
        <f t="shared" si="51"/>
        <v>24.155532486000002</v>
      </c>
      <c r="X314" s="9"/>
      <c r="Y314" s="22">
        <v>0.34927399999999997</v>
      </c>
      <c r="Z314" s="22">
        <v>193.47499999999999</v>
      </c>
      <c r="AA314" s="22">
        <v>-1.7919899999999999E-2</v>
      </c>
      <c r="AB314" s="22">
        <v>304</v>
      </c>
      <c r="AC314" s="22">
        <v>0.34860200000000002</v>
      </c>
      <c r="AD314">
        <f t="shared" si="52"/>
        <v>17.919899999999998</v>
      </c>
      <c r="AE314">
        <f t="shared" si="53"/>
        <v>6.2589551525999987</v>
      </c>
      <c r="AF314" s="9"/>
      <c r="AG314" s="22">
        <v>1.43082</v>
      </c>
      <c r="AH314" s="22">
        <v>307.78800000000001</v>
      </c>
      <c r="AI314" s="22">
        <v>-1.6918900000000001E-2</v>
      </c>
      <c r="AJ314" s="22">
        <v>304</v>
      </c>
      <c r="AK314" s="22">
        <v>1.4297500000000001</v>
      </c>
      <c r="AL314">
        <f t="shared" si="54"/>
        <v>16.918900000000001</v>
      </c>
      <c r="AM314">
        <f t="shared" si="55"/>
        <v>24.207900498000001</v>
      </c>
      <c r="AP314" s="9"/>
      <c r="AQ314" s="22">
        <v>0.34927399999999997</v>
      </c>
      <c r="AR314" s="22">
        <v>380.80099999999999</v>
      </c>
      <c r="AS314" s="22">
        <v>-1.79688E-2</v>
      </c>
      <c r="AT314" s="22">
        <v>304</v>
      </c>
      <c r="AU314" s="22">
        <v>0.34851100000000002</v>
      </c>
      <c r="AV314">
        <f t="shared" si="56"/>
        <v>17.968800000000002</v>
      </c>
      <c r="AW314">
        <f t="shared" si="57"/>
        <v>6.2760346511999998</v>
      </c>
      <c r="AX314" s="9"/>
      <c r="AY314" s="22">
        <v>1.43082</v>
      </c>
      <c r="AZ314" s="22">
        <v>433.23</v>
      </c>
      <c r="BA314" s="22">
        <v>-1.6955600000000001E-2</v>
      </c>
      <c r="BB314" s="22">
        <v>304</v>
      </c>
      <c r="BC314" s="22">
        <v>1.43005</v>
      </c>
      <c r="BD314">
        <f t="shared" si="58"/>
        <v>16.9556</v>
      </c>
      <c r="BE314">
        <f t="shared" si="59"/>
        <v>24.260411592000001</v>
      </c>
    </row>
    <row r="315" spans="6:57">
      <c r="F315" s="9"/>
      <c r="G315" s="22">
        <v>0.34423799999999999</v>
      </c>
      <c r="H315" s="22">
        <v>46.107100000000003</v>
      </c>
      <c r="I315" s="22">
        <v>-1.7810099999999999E-2</v>
      </c>
      <c r="J315" s="22">
        <v>305</v>
      </c>
      <c r="K315" s="22">
        <v>0.34347499999999997</v>
      </c>
      <c r="L315">
        <f t="shared" si="48"/>
        <v>17.810099999999998</v>
      </c>
      <c r="M315">
        <f t="shared" si="49"/>
        <v>6.1309132037999996</v>
      </c>
      <c r="N315" s="9"/>
      <c r="O315" s="22">
        <v>1.4358500000000001</v>
      </c>
      <c r="P315" s="22">
        <v>103.417</v>
      </c>
      <c r="Q315" s="22">
        <v>-1.6876200000000001E-2</v>
      </c>
      <c r="R315" s="22">
        <v>305</v>
      </c>
      <c r="S315" s="22">
        <v>1.4352400000000001</v>
      </c>
      <c r="T315">
        <f t="shared" si="50"/>
        <v>16.876200000000001</v>
      </c>
      <c r="U315">
        <f t="shared" si="51"/>
        <v>24.231691770000001</v>
      </c>
      <c r="X315" s="9"/>
      <c r="Y315" s="22">
        <v>0.34423799999999999</v>
      </c>
      <c r="Z315" s="22">
        <v>193.57499999999999</v>
      </c>
      <c r="AA315" s="22">
        <v>-1.7919899999999999E-2</v>
      </c>
      <c r="AB315" s="22">
        <v>305</v>
      </c>
      <c r="AC315" s="22">
        <v>0.34356700000000001</v>
      </c>
      <c r="AD315">
        <f t="shared" si="52"/>
        <v>17.919899999999998</v>
      </c>
      <c r="AE315">
        <f t="shared" si="53"/>
        <v>6.168710536199999</v>
      </c>
      <c r="AF315" s="9"/>
      <c r="AG315" s="22">
        <v>1.4358500000000001</v>
      </c>
      <c r="AH315" s="22">
        <v>307.88799999999998</v>
      </c>
      <c r="AI315" s="22">
        <v>-1.6912799999999999E-2</v>
      </c>
      <c r="AJ315" s="22">
        <v>305</v>
      </c>
      <c r="AK315" s="22">
        <v>1.4346300000000001</v>
      </c>
      <c r="AL315">
        <f t="shared" si="54"/>
        <v>16.912799999999997</v>
      </c>
      <c r="AM315">
        <f t="shared" si="55"/>
        <v>24.284243879999998</v>
      </c>
      <c r="AP315" s="9"/>
      <c r="AQ315" s="22">
        <v>0.34423799999999999</v>
      </c>
      <c r="AR315" s="22">
        <v>380.90199999999999</v>
      </c>
      <c r="AS315" s="22">
        <v>-1.79688E-2</v>
      </c>
      <c r="AT315" s="22">
        <v>305</v>
      </c>
      <c r="AU315" s="22">
        <v>0.34338400000000002</v>
      </c>
      <c r="AV315">
        <f t="shared" si="56"/>
        <v>17.968800000000002</v>
      </c>
      <c r="AW315">
        <f t="shared" si="57"/>
        <v>6.1855437744000001</v>
      </c>
      <c r="AX315" s="9"/>
      <c r="AY315" s="22">
        <v>1.4358500000000001</v>
      </c>
      <c r="AZ315" s="22">
        <v>433.33</v>
      </c>
      <c r="BA315" s="22">
        <v>-1.6949499999999999E-2</v>
      </c>
      <c r="BB315" s="22">
        <v>305</v>
      </c>
      <c r="BC315" s="22">
        <v>1.4349400000000001</v>
      </c>
      <c r="BD315">
        <f t="shared" si="58"/>
        <v>16.9495</v>
      </c>
      <c r="BE315">
        <f t="shared" si="59"/>
        <v>24.336939575000002</v>
      </c>
    </row>
    <row r="316" spans="6:57">
      <c r="F316" s="9"/>
      <c r="G316" s="22">
        <v>0.33920299999999998</v>
      </c>
      <c r="H316" s="22">
        <v>46.207799999999999</v>
      </c>
      <c r="I316" s="22">
        <v>-1.7813099999999998E-2</v>
      </c>
      <c r="J316" s="22">
        <v>306</v>
      </c>
      <c r="K316" s="22">
        <v>0.33853100000000003</v>
      </c>
      <c r="L316">
        <f t="shared" si="48"/>
        <v>17.813099999999999</v>
      </c>
      <c r="M316">
        <f t="shared" si="49"/>
        <v>6.0422569592999995</v>
      </c>
      <c r="N316" s="9"/>
      <c r="O316" s="22">
        <v>1.44089</v>
      </c>
      <c r="P316" s="22">
        <v>103.518</v>
      </c>
      <c r="Q316" s="22">
        <v>-1.6870099999999999E-2</v>
      </c>
      <c r="R316" s="22">
        <v>306</v>
      </c>
      <c r="S316" s="22">
        <v>1.4404300000000001</v>
      </c>
      <c r="T316">
        <f t="shared" si="50"/>
        <v>16.870100000000001</v>
      </c>
      <c r="U316">
        <f t="shared" si="51"/>
        <v>24.307958388999999</v>
      </c>
      <c r="X316" s="9"/>
      <c r="Y316" s="22">
        <v>0.33920299999999998</v>
      </c>
      <c r="Z316" s="22">
        <v>193.67599999999999</v>
      </c>
      <c r="AA316" s="22">
        <v>-1.7926000000000001E-2</v>
      </c>
      <c r="AB316" s="22">
        <v>306</v>
      </c>
      <c r="AC316" s="22">
        <v>0.33856199999999997</v>
      </c>
      <c r="AD316">
        <f t="shared" si="52"/>
        <v>17.926000000000002</v>
      </c>
      <c r="AE316">
        <f t="shared" si="53"/>
        <v>6.0805529780000001</v>
      </c>
      <c r="AF316" s="9"/>
      <c r="AG316" s="22">
        <v>1.44089</v>
      </c>
      <c r="AH316" s="22">
        <v>307.98899999999998</v>
      </c>
      <c r="AI316" s="22">
        <v>-1.6897599999999999E-2</v>
      </c>
      <c r="AJ316" s="22">
        <v>306</v>
      </c>
      <c r="AK316" s="22">
        <v>1.4398200000000001</v>
      </c>
      <c r="AL316">
        <f t="shared" si="54"/>
        <v>16.897599999999997</v>
      </c>
      <c r="AM316">
        <f t="shared" si="55"/>
        <v>24.347582863999996</v>
      </c>
      <c r="AP316" s="9"/>
      <c r="AQ316" s="22">
        <v>0.33920299999999998</v>
      </c>
      <c r="AR316" s="22">
        <v>381.00200000000001</v>
      </c>
      <c r="AS316" s="22">
        <v>-1.79718E-2</v>
      </c>
      <c r="AT316" s="22">
        <v>306</v>
      </c>
      <c r="AU316" s="22">
        <v>0.33844000000000002</v>
      </c>
      <c r="AV316">
        <f t="shared" si="56"/>
        <v>17.971799999999998</v>
      </c>
      <c r="AW316">
        <f t="shared" si="57"/>
        <v>6.0960884753999993</v>
      </c>
      <c r="AX316" s="9"/>
      <c r="AY316" s="22">
        <v>1.44089</v>
      </c>
      <c r="AZ316" s="22">
        <v>433.43099999999998</v>
      </c>
      <c r="BA316" s="22">
        <v>-1.6937299999999999E-2</v>
      </c>
      <c r="BB316" s="22">
        <v>306</v>
      </c>
      <c r="BC316" s="22">
        <v>1.4401200000000001</v>
      </c>
      <c r="BD316">
        <f t="shared" si="58"/>
        <v>16.9373</v>
      </c>
      <c r="BE316">
        <f t="shared" si="59"/>
        <v>24.404786197</v>
      </c>
    </row>
    <row r="317" spans="6:57">
      <c r="F317" s="9"/>
      <c r="G317" s="22">
        <v>0.33416699999999999</v>
      </c>
      <c r="H317" s="22">
        <v>46.308500000000002</v>
      </c>
      <c r="I317" s="22">
        <v>-1.7816200000000001E-2</v>
      </c>
      <c r="J317" s="22">
        <v>307</v>
      </c>
      <c r="K317" s="22">
        <v>0.333588</v>
      </c>
      <c r="L317">
        <f t="shared" si="48"/>
        <v>17.816200000000002</v>
      </c>
      <c r="M317">
        <f t="shared" si="49"/>
        <v>5.9535861054000003</v>
      </c>
      <c r="N317" s="9"/>
      <c r="O317" s="22">
        <v>1.4459200000000001</v>
      </c>
      <c r="P317" s="22">
        <v>103.61799999999999</v>
      </c>
      <c r="Q317" s="22">
        <v>-1.6857899999999999E-2</v>
      </c>
      <c r="R317" s="22">
        <v>307</v>
      </c>
      <c r="S317" s="22">
        <v>1.4447000000000001</v>
      </c>
      <c r="T317">
        <f t="shared" si="50"/>
        <v>16.857899999999997</v>
      </c>
      <c r="U317">
        <f t="shared" si="51"/>
        <v>24.375174767999997</v>
      </c>
      <c r="X317" s="9"/>
      <c r="Y317" s="22">
        <v>0.33416699999999999</v>
      </c>
      <c r="Z317" s="22">
        <v>193.77699999999999</v>
      </c>
      <c r="AA317" s="22">
        <v>-1.7932099999999999E-2</v>
      </c>
      <c r="AB317" s="22">
        <v>307</v>
      </c>
      <c r="AC317" s="22">
        <v>0.33346599999999998</v>
      </c>
      <c r="AD317">
        <f t="shared" si="52"/>
        <v>17.932099999999998</v>
      </c>
      <c r="AE317">
        <f t="shared" si="53"/>
        <v>5.9923160606999994</v>
      </c>
      <c r="AF317" s="9"/>
      <c r="AG317" s="22">
        <v>1.4459200000000001</v>
      </c>
      <c r="AH317" s="22">
        <v>308.08999999999997</v>
      </c>
      <c r="AI317" s="22">
        <v>-1.68915E-2</v>
      </c>
      <c r="AJ317" s="22">
        <v>307</v>
      </c>
      <c r="AK317" s="22">
        <v>1.4453100000000001</v>
      </c>
      <c r="AL317">
        <f t="shared" si="54"/>
        <v>16.891500000000001</v>
      </c>
      <c r="AM317">
        <f t="shared" si="55"/>
        <v>24.423757680000001</v>
      </c>
      <c r="AP317" s="9"/>
      <c r="AQ317" s="22">
        <v>0.33416699999999999</v>
      </c>
      <c r="AR317" s="22">
        <v>381.10300000000001</v>
      </c>
      <c r="AS317" s="22">
        <v>-1.7977900000000002E-2</v>
      </c>
      <c r="AT317" s="22">
        <v>307</v>
      </c>
      <c r="AU317" s="22">
        <v>0.33334399999999997</v>
      </c>
      <c r="AV317">
        <f t="shared" si="56"/>
        <v>17.977900000000002</v>
      </c>
      <c r="AW317">
        <f t="shared" si="57"/>
        <v>6.0076209093000008</v>
      </c>
      <c r="AX317" s="9"/>
      <c r="AY317" s="22">
        <v>1.4459200000000001</v>
      </c>
      <c r="AZ317" s="22">
        <v>433.53199999999998</v>
      </c>
      <c r="BA317" s="22">
        <v>-1.6928100000000001E-2</v>
      </c>
      <c r="BB317" s="22">
        <v>307</v>
      </c>
      <c r="BC317" s="22">
        <v>1.4450099999999999</v>
      </c>
      <c r="BD317">
        <f t="shared" si="58"/>
        <v>16.928100000000001</v>
      </c>
      <c r="BE317">
        <f t="shared" si="59"/>
        <v>24.476678352000004</v>
      </c>
    </row>
    <row r="318" spans="6:57">
      <c r="F318" s="9"/>
      <c r="G318" s="22">
        <v>0.32913199999999998</v>
      </c>
      <c r="H318" s="22">
        <v>46.409199999999998</v>
      </c>
      <c r="I318" s="22">
        <v>-1.78192E-2</v>
      </c>
      <c r="J318" s="22">
        <v>308</v>
      </c>
      <c r="K318" s="22">
        <v>0.32849099999999998</v>
      </c>
      <c r="L318">
        <f t="shared" si="48"/>
        <v>17.819199999999999</v>
      </c>
      <c r="M318">
        <f t="shared" si="49"/>
        <v>5.8648689343999996</v>
      </c>
      <c r="N318" s="9"/>
      <c r="O318" s="22">
        <v>1.45096</v>
      </c>
      <c r="P318" s="22">
        <v>103.71899999999999</v>
      </c>
      <c r="Q318" s="22">
        <v>-1.68518E-2</v>
      </c>
      <c r="R318" s="22">
        <v>308</v>
      </c>
      <c r="S318" s="22">
        <v>1.4504999999999999</v>
      </c>
      <c r="T318">
        <f t="shared" si="50"/>
        <v>16.851800000000001</v>
      </c>
      <c r="U318">
        <f t="shared" si="51"/>
        <v>24.451287728</v>
      </c>
      <c r="X318" s="9"/>
      <c r="Y318" s="22">
        <v>0.32913199999999998</v>
      </c>
      <c r="Z318" s="22">
        <v>193.87799999999999</v>
      </c>
      <c r="AA318" s="22">
        <v>-1.7932099999999999E-2</v>
      </c>
      <c r="AB318" s="22">
        <v>308</v>
      </c>
      <c r="AC318" s="22">
        <v>0.328461</v>
      </c>
      <c r="AD318">
        <f t="shared" si="52"/>
        <v>17.932099999999998</v>
      </c>
      <c r="AE318">
        <f t="shared" si="53"/>
        <v>5.9020279371999989</v>
      </c>
      <c r="AF318" s="9"/>
      <c r="AG318" s="22">
        <v>1.45096</v>
      </c>
      <c r="AH318" s="22">
        <v>308.19099999999997</v>
      </c>
      <c r="AI318" s="22">
        <v>-1.6885399999999998E-2</v>
      </c>
      <c r="AJ318" s="22">
        <v>308</v>
      </c>
      <c r="AK318" s="22">
        <v>1.4501999999999999</v>
      </c>
      <c r="AL318">
        <f t="shared" si="54"/>
        <v>16.885399999999997</v>
      </c>
      <c r="AM318">
        <f t="shared" si="55"/>
        <v>24.500039983999997</v>
      </c>
      <c r="AP318" s="9"/>
      <c r="AQ318" s="22">
        <v>0.32913199999999998</v>
      </c>
      <c r="AR318" s="22">
        <v>381.20400000000001</v>
      </c>
      <c r="AS318" s="22">
        <v>-1.7984E-2</v>
      </c>
      <c r="AT318" s="22">
        <v>308</v>
      </c>
      <c r="AU318" s="22">
        <v>0.32830799999999999</v>
      </c>
      <c r="AV318">
        <f t="shared" si="56"/>
        <v>17.984000000000002</v>
      </c>
      <c r="AW318">
        <f t="shared" si="57"/>
        <v>5.9191098880000004</v>
      </c>
      <c r="AX318" s="9"/>
      <c r="AY318" s="22">
        <v>1.45096</v>
      </c>
      <c r="AZ318" s="22">
        <v>433.63299999999998</v>
      </c>
      <c r="BA318" s="22">
        <v>-1.6924999999999999E-2</v>
      </c>
      <c r="BB318" s="22">
        <v>308</v>
      </c>
      <c r="BC318" s="22">
        <v>1.4504999999999999</v>
      </c>
      <c r="BD318">
        <f t="shared" si="58"/>
        <v>16.925000000000001</v>
      </c>
      <c r="BE318">
        <f t="shared" si="59"/>
        <v>24.557498000000002</v>
      </c>
    </row>
    <row r="319" spans="6:57">
      <c r="F319" s="9"/>
      <c r="G319" s="22">
        <v>0.32409700000000002</v>
      </c>
      <c r="H319" s="22">
        <v>46.509900000000002</v>
      </c>
      <c r="I319" s="22">
        <v>-1.7822299999999999E-2</v>
      </c>
      <c r="J319" s="22">
        <v>309</v>
      </c>
      <c r="K319" s="22">
        <v>0.32342500000000002</v>
      </c>
      <c r="L319">
        <f t="shared" si="48"/>
        <v>17.822299999999998</v>
      </c>
      <c r="M319">
        <f t="shared" si="49"/>
        <v>5.7761539630999996</v>
      </c>
      <c r="N319" s="9"/>
      <c r="O319" s="22">
        <v>1.4559899999999999</v>
      </c>
      <c r="P319" s="22">
        <v>103.82</v>
      </c>
      <c r="Q319" s="22">
        <v>-1.6833500000000001E-2</v>
      </c>
      <c r="R319" s="22">
        <v>309</v>
      </c>
      <c r="S319" s="22">
        <v>1.4553799999999999</v>
      </c>
      <c r="T319">
        <f t="shared" si="50"/>
        <v>16.833500000000001</v>
      </c>
      <c r="U319">
        <f t="shared" si="51"/>
        <v>24.509407664999998</v>
      </c>
      <c r="X319" s="9"/>
      <c r="Y319" s="22">
        <v>0.32409700000000002</v>
      </c>
      <c r="Z319" s="22">
        <v>193.97800000000001</v>
      </c>
      <c r="AA319" s="22">
        <v>-1.7935199999999998E-2</v>
      </c>
      <c r="AB319" s="22">
        <v>309</v>
      </c>
      <c r="AC319" s="22">
        <v>0.32342500000000002</v>
      </c>
      <c r="AD319">
        <f t="shared" si="52"/>
        <v>17.935199999999998</v>
      </c>
      <c r="AE319">
        <f t="shared" si="53"/>
        <v>5.8127445144000003</v>
      </c>
      <c r="AF319" s="9"/>
      <c r="AG319" s="22">
        <v>1.4559899999999999</v>
      </c>
      <c r="AH319" s="22">
        <v>308.291</v>
      </c>
      <c r="AI319" s="22">
        <v>-1.6876200000000001E-2</v>
      </c>
      <c r="AJ319" s="22">
        <v>309</v>
      </c>
      <c r="AK319" s="22">
        <v>1.4553799999999999</v>
      </c>
      <c r="AL319">
        <f t="shared" si="54"/>
        <v>16.876200000000001</v>
      </c>
      <c r="AM319">
        <f t="shared" si="55"/>
        <v>24.571578438</v>
      </c>
      <c r="AP319" s="9"/>
      <c r="AQ319" s="22">
        <v>0.32409700000000002</v>
      </c>
      <c r="AR319" s="22">
        <v>381.30399999999997</v>
      </c>
      <c r="AS319" s="22">
        <v>-1.7987099999999999E-2</v>
      </c>
      <c r="AT319" s="22">
        <v>309</v>
      </c>
      <c r="AU319" s="22">
        <v>0.32324199999999997</v>
      </c>
      <c r="AV319">
        <f t="shared" si="56"/>
        <v>17.987099999999998</v>
      </c>
      <c r="AW319">
        <f t="shared" si="57"/>
        <v>5.8295651486999995</v>
      </c>
      <c r="AX319" s="9"/>
      <c r="AY319" s="22">
        <v>1.4559899999999999</v>
      </c>
      <c r="AZ319" s="22">
        <v>433.733</v>
      </c>
      <c r="BA319" s="22">
        <v>-1.6918900000000001E-2</v>
      </c>
      <c r="BB319" s="22">
        <v>309</v>
      </c>
      <c r="BC319" s="22">
        <v>1.4550799999999999</v>
      </c>
      <c r="BD319">
        <f t="shared" si="58"/>
        <v>16.918900000000001</v>
      </c>
      <c r="BE319">
        <f t="shared" si="59"/>
        <v>24.633749210999998</v>
      </c>
    </row>
    <row r="320" spans="6:57">
      <c r="F320" s="9"/>
      <c r="G320" s="22">
        <v>0.31906099999999998</v>
      </c>
      <c r="H320" s="22">
        <v>46.610599999999998</v>
      </c>
      <c r="I320" s="22">
        <v>-1.7825299999999999E-2</v>
      </c>
      <c r="J320" s="22">
        <v>310</v>
      </c>
      <c r="K320" s="22">
        <v>0.31848100000000001</v>
      </c>
      <c r="L320">
        <f t="shared" si="48"/>
        <v>17.825299999999999</v>
      </c>
      <c r="M320">
        <f t="shared" si="49"/>
        <v>5.6873580432999988</v>
      </c>
      <c r="N320" s="9"/>
      <c r="O320" s="22">
        <v>1.4610300000000001</v>
      </c>
      <c r="P320" s="22">
        <v>103.92100000000001</v>
      </c>
      <c r="Q320" s="22">
        <v>-1.6836500000000001E-2</v>
      </c>
      <c r="R320" s="22">
        <v>310</v>
      </c>
      <c r="S320" s="22">
        <v>1.46088</v>
      </c>
      <c r="T320">
        <f t="shared" si="50"/>
        <v>16.836500000000001</v>
      </c>
      <c r="U320">
        <f t="shared" si="51"/>
        <v>24.598631595000001</v>
      </c>
      <c r="X320" s="9"/>
      <c r="Y320" s="22">
        <v>0.31906099999999998</v>
      </c>
      <c r="Z320" s="22">
        <v>194.07900000000001</v>
      </c>
      <c r="AA320" s="22">
        <v>-1.7938200000000001E-2</v>
      </c>
      <c r="AB320" s="22">
        <v>310</v>
      </c>
      <c r="AC320" s="22">
        <v>0.318359</v>
      </c>
      <c r="AD320">
        <f t="shared" si="52"/>
        <v>17.938200000000002</v>
      </c>
      <c r="AE320">
        <f t="shared" si="53"/>
        <v>5.7233800302000004</v>
      </c>
      <c r="AF320" s="9"/>
      <c r="AG320" s="22">
        <v>1.4610300000000001</v>
      </c>
      <c r="AH320" s="22">
        <v>308.392</v>
      </c>
      <c r="AI320" s="22">
        <v>-1.6870099999999999E-2</v>
      </c>
      <c r="AJ320" s="22">
        <v>310</v>
      </c>
      <c r="AK320" s="22">
        <v>1.45966</v>
      </c>
      <c r="AL320">
        <f t="shared" si="54"/>
        <v>16.870100000000001</v>
      </c>
      <c r="AM320">
        <f t="shared" si="55"/>
        <v>24.647722203000001</v>
      </c>
      <c r="AP320" s="9"/>
      <c r="AQ320" s="22">
        <v>0.31906099999999998</v>
      </c>
      <c r="AR320" s="22">
        <v>381.40499999999997</v>
      </c>
      <c r="AS320" s="22">
        <v>-1.7990099999999998E-2</v>
      </c>
      <c r="AT320" s="22">
        <v>310</v>
      </c>
      <c r="AU320" s="22">
        <v>0.31829800000000003</v>
      </c>
      <c r="AV320">
        <f t="shared" si="56"/>
        <v>17.990099999999998</v>
      </c>
      <c r="AW320">
        <f t="shared" si="57"/>
        <v>5.7399392960999993</v>
      </c>
      <c r="AX320" s="9"/>
      <c r="AY320" s="22">
        <v>1.4610300000000001</v>
      </c>
      <c r="AZ320" s="22">
        <v>433.834</v>
      </c>
      <c r="BA320" s="22">
        <v>-1.6915900000000001E-2</v>
      </c>
      <c r="BB320" s="22">
        <v>310</v>
      </c>
      <c r="BC320" s="22">
        <v>1.4599599999999999</v>
      </c>
      <c r="BD320">
        <f t="shared" si="58"/>
        <v>16.915900000000001</v>
      </c>
      <c r="BE320">
        <f t="shared" si="59"/>
        <v>24.714637377000003</v>
      </c>
    </row>
    <row r="321" spans="6:57">
      <c r="F321" s="9"/>
      <c r="G321" s="22">
        <v>0.31402600000000003</v>
      </c>
      <c r="H321" s="22">
        <v>46.711300000000001</v>
      </c>
      <c r="I321" s="22">
        <v>-1.7828400000000001E-2</v>
      </c>
      <c r="J321" s="22">
        <v>311</v>
      </c>
      <c r="K321" s="22">
        <v>0.31332399999999999</v>
      </c>
      <c r="L321">
        <f t="shared" si="48"/>
        <v>17.828400000000002</v>
      </c>
      <c r="M321">
        <f t="shared" si="49"/>
        <v>5.598581138400001</v>
      </c>
      <c r="N321" s="9"/>
      <c r="O321" s="22">
        <v>1.4660599999999999</v>
      </c>
      <c r="P321" s="22">
        <v>104.021</v>
      </c>
      <c r="Q321" s="22">
        <v>-1.6827399999999999E-2</v>
      </c>
      <c r="R321" s="22">
        <v>311</v>
      </c>
      <c r="S321" s="22">
        <v>1.4648399999999999</v>
      </c>
      <c r="T321">
        <f t="shared" si="50"/>
        <v>16.827400000000001</v>
      </c>
      <c r="U321">
        <f t="shared" si="51"/>
        <v>24.669978044</v>
      </c>
      <c r="X321" s="9"/>
      <c r="Y321" s="22">
        <v>0.31402600000000003</v>
      </c>
      <c r="Z321" s="22">
        <v>194.18</v>
      </c>
      <c r="AA321" s="22">
        <v>-1.79413E-2</v>
      </c>
      <c r="AB321" s="22">
        <v>311</v>
      </c>
      <c r="AC321" s="22">
        <v>0.31329299999999999</v>
      </c>
      <c r="AD321">
        <f t="shared" si="52"/>
        <v>17.941300000000002</v>
      </c>
      <c r="AE321">
        <f t="shared" si="53"/>
        <v>5.6340346738000013</v>
      </c>
      <c r="AF321" s="9"/>
      <c r="AG321" s="22">
        <v>1.4660599999999999</v>
      </c>
      <c r="AH321" s="22">
        <v>308.49299999999999</v>
      </c>
      <c r="AI321" s="22">
        <v>-1.6861000000000001E-2</v>
      </c>
      <c r="AJ321" s="22">
        <v>311</v>
      </c>
      <c r="AK321" s="22">
        <v>1.4654499999999999</v>
      </c>
      <c r="AL321">
        <f t="shared" si="54"/>
        <v>16.861000000000001</v>
      </c>
      <c r="AM321">
        <f t="shared" si="55"/>
        <v>24.719237660000001</v>
      </c>
      <c r="AP321" s="9"/>
      <c r="AQ321" s="22">
        <v>0.31402600000000003</v>
      </c>
      <c r="AR321" s="22">
        <v>381.50599999999997</v>
      </c>
      <c r="AS321" s="22">
        <v>-1.7993200000000001E-2</v>
      </c>
      <c r="AT321" s="22">
        <v>311</v>
      </c>
      <c r="AU321" s="22">
        <v>0.31320199999999998</v>
      </c>
      <c r="AV321">
        <f t="shared" si="56"/>
        <v>17.993200000000002</v>
      </c>
      <c r="AW321">
        <f t="shared" si="57"/>
        <v>5.6503326232000006</v>
      </c>
      <c r="AX321" s="9"/>
      <c r="AY321" s="22">
        <v>1.4660599999999999</v>
      </c>
      <c r="AZ321" s="22">
        <v>433.935</v>
      </c>
      <c r="BA321" s="22">
        <v>-1.6903700000000001E-2</v>
      </c>
      <c r="BB321" s="22">
        <v>311</v>
      </c>
      <c r="BC321" s="22">
        <v>1.4648399999999999</v>
      </c>
      <c r="BD321">
        <f t="shared" si="58"/>
        <v>16.903700000000001</v>
      </c>
      <c r="BE321">
        <f t="shared" si="59"/>
        <v>24.781838422</v>
      </c>
    </row>
    <row r="322" spans="6:57">
      <c r="F322" s="9"/>
      <c r="G322" s="22">
        <v>0.30898999999999999</v>
      </c>
      <c r="H322" s="22">
        <v>46.811999999999998</v>
      </c>
      <c r="I322" s="22">
        <v>-1.78345E-2</v>
      </c>
      <c r="J322" s="22">
        <v>312</v>
      </c>
      <c r="K322" s="22">
        <v>0.30828899999999998</v>
      </c>
      <c r="L322">
        <f t="shared" si="48"/>
        <v>17.834499999999998</v>
      </c>
      <c r="M322">
        <f t="shared" si="49"/>
        <v>5.5106821549999996</v>
      </c>
      <c r="N322" s="9"/>
      <c r="O322" s="22">
        <v>1.4711000000000001</v>
      </c>
      <c r="P322" s="22">
        <v>104.122</v>
      </c>
      <c r="Q322" s="22">
        <v>-1.6818199999999998E-2</v>
      </c>
      <c r="R322" s="22">
        <v>312</v>
      </c>
      <c r="S322" s="22">
        <v>1.4700299999999999</v>
      </c>
      <c r="T322">
        <f t="shared" si="50"/>
        <v>16.818199999999997</v>
      </c>
      <c r="U322">
        <f t="shared" si="51"/>
        <v>24.741254019999996</v>
      </c>
      <c r="X322" s="9"/>
      <c r="Y322" s="22">
        <v>0.30898999999999999</v>
      </c>
      <c r="Z322" s="22">
        <v>194.28</v>
      </c>
      <c r="AA322" s="22">
        <v>-1.79443E-2</v>
      </c>
      <c r="AB322" s="22">
        <v>312</v>
      </c>
      <c r="AC322" s="22">
        <v>0.308228</v>
      </c>
      <c r="AD322">
        <f t="shared" si="52"/>
        <v>17.944299999999998</v>
      </c>
      <c r="AE322">
        <f t="shared" si="53"/>
        <v>5.5446092569999994</v>
      </c>
      <c r="AF322" s="9"/>
      <c r="AG322" s="22">
        <v>1.4711000000000001</v>
      </c>
      <c r="AH322" s="22">
        <v>308.59300000000002</v>
      </c>
      <c r="AI322" s="22">
        <v>-1.68518E-2</v>
      </c>
      <c r="AJ322" s="22">
        <v>312</v>
      </c>
      <c r="AK322" s="22">
        <v>1.47034</v>
      </c>
      <c r="AL322">
        <f t="shared" si="54"/>
        <v>16.851800000000001</v>
      </c>
      <c r="AM322">
        <f t="shared" si="55"/>
        <v>24.790682980000003</v>
      </c>
      <c r="AP322" s="9"/>
      <c r="AQ322" s="22">
        <v>0.30898999999999999</v>
      </c>
      <c r="AR322" s="22">
        <v>381.60700000000003</v>
      </c>
      <c r="AS322" s="22">
        <v>-1.79962E-2</v>
      </c>
      <c r="AT322" s="22">
        <v>312</v>
      </c>
      <c r="AU322" s="22">
        <v>0.30831900000000001</v>
      </c>
      <c r="AV322">
        <f t="shared" si="56"/>
        <v>17.996200000000002</v>
      </c>
      <c r="AW322">
        <f t="shared" si="57"/>
        <v>5.5606458380000001</v>
      </c>
      <c r="AX322" s="9"/>
      <c r="AY322" s="22">
        <v>1.4711000000000001</v>
      </c>
      <c r="AZ322" s="22">
        <v>434.03500000000003</v>
      </c>
      <c r="BA322" s="22">
        <v>-1.6903700000000001E-2</v>
      </c>
      <c r="BB322" s="22">
        <v>312</v>
      </c>
      <c r="BC322" s="22">
        <v>1.47034</v>
      </c>
      <c r="BD322">
        <f t="shared" si="58"/>
        <v>16.903700000000001</v>
      </c>
      <c r="BE322">
        <f t="shared" si="59"/>
        <v>24.867033070000002</v>
      </c>
    </row>
    <row r="323" spans="6:57">
      <c r="F323" s="9"/>
      <c r="G323" s="22">
        <v>0.30395499999999998</v>
      </c>
      <c r="H323" s="22">
        <v>46.912799999999997</v>
      </c>
      <c r="I323" s="22">
        <v>-1.78345E-2</v>
      </c>
      <c r="J323" s="22">
        <v>313</v>
      </c>
      <c r="K323" s="22">
        <v>0.30334499999999998</v>
      </c>
      <c r="L323">
        <f t="shared" si="48"/>
        <v>17.834499999999998</v>
      </c>
      <c r="M323">
        <f t="shared" si="49"/>
        <v>5.420885447499999</v>
      </c>
      <c r="N323" s="9"/>
      <c r="O323" s="22">
        <v>1.47614</v>
      </c>
      <c r="P323" s="22">
        <v>104.223</v>
      </c>
      <c r="Q323" s="22">
        <v>-1.68091E-2</v>
      </c>
      <c r="R323" s="22">
        <v>313</v>
      </c>
      <c r="S323" s="22">
        <v>1.4749099999999999</v>
      </c>
      <c r="T323">
        <f t="shared" si="50"/>
        <v>16.809100000000001</v>
      </c>
      <c r="U323">
        <f t="shared" si="51"/>
        <v>24.812584874000002</v>
      </c>
      <c r="X323" s="9"/>
      <c r="Y323" s="22">
        <v>0.30395499999999998</v>
      </c>
      <c r="Z323" s="22">
        <v>194.381</v>
      </c>
      <c r="AA323" s="22">
        <v>-1.7950399999999998E-2</v>
      </c>
      <c r="AB323" s="22">
        <v>313</v>
      </c>
      <c r="AC323" s="22">
        <v>0.30325299999999999</v>
      </c>
      <c r="AD323">
        <f t="shared" si="52"/>
        <v>17.950399999999998</v>
      </c>
      <c r="AE323">
        <f t="shared" si="53"/>
        <v>5.4561138319999989</v>
      </c>
      <c r="AF323" s="9"/>
      <c r="AG323" s="22">
        <v>1.47614</v>
      </c>
      <c r="AH323" s="22">
        <v>308.69400000000002</v>
      </c>
      <c r="AI323" s="22">
        <v>-1.6842699999999999E-2</v>
      </c>
      <c r="AJ323" s="22">
        <v>313</v>
      </c>
      <c r="AK323" s="22">
        <v>1.4755199999999999</v>
      </c>
      <c r="AL323">
        <f t="shared" si="54"/>
        <v>16.842699999999997</v>
      </c>
      <c r="AM323">
        <f t="shared" si="55"/>
        <v>24.862183177999995</v>
      </c>
      <c r="AP323" s="9"/>
      <c r="AQ323" s="22">
        <v>0.30395499999999998</v>
      </c>
      <c r="AR323" s="22">
        <v>381.70699999999999</v>
      </c>
      <c r="AS323" s="22">
        <v>-1.7999299999999999E-2</v>
      </c>
      <c r="AT323" s="22">
        <v>313</v>
      </c>
      <c r="AU323" s="22">
        <v>0.30313099999999998</v>
      </c>
      <c r="AV323">
        <f t="shared" si="56"/>
        <v>17.999299999999998</v>
      </c>
      <c r="AW323">
        <f t="shared" si="57"/>
        <v>5.4709772314999991</v>
      </c>
      <c r="AX323" s="9"/>
      <c r="AY323" s="22">
        <v>1.47614</v>
      </c>
      <c r="AZ323" s="22">
        <v>434.13600000000002</v>
      </c>
      <c r="BA323" s="22">
        <v>-1.6885399999999998E-2</v>
      </c>
      <c r="BB323" s="22">
        <v>313</v>
      </c>
      <c r="BC323" s="22">
        <v>1.4755199999999999</v>
      </c>
      <c r="BD323">
        <f t="shared" si="58"/>
        <v>16.885399999999997</v>
      </c>
      <c r="BE323">
        <f t="shared" si="59"/>
        <v>24.925214355999994</v>
      </c>
    </row>
    <row r="324" spans="6:57">
      <c r="F324" s="9"/>
      <c r="G324" s="22">
        <v>0.29892000000000002</v>
      </c>
      <c r="H324" s="22">
        <v>47.013500000000001</v>
      </c>
      <c r="I324" s="22">
        <v>-1.7843600000000001E-2</v>
      </c>
      <c r="J324" s="22">
        <v>314</v>
      </c>
      <c r="K324" s="22">
        <v>0.29815700000000001</v>
      </c>
      <c r="L324">
        <f t="shared" si="48"/>
        <v>17.843600000000002</v>
      </c>
      <c r="M324">
        <f t="shared" si="49"/>
        <v>5.3338089120000012</v>
      </c>
      <c r="N324" s="9"/>
      <c r="O324" s="22">
        <v>1.4811700000000001</v>
      </c>
      <c r="P324" s="22">
        <v>104.32299999999999</v>
      </c>
      <c r="Q324" s="22">
        <v>-1.6802999999999998E-2</v>
      </c>
      <c r="R324" s="22">
        <v>314</v>
      </c>
      <c r="S324" s="22">
        <v>1.48071</v>
      </c>
      <c r="T324">
        <f t="shared" si="50"/>
        <v>16.802999999999997</v>
      </c>
      <c r="U324">
        <f t="shared" si="51"/>
        <v>24.888099509999996</v>
      </c>
      <c r="X324" s="9"/>
      <c r="Y324" s="22">
        <v>0.29892000000000002</v>
      </c>
      <c r="Z324" s="22">
        <v>194.482</v>
      </c>
      <c r="AA324" s="22">
        <v>-1.7950399999999998E-2</v>
      </c>
      <c r="AB324" s="22">
        <v>314</v>
      </c>
      <c r="AC324" s="22">
        <v>0.29821799999999998</v>
      </c>
      <c r="AD324">
        <f t="shared" si="52"/>
        <v>17.950399999999998</v>
      </c>
      <c r="AE324">
        <f t="shared" si="53"/>
        <v>5.3657335679999996</v>
      </c>
      <c r="AF324" s="9"/>
      <c r="AG324" s="22">
        <v>1.4811700000000001</v>
      </c>
      <c r="AH324" s="22">
        <v>308.79500000000002</v>
      </c>
      <c r="AI324" s="22">
        <v>-1.6833500000000001E-2</v>
      </c>
      <c r="AJ324" s="22">
        <v>314</v>
      </c>
      <c r="AK324" s="22">
        <v>1.48041</v>
      </c>
      <c r="AL324">
        <f t="shared" si="54"/>
        <v>16.833500000000001</v>
      </c>
      <c r="AM324">
        <f t="shared" si="55"/>
        <v>24.933275195000004</v>
      </c>
      <c r="AP324" s="9"/>
      <c r="AQ324" s="22">
        <v>0.29892000000000002</v>
      </c>
      <c r="AR324" s="22">
        <v>381.80799999999999</v>
      </c>
      <c r="AS324" s="22">
        <v>-1.8002299999999999E-2</v>
      </c>
      <c r="AT324" s="22">
        <v>314</v>
      </c>
      <c r="AU324" s="22">
        <v>0.29824800000000001</v>
      </c>
      <c r="AV324">
        <f t="shared" si="56"/>
        <v>18.002299999999998</v>
      </c>
      <c r="AW324">
        <f t="shared" si="57"/>
        <v>5.3812475160000002</v>
      </c>
      <c r="AX324" s="9"/>
      <c r="AY324" s="22">
        <v>1.4811700000000001</v>
      </c>
      <c r="AZ324" s="22">
        <v>434.23700000000002</v>
      </c>
      <c r="BA324" s="22">
        <v>-1.68793E-2</v>
      </c>
      <c r="BB324" s="22">
        <v>314</v>
      </c>
      <c r="BC324" s="22">
        <v>1.48041</v>
      </c>
      <c r="BD324">
        <f t="shared" si="58"/>
        <v>16.879300000000001</v>
      </c>
      <c r="BE324">
        <f t="shared" si="59"/>
        <v>25.001112781000003</v>
      </c>
    </row>
    <row r="325" spans="6:57">
      <c r="F325" s="9"/>
      <c r="G325" s="22">
        <v>0.29388399999999998</v>
      </c>
      <c r="H325" s="22">
        <v>47.114199999999997</v>
      </c>
      <c r="I325" s="22">
        <v>-1.7843600000000001E-2</v>
      </c>
      <c r="J325" s="22">
        <v>315</v>
      </c>
      <c r="K325" s="22">
        <v>0.293182</v>
      </c>
      <c r="L325">
        <f t="shared" si="48"/>
        <v>17.843600000000002</v>
      </c>
      <c r="M325">
        <f t="shared" si="49"/>
        <v>5.2439485424000001</v>
      </c>
      <c r="N325" s="9"/>
      <c r="O325" s="22">
        <v>1.48621</v>
      </c>
      <c r="P325" s="22">
        <v>104.42400000000001</v>
      </c>
      <c r="Q325" s="22">
        <v>-1.67969E-2</v>
      </c>
      <c r="R325" s="22">
        <v>315</v>
      </c>
      <c r="S325" s="22">
        <v>1.48529</v>
      </c>
      <c r="T325">
        <f t="shared" si="50"/>
        <v>16.796900000000001</v>
      </c>
      <c r="U325">
        <f t="shared" si="51"/>
        <v>24.963720749</v>
      </c>
      <c r="X325" s="9"/>
      <c r="Y325" s="22">
        <v>0.29388399999999998</v>
      </c>
      <c r="Z325" s="22">
        <v>194.583</v>
      </c>
      <c r="AA325" s="22">
        <v>-1.7953500000000001E-2</v>
      </c>
      <c r="AB325" s="22">
        <v>315</v>
      </c>
      <c r="AC325" s="22">
        <v>0.29312100000000002</v>
      </c>
      <c r="AD325">
        <f t="shared" si="52"/>
        <v>17.953500000000002</v>
      </c>
      <c r="AE325">
        <f t="shared" si="53"/>
        <v>5.2762463940000002</v>
      </c>
      <c r="AF325" s="9"/>
      <c r="AG325" s="22">
        <v>1.48621</v>
      </c>
      <c r="AH325" s="22">
        <v>308.89499999999998</v>
      </c>
      <c r="AI325" s="22">
        <v>-1.68243E-2</v>
      </c>
      <c r="AJ325" s="22">
        <v>315</v>
      </c>
      <c r="AK325" s="22">
        <v>1.4856</v>
      </c>
      <c r="AL325">
        <f t="shared" si="54"/>
        <v>16.824300000000001</v>
      </c>
      <c r="AM325">
        <f t="shared" si="55"/>
        <v>25.004442903000001</v>
      </c>
      <c r="AP325" s="9"/>
      <c r="AQ325" s="22">
        <v>0.29388399999999998</v>
      </c>
      <c r="AR325" s="22">
        <v>381.90899999999999</v>
      </c>
      <c r="AS325" s="22">
        <v>-1.8005400000000001E-2</v>
      </c>
      <c r="AT325" s="22">
        <v>315</v>
      </c>
      <c r="AU325" s="22">
        <v>0.293213</v>
      </c>
      <c r="AV325">
        <f t="shared" si="56"/>
        <v>18.005400000000002</v>
      </c>
      <c r="AW325">
        <f t="shared" si="57"/>
        <v>5.2914989736000004</v>
      </c>
      <c r="AX325" s="9"/>
      <c r="AY325" s="22">
        <v>1.48621</v>
      </c>
      <c r="AZ325" s="22">
        <v>434.33699999999999</v>
      </c>
      <c r="BA325" s="22">
        <v>-1.6870099999999999E-2</v>
      </c>
      <c r="BB325" s="22">
        <v>315</v>
      </c>
      <c r="BC325" s="22">
        <v>1.4856</v>
      </c>
      <c r="BD325">
        <f t="shared" si="58"/>
        <v>16.870100000000001</v>
      </c>
      <c r="BE325">
        <f t="shared" si="59"/>
        <v>25.072511321</v>
      </c>
    </row>
    <row r="326" spans="6:57">
      <c r="F326" s="9"/>
      <c r="G326" s="22">
        <v>0.28884900000000002</v>
      </c>
      <c r="H326" s="22">
        <v>47.2149</v>
      </c>
      <c r="I326" s="22">
        <v>-1.78497E-2</v>
      </c>
      <c r="J326" s="22">
        <v>316</v>
      </c>
      <c r="K326" s="22">
        <v>0.28823900000000002</v>
      </c>
      <c r="L326">
        <f t="shared" si="48"/>
        <v>17.849699999999999</v>
      </c>
      <c r="M326">
        <f t="shared" si="49"/>
        <v>5.1558679953000004</v>
      </c>
      <c r="N326" s="9"/>
      <c r="O326" s="22">
        <v>1.4912399999999999</v>
      </c>
      <c r="P326" s="22">
        <v>104.52500000000001</v>
      </c>
      <c r="Q326" s="22">
        <v>-1.6790800000000002E-2</v>
      </c>
      <c r="R326" s="22">
        <v>316</v>
      </c>
      <c r="S326" s="22">
        <v>1.49017</v>
      </c>
      <c r="T326">
        <f t="shared" si="50"/>
        <v>16.790800000000001</v>
      </c>
      <c r="U326">
        <f t="shared" si="51"/>
        <v>25.039112591999999</v>
      </c>
      <c r="X326" s="9"/>
      <c r="Y326" s="22">
        <v>0.28884900000000002</v>
      </c>
      <c r="Z326" s="22">
        <v>194.68299999999999</v>
      </c>
      <c r="AA326" s="22">
        <v>-1.7959599999999999E-2</v>
      </c>
      <c r="AB326" s="22">
        <v>316</v>
      </c>
      <c r="AC326" s="22">
        <v>0.28820800000000002</v>
      </c>
      <c r="AD326">
        <f t="shared" si="52"/>
        <v>17.959599999999998</v>
      </c>
      <c r="AE326">
        <f t="shared" si="53"/>
        <v>5.1876125004000002</v>
      </c>
      <c r="AF326" s="9"/>
      <c r="AG326" s="22">
        <v>1.4912399999999999</v>
      </c>
      <c r="AH326" s="22">
        <v>308.99599999999998</v>
      </c>
      <c r="AI326" s="22">
        <v>-1.68121E-2</v>
      </c>
      <c r="AJ326" s="22">
        <v>316</v>
      </c>
      <c r="AK326" s="22">
        <v>1.49048</v>
      </c>
      <c r="AL326">
        <f t="shared" si="54"/>
        <v>16.812100000000001</v>
      </c>
      <c r="AM326">
        <f t="shared" si="55"/>
        <v>25.070876003999999</v>
      </c>
      <c r="AP326" s="9"/>
      <c r="AQ326" s="22">
        <v>0.28884900000000002</v>
      </c>
      <c r="AR326" s="22">
        <v>382.00900000000001</v>
      </c>
      <c r="AS326" s="22">
        <v>-1.8008400000000001E-2</v>
      </c>
      <c r="AT326" s="22">
        <v>316</v>
      </c>
      <c r="AU326" s="22">
        <v>0.28793299999999999</v>
      </c>
      <c r="AV326">
        <f t="shared" si="56"/>
        <v>18.008400000000002</v>
      </c>
      <c r="AW326">
        <f t="shared" si="57"/>
        <v>5.2017083316000008</v>
      </c>
      <c r="AX326" s="9"/>
      <c r="AY326" s="22">
        <v>1.4912399999999999</v>
      </c>
      <c r="AZ326" s="22">
        <v>434.43799999999999</v>
      </c>
      <c r="BA326" s="22">
        <v>-1.6861000000000001E-2</v>
      </c>
      <c r="BB326" s="22">
        <v>316</v>
      </c>
      <c r="BC326" s="22">
        <v>1.49048</v>
      </c>
      <c r="BD326">
        <f t="shared" si="58"/>
        <v>16.861000000000001</v>
      </c>
      <c r="BE326">
        <f t="shared" si="59"/>
        <v>25.143797639999999</v>
      </c>
    </row>
    <row r="327" spans="6:57">
      <c r="F327" s="9"/>
      <c r="G327" s="22">
        <v>0.28381299999999998</v>
      </c>
      <c r="H327" s="22">
        <v>47.315600000000003</v>
      </c>
      <c r="I327" s="22">
        <v>-1.7852799999999999E-2</v>
      </c>
      <c r="J327" s="22">
        <v>317</v>
      </c>
      <c r="K327" s="22">
        <v>0.283142</v>
      </c>
      <c r="L327">
        <f t="shared" si="48"/>
        <v>17.852799999999998</v>
      </c>
      <c r="M327">
        <f t="shared" si="49"/>
        <v>5.0668567263999993</v>
      </c>
      <c r="N327" s="9"/>
      <c r="O327" s="22">
        <v>1.4962800000000001</v>
      </c>
      <c r="P327" s="22">
        <v>104.625</v>
      </c>
      <c r="Q327" s="22">
        <v>-1.67847E-2</v>
      </c>
      <c r="R327" s="22">
        <v>317</v>
      </c>
      <c r="S327" s="22">
        <v>1.4956700000000001</v>
      </c>
      <c r="T327">
        <f t="shared" si="50"/>
        <v>16.784700000000001</v>
      </c>
      <c r="U327">
        <f t="shared" si="51"/>
        <v>25.114610916000004</v>
      </c>
      <c r="X327" s="9"/>
      <c r="Y327" s="22">
        <v>0.28381299999999998</v>
      </c>
      <c r="Z327" s="22">
        <v>194.78399999999999</v>
      </c>
      <c r="AA327" s="22">
        <v>-1.7959599999999999E-2</v>
      </c>
      <c r="AB327" s="22">
        <v>317</v>
      </c>
      <c r="AC327" s="22">
        <v>0.28311199999999997</v>
      </c>
      <c r="AD327">
        <f t="shared" si="52"/>
        <v>17.959599999999998</v>
      </c>
      <c r="AE327">
        <f t="shared" si="53"/>
        <v>5.0971679547999988</v>
      </c>
      <c r="AF327" s="9"/>
      <c r="AG327" s="22">
        <v>1.4962800000000001</v>
      </c>
      <c r="AH327" s="22">
        <v>309.09699999999998</v>
      </c>
      <c r="AI327" s="22">
        <v>-1.6802999999999998E-2</v>
      </c>
      <c r="AJ327" s="22">
        <v>317</v>
      </c>
      <c r="AK327" s="22">
        <v>1.4956700000000001</v>
      </c>
      <c r="AL327">
        <f t="shared" si="54"/>
        <v>16.802999999999997</v>
      </c>
      <c r="AM327">
        <f t="shared" si="55"/>
        <v>25.141992839999997</v>
      </c>
      <c r="AP327" s="9"/>
      <c r="AQ327" s="22">
        <v>0.28381299999999998</v>
      </c>
      <c r="AR327" s="22">
        <v>382.11</v>
      </c>
      <c r="AS327" s="22">
        <v>-1.8014499999999999E-2</v>
      </c>
      <c r="AT327" s="22">
        <v>317</v>
      </c>
      <c r="AU327" s="22">
        <v>0.28320299999999998</v>
      </c>
      <c r="AV327">
        <f t="shared" si="56"/>
        <v>18.014499999999998</v>
      </c>
      <c r="AW327">
        <f t="shared" si="57"/>
        <v>5.112749288499999</v>
      </c>
      <c r="AX327" s="9"/>
      <c r="AY327" s="22">
        <v>1.4962800000000001</v>
      </c>
      <c r="AZ327" s="22">
        <v>434.53899999999999</v>
      </c>
      <c r="BA327" s="22">
        <v>-1.68518E-2</v>
      </c>
      <c r="BB327" s="22">
        <v>317</v>
      </c>
      <c r="BC327" s="22">
        <v>1.4950600000000001</v>
      </c>
      <c r="BD327">
        <f t="shared" si="58"/>
        <v>16.851800000000001</v>
      </c>
      <c r="BE327">
        <f t="shared" si="59"/>
        <v>25.215011304000001</v>
      </c>
    </row>
    <row r="328" spans="6:57">
      <c r="F328" s="9"/>
      <c r="G328" s="22">
        <v>0.27877800000000003</v>
      </c>
      <c r="H328" s="22">
        <v>47.4163</v>
      </c>
      <c r="I328" s="22">
        <v>-1.78589E-2</v>
      </c>
      <c r="J328" s="22">
        <v>318</v>
      </c>
      <c r="K328" s="22">
        <v>0.27813700000000002</v>
      </c>
      <c r="L328">
        <f t="shared" si="48"/>
        <v>17.858900000000002</v>
      </c>
      <c r="M328">
        <f t="shared" si="49"/>
        <v>4.9786684242000012</v>
      </c>
      <c r="N328" s="9"/>
      <c r="O328" s="22">
        <v>1.5013099999999999</v>
      </c>
      <c r="P328" s="22">
        <v>104.726</v>
      </c>
      <c r="Q328" s="22">
        <v>-1.6772499999999999E-2</v>
      </c>
      <c r="R328" s="22">
        <v>318</v>
      </c>
      <c r="S328" s="22">
        <v>1.5005500000000001</v>
      </c>
      <c r="T328">
        <f t="shared" si="50"/>
        <v>16.772500000000001</v>
      </c>
      <c r="U328">
        <f t="shared" si="51"/>
        <v>25.180721975000001</v>
      </c>
      <c r="X328" s="9"/>
      <c r="Y328" s="22">
        <v>0.27877800000000003</v>
      </c>
      <c r="Z328" s="22">
        <v>194.88499999999999</v>
      </c>
      <c r="AA328" s="22">
        <v>-1.7962599999999999E-2</v>
      </c>
      <c r="AB328" s="22">
        <v>318</v>
      </c>
      <c r="AC328" s="22">
        <v>0.27828999999999998</v>
      </c>
      <c r="AD328">
        <f t="shared" si="52"/>
        <v>17.962599999999998</v>
      </c>
      <c r="AE328">
        <f t="shared" si="53"/>
        <v>5.0075777027999999</v>
      </c>
      <c r="AF328" s="9"/>
      <c r="AG328" s="22">
        <v>1.5013099999999999</v>
      </c>
      <c r="AH328" s="22">
        <v>309.19799999999998</v>
      </c>
      <c r="AI328" s="22">
        <v>-1.6793800000000001E-2</v>
      </c>
      <c r="AJ328" s="22">
        <v>318</v>
      </c>
      <c r="AK328" s="22">
        <v>1.5005500000000001</v>
      </c>
      <c r="AL328">
        <f t="shared" si="54"/>
        <v>16.793800000000001</v>
      </c>
      <c r="AM328">
        <f t="shared" si="55"/>
        <v>25.212699877999999</v>
      </c>
      <c r="AP328" s="9"/>
      <c r="AQ328" s="22">
        <v>0.27877800000000003</v>
      </c>
      <c r="AR328" s="22">
        <v>382.21100000000001</v>
      </c>
      <c r="AS328" s="22">
        <v>-1.8017600000000002E-2</v>
      </c>
      <c r="AT328" s="22">
        <v>318</v>
      </c>
      <c r="AU328" s="22">
        <v>0.27816800000000003</v>
      </c>
      <c r="AV328">
        <f t="shared" si="56"/>
        <v>18.017600000000002</v>
      </c>
      <c r="AW328">
        <f t="shared" si="57"/>
        <v>5.0229104928000012</v>
      </c>
      <c r="AX328" s="9"/>
      <c r="AY328" s="22">
        <v>1.5013099999999999</v>
      </c>
      <c r="AZ328" s="22">
        <v>434.64</v>
      </c>
      <c r="BA328" s="22">
        <v>-1.6833500000000001E-2</v>
      </c>
      <c r="BB328" s="22">
        <v>318</v>
      </c>
      <c r="BC328" s="22">
        <v>1.5005500000000001</v>
      </c>
      <c r="BD328">
        <f t="shared" si="58"/>
        <v>16.833500000000001</v>
      </c>
      <c r="BE328">
        <f t="shared" si="59"/>
        <v>25.272301885000001</v>
      </c>
    </row>
    <row r="329" spans="6:57">
      <c r="F329" s="9"/>
      <c r="G329" s="22">
        <v>0.27374300000000001</v>
      </c>
      <c r="H329" s="22">
        <v>47.517000000000003</v>
      </c>
      <c r="I329" s="22">
        <v>-1.78589E-2</v>
      </c>
      <c r="J329" s="22">
        <v>319</v>
      </c>
      <c r="K329" s="22">
        <v>0.27304099999999998</v>
      </c>
      <c r="L329">
        <f t="shared" si="48"/>
        <v>17.858900000000002</v>
      </c>
      <c r="M329">
        <f t="shared" si="49"/>
        <v>4.8887488627000009</v>
      </c>
      <c r="N329" s="9"/>
      <c r="O329" s="22">
        <v>1.5063500000000001</v>
      </c>
      <c r="P329" s="22">
        <v>104.827</v>
      </c>
      <c r="Q329" s="22">
        <v>-1.6763299999999998E-2</v>
      </c>
      <c r="R329" s="22">
        <v>319</v>
      </c>
      <c r="S329" s="22">
        <v>1.5051300000000001</v>
      </c>
      <c r="T329">
        <f t="shared" si="50"/>
        <v>16.763299999999997</v>
      </c>
      <c r="U329">
        <f t="shared" si="51"/>
        <v>25.251396954999997</v>
      </c>
      <c r="X329" s="9"/>
      <c r="Y329" s="22">
        <v>0.27374300000000001</v>
      </c>
      <c r="Z329" s="22">
        <v>194.98500000000001</v>
      </c>
      <c r="AA329" s="22">
        <v>-1.7965700000000001E-2</v>
      </c>
      <c r="AB329" s="22">
        <v>319</v>
      </c>
      <c r="AC329" s="22">
        <v>0.27316299999999999</v>
      </c>
      <c r="AD329">
        <f t="shared" si="52"/>
        <v>17.965700000000002</v>
      </c>
      <c r="AE329">
        <f t="shared" si="53"/>
        <v>4.9179846151000008</v>
      </c>
      <c r="AF329" s="9"/>
      <c r="AG329" s="22">
        <v>1.5063500000000001</v>
      </c>
      <c r="AH329" s="22">
        <v>309.298</v>
      </c>
      <c r="AI329" s="22">
        <v>-1.6778600000000001E-2</v>
      </c>
      <c r="AJ329" s="22">
        <v>319</v>
      </c>
      <c r="AK329" s="22">
        <v>1.50543</v>
      </c>
      <c r="AL329">
        <f t="shared" si="54"/>
        <v>16.778600000000001</v>
      </c>
      <c r="AM329">
        <f t="shared" si="55"/>
        <v>25.274444110000001</v>
      </c>
      <c r="AP329" s="9"/>
      <c r="AQ329" s="22">
        <v>0.27374300000000001</v>
      </c>
      <c r="AR329" s="22">
        <v>382.31099999999998</v>
      </c>
      <c r="AS329" s="22">
        <v>-1.80237E-2</v>
      </c>
      <c r="AT329" s="22">
        <v>319</v>
      </c>
      <c r="AU329" s="22">
        <v>0.27313199999999999</v>
      </c>
      <c r="AV329">
        <f t="shared" si="56"/>
        <v>18.023700000000002</v>
      </c>
      <c r="AW329">
        <f t="shared" si="57"/>
        <v>4.9338617091000003</v>
      </c>
      <c r="AX329" s="9"/>
      <c r="AY329" s="22">
        <v>1.5063500000000001</v>
      </c>
      <c r="AZ329" s="22">
        <v>434.74</v>
      </c>
      <c r="BA329" s="22">
        <v>-1.6818199999999998E-2</v>
      </c>
      <c r="BB329" s="22">
        <v>319</v>
      </c>
      <c r="BC329" s="22">
        <v>1.50543</v>
      </c>
      <c r="BD329">
        <f t="shared" si="58"/>
        <v>16.818199999999997</v>
      </c>
      <c r="BE329">
        <f t="shared" si="59"/>
        <v>25.334095569999999</v>
      </c>
    </row>
    <row r="330" spans="6:57">
      <c r="F330" s="9"/>
      <c r="G330" s="22">
        <v>0.26870699999999997</v>
      </c>
      <c r="H330" s="22">
        <v>47.617699999999999</v>
      </c>
      <c r="I330" s="22">
        <v>-1.78619E-2</v>
      </c>
      <c r="J330" s="22">
        <v>320</v>
      </c>
      <c r="K330" s="22">
        <v>0.26806600000000003</v>
      </c>
      <c r="L330">
        <f t="shared" si="48"/>
        <v>17.861899999999999</v>
      </c>
      <c r="M330">
        <f t="shared" si="49"/>
        <v>4.7996175632999991</v>
      </c>
      <c r="N330" s="9"/>
      <c r="O330" s="22">
        <v>1.5113799999999999</v>
      </c>
      <c r="P330" s="22">
        <v>104.928</v>
      </c>
      <c r="Q330" s="22">
        <v>-1.6751100000000001E-2</v>
      </c>
      <c r="R330" s="22">
        <v>320</v>
      </c>
      <c r="S330" s="22">
        <v>1.5106200000000001</v>
      </c>
      <c r="T330">
        <f t="shared" si="50"/>
        <v>16.751100000000001</v>
      </c>
      <c r="U330">
        <f t="shared" si="51"/>
        <v>25.317277518000001</v>
      </c>
      <c r="X330" s="9"/>
      <c r="Y330" s="22">
        <v>0.26870699999999997</v>
      </c>
      <c r="Z330" s="22">
        <v>195.08600000000001</v>
      </c>
      <c r="AA330" s="22">
        <v>-1.79718E-2</v>
      </c>
      <c r="AB330" s="22">
        <v>320</v>
      </c>
      <c r="AC330" s="22">
        <v>0.26800499999999999</v>
      </c>
      <c r="AD330">
        <f t="shared" si="52"/>
        <v>17.971799999999998</v>
      </c>
      <c r="AE330">
        <f t="shared" si="53"/>
        <v>4.8291484625999992</v>
      </c>
      <c r="AF330" s="9"/>
      <c r="AG330" s="22">
        <v>1.5113799999999999</v>
      </c>
      <c r="AH330" s="22">
        <v>309.399</v>
      </c>
      <c r="AI330" s="22">
        <v>-1.67694E-2</v>
      </c>
      <c r="AJ330" s="22">
        <v>320</v>
      </c>
      <c r="AK330" s="22">
        <v>1.5106200000000001</v>
      </c>
      <c r="AL330">
        <f t="shared" si="54"/>
        <v>16.769400000000001</v>
      </c>
      <c r="AM330">
        <f t="shared" si="55"/>
        <v>25.344935771999999</v>
      </c>
      <c r="AP330" s="9"/>
      <c r="AQ330" s="22">
        <v>0.26870699999999997</v>
      </c>
      <c r="AR330" s="22">
        <v>382.41199999999998</v>
      </c>
      <c r="AS330" s="22">
        <v>-1.80237E-2</v>
      </c>
      <c r="AT330" s="22">
        <v>320</v>
      </c>
      <c r="AU330" s="22">
        <v>0.26788299999999998</v>
      </c>
      <c r="AV330">
        <f t="shared" si="56"/>
        <v>18.023700000000002</v>
      </c>
      <c r="AW330">
        <f t="shared" si="57"/>
        <v>4.8430943558999999</v>
      </c>
      <c r="AX330" s="9"/>
      <c r="AY330" s="22">
        <v>1.5113799999999999</v>
      </c>
      <c r="AZ330" s="22">
        <v>434.84100000000001</v>
      </c>
      <c r="BA330" s="22">
        <v>-1.6806000000000001E-2</v>
      </c>
      <c r="BB330" s="22">
        <v>320</v>
      </c>
      <c r="BC330" s="22">
        <v>1.5106200000000001</v>
      </c>
      <c r="BD330">
        <f t="shared" si="58"/>
        <v>16.806000000000001</v>
      </c>
      <c r="BE330">
        <f t="shared" si="59"/>
        <v>25.40025228</v>
      </c>
    </row>
    <row r="331" spans="6:57">
      <c r="F331" s="9"/>
      <c r="G331" s="22">
        <v>0.26367200000000002</v>
      </c>
      <c r="H331" s="22">
        <v>47.718400000000003</v>
      </c>
      <c r="I331" s="22">
        <v>-1.7864999999999999E-2</v>
      </c>
      <c r="J331" s="22">
        <v>321</v>
      </c>
      <c r="K331" s="22">
        <v>0.26300000000000001</v>
      </c>
      <c r="L331">
        <f t="shared" si="48"/>
        <v>17.864999999999998</v>
      </c>
      <c r="M331">
        <f t="shared" si="49"/>
        <v>4.7105002799999998</v>
      </c>
      <c r="N331" s="9"/>
      <c r="O331" s="22">
        <v>1.5164200000000001</v>
      </c>
      <c r="P331" s="22">
        <v>105.02800000000001</v>
      </c>
      <c r="Q331" s="22">
        <v>-1.6738900000000001E-2</v>
      </c>
      <c r="R331" s="22">
        <v>321</v>
      </c>
      <c r="S331" s="22">
        <v>1.5158100000000001</v>
      </c>
      <c r="T331">
        <f t="shared" si="50"/>
        <v>16.738900000000001</v>
      </c>
      <c r="U331">
        <f t="shared" si="51"/>
        <v>25.383202738000005</v>
      </c>
      <c r="X331" s="9"/>
      <c r="Y331" s="22">
        <v>0.26367200000000002</v>
      </c>
      <c r="Z331" s="22">
        <v>195.18700000000001</v>
      </c>
      <c r="AA331" s="22">
        <v>-1.79718E-2</v>
      </c>
      <c r="AB331" s="22">
        <v>321</v>
      </c>
      <c r="AC331" s="22">
        <v>0.262909</v>
      </c>
      <c r="AD331">
        <f t="shared" si="52"/>
        <v>17.971799999999998</v>
      </c>
      <c r="AE331">
        <f t="shared" si="53"/>
        <v>4.7386604496000002</v>
      </c>
      <c r="AF331" s="9"/>
      <c r="AG331" s="22">
        <v>1.5164200000000001</v>
      </c>
      <c r="AH331" s="22">
        <v>309.5</v>
      </c>
      <c r="AI331" s="22">
        <v>-1.6760299999999999E-2</v>
      </c>
      <c r="AJ331" s="22">
        <v>321</v>
      </c>
      <c r="AK331" s="22">
        <v>1.5155000000000001</v>
      </c>
      <c r="AL331">
        <f t="shared" si="54"/>
        <v>16.760299999999997</v>
      </c>
      <c r="AM331">
        <f t="shared" si="55"/>
        <v>25.415654125999996</v>
      </c>
      <c r="AP331" s="9"/>
      <c r="AQ331" s="22">
        <v>0.26367200000000002</v>
      </c>
      <c r="AR331" s="22">
        <v>382.51299999999998</v>
      </c>
      <c r="AS331" s="22">
        <v>-1.80267E-2</v>
      </c>
      <c r="AT331" s="22">
        <v>321</v>
      </c>
      <c r="AU331" s="22">
        <v>0.26266499999999998</v>
      </c>
      <c r="AV331">
        <f t="shared" si="56"/>
        <v>18.026699999999998</v>
      </c>
      <c r="AW331">
        <f t="shared" si="57"/>
        <v>4.7531360423999995</v>
      </c>
      <c r="AX331" s="9"/>
      <c r="AY331" s="22">
        <v>1.5164200000000001</v>
      </c>
      <c r="AZ331" s="22">
        <v>434.94200000000001</v>
      </c>
      <c r="BA331" s="22">
        <v>-1.67999E-2</v>
      </c>
      <c r="BB331" s="22">
        <v>321</v>
      </c>
      <c r="BC331" s="22">
        <v>1.5158100000000001</v>
      </c>
      <c r="BD331">
        <f t="shared" si="58"/>
        <v>16.799900000000001</v>
      </c>
      <c r="BE331">
        <f t="shared" si="59"/>
        <v>25.475704358000002</v>
      </c>
    </row>
    <row r="332" spans="6:57">
      <c r="F332" s="9"/>
      <c r="G332" s="22">
        <v>0.25863599999999998</v>
      </c>
      <c r="H332" s="22">
        <v>47.819099999999999</v>
      </c>
      <c r="I332" s="22">
        <v>-1.7871100000000001E-2</v>
      </c>
      <c r="J332" s="22">
        <v>322</v>
      </c>
      <c r="K332" s="22">
        <v>0.25781300000000001</v>
      </c>
      <c r="L332">
        <f t="shared" ref="L332:L395" si="60">-I332/$F$2*1000</f>
        <v>17.871100000000002</v>
      </c>
      <c r="M332">
        <f t="shared" ref="M332:M395" si="61">L332*G332</f>
        <v>4.6221098196000003</v>
      </c>
      <c r="N332" s="9"/>
      <c r="O332" s="22">
        <v>1.52145</v>
      </c>
      <c r="P332" s="22">
        <v>105.129</v>
      </c>
      <c r="Q332" s="22">
        <v>-1.6732799999999999E-2</v>
      </c>
      <c r="R332" s="22">
        <v>322</v>
      </c>
      <c r="S332" s="22">
        <v>1.5206900000000001</v>
      </c>
      <c r="T332">
        <f t="shared" ref="T332:T395" si="62">-Q332/$F$2*1000</f>
        <v>16.732799999999997</v>
      </c>
      <c r="U332">
        <f t="shared" ref="U332:U395" si="63">T332*O332</f>
        <v>25.458118559999996</v>
      </c>
      <c r="X332" s="9"/>
      <c r="Y332" s="22">
        <v>0.25863599999999998</v>
      </c>
      <c r="Z332" s="22">
        <v>195.28700000000001</v>
      </c>
      <c r="AA332" s="22">
        <v>-1.7974899999999999E-2</v>
      </c>
      <c r="AB332" s="22">
        <v>322</v>
      </c>
      <c r="AC332" s="22">
        <v>0.25805699999999998</v>
      </c>
      <c r="AD332">
        <f t="shared" ref="AD332:AD395" si="64">-AA332/$F$2*1000</f>
        <v>17.974899999999998</v>
      </c>
      <c r="AE332">
        <f t="shared" ref="AE332:AE395" si="65">AD332*Y332</f>
        <v>4.6489562363999992</v>
      </c>
      <c r="AF332" s="9"/>
      <c r="AG332" s="22">
        <v>1.52145</v>
      </c>
      <c r="AH332" s="22">
        <v>309.60000000000002</v>
      </c>
      <c r="AI332" s="22">
        <v>-1.6747999999999999E-2</v>
      </c>
      <c r="AJ332" s="22">
        <v>322</v>
      </c>
      <c r="AK332" s="22">
        <v>1.5200800000000001</v>
      </c>
      <c r="AL332">
        <f t="shared" ref="AL332:AL395" si="66">-AI332/$F$2*1000</f>
        <v>16.747999999999998</v>
      </c>
      <c r="AM332">
        <f t="shared" ref="AM332:AM395" si="67">AL332*AG332</f>
        <v>25.481244599999997</v>
      </c>
      <c r="AP332" s="9"/>
      <c r="AQ332" s="22">
        <v>0.25863599999999998</v>
      </c>
      <c r="AR332" s="22">
        <v>382.61399999999998</v>
      </c>
      <c r="AS332" s="22">
        <v>-1.8032800000000002E-2</v>
      </c>
      <c r="AT332" s="22">
        <v>322</v>
      </c>
      <c r="AU332" s="22">
        <v>0.25793500000000003</v>
      </c>
      <c r="AV332">
        <f t="shared" ref="AV332:AV395" si="68">-AS332/$F$2*1000</f>
        <v>18.032800000000002</v>
      </c>
      <c r="AW332">
        <f t="shared" ref="AW332:AW395" si="69">AV332*AQ332</f>
        <v>4.6639312608000001</v>
      </c>
      <c r="AX332" s="9"/>
      <c r="AY332" s="22">
        <v>1.52145</v>
      </c>
      <c r="AZ332" s="22">
        <v>435.04199999999997</v>
      </c>
      <c r="BA332" s="22">
        <v>-1.6787699999999999E-2</v>
      </c>
      <c r="BB332" s="22">
        <v>322</v>
      </c>
      <c r="BC332" s="22">
        <v>1.5206900000000001</v>
      </c>
      <c r="BD332">
        <f t="shared" ref="BD332:BD395" si="70">-BA332/$F$2*1000</f>
        <v>16.787699999999997</v>
      </c>
      <c r="BE332">
        <f t="shared" ref="BE332:BE395" si="71">BD332*AY332</f>
        <v>25.541646164999996</v>
      </c>
    </row>
    <row r="333" spans="6:57">
      <c r="F333" s="9"/>
      <c r="G333" s="22">
        <v>0.25360100000000002</v>
      </c>
      <c r="H333" s="22">
        <v>47.919800000000002</v>
      </c>
      <c r="I333" s="22">
        <v>-1.78741E-2</v>
      </c>
      <c r="J333" s="22">
        <v>323</v>
      </c>
      <c r="K333" s="22">
        <v>0.25286900000000001</v>
      </c>
      <c r="L333">
        <f t="shared" si="60"/>
        <v>17.874100000000002</v>
      </c>
      <c r="M333">
        <f t="shared" si="61"/>
        <v>4.5328896341000009</v>
      </c>
      <c r="N333" s="9"/>
      <c r="O333" s="22">
        <v>1.5264899999999999</v>
      </c>
      <c r="P333" s="22">
        <v>105.23</v>
      </c>
      <c r="Q333" s="22">
        <v>-1.6711400000000001E-2</v>
      </c>
      <c r="R333" s="22">
        <v>323</v>
      </c>
      <c r="S333" s="22">
        <v>1.5255700000000001</v>
      </c>
      <c r="T333">
        <f t="shared" si="62"/>
        <v>16.711400000000001</v>
      </c>
      <c r="U333">
        <f t="shared" si="63"/>
        <v>25.509784986</v>
      </c>
      <c r="X333" s="9"/>
      <c r="Y333" s="22">
        <v>0.25360100000000002</v>
      </c>
      <c r="Z333" s="22">
        <v>195.38800000000001</v>
      </c>
      <c r="AA333" s="22">
        <v>-1.7977900000000002E-2</v>
      </c>
      <c r="AB333" s="22">
        <v>323</v>
      </c>
      <c r="AC333" s="22">
        <v>0.25296000000000002</v>
      </c>
      <c r="AD333">
        <f t="shared" si="64"/>
        <v>17.977900000000002</v>
      </c>
      <c r="AE333">
        <f t="shared" si="65"/>
        <v>4.5592134179000006</v>
      </c>
      <c r="AF333" s="9"/>
      <c r="AG333" s="22">
        <v>1.5264899999999999</v>
      </c>
      <c r="AH333" s="22">
        <v>309.70100000000002</v>
      </c>
      <c r="AI333" s="22">
        <v>-1.6738900000000001E-2</v>
      </c>
      <c r="AJ333" s="22">
        <v>323</v>
      </c>
      <c r="AK333" s="22">
        <v>1.5255700000000001</v>
      </c>
      <c r="AL333">
        <f t="shared" si="66"/>
        <v>16.738900000000001</v>
      </c>
      <c r="AM333">
        <f t="shared" si="67"/>
        <v>25.551763461</v>
      </c>
      <c r="AP333" s="9"/>
      <c r="AQ333" s="22">
        <v>0.25360100000000002</v>
      </c>
      <c r="AR333" s="22">
        <v>382.714</v>
      </c>
      <c r="AS333" s="22">
        <v>-1.80389E-2</v>
      </c>
      <c r="AT333" s="22">
        <v>323</v>
      </c>
      <c r="AU333" s="22">
        <v>0.253021</v>
      </c>
      <c r="AV333">
        <f t="shared" si="68"/>
        <v>18.038900000000002</v>
      </c>
      <c r="AW333">
        <f t="shared" si="69"/>
        <v>4.5746830789000006</v>
      </c>
      <c r="AX333" s="9"/>
      <c r="AY333" s="22">
        <v>1.5264899999999999</v>
      </c>
      <c r="AZ333" s="22">
        <v>435.14299999999997</v>
      </c>
      <c r="BA333" s="22">
        <v>-1.6766400000000001E-2</v>
      </c>
      <c r="BB333" s="22">
        <v>323</v>
      </c>
      <c r="BC333" s="22">
        <v>1.5258799999999999</v>
      </c>
      <c r="BD333">
        <f t="shared" si="70"/>
        <v>16.766400000000001</v>
      </c>
      <c r="BE333">
        <f t="shared" si="71"/>
        <v>25.593741936000001</v>
      </c>
    </row>
    <row r="334" spans="6:57">
      <c r="F334" s="9"/>
      <c r="G334" s="22">
        <v>0.24856600000000001</v>
      </c>
      <c r="H334" s="22">
        <v>48.020499999999998</v>
      </c>
      <c r="I334" s="22">
        <v>-1.7880199999999999E-2</v>
      </c>
      <c r="J334" s="22">
        <v>324</v>
      </c>
      <c r="K334" s="22">
        <v>0.24801599999999999</v>
      </c>
      <c r="L334">
        <f t="shared" si="60"/>
        <v>17.880199999999999</v>
      </c>
      <c r="M334">
        <f t="shared" si="61"/>
        <v>4.4444097932000002</v>
      </c>
      <c r="N334" s="9"/>
      <c r="O334" s="22">
        <v>1.53152</v>
      </c>
      <c r="P334" s="22">
        <v>105.33</v>
      </c>
      <c r="Q334" s="22">
        <v>-1.6711400000000001E-2</v>
      </c>
      <c r="R334" s="22">
        <v>324</v>
      </c>
      <c r="S334" s="22">
        <v>1.5310699999999999</v>
      </c>
      <c r="T334">
        <f t="shared" si="62"/>
        <v>16.711400000000001</v>
      </c>
      <c r="U334">
        <f t="shared" si="63"/>
        <v>25.593843328000002</v>
      </c>
      <c r="X334" s="9"/>
      <c r="Y334" s="22">
        <v>0.24856600000000001</v>
      </c>
      <c r="Z334" s="22">
        <v>195.489</v>
      </c>
      <c r="AA334" s="22">
        <v>-1.7981E-2</v>
      </c>
      <c r="AB334" s="22">
        <v>324</v>
      </c>
      <c r="AC334" s="22">
        <v>0.24798600000000001</v>
      </c>
      <c r="AD334">
        <f t="shared" si="64"/>
        <v>17.981000000000002</v>
      </c>
      <c r="AE334">
        <f t="shared" si="65"/>
        <v>4.4694652460000004</v>
      </c>
      <c r="AF334" s="9"/>
      <c r="AG334" s="22">
        <v>1.53152</v>
      </c>
      <c r="AH334" s="22">
        <v>309.80200000000002</v>
      </c>
      <c r="AI334" s="22">
        <v>-1.6720599999999999E-2</v>
      </c>
      <c r="AJ334" s="22">
        <v>324</v>
      </c>
      <c r="AK334" s="22">
        <v>1.5307599999999999</v>
      </c>
      <c r="AL334">
        <f t="shared" si="66"/>
        <v>16.720599999999997</v>
      </c>
      <c r="AM334">
        <f t="shared" si="67"/>
        <v>25.607933311999997</v>
      </c>
      <c r="AP334" s="9"/>
      <c r="AQ334" s="22">
        <v>0.24856600000000001</v>
      </c>
      <c r="AR334" s="22">
        <v>382.815</v>
      </c>
      <c r="AS334" s="22">
        <v>-1.8041999999999999E-2</v>
      </c>
      <c r="AT334" s="22">
        <v>324</v>
      </c>
      <c r="AU334" s="22">
        <v>0.247833</v>
      </c>
      <c r="AV334">
        <f t="shared" si="68"/>
        <v>18.041999999999998</v>
      </c>
      <c r="AW334">
        <f t="shared" si="69"/>
        <v>4.4846277719999996</v>
      </c>
      <c r="AX334" s="9"/>
      <c r="AY334" s="22">
        <v>1.53152</v>
      </c>
      <c r="AZ334" s="22">
        <v>435.24400000000003</v>
      </c>
      <c r="BA334" s="22">
        <v>-1.67572E-2</v>
      </c>
      <c r="BB334" s="22">
        <v>324</v>
      </c>
      <c r="BC334" s="22">
        <v>1.5307599999999999</v>
      </c>
      <c r="BD334">
        <f t="shared" si="70"/>
        <v>16.757200000000001</v>
      </c>
      <c r="BE334">
        <f t="shared" si="71"/>
        <v>25.663986944000001</v>
      </c>
    </row>
    <row r="335" spans="6:57">
      <c r="F335" s="9"/>
      <c r="G335" s="22">
        <v>0.24353</v>
      </c>
      <c r="H335" s="22">
        <v>48.121200000000002</v>
      </c>
      <c r="I335" s="22">
        <v>-1.7883300000000001E-2</v>
      </c>
      <c r="J335" s="22">
        <v>325</v>
      </c>
      <c r="K335" s="22">
        <v>0.24285899999999999</v>
      </c>
      <c r="L335">
        <f t="shared" si="60"/>
        <v>17.883300000000002</v>
      </c>
      <c r="M335">
        <f t="shared" si="61"/>
        <v>4.3551200490000008</v>
      </c>
      <c r="N335" s="9"/>
      <c r="O335" s="22">
        <v>1.5365599999999999</v>
      </c>
      <c r="P335" s="22">
        <v>105.431</v>
      </c>
      <c r="Q335" s="22">
        <v>-1.6696200000000001E-2</v>
      </c>
      <c r="R335" s="22">
        <v>325</v>
      </c>
      <c r="S335" s="22">
        <v>1.5356399999999999</v>
      </c>
      <c r="T335">
        <f t="shared" si="62"/>
        <v>16.696200000000001</v>
      </c>
      <c r="U335">
        <f t="shared" si="63"/>
        <v>25.654713072</v>
      </c>
      <c r="X335" s="9"/>
      <c r="Y335" s="22">
        <v>0.24353</v>
      </c>
      <c r="Z335" s="22">
        <v>195.59</v>
      </c>
      <c r="AA335" s="22">
        <v>-1.7987099999999999E-2</v>
      </c>
      <c r="AB335" s="22">
        <v>325</v>
      </c>
      <c r="AC335" s="22">
        <v>0.24285899999999999</v>
      </c>
      <c r="AD335">
        <f t="shared" si="64"/>
        <v>17.987099999999998</v>
      </c>
      <c r="AE335">
        <f t="shared" si="65"/>
        <v>4.3803984629999997</v>
      </c>
      <c r="AF335" s="9"/>
      <c r="AG335" s="22">
        <v>1.5365599999999999</v>
      </c>
      <c r="AH335" s="22">
        <v>309.90300000000002</v>
      </c>
      <c r="AI335" s="22">
        <v>-1.67023E-2</v>
      </c>
      <c r="AJ335" s="22">
        <v>325</v>
      </c>
      <c r="AK335" s="22">
        <v>1.5359499999999999</v>
      </c>
      <c r="AL335">
        <f t="shared" si="66"/>
        <v>16.702300000000001</v>
      </c>
      <c r="AM335">
        <f t="shared" si="67"/>
        <v>25.664086088000001</v>
      </c>
      <c r="AP335" s="9"/>
      <c r="AQ335" s="22">
        <v>0.24353</v>
      </c>
      <c r="AR335" s="22">
        <v>382.916</v>
      </c>
      <c r="AS335" s="22">
        <v>-1.8044999999999999E-2</v>
      </c>
      <c r="AT335" s="22">
        <v>325</v>
      </c>
      <c r="AU335" s="22">
        <v>0.24288899999999999</v>
      </c>
      <c r="AV335">
        <f t="shared" si="68"/>
        <v>18.044999999999998</v>
      </c>
      <c r="AW335">
        <f t="shared" si="69"/>
        <v>4.3944988499999997</v>
      </c>
      <c r="AX335" s="9"/>
      <c r="AY335" s="22">
        <v>1.5365599999999999</v>
      </c>
      <c r="AZ335" s="22">
        <v>435.34500000000003</v>
      </c>
      <c r="BA335" s="22">
        <v>-1.6735799999999999E-2</v>
      </c>
      <c r="BB335" s="22">
        <v>325</v>
      </c>
      <c r="BC335" s="22">
        <v>1.5353399999999999</v>
      </c>
      <c r="BD335">
        <f t="shared" si="70"/>
        <v>16.735799999999998</v>
      </c>
      <c r="BE335">
        <f t="shared" si="71"/>
        <v>25.715560847999996</v>
      </c>
    </row>
    <row r="336" spans="6:57">
      <c r="F336" s="9"/>
      <c r="G336" s="22">
        <v>0.23849500000000001</v>
      </c>
      <c r="H336" s="22">
        <v>48.222000000000001</v>
      </c>
      <c r="I336" s="22">
        <v>-1.78864E-2</v>
      </c>
      <c r="J336" s="22">
        <v>326</v>
      </c>
      <c r="K336" s="22">
        <v>0.237762</v>
      </c>
      <c r="L336">
        <f t="shared" si="60"/>
        <v>17.886400000000002</v>
      </c>
      <c r="M336">
        <f t="shared" si="61"/>
        <v>4.2658169680000011</v>
      </c>
      <c r="N336" s="9"/>
      <c r="O336" s="22">
        <v>1.5416000000000001</v>
      </c>
      <c r="P336" s="22">
        <v>105.532</v>
      </c>
      <c r="Q336" s="22">
        <v>-1.6684000000000001E-2</v>
      </c>
      <c r="R336" s="22">
        <v>326</v>
      </c>
      <c r="S336" s="22">
        <v>1.54053</v>
      </c>
      <c r="T336">
        <f t="shared" si="62"/>
        <v>16.684000000000001</v>
      </c>
      <c r="U336">
        <f t="shared" si="63"/>
        <v>25.720054400000002</v>
      </c>
      <c r="X336" s="9"/>
      <c r="Y336" s="22">
        <v>0.23849500000000001</v>
      </c>
      <c r="Z336" s="22">
        <v>195.69</v>
      </c>
      <c r="AA336" s="22">
        <v>-1.7990099999999998E-2</v>
      </c>
      <c r="AB336" s="22">
        <v>326</v>
      </c>
      <c r="AC336" s="22">
        <v>0.237793</v>
      </c>
      <c r="AD336">
        <f t="shared" si="64"/>
        <v>17.990099999999998</v>
      </c>
      <c r="AE336">
        <f t="shared" si="65"/>
        <v>4.2905488995000001</v>
      </c>
      <c r="AF336" s="9"/>
      <c r="AG336" s="22">
        <v>1.5416000000000001</v>
      </c>
      <c r="AH336" s="22">
        <v>310.00299999999999</v>
      </c>
      <c r="AI336" s="22">
        <v>-1.6687E-2</v>
      </c>
      <c r="AJ336" s="22">
        <v>326</v>
      </c>
      <c r="AK336" s="22">
        <v>1.54053</v>
      </c>
      <c r="AL336">
        <f t="shared" si="66"/>
        <v>16.687000000000001</v>
      </c>
      <c r="AM336">
        <f t="shared" si="67"/>
        <v>25.724679200000004</v>
      </c>
      <c r="AP336" s="9"/>
      <c r="AQ336" s="22">
        <v>0.23849500000000001</v>
      </c>
      <c r="AR336" s="22">
        <v>383.01600000000002</v>
      </c>
      <c r="AS336" s="22">
        <v>-1.8044999999999999E-2</v>
      </c>
      <c r="AT336" s="22">
        <v>326</v>
      </c>
      <c r="AU336" s="22">
        <v>0.23782300000000001</v>
      </c>
      <c r="AV336">
        <f t="shared" si="68"/>
        <v>18.044999999999998</v>
      </c>
      <c r="AW336">
        <f t="shared" si="69"/>
        <v>4.3036422749999996</v>
      </c>
      <c r="AX336" s="9"/>
      <c r="AY336" s="22">
        <v>1.5416000000000001</v>
      </c>
      <c r="AZ336" s="22">
        <v>435.44499999999999</v>
      </c>
      <c r="BA336" s="22">
        <v>-1.6720599999999999E-2</v>
      </c>
      <c r="BB336" s="22">
        <v>326</v>
      </c>
      <c r="BC336" s="22">
        <v>1.54114</v>
      </c>
      <c r="BD336">
        <f t="shared" si="70"/>
        <v>16.720599999999997</v>
      </c>
      <c r="BE336">
        <f t="shared" si="71"/>
        <v>25.776476959999997</v>
      </c>
    </row>
    <row r="337" spans="6:57">
      <c r="F337" s="9"/>
      <c r="G337" s="22">
        <v>0.233459</v>
      </c>
      <c r="H337" s="22">
        <v>48.322699999999998</v>
      </c>
      <c r="I337" s="22">
        <v>-1.7892499999999999E-2</v>
      </c>
      <c r="J337" s="22">
        <v>327</v>
      </c>
      <c r="K337" s="22">
        <v>0.23291000000000001</v>
      </c>
      <c r="L337">
        <f t="shared" si="60"/>
        <v>17.892499999999998</v>
      </c>
      <c r="M337">
        <f t="shared" si="61"/>
        <v>4.1771651574999993</v>
      </c>
      <c r="N337" s="9"/>
      <c r="O337" s="22">
        <v>1.5466299999999999</v>
      </c>
      <c r="P337" s="22">
        <v>105.633</v>
      </c>
      <c r="Q337" s="22">
        <v>-1.6668700000000002E-2</v>
      </c>
      <c r="R337" s="22">
        <v>327</v>
      </c>
      <c r="S337" s="22">
        <v>1.54633</v>
      </c>
      <c r="T337">
        <f t="shared" si="62"/>
        <v>16.668700000000001</v>
      </c>
      <c r="U337">
        <f t="shared" si="63"/>
        <v>25.780311481000002</v>
      </c>
      <c r="X337" s="9"/>
      <c r="Y337" s="22">
        <v>0.233459</v>
      </c>
      <c r="Z337" s="22">
        <v>195.791</v>
      </c>
      <c r="AA337" s="22">
        <v>-1.7993200000000001E-2</v>
      </c>
      <c r="AB337" s="22">
        <v>327</v>
      </c>
      <c r="AC337" s="22">
        <v>0.23291000000000001</v>
      </c>
      <c r="AD337">
        <f t="shared" si="64"/>
        <v>17.993200000000002</v>
      </c>
      <c r="AE337">
        <f t="shared" si="65"/>
        <v>4.2006744788000008</v>
      </c>
      <c r="AF337" s="9"/>
      <c r="AG337" s="22">
        <v>1.5466299999999999</v>
      </c>
      <c r="AH337" s="22">
        <v>310.10399999999998</v>
      </c>
      <c r="AI337" s="22">
        <v>-1.6668700000000002E-2</v>
      </c>
      <c r="AJ337" s="22">
        <v>327</v>
      </c>
      <c r="AK337" s="22">
        <v>1.54572</v>
      </c>
      <c r="AL337">
        <f t="shared" si="66"/>
        <v>16.668700000000001</v>
      </c>
      <c r="AM337">
        <f t="shared" si="67"/>
        <v>25.780311481000002</v>
      </c>
      <c r="AP337" s="9"/>
      <c r="AQ337" s="22">
        <v>0.233459</v>
      </c>
      <c r="AR337" s="22">
        <v>383.11700000000002</v>
      </c>
      <c r="AS337" s="22">
        <v>-1.80511E-2</v>
      </c>
      <c r="AT337" s="22">
        <v>327</v>
      </c>
      <c r="AU337" s="22">
        <v>0.232819</v>
      </c>
      <c r="AV337">
        <f t="shared" si="68"/>
        <v>18.051100000000002</v>
      </c>
      <c r="AW337">
        <f t="shared" si="69"/>
        <v>4.2141917549000008</v>
      </c>
      <c r="AX337" s="9"/>
      <c r="AY337" s="22">
        <v>1.5466299999999999</v>
      </c>
      <c r="AZ337" s="22">
        <v>435.54599999999999</v>
      </c>
      <c r="BA337" s="22">
        <v>-1.6705299999999999E-2</v>
      </c>
      <c r="BB337" s="22">
        <v>327</v>
      </c>
      <c r="BC337" s="22">
        <v>1.54572</v>
      </c>
      <c r="BD337">
        <f t="shared" si="70"/>
        <v>16.705299999999998</v>
      </c>
      <c r="BE337">
        <f t="shared" si="71"/>
        <v>25.836918138999994</v>
      </c>
    </row>
    <row r="338" spans="6:57">
      <c r="F338" s="9"/>
      <c r="G338" s="22">
        <v>0.22842399999999999</v>
      </c>
      <c r="H338" s="22">
        <v>48.423400000000001</v>
      </c>
      <c r="I338" s="22">
        <v>-1.7895500000000002E-2</v>
      </c>
      <c r="J338" s="22">
        <v>328</v>
      </c>
      <c r="K338" s="22">
        <v>0.227661</v>
      </c>
      <c r="L338">
        <f t="shared" si="60"/>
        <v>17.895500000000002</v>
      </c>
      <c r="M338">
        <f t="shared" si="61"/>
        <v>4.0877616919999999</v>
      </c>
      <c r="N338" s="9"/>
      <c r="O338" s="22">
        <v>1.5516700000000001</v>
      </c>
      <c r="P338" s="22">
        <v>105.733</v>
      </c>
      <c r="Q338" s="22">
        <v>-1.6659500000000001E-2</v>
      </c>
      <c r="R338" s="22">
        <v>328</v>
      </c>
      <c r="S338" s="22">
        <v>1.5506</v>
      </c>
      <c r="T338">
        <f t="shared" si="62"/>
        <v>16.659500000000001</v>
      </c>
      <c r="U338">
        <f t="shared" si="63"/>
        <v>25.850046365000004</v>
      </c>
      <c r="X338" s="9"/>
      <c r="Y338" s="22">
        <v>0.22842399999999999</v>
      </c>
      <c r="Z338" s="22">
        <v>195.892</v>
      </c>
      <c r="AA338" s="22">
        <v>-1.79962E-2</v>
      </c>
      <c r="AB338" s="22">
        <v>328</v>
      </c>
      <c r="AC338" s="22">
        <v>0.22778300000000001</v>
      </c>
      <c r="AD338">
        <f t="shared" si="64"/>
        <v>17.996200000000002</v>
      </c>
      <c r="AE338">
        <f t="shared" si="65"/>
        <v>4.1107639888000005</v>
      </c>
      <c r="AF338" s="9"/>
      <c r="AG338" s="22">
        <v>1.5516700000000001</v>
      </c>
      <c r="AH338" s="22">
        <v>310.20499999999998</v>
      </c>
      <c r="AI338" s="22">
        <v>-1.66473E-2</v>
      </c>
      <c r="AJ338" s="22">
        <v>328</v>
      </c>
      <c r="AK338" s="22">
        <v>1.5515099999999999</v>
      </c>
      <c r="AL338">
        <f t="shared" si="66"/>
        <v>16.647300000000001</v>
      </c>
      <c r="AM338">
        <f t="shared" si="67"/>
        <v>25.831115991000004</v>
      </c>
      <c r="AP338" s="9"/>
      <c r="AQ338" s="22">
        <v>0.22842399999999999</v>
      </c>
      <c r="AR338" s="22">
        <v>383.21800000000002</v>
      </c>
      <c r="AS338" s="22">
        <v>-1.8054199999999999E-2</v>
      </c>
      <c r="AT338" s="22">
        <v>328</v>
      </c>
      <c r="AU338" s="22">
        <v>0.22769200000000001</v>
      </c>
      <c r="AV338">
        <f t="shared" si="68"/>
        <v>18.054199999999998</v>
      </c>
      <c r="AW338">
        <f t="shared" si="69"/>
        <v>4.1240125807999997</v>
      </c>
      <c r="AX338" s="9"/>
      <c r="AY338" s="22">
        <v>1.5516700000000001</v>
      </c>
      <c r="AZ338" s="22">
        <v>435.64699999999999</v>
      </c>
      <c r="BA338" s="22">
        <v>-1.6687E-2</v>
      </c>
      <c r="BB338" s="22">
        <v>328</v>
      </c>
      <c r="BC338" s="22">
        <v>1.5508999999999999</v>
      </c>
      <c r="BD338">
        <f t="shared" si="70"/>
        <v>16.687000000000001</v>
      </c>
      <c r="BE338">
        <f t="shared" si="71"/>
        <v>25.892717290000004</v>
      </c>
    </row>
    <row r="339" spans="6:57">
      <c r="F339" s="9"/>
      <c r="G339" s="22">
        <v>0.223389</v>
      </c>
      <c r="H339" s="22">
        <v>48.524099999999997</v>
      </c>
      <c r="I339" s="22">
        <v>-1.7898600000000001E-2</v>
      </c>
      <c r="J339" s="22">
        <v>329</v>
      </c>
      <c r="K339" s="22">
        <v>0.22280900000000001</v>
      </c>
      <c r="L339">
        <f t="shared" si="60"/>
        <v>17.898600000000002</v>
      </c>
      <c r="M339">
        <f t="shared" si="61"/>
        <v>3.9983503554000004</v>
      </c>
      <c r="N339" s="9"/>
      <c r="O339" s="22">
        <v>1.5567</v>
      </c>
      <c r="P339" s="22">
        <v>105.834</v>
      </c>
      <c r="Q339" s="22">
        <v>-1.66473E-2</v>
      </c>
      <c r="R339" s="22">
        <v>329</v>
      </c>
      <c r="S339" s="22">
        <v>1.55609</v>
      </c>
      <c r="T339">
        <f t="shared" si="62"/>
        <v>16.647300000000001</v>
      </c>
      <c r="U339">
        <f t="shared" si="63"/>
        <v>25.914851910000003</v>
      </c>
      <c r="X339" s="9"/>
      <c r="Y339" s="22">
        <v>0.223389</v>
      </c>
      <c r="Z339" s="22">
        <v>195.99199999999999</v>
      </c>
      <c r="AA339" s="22">
        <v>-1.7999299999999999E-2</v>
      </c>
      <c r="AB339" s="22">
        <v>329</v>
      </c>
      <c r="AC339" s="22">
        <v>0.222778</v>
      </c>
      <c r="AD339">
        <f t="shared" si="64"/>
        <v>17.999299999999998</v>
      </c>
      <c r="AE339">
        <f t="shared" si="65"/>
        <v>4.0208456277</v>
      </c>
      <c r="AF339" s="9"/>
      <c r="AG339" s="22">
        <v>1.5567</v>
      </c>
      <c r="AH339" s="22">
        <v>310.30500000000001</v>
      </c>
      <c r="AI339" s="22">
        <v>-1.6629000000000001E-2</v>
      </c>
      <c r="AJ339" s="22">
        <v>329</v>
      </c>
      <c r="AK339" s="22">
        <v>1.55609</v>
      </c>
      <c r="AL339">
        <f t="shared" si="66"/>
        <v>16.629000000000001</v>
      </c>
      <c r="AM339">
        <f t="shared" si="67"/>
        <v>25.8863643</v>
      </c>
      <c r="AP339" s="9"/>
      <c r="AQ339" s="22">
        <v>0.223389</v>
      </c>
      <c r="AR339" s="22">
        <v>383.31900000000002</v>
      </c>
      <c r="AS339" s="22">
        <v>-1.8057299999999998E-2</v>
      </c>
      <c r="AT339" s="22">
        <v>329</v>
      </c>
      <c r="AU339" s="22">
        <v>0.22293099999999999</v>
      </c>
      <c r="AV339">
        <f t="shared" si="68"/>
        <v>18.057299999999998</v>
      </c>
      <c r="AW339">
        <f t="shared" si="69"/>
        <v>4.0338021896999994</v>
      </c>
      <c r="AX339" s="9"/>
      <c r="AY339" s="22">
        <v>1.5567</v>
      </c>
      <c r="AZ339" s="22">
        <v>435.74700000000001</v>
      </c>
      <c r="BA339" s="22">
        <v>-1.6671800000000001E-2</v>
      </c>
      <c r="BB339" s="22">
        <v>329</v>
      </c>
      <c r="BC339" s="22">
        <v>1.5564</v>
      </c>
      <c r="BD339">
        <f t="shared" si="70"/>
        <v>16.671800000000001</v>
      </c>
      <c r="BE339">
        <f t="shared" si="71"/>
        <v>25.952991060000002</v>
      </c>
    </row>
    <row r="340" spans="6:57">
      <c r="F340" s="9"/>
      <c r="G340" s="22">
        <v>0.21835299999999999</v>
      </c>
      <c r="H340" s="22">
        <v>48.6248</v>
      </c>
      <c r="I340" s="22">
        <v>-1.79016E-2</v>
      </c>
      <c r="J340" s="22">
        <v>330</v>
      </c>
      <c r="K340" s="22">
        <v>0.21771199999999999</v>
      </c>
      <c r="L340">
        <f t="shared" si="60"/>
        <v>17.901599999999998</v>
      </c>
      <c r="M340">
        <f t="shared" si="61"/>
        <v>3.9088680647999996</v>
      </c>
      <c r="N340" s="9"/>
      <c r="O340" s="22">
        <v>1.5617399999999999</v>
      </c>
      <c r="P340" s="22">
        <v>105.935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0.21835299999999999</v>
      </c>
      <c r="Z340" s="22">
        <v>196.09299999999999</v>
      </c>
      <c r="AA340" s="22">
        <v>-1.8002299999999999E-2</v>
      </c>
      <c r="AB340" s="22">
        <v>330</v>
      </c>
      <c r="AC340" s="22">
        <v>0.21771199999999999</v>
      </c>
      <c r="AD340">
        <f t="shared" si="64"/>
        <v>18.002299999999998</v>
      </c>
      <c r="AE340">
        <f t="shared" si="65"/>
        <v>3.9308562118999997</v>
      </c>
      <c r="AF340" s="9"/>
      <c r="AG340" s="22">
        <v>1.5617399999999999</v>
      </c>
      <c r="AH340" s="22">
        <v>310.40600000000001</v>
      </c>
      <c r="AI340" s="22">
        <v>-1.6610699999999999E-2</v>
      </c>
      <c r="AJ340" s="22">
        <v>330</v>
      </c>
      <c r="AK340" s="22">
        <v>1.56036</v>
      </c>
      <c r="AL340">
        <f t="shared" si="66"/>
        <v>16.610699999999998</v>
      </c>
      <c r="AM340">
        <f t="shared" si="67"/>
        <v>25.941594617999996</v>
      </c>
      <c r="AP340" s="9"/>
      <c r="AQ340" s="22">
        <v>0.21835299999999999</v>
      </c>
      <c r="AR340" s="22">
        <v>383.41899999999998</v>
      </c>
      <c r="AS340" s="22">
        <v>-1.8060300000000001E-2</v>
      </c>
      <c r="AT340" s="22">
        <v>330</v>
      </c>
      <c r="AU340" s="22">
        <v>0.21768199999999999</v>
      </c>
      <c r="AV340">
        <f t="shared" si="68"/>
        <v>18.060300000000002</v>
      </c>
      <c r="AW340">
        <f t="shared" si="69"/>
        <v>3.9435206859000003</v>
      </c>
      <c r="AX340" s="9"/>
      <c r="AY340" s="22">
        <v>1.5617399999999999</v>
      </c>
      <c r="AZ340" s="22">
        <v>435.84800000000001</v>
      </c>
      <c r="BA340" s="22">
        <v>-1.66626E-2</v>
      </c>
      <c r="BB340" s="22">
        <v>330</v>
      </c>
      <c r="BC340" s="22">
        <v>1.56097</v>
      </c>
      <c r="BD340">
        <f t="shared" si="70"/>
        <v>16.662600000000001</v>
      </c>
      <c r="BE340">
        <f t="shared" si="71"/>
        <v>26.022648923999999</v>
      </c>
    </row>
    <row r="341" spans="6:57">
      <c r="F341" s="9"/>
      <c r="G341" s="22">
        <v>0.21331800000000001</v>
      </c>
      <c r="H341" s="22">
        <v>48.725499999999997</v>
      </c>
      <c r="I341" s="22">
        <v>-1.7907699999999999E-2</v>
      </c>
      <c r="J341" s="22">
        <v>331</v>
      </c>
      <c r="K341" s="22">
        <v>0.21270800000000001</v>
      </c>
      <c r="L341">
        <f t="shared" si="60"/>
        <v>17.907699999999998</v>
      </c>
      <c r="M341">
        <f t="shared" si="61"/>
        <v>3.8200347485999999</v>
      </c>
      <c r="N341" s="9"/>
      <c r="O341" s="22">
        <v>1.56677</v>
      </c>
      <c r="P341" s="22">
        <v>106.035</v>
      </c>
      <c r="Q341" s="22">
        <v>-1.6610699999999999E-2</v>
      </c>
      <c r="R341" s="22">
        <v>331</v>
      </c>
      <c r="S341" s="22">
        <v>1.56586</v>
      </c>
      <c r="T341">
        <f t="shared" si="62"/>
        <v>16.610699999999998</v>
      </c>
      <c r="U341">
        <f t="shared" si="63"/>
        <v>26.025146438999997</v>
      </c>
      <c r="X341" s="9"/>
      <c r="Y341" s="22">
        <v>0.21331800000000001</v>
      </c>
      <c r="Z341" s="22">
        <v>196.19399999999999</v>
      </c>
      <c r="AA341" s="22">
        <v>-1.8008400000000001E-2</v>
      </c>
      <c r="AB341" s="22">
        <v>331</v>
      </c>
      <c r="AC341" s="22">
        <v>0.212585</v>
      </c>
      <c r="AD341">
        <f t="shared" si="64"/>
        <v>18.008400000000002</v>
      </c>
      <c r="AE341">
        <f t="shared" si="65"/>
        <v>3.8415158712000004</v>
      </c>
      <c r="AF341" s="9"/>
      <c r="AG341" s="22">
        <v>1.56677</v>
      </c>
      <c r="AH341" s="22">
        <v>310.50700000000001</v>
      </c>
      <c r="AI341" s="22">
        <v>-1.6589400000000001E-2</v>
      </c>
      <c r="AJ341" s="22">
        <v>331</v>
      </c>
      <c r="AK341" s="22">
        <v>1.56555</v>
      </c>
      <c r="AL341">
        <f t="shared" si="66"/>
        <v>16.589400000000001</v>
      </c>
      <c r="AM341">
        <f t="shared" si="67"/>
        <v>25.991774238000001</v>
      </c>
      <c r="AP341" s="9"/>
      <c r="AQ341" s="22">
        <v>0.21331800000000001</v>
      </c>
      <c r="AR341" s="22">
        <v>383.52</v>
      </c>
      <c r="AS341" s="22">
        <v>-1.8060300000000001E-2</v>
      </c>
      <c r="AT341" s="22">
        <v>331</v>
      </c>
      <c r="AU341" s="22">
        <v>0.21255499999999999</v>
      </c>
      <c r="AV341">
        <f t="shared" si="68"/>
        <v>18.060300000000002</v>
      </c>
      <c r="AW341">
        <f t="shared" si="69"/>
        <v>3.8525870754000007</v>
      </c>
      <c r="AX341" s="9"/>
      <c r="AY341" s="22">
        <v>1.56677</v>
      </c>
      <c r="AZ341" s="22">
        <v>435.94900000000001</v>
      </c>
      <c r="BA341" s="22">
        <v>-1.66351E-2</v>
      </c>
      <c r="BB341" s="22">
        <v>331</v>
      </c>
      <c r="BC341" s="22">
        <v>1.56555</v>
      </c>
      <c r="BD341">
        <f t="shared" si="70"/>
        <v>16.635100000000001</v>
      </c>
      <c r="BE341">
        <f t="shared" si="71"/>
        <v>26.063375627000003</v>
      </c>
    </row>
    <row r="342" spans="6:57">
      <c r="F342" s="9"/>
      <c r="G342" s="22">
        <v>0.20828199999999999</v>
      </c>
      <c r="H342" s="22">
        <v>48.8262</v>
      </c>
      <c r="I342" s="22">
        <v>-1.7910800000000001E-2</v>
      </c>
      <c r="J342" s="22">
        <v>332</v>
      </c>
      <c r="K342" s="22">
        <v>0.207703</v>
      </c>
      <c r="L342">
        <f t="shared" si="60"/>
        <v>17.910800000000002</v>
      </c>
      <c r="M342">
        <f t="shared" si="61"/>
        <v>3.7304972456000005</v>
      </c>
      <c r="N342" s="9"/>
      <c r="O342" s="22">
        <v>1.5718099999999999</v>
      </c>
      <c r="P342" s="22">
        <v>106.136</v>
      </c>
      <c r="Q342" s="22">
        <v>-1.6601600000000001E-2</v>
      </c>
      <c r="R342" s="22">
        <v>332</v>
      </c>
      <c r="S342" s="22">
        <v>1.57013</v>
      </c>
      <c r="T342">
        <f t="shared" si="62"/>
        <v>16.601600000000001</v>
      </c>
      <c r="U342">
        <f t="shared" si="63"/>
        <v>26.094560896000001</v>
      </c>
      <c r="X342" s="9"/>
      <c r="Y342" s="22">
        <v>0.20828199999999999</v>
      </c>
      <c r="Z342" s="22">
        <v>196.29499999999999</v>
      </c>
      <c r="AA342" s="22">
        <v>-1.8008400000000001E-2</v>
      </c>
      <c r="AB342" s="22">
        <v>332</v>
      </c>
      <c r="AC342" s="22">
        <v>0.20764199999999999</v>
      </c>
      <c r="AD342">
        <f t="shared" si="64"/>
        <v>18.008400000000002</v>
      </c>
      <c r="AE342">
        <f t="shared" si="65"/>
        <v>3.7508255688000003</v>
      </c>
      <c r="AF342" s="9"/>
      <c r="AG342" s="22">
        <v>1.5718099999999999</v>
      </c>
      <c r="AH342" s="22">
        <v>310.608</v>
      </c>
      <c r="AI342" s="22">
        <v>-1.65649E-2</v>
      </c>
      <c r="AJ342" s="22">
        <v>332</v>
      </c>
      <c r="AK342" s="22">
        <v>1.57043</v>
      </c>
      <c r="AL342">
        <f t="shared" si="66"/>
        <v>16.564900000000002</v>
      </c>
      <c r="AM342">
        <f t="shared" si="67"/>
        <v>26.036875469000002</v>
      </c>
      <c r="AP342" s="9"/>
      <c r="AQ342" s="22">
        <v>0.20828199999999999</v>
      </c>
      <c r="AR342" s="22">
        <v>383.62099999999998</v>
      </c>
      <c r="AS342" s="22">
        <v>-1.80664E-2</v>
      </c>
      <c r="AT342" s="22">
        <v>332</v>
      </c>
      <c r="AU342" s="22">
        <v>0.20758099999999999</v>
      </c>
      <c r="AV342">
        <f t="shared" si="68"/>
        <v>18.066400000000002</v>
      </c>
      <c r="AW342">
        <f t="shared" si="69"/>
        <v>3.7629059248000001</v>
      </c>
      <c r="AX342" s="9"/>
      <c r="AY342" s="22">
        <v>1.5718099999999999</v>
      </c>
      <c r="AZ342" s="22">
        <v>436.05</v>
      </c>
      <c r="BA342" s="22">
        <v>-1.6610699999999999E-2</v>
      </c>
      <c r="BB342" s="22">
        <v>332</v>
      </c>
      <c r="BC342" s="22">
        <v>1.57135</v>
      </c>
      <c r="BD342">
        <f t="shared" si="70"/>
        <v>16.610699999999998</v>
      </c>
      <c r="BE342">
        <f t="shared" si="71"/>
        <v>26.108864366999995</v>
      </c>
    </row>
    <row r="343" spans="6:57">
      <c r="F343" s="9"/>
      <c r="G343" s="22">
        <v>0.20324700000000001</v>
      </c>
      <c r="H343" s="22">
        <v>48.926900000000003</v>
      </c>
      <c r="I343" s="22">
        <v>-1.7913800000000001E-2</v>
      </c>
      <c r="J343" s="22">
        <v>333</v>
      </c>
      <c r="K343" s="22">
        <v>0.202545</v>
      </c>
      <c r="L343">
        <f t="shared" si="60"/>
        <v>17.913800000000002</v>
      </c>
      <c r="M343">
        <f t="shared" si="61"/>
        <v>3.6409261086000004</v>
      </c>
      <c r="N343" s="9"/>
      <c r="O343" s="22">
        <v>1.57684</v>
      </c>
      <c r="P343" s="22">
        <v>106.23699999999999</v>
      </c>
      <c r="Q343" s="22">
        <v>-1.6583299999999999E-2</v>
      </c>
      <c r="R343" s="22">
        <v>333</v>
      </c>
      <c r="S343" s="22">
        <v>1.57562</v>
      </c>
      <c r="T343">
        <f t="shared" si="62"/>
        <v>16.583299999999998</v>
      </c>
      <c r="U343">
        <f t="shared" si="63"/>
        <v>26.149210771999996</v>
      </c>
      <c r="X343" s="9"/>
      <c r="Y343" s="22">
        <v>0.20324700000000001</v>
      </c>
      <c r="Z343" s="22">
        <v>196.39500000000001</v>
      </c>
      <c r="AA343" s="22">
        <v>-1.8014499999999999E-2</v>
      </c>
      <c r="AB343" s="22">
        <v>333</v>
      </c>
      <c r="AC343" s="22">
        <v>0.202545</v>
      </c>
      <c r="AD343">
        <f t="shared" si="64"/>
        <v>18.014499999999998</v>
      </c>
      <c r="AE343">
        <f t="shared" si="65"/>
        <v>3.6613930815</v>
      </c>
      <c r="AF343" s="9"/>
      <c r="AG343" s="22">
        <v>1.57684</v>
      </c>
      <c r="AH343" s="22">
        <v>310.70800000000003</v>
      </c>
      <c r="AI343" s="22">
        <v>-1.65375E-2</v>
      </c>
      <c r="AJ343" s="22">
        <v>333</v>
      </c>
      <c r="AK343" s="22">
        <v>1.5759300000000001</v>
      </c>
      <c r="AL343">
        <f t="shared" si="66"/>
        <v>16.537500000000001</v>
      </c>
      <c r="AM343">
        <f t="shared" si="67"/>
        <v>26.076991500000002</v>
      </c>
      <c r="AP343" s="9"/>
      <c r="AQ343" s="22">
        <v>0.20324700000000001</v>
      </c>
      <c r="AR343" s="22">
        <v>383.721</v>
      </c>
      <c r="AS343" s="22">
        <v>-1.80664E-2</v>
      </c>
      <c r="AT343" s="22">
        <v>333</v>
      </c>
      <c r="AU343" s="22">
        <v>0.20239299999999999</v>
      </c>
      <c r="AV343">
        <f t="shared" si="68"/>
        <v>18.066400000000002</v>
      </c>
      <c r="AW343">
        <f t="shared" si="69"/>
        <v>3.6719416008000003</v>
      </c>
      <c r="AX343" s="9"/>
      <c r="AY343" s="22">
        <v>1.57684</v>
      </c>
      <c r="AZ343" s="22">
        <v>436.15</v>
      </c>
      <c r="BA343" s="22">
        <v>-1.6586299999999998E-2</v>
      </c>
      <c r="BB343" s="22">
        <v>333</v>
      </c>
      <c r="BC343" s="22">
        <v>1.57623</v>
      </c>
      <c r="BD343">
        <f t="shared" si="70"/>
        <v>16.586299999999998</v>
      </c>
      <c r="BE343">
        <f t="shared" si="71"/>
        <v>26.153941291999995</v>
      </c>
    </row>
    <row r="344" spans="6:57">
      <c r="F344" s="9"/>
      <c r="G344" s="22">
        <v>0.198212</v>
      </c>
      <c r="H344" s="22">
        <v>49.0276</v>
      </c>
      <c r="I344" s="22">
        <v>-1.7916899999999999E-2</v>
      </c>
      <c r="J344" s="22">
        <v>334</v>
      </c>
      <c r="K344" s="22">
        <v>0.197632</v>
      </c>
      <c r="L344">
        <f t="shared" si="60"/>
        <v>17.916899999999998</v>
      </c>
      <c r="M344">
        <f t="shared" si="61"/>
        <v>3.5513445827999996</v>
      </c>
      <c r="N344" s="9"/>
      <c r="O344" s="22">
        <v>1.58188</v>
      </c>
      <c r="P344" s="22">
        <v>106.33799999999999</v>
      </c>
      <c r="Q344" s="22">
        <v>-1.65649E-2</v>
      </c>
      <c r="R344" s="22">
        <v>334</v>
      </c>
      <c r="S344" s="22">
        <v>1.5811200000000001</v>
      </c>
      <c r="T344">
        <f t="shared" si="62"/>
        <v>16.564900000000002</v>
      </c>
      <c r="U344">
        <f t="shared" si="63"/>
        <v>26.203684012</v>
      </c>
      <c r="X344" s="9"/>
      <c r="Y344" s="22">
        <v>0.198212</v>
      </c>
      <c r="Z344" s="22">
        <v>196.49600000000001</v>
      </c>
      <c r="AA344" s="22">
        <v>-1.8017600000000002E-2</v>
      </c>
      <c r="AB344" s="22">
        <v>334</v>
      </c>
      <c r="AC344" s="22">
        <v>0.197571</v>
      </c>
      <c r="AD344">
        <f t="shared" si="64"/>
        <v>18.017600000000002</v>
      </c>
      <c r="AE344">
        <f t="shared" si="65"/>
        <v>3.5713045312000005</v>
      </c>
      <c r="AF344" s="9"/>
      <c r="AG344" s="22">
        <v>1.58188</v>
      </c>
      <c r="AH344" s="22">
        <v>310.80900000000003</v>
      </c>
      <c r="AI344" s="22">
        <v>-1.651E-2</v>
      </c>
      <c r="AJ344" s="22">
        <v>334</v>
      </c>
      <c r="AK344" s="22">
        <v>1.58081</v>
      </c>
      <c r="AL344">
        <f t="shared" si="66"/>
        <v>16.510000000000002</v>
      </c>
      <c r="AM344">
        <f t="shared" si="67"/>
        <v>26.1168388</v>
      </c>
      <c r="AP344" s="9"/>
      <c r="AQ344" s="22">
        <v>0.198212</v>
      </c>
      <c r="AR344" s="22">
        <v>383.822</v>
      </c>
      <c r="AS344" s="22">
        <v>-1.8075600000000001E-2</v>
      </c>
      <c r="AT344" s="22">
        <v>334</v>
      </c>
      <c r="AU344" s="22">
        <v>0.197571</v>
      </c>
      <c r="AV344">
        <f t="shared" si="68"/>
        <v>18.075600000000001</v>
      </c>
      <c r="AW344">
        <f t="shared" si="69"/>
        <v>3.5828008272000003</v>
      </c>
      <c r="AX344" s="9"/>
      <c r="AY344" s="22">
        <v>1.58188</v>
      </c>
      <c r="AZ344" s="22">
        <v>436.25099999999998</v>
      </c>
      <c r="BA344" s="22">
        <v>-1.65649E-2</v>
      </c>
      <c r="BB344" s="22">
        <v>334</v>
      </c>
      <c r="BC344" s="22">
        <v>1.58081</v>
      </c>
      <c r="BD344">
        <f t="shared" si="70"/>
        <v>16.564900000000002</v>
      </c>
      <c r="BE344">
        <f t="shared" si="71"/>
        <v>26.203684012</v>
      </c>
    </row>
    <row r="345" spans="6:57">
      <c r="F345" s="9"/>
      <c r="G345" s="22">
        <v>0.19317599999999999</v>
      </c>
      <c r="H345" s="22">
        <v>49.128300000000003</v>
      </c>
      <c r="I345" s="22">
        <v>-1.7919899999999999E-2</v>
      </c>
      <c r="J345" s="22">
        <v>335</v>
      </c>
      <c r="K345" s="22">
        <v>0.19256599999999999</v>
      </c>
      <c r="L345">
        <f t="shared" si="60"/>
        <v>17.919899999999998</v>
      </c>
      <c r="M345">
        <f t="shared" si="61"/>
        <v>3.4616946023999993</v>
      </c>
      <c r="N345" s="9"/>
      <c r="O345" s="22">
        <v>1.58691</v>
      </c>
      <c r="P345" s="22">
        <v>106.438</v>
      </c>
      <c r="Q345" s="22">
        <v>-1.6543599999999999E-2</v>
      </c>
      <c r="R345" s="22">
        <v>335</v>
      </c>
      <c r="S345" s="22">
        <v>1.58569</v>
      </c>
      <c r="T345">
        <f t="shared" si="62"/>
        <v>16.543599999999998</v>
      </c>
      <c r="U345">
        <f t="shared" si="63"/>
        <v>26.253204275999998</v>
      </c>
      <c r="X345" s="9"/>
      <c r="Y345" s="22">
        <v>0.19317599999999999</v>
      </c>
      <c r="Z345" s="22">
        <v>196.59700000000001</v>
      </c>
      <c r="AA345" s="22">
        <v>-1.80237E-2</v>
      </c>
      <c r="AB345" s="22">
        <v>335</v>
      </c>
      <c r="AC345" s="22">
        <v>0.19256599999999999</v>
      </c>
      <c r="AD345">
        <f t="shared" si="64"/>
        <v>18.023700000000002</v>
      </c>
      <c r="AE345">
        <f t="shared" si="65"/>
        <v>3.4817462712</v>
      </c>
      <c r="AF345" s="9"/>
      <c r="AG345" s="22">
        <v>1.58691</v>
      </c>
      <c r="AH345" s="22">
        <v>310.91000000000003</v>
      </c>
      <c r="AI345" s="22">
        <v>-1.6488599999999999E-2</v>
      </c>
      <c r="AJ345" s="22">
        <v>335</v>
      </c>
      <c r="AK345" s="22">
        <v>1.5860000000000001</v>
      </c>
      <c r="AL345">
        <f t="shared" si="66"/>
        <v>16.488599999999998</v>
      </c>
      <c r="AM345">
        <f t="shared" si="67"/>
        <v>26.165924225999998</v>
      </c>
      <c r="AP345" s="9"/>
      <c r="AQ345" s="22">
        <v>0.19317599999999999</v>
      </c>
      <c r="AR345" s="22">
        <v>383.923</v>
      </c>
      <c r="AS345" s="22">
        <v>-1.80786E-2</v>
      </c>
      <c r="AT345" s="22">
        <v>335</v>
      </c>
      <c r="AU345" s="22">
        <v>0.19259599999999999</v>
      </c>
      <c r="AV345">
        <f t="shared" si="68"/>
        <v>18.078600000000002</v>
      </c>
      <c r="AW345">
        <f t="shared" si="69"/>
        <v>3.4923516336000002</v>
      </c>
      <c r="AX345" s="9"/>
      <c r="AY345" s="22">
        <v>1.58691</v>
      </c>
      <c r="AZ345" s="22">
        <v>436.35199999999998</v>
      </c>
      <c r="BA345" s="22">
        <v>-1.6531400000000002E-2</v>
      </c>
      <c r="BB345" s="22">
        <v>335</v>
      </c>
      <c r="BC345" s="22">
        <v>1.5860000000000001</v>
      </c>
      <c r="BD345">
        <f t="shared" si="70"/>
        <v>16.531400000000001</v>
      </c>
      <c r="BE345">
        <f t="shared" si="71"/>
        <v>26.233843974000003</v>
      </c>
    </row>
    <row r="346" spans="6:57">
      <c r="F346" s="9"/>
      <c r="G346" s="22">
        <v>0.188141</v>
      </c>
      <c r="H346" s="22">
        <v>49.228999999999999</v>
      </c>
      <c r="I346" s="22">
        <v>-1.7923000000000001E-2</v>
      </c>
      <c r="J346" s="22">
        <v>336</v>
      </c>
      <c r="K346" s="22">
        <v>0.1875</v>
      </c>
      <c r="L346">
        <f t="shared" si="60"/>
        <v>17.923000000000002</v>
      </c>
      <c r="M346">
        <f t="shared" si="61"/>
        <v>3.3720511430000002</v>
      </c>
      <c r="N346" s="9"/>
      <c r="O346" s="22">
        <v>1.59195</v>
      </c>
      <c r="P346" s="22">
        <v>106.539</v>
      </c>
      <c r="Q346" s="22">
        <v>-1.6519200000000001E-2</v>
      </c>
      <c r="R346" s="22">
        <v>336</v>
      </c>
      <c r="S346" s="22">
        <v>1.5911900000000001</v>
      </c>
      <c r="T346">
        <f t="shared" si="62"/>
        <v>16.519200000000001</v>
      </c>
      <c r="U346">
        <f t="shared" si="63"/>
        <v>26.297740440000002</v>
      </c>
      <c r="X346" s="9"/>
      <c r="Y346" s="22">
        <v>0.188141</v>
      </c>
      <c r="Z346" s="22">
        <v>196.697</v>
      </c>
      <c r="AA346" s="22">
        <v>-1.80237E-2</v>
      </c>
      <c r="AB346" s="22">
        <v>336</v>
      </c>
      <c r="AC346" s="22">
        <v>0.18774399999999999</v>
      </c>
      <c r="AD346">
        <f t="shared" si="64"/>
        <v>18.023700000000002</v>
      </c>
      <c r="AE346">
        <f t="shared" si="65"/>
        <v>3.3909969417000005</v>
      </c>
      <c r="AF346" s="9"/>
      <c r="AG346" s="22">
        <v>1.59195</v>
      </c>
      <c r="AH346" s="22">
        <v>311.01</v>
      </c>
      <c r="AI346" s="22">
        <v>-1.6464199999999998E-2</v>
      </c>
      <c r="AJ346" s="22">
        <v>336</v>
      </c>
      <c r="AK346" s="22">
        <v>1.5908800000000001</v>
      </c>
      <c r="AL346">
        <f t="shared" si="66"/>
        <v>16.464199999999998</v>
      </c>
      <c r="AM346">
        <f t="shared" si="67"/>
        <v>26.210183189999995</v>
      </c>
      <c r="AP346" s="9"/>
      <c r="AQ346" s="22">
        <v>0.188141</v>
      </c>
      <c r="AR346" s="22">
        <v>384.024</v>
      </c>
      <c r="AS346" s="22">
        <v>-1.8084699999999999E-2</v>
      </c>
      <c r="AT346" s="22">
        <v>336</v>
      </c>
      <c r="AU346" s="22">
        <v>0.187469</v>
      </c>
      <c r="AV346">
        <f t="shared" si="68"/>
        <v>18.084699999999998</v>
      </c>
      <c r="AW346">
        <f t="shared" si="69"/>
        <v>3.4024735426999997</v>
      </c>
      <c r="AX346" s="9"/>
      <c r="AY346" s="22">
        <v>1.59195</v>
      </c>
      <c r="AZ346" s="22">
        <v>436.452</v>
      </c>
      <c r="BA346" s="22">
        <v>-1.6503899999999998E-2</v>
      </c>
      <c r="BB346" s="22">
        <v>336</v>
      </c>
      <c r="BC346" s="22">
        <v>1.5902700000000001</v>
      </c>
      <c r="BD346">
        <f t="shared" si="70"/>
        <v>16.503899999999998</v>
      </c>
      <c r="BE346">
        <f t="shared" si="71"/>
        <v>26.273383604999996</v>
      </c>
    </row>
    <row r="347" spans="6:57">
      <c r="F347" s="9"/>
      <c r="G347" s="22">
        <v>0.18310499999999999</v>
      </c>
      <c r="H347" s="22">
        <v>49.329700000000003</v>
      </c>
      <c r="I347" s="22">
        <v>-1.79291E-2</v>
      </c>
      <c r="J347" s="22">
        <v>337</v>
      </c>
      <c r="K347" s="22">
        <v>0.18249499999999999</v>
      </c>
      <c r="L347">
        <f t="shared" si="60"/>
        <v>17.929099999999998</v>
      </c>
      <c r="M347">
        <f t="shared" si="61"/>
        <v>3.2829078554999995</v>
      </c>
      <c r="N347" s="9"/>
      <c r="O347" s="22">
        <v>1.5969800000000001</v>
      </c>
      <c r="P347" s="22">
        <v>106.64</v>
      </c>
      <c r="Q347" s="22">
        <v>-1.6503899999999998E-2</v>
      </c>
      <c r="R347" s="22">
        <v>337</v>
      </c>
      <c r="S347" s="22">
        <v>1.5963700000000001</v>
      </c>
      <c r="T347">
        <f t="shared" si="62"/>
        <v>16.503899999999998</v>
      </c>
      <c r="U347">
        <f t="shared" si="63"/>
        <v>26.356398221999999</v>
      </c>
      <c r="X347" s="9"/>
      <c r="Y347" s="22">
        <v>0.18310499999999999</v>
      </c>
      <c r="Z347" s="22">
        <v>196.798</v>
      </c>
      <c r="AA347" s="22">
        <v>-1.8029799999999999E-2</v>
      </c>
      <c r="AB347" s="22">
        <v>337</v>
      </c>
      <c r="AC347" s="22">
        <v>0.18249499999999999</v>
      </c>
      <c r="AD347">
        <f t="shared" si="64"/>
        <v>18.029799999999998</v>
      </c>
      <c r="AE347">
        <f t="shared" si="65"/>
        <v>3.3013465289999995</v>
      </c>
      <c r="AF347" s="9"/>
      <c r="AG347" s="22">
        <v>1.5969800000000001</v>
      </c>
      <c r="AH347" s="22">
        <v>311.11099999999999</v>
      </c>
      <c r="AI347" s="22">
        <v>-1.6436800000000001E-2</v>
      </c>
      <c r="AJ347" s="22">
        <v>337</v>
      </c>
      <c r="AK347" s="22">
        <v>1.5963700000000001</v>
      </c>
      <c r="AL347">
        <f t="shared" si="66"/>
        <v>16.436800000000002</v>
      </c>
      <c r="AM347">
        <f t="shared" si="67"/>
        <v>26.249240864000004</v>
      </c>
      <c r="AP347" s="9"/>
      <c r="AQ347" s="22">
        <v>0.18310499999999999</v>
      </c>
      <c r="AR347" s="22">
        <v>384.12400000000002</v>
      </c>
      <c r="AS347" s="22">
        <v>-1.8087800000000001E-2</v>
      </c>
      <c r="AT347" s="22">
        <v>337</v>
      </c>
      <c r="AU347" s="22">
        <v>0.18234300000000001</v>
      </c>
      <c r="AV347">
        <f t="shared" si="68"/>
        <v>18.087800000000001</v>
      </c>
      <c r="AW347">
        <f t="shared" si="69"/>
        <v>3.3119666190000001</v>
      </c>
      <c r="AX347" s="9"/>
      <c r="AY347" s="22">
        <v>1.5969800000000001</v>
      </c>
      <c r="AZ347" s="22">
        <v>436.553</v>
      </c>
      <c r="BA347" s="22">
        <v>-1.6464199999999998E-2</v>
      </c>
      <c r="BB347" s="22">
        <v>337</v>
      </c>
      <c r="BC347" s="22">
        <v>1.5963700000000001</v>
      </c>
      <c r="BD347">
        <f t="shared" si="70"/>
        <v>16.464199999999998</v>
      </c>
      <c r="BE347">
        <f t="shared" si="71"/>
        <v>26.292998116</v>
      </c>
    </row>
    <row r="348" spans="6:57">
      <c r="F348" s="9"/>
      <c r="G348" s="22">
        <v>0.17807000000000001</v>
      </c>
      <c r="H348" s="22">
        <v>49.430500000000002</v>
      </c>
      <c r="I348" s="22">
        <v>-1.7932099999999999E-2</v>
      </c>
      <c r="J348" s="22">
        <v>338</v>
      </c>
      <c r="K348" s="22">
        <v>0.177399</v>
      </c>
      <c r="L348">
        <f t="shared" si="60"/>
        <v>17.932099999999998</v>
      </c>
      <c r="M348">
        <f t="shared" si="61"/>
        <v>3.193169047</v>
      </c>
      <c r="N348" s="9"/>
      <c r="O348" s="22">
        <v>1.60202</v>
      </c>
      <c r="P348" s="22">
        <v>106.74</v>
      </c>
      <c r="Q348" s="22">
        <v>-1.6476399999999999E-2</v>
      </c>
      <c r="R348" s="22">
        <v>338</v>
      </c>
      <c r="S348" s="22">
        <v>1.6009500000000001</v>
      </c>
      <c r="T348">
        <f t="shared" si="62"/>
        <v>16.476399999999998</v>
      </c>
      <c r="U348">
        <f t="shared" si="63"/>
        <v>26.395522327999998</v>
      </c>
      <c r="X348" s="9"/>
      <c r="Y348" s="22">
        <v>0.17807000000000001</v>
      </c>
      <c r="Z348" s="22">
        <v>196.899</v>
      </c>
      <c r="AA348" s="22">
        <v>-1.8032800000000002E-2</v>
      </c>
      <c r="AB348" s="22">
        <v>338</v>
      </c>
      <c r="AC348" s="22">
        <v>0.17752100000000001</v>
      </c>
      <c r="AD348">
        <f t="shared" si="64"/>
        <v>18.032800000000002</v>
      </c>
      <c r="AE348">
        <f t="shared" si="65"/>
        <v>3.2111006960000004</v>
      </c>
      <c r="AF348" s="9"/>
      <c r="AG348" s="22">
        <v>1.60202</v>
      </c>
      <c r="AH348" s="22">
        <v>311.21199999999999</v>
      </c>
      <c r="AI348" s="22">
        <v>-1.6397100000000001E-2</v>
      </c>
      <c r="AJ348" s="22">
        <v>338</v>
      </c>
      <c r="AK348" s="22">
        <v>1.6012599999999999</v>
      </c>
      <c r="AL348">
        <f t="shared" si="66"/>
        <v>16.397100000000002</v>
      </c>
      <c r="AM348">
        <f t="shared" si="67"/>
        <v>26.268482142000003</v>
      </c>
      <c r="AP348" s="9"/>
      <c r="AQ348" s="22">
        <v>0.17807000000000001</v>
      </c>
      <c r="AR348" s="22">
        <v>384.22500000000002</v>
      </c>
      <c r="AS348" s="22">
        <v>-1.8087800000000001E-2</v>
      </c>
      <c r="AT348" s="22">
        <v>338</v>
      </c>
      <c r="AU348" s="22">
        <v>0.17724599999999999</v>
      </c>
      <c r="AV348">
        <f t="shared" si="68"/>
        <v>18.087800000000001</v>
      </c>
      <c r="AW348">
        <f t="shared" si="69"/>
        <v>3.2208945460000002</v>
      </c>
      <c r="AX348" s="9"/>
      <c r="AY348" s="22">
        <v>1.60202</v>
      </c>
      <c r="AZ348" s="22">
        <v>436.654</v>
      </c>
      <c r="BA348" s="22">
        <v>-1.6430699999999999E-2</v>
      </c>
      <c r="BB348" s="22">
        <v>338</v>
      </c>
      <c r="BC348" s="22">
        <v>1.6012599999999999</v>
      </c>
      <c r="BD348">
        <f t="shared" si="70"/>
        <v>16.430699999999998</v>
      </c>
      <c r="BE348">
        <f t="shared" si="71"/>
        <v>26.322310013999996</v>
      </c>
    </row>
    <row r="349" spans="6:57">
      <c r="F349" s="9"/>
      <c r="G349" s="22">
        <v>0.17303499999999999</v>
      </c>
      <c r="H349" s="22">
        <v>49.531199999999998</v>
      </c>
      <c r="I349" s="22">
        <v>-1.7932099999999999E-2</v>
      </c>
      <c r="J349" s="22">
        <v>339</v>
      </c>
      <c r="K349" s="22">
        <v>0.17239399999999999</v>
      </c>
      <c r="L349">
        <f t="shared" si="60"/>
        <v>17.932099999999998</v>
      </c>
      <c r="M349">
        <f t="shared" si="61"/>
        <v>3.1028809234999994</v>
      </c>
      <c r="N349" s="9"/>
      <c r="O349" s="22">
        <v>1.6070599999999999</v>
      </c>
      <c r="P349" s="22">
        <v>106.84099999999999</v>
      </c>
      <c r="Q349" s="22">
        <v>-1.6436800000000001E-2</v>
      </c>
      <c r="R349" s="22">
        <v>339</v>
      </c>
      <c r="S349" s="22">
        <v>1.6058300000000001</v>
      </c>
      <c r="T349">
        <f t="shared" si="62"/>
        <v>16.436800000000002</v>
      </c>
      <c r="U349">
        <f t="shared" si="63"/>
        <v>26.414923808000001</v>
      </c>
      <c r="X349" s="9"/>
      <c r="Y349" s="22">
        <v>0.17303499999999999</v>
      </c>
      <c r="Z349" s="22">
        <v>197</v>
      </c>
      <c r="AA349" s="22">
        <v>-1.8035900000000001E-2</v>
      </c>
      <c r="AB349" s="22">
        <v>339</v>
      </c>
      <c r="AC349" s="22">
        <v>0.17236299999999999</v>
      </c>
      <c r="AD349">
        <f t="shared" si="64"/>
        <v>18.035900000000002</v>
      </c>
      <c r="AE349">
        <f t="shared" si="65"/>
        <v>3.1208419565000001</v>
      </c>
      <c r="AF349" s="9"/>
      <c r="AG349" s="22">
        <v>1.6070599999999999</v>
      </c>
      <c r="AH349" s="22">
        <v>311.31200000000001</v>
      </c>
      <c r="AI349" s="22">
        <v>-1.63605E-2</v>
      </c>
      <c r="AJ349" s="22">
        <v>339</v>
      </c>
      <c r="AK349" s="22">
        <v>1.6058300000000001</v>
      </c>
      <c r="AL349">
        <f t="shared" si="66"/>
        <v>16.360500000000002</v>
      </c>
      <c r="AM349">
        <f t="shared" si="67"/>
        <v>26.292305130000003</v>
      </c>
      <c r="AP349" s="9"/>
      <c r="AQ349" s="22">
        <v>0.17303499999999999</v>
      </c>
      <c r="AR349" s="22">
        <v>384.32600000000002</v>
      </c>
      <c r="AS349" s="22">
        <v>-1.8090800000000001E-2</v>
      </c>
      <c r="AT349" s="22">
        <v>339</v>
      </c>
      <c r="AU349" s="22">
        <v>0.17239399999999999</v>
      </c>
      <c r="AV349">
        <f t="shared" si="68"/>
        <v>18.090800000000002</v>
      </c>
      <c r="AW349">
        <f t="shared" si="69"/>
        <v>3.1303415780000003</v>
      </c>
      <c r="AX349" s="9"/>
      <c r="AY349" s="22">
        <v>1.6070599999999999</v>
      </c>
      <c r="AZ349" s="22">
        <v>436.75400000000002</v>
      </c>
      <c r="BA349" s="22">
        <v>-1.6393999999999999E-2</v>
      </c>
      <c r="BB349" s="22">
        <v>339</v>
      </c>
      <c r="BC349" s="22">
        <v>1.6061399999999999</v>
      </c>
      <c r="BD349">
        <f t="shared" si="70"/>
        <v>16.393999999999998</v>
      </c>
      <c r="BE349">
        <f t="shared" si="71"/>
        <v>26.346141639999995</v>
      </c>
    </row>
    <row r="350" spans="6:57">
      <c r="F350" s="9"/>
      <c r="G350" s="22">
        <v>0.16799900000000001</v>
      </c>
      <c r="H350" s="22">
        <v>49.631900000000002</v>
      </c>
      <c r="I350" s="22">
        <v>-1.7938200000000001E-2</v>
      </c>
      <c r="J350" s="22">
        <v>340</v>
      </c>
      <c r="K350" s="22">
        <v>0.16738900000000001</v>
      </c>
      <c r="L350">
        <f t="shared" si="60"/>
        <v>17.938200000000002</v>
      </c>
      <c r="M350">
        <f t="shared" si="61"/>
        <v>3.0135996618000003</v>
      </c>
      <c r="N350" s="9"/>
      <c r="O350" s="22">
        <v>1.61209</v>
      </c>
      <c r="P350" s="22">
        <v>106.94199999999999</v>
      </c>
      <c r="Q350" s="22">
        <v>-1.6409300000000002E-2</v>
      </c>
      <c r="R350" s="22">
        <v>340</v>
      </c>
      <c r="S350" s="22">
        <v>1.6110199999999999</v>
      </c>
      <c r="T350">
        <f t="shared" si="62"/>
        <v>16.409300000000002</v>
      </c>
      <c r="U350">
        <f t="shared" si="63"/>
        <v>26.453268437000002</v>
      </c>
      <c r="X350" s="9"/>
      <c r="Y350" s="22">
        <v>0.16799900000000001</v>
      </c>
      <c r="Z350" s="22">
        <v>197.1</v>
      </c>
      <c r="AA350" s="22">
        <v>-1.80389E-2</v>
      </c>
      <c r="AB350" s="22">
        <v>340</v>
      </c>
      <c r="AC350" s="22">
        <v>0.167297</v>
      </c>
      <c r="AD350">
        <f t="shared" si="64"/>
        <v>18.038900000000002</v>
      </c>
      <c r="AE350">
        <f t="shared" si="65"/>
        <v>3.0305171611000006</v>
      </c>
      <c r="AF350" s="9"/>
      <c r="AG350" s="22">
        <v>1.61209</v>
      </c>
      <c r="AH350" s="22">
        <v>311.41300000000001</v>
      </c>
      <c r="AI350" s="22">
        <v>-1.6311599999999999E-2</v>
      </c>
      <c r="AJ350" s="22">
        <v>340</v>
      </c>
      <c r="AK350" s="22">
        <v>1.6110199999999999</v>
      </c>
      <c r="AL350">
        <f t="shared" si="66"/>
        <v>16.311599999999999</v>
      </c>
      <c r="AM350">
        <f t="shared" si="67"/>
        <v>26.295767243999997</v>
      </c>
      <c r="AP350" s="9"/>
      <c r="AQ350" s="22">
        <v>0.16799900000000001</v>
      </c>
      <c r="AR350" s="22">
        <v>384.42599999999999</v>
      </c>
      <c r="AS350" s="22">
        <v>-1.8090800000000001E-2</v>
      </c>
      <c r="AT350" s="22">
        <v>340</v>
      </c>
      <c r="AU350" s="22">
        <v>0.167328</v>
      </c>
      <c r="AV350">
        <f t="shared" si="68"/>
        <v>18.090800000000002</v>
      </c>
      <c r="AW350">
        <f t="shared" si="69"/>
        <v>3.0392363092000005</v>
      </c>
      <c r="AX350" s="9"/>
      <c r="AY350" s="22">
        <v>1.61209</v>
      </c>
      <c r="AZ350" s="22">
        <v>436.85500000000002</v>
      </c>
      <c r="BA350" s="22">
        <v>-1.6354400000000002E-2</v>
      </c>
      <c r="BB350" s="22">
        <v>340</v>
      </c>
      <c r="BC350" s="22">
        <v>1.6116299999999999</v>
      </c>
      <c r="BD350">
        <f t="shared" si="70"/>
        <v>16.354400000000002</v>
      </c>
      <c r="BE350">
        <f t="shared" si="71"/>
        <v>26.364764696000002</v>
      </c>
    </row>
    <row r="351" spans="6:57">
      <c r="F351" s="9"/>
      <c r="G351" s="22">
        <v>0.162964</v>
      </c>
      <c r="H351" s="22">
        <v>49.732599999999998</v>
      </c>
      <c r="I351" s="22">
        <v>-1.79413E-2</v>
      </c>
      <c r="J351" s="22">
        <v>341</v>
      </c>
      <c r="K351" s="22">
        <v>0.162415</v>
      </c>
      <c r="L351">
        <f t="shared" si="60"/>
        <v>17.941300000000002</v>
      </c>
      <c r="M351">
        <f t="shared" si="61"/>
        <v>2.9237860132000004</v>
      </c>
      <c r="N351" s="9"/>
      <c r="O351" s="22">
        <v>1.61713</v>
      </c>
      <c r="P351" s="22">
        <v>107.042</v>
      </c>
      <c r="Q351" s="22">
        <v>-1.6381799999999998E-2</v>
      </c>
      <c r="R351" s="22">
        <v>341</v>
      </c>
      <c r="S351" s="22">
        <v>1.6153</v>
      </c>
      <c r="T351">
        <f t="shared" si="62"/>
        <v>16.381799999999998</v>
      </c>
      <c r="U351">
        <f t="shared" si="63"/>
        <v>26.491500233999997</v>
      </c>
      <c r="X351" s="9"/>
      <c r="Y351" s="22">
        <v>0.162964</v>
      </c>
      <c r="Z351" s="22">
        <v>197.20099999999999</v>
      </c>
      <c r="AA351" s="22">
        <v>-1.8044999999999999E-2</v>
      </c>
      <c r="AB351" s="22">
        <v>341</v>
      </c>
      <c r="AC351" s="22">
        <v>0.16229199999999999</v>
      </c>
      <c r="AD351">
        <f t="shared" si="64"/>
        <v>18.044999999999998</v>
      </c>
      <c r="AE351">
        <f t="shared" si="65"/>
        <v>2.9406853799999997</v>
      </c>
      <c r="AF351" s="9"/>
      <c r="AG351" s="22">
        <v>1.61713</v>
      </c>
      <c r="AH351" s="22">
        <v>311.51400000000001</v>
      </c>
      <c r="AI351" s="22">
        <v>-1.62811E-2</v>
      </c>
      <c r="AJ351" s="22">
        <v>341</v>
      </c>
      <c r="AK351" s="22">
        <v>1.6168199999999999</v>
      </c>
      <c r="AL351">
        <f t="shared" si="66"/>
        <v>16.281099999999999</v>
      </c>
      <c r="AM351">
        <f t="shared" si="67"/>
        <v>26.328655242999996</v>
      </c>
      <c r="AP351" s="9"/>
      <c r="AQ351" s="22">
        <v>0.162964</v>
      </c>
      <c r="AR351" s="22">
        <v>384.52699999999999</v>
      </c>
      <c r="AS351" s="22">
        <v>-1.80939E-2</v>
      </c>
      <c r="AT351" s="22">
        <v>341</v>
      </c>
      <c r="AU351" s="22">
        <v>0.162323</v>
      </c>
      <c r="AV351">
        <f t="shared" si="68"/>
        <v>18.093899999999998</v>
      </c>
      <c r="AW351">
        <f t="shared" si="69"/>
        <v>2.9486543195999997</v>
      </c>
      <c r="AX351" s="9"/>
      <c r="AY351" s="22">
        <v>1.61713</v>
      </c>
      <c r="AZ351" s="22">
        <v>436.95600000000002</v>
      </c>
      <c r="BA351" s="22">
        <v>-1.6311599999999999E-2</v>
      </c>
      <c r="BB351" s="22">
        <v>341</v>
      </c>
      <c r="BC351" s="22">
        <v>1.61591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0.15792800000000001</v>
      </c>
      <c r="H352" s="22">
        <v>49.833300000000001</v>
      </c>
      <c r="I352" s="22">
        <v>-1.7947399999999999E-2</v>
      </c>
      <c r="J352" s="22">
        <v>342</v>
      </c>
      <c r="K352" s="22">
        <v>0.15731800000000001</v>
      </c>
      <c r="L352">
        <f t="shared" si="60"/>
        <v>17.947399999999998</v>
      </c>
      <c r="M352">
        <f t="shared" si="61"/>
        <v>2.8343969871999999</v>
      </c>
      <c r="N352" s="9"/>
      <c r="O352" s="22">
        <v>1.62216</v>
      </c>
      <c r="P352" s="22">
        <v>107.143</v>
      </c>
      <c r="Q352" s="22">
        <v>-1.63483E-2</v>
      </c>
      <c r="R352" s="22">
        <v>342</v>
      </c>
      <c r="S352" s="22">
        <v>1.6214</v>
      </c>
      <c r="T352">
        <f t="shared" si="62"/>
        <v>16.348299999999998</v>
      </c>
      <c r="U352">
        <f t="shared" si="63"/>
        <v>26.519558327999999</v>
      </c>
      <c r="X352" s="9"/>
      <c r="Y352" s="22">
        <v>0.15792800000000001</v>
      </c>
      <c r="Z352" s="22">
        <v>197.30199999999999</v>
      </c>
      <c r="AA352" s="22">
        <v>-1.8048100000000001E-2</v>
      </c>
      <c r="AB352" s="22">
        <v>342</v>
      </c>
      <c r="AC352" s="22">
        <v>0.15728800000000001</v>
      </c>
      <c r="AD352">
        <f t="shared" si="64"/>
        <v>18.048100000000002</v>
      </c>
      <c r="AE352">
        <f t="shared" si="65"/>
        <v>2.8503003368000006</v>
      </c>
      <c r="AF352" s="9"/>
      <c r="AG352" s="22">
        <v>1.62216</v>
      </c>
      <c r="AH352" s="22">
        <v>311.61500000000001</v>
      </c>
      <c r="AI352" s="22">
        <v>-1.62384E-2</v>
      </c>
      <c r="AJ352" s="22">
        <v>342</v>
      </c>
      <c r="AK352" s="22">
        <v>1.6214</v>
      </c>
      <c r="AL352">
        <f t="shared" si="66"/>
        <v>16.238399999999999</v>
      </c>
      <c r="AM352">
        <f t="shared" si="67"/>
        <v>26.341282944</v>
      </c>
      <c r="AP352" s="9"/>
      <c r="AQ352" s="22">
        <v>0.15792800000000001</v>
      </c>
      <c r="AR352" s="22">
        <v>384.62799999999999</v>
      </c>
      <c r="AS352" s="22">
        <v>-1.8103000000000001E-2</v>
      </c>
      <c r="AT352" s="22">
        <v>342</v>
      </c>
      <c r="AU352" s="22">
        <v>0.15725700000000001</v>
      </c>
      <c r="AV352">
        <f t="shared" si="68"/>
        <v>18.103000000000002</v>
      </c>
      <c r="AW352">
        <f t="shared" si="69"/>
        <v>2.8589705840000006</v>
      </c>
      <c r="AX352" s="9"/>
      <c r="AY352" s="22">
        <v>1.62216</v>
      </c>
      <c r="AZ352" s="22">
        <v>437.05700000000002</v>
      </c>
      <c r="BA352" s="22">
        <v>-1.6253699999999999E-2</v>
      </c>
      <c r="BB352" s="22">
        <v>342</v>
      </c>
      <c r="BC352" s="22">
        <v>1.6204799999999999</v>
      </c>
      <c r="BD352">
        <f t="shared" si="70"/>
        <v>16.253699999999998</v>
      </c>
      <c r="BE352">
        <f t="shared" si="71"/>
        <v>26.366101991999997</v>
      </c>
    </row>
    <row r="353" spans="6:57">
      <c r="F353" s="9"/>
      <c r="G353" s="22">
        <v>0.152893</v>
      </c>
      <c r="H353" s="22">
        <v>49.933999999999997</v>
      </c>
      <c r="I353" s="22">
        <v>-1.7950399999999998E-2</v>
      </c>
      <c r="J353" s="22">
        <v>343</v>
      </c>
      <c r="K353" s="22">
        <v>0.152313</v>
      </c>
      <c r="L353">
        <f t="shared" si="60"/>
        <v>17.950399999999998</v>
      </c>
      <c r="M353">
        <f t="shared" si="61"/>
        <v>2.7444905071999997</v>
      </c>
      <c r="N353" s="9"/>
      <c r="O353" s="22">
        <v>1.6272</v>
      </c>
      <c r="P353" s="22">
        <v>107.244</v>
      </c>
      <c r="Q353" s="22">
        <v>-1.6314700000000001E-2</v>
      </c>
      <c r="R353" s="22">
        <v>343</v>
      </c>
      <c r="S353" s="22">
        <v>1.6262799999999999</v>
      </c>
      <c r="T353">
        <f t="shared" si="62"/>
        <v>16.314700000000002</v>
      </c>
      <c r="U353">
        <f t="shared" si="63"/>
        <v>26.547279840000002</v>
      </c>
      <c r="X353" s="9"/>
      <c r="Y353" s="22">
        <v>0.152893</v>
      </c>
      <c r="Z353" s="22">
        <v>197.40199999999999</v>
      </c>
      <c r="AA353" s="22">
        <v>-1.80511E-2</v>
      </c>
      <c r="AB353" s="22">
        <v>343</v>
      </c>
      <c r="AC353" s="22">
        <v>0.152252</v>
      </c>
      <c r="AD353">
        <f t="shared" si="64"/>
        <v>18.051100000000002</v>
      </c>
      <c r="AE353">
        <f t="shared" si="65"/>
        <v>2.7598868323000003</v>
      </c>
      <c r="AF353" s="9"/>
      <c r="AG353" s="22">
        <v>1.6272</v>
      </c>
      <c r="AH353" s="22">
        <v>311.71499999999997</v>
      </c>
      <c r="AI353" s="22">
        <v>-1.6189599999999998E-2</v>
      </c>
      <c r="AJ353" s="22">
        <v>343</v>
      </c>
      <c r="AK353" s="22">
        <v>1.6262799999999999</v>
      </c>
      <c r="AL353">
        <f t="shared" si="66"/>
        <v>16.189599999999999</v>
      </c>
      <c r="AM353">
        <f t="shared" si="67"/>
        <v>26.343717119999997</v>
      </c>
      <c r="AP353" s="9"/>
      <c r="AQ353" s="22">
        <v>0.152893</v>
      </c>
      <c r="AR353" s="22">
        <v>384.72800000000001</v>
      </c>
      <c r="AS353" s="22">
        <v>-1.81061E-2</v>
      </c>
      <c r="AT353" s="22">
        <v>343</v>
      </c>
      <c r="AU353" s="22">
        <v>0.152283</v>
      </c>
      <c r="AV353">
        <f t="shared" si="68"/>
        <v>18.106100000000001</v>
      </c>
      <c r="AW353">
        <f t="shared" si="69"/>
        <v>2.7682959473000004</v>
      </c>
      <c r="AX353" s="9"/>
      <c r="AY353" s="22">
        <v>1.6272</v>
      </c>
      <c r="AZ353" s="22">
        <v>437.15699999999998</v>
      </c>
      <c r="BA353" s="22">
        <v>-1.6201799999999999E-2</v>
      </c>
      <c r="BB353" s="22">
        <v>343</v>
      </c>
      <c r="BC353" s="22">
        <v>1.6262799999999999</v>
      </c>
      <c r="BD353">
        <f t="shared" si="70"/>
        <v>16.201799999999999</v>
      </c>
      <c r="BE353">
        <f t="shared" si="71"/>
        <v>26.363568959999998</v>
      </c>
    </row>
    <row r="354" spans="6:57">
      <c r="F354" s="9"/>
      <c r="G354" s="22">
        <v>0.14785799999999999</v>
      </c>
      <c r="H354" s="22">
        <v>50.034700000000001</v>
      </c>
      <c r="I354" s="22">
        <v>-1.7953500000000001E-2</v>
      </c>
      <c r="J354" s="22">
        <v>344</v>
      </c>
      <c r="K354" s="22">
        <v>0.14724699999999999</v>
      </c>
      <c r="L354">
        <f t="shared" si="60"/>
        <v>17.953500000000002</v>
      </c>
      <c r="M354">
        <f t="shared" si="61"/>
        <v>2.654568603</v>
      </c>
      <c r="N354" s="9"/>
      <c r="O354" s="22">
        <v>1.6322300000000001</v>
      </c>
      <c r="P354" s="22">
        <v>107.345</v>
      </c>
      <c r="Q354" s="22">
        <v>-1.6284199999999999E-2</v>
      </c>
      <c r="R354" s="22">
        <v>344</v>
      </c>
      <c r="S354" s="22">
        <v>1.63147</v>
      </c>
      <c r="T354">
        <f t="shared" si="62"/>
        <v>16.284199999999998</v>
      </c>
      <c r="U354">
        <f t="shared" si="63"/>
        <v>26.579559765999999</v>
      </c>
      <c r="X354" s="9"/>
      <c r="Y354" s="22">
        <v>0.14785799999999999</v>
      </c>
      <c r="Z354" s="22">
        <v>197.50299999999999</v>
      </c>
      <c r="AA354" s="22">
        <v>-1.8057299999999998E-2</v>
      </c>
      <c r="AB354" s="22">
        <v>344</v>
      </c>
      <c r="AC354" s="22">
        <v>0.14730799999999999</v>
      </c>
      <c r="AD354">
        <f t="shared" si="64"/>
        <v>18.057299999999998</v>
      </c>
      <c r="AE354">
        <f t="shared" si="65"/>
        <v>2.6699162633999993</v>
      </c>
      <c r="AF354" s="9"/>
      <c r="AG354" s="22">
        <v>1.6322300000000001</v>
      </c>
      <c r="AH354" s="22">
        <v>311.81599999999997</v>
      </c>
      <c r="AI354" s="22">
        <v>-1.6140700000000001E-2</v>
      </c>
      <c r="AJ354" s="22">
        <v>344</v>
      </c>
      <c r="AK354" s="22">
        <v>1.63208</v>
      </c>
      <c r="AL354">
        <f t="shared" si="66"/>
        <v>16.140700000000002</v>
      </c>
      <c r="AM354">
        <f t="shared" si="67"/>
        <v>26.345334761000004</v>
      </c>
      <c r="AP354" s="9"/>
      <c r="AQ354" s="22">
        <v>0.14785799999999999</v>
      </c>
      <c r="AR354" s="22">
        <v>384.82900000000001</v>
      </c>
      <c r="AS354" s="22">
        <v>-1.81091E-2</v>
      </c>
      <c r="AT354" s="22">
        <v>344</v>
      </c>
      <c r="AU354" s="22">
        <v>0.14727799999999999</v>
      </c>
      <c r="AV354">
        <f t="shared" si="68"/>
        <v>18.109099999999998</v>
      </c>
      <c r="AW354">
        <f t="shared" si="69"/>
        <v>2.6775753077999993</v>
      </c>
      <c r="AX354" s="9"/>
      <c r="AY354" s="22">
        <v>1.6322300000000001</v>
      </c>
      <c r="AZ354" s="22">
        <v>437.25799999999998</v>
      </c>
      <c r="BA354" s="22">
        <v>-1.6149899999999998E-2</v>
      </c>
      <c r="BB354" s="22">
        <v>344</v>
      </c>
      <c r="BC354" s="22">
        <v>1.6311599999999999</v>
      </c>
      <c r="BD354">
        <f t="shared" si="70"/>
        <v>16.149899999999999</v>
      </c>
      <c r="BE354">
        <f t="shared" si="71"/>
        <v>26.360351276999999</v>
      </c>
    </row>
    <row r="355" spans="6:57">
      <c r="F355" s="9"/>
      <c r="G355" s="22">
        <v>0.142822</v>
      </c>
      <c r="H355" s="22">
        <v>50.135399999999997</v>
      </c>
      <c r="I355" s="22">
        <v>-1.7959599999999999E-2</v>
      </c>
      <c r="J355" s="22">
        <v>345</v>
      </c>
      <c r="K355" s="22">
        <v>0.14227300000000001</v>
      </c>
      <c r="L355">
        <f t="shared" si="60"/>
        <v>17.959599999999998</v>
      </c>
      <c r="M355">
        <f t="shared" si="61"/>
        <v>2.5650259911999997</v>
      </c>
      <c r="N355" s="9"/>
      <c r="O355" s="22">
        <v>1.63727</v>
      </c>
      <c r="P355" s="22">
        <v>107.44499999999999</v>
      </c>
      <c r="Q355" s="22">
        <v>-1.6235400000000001E-2</v>
      </c>
      <c r="R355" s="22">
        <v>345</v>
      </c>
      <c r="S355" s="22">
        <v>1.63696</v>
      </c>
      <c r="T355">
        <f t="shared" si="62"/>
        <v>16.235400000000002</v>
      </c>
      <c r="U355">
        <f t="shared" si="63"/>
        <v>26.581733358000005</v>
      </c>
      <c r="X355" s="9"/>
      <c r="Y355" s="22">
        <v>0.142822</v>
      </c>
      <c r="Z355" s="22">
        <v>197.60400000000001</v>
      </c>
      <c r="AA355" s="22">
        <v>-1.8060300000000001E-2</v>
      </c>
      <c r="AB355" s="22">
        <v>345</v>
      </c>
      <c r="AC355" s="22">
        <v>0.14239499999999999</v>
      </c>
      <c r="AD355">
        <f t="shared" si="64"/>
        <v>18.060300000000002</v>
      </c>
      <c r="AE355">
        <f t="shared" si="65"/>
        <v>2.5794081666000004</v>
      </c>
      <c r="AF355" s="9"/>
      <c r="AG355" s="22">
        <v>1.63727</v>
      </c>
      <c r="AH355" s="22">
        <v>311.91699999999997</v>
      </c>
      <c r="AI355" s="22">
        <v>-1.6082800000000001E-2</v>
      </c>
      <c r="AJ355" s="22">
        <v>345</v>
      </c>
      <c r="AK355" s="22">
        <v>1.63635</v>
      </c>
      <c r="AL355">
        <f t="shared" si="66"/>
        <v>16.082800000000002</v>
      </c>
      <c r="AM355">
        <f t="shared" si="67"/>
        <v>26.331885956000004</v>
      </c>
      <c r="AP355" s="9"/>
      <c r="AQ355" s="22">
        <v>0.142822</v>
      </c>
      <c r="AR355" s="22">
        <v>384.93</v>
      </c>
      <c r="AS355" s="22">
        <v>-1.8115200000000001E-2</v>
      </c>
      <c r="AT355" s="22">
        <v>345</v>
      </c>
      <c r="AU355" s="22">
        <v>0.14199800000000001</v>
      </c>
      <c r="AV355">
        <f t="shared" si="68"/>
        <v>18.115200000000002</v>
      </c>
      <c r="AW355">
        <f t="shared" si="69"/>
        <v>2.5872490944000002</v>
      </c>
      <c r="AX355" s="9"/>
      <c r="AY355" s="22">
        <v>1.63727</v>
      </c>
      <c r="AZ355" s="22">
        <v>437.35899999999998</v>
      </c>
      <c r="BA355" s="22">
        <v>-1.60889E-2</v>
      </c>
      <c r="BB355" s="22">
        <v>345</v>
      </c>
      <c r="BC355" s="22">
        <v>1.63635</v>
      </c>
      <c r="BD355">
        <f t="shared" si="70"/>
        <v>16.088899999999999</v>
      </c>
      <c r="BE355">
        <f t="shared" si="71"/>
        <v>26.341873303</v>
      </c>
    </row>
    <row r="356" spans="6:57">
      <c r="F356" s="9"/>
      <c r="G356" s="22">
        <v>0.13778699999999999</v>
      </c>
      <c r="H356" s="22">
        <v>50.2361</v>
      </c>
      <c r="I356" s="22">
        <v>-1.7962599999999999E-2</v>
      </c>
      <c r="J356" s="22">
        <v>346</v>
      </c>
      <c r="K356" s="22">
        <v>0.13705400000000001</v>
      </c>
      <c r="L356">
        <f t="shared" si="60"/>
        <v>17.962599999999998</v>
      </c>
      <c r="M356">
        <f t="shared" si="61"/>
        <v>2.4750127661999994</v>
      </c>
      <c r="N356" s="9"/>
      <c r="O356" s="22">
        <v>1.6423000000000001</v>
      </c>
      <c r="P356" s="22">
        <v>107.54600000000001</v>
      </c>
      <c r="Q356" s="22">
        <v>-1.61987E-2</v>
      </c>
      <c r="R356" s="22">
        <v>346</v>
      </c>
      <c r="S356" s="22">
        <v>1.64185</v>
      </c>
      <c r="T356">
        <f t="shared" si="62"/>
        <v>16.198699999999999</v>
      </c>
      <c r="U356">
        <f t="shared" si="63"/>
        <v>26.603125009999999</v>
      </c>
      <c r="X356" s="9"/>
      <c r="Y356" s="22">
        <v>0.13778699999999999</v>
      </c>
      <c r="Z356" s="22">
        <v>197.70400000000001</v>
      </c>
      <c r="AA356" s="22">
        <v>-1.8060300000000001E-2</v>
      </c>
      <c r="AB356" s="22">
        <v>346</v>
      </c>
      <c r="AC356" s="22">
        <v>0.136993</v>
      </c>
      <c r="AD356">
        <f t="shared" si="64"/>
        <v>18.060300000000002</v>
      </c>
      <c r="AE356">
        <f t="shared" si="65"/>
        <v>2.4884745560999999</v>
      </c>
      <c r="AF356" s="9"/>
      <c r="AG356" s="22">
        <v>1.6423000000000001</v>
      </c>
      <c r="AH356" s="22">
        <v>312.017</v>
      </c>
      <c r="AI356" s="22">
        <v>-1.6012599999999998E-2</v>
      </c>
      <c r="AJ356" s="22">
        <v>346</v>
      </c>
      <c r="AK356" s="22">
        <v>1.64124</v>
      </c>
      <c r="AL356">
        <f t="shared" si="66"/>
        <v>16.012599999999999</v>
      </c>
      <c r="AM356">
        <f t="shared" si="67"/>
        <v>26.297492980000001</v>
      </c>
      <c r="AP356" s="9"/>
      <c r="AQ356" s="22">
        <v>0.13778699999999999</v>
      </c>
      <c r="AR356" s="22">
        <v>385.03100000000001</v>
      </c>
      <c r="AS356" s="22">
        <v>-1.8115200000000001E-2</v>
      </c>
      <c r="AT356" s="22">
        <v>346</v>
      </c>
      <c r="AU356" s="22">
        <v>0.13717699999999999</v>
      </c>
      <c r="AV356">
        <f t="shared" si="68"/>
        <v>18.115200000000002</v>
      </c>
      <c r="AW356">
        <f t="shared" si="69"/>
        <v>2.4960390624</v>
      </c>
      <c r="AX356" s="9"/>
      <c r="AY356" s="22">
        <v>1.6423000000000001</v>
      </c>
      <c r="AZ356" s="22">
        <v>437.459</v>
      </c>
      <c r="BA356" s="22">
        <v>-1.6015600000000001E-2</v>
      </c>
      <c r="BB356" s="22">
        <v>346</v>
      </c>
      <c r="BC356" s="22">
        <v>1.64124</v>
      </c>
      <c r="BD356">
        <f t="shared" si="70"/>
        <v>16.015600000000003</v>
      </c>
      <c r="BE356">
        <f t="shared" si="71"/>
        <v>26.302419880000006</v>
      </c>
    </row>
    <row r="357" spans="6:57">
      <c r="F357" s="9"/>
      <c r="G357" s="22">
        <v>0.13275100000000001</v>
      </c>
      <c r="H357" s="22">
        <v>50.336799999999997</v>
      </c>
      <c r="I357" s="22">
        <v>-1.7965700000000001E-2</v>
      </c>
      <c r="J357" s="22">
        <v>347</v>
      </c>
      <c r="K357" s="22">
        <v>0.13220199999999999</v>
      </c>
      <c r="L357">
        <f t="shared" si="60"/>
        <v>17.965700000000002</v>
      </c>
      <c r="M357">
        <f t="shared" si="61"/>
        <v>2.3849646407000002</v>
      </c>
      <c r="N357" s="9"/>
      <c r="O357" s="22">
        <v>1.64734</v>
      </c>
      <c r="P357" s="22">
        <v>107.64700000000001</v>
      </c>
      <c r="Q357" s="22">
        <v>-1.6146899999999999E-2</v>
      </c>
      <c r="R357" s="22">
        <v>347</v>
      </c>
      <c r="S357" s="22">
        <v>1.64581</v>
      </c>
      <c r="T357">
        <f t="shared" si="62"/>
        <v>16.146899999999999</v>
      </c>
      <c r="U357">
        <f t="shared" si="63"/>
        <v>26.599434245999998</v>
      </c>
      <c r="X357" s="9"/>
      <c r="Y357" s="22">
        <v>0.13275100000000001</v>
      </c>
      <c r="Z357" s="22">
        <v>197.80500000000001</v>
      </c>
      <c r="AA357" s="22">
        <v>-1.80664E-2</v>
      </c>
      <c r="AB357" s="22">
        <v>347</v>
      </c>
      <c r="AC357" s="22">
        <v>0.13223299999999999</v>
      </c>
      <c r="AD357">
        <f t="shared" si="64"/>
        <v>18.066400000000002</v>
      </c>
      <c r="AE357">
        <f t="shared" si="65"/>
        <v>2.3983326664000004</v>
      </c>
      <c r="AF357" s="9"/>
      <c r="AG357" s="22">
        <v>1.64734</v>
      </c>
      <c r="AH357" s="22">
        <v>312.11799999999999</v>
      </c>
      <c r="AI357" s="22">
        <v>-1.5945399999999998E-2</v>
      </c>
      <c r="AJ357" s="22">
        <v>347</v>
      </c>
      <c r="AK357" s="22">
        <v>1.64642</v>
      </c>
      <c r="AL357">
        <f t="shared" si="66"/>
        <v>15.945399999999999</v>
      </c>
      <c r="AM357">
        <f t="shared" si="67"/>
        <v>26.267495235999998</v>
      </c>
      <c r="AP357" s="9"/>
      <c r="AQ357" s="22">
        <v>0.13275100000000001</v>
      </c>
      <c r="AR357" s="22">
        <v>385.13099999999997</v>
      </c>
      <c r="AS357" s="22">
        <v>-1.81183E-2</v>
      </c>
      <c r="AT357" s="22">
        <v>347</v>
      </c>
      <c r="AU357" s="22">
        <v>0.13205</v>
      </c>
      <c r="AV357">
        <f t="shared" si="68"/>
        <v>18.118300000000001</v>
      </c>
      <c r="AW357">
        <f t="shared" si="69"/>
        <v>2.4052224433000005</v>
      </c>
      <c r="AX357" s="9"/>
      <c r="AY357" s="22">
        <v>1.64734</v>
      </c>
      <c r="AZ357" s="22">
        <v>437.56</v>
      </c>
      <c r="BA357" s="22">
        <v>-1.5942399999999999E-2</v>
      </c>
      <c r="BB357" s="22">
        <v>347</v>
      </c>
      <c r="BC357" s="22">
        <v>1.64581</v>
      </c>
      <c r="BD357">
        <f t="shared" si="70"/>
        <v>15.942399999999999</v>
      </c>
      <c r="BE357">
        <f t="shared" si="71"/>
        <v>26.262553216000001</v>
      </c>
    </row>
    <row r="358" spans="6:57">
      <c r="F358" s="9"/>
      <c r="G358" s="22">
        <v>0.127716</v>
      </c>
      <c r="H358" s="22">
        <v>50.4375</v>
      </c>
      <c r="I358" s="22">
        <v>-1.79688E-2</v>
      </c>
      <c r="J358" s="22">
        <v>348</v>
      </c>
      <c r="K358" s="22">
        <v>0.12698400000000001</v>
      </c>
      <c r="L358">
        <f t="shared" si="60"/>
        <v>17.968800000000002</v>
      </c>
      <c r="M358">
        <f t="shared" si="61"/>
        <v>2.2949032608</v>
      </c>
      <c r="N358" s="9"/>
      <c r="O358" s="22">
        <v>1.6523699999999999</v>
      </c>
      <c r="P358" s="22">
        <v>107.747</v>
      </c>
      <c r="Q358" s="22">
        <v>-1.6098000000000001E-2</v>
      </c>
      <c r="R358" s="22">
        <v>348</v>
      </c>
      <c r="S358" s="22">
        <v>1.65161</v>
      </c>
      <c r="T358">
        <f t="shared" si="62"/>
        <v>16.098000000000003</v>
      </c>
      <c r="U358">
        <f t="shared" si="63"/>
        <v>26.599852260000002</v>
      </c>
      <c r="X358" s="9"/>
      <c r="Y358" s="22">
        <v>0.127716</v>
      </c>
      <c r="Z358" s="22">
        <v>197.90600000000001</v>
      </c>
      <c r="AA358" s="22">
        <v>-1.8072499999999998E-2</v>
      </c>
      <c r="AB358" s="22">
        <v>348</v>
      </c>
      <c r="AC358" s="22">
        <v>0.12698400000000001</v>
      </c>
      <c r="AD358">
        <f t="shared" si="64"/>
        <v>18.072499999999998</v>
      </c>
      <c r="AE358">
        <f t="shared" si="65"/>
        <v>2.3081474099999997</v>
      </c>
      <c r="AF358" s="9"/>
      <c r="AG358" s="22">
        <v>1.6523699999999999</v>
      </c>
      <c r="AH358" s="22">
        <v>312.21899999999999</v>
      </c>
      <c r="AI358" s="22">
        <v>-1.58722E-2</v>
      </c>
      <c r="AJ358" s="22">
        <v>348</v>
      </c>
      <c r="AK358" s="22">
        <v>1.65161</v>
      </c>
      <c r="AL358">
        <f t="shared" si="66"/>
        <v>15.872199999999999</v>
      </c>
      <c r="AM358">
        <f t="shared" si="67"/>
        <v>26.226747113999998</v>
      </c>
      <c r="AP358" s="9"/>
      <c r="AQ358" s="22">
        <v>0.127716</v>
      </c>
      <c r="AR358" s="22">
        <v>385.23200000000003</v>
      </c>
      <c r="AS358" s="22">
        <v>-1.81213E-2</v>
      </c>
      <c r="AT358" s="22">
        <v>348</v>
      </c>
      <c r="AU358" s="22">
        <v>0.12704499999999999</v>
      </c>
      <c r="AV358">
        <f t="shared" si="68"/>
        <v>18.121300000000002</v>
      </c>
      <c r="AW358">
        <f t="shared" si="69"/>
        <v>2.3143799508000003</v>
      </c>
      <c r="AX358" s="9"/>
      <c r="AY358" s="22">
        <v>1.6523699999999999</v>
      </c>
      <c r="AZ358" s="22">
        <v>437.661</v>
      </c>
      <c r="BA358" s="22">
        <v>-1.5869100000000001E-2</v>
      </c>
      <c r="BB358" s="22">
        <v>348</v>
      </c>
      <c r="BC358" s="22">
        <v>1.6513100000000001</v>
      </c>
      <c r="BD358">
        <f t="shared" si="70"/>
        <v>15.869100000000001</v>
      </c>
      <c r="BE358">
        <f t="shared" si="71"/>
        <v>26.221624767000002</v>
      </c>
    </row>
    <row r="359" spans="6:57">
      <c r="F359" s="9"/>
      <c r="G359" s="22">
        <v>0.122681</v>
      </c>
      <c r="H359" s="22">
        <v>50.538200000000003</v>
      </c>
      <c r="I359" s="22">
        <v>-1.79688E-2</v>
      </c>
      <c r="J359" s="22">
        <v>349</v>
      </c>
      <c r="K359" s="22">
        <v>0.12204</v>
      </c>
      <c r="L359">
        <f t="shared" si="60"/>
        <v>17.968800000000002</v>
      </c>
      <c r="M359">
        <f t="shared" si="61"/>
        <v>2.2044303528000002</v>
      </c>
      <c r="N359" s="9"/>
      <c r="O359" s="22">
        <v>1.65741</v>
      </c>
      <c r="P359" s="22">
        <v>107.848</v>
      </c>
      <c r="Q359" s="22">
        <v>-1.6043100000000001E-2</v>
      </c>
      <c r="R359" s="22">
        <v>349</v>
      </c>
      <c r="S359" s="22">
        <v>1.6561900000000001</v>
      </c>
      <c r="T359">
        <f t="shared" si="62"/>
        <v>16.043100000000003</v>
      </c>
      <c r="U359">
        <f t="shared" si="63"/>
        <v>26.589994371000007</v>
      </c>
      <c r="X359" s="9"/>
      <c r="Y359" s="22">
        <v>0.122681</v>
      </c>
      <c r="Z359" s="22">
        <v>198.00700000000001</v>
      </c>
      <c r="AA359" s="22">
        <v>-1.8075600000000001E-2</v>
      </c>
      <c r="AB359" s="22">
        <v>349</v>
      </c>
      <c r="AC359" s="22">
        <v>0.122101</v>
      </c>
      <c r="AD359">
        <f t="shared" si="64"/>
        <v>18.075600000000001</v>
      </c>
      <c r="AE359">
        <f t="shared" si="65"/>
        <v>2.2175326836</v>
      </c>
      <c r="AF359" s="9"/>
      <c r="AG359" s="22">
        <v>1.65741</v>
      </c>
      <c r="AH359" s="22">
        <v>312.32</v>
      </c>
      <c r="AI359" s="22">
        <v>-1.5799000000000001E-2</v>
      </c>
      <c r="AJ359" s="22">
        <v>349</v>
      </c>
      <c r="AK359" s="22">
        <v>1.65649</v>
      </c>
      <c r="AL359">
        <f t="shared" si="66"/>
        <v>15.799000000000001</v>
      </c>
      <c r="AM359">
        <f t="shared" si="67"/>
        <v>26.185420590000003</v>
      </c>
      <c r="AP359" s="9"/>
      <c r="AQ359" s="22">
        <v>0.122681</v>
      </c>
      <c r="AR359" s="22">
        <v>385.33300000000003</v>
      </c>
      <c r="AS359" s="22">
        <v>-1.8124399999999999E-2</v>
      </c>
      <c r="AT359" s="22">
        <v>349</v>
      </c>
      <c r="AU359" s="22">
        <v>0.12204</v>
      </c>
      <c r="AV359">
        <f t="shared" si="68"/>
        <v>18.124399999999998</v>
      </c>
      <c r="AW359">
        <f t="shared" si="69"/>
        <v>2.2235195163999997</v>
      </c>
      <c r="AX359" s="9"/>
      <c r="AY359" s="22">
        <v>1.65741</v>
      </c>
      <c r="AZ359" s="22">
        <v>437.762</v>
      </c>
      <c r="BA359" s="22">
        <v>-1.57898E-2</v>
      </c>
      <c r="BB359" s="22">
        <v>349</v>
      </c>
      <c r="BC359" s="22">
        <v>1.6561900000000001</v>
      </c>
      <c r="BD359">
        <f t="shared" si="70"/>
        <v>15.7898</v>
      </c>
      <c r="BE359">
        <f t="shared" si="71"/>
        <v>26.170172418</v>
      </c>
    </row>
    <row r="360" spans="6:57">
      <c r="F360" s="9"/>
      <c r="G360" s="22">
        <v>0.117645</v>
      </c>
      <c r="H360" s="22">
        <v>50.6389</v>
      </c>
      <c r="I360" s="22">
        <v>-1.7974899999999999E-2</v>
      </c>
      <c r="J360" s="22">
        <v>350</v>
      </c>
      <c r="K360" s="22">
        <v>0.117065</v>
      </c>
      <c r="L360">
        <f t="shared" si="60"/>
        <v>17.974899999999998</v>
      </c>
      <c r="M360">
        <f t="shared" si="61"/>
        <v>2.1146571104999996</v>
      </c>
      <c r="N360" s="9"/>
      <c r="O360" s="22">
        <v>1.66245</v>
      </c>
      <c r="P360" s="22">
        <v>107.949</v>
      </c>
      <c r="Q360" s="22">
        <v>-1.5991200000000001E-2</v>
      </c>
      <c r="R360" s="22">
        <v>350</v>
      </c>
      <c r="S360" s="22">
        <v>1.66168</v>
      </c>
      <c r="T360">
        <f t="shared" si="62"/>
        <v>15.991200000000001</v>
      </c>
      <c r="U360">
        <f t="shared" si="63"/>
        <v>26.58457044</v>
      </c>
      <c r="X360" s="9"/>
      <c r="Y360" s="22">
        <v>0.117645</v>
      </c>
      <c r="Z360" s="22">
        <v>198.107</v>
      </c>
      <c r="AA360" s="22">
        <v>-1.80786E-2</v>
      </c>
      <c r="AB360" s="22">
        <v>350</v>
      </c>
      <c r="AC360" s="22">
        <v>0.117035</v>
      </c>
      <c r="AD360">
        <f t="shared" si="64"/>
        <v>18.078600000000002</v>
      </c>
      <c r="AE360">
        <f t="shared" si="65"/>
        <v>2.1268568970000001</v>
      </c>
      <c r="AF360" s="9"/>
      <c r="AG360" s="22">
        <v>1.66245</v>
      </c>
      <c r="AH360" s="22">
        <v>312.42</v>
      </c>
      <c r="AI360" s="22">
        <v>-1.5716600000000001E-2</v>
      </c>
      <c r="AJ360" s="22">
        <v>350</v>
      </c>
      <c r="AK360" s="22">
        <v>1.6613800000000001</v>
      </c>
      <c r="AL360">
        <f t="shared" si="66"/>
        <v>15.716600000000001</v>
      </c>
      <c r="AM360">
        <f t="shared" si="67"/>
        <v>26.128061670000001</v>
      </c>
      <c r="AP360" s="9"/>
      <c r="AQ360" s="22">
        <v>0.117645</v>
      </c>
      <c r="AR360" s="22">
        <v>385.43299999999999</v>
      </c>
      <c r="AS360" s="22">
        <v>-1.8127399999999998E-2</v>
      </c>
      <c r="AT360" s="22">
        <v>350</v>
      </c>
      <c r="AU360" s="22">
        <v>0.117035</v>
      </c>
      <c r="AV360">
        <f t="shared" si="68"/>
        <v>18.127399999999998</v>
      </c>
      <c r="AW360">
        <f t="shared" si="69"/>
        <v>2.1325979729999998</v>
      </c>
      <c r="AX360" s="9"/>
      <c r="AY360" s="22">
        <v>1.66245</v>
      </c>
      <c r="AZ360" s="22">
        <v>437.86200000000002</v>
      </c>
      <c r="BA360" s="22">
        <v>-1.5704300000000001E-2</v>
      </c>
      <c r="BB360" s="22">
        <v>350</v>
      </c>
      <c r="BC360" s="22">
        <v>1.6613800000000001</v>
      </c>
      <c r="BD360">
        <f t="shared" si="70"/>
        <v>15.704300000000002</v>
      </c>
      <c r="BE360">
        <f t="shared" si="71"/>
        <v>26.107613535000002</v>
      </c>
    </row>
    <row r="361" spans="6:57">
      <c r="F361" s="9"/>
      <c r="G361" s="22">
        <v>0.11261</v>
      </c>
      <c r="H361" s="22">
        <v>50.739699999999999</v>
      </c>
      <c r="I361" s="22">
        <v>-1.7977900000000002E-2</v>
      </c>
      <c r="J361" s="22">
        <v>351</v>
      </c>
      <c r="K361" s="22">
        <v>0.112091</v>
      </c>
      <c r="L361">
        <f t="shared" si="60"/>
        <v>17.977900000000002</v>
      </c>
      <c r="M361">
        <f t="shared" si="61"/>
        <v>2.024491319</v>
      </c>
      <c r="N361" s="9"/>
      <c r="O361" s="22">
        <v>1.6674800000000001</v>
      </c>
      <c r="P361" s="22">
        <v>108.05</v>
      </c>
      <c r="Q361" s="22">
        <v>-1.5921000000000001E-2</v>
      </c>
      <c r="R361" s="22">
        <v>351</v>
      </c>
      <c r="S361" s="22">
        <v>1.66656</v>
      </c>
      <c r="T361">
        <f t="shared" si="62"/>
        <v>15.921000000000001</v>
      </c>
      <c r="U361">
        <f t="shared" si="63"/>
        <v>26.547949080000002</v>
      </c>
      <c r="X361" s="9"/>
      <c r="Y361" s="22">
        <v>0.11261</v>
      </c>
      <c r="Z361" s="22">
        <v>198.208</v>
      </c>
      <c r="AA361" s="22">
        <v>-1.80786E-2</v>
      </c>
      <c r="AB361" s="22">
        <v>351</v>
      </c>
      <c r="AC361" s="22">
        <v>0.11221299999999999</v>
      </c>
      <c r="AD361">
        <f t="shared" si="64"/>
        <v>18.078600000000002</v>
      </c>
      <c r="AE361">
        <f t="shared" si="65"/>
        <v>2.035831146</v>
      </c>
      <c r="AF361" s="9"/>
      <c r="AG361" s="22">
        <v>1.6674800000000001</v>
      </c>
      <c r="AH361" s="22">
        <v>312.52100000000002</v>
      </c>
      <c r="AI361" s="22">
        <v>-1.5628099999999999E-2</v>
      </c>
      <c r="AJ361" s="22">
        <v>351</v>
      </c>
      <c r="AK361" s="22">
        <v>1.66656</v>
      </c>
      <c r="AL361">
        <f t="shared" si="66"/>
        <v>15.628099999999998</v>
      </c>
      <c r="AM361">
        <f t="shared" si="67"/>
        <v>26.059544187999997</v>
      </c>
      <c r="AP361" s="9"/>
      <c r="AQ361" s="22">
        <v>0.11261</v>
      </c>
      <c r="AR361" s="22">
        <v>385.53399999999999</v>
      </c>
      <c r="AS361" s="22">
        <v>-1.81335E-2</v>
      </c>
      <c r="AT361" s="22">
        <v>351</v>
      </c>
      <c r="AU361" s="22">
        <v>0.11203</v>
      </c>
      <c r="AV361">
        <f t="shared" si="68"/>
        <v>18.133500000000002</v>
      </c>
      <c r="AW361">
        <f t="shared" si="69"/>
        <v>2.0420134350000003</v>
      </c>
      <c r="AX361" s="9"/>
      <c r="AY361" s="22">
        <v>1.6674800000000001</v>
      </c>
      <c r="AZ361" s="22">
        <v>437.96300000000002</v>
      </c>
      <c r="BA361" s="22">
        <v>-1.56128E-2</v>
      </c>
      <c r="BB361" s="22">
        <v>351</v>
      </c>
      <c r="BC361" s="22">
        <v>1.6668700000000001</v>
      </c>
      <c r="BD361">
        <f t="shared" si="70"/>
        <v>15.6128</v>
      </c>
      <c r="BE361">
        <f t="shared" si="71"/>
        <v>26.034031744</v>
      </c>
    </row>
    <row r="362" spans="6:57">
      <c r="F362" s="9"/>
      <c r="G362" s="22">
        <v>0.107574</v>
      </c>
      <c r="H362" s="22">
        <v>50.840400000000002</v>
      </c>
      <c r="I362" s="22">
        <v>-1.7981E-2</v>
      </c>
      <c r="J362" s="22">
        <v>352</v>
      </c>
      <c r="K362" s="22">
        <v>0.107025</v>
      </c>
      <c r="L362">
        <f t="shared" si="60"/>
        <v>17.981000000000002</v>
      </c>
      <c r="M362">
        <f t="shared" si="61"/>
        <v>1.9342880940000002</v>
      </c>
      <c r="N362" s="9"/>
      <c r="O362" s="22">
        <v>1.67252</v>
      </c>
      <c r="P362" s="22">
        <v>108.15</v>
      </c>
      <c r="Q362" s="22">
        <v>-1.5862999999999999E-2</v>
      </c>
      <c r="R362" s="22">
        <v>352</v>
      </c>
      <c r="S362" s="22">
        <v>1.6717500000000001</v>
      </c>
      <c r="T362">
        <f t="shared" si="62"/>
        <v>15.862999999999998</v>
      </c>
      <c r="U362">
        <f t="shared" si="63"/>
        <v>26.531184759999995</v>
      </c>
      <c r="X362" s="9"/>
      <c r="Y362" s="22">
        <v>0.107574</v>
      </c>
      <c r="Z362" s="22">
        <v>198.309</v>
      </c>
      <c r="AA362" s="22">
        <v>-1.8084699999999999E-2</v>
      </c>
      <c r="AB362" s="22">
        <v>352</v>
      </c>
      <c r="AC362" s="22">
        <v>0.10699500000000001</v>
      </c>
      <c r="AD362">
        <f t="shared" si="64"/>
        <v>18.084699999999998</v>
      </c>
      <c r="AE362">
        <f t="shared" si="65"/>
        <v>1.9454435177999998</v>
      </c>
      <c r="AF362" s="9"/>
      <c r="AG362" s="22">
        <v>1.67252</v>
      </c>
      <c r="AH362" s="22">
        <v>312.62200000000001</v>
      </c>
      <c r="AI362" s="22">
        <v>-1.55487E-2</v>
      </c>
      <c r="AJ362" s="22">
        <v>352</v>
      </c>
      <c r="AK362" s="22">
        <v>1.6714500000000001</v>
      </c>
      <c r="AL362">
        <f t="shared" si="66"/>
        <v>15.5487</v>
      </c>
      <c r="AM362">
        <f t="shared" si="67"/>
        <v>26.005511724000002</v>
      </c>
      <c r="AP362" s="9"/>
      <c r="AQ362" s="22">
        <v>0.107574</v>
      </c>
      <c r="AR362" s="22">
        <v>385.63499999999999</v>
      </c>
      <c r="AS362" s="22">
        <v>-1.8136599999999999E-2</v>
      </c>
      <c r="AT362" s="22">
        <v>352</v>
      </c>
      <c r="AU362" s="22">
        <v>0.106903</v>
      </c>
      <c r="AV362">
        <f t="shared" si="68"/>
        <v>18.136599999999998</v>
      </c>
      <c r="AW362">
        <f t="shared" si="69"/>
        <v>1.9510266083999999</v>
      </c>
      <c r="AX362" s="9"/>
      <c r="AY362" s="22">
        <v>1.67252</v>
      </c>
      <c r="AZ362" s="22">
        <v>438.06400000000002</v>
      </c>
      <c r="BA362" s="22">
        <v>-1.5512099999999999E-2</v>
      </c>
      <c r="BB362" s="22">
        <v>352</v>
      </c>
      <c r="BC362" s="22">
        <v>1.6711400000000001</v>
      </c>
      <c r="BD362">
        <f t="shared" si="70"/>
        <v>15.512099999999998</v>
      </c>
      <c r="BE362">
        <f t="shared" si="71"/>
        <v>25.944297491999997</v>
      </c>
    </row>
    <row r="363" spans="6:57">
      <c r="F363" s="9"/>
      <c r="G363" s="22">
        <v>0.10253900000000001</v>
      </c>
      <c r="H363" s="22">
        <v>50.941099999999999</v>
      </c>
      <c r="I363" s="22">
        <v>-1.7984E-2</v>
      </c>
      <c r="J363" s="22">
        <v>353</v>
      </c>
      <c r="K363" s="22">
        <v>0.10202</v>
      </c>
      <c r="L363">
        <f t="shared" si="60"/>
        <v>17.984000000000002</v>
      </c>
      <c r="M363">
        <f t="shared" si="61"/>
        <v>1.8440613760000002</v>
      </c>
      <c r="N363" s="9"/>
      <c r="O363" s="22">
        <v>1.6775500000000001</v>
      </c>
      <c r="P363" s="22">
        <v>108.251</v>
      </c>
      <c r="Q363" s="22">
        <v>-1.5768399999999998E-2</v>
      </c>
      <c r="R363" s="22">
        <v>353</v>
      </c>
      <c r="S363" s="22">
        <v>1.6769400000000001</v>
      </c>
      <c r="T363">
        <f t="shared" si="62"/>
        <v>15.768399999999998</v>
      </c>
      <c r="U363">
        <f t="shared" si="63"/>
        <v>26.452279419999996</v>
      </c>
      <c r="X363" s="9"/>
      <c r="Y363" s="22">
        <v>0.10253900000000001</v>
      </c>
      <c r="Z363" s="22">
        <v>198.40899999999999</v>
      </c>
      <c r="AA363" s="22">
        <v>-1.8084699999999999E-2</v>
      </c>
      <c r="AB363" s="22">
        <v>353</v>
      </c>
      <c r="AC363" s="22">
        <v>0.10195899999999999</v>
      </c>
      <c r="AD363">
        <f t="shared" si="64"/>
        <v>18.084699999999998</v>
      </c>
      <c r="AE363">
        <f t="shared" si="65"/>
        <v>1.8543870533</v>
      </c>
      <c r="AF363" s="9"/>
      <c r="AG363" s="22">
        <v>1.6775500000000001</v>
      </c>
      <c r="AH363" s="22">
        <v>312.72199999999998</v>
      </c>
      <c r="AI363" s="22">
        <v>-1.54419E-2</v>
      </c>
      <c r="AJ363" s="22">
        <v>353</v>
      </c>
      <c r="AK363" s="22">
        <v>1.6766399999999999</v>
      </c>
      <c r="AL363">
        <f t="shared" si="66"/>
        <v>15.4419</v>
      </c>
      <c r="AM363">
        <f t="shared" si="67"/>
        <v>25.904559345000003</v>
      </c>
      <c r="AP363" s="9"/>
      <c r="AQ363" s="22">
        <v>0.10253900000000001</v>
      </c>
      <c r="AR363" s="22">
        <v>385.73599999999999</v>
      </c>
      <c r="AS363" s="22">
        <v>-1.8136599999999999E-2</v>
      </c>
      <c r="AT363" s="22">
        <v>353</v>
      </c>
      <c r="AU363" s="22">
        <v>0.101898</v>
      </c>
      <c r="AV363">
        <f t="shared" si="68"/>
        <v>18.136599999999998</v>
      </c>
      <c r="AW363">
        <f t="shared" si="69"/>
        <v>1.8597088273999998</v>
      </c>
      <c r="AX363" s="9"/>
      <c r="AY363" s="22">
        <v>1.6775500000000001</v>
      </c>
      <c r="AZ363" s="22">
        <v>438.16399999999999</v>
      </c>
      <c r="BA363" s="22">
        <v>-1.54022E-2</v>
      </c>
      <c r="BB363" s="22">
        <v>353</v>
      </c>
      <c r="BC363" s="22">
        <v>1.6763300000000001</v>
      </c>
      <c r="BD363">
        <f t="shared" si="70"/>
        <v>15.402199999999999</v>
      </c>
      <c r="BE363">
        <f t="shared" si="71"/>
        <v>25.83796061</v>
      </c>
    </row>
    <row r="364" spans="6:57">
      <c r="F364" s="9"/>
      <c r="G364" s="22">
        <v>9.7503699999999999E-2</v>
      </c>
      <c r="H364" s="22">
        <v>51.041800000000002</v>
      </c>
      <c r="I364" s="22">
        <v>-1.7990099999999998E-2</v>
      </c>
      <c r="J364" s="22">
        <v>354</v>
      </c>
      <c r="K364" s="22">
        <v>9.7015400000000002E-2</v>
      </c>
      <c r="L364">
        <f t="shared" si="60"/>
        <v>17.990099999999998</v>
      </c>
      <c r="M364">
        <f t="shared" si="61"/>
        <v>1.7541013133699999</v>
      </c>
      <c r="N364" s="9"/>
      <c r="O364" s="22">
        <v>1.68259</v>
      </c>
      <c r="P364" s="22">
        <v>108.352</v>
      </c>
      <c r="Q364" s="22">
        <v>-1.5676900000000001E-2</v>
      </c>
      <c r="R364" s="22">
        <v>354</v>
      </c>
      <c r="S364" s="22">
        <v>1.6815199999999999</v>
      </c>
      <c r="T364">
        <f t="shared" si="62"/>
        <v>15.6769</v>
      </c>
      <c r="U364">
        <f t="shared" si="63"/>
        <v>26.377795170999999</v>
      </c>
      <c r="X364" s="9"/>
      <c r="Y364" s="22">
        <v>9.7503699999999999E-2</v>
      </c>
      <c r="Z364" s="22">
        <v>198.51</v>
      </c>
      <c r="AA364" s="22">
        <v>-1.8090800000000001E-2</v>
      </c>
      <c r="AB364" s="22">
        <v>354</v>
      </c>
      <c r="AC364" s="22">
        <v>9.6893300000000002E-2</v>
      </c>
      <c r="AD364">
        <f t="shared" si="64"/>
        <v>18.090800000000002</v>
      </c>
      <c r="AE364">
        <f t="shared" si="65"/>
        <v>1.7639199359600002</v>
      </c>
      <c r="AF364" s="9"/>
      <c r="AG364" s="22">
        <v>1.68259</v>
      </c>
      <c r="AH364" s="22">
        <v>312.82299999999998</v>
      </c>
      <c r="AI364" s="22">
        <v>-1.53198E-2</v>
      </c>
      <c r="AJ364" s="22">
        <v>354</v>
      </c>
      <c r="AK364" s="22">
        <v>1.6815199999999999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9.7503699999999999E-2</v>
      </c>
      <c r="AR364" s="22">
        <v>385.83600000000001</v>
      </c>
      <c r="AS364" s="22">
        <v>-1.8142700000000001E-2</v>
      </c>
      <c r="AT364" s="22">
        <v>354</v>
      </c>
      <c r="AU364" s="22">
        <v>9.6954299999999993E-2</v>
      </c>
      <c r="AV364">
        <f t="shared" si="68"/>
        <v>18.142700000000001</v>
      </c>
      <c r="AW364">
        <f t="shared" si="69"/>
        <v>1.7689803779900002</v>
      </c>
      <c r="AX364" s="9"/>
      <c r="AY364" s="22">
        <v>1.68259</v>
      </c>
      <c r="AZ364" s="22">
        <v>438.26499999999999</v>
      </c>
      <c r="BA364" s="22">
        <v>-1.5271E-2</v>
      </c>
      <c r="BB364" s="22">
        <v>354</v>
      </c>
      <c r="BC364" s="22">
        <v>1.6818200000000001</v>
      </c>
      <c r="BD364">
        <f t="shared" si="70"/>
        <v>15.270999999999999</v>
      </c>
      <c r="BE364">
        <f t="shared" si="71"/>
        <v>25.69483189</v>
      </c>
    </row>
    <row r="365" spans="6:57">
      <c r="F365" s="9"/>
      <c r="G365" s="22">
        <v>9.2468300000000003E-2</v>
      </c>
      <c r="H365" s="22">
        <v>51.142499999999998</v>
      </c>
      <c r="I365" s="22">
        <v>-1.7993200000000001E-2</v>
      </c>
      <c r="J365" s="22">
        <v>355</v>
      </c>
      <c r="K365" s="22">
        <v>9.1888399999999995E-2</v>
      </c>
      <c r="L365">
        <f t="shared" si="60"/>
        <v>17.993200000000002</v>
      </c>
      <c r="M365">
        <f t="shared" si="61"/>
        <v>1.6638006155600003</v>
      </c>
      <c r="N365" s="9"/>
      <c r="O365" s="22">
        <v>1.6876199999999999</v>
      </c>
      <c r="P365" s="22">
        <v>108.452</v>
      </c>
      <c r="Q365" s="22">
        <v>-1.5588400000000001E-2</v>
      </c>
      <c r="R365" s="22">
        <v>355</v>
      </c>
      <c r="S365" s="22">
        <v>1.6863999999999999</v>
      </c>
      <c r="T365">
        <f t="shared" si="62"/>
        <v>15.5884</v>
      </c>
      <c r="U365">
        <f t="shared" si="63"/>
        <v>26.307295607999997</v>
      </c>
      <c r="X365" s="9"/>
      <c r="Y365" s="22">
        <v>9.2468300000000003E-2</v>
      </c>
      <c r="Z365" s="22">
        <v>198.61099999999999</v>
      </c>
      <c r="AA365" s="22">
        <v>-1.80939E-2</v>
      </c>
      <c r="AB365" s="22">
        <v>355</v>
      </c>
      <c r="AC365" s="22">
        <v>9.2040999999999998E-2</v>
      </c>
      <c r="AD365">
        <f t="shared" si="64"/>
        <v>18.093899999999998</v>
      </c>
      <c r="AE365">
        <f t="shared" si="65"/>
        <v>1.6731121733699998</v>
      </c>
      <c r="AF365" s="9"/>
      <c r="AG365" s="22">
        <v>1.6876199999999999</v>
      </c>
      <c r="AH365" s="22">
        <v>312.92399999999998</v>
      </c>
      <c r="AI365" s="22">
        <v>-1.521E-2</v>
      </c>
      <c r="AJ365" s="22">
        <v>355</v>
      </c>
      <c r="AK365" s="22">
        <v>1.6867099999999999</v>
      </c>
      <c r="AL365">
        <f t="shared" si="66"/>
        <v>15.209999999999999</v>
      </c>
      <c r="AM365">
        <f t="shared" si="67"/>
        <v>25.668700199999996</v>
      </c>
      <c r="AP365" s="9"/>
      <c r="AQ365" s="22">
        <v>9.2468300000000003E-2</v>
      </c>
      <c r="AR365" s="22">
        <v>385.93700000000001</v>
      </c>
      <c r="AS365" s="22">
        <v>-1.81458E-2</v>
      </c>
      <c r="AT365" s="22">
        <v>355</v>
      </c>
      <c r="AU365" s="22">
        <v>9.1827400000000003E-2</v>
      </c>
      <c r="AV365">
        <f t="shared" si="68"/>
        <v>18.145800000000001</v>
      </c>
      <c r="AW365">
        <f t="shared" si="69"/>
        <v>1.6779112781400001</v>
      </c>
      <c r="AX365" s="9"/>
      <c r="AY365" s="22">
        <v>1.6876199999999999</v>
      </c>
      <c r="AZ365" s="22">
        <v>438.36599999999999</v>
      </c>
      <c r="BA365" s="22">
        <v>-1.51672E-2</v>
      </c>
      <c r="BB365" s="22">
        <v>355</v>
      </c>
      <c r="BC365" s="22">
        <v>1.6870099999999999</v>
      </c>
      <c r="BD365">
        <f t="shared" si="70"/>
        <v>15.167200000000001</v>
      </c>
      <c r="BE365">
        <f t="shared" si="71"/>
        <v>25.596470064000002</v>
      </c>
    </row>
    <row r="366" spans="6:57">
      <c r="F366" s="9"/>
      <c r="G366" s="22">
        <v>8.7432899999999994E-2</v>
      </c>
      <c r="H366" s="22">
        <v>51.243200000000002</v>
      </c>
      <c r="I366" s="22">
        <v>-1.79962E-2</v>
      </c>
      <c r="J366" s="22">
        <v>356</v>
      </c>
      <c r="K366" s="22">
        <v>8.6822499999999997E-2</v>
      </c>
      <c r="L366">
        <f t="shared" si="60"/>
        <v>17.996200000000002</v>
      </c>
      <c r="M366">
        <f t="shared" si="61"/>
        <v>1.5734599549800001</v>
      </c>
      <c r="N366" s="9"/>
      <c r="O366" s="22">
        <v>1.6926600000000001</v>
      </c>
      <c r="P366" s="22">
        <v>108.553</v>
      </c>
      <c r="Q366" s="22">
        <v>-1.54877E-2</v>
      </c>
      <c r="R366" s="22">
        <v>356</v>
      </c>
      <c r="S366" s="22">
        <v>1.6915899999999999</v>
      </c>
      <c r="T366">
        <f t="shared" si="62"/>
        <v>15.4877</v>
      </c>
      <c r="U366">
        <f t="shared" si="63"/>
        <v>26.215410282000001</v>
      </c>
      <c r="X366" s="9"/>
      <c r="Y366" s="22">
        <v>8.7432899999999994E-2</v>
      </c>
      <c r="Z366" s="22">
        <v>198.71199999999999</v>
      </c>
      <c r="AA366" s="22">
        <v>-1.80939E-2</v>
      </c>
      <c r="AB366" s="22">
        <v>356</v>
      </c>
      <c r="AC366" s="22">
        <v>8.6822499999999997E-2</v>
      </c>
      <c r="AD366">
        <f t="shared" si="64"/>
        <v>18.093899999999998</v>
      </c>
      <c r="AE366">
        <f t="shared" si="65"/>
        <v>1.5820021493099996</v>
      </c>
      <c r="AF366" s="9"/>
      <c r="AG366" s="22">
        <v>1.6926600000000001</v>
      </c>
      <c r="AH366" s="22">
        <v>313.02499999999998</v>
      </c>
      <c r="AI366" s="22">
        <v>-1.50787E-2</v>
      </c>
      <c r="AJ366" s="22">
        <v>356</v>
      </c>
      <c r="AK366" s="22">
        <v>1.6918899999999999</v>
      </c>
      <c r="AL366">
        <f t="shared" si="66"/>
        <v>15.078700000000001</v>
      </c>
      <c r="AM366">
        <f t="shared" si="67"/>
        <v>25.523112342000005</v>
      </c>
      <c r="AP366" s="9"/>
      <c r="AQ366" s="22">
        <v>8.7432899999999994E-2</v>
      </c>
      <c r="AR366" s="22">
        <v>386.03800000000001</v>
      </c>
      <c r="AS366" s="22">
        <v>-1.8151899999999999E-2</v>
      </c>
      <c r="AT366" s="22">
        <v>356</v>
      </c>
      <c r="AU366" s="22">
        <v>8.7188699999999994E-2</v>
      </c>
      <c r="AV366">
        <f t="shared" si="68"/>
        <v>18.151899999999998</v>
      </c>
      <c r="AW366">
        <f t="shared" si="69"/>
        <v>1.5870732575099997</v>
      </c>
      <c r="AX366" s="9"/>
      <c r="AY366" s="22">
        <v>1.6926600000000001</v>
      </c>
      <c r="AZ366" s="22">
        <v>438.46600000000001</v>
      </c>
      <c r="BA366" s="22">
        <v>-1.5026899999999999E-2</v>
      </c>
      <c r="BB366" s="22">
        <v>356</v>
      </c>
      <c r="BC366" s="22">
        <v>1.6915899999999999</v>
      </c>
      <c r="BD366">
        <f t="shared" si="70"/>
        <v>15.026899999999999</v>
      </c>
      <c r="BE366">
        <f t="shared" si="71"/>
        <v>25.435432553999998</v>
      </c>
    </row>
    <row r="367" spans="6:57">
      <c r="F367" s="9"/>
      <c r="G367" s="22">
        <v>8.2397499999999999E-2</v>
      </c>
      <c r="H367" s="22">
        <v>51.343899999999998</v>
      </c>
      <c r="I367" s="22">
        <v>-1.7999299999999999E-2</v>
      </c>
      <c r="J367" s="22">
        <v>357</v>
      </c>
      <c r="K367" s="22">
        <v>8.1817600000000004E-2</v>
      </c>
      <c r="L367">
        <f t="shared" si="60"/>
        <v>17.999299999999998</v>
      </c>
      <c r="M367">
        <f t="shared" si="61"/>
        <v>1.4830973217499999</v>
      </c>
      <c r="N367" s="9"/>
      <c r="O367" s="22">
        <v>1.6976899999999999</v>
      </c>
      <c r="P367" s="22">
        <v>108.654</v>
      </c>
      <c r="Q367" s="22">
        <v>-1.53778E-2</v>
      </c>
      <c r="R367" s="22">
        <v>357</v>
      </c>
      <c r="S367" s="22">
        <v>1.69617</v>
      </c>
      <c r="T367">
        <f t="shared" si="62"/>
        <v>15.377800000000001</v>
      </c>
      <c r="U367">
        <f t="shared" si="63"/>
        <v>26.106737282000001</v>
      </c>
      <c r="X367" s="9"/>
      <c r="Y367" s="22">
        <v>8.2397499999999999E-2</v>
      </c>
      <c r="Z367" s="22">
        <v>198.81200000000001</v>
      </c>
      <c r="AA367" s="22">
        <v>-1.8100000000000002E-2</v>
      </c>
      <c r="AB367" s="22">
        <v>357</v>
      </c>
      <c r="AC367" s="22">
        <v>8.1848099999999993E-2</v>
      </c>
      <c r="AD367">
        <f t="shared" si="64"/>
        <v>18.100000000000001</v>
      </c>
      <c r="AE367">
        <f t="shared" si="65"/>
        <v>1.49139475</v>
      </c>
      <c r="AF367" s="9"/>
      <c r="AG367" s="22">
        <v>1.6976899999999999</v>
      </c>
      <c r="AH367" s="22">
        <v>313.125</v>
      </c>
      <c r="AI367" s="22">
        <v>-1.4926099999999999E-2</v>
      </c>
      <c r="AJ367" s="22">
        <v>357</v>
      </c>
      <c r="AK367" s="22">
        <v>1.69678</v>
      </c>
      <c r="AL367">
        <f t="shared" si="66"/>
        <v>14.9261</v>
      </c>
      <c r="AM367">
        <f t="shared" si="67"/>
        <v>25.339890708999999</v>
      </c>
      <c r="AP367" s="9"/>
      <c r="AQ367" s="22">
        <v>8.2397499999999999E-2</v>
      </c>
      <c r="AR367" s="22">
        <v>386.13799999999998</v>
      </c>
      <c r="AS367" s="22">
        <v>-1.8154900000000002E-2</v>
      </c>
      <c r="AT367" s="22">
        <v>357</v>
      </c>
      <c r="AU367" s="22">
        <v>8.2000699999999996E-2</v>
      </c>
      <c r="AV367">
        <f t="shared" si="68"/>
        <v>18.154900000000001</v>
      </c>
      <c r="AW367">
        <f t="shared" si="69"/>
        <v>1.4959183727500001</v>
      </c>
      <c r="AX367" s="9"/>
      <c r="AY367" s="22">
        <v>1.6976899999999999</v>
      </c>
      <c r="AZ367" s="22">
        <v>438.56700000000001</v>
      </c>
      <c r="BA367" s="22">
        <v>-1.48529E-2</v>
      </c>
      <c r="BB367" s="22">
        <v>357</v>
      </c>
      <c r="BC367" s="22">
        <v>1.69678</v>
      </c>
      <c r="BD367">
        <f t="shared" si="70"/>
        <v>14.8529</v>
      </c>
      <c r="BE367">
        <f t="shared" si="71"/>
        <v>25.215619800999999</v>
      </c>
    </row>
    <row r="368" spans="6:57">
      <c r="F368" s="9"/>
      <c r="G368" s="22">
        <v>7.7362100000000003E-2</v>
      </c>
      <c r="H368" s="22">
        <v>51.444600000000001</v>
      </c>
      <c r="I368" s="22">
        <v>-1.8002299999999999E-2</v>
      </c>
      <c r="J368" s="22">
        <v>358</v>
      </c>
      <c r="K368" s="22">
        <v>7.6721200000000003E-2</v>
      </c>
      <c r="L368">
        <f t="shared" si="60"/>
        <v>18.002299999999998</v>
      </c>
      <c r="M368">
        <f t="shared" si="61"/>
        <v>1.3926957328299998</v>
      </c>
      <c r="N368" s="9"/>
      <c r="O368" s="22">
        <v>1.7027300000000001</v>
      </c>
      <c r="P368" s="22">
        <v>108.754</v>
      </c>
      <c r="Q368" s="22">
        <v>-1.5261800000000001E-2</v>
      </c>
      <c r="R368" s="22">
        <v>358</v>
      </c>
      <c r="S368" s="22">
        <v>1.70166</v>
      </c>
      <c r="T368">
        <f t="shared" si="62"/>
        <v>15.261800000000001</v>
      </c>
      <c r="U368">
        <f t="shared" si="63"/>
        <v>25.986724714000001</v>
      </c>
      <c r="X368" s="9"/>
      <c r="Y368" s="22">
        <v>7.7362100000000003E-2</v>
      </c>
      <c r="Z368" s="22">
        <v>198.91300000000001</v>
      </c>
      <c r="AA368" s="22">
        <v>-1.8100000000000002E-2</v>
      </c>
      <c r="AB368" s="22">
        <v>358</v>
      </c>
      <c r="AC368" s="22">
        <v>7.6812699999999998E-2</v>
      </c>
      <c r="AD368">
        <f t="shared" si="64"/>
        <v>18.100000000000001</v>
      </c>
      <c r="AE368">
        <f t="shared" si="65"/>
        <v>1.4002540100000003</v>
      </c>
      <c r="AF368" s="9"/>
      <c r="AG368" s="22">
        <v>1.7027300000000001</v>
      </c>
      <c r="AH368" s="22">
        <v>313.226</v>
      </c>
      <c r="AI368" s="22">
        <v>-1.47797E-2</v>
      </c>
      <c r="AJ368" s="22">
        <v>358</v>
      </c>
      <c r="AK368" s="22">
        <v>1.70197</v>
      </c>
      <c r="AL368">
        <f t="shared" si="66"/>
        <v>14.7797</v>
      </c>
      <c r="AM368">
        <f t="shared" si="67"/>
        <v>25.165838581000003</v>
      </c>
      <c r="AP368" s="9"/>
      <c r="AQ368" s="22">
        <v>7.7362100000000003E-2</v>
      </c>
      <c r="AR368" s="22">
        <v>386.23899999999998</v>
      </c>
      <c r="AS368" s="22">
        <v>-1.8158000000000001E-2</v>
      </c>
      <c r="AT368" s="22">
        <v>358</v>
      </c>
      <c r="AU368" s="22">
        <v>7.6873800000000006E-2</v>
      </c>
      <c r="AV368">
        <f t="shared" si="68"/>
        <v>18.158000000000001</v>
      </c>
      <c r="AW368">
        <f t="shared" si="69"/>
        <v>1.4047410118000001</v>
      </c>
      <c r="AX368" s="9"/>
      <c r="AY368" s="22">
        <v>1.7027300000000001</v>
      </c>
      <c r="AZ368" s="22">
        <v>438.66800000000001</v>
      </c>
      <c r="BA368" s="22">
        <v>-1.4694199999999999E-2</v>
      </c>
      <c r="BB368" s="22">
        <v>358</v>
      </c>
      <c r="BC368" s="22">
        <v>1.70166</v>
      </c>
      <c r="BD368">
        <f t="shared" si="70"/>
        <v>14.694199999999999</v>
      </c>
      <c r="BE368">
        <f t="shared" si="71"/>
        <v>25.020255165999998</v>
      </c>
    </row>
    <row r="369" spans="6:57">
      <c r="F369" s="9"/>
      <c r="G369" s="22">
        <v>7.2326699999999994E-2</v>
      </c>
      <c r="H369" s="22">
        <v>51.545299999999997</v>
      </c>
      <c r="I369" s="22">
        <v>-1.8005400000000001E-2</v>
      </c>
      <c r="J369" s="22">
        <v>359</v>
      </c>
      <c r="K369" s="22">
        <v>7.1594199999999997E-2</v>
      </c>
      <c r="L369">
        <f t="shared" si="60"/>
        <v>18.005400000000002</v>
      </c>
      <c r="M369">
        <f t="shared" si="61"/>
        <v>1.30227116418</v>
      </c>
      <c r="N369" s="9"/>
      <c r="O369" s="22">
        <v>1.7077599999999999</v>
      </c>
      <c r="P369" s="22">
        <v>108.855</v>
      </c>
      <c r="Q369" s="22">
        <v>-1.5136699999999999E-2</v>
      </c>
      <c r="R369" s="22">
        <v>359</v>
      </c>
      <c r="S369" s="22">
        <v>1.70685</v>
      </c>
      <c r="T369">
        <f t="shared" si="62"/>
        <v>15.136699999999999</v>
      </c>
      <c r="U369">
        <f t="shared" si="63"/>
        <v>25.849850791999998</v>
      </c>
      <c r="X369" s="9"/>
      <c r="Y369" s="22">
        <v>7.2326699999999994E-2</v>
      </c>
      <c r="Z369" s="22">
        <v>199.01400000000001</v>
      </c>
      <c r="AA369" s="22">
        <v>-1.8103000000000001E-2</v>
      </c>
      <c r="AB369" s="22">
        <v>359</v>
      </c>
      <c r="AC369" s="22">
        <v>7.1807899999999994E-2</v>
      </c>
      <c r="AD369">
        <f t="shared" si="64"/>
        <v>18.103000000000002</v>
      </c>
      <c r="AE369">
        <f t="shared" si="65"/>
        <v>1.3093302500999999</v>
      </c>
      <c r="AF369" s="9"/>
      <c r="AG369" s="22">
        <v>1.7077599999999999</v>
      </c>
      <c r="AH369" s="22">
        <v>313.327</v>
      </c>
      <c r="AI369" s="22">
        <v>-1.46179E-2</v>
      </c>
      <c r="AJ369" s="22">
        <v>359</v>
      </c>
      <c r="AK369" s="22">
        <v>1.70685</v>
      </c>
      <c r="AL369">
        <f t="shared" si="66"/>
        <v>14.617899999999999</v>
      </c>
      <c r="AM369">
        <f t="shared" si="67"/>
        <v>24.963864903999998</v>
      </c>
      <c r="AP369" s="9"/>
      <c r="AQ369" s="22">
        <v>7.2326699999999994E-2</v>
      </c>
      <c r="AR369" s="22">
        <v>386.34</v>
      </c>
      <c r="AS369" s="22">
        <v>-1.8167099999999999E-2</v>
      </c>
      <c r="AT369" s="22">
        <v>359</v>
      </c>
      <c r="AU369" s="22">
        <v>7.1777300000000002E-2</v>
      </c>
      <c r="AV369">
        <f t="shared" si="68"/>
        <v>18.167099999999998</v>
      </c>
      <c r="AW369">
        <f t="shared" si="69"/>
        <v>1.3139663915699997</v>
      </c>
      <c r="AX369" s="9"/>
      <c r="AY369" s="22">
        <v>1.7077599999999999</v>
      </c>
      <c r="AZ369" s="22">
        <v>438.76900000000001</v>
      </c>
      <c r="BA369" s="22">
        <v>-1.45325E-2</v>
      </c>
      <c r="BB369" s="22">
        <v>359</v>
      </c>
      <c r="BC369" s="22">
        <v>1.70746</v>
      </c>
      <c r="BD369">
        <f t="shared" si="70"/>
        <v>14.532500000000001</v>
      </c>
      <c r="BE369">
        <f t="shared" si="71"/>
        <v>24.818022200000001</v>
      </c>
    </row>
    <row r="370" spans="6:57">
      <c r="F370" s="9"/>
      <c r="G370" s="22">
        <v>6.7291299999999998E-2</v>
      </c>
      <c r="H370" s="22">
        <v>51.646000000000001</v>
      </c>
      <c r="I370" s="22">
        <v>-1.80115E-2</v>
      </c>
      <c r="J370" s="22">
        <v>360</v>
      </c>
      <c r="K370" s="22">
        <v>6.6711400000000004E-2</v>
      </c>
      <c r="L370">
        <f t="shared" si="60"/>
        <v>18.011499999999998</v>
      </c>
      <c r="M370">
        <f t="shared" si="61"/>
        <v>1.2120172499499999</v>
      </c>
      <c r="N370" s="9"/>
      <c r="O370" s="22">
        <v>1.7128000000000001</v>
      </c>
      <c r="P370" s="22">
        <v>108.956</v>
      </c>
      <c r="Q370" s="22">
        <v>-1.5008499999999999E-2</v>
      </c>
      <c r="R370" s="22">
        <v>360</v>
      </c>
      <c r="S370" s="22">
        <v>1.71234</v>
      </c>
      <c r="T370">
        <f t="shared" si="62"/>
        <v>15.0085</v>
      </c>
      <c r="U370">
        <f t="shared" si="63"/>
        <v>25.7065588</v>
      </c>
      <c r="X370" s="9"/>
      <c r="Y370" s="22">
        <v>6.7291299999999998E-2</v>
      </c>
      <c r="Z370" s="22">
        <v>199.114</v>
      </c>
      <c r="AA370" s="22">
        <v>-1.81091E-2</v>
      </c>
      <c r="AB370" s="22">
        <v>360</v>
      </c>
      <c r="AC370" s="22">
        <v>6.6711400000000004E-2</v>
      </c>
      <c r="AD370">
        <f t="shared" si="64"/>
        <v>18.109099999999998</v>
      </c>
      <c r="AE370">
        <f t="shared" si="65"/>
        <v>1.2185848808299999</v>
      </c>
      <c r="AF370" s="9"/>
      <c r="AG370" s="22">
        <v>1.7128000000000001</v>
      </c>
      <c r="AH370" s="22">
        <v>313.42700000000002</v>
      </c>
      <c r="AI370" s="22">
        <v>-1.44318E-2</v>
      </c>
      <c r="AJ370" s="22">
        <v>360</v>
      </c>
      <c r="AK370" s="22">
        <v>1.71173</v>
      </c>
      <c r="AL370">
        <f t="shared" si="66"/>
        <v>14.431799999999999</v>
      </c>
      <c r="AM370">
        <f t="shared" si="67"/>
        <v>24.718787039999999</v>
      </c>
      <c r="AP370" s="9"/>
      <c r="AQ370" s="22">
        <v>6.7291299999999998E-2</v>
      </c>
      <c r="AR370" s="22">
        <v>386.44099999999997</v>
      </c>
      <c r="AS370" s="22">
        <v>-1.8170200000000001E-2</v>
      </c>
      <c r="AT370" s="22">
        <v>360</v>
      </c>
      <c r="AU370" s="22">
        <v>6.6680900000000001E-2</v>
      </c>
      <c r="AV370">
        <f t="shared" si="68"/>
        <v>18.170200000000001</v>
      </c>
      <c r="AW370">
        <f t="shared" si="69"/>
        <v>1.2226963792600001</v>
      </c>
      <c r="AX370" s="9"/>
      <c r="AY370" s="22">
        <v>1.7128000000000001</v>
      </c>
      <c r="AZ370" s="22">
        <v>438.86900000000003</v>
      </c>
      <c r="BA370" s="22">
        <v>-1.43219E-2</v>
      </c>
      <c r="BB370" s="22">
        <v>360</v>
      </c>
      <c r="BC370" s="22">
        <v>1.71234</v>
      </c>
      <c r="BD370">
        <f t="shared" si="70"/>
        <v>14.321899999999999</v>
      </c>
      <c r="BE370">
        <f t="shared" si="71"/>
        <v>24.53055032</v>
      </c>
    </row>
    <row r="371" spans="6:57">
      <c r="F371" s="9"/>
      <c r="G371" s="22">
        <v>6.2255900000000003E-2</v>
      </c>
      <c r="H371" s="22">
        <v>51.746699999999997</v>
      </c>
      <c r="I371" s="22">
        <v>-1.8014499999999999E-2</v>
      </c>
      <c r="J371" s="22">
        <v>361</v>
      </c>
      <c r="K371" s="22">
        <v>6.1737100000000003E-2</v>
      </c>
      <c r="L371">
        <f t="shared" si="60"/>
        <v>18.014499999999998</v>
      </c>
      <c r="M371">
        <f t="shared" si="61"/>
        <v>1.12150891055</v>
      </c>
      <c r="N371" s="9"/>
      <c r="O371" s="22">
        <v>1.71783</v>
      </c>
      <c r="P371" s="22">
        <v>109.057</v>
      </c>
      <c r="Q371" s="22">
        <v>-1.48682E-2</v>
      </c>
      <c r="R371" s="22">
        <v>361</v>
      </c>
      <c r="S371" s="22">
        <v>1.71722</v>
      </c>
      <c r="T371">
        <f t="shared" si="62"/>
        <v>14.8682</v>
      </c>
      <c r="U371">
        <f t="shared" si="63"/>
        <v>25.541040005999999</v>
      </c>
      <c r="X371" s="9"/>
      <c r="Y371" s="22">
        <v>6.2255900000000003E-2</v>
      </c>
      <c r="Z371" s="22">
        <v>199.215</v>
      </c>
      <c r="AA371" s="22">
        <v>-1.8112199999999998E-2</v>
      </c>
      <c r="AB371" s="22">
        <v>361</v>
      </c>
      <c r="AC371" s="22">
        <v>6.1889600000000003E-2</v>
      </c>
      <c r="AD371">
        <f t="shared" si="64"/>
        <v>18.112199999999998</v>
      </c>
      <c r="AE371">
        <f t="shared" si="65"/>
        <v>1.1275913119799998</v>
      </c>
      <c r="AF371" s="9"/>
      <c r="AG371" s="22">
        <v>1.71783</v>
      </c>
      <c r="AH371" s="22">
        <v>313.52800000000002</v>
      </c>
      <c r="AI371" s="22">
        <v>-1.42151E-2</v>
      </c>
      <c r="AJ371" s="22">
        <v>361</v>
      </c>
      <c r="AK371" s="22">
        <v>1.71692</v>
      </c>
      <c r="AL371">
        <f t="shared" si="66"/>
        <v>14.2151</v>
      </c>
      <c r="AM371">
        <f t="shared" si="67"/>
        <v>24.419125232999999</v>
      </c>
      <c r="AP371" s="9"/>
      <c r="AQ371" s="22">
        <v>6.2255900000000003E-2</v>
      </c>
      <c r="AR371" s="22">
        <v>386.541</v>
      </c>
      <c r="AS371" s="22">
        <v>-1.81732E-2</v>
      </c>
      <c r="AT371" s="22">
        <v>361</v>
      </c>
      <c r="AU371" s="22">
        <v>6.1645499999999999E-2</v>
      </c>
      <c r="AV371">
        <f t="shared" si="68"/>
        <v>18.173200000000001</v>
      </c>
      <c r="AW371">
        <f t="shared" si="69"/>
        <v>1.1313889218800002</v>
      </c>
      <c r="AX371" s="9"/>
      <c r="AY371" s="22">
        <v>1.71783</v>
      </c>
      <c r="AZ371" s="22">
        <v>438.97</v>
      </c>
      <c r="BA371" s="22">
        <v>-1.40839E-2</v>
      </c>
      <c r="BB371" s="22">
        <v>361</v>
      </c>
      <c r="BC371" s="22">
        <v>1.71692</v>
      </c>
      <c r="BD371">
        <f t="shared" si="70"/>
        <v>14.0839</v>
      </c>
      <c r="BE371">
        <f t="shared" si="71"/>
        <v>24.193745936999999</v>
      </c>
    </row>
    <row r="372" spans="6:57">
      <c r="F372" s="9"/>
      <c r="G372" s="22">
        <v>5.7220500000000001E-2</v>
      </c>
      <c r="H372" s="22">
        <v>51.8474</v>
      </c>
      <c r="I372" s="22">
        <v>-1.8017600000000002E-2</v>
      </c>
      <c r="J372" s="22">
        <v>362</v>
      </c>
      <c r="K372" s="22">
        <v>5.6610099999999997E-2</v>
      </c>
      <c r="L372">
        <f t="shared" si="60"/>
        <v>18.017600000000002</v>
      </c>
      <c r="M372">
        <f t="shared" si="61"/>
        <v>1.0309760808000001</v>
      </c>
      <c r="N372" s="9"/>
      <c r="O372" s="22">
        <v>1.7228699999999999</v>
      </c>
      <c r="P372" s="22">
        <v>109.157</v>
      </c>
      <c r="Q372" s="22">
        <v>-1.4688100000000001E-2</v>
      </c>
      <c r="R372" s="22">
        <v>362</v>
      </c>
      <c r="S372" s="22">
        <v>1.72119</v>
      </c>
      <c r="T372">
        <f t="shared" si="62"/>
        <v>14.6881</v>
      </c>
      <c r="U372">
        <f t="shared" si="63"/>
        <v>25.305686847</v>
      </c>
      <c r="X372" s="9"/>
      <c r="Y372" s="22">
        <v>5.7220500000000001E-2</v>
      </c>
      <c r="Z372" s="22">
        <v>199.316</v>
      </c>
      <c r="AA372" s="22">
        <v>-1.81183E-2</v>
      </c>
      <c r="AB372" s="22">
        <v>362</v>
      </c>
      <c r="AC372" s="22">
        <v>5.6426999999999998E-2</v>
      </c>
      <c r="AD372">
        <f t="shared" si="64"/>
        <v>18.118300000000001</v>
      </c>
      <c r="AE372">
        <f t="shared" si="65"/>
        <v>1.0367381851500002</v>
      </c>
      <c r="AF372" s="9"/>
      <c r="AG372" s="22">
        <v>1.7228699999999999</v>
      </c>
      <c r="AH372" s="22">
        <v>313.62900000000002</v>
      </c>
      <c r="AI372" s="22">
        <v>-1.3998399999999999E-2</v>
      </c>
      <c r="AJ372" s="22">
        <v>362</v>
      </c>
      <c r="AK372" s="22">
        <v>1.72211</v>
      </c>
      <c r="AL372">
        <f t="shared" si="66"/>
        <v>13.9984</v>
      </c>
      <c r="AM372">
        <f t="shared" si="67"/>
        <v>24.117423408000001</v>
      </c>
      <c r="AP372" s="9"/>
      <c r="AQ372" s="22">
        <v>5.7220500000000001E-2</v>
      </c>
      <c r="AR372" s="22">
        <v>386.642</v>
      </c>
      <c r="AS372" s="22">
        <v>-1.8176299999999999E-2</v>
      </c>
      <c r="AT372" s="22">
        <v>362</v>
      </c>
      <c r="AU372" s="22">
        <v>5.6579600000000001E-2</v>
      </c>
      <c r="AV372">
        <f t="shared" si="68"/>
        <v>18.176299999999998</v>
      </c>
      <c r="AW372">
        <f t="shared" si="69"/>
        <v>1.0400569741499999</v>
      </c>
      <c r="AX372" s="9"/>
      <c r="AY372" s="22">
        <v>1.7228699999999999</v>
      </c>
      <c r="AZ372" s="22">
        <v>439.07100000000003</v>
      </c>
      <c r="BA372" s="22">
        <v>-1.3842800000000001E-2</v>
      </c>
      <c r="BB372" s="22">
        <v>362</v>
      </c>
      <c r="BC372" s="22">
        <v>1.7218</v>
      </c>
      <c r="BD372">
        <f t="shared" si="70"/>
        <v>13.8428</v>
      </c>
      <c r="BE372">
        <f t="shared" si="71"/>
        <v>23.849344836</v>
      </c>
    </row>
    <row r="373" spans="6:57">
      <c r="F373" s="9"/>
      <c r="G373" s="22">
        <v>5.2185099999999998E-2</v>
      </c>
      <c r="H373" s="22">
        <v>51.9482</v>
      </c>
      <c r="I373" s="22">
        <v>-1.80237E-2</v>
      </c>
      <c r="J373" s="22">
        <v>363</v>
      </c>
      <c r="K373" s="22">
        <v>5.1605199999999997E-2</v>
      </c>
      <c r="L373">
        <f t="shared" si="60"/>
        <v>18.023700000000002</v>
      </c>
      <c r="M373">
        <f t="shared" si="61"/>
        <v>0.94056858687</v>
      </c>
      <c r="N373" s="9"/>
      <c r="O373" s="22">
        <v>1.7279100000000001</v>
      </c>
      <c r="P373" s="22">
        <v>109.258</v>
      </c>
      <c r="Q373" s="22">
        <v>-1.4517199999999999E-2</v>
      </c>
      <c r="R373" s="22">
        <v>363</v>
      </c>
      <c r="S373" s="22">
        <v>1.72668</v>
      </c>
      <c r="T373">
        <f t="shared" si="62"/>
        <v>14.517199999999999</v>
      </c>
      <c r="U373">
        <f t="shared" si="63"/>
        <v>25.084415052000001</v>
      </c>
      <c r="X373" s="9"/>
      <c r="Y373" s="22">
        <v>5.2185099999999998E-2</v>
      </c>
      <c r="Z373" s="22">
        <v>199.417</v>
      </c>
      <c r="AA373" s="22">
        <v>-1.81183E-2</v>
      </c>
      <c r="AB373" s="22">
        <v>363</v>
      </c>
      <c r="AC373" s="22">
        <v>5.1696800000000001E-2</v>
      </c>
      <c r="AD373">
        <f t="shared" si="64"/>
        <v>18.118300000000001</v>
      </c>
      <c r="AE373">
        <f t="shared" si="65"/>
        <v>0.94550529732999999</v>
      </c>
      <c r="AF373" s="9"/>
      <c r="AG373" s="22">
        <v>1.7279100000000001</v>
      </c>
      <c r="AH373" s="22">
        <v>313.72899999999998</v>
      </c>
      <c r="AI373" s="22">
        <v>-1.3760400000000001E-2</v>
      </c>
      <c r="AJ373" s="22">
        <v>363</v>
      </c>
      <c r="AK373" s="22">
        <v>1.72699</v>
      </c>
      <c r="AL373">
        <f t="shared" si="66"/>
        <v>13.760400000000001</v>
      </c>
      <c r="AM373">
        <f t="shared" si="67"/>
        <v>23.776732764000002</v>
      </c>
      <c r="AP373" s="9"/>
      <c r="AQ373" s="22">
        <v>5.2185099999999998E-2</v>
      </c>
      <c r="AR373" s="22">
        <v>386.74299999999999</v>
      </c>
      <c r="AS373" s="22">
        <v>-1.8176299999999999E-2</v>
      </c>
      <c r="AT373" s="22">
        <v>363</v>
      </c>
      <c r="AU373" s="22">
        <v>5.1727299999999997E-2</v>
      </c>
      <c r="AV373">
        <f t="shared" si="68"/>
        <v>18.176299999999998</v>
      </c>
      <c r="AW373">
        <f t="shared" si="69"/>
        <v>0.9485320331299999</v>
      </c>
      <c r="AX373" s="9"/>
      <c r="AY373" s="22">
        <v>1.7279100000000001</v>
      </c>
      <c r="AZ373" s="22">
        <v>439.17099999999999</v>
      </c>
      <c r="BA373" s="22">
        <v>-1.35864E-2</v>
      </c>
      <c r="BB373" s="22">
        <v>363</v>
      </c>
      <c r="BC373" s="22">
        <v>1.72699</v>
      </c>
      <c r="BD373">
        <f t="shared" si="70"/>
        <v>13.586399999999999</v>
      </c>
      <c r="BE373">
        <f t="shared" si="71"/>
        <v>23.476076423999999</v>
      </c>
    </row>
    <row r="374" spans="6:57">
      <c r="F374" s="9"/>
      <c r="G374" s="22">
        <v>4.7149700000000003E-2</v>
      </c>
      <c r="H374" s="22">
        <v>52.048900000000003</v>
      </c>
      <c r="I374" s="22">
        <v>-1.80267E-2</v>
      </c>
      <c r="J374" s="22">
        <v>364</v>
      </c>
      <c r="K374" s="22">
        <v>4.7116100000000001E-2</v>
      </c>
      <c r="L374">
        <f t="shared" si="60"/>
        <v>18.026699999999998</v>
      </c>
      <c r="M374">
        <f t="shared" si="61"/>
        <v>0.84995349699</v>
      </c>
      <c r="N374" s="9"/>
      <c r="O374" s="22">
        <v>1.7329399999999999</v>
      </c>
      <c r="P374" s="22">
        <v>109.35899999999999</v>
      </c>
      <c r="Q374" s="22">
        <v>-1.43036E-2</v>
      </c>
      <c r="R374" s="22">
        <v>364</v>
      </c>
      <c r="S374" s="22">
        <v>1.73187</v>
      </c>
      <c r="T374">
        <f t="shared" si="62"/>
        <v>14.303599999999999</v>
      </c>
      <c r="U374">
        <f t="shared" si="63"/>
        <v>24.787280583999998</v>
      </c>
      <c r="X374" s="9"/>
      <c r="Y374" s="22">
        <v>4.7149700000000003E-2</v>
      </c>
      <c r="Z374" s="22">
        <v>199.517</v>
      </c>
      <c r="AA374" s="22">
        <v>-1.81213E-2</v>
      </c>
      <c r="AB374" s="22">
        <v>364</v>
      </c>
      <c r="AC374" s="22">
        <v>4.7146599999999997E-2</v>
      </c>
      <c r="AD374">
        <f t="shared" si="64"/>
        <v>18.121300000000002</v>
      </c>
      <c r="AE374">
        <f t="shared" si="65"/>
        <v>0.85441385861000008</v>
      </c>
      <c r="AF374" s="9"/>
      <c r="AG374" s="22">
        <v>1.7329399999999999</v>
      </c>
      <c r="AH374" s="22">
        <v>313.83</v>
      </c>
      <c r="AI374" s="22">
        <v>-1.3439899999999999E-2</v>
      </c>
      <c r="AJ374" s="22">
        <v>364</v>
      </c>
      <c r="AK374" s="22">
        <v>1.7321800000000001</v>
      </c>
      <c r="AL374">
        <f t="shared" si="66"/>
        <v>13.4399</v>
      </c>
      <c r="AM374">
        <f t="shared" si="67"/>
        <v>23.290540305999997</v>
      </c>
      <c r="AP374" s="9"/>
      <c r="AQ374" s="22">
        <v>4.7149700000000003E-2</v>
      </c>
      <c r="AR374" s="22">
        <v>386.84300000000002</v>
      </c>
      <c r="AS374" s="22">
        <v>-1.8182400000000001E-2</v>
      </c>
      <c r="AT374" s="22">
        <v>364</v>
      </c>
      <c r="AU374" s="22">
        <v>4.7033699999999998E-2</v>
      </c>
      <c r="AV374">
        <f t="shared" si="68"/>
        <v>18.182400000000001</v>
      </c>
      <c r="AW374">
        <f t="shared" si="69"/>
        <v>0.85729470528000007</v>
      </c>
      <c r="AX374" s="9"/>
      <c r="AY374" s="22">
        <v>1.7329399999999999</v>
      </c>
      <c r="AZ374" s="22">
        <v>439.27199999999999</v>
      </c>
      <c r="BA374" s="22">
        <v>-1.32721E-2</v>
      </c>
      <c r="BB374" s="22">
        <v>364</v>
      </c>
      <c r="BC374" s="22">
        <v>1.73248</v>
      </c>
      <c r="BD374">
        <f t="shared" si="70"/>
        <v>13.2721</v>
      </c>
      <c r="BE374">
        <f t="shared" si="71"/>
        <v>22.999752974</v>
      </c>
    </row>
    <row r="375" spans="6:57">
      <c r="F375" s="9"/>
      <c r="G375" s="22">
        <v>4.21143E-2</v>
      </c>
      <c r="H375" s="22">
        <v>52.1496</v>
      </c>
      <c r="I375" s="22">
        <v>-1.8029799999999999E-2</v>
      </c>
      <c r="J375" s="22">
        <v>365</v>
      </c>
      <c r="K375" s="22">
        <v>4.1952499999999997E-2</v>
      </c>
      <c r="L375">
        <f t="shared" si="60"/>
        <v>18.029799999999998</v>
      </c>
      <c r="M375">
        <f t="shared" si="61"/>
        <v>0.75931240613999995</v>
      </c>
      <c r="N375" s="9"/>
      <c r="O375" s="22">
        <v>1.7379800000000001</v>
      </c>
      <c r="P375" s="22">
        <v>109.459</v>
      </c>
      <c r="Q375" s="22">
        <v>-1.40961E-2</v>
      </c>
      <c r="R375" s="22">
        <v>365</v>
      </c>
      <c r="S375" s="22">
        <v>1.73706</v>
      </c>
      <c r="T375">
        <f t="shared" si="62"/>
        <v>14.0961</v>
      </c>
      <c r="U375">
        <f t="shared" si="63"/>
        <v>24.498739878000002</v>
      </c>
      <c r="X375" s="9"/>
      <c r="Y375" s="22">
        <v>4.21143E-2</v>
      </c>
      <c r="Z375" s="22">
        <v>199.61799999999999</v>
      </c>
      <c r="AA375" s="22">
        <v>-1.8127399999999998E-2</v>
      </c>
      <c r="AB375" s="22">
        <v>365</v>
      </c>
      <c r="AC375" s="22">
        <v>4.20197E-2</v>
      </c>
      <c r="AD375">
        <f t="shared" si="64"/>
        <v>18.127399999999998</v>
      </c>
      <c r="AE375">
        <f t="shared" si="65"/>
        <v>0.76342276181999991</v>
      </c>
      <c r="AF375" s="9"/>
      <c r="AG375" s="22">
        <v>1.7379800000000001</v>
      </c>
      <c r="AH375" s="22">
        <v>313.93099999999998</v>
      </c>
      <c r="AI375" s="22">
        <v>-1.31287E-2</v>
      </c>
      <c r="AJ375" s="22">
        <v>365</v>
      </c>
      <c r="AK375" s="22">
        <v>1.7367600000000001</v>
      </c>
      <c r="AL375">
        <f t="shared" si="66"/>
        <v>13.1287</v>
      </c>
      <c r="AM375">
        <f t="shared" si="67"/>
        <v>22.817418026000002</v>
      </c>
      <c r="AP375" s="9"/>
      <c r="AQ375" s="22">
        <v>4.21143E-2</v>
      </c>
      <c r="AR375" s="22">
        <v>386.94400000000002</v>
      </c>
      <c r="AS375" s="22">
        <v>-1.8182400000000001E-2</v>
      </c>
      <c r="AT375" s="22">
        <v>365</v>
      </c>
      <c r="AU375" s="22">
        <v>4.2071499999999998E-2</v>
      </c>
      <c r="AV375">
        <f t="shared" si="68"/>
        <v>18.182400000000001</v>
      </c>
      <c r="AW375">
        <f t="shared" si="69"/>
        <v>0.76573904832000006</v>
      </c>
      <c r="AX375" s="9"/>
      <c r="AY375" s="22">
        <v>1.7379800000000001</v>
      </c>
      <c r="AZ375" s="22">
        <v>439.37299999999999</v>
      </c>
      <c r="BA375" s="22">
        <v>-1.29272E-2</v>
      </c>
      <c r="BB375" s="22">
        <v>365</v>
      </c>
      <c r="BC375" s="22">
        <v>1.7367600000000001</v>
      </c>
      <c r="BD375">
        <f t="shared" si="70"/>
        <v>12.927199999999999</v>
      </c>
      <c r="BE375">
        <f t="shared" si="71"/>
        <v>22.467215056000001</v>
      </c>
    </row>
    <row r="376" spans="6:57">
      <c r="F376" s="9"/>
      <c r="G376" s="22">
        <v>3.7078899999999998E-2</v>
      </c>
      <c r="H376" s="22">
        <v>52.250300000000003</v>
      </c>
      <c r="I376" s="22">
        <v>-1.8032800000000002E-2</v>
      </c>
      <c r="J376" s="22">
        <v>366</v>
      </c>
      <c r="K376" s="22">
        <v>3.6938499999999999E-2</v>
      </c>
      <c r="L376">
        <f t="shared" si="60"/>
        <v>18.032800000000002</v>
      </c>
      <c r="M376">
        <f t="shared" si="61"/>
        <v>0.66863638792000002</v>
      </c>
      <c r="N376" s="9"/>
      <c r="O376" s="22">
        <v>1.7430099999999999</v>
      </c>
      <c r="P376" s="22">
        <v>109.56</v>
      </c>
      <c r="Q376" s="22">
        <v>-1.3848900000000001E-2</v>
      </c>
      <c r="R376" s="22">
        <v>366</v>
      </c>
      <c r="S376" s="22">
        <v>1.7422500000000001</v>
      </c>
      <c r="T376">
        <f t="shared" si="62"/>
        <v>13.8489</v>
      </c>
      <c r="U376">
        <f t="shared" si="63"/>
        <v>24.138771189</v>
      </c>
      <c r="X376" s="9"/>
      <c r="Y376" s="22">
        <v>3.7078899999999998E-2</v>
      </c>
      <c r="Z376" s="22">
        <v>199.71899999999999</v>
      </c>
      <c r="AA376" s="22">
        <v>-1.8127399999999998E-2</v>
      </c>
      <c r="AB376" s="22">
        <v>366</v>
      </c>
      <c r="AC376" s="22">
        <v>3.6996500000000002E-2</v>
      </c>
      <c r="AD376">
        <f t="shared" si="64"/>
        <v>18.127399999999998</v>
      </c>
      <c r="AE376">
        <f t="shared" si="65"/>
        <v>0.67214405185999992</v>
      </c>
      <c r="AF376" s="9"/>
      <c r="AG376" s="22">
        <v>1.7430099999999999</v>
      </c>
      <c r="AH376" s="22">
        <v>314.03199999999998</v>
      </c>
      <c r="AI376" s="22">
        <v>-1.28082E-2</v>
      </c>
      <c r="AJ376" s="22">
        <v>366</v>
      </c>
      <c r="AK376" s="22">
        <v>1.74194</v>
      </c>
      <c r="AL376">
        <f t="shared" si="66"/>
        <v>12.808200000000001</v>
      </c>
      <c r="AM376">
        <f t="shared" si="67"/>
        <v>22.324820682000002</v>
      </c>
      <c r="AP376" s="9"/>
      <c r="AQ376" s="22">
        <v>3.7078899999999998E-2</v>
      </c>
      <c r="AR376" s="22">
        <v>387.04500000000002</v>
      </c>
      <c r="AS376" s="22">
        <v>-1.8191499999999999E-2</v>
      </c>
      <c r="AT376" s="22">
        <v>366</v>
      </c>
      <c r="AU376" s="22">
        <v>3.6898800000000002E-2</v>
      </c>
      <c r="AV376">
        <f t="shared" si="68"/>
        <v>18.191499999999998</v>
      </c>
      <c r="AW376">
        <f t="shared" si="69"/>
        <v>0.67452080934999992</v>
      </c>
      <c r="AX376" s="9"/>
      <c r="AY376" s="22">
        <v>1.7430099999999999</v>
      </c>
      <c r="AZ376" s="22">
        <v>439.47399999999999</v>
      </c>
      <c r="BA376" s="22">
        <v>-1.25275E-2</v>
      </c>
      <c r="BB376" s="22">
        <v>366</v>
      </c>
      <c r="BC376" s="22">
        <v>1.7422500000000001</v>
      </c>
      <c r="BD376">
        <f t="shared" si="70"/>
        <v>12.5275</v>
      </c>
      <c r="BE376">
        <f t="shared" si="71"/>
        <v>21.835557774999998</v>
      </c>
    </row>
    <row r="377" spans="6:57">
      <c r="F377" s="9"/>
      <c r="G377" s="22">
        <v>3.2043500000000003E-2</v>
      </c>
      <c r="H377" s="22">
        <v>52.350999999999999</v>
      </c>
      <c r="I377" s="22">
        <v>-1.8035900000000001E-2</v>
      </c>
      <c r="J377" s="22">
        <v>367</v>
      </c>
      <c r="K377" s="22">
        <v>3.1912200000000002E-2</v>
      </c>
      <c r="L377">
        <f t="shared" si="60"/>
        <v>18.035900000000002</v>
      </c>
      <c r="M377">
        <f t="shared" si="61"/>
        <v>0.57793336165000009</v>
      </c>
      <c r="N377" s="9"/>
      <c r="O377" s="22">
        <v>1.7480500000000001</v>
      </c>
      <c r="P377" s="22">
        <v>109.661</v>
      </c>
      <c r="Q377" s="22">
        <v>-1.35681E-2</v>
      </c>
      <c r="R377" s="22">
        <v>367</v>
      </c>
      <c r="S377" s="22">
        <v>1.7471300000000001</v>
      </c>
      <c r="T377">
        <f t="shared" si="62"/>
        <v>13.568099999999999</v>
      </c>
      <c r="U377">
        <f t="shared" si="63"/>
        <v>23.717717205</v>
      </c>
      <c r="X377" s="9"/>
      <c r="Y377" s="22">
        <v>3.2043500000000003E-2</v>
      </c>
      <c r="Z377" s="22">
        <v>199.81899999999999</v>
      </c>
      <c r="AA377" s="22">
        <v>-1.8130500000000001E-2</v>
      </c>
      <c r="AB377" s="22">
        <v>367</v>
      </c>
      <c r="AC377" s="22">
        <v>3.2073999999999998E-2</v>
      </c>
      <c r="AD377">
        <f t="shared" si="64"/>
        <v>18.130500000000001</v>
      </c>
      <c r="AE377">
        <f t="shared" si="65"/>
        <v>0.58096467675000008</v>
      </c>
      <c r="AF377" s="9"/>
      <c r="AG377" s="22">
        <v>1.7480500000000001</v>
      </c>
      <c r="AH377" s="22">
        <v>314.13200000000001</v>
      </c>
      <c r="AI377" s="22">
        <v>-1.2411500000000001E-2</v>
      </c>
      <c r="AJ377" s="22">
        <v>367</v>
      </c>
      <c r="AK377" s="22">
        <v>1.7477400000000001</v>
      </c>
      <c r="AL377">
        <f t="shared" si="66"/>
        <v>12.4115</v>
      </c>
      <c r="AM377">
        <f t="shared" si="67"/>
        <v>21.695922575000001</v>
      </c>
      <c r="AP377" s="9"/>
      <c r="AQ377" s="22">
        <v>3.2043500000000003E-2</v>
      </c>
      <c r="AR377" s="22">
        <v>387.14499999999998</v>
      </c>
      <c r="AS377" s="22">
        <v>-1.8194599999999998E-2</v>
      </c>
      <c r="AT377" s="22">
        <v>367</v>
      </c>
      <c r="AU377" s="22">
        <v>3.1964100000000002E-2</v>
      </c>
      <c r="AV377">
        <f t="shared" si="68"/>
        <v>18.194599999999998</v>
      </c>
      <c r="AW377">
        <f t="shared" si="69"/>
        <v>0.5830186651</v>
      </c>
      <c r="AX377" s="9"/>
      <c r="AY377" s="22">
        <v>1.7480500000000001</v>
      </c>
      <c r="AZ377" s="22">
        <v>439.57400000000001</v>
      </c>
      <c r="BA377" s="22">
        <v>-1.2085E-2</v>
      </c>
      <c r="BB377" s="22">
        <v>367</v>
      </c>
      <c r="BC377" s="22">
        <v>1.7471300000000001</v>
      </c>
      <c r="BD377">
        <f t="shared" si="70"/>
        <v>12.085000000000001</v>
      </c>
      <c r="BE377">
        <f t="shared" si="71"/>
        <v>21.125184250000004</v>
      </c>
    </row>
    <row r="378" spans="6:57">
      <c r="F378" s="9"/>
      <c r="G378" s="22">
        <v>2.70081E-2</v>
      </c>
      <c r="H378" s="22">
        <v>52.451700000000002</v>
      </c>
      <c r="I378" s="22">
        <v>-1.8035900000000001E-2</v>
      </c>
      <c r="J378" s="22">
        <v>368</v>
      </c>
      <c r="K378" s="22">
        <v>2.6898200000000001E-2</v>
      </c>
      <c r="L378">
        <f t="shared" si="60"/>
        <v>18.035900000000002</v>
      </c>
      <c r="M378">
        <f t="shared" si="61"/>
        <v>0.48711539079000005</v>
      </c>
      <c r="N378" s="9"/>
      <c r="O378" s="22">
        <v>1.75308</v>
      </c>
      <c r="P378" s="22">
        <v>109.762</v>
      </c>
      <c r="Q378" s="22">
        <v>-1.3262899999999999E-2</v>
      </c>
      <c r="R378" s="22">
        <v>368</v>
      </c>
      <c r="S378" s="22">
        <v>1.7529300000000001</v>
      </c>
      <c r="T378">
        <f t="shared" si="62"/>
        <v>13.2629</v>
      </c>
      <c r="U378">
        <f t="shared" si="63"/>
        <v>23.250924732000001</v>
      </c>
      <c r="X378" s="9"/>
      <c r="Y378" s="22">
        <v>2.70081E-2</v>
      </c>
      <c r="Z378" s="22">
        <v>199.92</v>
      </c>
      <c r="AA378" s="22">
        <v>-1.81335E-2</v>
      </c>
      <c r="AB378" s="22">
        <v>368</v>
      </c>
      <c r="AC378" s="22">
        <v>2.6937900000000001E-2</v>
      </c>
      <c r="AD378">
        <f t="shared" si="64"/>
        <v>18.133500000000002</v>
      </c>
      <c r="AE378">
        <f t="shared" si="65"/>
        <v>0.48975138135000007</v>
      </c>
      <c r="AF378" s="9"/>
      <c r="AG378" s="22">
        <v>1.75308</v>
      </c>
      <c r="AH378" s="22">
        <v>314.233</v>
      </c>
      <c r="AI378" s="22">
        <v>-1.1892700000000001E-2</v>
      </c>
      <c r="AJ378" s="22">
        <v>368</v>
      </c>
      <c r="AK378" s="22">
        <v>1.7532300000000001</v>
      </c>
      <c r="AL378">
        <f t="shared" si="66"/>
        <v>11.892700000000001</v>
      </c>
      <c r="AM378">
        <f t="shared" si="67"/>
        <v>20.848854516000003</v>
      </c>
      <c r="AP378" s="9"/>
      <c r="AQ378" s="22">
        <v>2.70081E-2</v>
      </c>
      <c r="AR378" s="22">
        <v>387.24599999999998</v>
      </c>
      <c r="AS378" s="22">
        <v>-1.8194599999999998E-2</v>
      </c>
      <c r="AT378" s="22">
        <v>368</v>
      </c>
      <c r="AU378" s="22">
        <v>2.69287E-2</v>
      </c>
      <c r="AV378">
        <f t="shared" si="68"/>
        <v>18.194599999999998</v>
      </c>
      <c r="AW378">
        <f t="shared" si="69"/>
        <v>0.49140157625999992</v>
      </c>
      <c r="AX378" s="9"/>
      <c r="AY378" s="22">
        <v>1.75308</v>
      </c>
      <c r="AZ378" s="22">
        <v>439.67500000000001</v>
      </c>
      <c r="BA378" s="22">
        <v>-1.15234E-2</v>
      </c>
      <c r="BB378" s="22">
        <v>368</v>
      </c>
      <c r="BC378" s="22">
        <v>1.7517100000000001</v>
      </c>
      <c r="BD378">
        <f t="shared" si="70"/>
        <v>11.523399999999999</v>
      </c>
      <c r="BE378">
        <f t="shared" si="71"/>
        <v>20.201442071999999</v>
      </c>
    </row>
    <row r="379" spans="6:57">
      <c r="F379" s="9"/>
      <c r="G379" s="22">
        <v>2.1972700000000001E-2</v>
      </c>
      <c r="H379" s="22">
        <v>52.552399999999999</v>
      </c>
      <c r="I379" s="22">
        <v>-1.8044999999999999E-2</v>
      </c>
      <c r="J379" s="22">
        <v>369</v>
      </c>
      <c r="K379" s="22">
        <v>2.1859699999999999E-2</v>
      </c>
      <c r="L379">
        <f t="shared" si="60"/>
        <v>18.044999999999998</v>
      </c>
      <c r="M379">
        <f t="shared" si="61"/>
        <v>0.39649737149999997</v>
      </c>
      <c r="N379" s="9"/>
      <c r="O379" s="22">
        <v>1.7581199999999999</v>
      </c>
      <c r="P379" s="22">
        <v>109.86199999999999</v>
      </c>
      <c r="Q379" s="22">
        <v>-1.2881500000000001E-2</v>
      </c>
      <c r="R379" s="22">
        <v>369</v>
      </c>
      <c r="S379" s="22">
        <v>1.7572000000000001</v>
      </c>
      <c r="T379">
        <f t="shared" si="62"/>
        <v>12.881500000000001</v>
      </c>
      <c r="U379">
        <f t="shared" si="63"/>
        <v>22.64722278</v>
      </c>
      <c r="X379" s="9"/>
      <c r="Y379" s="22">
        <v>2.1972700000000001E-2</v>
      </c>
      <c r="Z379" s="22">
        <v>200.02099999999999</v>
      </c>
      <c r="AA379" s="22">
        <v>-1.81335E-2</v>
      </c>
      <c r="AB379" s="22">
        <v>369</v>
      </c>
      <c r="AC379" s="22">
        <v>2.1756000000000001E-2</v>
      </c>
      <c r="AD379">
        <f t="shared" si="64"/>
        <v>18.133500000000002</v>
      </c>
      <c r="AE379">
        <f t="shared" si="65"/>
        <v>0.39844195545000005</v>
      </c>
      <c r="AF379" s="9"/>
      <c r="AG379" s="22">
        <v>1.7581199999999999</v>
      </c>
      <c r="AH379" s="22">
        <v>314.334</v>
      </c>
      <c r="AI379" s="22">
        <v>-1.1340299999999999E-2</v>
      </c>
      <c r="AJ379" s="22">
        <v>369</v>
      </c>
      <c r="AK379" s="22">
        <v>1.7568999999999999</v>
      </c>
      <c r="AL379">
        <f t="shared" si="66"/>
        <v>11.340299999999999</v>
      </c>
      <c r="AM379">
        <f t="shared" si="67"/>
        <v>19.937608235999999</v>
      </c>
      <c r="AP379" s="9"/>
      <c r="AQ379" s="22">
        <v>2.1972700000000001E-2</v>
      </c>
      <c r="AR379" s="22">
        <v>387.34699999999998</v>
      </c>
      <c r="AS379" s="22">
        <v>-1.82007E-2</v>
      </c>
      <c r="AT379" s="22">
        <v>369</v>
      </c>
      <c r="AU379" s="22">
        <v>2.1832299999999999E-2</v>
      </c>
      <c r="AV379">
        <f t="shared" si="68"/>
        <v>18.200700000000001</v>
      </c>
      <c r="AW379">
        <f t="shared" si="69"/>
        <v>0.39991852089000007</v>
      </c>
      <c r="AX379" s="9"/>
      <c r="AY379" s="22">
        <v>1.7581199999999999</v>
      </c>
      <c r="AZ379" s="22">
        <v>439.77600000000001</v>
      </c>
      <c r="BA379" s="22">
        <v>-1.08521E-2</v>
      </c>
      <c r="BB379" s="22">
        <v>369</v>
      </c>
      <c r="BC379" s="22">
        <v>1.7575099999999999</v>
      </c>
      <c r="BD379">
        <f t="shared" si="70"/>
        <v>10.8521</v>
      </c>
      <c r="BE379">
        <f t="shared" si="71"/>
        <v>19.079294051999998</v>
      </c>
    </row>
    <row r="380" spans="6:57">
      <c r="F380" s="9"/>
      <c r="G380" s="22">
        <v>1.6937299999999999E-2</v>
      </c>
      <c r="H380" s="22">
        <v>52.653100000000002</v>
      </c>
      <c r="I380" s="22">
        <v>-1.8044999999999999E-2</v>
      </c>
      <c r="J380" s="22">
        <v>370</v>
      </c>
      <c r="K380" s="22">
        <v>1.6995199999999999E-2</v>
      </c>
      <c r="L380">
        <f t="shared" si="60"/>
        <v>18.044999999999998</v>
      </c>
      <c r="M380">
        <f t="shared" si="61"/>
        <v>0.30563357849999995</v>
      </c>
      <c r="N380" s="9"/>
      <c r="O380" s="22">
        <v>1.76315</v>
      </c>
      <c r="P380" s="22">
        <v>109.96299999999999</v>
      </c>
      <c r="Q380" s="22">
        <v>-1.2500000000000001E-2</v>
      </c>
      <c r="R380" s="22">
        <v>370</v>
      </c>
      <c r="S380" s="22">
        <v>1.7620800000000001</v>
      </c>
      <c r="T380">
        <f t="shared" si="62"/>
        <v>12.5</v>
      </c>
      <c r="U380">
        <f t="shared" si="63"/>
        <v>22.039375</v>
      </c>
      <c r="X380" s="9"/>
      <c r="Y380" s="22">
        <v>1.6937299999999999E-2</v>
      </c>
      <c r="Z380" s="22">
        <v>200.12100000000001</v>
      </c>
      <c r="AA380" s="22">
        <v>-1.8139599999999999E-2</v>
      </c>
      <c r="AB380" s="22">
        <v>370</v>
      </c>
      <c r="AC380" s="22">
        <v>1.6922E-2</v>
      </c>
      <c r="AD380">
        <f t="shared" si="64"/>
        <v>18.139599999999998</v>
      </c>
      <c r="AE380">
        <f t="shared" si="65"/>
        <v>0.30723584707999996</v>
      </c>
      <c r="AF380" s="9"/>
      <c r="AG380" s="22">
        <v>1.76315</v>
      </c>
      <c r="AH380" s="22">
        <v>314.43400000000003</v>
      </c>
      <c r="AI380" s="22">
        <v>-1.06354E-2</v>
      </c>
      <c r="AJ380" s="22">
        <v>370</v>
      </c>
      <c r="AK380" s="22">
        <v>1.7623899999999999</v>
      </c>
      <c r="AL380">
        <f t="shared" si="66"/>
        <v>10.635399999999999</v>
      </c>
      <c r="AM380">
        <f t="shared" si="67"/>
        <v>18.751805509999997</v>
      </c>
      <c r="AP380" s="9"/>
      <c r="AQ380" s="22">
        <v>1.6937299999999999E-2</v>
      </c>
      <c r="AR380" s="22">
        <v>387.44799999999998</v>
      </c>
      <c r="AS380" s="22">
        <v>-1.82037E-2</v>
      </c>
      <c r="AT380" s="22">
        <v>370</v>
      </c>
      <c r="AU380" s="22">
        <v>1.6836500000000001E-2</v>
      </c>
      <c r="AV380">
        <f t="shared" si="68"/>
        <v>18.203700000000001</v>
      </c>
      <c r="AW380">
        <f t="shared" si="69"/>
        <v>0.30832152801000001</v>
      </c>
      <c r="AX380" s="9"/>
      <c r="AY380" s="22">
        <v>1.76315</v>
      </c>
      <c r="AZ380" s="22">
        <v>439.87599999999998</v>
      </c>
      <c r="BA380" s="22">
        <v>-1.00708E-2</v>
      </c>
      <c r="BB380" s="22">
        <v>370</v>
      </c>
      <c r="BC380" s="22">
        <v>1.7620800000000001</v>
      </c>
      <c r="BD380">
        <f t="shared" si="70"/>
        <v>10.0708</v>
      </c>
      <c r="BE380">
        <f t="shared" si="71"/>
        <v>17.756331020000001</v>
      </c>
    </row>
    <row r="381" spans="6:57">
      <c r="F381" s="9"/>
      <c r="G381" s="22">
        <v>1.19019E-2</v>
      </c>
      <c r="H381" s="22">
        <v>52.753799999999998</v>
      </c>
      <c r="I381" s="22">
        <v>-1.80511E-2</v>
      </c>
      <c r="J381" s="22">
        <v>371</v>
      </c>
      <c r="K381" s="22">
        <v>1.17737E-2</v>
      </c>
      <c r="L381">
        <f t="shared" si="60"/>
        <v>18.051100000000002</v>
      </c>
      <c r="M381">
        <f t="shared" si="61"/>
        <v>0.21484238709000003</v>
      </c>
      <c r="N381" s="9"/>
      <c r="O381" s="22">
        <v>1.7681899999999999</v>
      </c>
      <c r="P381" s="22">
        <v>110.06399999999999</v>
      </c>
      <c r="Q381" s="22">
        <v>-1.2030000000000001E-2</v>
      </c>
      <c r="R381" s="22">
        <v>371</v>
      </c>
      <c r="S381" s="22">
        <v>1.7672699999999999</v>
      </c>
      <c r="T381">
        <f t="shared" si="62"/>
        <v>12.030000000000001</v>
      </c>
      <c r="U381">
        <f t="shared" si="63"/>
        <v>21.271325700000002</v>
      </c>
      <c r="X381" s="9"/>
      <c r="Y381" s="22">
        <v>1.19019E-2</v>
      </c>
      <c r="Z381" s="22">
        <v>200.22200000000001</v>
      </c>
      <c r="AA381" s="22">
        <v>-1.81458E-2</v>
      </c>
      <c r="AB381" s="22">
        <v>371</v>
      </c>
      <c r="AC381" s="22">
        <v>1.17249E-2</v>
      </c>
      <c r="AD381">
        <f t="shared" si="64"/>
        <v>18.145800000000001</v>
      </c>
      <c r="AE381">
        <f t="shared" si="65"/>
        <v>0.21596949702000001</v>
      </c>
      <c r="AF381" s="9"/>
      <c r="AG381" s="22">
        <v>1.7681899999999999</v>
      </c>
      <c r="AH381" s="22">
        <v>314.53500000000003</v>
      </c>
      <c r="AI381" s="22">
        <v>-9.8205600000000007E-3</v>
      </c>
      <c r="AJ381" s="22">
        <v>371</v>
      </c>
      <c r="AK381" s="22">
        <v>1.7675799999999999</v>
      </c>
      <c r="AL381">
        <f t="shared" si="66"/>
        <v>9.8205600000000004</v>
      </c>
      <c r="AM381">
        <f t="shared" si="67"/>
        <v>17.3646159864</v>
      </c>
      <c r="AP381" s="9"/>
      <c r="AQ381" s="22">
        <v>1.19019E-2</v>
      </c>
      <c r="AR381" s="22">
        <v>387.548</v>
      </c>
      <c r="AS381" s="22">
        <v>-1.82007E-2</v>
      </c>
      <c r="AT381" s="22">
        <v>371</v>
      </c>
      <c r="AU381" s="22">
        <v>1.17676E-2</v>
      </c>
      <c r="AV381">
        <f t="shared" si="68"/>
        <v>18.200700000000001</v>
      </c>
      <c r="AW381">
        <f t="shared" si="69"/>
        <v>0.21662291133</v>
      </c>
      <c r="AX381" s="9"/>
      <c r="AY381" s="22">
        <v>1.7681899999999999</v>
      </c>
      <c r="AZ381" s="22">
        <v>439.97699999999998</v>
      </c>
      <c r="BA381" s="22">
        <v>-9.1522200000000008E-3</v>
      </c>
      <c r="BB381" s="22">
        <v>371</v>
      </c>
      <c r="BC381" s="22">
        <v>1.7678799999999999</v>
      </c>
      <c r="BD381">
        <f t="shared" si="70"/>
        <v>9.1522200000000016</v>
      </c>
      <c r="BE381">
        <f t="shared" si="71"/>
        <v>16.182863881800003</v>
      </c>
    </row>
    <row r="382" spans="6:57">
      <c r="F382" s="9"/>
      <c r="G382" s="22">
        <v>6.8664599999999996E-3</v>
      </c>
      <c r="H382" s="22">
        <v>52.854500000000002</v>
      </c>
      <c r="I382" s="22">
        <v>-1.80511E-2</v>
      </c>
      <c r="J382" s="22">
        <v>372</v>
      </c>
      <c r="K382" s="22">
        <v>6.7962600000000001E-3</v>
      </c>
      <c r="L382">
        <f t="shared" si="60"/>
        <v>18.051100000000002</v>
      </c>
      <c r="M382">
        <f t="shared" si="61"/>
        <v>0.123947156106</v>
      </c>
      <c r="N382" s="9"/>
      <c r="O382" s="22">
        <v>1.77322</v>
      </c>
      <c r="P382" s="22">
        <v>110.164</v>
      </c>
      <c r="Q382" s="22">
        <v>-1.1438E-2</v>
      </c>
      <c r="R382" s="22">
        <v>372</v>
      </c>
      <c r="S382" s="22">
        <v>1.77216</v>
      </c>
      <c r="T382">
        <f t="shared" si="62"/>
        <v>11.438000000000001</v>
      </c>
      <c r="U382">
        <f t="shared" si="63"/>
        <v>20.282090360000002</v>
      </c>
      <c r="X382" s="9"/>
      <c r="Y382" s="22">
        <v>6.8664599999999996E-3</v>
      </c>
      <c r="Z382" s="22">
        <v>200.32300000000001</v>
      </c>
      <c r="AA382" s="22">
        <v>-1.81458E-2</v>
      </c>
      <c r="AB382" s="22">
        <v>372</v>
      </c>
      <c r="AC382" s="22">
        <v>6.6986099999999998E-3</v>
      </c>
      <c r="AD382">
        <f t="shared" si="64"/>
        <v>18.145800000000001</v>
      </c>
      <c r="AE382">
        <f t="shared" si="65"/>
        <v>0.124597409868</v>
      </c>
      <c r="AF382" s="9"/>
      <c r="AG382" s="22">
        <v>1.77322</v>
      </c>
      <c r="AH382" s="22">
        <v>314.63600000000002</v>
      </c>
      <c r="AI382" s="22">
        <v>-8.7951699999999997E-3</v>
      </c>
      <c r="AJ382" s="22">
        <v>372</v>
      </c>
      <c r="AK382" s="22">
        <v>1.7724599999999999</v>
      </c>
      <c r="AL382">
        <f t="shared" si="66"/>
        <v>8.7951700000000006</v>
      </c>
      <c r="AM382">
        <f t="shared" si="67"/>
        <v>15.595771347400001</v>
      </c>
      <c r="AP382" s="9"/>
      <c r="AQ382" s="22">
        <v>6.8664599999999996E-3</v>
      </c>
      <c r="AR382" s="22">
        <v>387.649</v>
      </c>
      <c r="AS382" s="22">
        <v>-1.8206799999999999E-2</v>
      </c>
      <c r="AT382" s="22">
        <v>372</v>
      </c>
      <c r="AU382" s="22">
        <v>6.64673E-3</v>
      </c>
      <c r="AV382">
        <f t="shared" si="68"/>
        <v>18.206799999999998</v>
      </c>
      <c r="AW382">
        <f t="shared" si="69"/>
        <v>0.12501626392799997</v>
      </c>
      <c r="AX382" s="9"/>
      <c r="AY382" s="22">
        <v>1.77322</v>
      </c>
      <c r="AZ382" s="22">
        <v>440.07799999999997</v>
      </c>
      <c r="BA382" s="22">
        <v>-7.8826899999999995E-3</v>
      </c>
      <c r="BB382" s="22">
        <v>372</v>
      </c>
      <c r="BC382" s="22">
        <v>1.77277</v>
      </c>
      <c r="BD382">
        <f t="shared" si="70"/>
        <v>7.8826899999999993</v>
      </c>
      <c r="BE382">
        <f t="shared" si="71"/>
        <v>13.977743561799999</v>
      </c>
    </row>
    <row r="383" spans="6:57">
      <c r="F383" s="9"/>
      <c r="G383" s="22">
        <v>1.8310500000000001E-3</v>
      </c>
      <c r="H383" s="22">
        <v>52.955199999999998</v>
      </c>
      <c r="I383" s="22">
        <v>-1.8054199999999999E-2</v>
      </c>
      <c r="J383" s="22">
        <v>373</v>
      </c>
      <c r="K383" s="22">
        <v>1.6662599999999999E-3</v>
      </c>
      <c r="L383">
        <f t="shared" si="60"/>
        <v>18.054199999999998</v>
      </c>
      <c r="M383">
        <f t="shared" si="61"/>
        <v>3.3058142909999998E-2</v>
      </c>
      <c r="N383" s="9"/>
      <c r="O383" s="22">
        <v>1.77826</v>
      </c>
      <c r="P383" s="22">
        <v>110.265</v>
      </c>
      <c r="Q383" s="22">
        <v>-1.0794099999999999E-2</v>
      </c>
      <c r="R383" s="22">
        <v>373</v>
      </c>
      <c r="S383" s="22">
        <v>1.77765</v>
      </c>
      <c r="T383">
        <f t="shared" si="62"/>
        <v>10.794099999999998</v>
      </c>
      <c r="U383">
        <f t="shared" si="63"/>
        <v>19.194716265999997</v>
      </c>
      <c r="X383" s="9"/>
      <c r="Y383" s="22">
        <v>1.8310500000000001E-3</v>
      </c>
      <c r="Z383" s="22">
        <v>200.42400000000001</v>
      </c>
      <c r="AA383" s="22">
        <v>-1.81488E-2</v>
      </c>
      <c r="AB383" s="22">
        <v>373</v>
      </c>
      <c r="AC383" s="22">
        <v>1.61743E-3</v>
      </c>
      <c r="AD383">
        <f t="shared" si="64"/>
        <v>18.148800000000001</v>
      </c>
      <c r="AE383">
        <f t="shared" si="65"/>
        <v>3.3231360240000007E-2</v>
      </c>
      <c r="AF383" s="9"/>
      <c r="AG383" s="22">
        <v>1.77826</v>
      </c>
      <c r="AH383" s="22">
        <v>314.73700000000002</v>
      </c>
      <c r="AI383" s="22">
        <v>-7.3059099999999997E-3</v>
      </c>
      <c r="AJ383" s="22">
        <v>373</v>
      </c>
      <c r="AK383" s="22">
        <v>1.7773399999999999</v>
      </c>
      <c r="AL383">
        <f t="shared" si="66"/>
        <v>7.3059099999999999</v>
      </c>
      <c r="AM383">
        <f t="shared" si="67"/>
        <v>12.9918075166</v>
      </c>
      <c r="AP383" s="9"/>
      <c r="AQ383" s="22">
        <v>1.8310500000000001E-3</v>
      </c>
      <c r="AR383" s="22">
        <v>387.75</v>
      </c>
      <c r="AS383" s="22">
        <v>-1.8209800000000002E-2</v>
      </c>
      <c r="AT383" s="22">
        <v>373</v>
      </c>
      <c r="AU383" s="22">
        <v>1.5564000000000001E-3</v>
      </c>
      <c r="AV383">
        <f t="shared" si="68"/>
        <v>18.209800000000001</v>
      </c>
      <c r="AW383">
        <f t="shared" si="69"/>
        <v>3.3343054290000007E-2</v>
      </c>
      <c r="AX383" s="9"/>
      <c r="AY383" s="22">
        <v>1.77826</v>
      </c>
      <c r="AZ383" s="22">
        <v>440.17899999999997</v>
      </c>
      <c r="BA383" s="22">
        <v>-6.0668900000000001E-3</v>
      </c>
      <c r="BB383" s="22">
        <v>373</v>
      </c>
      <c r="BC383" s="22">
        <v>1.77704</v>
      </c>
      <c r="BD383">
        <f t="shared" si="70"/>
        <v>6.0668899999999999</v>
      </c>
      <c r="BE383">
        <f t="shared" si="71"/>
        <v>10.788507811399999</v>
      </c>
    </row>
    <row r="384" spans="6:57">
      <c r="F384" s="9"/>
      <c r="G384" s="22">
        <v>-3.2043499999999999E-3</v>
      </c>
      <c r="H384" s="22">
        <v>53.055900000000001</v>
      </c>
      <c r="I384" s="22">
        <v>-1.8060300000000001E-2</v>
      </c>
      <c r="J384" s="22">
        <v>374</v>
      </c>
      <c r="K384" s="22">
        <v>-3.0822800000000002E-3</v>
      </c>
      <c r="L384">
        <f t="shared" si="60"/>
        <v>18.060300000000002</v>
      </c>
      <c r="M384">
        <f t="shared" si="61"/>
        <v>-5.7871522305000006E-2</v>
      </c>
      <c r="N384" s="9"/>
      <c r="O384" s="22">
        <v>1.78329</v>
      </c>
      <c r="P384" s="22">
        <v>110.366</v>
      </c>
      <c r="Q384" s="22">
        <v>-9.9731400000000001E-3</v>
      </c>
      <c r="R384" s="22">
        <v>374</v>
      </c>
      <c r="S384" s="22">
        <v>1.7825299999999999</v>
      </c>
      <c r="T384">
        <f t="shared" si="62"/>
        <v>9.9731400000000008</v>
      </c>
      <c r="U384">
        <f t="shared" si="63"/>
        <v>17.785000830600001</v>
      </c>
      <c r="X384" s="9"/>
      <c r="Y384" s="22">
        <v>-3.2043499999999999E-3</v>
      </c>
      <c r="Z384" s="22">
        <v>200.524</v>
      </c>
      <c r="AA384" s="22">
        <v>-1.8151899999999999E-2</v>
      </c>
      <c r="AB384" s="22">
        <v>374</v>
      </c>
      <c r="AC384" s="22">
        <v>-3.5156200000000001E-3</v>
      </c>
      <c r="AD384">
        <f t="shared" si="64"/>
        <v>18.151899999999998</v>
      </c>
      <c r="AE384">
        <f t="shared" si="65"/>
        <v>-5.8165040764999988E-2</v>
      </c>
      <c r="AF384" s="9"/>
      <c r="AG384" s="22">
        <v>1.78329</v>
      </c>
      <c r="AH384" s="22">
        <v>314.83699999999999</v>
      </c>
      <c r="AI384" s="22">
        <v>-5.2581800000000003E-3</v>
      </c>
      <c r="AJ384" s="22">
        <v>374</v>
      </c>
      <c r="AK384" s="22">
        <v>1.78223</v>
      </c>
      <c r="AL384">
        <f t="shared" si="66"/>
        <v>5.2581800000000003</v>
      </c>
      <c r="AM384">
        <f t="shared" si="67"/>
        <v>9.3768598122000011</v>
      </c>
      <c r="AP384" s="9"/>
      <c r="AQ384" s="22">
        <v>-3.2043499999999999E-3</v>
      </c>
      <c r="AR384" s="22">
        <v>387.85</v>
      </c>
      <c r="AS384" s="22">
        <v>-1.8209800000000002E-2</v>
      </c>
      <c r="AT384" s="22">
        <v>374</v>
      </c>
      <c r="AU384" s="22">
        <v>-3.4820599999999999E-3</v>
      </c>
      <c r="AV384">
        <f t="shared" si="68"/>
        <v>18.209800000000001</v>
      </c>
      <c r="AW384">
        <f t="shared" si="69"/>
        <v>-5.835057263E-2</v>
      </c>
      <c r="AX384" s="9"/>
      <c r="AY384" s="22">
        <v>1.78329</v>
      </c>
      <c r="AZ384" s="22">
        <v>440.279</v>
      </c>
      <c r="BA384" s="22">
        <v>-3.33344E-3</v>
      </c>
      <c r="BB384" s="22">
        <v>374</v>
      </c>
      <c r="BC384" s="22">
        <v>1.7825299999999999</v>
      </c>
      <c r="BD384">
        <f t="shared" si="70"/>
        <v>3.33344</v>
      </c>
      <c r="BE384">
        <f t="shared" si="71"/>
        <v>5.9444902176000003</v>
      </c>
    </row>
    <row r="385" spans="6:57">
      <c r="F385" s="9"/>
      <c r="G385" s="22">
        <v>-8.2397500000000005E-3</v>
      </c>
      <c r="H385" s="22">
        <v>53.156599999999997</v>
      </c>
      <c r="I385" s="22">
        <v>-1.8060300000000001E-2</v>
      </c>
      <c r="J385" s="22">
        <v>375</v>
      </c>
      <c r="K385" s="22">
        <v>-8.5876500000000005E-3</v>
      </c>
      <c r="L385">
        <f t="shared" si="60"/>
        <v>18.060300000000002</v>
      </c>
      <c r="M385">
        <f t="shared" si="61"/>
        <v>-0.14881235692500003</v>
      </c>
      <c r="N385" s="9"/>
      <c r="O385" s="22">
        <v>1.78833</v>
      </c>
      <c r="P385" s="22">
        <v>110.467</v>
      </c>
      <c r="Q385" s="22">
        <v>-8.9294400000000003E-3</v>
      </c>
      <c r="R385" s="22">
        <v>375</v>
      </c>
      <c r="S385" s="22">
        <v>1.7874099999999999</v>
      </c>
      <c r="T385">
        <f t="shared" si="62"/>
        <v>8.9294399999999996</v>
      </c>
      <c r="U385">
        <f t="shared" si="63"/>
        <v>15.968785435199999</v>
      </c>
      <c r="X385" s="9"/>
      <c r="Y385" s="22">
        <v>-8.2397500000000005E-3</v>
      </c>
      <c r="Z385" s="22">
        <v>200.625</v>
      </c>
      <c r="AA385" s="22">
        <v>-1.8154900000000002E-2</v>
      </c>
      <c r="AB385" s="22">
        <v>375</v>
      </c>
      <c r="AC385" s="22">
        <v>-8.45337E-3</v>
      </c>
      <c r="AD385">
        <f t="shared" si="64"/>
        <v>18.154900000000001</v>
      </c>
      <c r="AE385">
        <f t="shared" si="65"/>
        <v>-0.14959183727500003</v>
      </c>
      <c r="AF385" s="9"/>
      <c r="AG385" s="22">
        <v>1.78833</v>
      </c>
      <c r="AH385" s="22">
        <v>314.93799999999999</v>
      </c>
      <c r="AI385" s="22">
        <v>-1.8457E-3</v>
      </c>
      <c r="AJ385" s="22">
        <v>375</v>
      </c>
      <c r="AK385" s="22">
        <v>1.78711</v>
      </c>
      <c r="AL385">
        <f t="shared" si="66"/>
        <v>1.8457000000000001</v>
      </c>
      <c r="AM385">
        <f t="shared" si="67"/>
        <v>3.300720681</v>
      </c>
      <c r="AP385" s="9"/>
      <c r="AQ385" s="22">
        <v>-8.2397500000000005E-3</v>
      </c>
      <c r="AR385" s="22">
        <v>387.95100000000002</v>
      </c>
      <c r="AS385" s="22">
        <v>-1.8212900000000001E-2</v>
      </c>
      <c r="AT385" s="22">
        <v>375</v>
      </c>
      <c r="AU385" s="22">
        <v>-8.4014899999999993E-3</v>
      </c>
      <c r="AV385">
        <f t="shared" si="68"/>
        <v>18.212900000000001</v>
      </c>
      <c r="AW385">
        <f t="shared" si="69"/>
        <v>-0.15006974277500001</v>
      </c>
      <c r="AX385" s="9"/>
      <c r="AY385" s="22">
        <v>1.78833</v>
      </c>
      <c r="AZ385" s="22">
        <v>440.38</v>
      </c>
      <c r="BA385" s="22">
        <v>1.82373E-3</v>
      </c>
      <c r="BB385" s="22">
        <v>375</v>
      </c>
      <c r="BC385" s="22">
        <v>1.78772</v>
      </c>
      <c r="BD385">
        <f t="shared" si="70"/>
        <v>-1.8237300000000001</v>
      </c>
      <c r="BE385">
        <f t="shared" si="71"/>
        <v>-3.2614310709000001</v>
      </c>
    </row>
    <row r="386" spans="6:57">
      <c r="F386" s="9"/>
      <c r="G386" s="22">
        <v>-1.32751E-2</v>
      </c>
      <c r="H386" s="22">
        <v>53.257399999999997</v>
      </c>
      <c r="I386" s="22">
        <v>-1.80634E-2</v>
      </c>
      <c r="J386" s="22">
        <v>376</v>
      </c>
      <c r="K386" s="22">
        <v>-1.3623E-2</v>
      </c>
      <c r="L386">
        <f t="shared" si="60"/>
        <v>18.063400000000001</v>
      </c>
      <c r="M386">
        <f t="shared" si="61"/>
        <v>-0.23979344134000002</v>
      </c>
      <c r="N386" s="9"/>
      <c r="O386" s="22">
        <v>1.7933699999999999</v>
      </c>
      <c r="P386" s="22">
        <v>110.56699999999999</v>
      </c>
      <c r="Q386" s="22">
        <v>-7.3852500000000003E-3</v>
      </c>
      <c r="R386" s="22">
        <v>376</v>
      </c>
      <c r="S386" s="22">
        <v>1.7923</v>
      </c>
      <c r="T386">
        <f t="shared" si="62"/>
        <v>7.3852500000000001</v>
      </c>
      <c r="U386">
        <f t="shared" si="63"/>
        <v>13.244485792499999</v>
      </c>
      <c r="X386" s="9"/>
      <c r="Y386" s="22">
        <v>-1.32751E-2</v>
      </c>
      <c r="Z386" s="22">
        <v>200.726</v>
      </c>
      <c r="AA386" s="22">
        <v>-1.8158000000000001E-2</v>
      </c>
      <c r="AB386" s="22">
        <v>376</v>
      </c>
      <c r="AC386" s="22">
        <v>-1.36902E-2</v>
      </c>
      <c r="AD386">
        <f t="shared" si="64"/>
        <v>18.158000000000001</v>
      </c>
      <c r="AE386">
        <f t="shared" si="65"/>
        <v>-0.24104926580000002</v>
      </c>
      <c r="AF386" s="9"/>
      <c r="AG386" s="22">
        <v>1.7933699999999999</v>
      </c>
      <c r="AH386" s="22">
        <v>315.03899999999999</v>
      </c>
      <c r="AI386" s="22">
        <v>5.5053699999999999E-3</v>
      </c>
      <c r="AJ386" s="22">
        <v>376</v>
      </c>
      <c r="AK386" s="22">
        <v>1.7926</v>
      </c>
      <c r="AL386">
        <f t="shared" si="66"/>
        <v>-5.5053700000000001</v>
      </c>
      <c r="AM386">
        <f t="shared" si="67"/>
        <v>-9.8731653968999993</v>
      </c>
      <c r="AP386" s="9"/>
      <c r="AQ386" s="22">
        <v>-1.32751E-2</v>
      </c>
      <c r="AR386" s="22">
        <v>388.05200000000002</v>
      </c>
      <c r="AS386" s="22">
        <v>-1.8218999999999999E-2</v>
      </c>
      <c r="AT386" s="22">
        <v>376</v>
      </c>
      <c r="AU386" s="22">
        <v>-1.35193E-2</v>
      </c>
      <c r="AV386">
        <f t="shared" si="68"/>
        <v>18.218999999999998</v>
      </c>
      <c r="AW386">
        <f t="shared" si="69"/>
        <v>-0.24185904689999996</v>
      </c>
      <c r="AX386" s="9"/>
      <c r="AY386" s="22">
        <v>1.7933699999999999</v>
      </c>
      <c r="AZ386" s="22">
        <v>440.48099999999999</v>
      </c>
      <c r="BA386" s="22">
        <v>9.9334699999999998E-3</v>
      </c>
      <c r="BB386" s="22">
        <v>376</v>
      </c>
      <c r="BC386" s="22">
        <v>1.79291</v>
      </c>
      <c r="BD386">
        <f t="shared" si="70"/>
        <v>-9.9334699999999998</v>
      </c>
      <c r="BE386">
        <f t="shared" si="71"/>
        <v>-17.814387093899999</v>
      </c>
    </row>
    <row r="387" spans="6:57">
      <c r="F387" s="9"/>
      <c r="G387" s="22">
        <v>-1.83105E-2</v>
      </c>
      <c r="H387" s="22">
        <v>53.3581</v>
      </c>
      <c r="I387" s="22">
        <v>-1.80664E-2</v>
      </c>
      <c r="J387" s="22">
        <v>377</v>
      </c>
      <c r="K387" s="22">
        <v>-1.8579100000000001E-2</v>
      </c>
      <c r="L387">
        <f t="shared" si="60"/>
        <v>18.066400000000002</v>
      </c>
      <c r="M387">
        <f t="shared" si="61"/>
        <v>-0.33080481720000005</v>
      </c>
      <c r="N387" s="9"/>
      <c r="O387" s="22">
        <v>1.7984</v>
      </c>
      <c r="P387" s="22">
        <v>110.66800000000001</v>
      </c>
      <c r="Q387" s="22">
        <v>-5.1483199999999996E-3</v>
      </c>
      <c r="R387" s="22">
        <v>377</v>
      </c>
      <c r="S387" s="22">
        <v>1.7981</v>
      </c>
      <c r="T387">
        <f t="shared" si="62"/>
        <v>5.14832</v>
      </c>
      <c r="U387">
        <f t="shared" si="63"/>
        <v>9.2587386879999993</v>
      </c>
      <c r="X387" s="9"/>
      <c r="Y387" s="22">
        <v>-1.83105E-2</v>
      </c>
      <c r="Z387" s="22">
        <v>200.82599999999999</v>
      </c>
      <c r="AA387" s="22">
        <v>-1.8161E-2</v>
      </c>
      <c r="AB387" s="22">
        <v>377</v>
      </c>
      <c r="AC387" s="22">
        <v>-1.8682899999999999E-2</v>
      </c>
      <c r="AD387">
        <f t="shared" si="64"/>
        <v>18.161000000000001</v>
      </c>
      <c r="AE387">
        <f t="shared" si="65"/>
        <v>-0.33253699050000002</v>
      </c>
      <c r="AF387" s="9"/>
      <c r="AG387" s="22">
        <v>1.7984</v>
      </c>
      <c r="AH387" s="22">
        <v>315.13900000000001</v>
      </c>
      <c r="AI387" s="22">
        <v>1.7627E-2</v>
      </c>
      <c r="AJ387" s="22">
        <v>377</v>
      </c>
      <c r="AK387" s="22">
        <v>1.7981</v>
      </c>
      <c r="AL387">
        <f t="shared" si="66"/>
        <v>-17.626999999999999</v>
      </c>
      <c r="AM387">
        <f t="shared" si="67"/>
        <v>-31.700396799999996</v>
      </c>
      <c r="AP387" s="9"/>
      <c r="AQ387" s="22">
        <v>-1.83105E-2</v>
      </c>
      <c r="AR387" s="22">
        <v>388.15300000000002</v>
      </c>
      <c r="AS387" s="22">
        <v>-1.8218999999999999E-2</v>
      </c>
      <c r="AT387" s="22">
        <v>377</v>
      </c>
      <c r="AU387" s="22">
        <v>-1.8615699999999999E-2</v>
      </c>
      <c r="AV387">
        <f t="shared" si="68"/>
        <v>18.218999999999998</v>
      </c>
      <c r="AW387">
        <f t="shared" si="69"/>
        <v>-0.33359899949999994</v>
      </c>
      <c r="AX387" s="9"/>
      <c r="AY387" s="22">
        <v>1.7984</v>
      </c>
      <c r="AZ387" s="22">
        <v>440.58100000000002</v>
      </c>
      <c r="BA387" s="22">
        <v>2.2763100000000001E-2</v>
      </c>
      <c r="BB387" s="22">
        <v>377</v>
      </c>
      <c r="BC387" s="22">
        <v>1.79749</v>
      </c>
      <c r="BD387">
        <f t="shared" si="70"/>
        <v>-22.763100000000001</v>
      </c>
      <c r="BE387">
        <f t="shared" si="71"/>
        <v>-40.937159040000004</v>
      </c>
    </row>
    <row r="388" spans="6:57">
      <c r="F388" s="9"/>
      <c r="G388" s="22">
        <v>-2.3345899999999999E-2</v>
      </c>
      <c r="H388" s="22">
        <v>53.458799999999997</v>
      </c>
      <c r="I388" s="22">
        <v>-1.8069499999999999E-2</v>
      </c>
      <c r="J388" s="22">
        <v>378</v>
      </c>
      <c r="K388" s="22">
        <v>-2.3556500000000001E-2</v>
      </c>
      <c r="L388">
        <f t="shared" si="60"/>
        <v>18.069499999999998</v>
      </c>
      <c r="M388">
        <f t="shared" si="61"/>
        <v>-0.42184874004999995</v>
      </c>
      <c r="N388" s="9"/>
      <c r="O388" s="22">
        <v>1.8034399999999999</v>
      </c>
      <c r="P388" s="22">
        <v>110.76900000000001</v>
      </c>
      <c r="Q388" s="22">
        <v>-1.4065600000000001E-3</v>
      </c>
      <c r="R388" s="22">
        <v>378</v>
      </c>
      <c r="S388" s="22">
        <v>1.80267</v>
      </c>
      <c r="T388">
        <f t="shared" si="62"/>
        <v>1.40656</v>
      </c>
      <c r="U388">
        <f t="shared" si="63"/>
        <v>2.5366465664</v>
      </c>
      <c r="X388" s="9"/>
      <c r="Y388" s="22">
        <v>-2.3345899999999999E-2</v>
      </c>
      <c r="Z388" s="22">
        <v>200.92699999999999</v>
      </c>
      <c r="AA388" s="22">
        <v>-1.8167099999999999E-2</v>
      </c>
      <c r="AB388" s="22">
        <v>378</v>
      </c>
      <c r="AC388" s="22">
        <v>-2.3556500000000001E-2</v>
      </c>
      <c r="AD388">
        <f t="shared" si="64"/>
        <v>18.167099999999998</v>
      </c>
      <c r="AE388">
        <f t="shared" si="65"/>
        <v>-0.42412729988999992</v>
      </c>
      <c r="AF388" s="9"/>
      <c r="AG388" s="22">
        <v>1.8034399999999999</v>
      </c>
      <c r="AH388" s="22">
        <v>315.24</v>
      </c>
      <c r="AI388" s="22">
        <v>3.125E-2</v>
      </c>
      <c r="AJ388" s="22">
        <v>378</v>
      </c>
      <c r="AK388" s="22">
        <v>1.80237</v>
      </c>
      <c r="AL388">
        <f t="shared" si="66"/>
        <v>-31.25</v>
      </c>
      <c r="AM388">
        <f t="shared" si="67"/>
        <v>-56.357499999999995</v>
      </c>
      <c r="AP388" s="9"/>
      <c r="AQ388" s="22">
        <v>-2.3345899999999999E-2</v>
      </c>
      <c r="AR388" s="22">
        <v>388.25299999999999</v>
      </c>
      <c r="AS388" s="22">
        <v>-1.8225100000000001E-2</v>
      </c>
      <c r="AT388" s="22">
        <v>378</v>
      </c>
      <c r="AU388" s="22">
        <v>-2.3651100000000001E-2</v>
      </c>
      <c r="AV388">
        <f t="shared" si="68"/>
        <v>18.225100000000001</v>
      </c>
      <c r="AW388">
        <f t="shared" si="69"/>
        <v>-0.42548136209000004</v>
      </c>
      <c r="AX388" s="9"/>
      <c r="AY388" s="22">
        <v>1.8034399999999999</v>
      </c>
      <c r="AZ388" s="22">
        <v>440.68200000000002</v>
      </c>
      <c r="BA388" s="22">
        <v>3.6584499999999999E-2</v>
      </c>
      <c r="BB388" s="22">
        <v>378</v>
      </c>
      <c r="BC388" s="22">
        <v>1.80237</v>
      </c>
      <c r="BD388">
        <f t="shared" si="70"/>
        <v>-36.584499999999998</v>
      </c>
      <c r="BE388">
        <f t="shared" si="71"/>
        <v>-65.977950679999992</v>
      </c>
    </row>
    <row r="389" spans="6:57">
      <c r="F389" s="9"/>
      <c r="G389" s="22">
        <v>-2.8381300000000002E-2</v>
      </c>
      <c r="H389" s="22">
        <v>53.5595</v>
      </c>
      <c r="I389" s="22">
        <v>-1.8075600000000001E-2</v>
      </c>
      <c r="J389" s="22">
        <v>379</v>
      </c>
      <c r="K389" s="22">
        <v>-2.8485099999999999E-2</v>
      </c>
      <c r="L389">
        <f t="shared" si="60"/>
        <v>18.075600000000001</v>
      </c>
      <c r="M389">
        <f t="shared" si="61"/>
        <v>-0.51300902628000011</v>
      </c>
      <c r="N389" s="9"/>
      <c r="O389" s="22">
        <v>1.80847</v>
      </c>
      <c r="P389" s="22">
        <v>110.869</v>
      </c>
      <c r="Q389" s="22">
        <v>8.2824700000000001E-3</v>
      </c>
      <c r="R389" s="22">
        <v>379</v>
      </c>
      <c r="S389" s="22">
        <v>1.80725</v>
      </c>
      <c r="T389">
        <f t="shared" si="62"/>
        <v>-8.28247</v>
      </c>
      <c r="U389">
        <f t="shared" si="63"/>
        <v>-14.9785985209</v>
      </c>
      <c r="X389" s="9"/>
      <c r="Y389" s="22">
        <v>-2.8381300000000002E-2</v>
      </c>
      <c r="Z389" s="22">
        <v>201.02799999999999</v>
      </c>
      <c r="AA389" s="22">
        <v>-1.81732E-2</v>
      </c>
      <c r="AB389" s="22">
        <v>379</v>
      </c>
      <c r="AC389" s="22">
        <v>-2.86743E-2</v>
      </c>
      <c r="AD389">
        <f t="shared" si="64"/>
        <v>18.173200000000001</v>
      </c>
      <c r="AE389">
        <f t="shared" si="65"/>
        <v>-0.51577904116000006</v>
      </c>
      <c r="AF389" s="9"/>
      <c r="AG389" s="22">
        <v>1.80847</v>
      </c>
      <c r="AH389" s="22">
        <v>315.34100000000001</v>
      </c>
      <c r="AI389" s="22">
        <v>4.6591199999999999E-2</v>
      </c>
      <c r="AJ389" s="22">
        <v>379</v>
      </c>
      <c r="AK389" s="22">
        <v>1.8075600000000001</v>
      </c>
      <c r="AL389">
        <f t="shared" si="66"/>
        <v>-46.591200000000001</v>
      </c>
      <c r="AM389">
        <f t="shared" si="67"/>
        <v>-84.258787464000008</v>
      </c>
      <c r="AP389" s="9"/>
      <c r="AQ389" s="22">
        <v>-2.8381300000000002E-2</v>
      </c>
      <c r="AR389" s="22">
        <v>388.35399999999998</v>
      </c>
      <c r="AS389" s="22">
        <v>-1.8225100000000001E-2</v>
      </c>
      <c r="AT389" s="22">
        <v>379</v>
      </c>
      <c r="AU389" s="22">
        <v>-2.8643800000000001E-2</v>
      </c>
      <c r="AV389">
        <f t="shared" si="68"/>
        <v>18.225100000000001</v>
      </c>
      <c r="AW389">
        <f t="shared" si="69"/>
        <v>-0.51725203063000003</v>
      </c>
      <c r="AX389" s="9"/>
      <c r="AY389" s="22">
        <v>1.80847</v>
      </c>
      <c r="AZ389" s="22">
        <v>440.78300000000002</v>
      </c>
      <c r="BA389" s="22">
        <v>5.19318E-2</v>
      </c>
      <c r="BB389" s="22">
        <v>379</v>
      </c>
      <c r="BC389" s="22">
        <v>1.8081700000000001</v>
      </c>
      <c r="BD389">
        <f t="shared" si="70"/>
        <v>-51.931800000000003</v>
      </c>
      <c r="BE389">
        <f t="shared" si="71"/>
        <v>-93.917102346000007</v>
      </c>
    </row>
    <row r="390" spans="6:57">
      <c r="F390" s="9"/>
      <c r="G390" s="22">
        <v>-3.3416700000000001E-2</v>
      </c>
      <c r="H390" s="22">
        <v>53.660200000000003</v>
      </c>
      <c r="I390" s="22">
        <v>-1.80786E-2</v>
      </c>
      <c r="J390" s="22">
        <v>380</v>
      </c>
      <c r="K390" s="22">
        <v>-3.3657800000000002E-2</v>
      </c>
      <c r="L390">
        <f t="shared" si="60"/>
        <v>18.078600000000002</v>
      </c>
      <c r="M390">
        <f t="shared" si="61"/>
        <v>-0.60412715262000005</v>
      </c>
      <c r="N390" s="9"/>
      <c r="O390" s="22">
        <v>1.81351</v>
      </c>
      <c r="P390" s="22">
        <v>110.97</v>
      </c>
      <c r="Q390" s="22">
        <v>2.40509E-2</v>
      </c>
      <c r="R390" s="22">
        <v>380</v>
      </c>
      <c r="S390" s="22">
        <v>1.81274</v>
      </c>
      <c r="T390">
        <f t="shared" si="62"/>
        <v>-24.050899999999999</v>
      </c>
      <c r="U390">
        <f t="shared" si="63"/>
        <v>-43.616547658999998</v>
      </c>
      <c r="X390" s="9"/>
      <c r="Y390" s="22">
        <v>-3.3416700000000001E-2</v>
      </c>
      <c r="Z390" s="22">
        <v>201.12899999999999</v>
      </c>
      <c r="AA390" s="22">
        <v>-1.8176299999999999E-2</v>
      </c>
      <c r="AB390" s="22">
        <v>380</v>
      </c>
      <c r="AC390" s="22">
        <v>-3.3752400000000002E-2</v>
      </c>
      <c r="AD390">
        <f t="shared" si="64"/>
        <v>18.176299999999998</v>
      </c>
      <c r="AE390">
        <f t="shared" si="65"/>
        <v>-0.60739196420999997</v>
      </c>
      <c r="AF390" s="9"/>
      <c r="AG390" s="22">
        <v>1.81351</v>
      </c>
      <c r="AH390" s="22">
        <v>315.44200000000001</v>
      </c>
      <c r="AI390" s="22">
        <v>6.2423699999999999E-2</v>
      </c>
      <c r="AJ390" s="22">
        <v>380</v>
      </c>
      <c r="AK390" s="22">
        <v>1.81274</v>
      </c>
      <c r="AL390">
        <f t="shared" si="66"/>
        <v>-62.423699999999997</v>
      </c>
      <c r="AM390">
        <f t="shared" si="67"/>
        <v>-113.20600418699999</v>
      </c>
      <c r="AP390" s="9"/>
      <c r="AQ390" s="22">
        <v>-3.3416700000000001E-2</v>
      </c>
      <c r="AR390" s="22">
        <v>388.45499999999998</v>
      </c>
      <c r="AS390" s="22">
        <v>-1.8228100000000001E-2</v>
      </c>
      <c r="AT390" s="22">
        <v>380</v>
      </c>
      <c r="AU390" s="22">
        <v>-3.3880599999999997E-2</v>
      </c>
      <c r="AV390">
        <f t="shared" si="68"/>
        <v>18.228100000000001</v>
      </c>
      <c r="AW390">
        <f t="shared" si="69"/>
        <v>-0.6091229492700001</v>
      </c>
      <c r="AX390" s="9"/>
      <c r="AY390" s="22">
        <v>1.81351</v>
      </c>
      <c r="AZ390" s="22">
        <v>440.88299999999998</v>
      </c>
      <c r="BA390" s="22">
        <v>6.73401E-2</v>
      </c>
      <c r="BB390" s="22">
        <v>380</v>
      </c>
      <c r="BC390" s="22">
        <v>1.8130500000000001</v>
      </c>
      <c r="BD390">
        <f t="shared" si="70"/>
        <v>-67.340100000000007</v>
      </c>
      <c r="BE390">
        <f t="shared" si="71"/>
        <v>-122.12194475100002</v>
      </c>
    </row>
    <row r="391" spans="6:57">
      <c r="F391" s="9"/>
      <c r="G391" s="22">
        <v>-3.8452100000000003E-2</v>
      </c>
      <c r="H391" s="22">
        <v>53.760899999999999</v>
      </c>
      <c r="I391" s="22">
        <v>-1.8081699999999999E-2</v>
      </c>
      <c r="J391" s="22">
        <v>381</v>
      </c>
      <c r="K391" s="22">
        <v>-3.8913000000000003E-2</v>
      </c>
      <c r="L391">
        <f t="shared" si="60"/>
        <v>18.081699999999998</v>
      </c>
      <c r="M391">
        <f t="shared" si="61"/>
        <v>-0.69527933656999996</v>
      </c>
      <c r="N391" s="9"/>
      <c r="O391" s="22">
        <v>1.81854</v>
      </c>
      <c r="P391" s="22">
        <v>111.071</v>
      </c>
      <c r="Q391" s="22">
        <v>4.1982999999999999E-2</v>
      </c>
      <c r="R391" s="22">
        <v>381</v>
      </c>
      <c r="S391" s="22">
        <v>1.8176300000000001</v>
      </c>
      <c r="T391">
        <f t="shared" si="62"/>
        <v>-41.982999999999997</v>
      </c>
      <c r="U391">
        <f t="shared" si="63"/>
        <v>-76.347764819999995</v>
      </c>
      <c r="X391" s="9"/>
      <c r="Y391" s="22">
        <v>-3.8452100000000003E-2</v>
      </c>
      <c r="Z391" s="22">
        <v>201.22900000000001</v>
      </c>
      <c r="AA391" s="22">
        <v>-1.8179299999999999E-2</v>
      </c>
      <c r="AB391" s="22">
        <v>381</v>
      </c>
      <c r="AC391" s="22">
        <v>-3.8754299999999998E-2</v>
      </c>
      <c r="AD391">
        <f t="shared" si="64"/>
        <v>18.179299999999998</v>
      </c>
      <c r="AE391">
        <f t="shared" si="65"/>
        <v>-0.69903226152999998</v>
      </c>
      <c r="AF391" s="9"/>
      <c r="AG391" s="22">
        <v>1.81854</v>
      </c>
      <c r="AH391" s="22">
        <v>315.54199999999997</v>
      </c>
      <c r="AI391" s="22">
        <v>8.0871600000000002E-2</v>
      </c>
      <c r="AJ391" s="22">
        <v>381</v>
      </c>
      <c r="AK391" s="22">
        <v>1.8176300000000001</v>
      </c>
      <c r="AL391">
        <f t="shared" si="66"/>
        <v>-80.871600000000001</v>
      </c>
      <c r="AM391">
        <f t="shared" si="67"/>
        <v>-147.06823946400002</v>
      </c>
      <c r="AP391" s="9"/>
      <c r="AQ391" s="22">
        <v>-3.8452100000000003E-2</v>
      </c>
      <c r="AR391" s="22">
        <v>388.55500000000001</v>
      </c>
      <c r="AS391" s="22">
        <v>-1.8231199999999999E-2</v>
      </c>
      <c r="AT391" s="22">
        <v>381</v>
      </c>
      <c r="AU391" s="22">
        <v>-3.8772599999999997E-2</v>
      </c>
      <c r="AV391">
        <f t="shared" si="68"/>
        <v>18.231200000000001</v>
      </c>
      <c r="AW391">
        <f t="shared" si="69"/>
        <v>-0.70102792552000015</v>
      </c>
      <c r="AX391" s="9"/>
      <c r="AY391" s="22">
        <v>1.81854</v>
      </c>
      <c r="AZ391" s="22">
        <v>440.98399999999998</v>
      </c>
      <c r="BA391" s="22">
        <v>8.5784899999999997E-2</v>
      </c>
      <c r="BB391" s="22">
        <v>381</v>
      </c>
      <c r="BC391" s="22">
        <v>1.8182400000000001</v>
      </c>
      <c r="BD391">
        <f t="shared" si="70"/>
        <v>-85.784899999999993</v>
      </c>
      <c r="BE391">
        <f t="shared" si="71"/>
        <v>-156.00327204599998</v>
      </c>
    </row>
    <row r="392" spans="6:57">
      <c r="F392" s="9"/>
      <c r="G392" s="22">
        <v>-4.3487499999999998E-2</v>
      </c>
      <c r="H392" s="22">
        <v>53.861600000000003</v>
      </c>
      <c r="I392" s="22">
        <v>-1.8081699999999999E-2</v>
      </c>
      <c r="J392" s="22">
        <v>382</v>
      </c>
      <c r="K392" s="22">
        <v>-4.3777499999999997E-2</v>
      </c>
      <c r="L392">
        <f t="shared" si="60"/>
        <v>18.081699999999998</v>
      </c>
      <c r="M392">
        <f t="shared" si="61"/>
        <v>-0.7863279287499999</v>
      </c>
      <c r="N392" s="9"/>
      <c r="O392" s="22">
        <v>1.82358</v>
      </c>
      <c r="P392" s="22">
        <v>111.17100000000001</v>
      </c>
      <c r="Q392" s="22">
        <v>6.1892700000000002E-2</v>
      </c>
      <c r="R392" s="22">
        <v>382</v>
      </c>
      <c r="S392" s="22">
        <v>1.82281</v>
      </c>
      <c r="T392">
        <f t="shared" si="62"/>
        <v>-61.892700000000005</v>
      </c>
      <c r="U392">
        <f t="shared" si="63"/>
        <v>-112.866289866</v>
      </c>
      <c r="X392" s="9"/>
      <c r="Y392" s="22">
        <v>-4.3487499999999998E-2</v>
      </c>
      <c r="Z392" s="22">
        <v>201.33</v>
      </c>
      <c r="AA392" s="22">
        <v>-1.8182400000000001E-2</v>
      </c>
      <c r="AB392" s="22">
        <v>382</v>
      </c>
      <c r="AC392" s="22">
        <v>-4.38599E-2</v>
      </c>
      <c r="AD392">
        <f t="shared" si="64"/>
        <v>18.182400000000001</v>
      </c>
      <c r="AE392">
        <f t="shared" si="65"/>
        <v>-0.79070711999999999</v>
      </c>
      <c r="AF392" s="9"/>
      <c r="AG392" s="22">
        <v>1.82358</v>
      </c>
      <c r="AH392" s="22">
        <v>315.64299999999997</v>
      </c>
      <c r="AI392" s="22">
        <v>9.8693799999999998E-2</v>
      </c>
      <c r="AJ392" s="22">
        <v>382</v>
      </c>
      <c r="AK392" s="22">
        <v>1.82281</v>
      </c>
      <c r="AL392">
        <f t="shared" si="66"/>
        <v>-98.693799999999996</v>
      </c>
      <c r="AM392">
        <f t="shared" si="67"/>
        <v>-179.97603980399998</v>
      </c>
      <c r="AP392" s="9"/>
      <c r="AQ392" s="22">
        <v>-4.3487499999999998E-2</v>
      </c>
      <c r="AR392" s="22">
        <v>388.65600000000001</v>
      </c>
      <c r="AS392" s="22">
        <v>-1.8234299999999998E-2</v>
      </c>
      <c r="AT392" s="22">
        <v>382</v>
      </c>
      <c r="AU392" s="22">
        <v>-4.3893399999999999E-2</v>
      </c>
      <c r="AV392">
        <f t="shared" si="68"/>
        <v>18.234299999999998</v>
      </c>
      <c r="AW392">
        <f t="shared" si="69"/>
        <v>-0.79296412124999982</v>
      </c>
      <c r="AX392" s="9"/>
      <c r="AY392" s="22">
        <v>1.82358</v>
      </c>
      <c r="AZ392" s="22">
        <v>441.08499999999998</v>
      </c>
      <c r="BA392" s="22">
        <v>0.10272199999999999</v>
      </c>
      <c r="BB392" s="22">
        <v>382</v>
      </c>
      <c r="BC392" s="22">
        <v>1.8231200000000001</v>
      </c>
      <c r="BD392">
        <f t="shared" si="70"/>
        <v>-102.72199999999999</v>
      </c>
      <c r="BE392">
        <f t="shared" si="71"/>
        <v>-187.32178475999999</v>
      </c>
    </row>
    <row r="393" spans="6:57">
      <c r="F393" s="9"/>
      <c r="G393" s="22">
        <v>-4.8522900000000001E-2</v>
      </c>
      <c r="H393" s="22">
        <v>53.962299999999999</v>
      </c>
      <c r="I393" s="22">
        <v>-1.8087800000000001E-2</v>
      </c>
      <c r="J393" s="22">
        <v>383</v>
      </c>
      <c r="K393" s="22">
        <v>-4.9102800000000002E-2</v>
      </c>
      <c r="L393">
        <f t="shared" si="60"/>
        <v>18.087800000000001</v>
      </c>
      <c r="M393">
        <f t="shared" si="61"/>
        <v>-0.87767251062000007</v>
      </c>
      <c r="N393" s="9"/>
      <c r="O393" s="22">
        <v>1.8286100000000001</v>
      </c>
      <c r="P393" s="22">
        <v>111.27200000000001</v>
      </c>
      <c r="Q393" s="22">
        <v>8.3923300000000006E-2</v>
      </c>
      <c r="R393" s="22">
        <v>383</v>
      </c>
      <c r="S393" s="22">
        <v>1.8277000000000001</v>
      </c>
      <c r="T393">
        <f t="shared" si="62"/>
        <v>-83.923300000000012</v>
      </c>
      <c r="U393">
        <f t="shared" si="63"/>
        <v>-153.46298561300003</v>
      </c>
      <c r="X393" s="9"/>
      <c r="Y393" s="22">
        <v>-4.8522900000000001E-2</v>
      </c>
      <c r="Z393" s="22">
        <v>201.43100000000001</v>
      </c>
      <c r="AA393" s="22">
        <v>-1.8185400000000001E-2</v>
      </c>
      <c r="AB393" s="22">
        <v>383</v>
      </c>
      <c r="AC393" s="22">
        <v>-4.9072299999999999E-2</v>
      </c>
      <c r="AD393">
        <f t="shared" si="64"/>
        <v>18.185400000000001</v>
      </c>
      <c r="AE393">
        <f t="shared" si="65"/>
        <v>-0.88240834566000004</v>
      </c>
      <c r="AF393" s="9"/>
      <c r="AG393" s="22">
        <v>1.8286100000000001</v>
      </c>
      <c r="AH393" s="22">
        <v>315.74400000000003</v>
      </c>
      <c r="AI393" s="22">
        <v>0.116272</v>
      </c>
      <c r="AJ393" s="22">
        <v>383</v>
      </c>
      <c r="AK393" s="22">
        <v>1.8280000000000001</v>
      </c>
      <c r="AL393">
        <f t="shared" si="66"/>
        <v>-116.27200000000001</v>
      </c>
      <c r="AM393">
        <f t="shared" si="67"/>
        <v>-212.61614192000002</v>
      </c>
      <c r="AP393" s="9"/>
      <c r="AQ393" s="22">
        <v>-4.8522900000000001E-2</v>
      </c>
      <c r="AR393" s="22">
        <v>388.75700000000001</v>
      </c>
      <c r="AS393" s="22">
        <v>-1.8237300000000001E-2</v>
      </c>
      <c r="AT393" s="22">
        <v>383</v>
      </c>
      <c r="AU393" s="22">
        <v>-4.9041700000000001E-2</v>
      </c>
      <c r="AV393">
        <f t="shared" si="68"/>
        <v>18.237300000000001</v>
      </c>
      <c r="AW393">
        <f t="shared" si="69"/>
        <v>-0.88492668417000009</v>
      </c>
      <c r="AX393" s="9"/>
      <c r="AY393" s="22">
        <v>1.8286100000000001</v>
      </c>
      <c r="AZ393" s="22">
        <v>441.18599999999998</v>
      </c>
      <c r="BA393" s="22">
        <v>0.120667</v>
      </c>
      <c r="BB393" s="22">
        <v>383</v>
      </c>
      <c r="BC393" s="22">
        <v>1.8273900000000001</v>
      </c>
      <c r="BD393">
        <f t="shared" si="70"/>
        <v>-120.667</v>
      </c>
      <c r="BE393">
        <f t="shared" si="71"/>
        <v>-220.65288287000001</v>
      </c>
    </row>
    <row r="394" spans="6:57">
      <c r="F394" s="9"/>
      <c r="G394" s="22">
        <v>-5.3558300000000003E-2</v>
      </c>
      <c r="H394" s="22">
        <v>54.063000000000002</v>
      </c>
      <c r="I394" s="22">
        <v>-1.8090800000000001E-2</v>
      </c>
      <c r="J394" s="22">
        <v>384</v>
      </c>
      <c r="K394" s="22">
        <v>-5.4077100000000003E-2</v>
      </c>
      <c r="L394">
        <f t="shared" si="60"/>
        <v>18.090800000000002</v>
      </c>
      <c r="M394">
        <f t="shared" si="61"/>
        <v>-0.96891249364000009</v>
      </c>
      <c r="N394" s="9"/>
      <c r="O394" s="22">
        <v>1.83365</v>
      </c>
      <c r="P394" s="22">
        <v>111.373</v>
      </c>
      <c r="Q394" s="22">
        <v>0.10556</v>
      </c>
      <c r="R394" s="22">
        <v>384</v>
      </c>
      <c r="S394" s="22">
        <v>1.8328899999999999</v>
      </c>
      <c r="T394">
        <f t="shared" si="62"/>
        <v>-105.56</v>
      </c>
      <c r="U394">
        <f t="shared" si="63"/>
        <v>-193.56009399999999</v>
      </c>
      <c r="X394" s="9"/>
      <c r="Y394" s="22">
        <v>-5.3558300000000003E-2</v>
      </c>
      <c r="Z394" s="22">
        <v>201.53100000000001</v>
      </c>
      <c r="AA394" s="22">
        <v>-1.8185400000000001E-2</v>
      </c>
      <c r="AB394" s="22">
        <v>384</v>
      </c>
      <c r="AC394" s="22">
        <v>-5.4199200000000003E-2</v>
      </c>
      <c r="AD394">
        <f t="shared" si="64"/>
        <v>18.185400000000001</v>
      </c>
      <c r="AE394">
        <f t="shared" si="65"/>
        <v>-0.97397910882000016</v>
      </c>
      <c r="AF394" s="9"/>
      <c r="AG394" s="22">
        <v>1.83365</v>
      </c>
      <c r="AH394" s="22">
        <v>315.84399999999999</v>
      </c>
      <c r="AI394" s="22">
        <v>0.13736000000000001</v>
      </c>
      <c r="AJ394" s="22">
        <v>384</v>
      </c>
      <c r="AK394" s="22">
        <v>1.8334999999999999</v>
      </c>
      <c r="AL394">
        <f t="shared" si="66"/>
        <v>-137.36000000000001</v>
      </c>
      <c r="AM394">
        <f t="shared" si="67"/>
        <v>-251.87016400000002</v>
      </c>
      <c r="AP394" s="9"/>
      <c r="AQ394" s="22">
        <v>-5.3558300000000003E-2</v>
      </c>
      <c r="AR394" s="22">
        <v>388.858</v>
      </c>
      <c r="AS394" s="22">
        <v>-1.82434E-2</v>
      </c>
      <c r="AT394" s="22">
        <v>384</v>
      </c>
      <c r="AU394" s="22">
        <v>-5.4199200000000003E-2</v>
      </c>
      <c r="AV394">
        <f t="shared" si="68"/>
        <v>18.243400000000001</v>
      </c>
      <c r="AW394">
        <f t="shared" si="69"/>
        <v>-0.97708549022000013</v>
      </c>
      <c r="AX394" s="9"/>
      <c r="AY394" s="22">
        <v>1.83365</v>
      </c>
      <c r="AZ394" s="22">
        <v>441.286</v>
      </c>
      <c r="BA394" s="22">
        <v>0.13977100000000001</v>
      </c>
      <c r="BB394" s="22">
        <v>384</v>
      </c>
      <c r="BC394" s="22">
        <v>1.8328899999999999</v>
      </c>
      <c r="BD394">
        <f t="shared" si="70"/>
        <v>-139.77100000000002</v>
      </c>
      <c r="BE394">
        <f t="shared" si="71"/>
        <v>-256.29109415000005</v>
      </c>
    </row>
    <row r="395" spans="6:57">
      <c r="F395" s="9"/>
      <c r="G395" s="22">
        <v>-5.8593800000000001E-2</v>
      </c>
      <c r="H395" s="22">
        <v>54.163699999999999</v>
      </c>
      <c r="I395" s="22">
        <v>-1.80939E-2</v>
      </c>
      <c r="J395" s="22">
        <v>385</v>
      </c>
      <c r="K395" s="22">
        <v>-5.8959999999999999E-2</v>
      </c>
      <c r="L395">
        <f t="shared" si="60"/>
        <v>18.093899999999998</v>
      </c>
      <c r="M395">
        <f t="shared" si="61"/>
        <v>-1.0601903578199998</v>
      </c>
      <c r="N395" s="9"/>
      <c r="O395" s="22">
        <v>1.8386800000000001</v>
      </c>
      <c r="P395" s="22">
        <v>111.474</v>
      </c>
      <c r="Q395" s="22">
        <v>0.12908900000000001</v>
      </c>
      <c r="R395" s="22">
        <v>385</v>
      </c>
      <c r="S395" s="22">
        <v>1.8383799999999999</v>
      </c>
      <c r="T395">
        <f t="shared" si="62"/>
        <v>-129.089</v>
      </c>
      <c r="U395">
        <f t="shared" si="63"/>
        <v>-237.35336252000002</v>
      </c>
      <c r="X395" s="9"/>
      <c r="Y395" s="22">
        <v>-5.8593800000000001E-2</v>
      </c>
      <c r="Z395" s="22">
        <v>201.63200000000001</v>
      </c>
      <c r="AA395" s="22">
        <v>-1.8191499999999999E-2</v>
      </c>
      <c r="AB395" s="22">
        <v>385</v>
      </c>
      <c r="AC395" s="22">
        <v>-5.9112499999999998E-2</v>
      </c>
      <c r="AD395">
        <f t="shared" si="64"/>
        <v>18.191499999999998</v>
      </c>
      <c r="AE395">
        <f t="shared" si="65"/>
        <v>-1.0659091127</v>
      </c>
      <c r="AF395" s="9"/>
      <c r="AG395" s="22">
        <v>1.8386800000000001</v>
      </c>
      <c r="AH395" s="22">
        <v>315.94499999999999</v>
      </c>
      <c r="AI395" s="22">
        <v>0.15701300000000001</v>
      </c>
      <c r="AJ395" s="22">
        <v>385</v>
      </c>
      <c r="AK395" s="22">
        <v>1.8377699999999999</v>
      </c>
      <c r="AL395">
        <f t="shared" si="66"/>
        <v>-157.01300000000001</v>
      </c>
      <c r="AM395">
        <f t="shared" si="67"/>
        <v>-288.69666284000004</v>
      </c>
      <c r="AP395" s="9"/>
      <c r="AQ395" s="22">
        <v>-5.8593800000000001E-2</v>
      </c>
      <c r="AR395" s="22">
        <v>388.95800000000003</v>
      </c>
      <c r="AS395" s="22">
        <v>-1.82434E-2</v>
      </c>
      <c r="AT395" s="22">
        <v>385</v>
      </c>
      <c r="AU395" s="22">
        <v>-5.9204100000000003E-2</v>
      </c>
      <c r="AV395">
        <f t="shared" si="68"/>
        <v>18.243400000000001</v>
      </c>
      <c r="AW395">
        <f t="shared" si="69"/>
        <v>-1.06895013092</v>
      </c>
      <c r="AX395" s="9"/>
      <c r="AY395" s="22">
        <v>1.8386800000000001</v>
      </c>
      <c r="AZ395" s="22">
        <v>441.387</v>
      </c>
      <c r="BA395" s="22">
        <v>0.161163</v>
      </c>
      <c r="BB395" s="22">
        <v>385</v>
      </c>
      <c r="BC395" s="22">
        <v>1.8380700000000001</v>
      </c>
      <c r="BD395">
        <f t="shared" si="70"/>
        <v>-161.16300000000001</v>
      </c>
      <c r="BE395">
        <f t="shared" si="71"/>
        <v>-296.32718484000003</v>
      </c>
    </row>
    <row r="396" spans="6:57">
      <c r="F396" s="9"/>
      <c r="G396" s="22">
        <v>-6.3629199999999997E-2</v>
      </c>
      <c r="H396" s="22">
        <v>54.264400000000002</v>
      </c>
      <c r="I396" s="22">
        <v>-1.8100000000000002E-2</v>
      </c>
      <c r="J396" s="22">
        <v>386</v>
      </c>
      <c r="K396" s="22">
        <v>-6.4239500000000005E-2</v>
      </c>
      <c r="L396">
        <f t="shared" ref="L396:L404" si="72">-I396/$F$2*1000</f>
        <v>18.100000000000001</v>
      </c>
      <c r="M396">
        <f t="shared" ref="M396:M404" si="73">L396*G396</f>
        <v>-1.15168852</v>
      </c>
      <c r="N396" s="9"/>
      <c r="O396" s="22">
        <v>1.84372</v>
      </c>
      <c r="P396" s="22">
        <v>111.574</v>
      </c>
      <c r="Q396" s="22">
        <v>0.153198</v>
      </c>
      <c r="R396" s="22">
        <v>386</v>
      </c>
      <c r="S396" s="22">
        <v>1.8432599999999999</v>
      </c>
      <c r="T396">
        <f t="shared" ref="T396:T404" si="74">-Q396/$F$2*1000</f>
        <v>-153.19800000000001</v>
      </c>
      <c r="U396">
        <f t="shared" ref="U396:U404" si="75">T396*O396</f>
        <v>-282.45421656000002</v>
      </c>
      <c r="X396" s="9"/>
      <c r="Y396" s="22">
        <v>-6.3629199999999997E-2</v>
      </c>
      <c r="Z396" s="22">
        <v>201.733</v>
      </c>
      <c r="AA396" s="22">
        <v>-1.8194599999999998E-2</v>
      </c>
      <c r="AB396" s="22">
        <v>386</v>
      </c>
      <c r="AC396" s="22">
        <v>-6.4147899999999994E-2</v>
      </c>
      <c r="AD396">
        <f t="shared" ref="AD396:AD404" si="76">-AA396/$F$2*1000</f>
        <v>18.194599999999998</v>
      </c>
      <c r="AE396">
        <f t="shared" ref="AE396:AE404" si="77">AD396*Y396</f>
        <v>-1.1577078423199998</v>
      </c>
      <c r="AF396" s="9"/>
      <c r="AG396" s="22">
        <v>1.84372</v>
      </c>
      <c r="AH396" s="22">
        <v>316.04599999999999</v>
      </c>
      <c r="AI396" s="22">
        <v>0.17776500000000001</v>
      </c>
      <c r="AJ396" s="22">
        <v>386</v>
      </c>
      <c r="AK396" s="22">
        <v>1.8429599999999999</v>
      </c>
      <c r="AL396">
        <f t="shared" ref="AL396:AL404" si="78">-AI396/$F$2*1000</f>
        <v>-177.76500000000001</v>
      </c>
      <c r="AM396">
        <f t="shared" ref="AM396:AM404" si="79">AL396*AG396</f>
        <v>-327.74888580000004</v>
      </c>
      <c r="AP396" s="9"/>
      <c r="AQ396" s="22">
        <v>-6.3629199999999997E-2</v>
      </c>
      <c r="AR396" s="22">
        <v>389.05900000000003</v>
      </c>
      <c r="AS396" s="22">
        <v>-1.8246499999999999E-2</v>
      </c>
      <c r="AT396" s="22">
        <v>386</v>
      </c>
      <c r="AU396" s="22">
        <v>-6.4117400000000005E-2</v>
      </c>
      <c r="AV396">
        <f t="shared" ref="AV396:AV404" si="80">-AS396/$F$2*1000</f>
        <v>18.246499999999997</v>
      </c>
      <c r="AW396">
        <f t="shared" ref="AW396:AW404" si="81">AV396*AQ396</f>
        <v>-1.1610101977999998</v>
      </c>
      <c r="AX396" s="9"/>
      <c r="AY396" s="22">
        <v>1.84372</v>
      </c>
      <c r="AZ396" s="22">
        <v>441.488</v>
      </c>
      <c r="BA396" s="22">
        <v>0.18157999999999999</v>
      </c>
      <c r="BB396" s="22">
        <v>386</v>
      </c>
      <c r="BC396" s="22">
        <v>1.8429599999999999</v>
      </c>
      <c r="BD396">
        <f t="shared" ref="BD396:BD404" si="82">-BA396/$F$2*1000</f>
        <v>-181.57999999999998</v>
      </c>
      <c r="BE396">
        <f t="shared" ref="BE396:BE404" si="83">BD396*AY396</f>
        <v>-334.7826776</v>
      </c>
    </row>
    <row r="397" spans="6:57">
      <c r="F397" s="9"/>
      <c r="G397" s="22">
        <v>-6.8664600000000006E-2</v>
      </c>
      <c r="H397" s="22">
        <v>54.365099999999998</v>
      </c>
      <c r="I397" s="22">
        <v>-1.8100000000000002E-2</v>
      </c>
      <c r="J397" s="22">
        <v>387</v>
      </c>
      <c r="K397" s="22">
        <v>-6.9213899999999995E-2</v>
      </c>
      <c r="L397">
        <f t="shared" si="72"/>
        <v>18.100000000000001</v>
      </c>
      <c r="M397">
        <f t="shared" si="73"/>
        <v>-1.2428292600000002</v>
      </c>
      <c r="N397" s="9"/>
      <c r="O397" s="22">
        <v>1.8487499999999999</v>
      </c>
      <c r="P397" s="22">
        <v>111.675</v>
      </c>
      <c r="Q397" s="22">
        <v>0.17694099999999999</v>
      </c>
      <c r="R397" s="22">
        <v>387</v>
      </c>
      <c r="S397" s="22">
        <v>1.8484499999999999</v>
      </c>
      <c r="T397">
        <f t="shared" si="74"/>
        <v>-176.94099999999997</v>
      </c>
      <c r="U397">
        <f t="shared" si="75"/>
        <v>-327.11967374999995</v>
      </c>
      <c r="X397" s="9"/>
      <c r="Y397" s="22">
        <v>-6.8664600000000006E-2</v>
      </c>
      <c r="Z397" s="22">
        <v>201.834</v>
      </c>
      <c r="AA397" s="22">
        <v>-1.8197600000000001E-2</v>
      </c>
      <c r="AB397" s="22">
        <v>387</v>
      </c>
      <c r="AC397" s="22">
        <v>-6.9183300000000003E-2</v>
      </c>
      <c r="AD397">
        <f t="shared" si="76"/>
        <v>18.197600000000001</v>
      </c>
      <c r="AE397">
        <f t="shared" si="77"/>
        <v>-1.2495309249600002</v>
      </c>
      <c r="AF397" s="9"/>
      <c r="AG397" s="22">
        <v>1.8487499999999999</v>
      </c>
      <c r="AH397" s="22">
        <v>316.14600000000002</v>
      </c>
      <c r="AI397" s="22">
        <v>0.19552600000000001</v>
      </c>
      <c r="AJ397" s="22">
        <v>387</v>
      </c>
      <c r="AK397" s="22">
        <v>1.8481399999999999</v>
      </c>
      <c r="AL397">
        <f t="shared" si="78"/>
        <v>-195.52600000000001</v>
      </c>
      <c r="AM397">
        <f t="shared" si="79"/>
        <v>-361.47869250000002</v>
      </c>
      <c r="AP397" s="9"/>
      <c r="AQ397" s="22">
        <v>-6.8664600000000006E-2</v>
      </c>
      <c r="AR397" s="22">
        <v>389.16</v>
      </c>
      <c r="AS397" s="22">
        <v>-1.8252600000000001E-2</v>
      </c>
      <c r="AT397" s="22">
        <v>387</v>
      </c>
      <c r="AU397" s="22">
        <v>-6.9213899999999995E-2</v>
      </c>
      <c r="AV397">
        <f t="shared" si="80"/>
        <v>18.252600000000001</v>
      </c>
      <c r="AW397">
        <f t="shared" si="81"/>
        <v>-1.2533074779600002</v>
      </c>
      <c r="AX397" s="9"/>
      <c r="AY397" s="22">
        <v>1.8487499999999999</v>
      </c>
      <c r="AZ397" s="22">
        <v>441.58800000000002</v>
      </c>
      <c r="BA397" s="22">
        <v>0.203705</v>
      </c>
      <c r="BB397" s="22">
        <v>387</v>
      </c>
      <c r="BC397" s="22">
        <v>1.8478399999999999</v>
      </c>
      <c r="BD397">
        <f t="shared" si="82"/>
        <v>-203.70499999999998</v>
      </c>
      <c r="BE397">
        <f t="shared" si="83"/>
        <v>-376.59961874999993</v>
      </c>
    </row>
    <row r="398" spans="6:57">
      <c r="F398" s="9"/>
      <c r="G398" s="22">
        <v>-7.3700000000000002E-2</v>
      </c>
      <c r="H398" s="22">
        <v>54.465899999999998</v>
      </c>
      <c r="I398" s="22">
        <v>-1.8100000000000002E-2</v>
      </c>
      <c r="J398" s="22">
        <v>388</v>
      </c>
      <c r="K398" s="22">
        <v>-7.4188199999999996E-2</v>
      </c>
      <c r="L398">
        <f t="shared" si="72"/>
        <v>18.100000000000001</v>
      </c>
      <c r="M398">
        <f t="shared" si="73"/>
        <v>-1.3339700000000001</v>
      </c>
      <c r="N398" s="9"/>
      <c r="O398" s="22">
        <v>1.85379</v>
      </c>
      <c r="P398" s="22">
        <v>111.776</v>
      </c>
      <c r="Q398" s="22">
        <v>0.200348</v>
      </c>
      <c r="R398" s="22">
        <v>388</v>
      </c>
      <c r="S398" s="22">
        <v>1.8527199999999999</v>
      </c>
      <c r="T398">
        <f t="shared" si="74"/>
        <v>-200.34799999999998</v>
      </c>
      <c r="U398">
        <f t="shared" si="75"/>
        <v>-371.40311892</v>
      </c>
      <c r="X398" s="9"/>
      <c r="Y398" s="22">
        <v>-7.3700000000000002E-2</v>
      </c>
      <c r="Z398" s="22">
        <v>201.934</v>
      </c>
      <c r="AA398" s="22">
        <v>-1.82007E-2</v>
      </c>
      <c r="AB398" s="22">
        <v>388</v>
      </c>
      <c r="AC398" s="22">
        <v>-7.4188199999999996E-2</v>
      </c>
      <c r="AD398">
        <f t="shared" si="76"/>
        <v>18.200700000000001</v>
      </c>
      <c r="AE398">
        <f t="shared" si="77"/>
        <v>-1.3413915900000002</v>
      </c>
      <c r="AF398" s="9"/>
      <c r="AG398" s="22">
        <v>1.85379</v>
      </c>
      <c r="AH398" s="22">
        <v>316.24700000000001</v>
      </c>
      <c r="AI398" s="22">
        <v>0.21875</v>
      </c>
      <c r="AJ398" s="22">
        <v>388</v>
      </c>
      <c r="AK398" s="22">
        <v>1.8533299999999999</v>
      </c>
      <c r="AL398">
        <f t="shared" si="78"/>
        <v>-218.75</v>
      </c>
      <c r="AM398">
        <f t="shared" si="79"/>
        <v>-405.51656250000002</v>
      </c>
      <c r="AP398" s="9"/>
      <c r="AQ398" s="22">
        <v>-7.3700000000000002E-2</v>
      </c>
      <c r="AR398" s="22">
        <v>389.26</v>
      </c>
      <c r="AS398" s="22">
        <v>-1.8252600000000001E-2</v>
      </c>
      <c r="AT398" s="22">
        <v>388</v>
      </c>
      <c r="AU398" s="22">
        <v>-7.4279800000000007E-2</v>
      </c>
      <c r="AV398">
        <f t="shared" si="80"/>
        <v>18.252600000000001</v>
      </c>
      <c r="AW398">
        <f t="shared" si="81"/>
        <v>-1.3452166200000002</v>
      </c>
      <c r="AX398" s="9"/>
      <c r="AY398" s="22">
        <v>1.85379</v>
      </c>
      <c r="AZ398" s="22">
        <v>441.68900000000002</v>
      </c>
      <c r="BA398" s="22">
        <v>0.227295</v>
      </c>
      <c r="BB398" s="22">
        <v>388</v>
      </c>
      <c r="BC398" s="22">
        <v>1.85303</v>
      </c>
      <c r="BD398">
        <f t="shared" si="82"/>
        <v>-227.29499999999999</v>
      </c>
      <c r="BE398">
        <f t="shared" si="83"/>
        <v>-421.35719804999997</v>
      </c>
    </row>
    <row r="399" spans="6:57">
      <c r="F399" s="9"/>
      <c r="G399" s="22">
        <v>-7.8735399999999997E-2</v>
      </c>
      <c r="H399" s="22">
        <v>54.566600000000001</v>
      </c>
      <c r="I399" s="22">
        <v>-1.8103000000000001E-2</v>
      </c>
      <c r="J399" s="22">
        <v>389</v>
      </c>
      <c r="K399" s="22">
        <v>-7.9254199999999997E-2</v>
      </c>
      <c r="L399">
        <f t="shared" si="72"/>
        <v>18.103000000000002</v>
      </c>
      <c r="M399">
        <f t="shared" si="73"/>
        <v>-1.4253469462000001</v>
      </c>
      <c r="N399" s="9"/>
      <c r="O399" s="22">
        <v>1.85883</v>
      </c>
      <c r="P399" s="22">
        <v>111.876</v>
      </c>
      <c r="Q399" s="22">
        <v>0.211761</v>
      </c>
      <c r="R399" s="22">
        <v>389</v>
      </c>
      <c r="S399" s="22">
        <v>1.8585199999999999</v>
      </c>
      <c r="T399">
        <f t="shared" si="74"/>
        <v>-211.761</v>
      </c>
      <c r="U399">
        <f t="shared" si="75"/>
        <v>-393.62769963</v>
      </c>
      <c r="X399" s="9"/>
      <c r="Y399" s="22">
        <v>-7.8735399999999997E-2</v>
      </c>
      <c r="Z399" s="22">
        <v>202.035</v>
      </c>
      <c r="AA399" s="22">
        <v>-1.8206799999999999E-2</v>
      </c>
      <c r="AB399" s="22">
        <v>389</v>
      </c>
      <c r="AC399" s="22">
        <v>-7.92847E-2</v>
      </c>
      <c r="AD399">
        <f t="shared" si="76"/>
        <v>18.206799999999998</v>
      </c>
      <c r="AE399">
        <f t="shared" si="77"/>
        <v>-1.4335196807199997</v>
      </c>
      <c r="AF399" s="9"/>
      <c r="AG399" s="22">
        <v>1.85883</v>
      </c>
      <c r="AH399" s="22">
        <v>316.34800000000001</v>
      </c>
      <c r="AI399" s="22">
        <v>0.24441499999999999</v>
      </c>
      <c r="AJ399" s="22">
        <v>389</v>
      </c>
      <c r="AK399" s="22">
        <v>1.85791</v>
      </c>
      <c r="AL399">
        <f t="shared" si="78"/>
        <v>-244.41499999999999</v>
      </c>
      <c r="AM399">
        <f t="shared" si="79"/>
        <v>-454.32593444999998</v>
      </c>
      <c r="AP399" s="9"/>
      <c r="AQ399" s="22">
        <v>-7.8735399999999997E-2</v>
      </c>
      <c r="AR399" s="22">
        <v>389.36099999999999</v>
      </c>
      <c r="AS399" s="22">
        <v>-1.8252600000000001E-2</v>
      </c>
      <c r="AT399" s="22">
        <v>389</v>
      </c>
      <c r="AU399" s="22">
        <v>-7.8918500000000003E-2</v>
      </c>
      <c r="AV399">
        <f t="shared" si="80"/>
        <v>18.252600000000001</v>
      </c>
      <c r="AW399">
        <f t="shared" si="81"/>
        <v>-1.43712576204</v>
      </c>
      <c r="AX399" s="9"/>
      <c r="AY399" s="22">
        <v>1.85883</v>
      </c>
      <c r="AZ399" s="22">
        <v>441.79</v>
      </c>
      <c r="BA399" s="22">
        <v>0.246613</v>
      </c>
      <c r="BB399" s="22">
        <v>389</v>
      </c>
      <c r="BC399" s="22">
        <v>1.85822</v>
      </c>
      <c r="BD399">
        <f t="shared" si="82"/>
        <v>-246.613</v>
      </c>
      <c r="BE399">
        <f t="shared" si="83"/>
        <v>-458.41164278999997</v>
      </c>
    </row>
    <row r="400" spans="6:57">
      <c r="F400" s="9"/>
      <c r="G400" s="22">
        <v>-8.3770800000000006E-2</v>
      </c>
      <c r="H400" s="22">
        <v>54.667299999999997</v>
      </c>
      <c r="I400" s="22">
        <v>-1.81091E-2</v>
      </c>
      <c r="J400" s="22">
        <v>390</v>
      </c>
      <c r="K400" s="22">
        <v>-8.4259000000000001E-2</v>
      </c>
      <c r="L400">
        <f t="shared" si="72"/>
        <v>18.109099999999998</v>
      </c>
      <c r="M400">
        <f t="shared" si="73"/>
        <v>-1.5170137942799999</v>
      </c>
      <c r="N400" s="9"/>
      <c r="O400" s="22">
        <v>1.8638600000000001</v>
      </c>
      <c r="P400" s="22">
        <v>111.977</v>
      </c>
      <c r="Q400" s="22">
        <v>0.22866800000000001</v>
      </c>
      <c r="R400" s="22">
        <v>390</v>
      </c>
      <c r="S400" s="22">
        <v>1.8627899999999999</v>
      </c>
      <c r="T400">
        <f t="shared" si="74"/>
        <v>-228.66800000000001</v>
      </c>
      <c r="U400">
        <f t="shared" si="75"/>
        <v>-426.20513848000002</v>
      </c>
      <c r="X400" s="9"/>
      <c r="Y400" s="22">
        <v>-8.3770800000000006E-2</v>
      </c>
      <c r="Z400" s="22">
        <v>202.136</v>
      </c>
      <c r="AA400" s="22">
        <v>-1.8206799999999999E-2</v>
      </c>
      <c r="AB400" s="22">
        <v>390</v>
      </c>
      <c r="AC400" s="22">
        <v>-8.4350599999999998E-2</v>
      </c>
      <c r="AD400">
        <f t="shared" si="76"/>
        <v>18.206799999999998</v>
      </c>
      <c r="AE400">
        <f t="shared" si="77"/>
        <v>-1.5251982014399998</v>
      </c>
      <c r="AF400" s="9"/>
      <c r="AG400" s="22">
        <v>1.8638600000000001</v>
      </c>
      <c r="AH400" s="22">
        <v>316.44900000000001</v>
      </c>
      <c r="AI400" s="22">
        <v>0.26791399999999999</v>
      </c>
      <c r="AJ400" s="22">
        <v>390</v>
      </c>
      <c r="AK400" s="22">
        <v>1.8631</v>
      </c>
      <c r="AL400">
        <f t="shared" si="78"/>
        <v>-267.91399999999999</v>
      </c>
      <c r="AM400">
        <f t="shared" si="79"/>
        <v>-499.35418804</v>
      </c>
      <c r="AP400" s="9"/>
      <c r="AQ400" s="22">
        <v>-8.3770800000000006E-2</v>
      </c>
      <c r="AR400" s="22">
        <v>389.46199999999999</v>
      </c>
      <c r="AS400" s="22">
        <v>-1.82556E-2</v>
      </c>
      <c r="AT400" s="22">
        <v>390</v>
      </c>
      <c r="AU400" s="22">
        <v>-8.4289600000000006E-2</v>
      </c>
      <c r="AV400">
        <f t="shared" si="80"/>
        <v>18.255600000000001</v>
      </c>
      <c r="AW400">
        <f t="shared" si="81"/>
        <v>-1.5292862164800003</v>
      </c>
      <c r="AX400" s="9"/>
      <c r="AY400" s="22">
        <v>1.8638600000000001</v>
      </c>
      <c r="AZ400" s="22">
        <v>441.89100000000002</v>
      </c>
      <c r="BA400" s="22">
        <v>0.270874</v>
      </c>
      <c r="BB400" s="22">
        <v>390</v>
      </c>
      <c r="BC400" s="22">
        <v>1.8627899999999999</v>
      </c>
      <c r="BD400">
        <f t="shared" si="82"/>
        <v>-270.87400000000002</v>
      </c>
      <c r="BE400">
        <f t="shared" si="83"/>
        <v>-504.87121364000006</v>
      </c>
    </row>
    <row r="401" spans="6:57">
      <c r="F401" s="9"/>
      <c r="G401" s="22">
        <v>-8.8806200000000002E-2</v>
      </c>
      <c r="H401" s="22">
        <v>54.768000000000001</v>
      </c>
      <c r="I401" s="22">
        <v>-1.8115200000000001E-2</v>
      </c>
      <c r="J401" s="22">
        <v>391</v>
      </c>
      <c r="K401" s="22">
        <v>-8.9294399999999996E-2</v>
      </c>
      <c r="L401">
        <f t="shared" si="72"/>
        <v>18.115200000000002</v>
      </c>
      <c r="M401">
        <f t="shared" si="73"/>
        <v>-1.6087420742400003</v>
      </c>
      <c r="N401" s="9"/>
      <c r="O401" s="22">
        <v>1.8689</v>
      </c>
      <c r="P401" s="22">
        <v>112.078</v>
      </c>
      <c r="Q401" s="22">
        <v>0.24710099999999999</v>
      </c>
      <c r="R401" s="22">
        <v>391</v>
      </c>
      <c r="S401" s="22">
        <v>1.86798</v>
      </c>
      <c r="T401">
        <f t="shared" si="74"/>
        <v>-247.101</v>
      </c>
      <c r="U401">
        <f t="shared" si="75"/>
        <v>-461.80705890000002</v>
      </c>
      <c r="X401" s="9"/>
      <c r="Y401" s="22">
        <v>-8.8806200000000002E-2</v>
      </c>
      <c r="Z401" s="22">
        <v>202.23599999999999</v>
      </c>
      <c r="AA401" s="22">
        <v>-1.8209800000000002E-2</v>
      </c>
      <c r="AB401" s="22">
        <v>391</v>
      </c>
      <c r="AC401" s="22">
        <v>-8.9477500000000001E-2</v>
      </c>
      <c r="AD401">
        <f t="shared" si="76"/>
        <v>18.209800000000001</v>
      </c>
      <c r="AE401">
        <f t="shared" si="77"/>
        <v>-1.6171431407600001</v>
      </c>
      <c r="AF401" s="9"/>
      <c r="AG401" s="22">
        <v>1.8689</v>
      </c>
      <c r="AH401" s="22">
        <v>316.54899999999998</v>
      </c>
      <c r="AI401" s="22">
        <v>0.28967300000000001</v>
      </c>
      <c r="AJ401" s="22">
        <v>391</v>
      </c>
      <c r="AK401" s="22">
        <v>1.86798</v>
      </c>
      <c r="AL401">
        <f t="shared" si="78"/>
        <v>-289.673</v>
      </c>
      <c r="AM401">
        <f t="shared" si="79"/>
        <v>-541.36986969999998</v>
      </c>
      <c r="AP401" s="9"/>
      <c r="AQ401" s="22">
        <v>-8.8806200000000002E-2</v>
      </c>
      <c r="AR401" s="22">
        <v>389.56200000000001</v>
      </c>
      <c r="AS401" s="22">
        <v>-1.8258699999999999E-2</v>
      </c>
      <c r="AT401" s="22">
        <v>391</v>
      </c>
      <c r="AU401" s="22">
        <v>-8.9325000000000002E-2</v>
      </c>
      <c r="AV401">
        <f t="shared" si="80"/>
        <v>18.258699999999997</v>
      </c>
      <c r="AW401">
        <f t="shared" si="81"/>
        <v>-1.6214857639399998</v>
      </c>
      <c r="AX401" s="9"/>
      <c r="AY401" s="22">
        <v>1.8689</v>
      </c>
      <c r="AZ401" s="22">
        <v>441.99099999999999</v>
      </c>
      <c r="BA401" s="22">
        <v>0.29440300000000003</v>
      </c>
      <c r="BB401" s="22">
        <v>391</v>
      </c>
      <c r="BC401" s="22">
        <v>1.86829</v>
      </c>
      <c r="BD401">
        <f t="shared" si="82"/>
        <v>-294.40300000000002</v>
      </c>
      <c r="BE401">
        <f t="shared" si="83"/>
        <v>-550.20976670000005</v>
      </c>
    </row>
    <row r="402" spans="6:57">
      <c r="F402" s="9"/>
      <c r="G402" s="22">
        <v>-9.3841599999999997E-2</v>
      </c>
      <c r="H402" s="22">
        <v>54.868699999999997</v>
      </c>
      <c r="I402" s="22">
        <v>-1.81183E-2</v>
      </c>
      <c r="J402" s="22">
        <v>392</v>
      </c>
      <c r="K402" s="22">
        <v>-9.43909E-2</v>
      </c>
      <c r="L402">
        <f t="shared" si="72"/>
        <v>18.118300000000001</v>
      </c>
      <c r="M402">
        <f t="shared" si="73"/>
        <v>-1.7002502612800001</v>
      </c>
      <c r="N402" s="9"/>
      <c r="O402" s="22">
        <v>1.8739300000000001</v>
      </c>
      <c r="P402" s="22">
        <v>112.179</v>
      </c>
      <c r="Q402" s="22">
        <v>0.26388499999999998</v>
      </c>
      <c r="R402" s="22">
        <v>392</v>
      </c>
      <c r="S402" s="22">
        <v>1.87347</v>
      </c>
      <c r="T402">
        <f t="shared" si="74"/>
        <v>-263.88499999999999</v>
      </c>
      <c r="U402">
        <f t="shared" si="75"/>
        <v>-494.50201805</v>
      </c>
      <c r="X402" s="9"/>
      <c r="Y402" s="22">
        <v>-9.3841599999999997E-2</v>
      </c>
      <c r="Z402" s="22">
        <v>202.33699999999999</v>
      </c>
      <c r="AA402" s="22">
        <v>-1.8212900000000001E-2</v>
      </c>
      <c r="AB402" s="22">
        <v>392</v>
      </c>
      <c r="AC402" s="22">
        <v>-9.4604499999999994E-2</v>
      </c>
      <c r="AD402">
        <f t="shared" si="76"/>
        <v>18.212900000000001</v>
      </c>
      <c r="AE402">
        <f t="shared" si="77"/>
        <v>-1.7091276766400001</v>
      </c>
      <c r="AF402" s="9"/>
      <c r="AG402" s="22">
        <v>1.8739300000000001</v>
      </c>
      <c r="AH402" s="22">
        <v>316.64999999999998</v>
      </c>
      <c r="AI402" s="22">
        <v>0.31176799999999999</v>
      </c>
      <c r="AJ402" s="22">
        <v>392</v>
      </c>
      <c r="AK402" s="22">
        <v>1.87317</v>
      </c>
      <c r="AL402">
        <f t="shared" si="78"/>
        <v>-311.76799999999997</v>
      </c>
      <c r="AM402">
        <f t="shared" si="79"/>
        <v>-584.23140823999995</v>
      </c>
      <c r="AP402" s="9"/>
      <c r="AQ402" s="22">
        <v>-9.3841599999999997E-2</v>
      </c>
      <c r="AR402" s="22">
        <v>389.66300000000001</v>
      </c>
      <c r="AS402" s="22">
        <v>-1.8258699999999999E-2</v>
      </c>
      <c r="AT402" s="22">
        <v>392</v>
      </c>
      <c r="AU402" s="22">
        <v>-9.4421400000000003E-2</v>
      </c>
      <c r="AV402">
        <f t="shared" si="80"/>
        <v>18.258699999999997</v>
      </c>
      <c r="AW402">
        <f t="shared" si="81"/>
        <v>-1.7134256219199997</v>
      </c>
      <c r="AX402" s="9"/>
      <c r="AY402" s="22">
        <v>1.8739300000000001</v>
      </c>
      <c r="AZ402" s="22">
        <v>442.09199999999998</v>
      </c>
      <c r="BA402" s="22">
        <v>0.32174700000000001</v>
      </c>
      <c r="BB402" s="22">
        <v>392</v>
      </c>
      <c r="BC402" s="22">
        <v>1.87347</v>
      </c>
      <c r="BD402">
        <f t="shared" si="82"/>
        <v>-321.74700000000001</v>
      </c>
      <c r="BE402">
        <f t="shared" si="83"/>
        <v>-602.93135571000005</v>
      </c>
    </row>
    <row r="403" spans="6:57">
      <c r="F403" s="9"/>
      <c r="G403" s="22">
        <v>-9.8877000000000007E-2</v>
      </c>
      <c r="H403" s="22">
        <v>54.9694</v>
      </c>
      <c r="I403" s="22">
        <v>-1.81213E-2</v>
      </c>
      <c r="J403" s="22">
        <v>393</v>
      </c>
      <c r="K403" s="22">
        <v>-9.9456799999999998E-2</v>
      </c>
      <c r="L403">
        <f t="shared" si="72"/>
        <v>18.121300000000002</v>
      </c>
      <c r="M403">
        <f t="shared" si="73"/>
        <v>-1.7917797801000002</v>
      </c>
      <c r="N403" s="9"/>
      <c r="O403" s="22">
        <v>1.87897</v>
      </c>
      <c r="P403" s="22">
        <v>112.279</v>
      </c>
      <c r="Q403" s="22">
        <v>0.28295900000000002</v>
      </c>
      <c r="R403" s="22">
        <v>393</v>
      </c>
      <c r="S403" s="22">
        <v>1.87836</v>
      </c>
      <c r="T403">
        <f t="shared" si="74"/>
        <v>-282.959</v>
      </c>
      <c r="U403">
        <f t="shared" si="75"/>
        <v>-531.67147223000006</v>
      </c>
      <c r="X403" s="9"/>
      <c r="Y403" s="22">
        <v>-9.8877000000000007E-2</v>
      </c>
      <c r="Z403" s="22">
        <v>202.43799999999999</v>
      </c>
      <c r="AA403" s="22">
        <v>-1.82159E-2</v>
      </c>
      <c r="AB403" s="22">
        <v>393</v>
      </c>
      <c r="AC403" s="22">
        <v>-9.9456799999999998E-2</v>
      </c>
      <c r="AD403">
        <f t="shared" si="76"/>
        <v>18.215900000000001</v>
      </c>
      <c r="AE403">
        <f t="shared" si="77"/>
        <v>-1.8011335443000003</v>
      </c>
      <c r="AF403" s="9"/>
      <c r="AG403" s="22">
        <v>1.87897</v>
      </c>
      <c r="AH403" s="22">
        <v>316.75099999999998</v>
      </c>
      <c r="AI403" s="22">
        <v>0.33297700000000002</v>
      </c>
      <c r="AJ403" s="22">
        <v>393</v>
      </c>
      <c r="AK403" s="22">
        <v>1.87836</v>
      </c>
      <c r="AL403">
        <f t="shared" si="78"/>
        <v>-332.97700000000003</v>
      </c>
      <c r="AM403">
        <f t="shared" si="79"/>
        <v>-625.65379369000004</v>
      </c>
      <c r="AP403" s="9"/>
      <c r="AQ403" s="22">
        <v>-9.8877000000000007E-2</v>
      </c>
      <c r="AR403" s="22">
        <v>389.76400000000001</v>
      </c>
      <c r="AS403" s="22">
        <v>-1.8264800000000001E-2</v>
      </c>
      <c r="AT403" s="22">
        <v>393</v>
      </c>
      <c r="AU403" s="22">
        <v>-9.9456799999999998E-2</v>
      </c>
      <c r="AV403">
        <f t="shared" si="80"/>
        <v>18.264800000000001</v>
      </c>
      <c r="AW403">
        <f t="shared" si="81"/>
        <v>-1.8059686296000002</v>
      </c>
      <c r="AX403" s="9"/>
      <c r="AY403" s="22">
        <v>1.87897</v>
      </c>
      <c r="AZ403" s="22">
        <v>442.19299999999998</v>
      </c>
      <c r="BA403" s="22">
        <v>0.346771</v>
      </c>
      <c r="BB403" s="22">
        <v>393</v>
      </c>
      <c r="BC403" s="22">
        <v>1.87866</v>
      </c>
      <c r="BD403">
        <f t="shared" si="82"/>
        <v>-346.77100000000002</v>
      </c>
      <c r="BE403">
        <f t="shared" si="83"/>
        <v>-651.57230587000004</v>
      </c>
    </row>
    <row r="404" spans="6:57">
      <c r="F404" s="9"/>
      <c r="G404" s="22">
        <v>-0.103912</v>
      </c>
      <c r="H404" s="22">
        <v>55.070099999999996</v>
      </c>
      <c r="I404" s="22">
        <v>-1.8127399999999998E-2</v>
      </c>
      <c r="J404" s="22">
        <v>394</v>
      </c>
      <c r="K404" s="22">
        <v>-0.10434</v>
      </c>
      <c r="L404">
        <f t="shared" si="72"/>
        <v>18.127399999999998</v>
      </c>
      <c r="M404">
        <f t="shared" si="73"/>
        <v>-1.8836543887999999</v>
      </c>
      <c r="N404" s="9"/>
      <c r="O404" s="22">
        <v>1.8839999999999999</v>
      </c>
      <c r="P404" s="22">
        <v>112.38</v>
      </c>
      <c r="Q404" s="22">
        <v>0.30313099999999998</v>
      </c>
      <c r="R404" s="22">
        <v>394</v>
      </c>
      <c r="S404" s="22">
        <v>1.88324</v>
      </c>
      <c r="T404">
        <f t="shared" si="74"/>
        <v>-303.13099999999997</v>
      </c>
      <c r="U404">
        <f t="shared" si="75"/>
        <v>-571.09880399999986</v>
      </c>
      <c r="X404" s="9"/>
      <c r="Y404" s="22">
        <v>-0.103912</v>
      </c>
      <c r="Z404" s="22">
        <v>202.53800000000001</v>
      </c>
      <c r="AA404" s="22">
        <v>-1.8218999999999999E-2</v>
      </c>
      <c r="AB404" s="22">
        <v>394</v>
      </c>
      <c r="AC404" s="22">
        <v>-0.10455299999999999</v>
      </c>
      <c r="AD404">
        <f t="shared" si="76"/>
        <v>18.218999999999998</v>
      </c>
      <c r="AE404">
        <f t="shared" si="77"/>
        <v>-1.8931727279999999</v>
      </c>
      <c r="AF404" s="9"/>
      <c r="AG404" s="22">
        <v>1.8839999999999999</v>
      </c>
      <c r="AH404" s="22">
        <v>316.851</v>
      </c>
      <c r="AI404" s="22">
        <v>0.35772700000000002</v>
      </c>
      <c r="AJ404" s="22">
        <v>394</v>
      </c>
      <c r="AK404" s="22">
        <v>1.88293</v>
      </c>
      <c r="AL404">
        <f t="shared" si="78"/>
        <v>-357.72700000000003</v>
      </c>
      <c r="AM404">
        <f t="shared" si="79"/>
        <v>-673.95766800000001</v>
      </c>
      <c r="AP404" s="9"/>
      <c r="AQ404" s="22">
        <v>-0.103912</v>
      </c>
      <c r="AR404" s="22">
        <v>389.86500000000001</v>
      </c>
      <c r="AS404" s="22">
        <v>-1.8267800000000001E-2</v>
      </c>
      <c r="AT404" s="22">
        <v>394</v>
      </c>
      <c r="AU404" s="22">
        <v>-0.10455299999999999</v>
      </c>
      <c r="AV404">
        <f t="shared" si="80"/>
        <v>18.267800000000001</v>
      </c>
      <c r="AW404">
        <f t="shared" si="81"/>
        <v>-1.8982436336000001</v>
      </c>
      <c r="AX404" s="9"/>
      <c r="AY404" s="22">
        <v>1.8839999999999999</v>
      </c>
      <c r="AZ404" s="22">
        <v>442.29300000000001</v>
      </c>
      <c r="BA404" s="22">
        <v>0.36496000000000001</v>
      </c>
      <c r="BB404" s="22">
        <v>394</v>
      </c>
      <c r="BC404" s="22">
        <v>1.88324</v>
      </c>
      <c r="BD404">
        <f t="shared" si="82"/>
        <v>-364.96</v>
      </c>
      <c r="BE404">
        <f t="shared" si="83"/>
        <v>-687.58463999999992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846.9868852459025</v>
      </c>
      <c r="H2" s="2"/>
      <c r="I2" s="6" t="s">
        <v>12</v>
      </c>
      <c r="J2" s="2"/>
      <c r="K2" s="7" t="s">
        <v>13</v>
      </c>
      <c r="L2" s="3">
        <f>L4*I6*L9/100*100</f>
        <v>24.544161796000001</v>
      </c>
      <c r="M2" s="8" t="s">
        <v>14</v>
      </c>
      <c r="N2" s="9"/>
      <c r="O2" s="2">
        <f>ABS(S7-S6)/ABS(T7-T6)*1000</f>
        <v>1664.6858064516771</v>
      </c>
      <c r="P2" s="2"/>
      <c r="Q2" s="6" t="s">
        <v>15</v>
      </c>
      <c r="R2" s="2"/>
      <c r="S2" s="7" t="s">
        <v>13</v>
      </c>
      <c r="T2" s="3">
        <f>T4*Q6*T9/100*100</f>
        <v>24.367891181000008</v>
      </c>
      <c r="U2" s="8" t="s">
        <v>14</v>
      </c>
      <c r="X2" s="9"/>
      <c r="Y2" s="2">
        <f>ABS(AC7-AC6)/ABS(AD7-AD6)*1000</f>
        <v>835.98196721311558</v>
      </c>
      <c r="Z2" s="2"/>
      <c r="AA2" s="6" t="s">
        <v>12</v>
      </c>
      <c r="AB2" s="2"/>
      <c r="AC2" s="7" t="s">
        <v>13</v>
      </c>
      <c r="AD2" s="3">
        <f>AD4*AA6*AD9/100*100</f>
        <v>25.046353071999999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793.95737704871874</v>
      </c>
      <c r="AR2" s="2"/>
      <c r="AS2" s="6" t="s">
        <v>12</v>
      </c>
      <c r="AT2" s="2"/>
      <c r="AU2" s="7" t="s">
        <v>13</v>
      </c>
      <c r="AV2" s="3">
        <f>AV4*AS6*AV9/100*100</f>
        <v>25.303499074000001</v>
      </c>
      <c r="AW2" s="8" t="s">
        <v>14</v>
      </c>
      <c r="AX2" s="9"/>
      <c r="AY2" s="2">
        <f>ABS(BC7-BC6)/ABS(BD7-BD6)*1000</f>
        <v>1721.1913333353066</v>
      </c>
      <c r="AZ2" s="2"/>
      <c r="BA2" s="6" t="s">
        <v>15</v>
      </c>
      <c r="BB2" s="2"/>
      <c r="BC2" s="7" t="s">
        <v>13</v>
      </c>
      <c r="BD2" s="3">
        <f>BD4*BA6*BD9/100*100</f>
        <v>25.356436686999999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1.78406</v>
      </c>
      <c r="J3" s="2"/>
      <c r="K3" s="10">
        <f>INDEX(L11:L1056,MATCH(I3,K11:K1056,0))</f>
        <v>-1.00403</v>
      </c>
      <c r="L3" s="33" t="s">
        <v>16</v>
      </c>
      <c r="M3" s="11">
        <f>M9</f>
        <v>24.544161796000001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0.19470199999999999</v>
      </c>
      <c r="T3" s="33" t="s">
        <v>16</v>
      </c>
      <c r="U3" s="11">
        <f>U9</f>
        <v>24.367891181000005</v>
      </c>
      <c r="X3" s="9"/>
      <c r="Y3" s="2" t="s">
        <v>44</v>
      </c>
      <c r="Z3" s="2"/>
      <c r="AA3" s="2">
        <f>INDEX(AC11:AC856,MATCH(0,AD11:AD856,1))</f>
        <v>1.77826</v>
      </c>
      <c r="AB3" s="2"/>
      <c r="AC3" s="10">
        <f>INDEX(AD11:AD1056,MATCH(AA3,AC11:AC1056,0))</f>
        <v>-2.3113999999999999</v>
      </c>
      <c r="AD3" s="33" t="s">
        <v>16</v>
      </c>
      <c r="AE3" s="11">
        <f>AE9</f>
        <v>25.046353072000002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3.1515499999999999</v>
      </c>
      <c r="AL3" s="33" t="s">
        <v>16</v>
      </c>
      <c r="AM3" s="11">
        <f>AM9</f>
        <v>25.282407469999999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-0.91155999999999993</v>
      </c>
      <c r="AV3" s="33" t="s">
        <v>16</v>
      </c>
      <c r="AW3" s="11">
        <f>AW9</f>
        <v>25.303499074000001</v>
      </c>
      <c r="AX3" s="9"/>
      <c r="AY3" s="2" t="s">
        <v>44</v>
      </c>
      <c r="AZ3" s="2"/>
      <c r="BA3" s="2">
        <f>INDEX(BC11:BC1056,MATCH(0,BD11:BD1056,-1))</f>
        <v>1.77704</v>
      </c>
      <c r="BB3" s="2"/>
      <c r="BC3" s="10">
        <f>INDEX(BD11:BD1056,MATCH(BA3,BC11:BC1056,0))</f>
        <v>1.8270899999999999</v>
      </c>
      <c r="BD3" s="33" t="s">
        <v>16</v>
      </c>
      <c r="BE3" s="11">
        <f>BE9</f>
        <v>25.356436686999999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4.5731852731089973</v>
      </c>
      <c r="H4" s="2"/>
      <c r="I4" s="2">
        <f>INDEX(K11:K1000,1+MATCH(0,L11:L856,1))</f>
        <v>1.7791699999999999</v>
      </c>
      <c r="J4" s="2"/>
      <c r="K4" s="10">
        <f>INDEX(L11:L1056,MATCH(I4,K11:K1056,0))</f>
        <v>6.5246600000000002E-2</v>
      </c>
      <c r="L4" s="32">
        <f>M3/(I6*L9)</f>
        <v>0.78144305139287806</v>
      </c>
      <c r="M4" s="8" t="s">
        <v>17</v>
      </c>
      <c r="N4" s="9"/>
      <c r="O4" s="2">
        <f>ABS(Q3-Q4)/ABS(S3-S4)*1000</f>
        <v>5.4358757615954687</v>
      </c>
      <c r="P4" s="2"/>
      <c r="Q4" s="2">
        <f>INDEX(S11:S856,1+MATCH(0,T11:T856,-1))</f>
        <v>1.7773399999999999</v>
      </c>
      <c r="R4" s="2"/>
      <c r="S4" s="10">
        <f>INDEX(T11:T856,MATCH(Q4,S11:S856,0))</f>
        <v>-0.59082000000000001</v>
      </c>
      <c r="T4" s="32">
        <f>U3/(Q6*T9)</f>
        <v>0.77906141576963672</v>
      </c>
      <c r="U4" s="8" t="s">
        <v>17</v>
      </c>
      <c r="X4" s="9"/>
      <c r="Y4" s="2">
        <f>ABS(AA3-AA4)/ABS(AC3-AC4)*1000</f>
        <v>1.5157560534398062</v>
      </c>
      <c r="Z4" s="2"/>
      <c r="AA4" s="2">
        <f>INDEX(AC11:AC1000,1+MATCH(0,AD11:AD856,1))</f>
        <v>1.77399</v>
      </c>
      <c r="AB4" s="2"/>
      <c r="AC4" s="10">
        <f>INDEX(AD11:AD1056,MATCH(AA4,AC11:AC1056,0))</f>
        <v>0.50567600000000001</v>
      </c>
      <c r="AD4" s="32">
        <f>AE3/(AA6*AD9)</f>
        <v>0.79858129176771642</v>
      </c>
      <c r="AE4" s="8" t="s">
        <v>17</v>
      </c>
      <c r="AF4" s="9"/>
      <c r="AG4" s="2">
        <f>ABS(AI3-AI4)/ABS(AK3-AK4)*1000</f>
        <v>1.04457142857142</v>
      </c>
      <c r="AH4" s="2"/>
      <c r="AI4" s="2">
        <f>INDEX(AK11:AK856,1+MATCH(0,AL11:AL856,-1))</f>
        <v>1.7773399999999999</v>
      </c>
      <c r="AJ4" s="2"/>
      <c r="AK4" s="10">
        <f>INDEX(AL11:AL856,MATCH(AI4,AK11:AK856,0))</f>
        <v>-1.2234500000000001</v>
      </c>
      <c r="AL4" s="32" t="e">
        <f>AM3/(AI6*AL9)</f>
        <v>#DIV/0!</v>
      </c>
      <c r="AM4" s="8" t="s">
        <v>17</v>
      </c>
      <c r="AP4" s="9"/>
      <c r="AQ4" s="2">
        <f>ABS(AS3-AS4)/ABS(AU3-AU4)*1000</f>
        <v>0.98451521271984355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3.4256000000000002</v>
      </c>
      <c r="AV4" s="32">
        <f>AW3/(AS6*AV9)</f>
        <v>0.80601925584950163</v>
      </c>
      <c r="AW4" s="8" t="s">
        <v>17</v>
      </c>
      <c r="AX4" s="9"/>
      <c r="AY4" s="2">
        <f>ABS(BA3-BA4)/ABS(BC3-BC4)*1000</f>
        <v>1.0635552734906224</v>
      </c>
      <c r="AZ4" s="2"/>
      <c r="BA4" s="2">
        <f>INDEX(BC11:BC856,1+MATCH(0,BD11:BD856,-1))</f>
        <v>1.7831399999999999</v>
      </c>
      <c r="BB4" s="2"/>
      <c r="BC4" s="10">
        <f>INDEX(BD11:BD856,MATCH(BA4,BC11:BC856,0))</f>
        <v>-3.9083900000000003</v>
      </c>
      <c r="BD4" s="32">
        <f>BE3/(BA6*BD9)</f>
        <v>0.80747332877288869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15.5518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15.7196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15.683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15.7318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15.6799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1.7794683847902404</v>
      </c>
      <c r="J6" s="32"/>
      <c r="K6" s="13">
        <f>INDEX(K11:K1056,MATCH(L6,L11:L1056,0))</f>
        <v>1.9866900000000002E-3</v>
      </c>
      <c r="L6" s="10">
        <f>INDEX(L11:L1056,MATCH(0,K11:K1056,-1))</f>
        <v>17.648299999999999</v>
      </c>
      <c r="M6" s="8" t="s">
        <v>22</v>
      </c>
      <c r="N6" s="9"/>
      <c r="O6" s="2"/>
      <c r="P6" s="2"/>
      <c r="Q6" s="34">
        <f>(Q3-Q4)/(S3-S4)*(-S4)+Q4</f>
        <v>1.7741283758825341</v>
      </c>
      <c r="R6" s="34"/>
      <c r="S6" s="13">
        <f>INDEX(S11:S1056,MATCH(T6,T11:T1056,0))</f>
        <v>-4.5593300000000003E-3</v>
      </c>
      <c r="T6" s="10">
        <f>INDEX(T11:T1056,MATCH(0,S11:S1056,1))</f>
        <v>17.633099999999999</v>
      </c>
      <c r="U6" s="8" t="s">
        <v>22</v>
      </c>
      <c r="X6" s="9"/>
      <c r="Y6" s="2"/>
      <c r="Z6" s="2"/>
      <c r="AA6" s="32">
        <f>(AA3-AA4)/(AC3-AC4)*(-AC4)+AA4</f>
        <v>1.7747564814580792</v>
      </c>
      <c r="AB6" s="32"/>
      <c r="AC6" s="13">
        <f>INDEX(AC11:AC1056,MATCH(AD6,AD11:AD1056,0))</f>
        <v>1.95313E-3</v>
      </c>
      <c r="AD6" s="10">
        <f>INDEX(AD11:AD1056,MATCH(0,AC11:AC1056,-1))</f>
        <v>17.669699999999999</v>
      </c>
      <c r="AE6" s="8" t="s">
        <v>22</v>
      </c>
      <c r="AF6" s="9"/>
      <c r="AG6" s="2"/>
      <c r="AH6" s="2"/>
      <c r="AI6" s="34">
        <f>(AI3-AI4)/(AK3-AK4)*(-AK4)+AI4</f>
        <v>1.7760620190857141</v>
      </c>
      <c r="AJ6" s="34"/>
      <c r="AK6" s="13">
        <f>INDEX(AK11:AK1056,MATCH(AL6,AL11:AL1056,0))</f>
        <v>-4.6020499999999999E-3</v>
      </c>
      <c r="AL6" s="10">
        <f>INDEX(AL11:AL1056,MATCH(0,AK11:AK1056,1))</f>
        <v>17.645299999999999</v>
      </c>
      <c r="AM6" s="8" t="s">
        <v>22</v>
      </c>
      <c r="AP6" s="9"/>
      <c r="AQ6" s="2"/>
      <c r="AR6" s="2"/>
      <c r="AS6" s="32">
        <f>(AS3-AS4)/(AU3-AU4)*(-AU4)+AS4</f>
        <v>1.777662555312693</v>
      </c>
      <c r="AT6" s="32"/>
      <c r="AU6" s="13">
        <f>INDEX(AU11:AU1056,MATCH(AV6,AV11:AV1056,0))</f>
        <v>1.828E-3</v>
      </c>
      <c r="AV6" s="10">
        <f>INDEX(AV11:AV1056,MATCH(0,AU11:AU1056,-1))</f>
        <v>17.657499999999999</v>
      </c>
      <c r="AW6" s="8" t="s">
        <v>22</v>
      </c>
      <c r="AX6" s="9"/>
      <c r="AY6" s="2"/>
      <c r="AZ6" s="2"/>
      <c r="BA6" s="34">
        <f>(BA3-BA4)/(BC3-BC4)*(-BC4)+BA4</f>
        <v>1.778983211204642</v>
      </c>
      <c r="BB6" s="34"/>
      <c r="BC6" s="13">
        <f>INDEX(BC11:BC1056,MATCH(BD6,BD11:BD1056,0))</f>
        <v>-4.5318600000000004E-3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-3.1799300000000001E-3</v>
      </c>
      <c r="L7" s="10">
        <f>INDEX(L11:L856,1+MATCH(0,K11:K856,-1))</f>
        <v>17.654399999999999</v>
      </c>
      <c r="M7" s="12">
        <f>INDEX(K11:K1056,MATCH(M9,M11:M1056,0))</f>
        <v>1.57684</v>
      </c>
      <c r="N7" s="9"/>
      <c r="O7" s="2"/>
      <c r="P7" s="2"/>
      <c r="Q7" s="2"/>
      <c r="R7" s="2"/>
      <c r="S7" s="13">
        <f>INDEX(S11:S1056,MATCH(T7,T11:T1056,0))</f>
        <v>6.0119600000000002E-4</v>
      </c>
      <c r="T7" s="10">
        <f>INDEX(T11:T1056,1+MATCH(0,S11:S1056,1))</f>
        <v>17.63</v>
      </c>
      <c r="U7" s="12">
        <f>INDEX(S11:S1056,MATCH(U9,U11:U1056,0))</f>
        <v>1.5506</v>
      </c>
      <c r="X7" s="9"/>
      <c r="Y7" s="2"/>
      <c r="Z7" s="2"/>
      <c r="AA7" s="2"/>
      <c r="AB7" s="2"/>
      <c r="AC7" s="13">
        <f>INDEX(AC11:AC856,MATCH(AD7,AD11:AD856,1))</f>
        <v>-3.14636E-3</v>
      </c>
      <c r="AD7" s="10">
        <f>INDEX(AD11:AD856,1+MATCH(0,AC11:AC856,-1))</f>
        <v>17.675799999999999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-4.6020499999999999E-3</v>
      </c>
      <c r="AL7" s="10">
        <f>INDEX(AL11:AL1056,1+MATCH(0,AK11:AK1056,1))</f>
        <v>17.645299999999999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-3.0151399999999999E-3</v>
      </c>
      <c r="AV7" s="10">
        <f>INDEX(AV11:AV856,1+MATCH(0,AU11:AU856,-1))</f>
        <v>17.663600000000002</v>
      </c>
      <c r="AW7" s="12">
        <f>INDEX(AU11:AU1056,MATCH(AW9,AW11:AW1056,0))</f>
        <v>1.6070599999999999</v>
      </c>
      <c r="AX7" s="9"/>
      <c r="AY7" s="2"/>
      <c r="AZ7" s="2"/>
      <c r="BA7" s="2"/>
      <c r="BB7" s="2"/>
      <c r="BC7" s="13">
        <f>INDEX(BC11:BC1056,MATCH(BD7,BD11:BD1056,0))</f>
        <v>6.3171400000000002E-4</v>
      </c>
      <c r="BD7" s="10">
        <f>INDEX(BD11:BD1056,1+MATCH(0,BC11:BC1056,1))</f>
        <v>17.651400000000002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0.71817736724959158</v>
      </c>
      <c r="J9" s="2"/>
      <c r="K9" s="2"/>
      <c r="L9" s="3">
        <f>(L6-L7)/(K6-K7)*(-K7)+L7</f>
        <v>17.650645597121521</v>
      </c>
      <c r="M9" s="16">
        <f>MAX(M11:M1056)</f>
        <v>24.544161796000001</v>
      </c>
      <c r="N9" s="9"/>
      <c r="O9" s="2"/>
      <c r="P9" s="2"/>
      <c r="Q9" s="2"/>
      <c r="R9" s="2"/>
      <c r="S9" s="2"/>
      <c r="T9" s="3">
        <f>(T6-T7)/(S6-S7)*(-S7)+T7</f>
        <v>17.630361146828829</v>
      </c>
      <c r="U9" s="16">
        <f>MAX(U11:U1056)</f>
        <v>24.367891181000005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17.672036330299697</v>
      </c>
      <c r="AE9" s="16">
        <f>MAX(AE11:AE1056)</f>
        <v>25.046353072000002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25.282407469999999</v>
      </c>
      <c r="AP9" s="9"/>
      <c r="AQ9" s="2"/>
      <c r="AR9" s="2"/>
      <c r="AS9" s="15">
        <f>(MAX(AV2,BD2)-MIN(AV2,BD2))/MAX(AV2,BD2)%</f>
        <v>0.20877386540332793</v>
      </c>
      <c r="AT9" s="2"/>
      <c r="AU9" s="2"/>
      <c r="AV9" s="3">
        <f>(AV6-AV7)/(AU6-AU7)*(-AU7)+AV7</f>
        <v>17.659802390597836</v>
      </c>
      <c r="AW9" s="16">
        <f>MAX(AW11:AW1056)</f>
        <v>25.303499074000001</v>
      </c>
      <c r="AX9" s="9"/>
      <c r="AY9" s="2"/>
      <c r="AZ9" s="2"/>
      <c r="BA9" s="2"/>
      <c r="BB9" s="2"/>
      <c r="BC9" s="2"/>
      <c r="BD9" s="3">
        <f>(BD6-BD7)/(BC6-BC7)*(-BC7)+BD7</f>
        <v>17.651767021369309</v>
      </c>
      <c r="BE9" s="16">
        <f>MAX(BE11:BE1056)</f>
        <v>25.356436686999999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1.7794683847902404</v>
      </c>
      <c r="B11" s="19">
        <f>IFERROR(L9,0)</f>
        <v>17.650645597121521</v>
      </c>
      <c r="C11" s="20">
        <f>IFERROR(L4,0)</f>
        <v>0.78144305139287806</v>
      </c>
      <c r="D11" s="21">
        <f>IFERROR(L2,0)</f>
        <v>24.544161796000001</v>
      </c>
      <c r="E11" s="21">
        <f>IFERROR(I9,0)</f>
        <v>0.71817736724959158</v>
      </c>
      <c r="F11" s="9"/>
      <c r="G11" s="22">
        <v>1.8249500000000001</v>
      </c>
      <c r="H11" s="22">
        <v>108.334</v>
      </c>
      <c r="I11" s="22">
        <v>1.1544799999999999E-2</v>
      </c>
      <c r="J11" s="22">
        <v>1</v>
      </c>
      <c r="K11" s="22">
        <v>1.8246500000000001</v>
      </c>
      <c r="L11">
        <f>-I11/$F$2*1000</f>
        <v>-11.544799999999999</v>
      </c>
      <c r="M11">
        <f>L11*G11</f>
        <v>-21.068682759999998</v>
      </c>
      <c r="N11" s="9"/>
      <c r="O11" s="22">
        <v>-9.49097E-2</v>
      </c>
      <c r="P11" s="22">
        <v>157.435</v>
      </c>
      <c r="Q11" s="22">
        <v>-1.7666600000000001E-2</v>
      </c>
      <c r="R11" s="22">
        <v>1</v>
      </c>
      <c r="S11" s="22">
        <v>-9.5581100000000002E-2</v>
      </c>
      <c r="T11">
        <f>-Q11/$F$2*1000</f>
        <v>17.666600000000003</v>
      </c>
      <c r="U11">
        <f>T11*O11</f>
        <v>-1.6767317060200002</v>
      </c>
      <c r="V11" s="23"/>
      <c r="W11" s="24"/>
      <c r="X11" s="9"/>
      <c r="Y11" s="22">
        <v>1.8249500000000001</v>
      </c>
      <c r="Z11" s="22">
        <v>213.59200000000001</v>
      </c>
      <c r="AA11" s="22">
        <v>3.3966099999999999E-2</v>
      </c>
      <c r="AB11" s="22">
        <v>1</v>
      </c>
      <c r="AC11" s="22">
        <v>1.8240400000000001</v>
      </c>
      <c r="AD11">
        <f>-AA11/$F$2*1000</f>
        <v>-33.966099999999997</v>
      </c>
      <c r="AE11">
        <f>AD11*Y11</f>
        <v>-61.986434194999994</v>
      </c>
      <c r="AF11" s="9"/>
      <c r="AG11" s="22">
        <v>-9.49097E-2</v>
      </c>
      <c r="AH11" s="22">
        <v>344.262</v>
      </c>
      <c r="AI11" s="22">
        <v>-1.76971E-2</v>
      </c>
      <c r="AJ11" s="22">
        <v>1</v>
      </c>
      <c r="AK11" s="22">
        <v>-9.5428499999999999E-2</v>
      </c>
      <c r="AL11">
        <f>-AI11/$F$2*1000</f>
        <v>17.697099999999999</v>
      </c>
      <c r="AM11">
        <f>AL11*AG11</f>
        <v>-1.6796264518699999</v>
      </c>
      <c r="AP11" s="9"/>
      <c r="AQ11" s="22">
        <v>1.8249500000000001</v>
      </c>
      <c r="AR11" s="22">
        <v>422.14400000000001</v>
      </c>
      <c r="AS11" s="22">
        <v>9.2376700000000006E-2</v>
      </c>
      <c r="AT11" s="22">
        <v>1</v>
      </c>
      <c r="AU11" s="22">
        <v>1.8243400000000001</v>
      </c>
      <c r="AV11">
        <f>-AS11/$F$2*1000</f>
        <v>-92.3767</v>
      </c>
      <c r="AW11">
        <f>AV11*AQ11</f>
        <v>-168.582858665</v>
      </c>
      <c r="AX11" s="9"/>
      <c r="AY11" s="22">
        <v>-9.49097E-2</v>
      </c>
      <c r="AZ11" s="22">
        <v>473.15699999999998</v>
      </c>
      <c r="BA11" s="22">
        <v>-1.7694100000000001E-2</v>
      </c>
      <c r="BB11" s="22">
        <v>1</v>
      </c>
      <c r="BC11" s="22">
        <v>-9.5397899999999994E-2</v>
      </c>
      <c r="BD11">
        <f>-BA11/$F$2*1000</f>
        <v>17.694100000000002</v>
      </c>
      <c r="BE11">
        <f>BD11*AY11</f>
        <v>-1.6793417227700003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1.7741283758825341</v>
      </c>
      <c r="B12" s="19">
        <f>IFERROR(T9,0)</f>
        <v>17.630361146828829</v>
      </c>
      <c r="C12" s="20">
        <f>IFERROR(T4,0)</f>
        <v>0.77906141576963672</v>
      </c>
      <c r="D12" s="21">
        <f>IFERROR(T2,0)</f>
        <v>24.367891181000008</v>
      </c>
      <c r="E12" s="21"/>
      <c r="F12" s="9"/>
      <c r="G12" s="22">
        <v>1.81992</v>
      </c>
      <c r="H12" s="22">
        <v>108.434</v>
      </c>
      <c r="I12" s="22">
        <v>1.0223400000000001E-2</v>
      </c>
      <c r="J12" s="22">
        <v>2</v>
      </c>
      <c r="K12" s="22">
        <v>1.81915</v>
      </c>
      <c r="L12">
        <f t="shared" ref="L12:L75" si="0">-I12/$F$2*1000</f>
        <v>-10.2234</v>
      </c>
      <c r="M12">
        <f t="shared" ref="M12:M75" si="1">L12*G12</f>
        <v>-18.605770128</v>
      </c>
      <c r="N12" s="9"/>
      <c r="O12" s="22">
        <v>-8.9874300000000004E-2</v>
      </c>
      <c r="P12" s="22">
        <v>157.536</v>
      </c>
      <c r="Q12" s="22">
        <v>-1.7666600000000001E-2</v>
      </c>
      <c r="R12" s="22">
        <v>2</v>
      </c>
      <c r="S12" s="22">
        <v>-9.0484599999999998E-2</v>
      </c>
      <c r="T12">
        <f t="shared" ref="T12:T75" si="2">-Q12/$F$2*1000</f>
        <v>17.666600000000003</v>
      </c>
      <c r="U12">
        <f t="shared" ref="U12:U75" si="3">T12*O12</f>
        <v>-1.5877733083800003</v>
      </c>
      <c r="V12" s="23"/>
      <c r="W12" s="24"/>
      <c r="X12" s="9"/>
      <c r="Y12" s="22">
        <v>1.81992</v>
      </c>
      <c r="Z12" s="22">
        <v>213.69300000000001</v>
      </c>
      <c r="AA12" s="22">
        <v>3.0426000000000002E-2</v>
      </c>
      <c r="AB12" s="22">
        <v>2</v>
      </c>
      <c r="AC12" s="22">
        <v>1.81915</v>
      </c>
      <c r="AD12">
        <f t="shared" ref="AD12:AD75" si="4">-AA12/$F$2*1000</f>
        <v>-30.426000000000002</v>
      </c>
      <c r="AE12">
        <f t="shared" ref="AE12:AE75" si="5">AD12*Y12</f>
        <v>-55.372885920000002</v>
      </c>
      <c r="AF12" s="9"/>
      <c r="AG12" s="22">
        <v>-8.9874300000000004E-2</v>
      </c>
      <c r="AH12" s="22">
        <v>344.363</v>
      </c>
      <c r="AI12" s="22">
        <v>-1.76971E-2</v>
      </c>
      <c r="AJ12" s="22">
        <v>2</v>
      </c>
      <c r="AK12" s="22">
        <v>-9.0393100000000004E-2</v>
      </c>
      <c r="AL12">
        <f t="shared" ref="AL12:AL75" si="6">-AI12/$F$2*1000</f>
        <v>17.697099999999999</v>
      </c>
      <c r="AM12">
        <f t="shared" ref="AM12:AM75" si="7">AL12*AG12</f>
        <v>-1.5905144745299999</v>
      </c>
      <c r="AP12" s="9"/>
      <c r="AQ12" s="22">
        <v>1.81992</v>
      </c>
      <c r="AR12" s="22">
        <v>422.24400000000003</v>
      </c>
      <c r="AS12" s="22">
        <v>8.1543000000000004E-2</v>
      </c>
      <c r="AT12" s="22">
        <v>2</v>
      </c>
      <c r="AU12" s="22">
        <v>1.81915</v>
      </c>
      <c r="AV12">
        <f t="shared" ref="AV12:AV75" si="8">-AS12/$F$2*1000</f>
        <v>-81.543000000000006</v>
      </c>
      <c r="AW12">
        <f t="shared" ref="AW12:AW75" si="9">AV12*AQ12</f>
        <v>-148.40173656000002</v>
      </c>
      <c r="AX12" s="9"/>
      <c r="AY12" s="22">
        <v>-8.9874300000000004E-2</v>
      </c>
      <c r="AZ12" s="22">
        <v>473.25799999999998</v>
      </c>
      <c r="BA12" s="22">
        <v>-1.76971E-2</v>
      </c>
      <c r="BB12" s="22">
        <v>2</v>
      </c>
      <c r="BC12" s="22">
        <v>-9.0240500000000001E-2</v>
      </c>
      <c r="BD12">
        <f t="shared" ref="BD12:BD75" si="10">-BA12/$F$2*1000</f>
        <v>17.697099999999999</v>
      </c>
      <c r="BE12">
        <f t="shared" ref="BE12:BE75" si="11">BD12*AY12</f>
        <v>-1.5905144745299999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1.7747564814580792</v>
      </c>
      <c r="B13" s="19">
        <f>IFERROR(AD9,0)</f>
        <v>17.672036330299697</v>
      </c>
      <c r="C13" s="20">
        <f>IFERROR(AD4,0)</f>
        <v>0.79858129176771642</v>
      </c>
      <c r="D13" s="21">
        <f>IFERROR(AD2,0)</f>
        <v>25.046353071999999</v>
      </c>
      <c r="E13" s="21">
        <f>IFERROR(AA9,0)</f>
        <v>0</v>
      </c>
      <c r="F13" s="9"/>
      <c r="G13" s="22">
        <v>1.81488</v>
      </c>
      <c r="H13" s="22">
        <v>108.535</v>
      </c>
      <c r="I13" s="22">
        <v>8.8928199999999992E-3</v>
      </c>
      <c r="J13" s="22">
        <v>3</v>
      </c>
      <c r="K13" s="22">
        <v>1.81366</v>
      </c>
      <c r="L13">
        <f t="shared" si="0"/>
        <v>-8.8928199999999986</v>
      </c>
      <c r="M13">
        <f t="shared" si="1"/>
        <v>-16.139401161599999</v>
      </c>
      <c r="N13" s="9"/>
      <c r="O13" s="22">
        <v>-8.4838899999999995E-2</v>
      </c>
      <c r="P13" s="22">
        <v>157.637</v>
      </c>
      <c r="Q13" s="22">
        <v>-1.7666600000000001E-2</v>
      </c>
      <c r="R13" s="22">
        <v>3</v>
      </c>
      <c r="S13" s="22">
        <v>-8.5388199999999997E-2</v>
      </c>
      <c r="T13">
        <f t="shared" si="2"/>
        <v>17.666600000000003</v>
      </c>
      <c r="U13">
        <f t="shared" si="3"/>
        <v>-1.4988149107400002</v>
      </c>
      <c r="V13" s="23"/>
      <c r="W13" s="24"/>
      <c r="X13" s="9"/>
      <c r="Y13" s="22">
        <v>1.81488</v>
      </c>
      <c r="Z13" s="22">
        <v>213.79400000000001</v>
      </c>
      <c r="AA13" s="22">
        <v>2.6785300000000001E-2</v>
      </c>
      <c r="AB13" s="22">
        <v>3</v>
      </c>
      <c r="AC13" s="22">
        <v>1.81427</v>
      </c>
      <c r="AD13">
        <f t="shared" si="4"/>
        <v>-26.785300000000003</v>
      </c>
      <c r="AE13">
        <f t="shared" si="5"/>
        <v>-48.612105264000007</v>
      </c>
      <c r="AF13" s="9"/>
      <c r="AG13" s="22">
        <v>-8.4838899999999995E-2</v>
      </c>
      <c r="AH13" s="22">
        <v>344.464</v>
      </c>
      <c r="AI13" s="22">
        <v>-1.7690999999999998E-2</v>
      </c>
      <c r="AJ13" s="22">
        <v>3</v>
      </c>
      <c r="AK13" s="22">
        <v>-8.54187E-2</v>
      </c>
      <c r="AL13">
        <f t="shared" si="6"/>
        <v>17.690999999999999</v>
      </c>
      <c r="AM13">
        <f t="shared" si="7"/>
        <v>-1.5008849798999999</v>
      </c>
      <c r="AP13" s="9"/>
      <c r="AQ13" s="22">
        <v>1.81488</v>
      </c>
      <c r="AR13" s="22">
        <v>422.34500000000003</v>
      </c>
      <c r="AS13" s="22">
        <v>7.0770299999999994E-2</v>
      </c>
      <c r="AT13" s="22">
        <v>3</v>
      </c>
      <c r="AU13" s="22">
        <v>1.81427</v>
      </c>
      <c r="AV13">
        <f t="shared" si="8"/>
        <v>-70.770299999999992</v>
      </c>
      <c r="AW13">
        <f t="shared" si="9"/>
        <v>-128.43960206399998</v>
      </c>
      <c r="AX13" s="9"/>
      <c r="AY13" s="22">
        <v>-8.4838899999999995E-2</v>
      </c>
      <c r="AZ13" s="22">
        <v>473.35899999999998</v>
      </c>
      <c r="BA13" s="22">
        <v>-1.7694100000000001E-2</v>
      </c>
      <c r="BB13" s="22">
        <v>3</v>
      </c>
      <c r="BC13" s="22">
        <v>-8.5449200000000003E-2</v>
      </c>
      <c r="BD13">
        <f t="shared" si="10"/>
        <v>17.694100000000002</v>
      </c>
      <c r="BE13">
        <f t="shared" si="11"/>
        <v>-1.5011479804900001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1.7760620190857141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108.636</v>
      </c>
      <c r="I14" s="22">
        <v>7.4890099999999999E-3</v>
      </c>
      <c r="J14" s="22">
        <v>4</v>
      </c>
      <c r="K14" s="22">
        <v>1.80908</v>
      </c>
      <c r="L14">
        <f t="shared" si="0"/>
        <v>-7.4890099999999995</v>
      </c>
      <c r="M14">
        <f t="shared" si="1"/>
        <v>-13.553909858399999</v>
      </c>
      <c r="N14" s="9"/>
      <c r="O14" s="22">
        <v>-7.9803499999999999E-2</v>
      </c>
      <c r="P14" s="22">
        <v>157.73699999999999</v>
      </c>
      <c r="Q14" s="22">
        <v>-1.76697E-2</v>
      </c>
      <c r="R14" s="22">
        <v>4</v>
      </c>
      <c r="S14" s="22">
        <v>-8.0627400000000002E-2</v>
      </c>
      <c r="T14">
        <f t="shared" si="2"/>
        <v>17.669699999999999</v>
      </c>
      <c r="U14">
        <f t="shared" si="3"/>
        <v>-1.4101039039499998</v>
      </c>
      <c r="V14" s="23"/>
      <c r="W14" s="24"/>
      <c r="X14" s="9"/>
      <c r="Y14" s="22">
        <v>1.8098399999999999</v>
      </c>
      <c r="Z14" s="22">
        <v>213.89400000000001</v>
      </c>
      <c r="AA14" s="22">
        <v>2.3352100000000001E-2</v>
      </c>
      <c r="AB14" s="22">
        <v>4</v>
      </c>
      <c r="AC14" s="22">
        <v>1.8087800000000001</v>
      </c>
      <c r="AD14">
        <f t="shared" si="4"/>
        <v>-23.3521</v>
      </c>
      <c r="AE14">
        <f t="shared" si="5"/>
        <v>-42.263564664</v>
      </c>
      <c r="AF14" s="9"/>
      <c r="AG14" s="22">
        <v>-7.9803499999999999E-2</v>
      </c>
      <c r="AH14" s="22">
        <v>344.565</v>
      </c>
      <c r="AI14" s="22">
        <v>-1.7687999999999999E-2</v>
      </c>
      <c r="AJ14" s="22">
        <v>4</v>
      </c>
      <c r="AK14" s="22">
        <v>-8.0291699999999994E-2</v>
      </c>
      <c r="AL14">
        <f t="shared" si="6"/>
        <v>17.687999999999999</v>
      </c>
      <c r="AM14">
        <f t="shared" si="7"/>
        <v>-1.411564308</v>
      </c>
      <c r="AP14" s="9"/>
      <c r="AQ14" s="22">
        <v>1.8098399999999999</v>
      </c>
      <c r="AR14" s="22">
        <v>422.44600000000003</v>
      </c>
      <c r="AS14" s="22">
        <v>6.0272199999999998E-2</v>
      </c>
      <c r="AT14" s="22">
        <v>4</v>
      </c>
      <c r="AU14" s="22">
        <v>1.8087800000000001</v>
      </c>
      <c r="AV14">
        <f t="shared" si="8"/>
        <v>-60.272199999999998</v>
      </c>
      <c r="AW14">
        <f t="shared" si="9"/>
        <v>-109.083038448</v>
      </c>
      <c r="AX14" s="9"/>
      <c r="AY14" s="22">
        <v>-7.9803499999999999E-2</v>
      </c>
      <c r="AZ14" s="22">
        <v>473.46</v>
      </c>
      <c r="BA14" s="22">
        <v>-1.7694100000000001E-2</v>
      </c>
      <c r="BB14" s="22">
        <v>4</v>
      </c>
      <c r="BC14" s="22">
        <v>-8.0291699999999994E-2</v>
      </c>
      <c r="BD14">
        <f t="shared" si="10"/>
        <v>17.694100000000002</v>
      </c>
      <c r="BE14">
        <f t="shared" si="11"/>
        <v>-1.4120511093500001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1.777662555312693</v>
      </c>
      <c r="B15" s="19">
        <f>IFERROR(AV9,0)</f>
        <v>17.659802390597836</v>
      </c>
      <c r="C15" s="20">
        <f>IFERROR(AV4,0)</f>
        <v>0.80601925584950163</v>
      </c>
      <c r="D15" s="21">
        <f>IFERROR(AV2,0)</f>
        <v>25.303499074000001</v>
      </c>
      <c r="E15" s="21">
        <f>IFERROR(AS9,0)</f>
        <v>0.20877386540332793</v>
      </c>
      <c r="F15" s="9"/>
      <c r="G15" s="22">
        <v>1.80481</v>
      </c>
      <c r="H15" s="22">
        <v>108.736</v>
      </c>
      <c r="I15" s="22">
        <v>5.9631299999999996E-3</v>
      </c>
      <c r="J15" s="22">
        <v>5</v>
      </c>
      <c r="K15" s="22">
        <v>1.8042</v>
      </c>
      <c r="L15">
        <f t="shared" si="0"/>
        <v>-5.9631299999999996</v>
      </c>
      <c r="M15">
        <f t="shared" si="1"/>
        <v>-10.762316655299999</v>
      </c>
      <c r="N15" s="9"/>
      <c r="O15" s="22">
        <v>-7.4768100000000004E-2</v>
      </c>
      <c r="P15" s="22">
        <v>157.83799999999999</v>
      </c>
      <c r="Q15" s="22">
        <v>-1.7666600000000001E-2</v>
      </c>
      <c r="R15" s="22">
        <v>5</v>
      </c>
      <c r="S15" s="22">
        <v>-7.5408900000000001E-2</v>
      </c>
      <c r="T15">
        <f t="shared" si="2"/>
        <v>17.666600000000003</v>
      </c>
      <c r="U15">
        <f t="shared" si="3"/>
        <v>-1.3208981154600004</v>
      </c>
      <c r="V15" s="23"/>
      <c r="W15" s="24"/>
      <c r="X15" s="9"/>
      <c r="Y15" s="22">
        <v>1.80481</v>
      </c>
      <c r="Z15" s="22">
        <v>213.995</v>
      </c>
      <c r="AA15" s="22">
        <v>1.9650299999999999E-2</v>
      </c>
      <c r="AB15" s="22">
        <v>5</v>
      </c>
      <c r="AC15" s="22">
        <v>1.80328</v>
      </c>
      <c r="AD15">
        <f t="shared" si="4"/>
        <v>-19.650299999999998</v>
      </c>
      <c r="AE15">
        <f t="shared" si="5"/>
        <v>-35.465057942999998</v>
      </c>
      <c r="AF15" s="9"/>
      <c r="AG15" s="22">
        <v>-7.4768100000000004E-2</v>
      </c>
      <c r="AH15" s="22">
        <v>344.66500000000002</v>
      </c>
      <c r="AI15" s="22">
        <v>-1.76849E-2</v>
      </c>
      <c r="AJ15" s="22">
        <v>5</v>
      </c>
      <c r="AK15" s="22">
        <v>-7.5225799999999995E-2</v>
      </c>
      <c r="AL15">
        <f t="shared" si="6"/>
        <v>17.684899999999999</v>
      </c>
      <c r="AM15">
        <f t="shared" si="7"/>
        <v>-1.3222663716900001</v>
      </c>
      <c r="AP15" s="9"/>
      <c r="AQ15" s="22">
        <v>1.80481</v>
      </c>
      <c r="AR15" s="22">
        <v>422.54700000000003</v>
      </c>
      <c r="AS15" s="22">
        <v>4.9432400000000001E-2</v>
      </c>
      <c r="AT15" s="22">
        <v>5</v>
      </c>
      <c r="AU15" s="22">
        <v>1.8042</v>
      </c>
      <c r="AV15">
        <f t="shared" si="8"/>
        <v>-49.432400000000001</v>
      </c>
      <c r="AW15">
        <f t="shared" si="9"/>
        <v>-89.21608984400001</v>
      </c>
      <c r="AX15" s="9"/>
      <c r="AY15" s="22">
        <v>-7.4768100000000004E-2</v>
      </c>
      <c r="AZ15" s="22">
        <v>473.56</v>
      </c>
      <c r="BA15" s="22">
        <v>-1.7694100000000001E-2</v>
      </c>
      <c r="BB15" s="22">
        <v>5</v>
      </c>
      <c r="BC15" s="22">
        <v>-7.5225799999999995E-2</v>
      </c>
      <c r="BD15">
        <f t="shared" si="10"/>
        <v>17.694100000000002</v>
      </c>
      <c r="BE15">
        <f t="shared" si="11"/>
        <v>-1.3229542382100004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1.778983211204642</v>
      </c>
      <c r="B16" s="19">
        <f>IFERROR(BD9,0)</f>
        <v>17.651767021369309</v>
      </c>
      <c r="C16" s="20">
        <f>IFERROR(BD4,0)</f>
        <v>0.80747332877288869</v>
      </c>
      <c r="D16" s="21">
        <f>IFERROR(BD2,0)</f>
        <v>25.356436686999999</v>
      </c>
      <c r="E16" s="21"/>
      <c r="F16" s="9"/>
      <c r="G16" s="22">
        <v>1.7997700000000001</v>
      </c>
      <c r="H16" s="22">
        <v>108.837</v>
      </c>
      <c r="I16" s="22">
        <v>4.6844499999999997E-3</v>
      </c>
      <c r="J16" s="22">
        <v>6</v>
      </c>
      <c r="K16" s="22">
        <v>1.79901</v>
      </c>
      <c r="L16">
        <f t="shared" si="0"/>
        <v>-4.68445</v>
      </c>
      <c r="M16">
        <f t="shared" si="1"/>
        <v>-8.4309325765000001</v>
      </c>
      <c r="N16" s="9"/>
      <c r="O16" s="22">
        <v>-6.9732699999999995E-2</v>
      </c>
      <c r="P16" s="22">
        <v>157.93899999999999</v>
      </c>
      <c r="Q16" s="22">
        <v>-1.76697E-2</v>
      </c>
      <c r="R16" s="22">
        <v>6</v>
      </c>
      <c r="S16" s="22">
        <v>-7.01904E-2</v>
      </c>
      <c r="T16">
        <f t="shared" si="2"/>
        <v>17.669699999999999</v>
      </c>
      <c r="U16">
        <f t="shared" si="3"/>
        <v>-1.2321558891899997</v>
      </c>
      <c r="V16" s="23"/>
      <c r="W16" s="24"/>
      <c r="X16" s="9"/>
      <c r="Y16" s="22">
        <v>1.7997700000000001</v>
      </c>
      <c r="Z16" s="22">
        <v>214.096</v>
      </c>
      <c r="AA16" s="22">
        <v>1.6076699999999999E-2</v>
      </c>
      <c r="AB16" s="22">
        <v>6</v>
      </c>
      <c r="AC16" s="22">
        <v>1.79901</v>
      </c>
      <c r="AD16">
        <f t="shared" si="4"/>
        <v>-16.076699999999999</v>
      </c>
      <c r="AE16">
        <f t="shared" si="5"/>
        <v>-28.934362358999998</v>
      </c>
      <c r="AF16" s="9"/>
      <c r="AG16" s="22">
        <v>-6.9732699999999995E-2</v>
      </c>
      <c r="AH16" s="22">
        <v>344.76600000000002</v>
      </c>
      <c r="AI16" s="22">
        <v>-1.76849E-2</v>
      </c>
      <c r="AJ16" s="22">
        <v>6</v>
      </c>
      <c r="AK16" s="22">
        <v>-7.03125E-2</v>
      </c>
      <c r="AL16">
        <f t="shared" si="6"/>
        <v>17.684899999999999</v>
      </c>
      <c r="AM16">
        <f t="shared" si="7"/>
        <v>-1.2332158262299999</v>
      </c>
      <c r="AP16" s="9"/>
      <c r="AQ16" s="22">
        <v>1.7997700000000001</v>
      </c>
      <c r="AR16" s="22">
        <v>422.64699999999999</v>
      </c>
      <c r="AS16" s="22">
        <v>3.9074699999999997E-2</v>
      </c>
      <c r="AT16" s="22">
        <v>6</v>
      </c>
      <c r="AU16" s="22">
        <v>1.79871</v>
      </c>
      <c r="AV16">
        <f t="shared" si="8"/>
        <v>-39.0747</v>
      </c>
      <c r="AW16">
        <f t="shared" si="9"/>
        <v>-70.325472818999998</v>
      </c>
      <c r="AX16" s="9"/>
      <c r="AY16" s="22">
        <v>-6.9732699999999995E-2</v>
      </c>
      <c r="AZ16" s="22">
        <v>473.661</v>
      </c>
      <c r="BA16" s="22">
        <v>-1.7690999999999998E-2</v>
      </c>
      <c r="BB16" s="22">
        <v>6</v>
      </c>
      <c r="BC16" s="22">
        <v>-7.0251499999999995E-2</v>
      </c>
      <c r="BD16">
        <f t="shared" si="10"/>
        <v>17.690999999999999</v>
      </c>
      <c r="BE16">
        <f t="shared" si="11"/>
        <v>-1.2336411956999997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108.938</v>
      </c>
      <c r="I17" s="22">
        <v>3.43414E-3</v>
      </c>
      <c r="J17" s="22">
        <v>7</v>
      </c>
      <c r="K17" s="22">
        <v>1.79413</v>
      </c>
      <c r="L17">
        <f t="shared" si="0"/>
        <v>-3.4341400000000002</v>
      </c>
      <c r="M17">
        <f t="shared" si="1"/>
        <v>-6.1633884236000007</v>
      </c>
      <c r="N17" s="9"/>
      <c r="O17" s="22">
        <v>-6.4697299999999999E-2</v>
      </c>
      <c r="P17" s="22">
        <v>158.04</v>
      </c>
      <c r="Q17" s="22">
        <v>-1.7666600000000001E-2</v>
      </c>
      <c r="R17" s="22">
        <v>7</v>
      </c>
      <c r="S17" s="22">
        <v>-6.5338099999999996E-2</v>
      </c>
      <c r="T17">
        <f t="shared" si="2"/>
        <v>17.666600000000003</v>
      </c>
      <c r="U17">
        <f t="shared" si="3"/>
        <v>-1.1429813201800001</v>
      </c>
      <c r="V17" s="23"/>
      <c r="W17" s="24"/>
      <c r="X17" s="9"/>
      <c r="Y17" s="22">
        <v>1.79474</v>
      </c>
      <c r="Z17" s="22">
        <v>214.196</v>
      </c>
      <c r="AA17" s="22">
        <v>1.25427E-2</v>
      </c>
      <c r="AB17" s="22">
        <v>7</v>
      </c>
      <c r="AC17" s="22">
        <v>1.79382</v>
      </c>
      <c r="AD17">
        <f t="shared" si="4"/>
        <v>-12.5427</v>
      </c>
      <c r="AE17">
        <f t="shared" si="5"/>
        <v>-22.510885397999999</v>
      </c>
      <c r="AF17" s="9"/>
      <c r="AG17" s="22">
        <v>-6.4697299999999999E-2</v>
      </c>
      <c r="AH17" s="22">
        <v>344.86700000000002</v>
      </c>
      <c r="AI17" s="22">
        <v>-1.7678800000000001E-2</v>
      </c>
      <c r="AJ17" s="22">
        <v>7</v>
      </c>
      <c r="AK17" s="22">
        <v>-6.5368700000000002E-2</v>
      </c>
      <c r="AL17">
        <f t="shared" si="6"/>
        <v>17.678800000000003</v>
      </c>
      <c r="AM17">
        <f t="shared" si="7"/>
        <v>-1.1437706272400001</v>
      </c>
      <c r="AP17" s="9"/>
      <c r="AQ17" s="22">
        <v>1.79474</v>
      </c>
      <c r="AR17" s="22">
        <v>422.74799999999999</v>
      </c>
      <c r="AS17" s="22">
        <v>2.8308099999999999E-2</v>
      </c>
      <c r="AT17" s="22">
        <v>7</v>
      </c>
      <c r="AU17" s="22">
        <v>1.79443</v>
      </c>
      <c r="AV17">
        <f t="shared" si="8"/>
        <v>-28.3081</v>
      </c>
      <c r="AW17">
        <f t="shared" si="9"/>
        <v>-50.805679394000002</v>
      </c>
      <c r="AX17" s="9"/>
      <c r="AY17" s="22">
        <v>-6.4697299999999999E-2</v>
      </c>
      <c r="AZ17" s="22">
        <v>473.762</v>
      </c>
      <c r="BA17" s="22">
        <v>-1.7687999999999999E-2</v>
      </c>
      <c r="BB17" s="22">
        <v>7</v>
      </c>
      <c r="BC17" s="22">
        <v>-6.5246600000000002E-2</v>
      </c>
      <c r="BD17">
        <f t="shared" si="10"/>
        <v>17.687999999999999</v>
      </c>
      <c r="BE17">
        <f t="shared" si="11"/>
        <v>-1.1443658423999998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109.039</v>
      </c>
      <c r="I18" s="22">
        <v>2.2091699999999999E-3</v>
      </c>
      <c r="J18" s="22">
        <v>8</v>
      </c>
      <c r="K18" s="22">
        <v>1.78894</v>
      </c>
      <c r="L18">
        <f t="shared" si="0"/>
        <v>-2.2091699999999999</v>
      </c>
      <c r="M18">
        <f t="shared" si="1"/>
        <v>-3.9537515489999997</v>
      </c>
      <c r="N18" s="9"/>
      <c r="O18" s="22">
        <v>-5.9661899999999997E-2</v>
      </c>
      <c r="P18" s="22">
        <v>158.13999999999999</v>
      </c>
      <c r="Q18" s="22">
        <v>-1.76575E-2</v>
      </c>
      <c r="R18" s="22">
        <v>8</v>
      </c>
      <c r="S18" s="22">
        <v>-6.0150099999999998E-2</v>
      </c>
      <c r="T18">
        <f t="shared" si="2"/>
        <v>17.657499999999999</v>
      </c>
      <c r="U18">
        <f t="shared" si="3"/>
        <v>-1.0534799992499999</v>
      </c>
      <c r="V18" s="23"/>
      <c r="W18" s="24"/>
      <c r="X18" s="9"/>
      <c r="Y18" s="22">
        <v>1.7897000000000001</v>
      </c>
      <c r="Z18" s="22">
        <v>214.297</v>
      </c>
      <c r="AA18" s="22">
        <v>8.9752200000000008E-3</v>
      </c>
      <c r="AB18" s="22">
        <v>8</v>
      </c>
      <c r="AC18" s="22">
        <v>1.78894</v>
      </c>
      <c r="AD18">
        <f t="shared" si="4"/>
        <v>-8.9752200000000002</v>
      </c>
      <c r="AE18">
        <f t="shared" si="5"/>
        <v>-16.062951234</v>
      </c>
      <c r="AF18" s="9"/>
      <c r="AG18" s="22">
        <v>-5.9661899999999997E-2</v>
      </c>
      <c r="AH18" s="22">
        <v>344.96699999999998</v>
      </c>
      <c r="AI18" s="22">
        <v>-1.7678800000000001E-2</v>
      </c>
      <c r="AJ18" s="22">
        <v>8</v>
      </c>
      <c r="AK18" s="22">
        <v>-6.0363800000000002E-2</v>
      </c>
      <c r="AL18">
        <f t="shared" si="6"/>
        <v>17.678800000000003</v>
      </c>
      <c r="AM18">
        <f t="shared" si="7"/>
        <v>-1.0547507977200001</v>
      </c>
      <c r="AP18" s="9"/>
      <c r="AQ18" s="22">
        <v>1.7897000000000001</v>
      </c>
      <c r="AR18" s="22">
        <v>422.84899999999999</v>
      </c>
      <c r="AS18" s="22">
        <v>1.8005400000000001E-2</v>
      </c>
      <c r="AT18" s="22">
        <v>8</v>
      </c>
      <c r="AU18" s="22">
        <v>1.78894</v>
      </c>
      <c r="AV18">
        <f t="shared" si="8"/>
        <v>-18.005400000000002</v>
      </c>
      <c r="AW18">
        <f t="shared" si="9"/>
        <v>-32.224264380000001</v>
      </c>
      <c r="AX18" s="9"/>
      <c r="AY18" s="22">
        <v>-5.9661899999999997E-2</v>
      </c>
      <c r="AZ18" s="22">
        <v>473.86200000000002</v>
      </c>
      <c r="BA18" s="22">
        <v>-1.76819E-2</v>
      </c>
      <c r="BB18" s="22">
        <v>8</v>
      </c>
      <c r="BC18" s="22">
        <v>-6.0180699999999997E-2</v>
      </c>
      <c r="BD18">
        <f t="shared" si="10"/>
        <v>17.681899999999999</v>
      </c>
      <c r="BE18">
        <f t="shared" si="11"/>
        <v>-1.0549357496099998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109.139</v>
      </c>
      <c r="I19" s="22">
        <v>1.0040299999999999E-3</v>
      </c>
      <c r="J19" s="22">
        <v>9</v>
      </c>
      <c r="K19" s="22">
        <v>1.78406</v>
      </c>
      <c r="L19">
        <f t="shared" si="0"/>
        <v>-1.00403</v>
      </c>
      <c r="M19">
        <f t="shared" si="1"/>
        <v>-1.7918622200999998</v>
      </c>
      <c r="N19" s="9"/>
      <c r="O19" s="22">
        <v>-5.4626500000000001E-2</v>
      </c>
      <c r="P19" s="22">
        <v>158.24100000000001</v>
      </c>
      <c r="Q19" s="22">
        <v>-1.76575E-2</v>
      </c>
      <c r="R19" s="22">
        <v>9</v>
      </c>
      <c r="S19" s="22">
        <v>-5.4992699999999999E-2</v>
      </c>
      <c r="T19">
        <f t="shared" si="2"/>
        <v>17.657499999999999</v>
      </c>
      <c r="U19">
        <f t="shared" si="3"/>
        <v>-0.96456742374999993</v>
      </c>
      <c r="V19" s="23"/>
      <c r="W19" s="24"/>
      <c r="X19" s="9"/>
      <c r="Y19" s="22">
        <v>1.78467</v>
      </c>
      <c r="Z19" s="22">
        <v>214.398</v>
      </c>
      <c r="AA19" s="22">
        <v>5.5419900000000001E-3</v>
      </c>
      <c r="AB19" s="22">
        <v>9</v>
      </c>
      <c r="AC19" s="22">
        <v>1.78406</v>
      </c>
      <c r="AD19">
        <f t="shared" si="4"/>
        <v>-5.5419900000000002</v>
      </c>
      <c r="AE19">
        <f t="shared" si="5"/>
        <v>-9.8906232933000009</v>
      </c>
      <c r="AF19" s="9"/>
      <c r="AG19" s="22">
        <v>-5.4626500000000001E-2</v>
      </c>
      <c r="AH19" s="22">
        <v>345.06799999999998</v>
      </c>
      <c r="AI19" s="22">
        <v>-1.7678800000000001E-2</v>
      </c>
      <c r="AJ19" s="22">
        <v>9</v>
      </c>
      <c r="AK19" s="22">
        <v>-5.5175799999999997E-2</v>
      </c>
      <c r="AL19">
        <f t="shared" si="6"/>
        <v>17.678800000000003</v>
      </c>
      <c r="AM19">
        <f t="shared" si="7"/>
        <v>-0.96573096820000015</v>
      </c>
      <c r="AP19" s="9"/>
      <c r="AQ19" s="22">
        <v>1.78467</v>
      </c>
      <c r="AR19" s="22">
        <v>422.94900000000001</v>
      </c>
      <c r="AS19" s="22">
        <v>8.6791999999999998E-3</v>
      </c>
      <c r="AT19" s="22">
        <v>9</v>
      </c>
      <c r="AU19" s="22">
        <v>1.78406</v>
      </c>
      <c r="AV19">
        <f t="shared" si="8"/>
        <v>-8.6791999999999998</v>
      </c>
      <c r="AW19">
        <f t="shared" si="9"/>
        <v>-15.489507864</v>
      </c>
      <c r="AX19" s="9"/>
      <c r="AY19" s="22">
        <v>-5.4626500000000001E-2</v>
      </c>
      <c r="AZ19" s="22">
        <v>473.96300000000002</v>
      </c>
      <c r="BA19" s="22">
        <v>-1.76819E-2</v>
      </c>
      <c r="BB19" s="22">
        <v>9</v>
      </c>
      <c r="BC19" s="22">
        <v>-5.52063E-2</v>
      </c>
      <c r="BD19">
        <f t="shared" si="10"/>
        <v>17.681899999999999</v>
      </c>
      <c r="BE19">
        <f t="shared" si="11"/>
        <v>-0.96590031035000001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109.24</v>
      </c>
      <c r="I20" s="25">
        <v>-6.5246600000000006E-5</v>
      </c>
      <c r="J20" s="22">
        <v>10</v>
      </c>
      <c r="K20" s="22">
        <v>1.7791699999999999</v>
      </c>
      <c r="L20">
        <f t="shared" si="0"/>
        <v>6.5246600000000002E-2</v>
      </c>
      <c r="M20">
        <f t="shared" si="1"/>
        <v>0.11611480675800001</v>
      </c>
      <c r="N20" s="9"/>
      <c r="O20" s="22">
        <v>-4.9591099999999999E-2</v>
      </c>
      <c r="P20" s="22">
        <v>158.34200000000001</v>
      </c>
      <c r="Q20" s="22">
        <v>-1.7645299999999999E-2</v>
      </c>
      <c r="R20" s="22">
        <v>10</v>
      </c>
      <c r="S20" s="22">
        <v>-5.0048799999999997E-2</v>
      </c>
      <c r="T20">
        <f t="shared" si="2"/>
        <v>17.645299999999999</v>
      </c>
      <c r="U20">
        <f t="shared" si="3"/>
        <v>-0.87504983682999993</v>
      </c>
      <c r="V20" s="23"/>
      <c r="W20" s="24"/>
      <c r="X20" s="9"/>
      <c r="Y20" s="22">
        <v>1.77963</v>
      </c>
      <c r="Z20" s="22">
        <v>214.499</v>
      </c>
      <c r="AA20" s="22">
        <v>2.3113999999999999E-3</v>
      </c>
      <c r="AB20" s="22">
        <v>10</v>
      </c>
      <c r="AC20" s="22">
        <v>1.77826</v>
      </c>
      <c r="AD20">
        <f t="shared" si="4"/>
        <v>-2.3113999999999999</v>
      </c>
      <c r="AE20">
        <f t="shared" si="5"/>
        <v>-4.113436782</v>
      </c>
      <c r="AF20" s="9"/>
      <c r="AG20" s="22">
        <v>-4.9591099999999999E-2</v>
      </c>
      <c r="AH20" s="22">
        <v>345.16899999999998</v>
      </c>
      <c r="AI20" s="22">
        <v>-1.7675799999999998E-2</v>
      </c>
      <c r="AJ20" s="22">
        <v>10</v>
      </c>
      <c r="AK20" s="22">
        <v>-5.0048799999999997E-2</v>
      </c>
      <c r="AL20">
        <f t="shared" si="6"/>
        <v>17.675799999999999</v>
      </c>
      <c r="AM20">
        <f t="shared" si="7"/>
        <v>-0.87656236537999987</v>
      </c>
      <c r="AP20" s="9"/>
      <c r="AQ20" s="22">
        <v>1.77963</v>
      </c>
      <c r="AR20" s="22">
        <v>423.05</v>
      </c>
      <c r="AS20" s="22">
        <v>9.1155999999999995E-4</v>
      </c>
      <c r="AT20" s="22">
        <v>10</v>
      </c>
      <c r="AU20" s="22">
        <v>1.7785599999999999</v>
      </c>
      <c r="AV20">
        <f t="shared" si="8"/>
        <v>-0.91155999999999993</v>
      </c>
      <c r="AW20">
        <f t="shared" si="9"/>
        <v>-1.6222395227999999</v>
      </c>
      <c r="AX20" s="9"/>
      <c r="AY20" s="22">
        <v>-4.9591099999999999E-2</v>
      </c>
      <c r="AZ20" s="22">
        <v>474.06400000000002</v>
      </c>
      <c r="BA20" s="22">
        <v>-1.7678800000000001E-2</v>
      </c>
      <c r="BB20" s="22">
        <v>10</v>
      </c>
      <c r="BC20" s="22">
        <v>-5.0109899999999999E-2</v>
      </c>
      <c r="BD20">
        <f t="shared" si="10"/>
        <v>17.678800000000003</v>
      </c>
      <c r="BE20">
        <f t="shared" si="11"/>
        <v>-0.87671113868000006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109.34099999999999</v>
      </c>
      <c r="I21" s="22">
        <v>-1.0974100000000001E-3</v>
      </c>
      <c r="J21" s="22">
        <v>11</v>
      </c>
      <c r="K21" s="22">
        <v>1.77338</v>
      </c>
      <c r="L21">
        <f t="shared" si="0"/>
        <v>1.09741</v>
      </c>
      <c r="M21">
        <f t="shared" si="1"/>
        <v>1.9474637859999999</v>
      </c>
      <c r="N21" s="9"/>
      <c r="O21" s="22">
        <v>-4.4555699999999997E-2</v>
      </c>
      <c r="P21" s="22">
        <v>158.44200000000001</v>
      </c>
      <c r="Q21" s="22">
        <v>-1.7645299999999999E-2</v>
      </c>
      <c r="R21" s="22">
        <v>11</v>
      </c>
      <c r="S21" s="22">
        <v>-4.48273E-2</v>
      </c>
      <c r="T21">
        <f t="shared" si="2"/>
        <v>17.645299999999999</v>
      </c>
      <c r="U21">
        <f t="shared" si="3"/>
        <v>-0.78619869320999991</v>
      </c>
      <c r="V21" s="23"/>
      <c r="W21" s="24"/>
      <c r="X21" s="9"/>
      <c r="Y21" s="22">
        <v>1.7746</v>
      </c>
      <c r="Z21" s="22">
        <v>214.59899999999999</v>
      </c>
      <c r="AA21" s="22">
        <v>-5.0567600000000004E-4</v>
      </c>
      <c r="AB21" s="22">
        <v>11</v>
      </c>
      <c r="AC21" s="22">
        <v>1.77399</v>
      </c>
      <c r="AD21">
        <f t="shared" si="4"/>
        <v>0.50567600000000001</v>
      </c>
      <c r="AE21">
        <f t="shared" si="5"/>
        <v>0.89737262959999997</v>
      </c>
      <c r="AF21" s="9"/>
      <c r="AG21" s="22">
        <v>-4.4555699999999997E-2</v>
      </c>
      <c r="AH21" s="22">
        <v>345.27</v>
      </c>
      <c r="AI21" s="22">
        <v>-1.76727E-2</v>
      </c>
      <c r="AJ21" s="22">
        <v>11</v>
      </c>
      <c r="AK21" s="22">
        <v>-4.4903600000000002E-2</v>
      </c>
      <c r="AL21">
        <f t="shared" si="6"/>
        <v>17.672699999999999</v>
      </c>
      <c r="AM21">
        <f t="shared" si="7"/>
        <v>-0.78741951938999988</v>
      </c>
      <c r="AP21" s="9"/>
      <c r="AQ21" s="22">
        <v>1.7746</v>
      </c>
      <c r="AR21" s="22">
        <v>423.15100000000001</v>
      </c>
      <c r="AS21" s="22">
        <v>-3.4256E-3</v>
      </c>
      <c r="AT21" s="22">
        <v>11</v>
      </c>
      <c r="AU21" s="22">
        <v>1.7742899999999999</v>
      </c>
      <c r="AV21">
        <f t="shared" si="8"/>
        <v>3.4256000000000002</v>
      </c>
      <c r="AW21">
        <f t="shared" si="9"/>
        <v>6.0790697600000003</v>
      </c>
      <c r="AX21" s="9"/>
      <c r="AY21" s="22">
        <v>-4.4555699999999997E-2</v>
      </c>
      <c r="AZ21" s="22">
        <v>474.16500000000002</v>
      </c>
      <c r="BA21" s="22">
        <v>-1.7678800000000001E-2</v>
      </c>
      <c r="BB21" s="22">
        <v>11</v>
      </c>
      <c r="BC21" s="22">
        <v>-4.4967699999999999E-2</v>
      </c>
      <c r="BD21">
        <f t="shared" si="10"/>
        <v>17.678800000000003</v>
      </c>
      <c r="BE21">
        <f t="shared" si="11"/>
        <v>-0.78769130916000007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109.441</v>
      </c>
      <c r="I22" s="22">
        <v>-2.0834400000000002E-3</v>
      </c>
      <c r="J22" s="22">
        <v>12</v>
      </c>
      <c r="K22" s="22">
        <v>1.7684899999999999</v>
      </c>
      <c r="L22">
        <f t="shared" si="0"/>
        <v>2.0834400000000004</v>
      </c>
      <c r="M22">
        <f t="shared" si="1"/>
        <v>3.6867720864000009</v>
      </c>
      <c r="N22" s="9"/>
      <c r="O22" s="22">
        <v>-3.9520300000000001E-2</v>
      </c>
      <c r="P22" s="22">
        <v>158.54300000000001</v>
      </c>
      <c r="Q22" s="22">
        <v>-1.7648299999999999E-2</v>
      </c>
      <c r="R22" s="22">
        <v>12</v>
      </c>
      <c r="S22" s="22">
        <v>-3.9831499999999999E-2</v>
      </c>
      <c r="T22">
        <f t="shared" si="2"/>
        <v>17.648299999999999</v>
      </c>
      <c r="U22">
        <f t="shared" si="3"/>
        <v>-0.69746611048999996</v>
      </c>
      <c r="V22" s="23"/>
      <c r="W22" s="24"/>
      <c r="X22" s="9"/>
      <c r="Y22" s="22">
        <v>1.76956</v>
      </c>
      <c r="Z22" s="22">
        <v>214.7</v>
      </c>
      <c r="AA22" s="22">
        <v>-2.8912400000000002E-3</v>
      </c>
      <c r="AB22" s="22">
        <v>12</v>
      </c>
      <c r="AC22" s="22">
        <v>1.7681899999999999</v>
      </c>
      <c r="AD22">
        <f t="shared" si="4"/>
        <v>2.8912400000000003</v>
      </c>
      <c r="AE22">
        <f t="shared" si="5"/>
        <v>5.1162226544000005</v>
      </c>
      <c r="AF22" s="9"/>
      <c r="AG22" s="22">
        <v>-3.9520300000000001E-2</v>
      </c>
      <c r="AH22" s="22">
        <v>345.37</v>
      </c>
      <c r="AI22" s="22">
        <v>-1.76727E-2</v>
      </c>
      <c r="AJ22" s="22">
        <v>12</v>
      </c>
      <c r="AK22" s="22">
        <v>-3.9837600000000001E-2</v>
      </c>
      <c r="AL22">
        <f t="shared" si="6"/>
        <v>17.672699999999999</v>
      </c>
      <c r="AM22">
        <f t="shared" si="7"/>
        <v>-0.69843040580999993</v>
      </c>
      <c r="AP22" s="9"/>
      <c r="AQ22" s="22">
        <v>1.76956</v>
      </c>
      <c r="AR22" s="22">
        <v>423.25099999999998</v>
      </c>
      <c r="AS22" s="22">
        <v>-6.0668900000000001E-3</v>
      </c>
      <c r="AT22" s="22">
        <v>12</v>
      </c>
      <c r="AU22" s="22">
        <v>1.7687999999999999</v>
      </c>
      <c r="AV22">
        <f t="shared" si="8"/>
        <v>6.0668899999999999</v>
      </c>
      <c r="AW22">
        <f t="shared" si="9"/>
        <v>10.735725868399999</v>
      </c>
      <c r="AX22" s="9"/>
      <c r="AY22" s="22">
        <v>-3.9520300000000001E-2</v>
      </c>
      <c r="AZ22" s="22">
        <v>474.26499999999999</v>
      </c>
      <c r="BA22" s="22">
        <v>-1.7675799999999998E-2</v>
      </c>
      <c r="BB22" s="22">
        <v>12</v>
      </c>
      <c r="BC22" s="22">
        <v>-3.9965800000000003E-2</v>
      </c>
      <c r="BD22">
        <f t="shared" si="10"/>
        <v>17.675799999999999</v>
      </c>
      <c r="BE22">
        <f t="shared" si="11"/>
        <v>-0.69855291874000003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109.542</v>
      </c>
      <c r="I23" s="22">
        <v>-2.8131100000000002E-3</v>
      </c>
      <c r="J23" s="22">
        <v>13</v>
      </c>
      <c r="K23" s="22">
        <v>1.7639199999999999</v>
      </c>
      <c r="L23">
        <f t="shared" si="0"/>
        <v>2.81311</v>
      </c>
      <c r="M23">
        <f t="shared" si="1"/>
        <v>4.9638169882999996</v>
      </c>
      <c r="N23" s="9"/>
      <c r="O23" s="22">
        <v>-3.4484899999999999E-2</v>
      </c>
      <c r="P23" s="22">
        <v>158.64400000000001</v>
      </c>
      <c r="Q23" s="22">
        <v>-1.7645299999999999E-2</v>
      </c>
      <c r="R23" s="22">
        <v>13</v>
      </c>
      <c r="S23" s="22">
        <v>-3.4786999999999998E-2</v>
      </c>
      <c r="T23">
        <f t="shared" si="2"/>
        <v>17.645299999999999</v>
      </c>
      <c r="U23">
        <f t="shared" si="3"/>
        <v>-0.60849640596999999</v>
      </c>
      <c r="V23" s="23"/>
      <c r="W23" s="24"/>
      <c r="X23" s="9"/>
      <c r="Y23" s="22">
        <v>1.7645299999999999</v>
      </c>
      <c r="Z23" s="22">
        <v>214.80099999999999</v>
      </c>
      <c r="AA23" s="22">
        <v>-4.88464E-3</v>
      </c>
      <c r="AB23" s="22">
        <v>13</v>
      </c>
      <c r="AC23" s="22">
        <v>1.7642199999999999</v>
      </c>
      <c r="AD23">
        <f t="shared" si="4"/>
        <v>4.8846400000000001</v>
      </c>
      <c r="AE23">
        <f t="shared" si="5"/>
        <v>8.6190938191999997</v>
      </c>
      <c r="AF23" s="9"/>
      <c r="AG23" s="22">
        <v>-3.4484899999999999E-2</v>
      </c>
      <c r="AH23" s="22">
        <v>345.471</v>
      </c>
      <c r="AI23" s="22">
        <v>-1.7666600000000001E-2</v>
      </c>
      <c r="AJ23" s="22">
        <v>13</v>
      </c>
      <c r="AK23" s="22">
        <v>-3.4759499999999999E-2</v>
      </c>
      <c r="AL23">
        <f t="shared" si="6"/>
        <v>17.666600000000003</v>
      </c>
      <c r="AM23">
        <f t="shared" si="7"/>
        <v>-0.60923093434000009</v>
      </c>
      <c r="AP23" s="9"/>
      <c r="AQ23" s="22">
        <v>1.7645299999999999</v>
      </c>
      <c r="AR23" s="22">
        <v>423.35199999999998</v>
      </c>
      <c r="AS23" s="22">
        <v>-7.7575700000000001E-3</v>
      </c>
      <c r="AT23" s="22">
        <v>13</v>
      </c>
      <c r="AU23" s="22">
        <v>1.7633099999999999</v>
      </c>
      <c r="AV23">
        <f t="shared" si="8"/>
        <v>7.7575700000000003</v>
      </c>
      <c r="AW23">
        <f t="shared" si="9"/>
        <v>13.6884649921</v>
      </c>
      <c r="AX23" s="9"/>
      <c r="AY23" s="22">
        <v>-3.4484899999999999E-2</v>
      </c>
      <c r="AZ23" s="22">
        <v>474.36599999999999</v>
      </c>
      <c r="BA23" s="22">
        <v>-1.76727E-2</v>
      </c>
      <c r="BB23" s="22">
        <v>13</v>
      </c>
      <c r="BC23" s="22">
        <v>-3.4747300000000002E-2</v>
      </c>
      <c r="BD23">
        <f t="shared" si="10"/>
        <v>17.672699999999999</v>
      </c>
      <c r="BE23">
        <f t="shared" si="11"/>
        <v>-0.60944129222999999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109.643</v>
      </c>
      <c r="I24" s="22">
        <v>-3.6154199999999998E-3</v>
      </c>
      <c r="J24" s="22">
        <v>14</v>
      </c>
      <c r="K24" s="22">
        <v>1.7590300000000001</v>
      </c>
      <c r="L24">
        <f t="shared" si="0"/>
        <v>3.6154199999999999</v>
      </c>
      <c r="M24">
        <f t="shared" si="1"/>
        <v>6.3612953357999995</v>
      </c>
      <c r="N24" s="9"/>
      <c r="O24" s="22">
        <v>-2.94495E-2</v>
      </c>
      <c r="P24" s="22">
        <v>158.745</v>
      </c>
      <c r="Q24" s="22">
        <v>-1.7645299999999999E-2</v>
      </c>
      <c r="R24" s="22">
        <v>14</v>
      </c>
      <c r="S24" s="22">
        <v>-2.96814E-2</v>
      </c>
      <c r="T24">
        <f t="shared" si="2"/>
        <v>17.645299999999999</v>
      </c>
      <c r="U24">
        <f t="shared" si="3"/>
        <v>-0.51964526234999997</v>
      </c>
      <c r="V24" s="23"/>
      <c r="W24" s="24"/>
      <c r="X24" s="9"/>
      <c r="Y24" s="22">
        <v>1.75949</v>
      </c>
      <c r="Z24" s="22">
        <v>214.90100000000001</v>
      </c>
      <c r="AA24" s="22">
        <v>-6.4453100000000001E-3</v>
      </c>
      <c r="AB24" s="22">
        <v>14</v>
      </c>
      <c r="AC24" s="22">
        <v>1.7584200000000001</v>
      </c>
      <c r="AD24">
        <f t="shared" si="4"/>
        <v>6.4453100000000001</v>
      </c>
      <c r="AE24">
        <f t="shared" si="5"/>
        <v>11.3404584919</v>
      </c>
      <c r="AF24" s="9"/>
      <c r="AG24" s="22">
        <v>-2.94495E-2</v>
      </c>
      <c r="AH24" s="22">
        <v>345.572</v>
      </c>
      <c r="AI24" s="22">
        <v>-1.7660499999999999E-2</v>
      </c>
      <c r="AJ24" s="22">
        <v>14</v>
      </c>
      <c r="AK24" s="22">
        <v>-2.95166E-2</v>
      </c>
      <c r="AL24">
        <f t="shared" si="6"/>
        <v>17.660499999999999</v>
      </c>
      <c r="AM24">
        <f t="shared" si="7"/>
        <v>-0.52009289474999998</v>
      </c>
      <c r="AP24" s="9"/>
      <c r="AQ24" s="22">
        <v>1.75949</v>
      </c>
      <c r="AR24" s="22">
        <v>423.45299999999997</v>
      </c>
      <c r="AS24" s="22">
        <v>-8.95081E-3</v>
      </c>
      <c r="AT24" s="22">
        <v>14</v>
      </c>
      <c r="AU24" s="22">
        <v>1.7587299999999999</v>
      </c>
      <c r="AV24">
        <f t="shared" si="8"/>
        <v>8.9508100000000006</v>
      </c>
      <c r="AW24">
        <f t="shared" si="9"/>
        <v>15.748860686900001</v>
      </c>
      <c r="AX24" s="9"/>
      <c r="AY24" s="22">
        <v>-2.94495E-2</v>
      </c>
      <c r="AZ24" s="22">
        <v>474.46699999999998</v>
      </c>
      <c r="BA24" s="22">
        <v>-1.7663600000000002E-2</v>
      </c>
      <c r="BB24" s="22">
        <v>14</v>
      </c>
      <c r="BC24" s="22">
        <v>-2.9733300000000001E-2</v>
      </c>
      <c r="BD24">
        <f t="shared" si="10"/>
        <v>17.663600000000002</v>
      </c>
      <c r="BE24">
        <f t="shared" si="11"/>
        <v>-0.52018418820000012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109.74299999999999</v>
      </c>
      <c r="I25" s="22">
        <v>-4.3875099999999998E-3</v>
      </c>
      <c r="J25" s="22">
        <v>15</v>
      </c>
      <c r="K25" s="22">
        <v>1.7532300000000001</v>
      </c>
      <c r="L25">
        <f t="shared" si="0"/>
        <v>4.3875099999999998</v>
      </c>
      <c r="M25">
        <f t="shared" si="1"/>
        <v>7.697710794599999</v>
      </c>
      <c r="N25" s="9"/>
      <c r="O25" s="22">
        <v>-2.4414100000000001E-2</v>
      </c>
      <c r="P25" s="22">
        <v>158.845</v>
      </c>
      <c r="Q25" s="22">
        <v>-1.7645299999999999E-2</v>
      </c>
      <c r="R25" s="22">
        <v>15</v>
      </c>
      <c r="S25" s="22">
        <v>-2.4633800000000001E-2</v>
      </c>
      <c r="T25">
        <f t="shared" si="2"/>
        <v>17.645299999999999</v>
      </c>
      <c r="U25">
        <f t="shared" si="3"/>
        <v>-0.43079411873000001</v>
      </c>
      <c r="V25" s="23"/>
      <c r="W25" s="24"/>
      <c r="X25" s="9"/>
      <c r="Y25" s="22">
        <v>1.7544599999999999</v>
      </c>
      <c r="Z25" s="22">
        <v>215.00200000000001</v>
      </c>
      <c r="AA25" s="22">
        <v>-7.7148399999999997E-3</v>
      </c>
      <c r="AB25" s="22">
        <v>15</v>
      </c>
      <c r="AC25" s="22">
        <v>1.7535400000000001</v>
      </c>
      <c r="AD25">
        <f t="shared" si="4"/>
        <v>7.7148399999999997</v>
      </c>
      <c r="AE25">
        <f t="shared" si="5"/>
        <v>13.535378186399999</v>
      </c>
      <c r="AF25" s="9"/>
      <c r="AG25" s="22">
        <v>-2.4414100000000001E-2</v>
      </c>
      <c r="AH25" s="22">
        <v>345.67200000000003</v>
      </c>
      <c r="AI25" s="22">
        <v>-1.7660499999999999E-2</v>
      </c>
      <c r="AJ25" s="22">
        <v>15</v>
      </c>
      <c r="AK25" s="22">
        <v>-2.4685700000000001E-2</v>
      </c>
      <c r="AL25">
        <f t="shared" si="6"/>
        <v>17.660499999999999</v>
      </c>
      <c r="AM25">
        <f t="shared" si="7"/>
        <v>-0.43116521305</v>
      </c>
      <c r="AP25" s="9"/>
      <c r="AQ25" s="22">
        <v>1.7544599999999999</v>
      </c>
      <c r="AR25" s="22">
        <v>423.55399999999997</v>
      </c>
      <c r="AS25" s="22">
        <v>-9.8297100000000002E-3</v>
      </c>
      <c r="AT25" s="22">
        <v>15</v>
      </c>
      <c r="AU25" s="22">
        <v>1.7538499999999999</v>
      </c>
      <c r="AV25">
        <f t="shared" si="8"/>
        <v>9.8297100000000004</v>
      </c>
      <c r="AW25">
        <f t="shared" si="9"/>
        <v>17.245833006599998</v>
      </c>
      <c r="AX25" s="9"/>
      <c r="AY25" s="22">
        <v>-2.4414100000000001E-2</v>
      </c>
      <c r="AZ25" s="22">
        <v>474.56700000000001</v>
      </c>
      <c r="BA25" s="22">
        <v>-1.7666600000000001E-2</v>
      </c>
      <c r="BB25" s="22">
        <v>15</v>
      </c>
      <c r="BC25" s="22">
        <v>-2.47192E-2</v>
      </c>
      <c r="BD25">
        <f t="shared" si="10"/>
        <v>17.666600000000003</v>
      </c>
      <c r="BE25">
        <f t="shared" si="11"/>
        <v>-0.4313141390600001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109.84399999999999</v>
      </c>
      <c r="I26" s="22">
        <v>-5.10254E-3</v>
      </c>
      <c r="J26" s="22">
        <v>16</v>
      </c>
      <c r="K26" s="22">
        <v>1.7492700000000001</v>
      </c>
      <c r="L26">
        <f t="shared" si="0"/>
        <v>5.1025400000000003</v>
      </c>
      <c r="M26">
        <f t="shared" si="1"/>
        <v>8.9264855268000005</v>
      </c>
      <c r="N26" s="9"/>
      <c r="O26" s="22">
        <v>-1.9378699999999999E-2</v>
      </c>
      <c r="P26" s="22">
        <v>158.946</v>
      </c>
      <c r="Q26" s="22">
        <v>-1.76422E-2</v>
      </c>
      <c r="R26" s="22">
        <v>16</v>
      </c>
      <c r="S26" s="22">
        <v>-1.95953E-2</v>
      </c>
      <c r="T26">
        <f t="shared" si="2"/>
        <v>17.642199999999999</v>
      </c>
      <c r="U26">
        <f t="shared" si="3"/>
        <v>-0.34188290113999997</v>
      </c>
      <c r="V26" s="23"/>
      <c r="W26" s="24"/>
      <c r="X26" s="9"/>
      <c r="Y26" s="22">
        <v>1.74942</v>
      </c>
      <c r="Z26" s="22">
        <v>215.10300000000001</v>
      </c>
      <c r="AA26" s="22">
        <v>-8.7219199999999993E-3</v>
      </c>
      <c r="AB26" s="22">
        <v>16</v>
      </c>
      <c r="AC26" s="22">
        <v>1.7483500000000001</v>
      </c>
      <c r="AD26">
        <f t="shared" si="4"/>
        <v>8.721919999999999</v>
      </c>
      <c r="AE26">
        <f t="shared" si="5"/>
        <v>15.258301286399998</v>
      </c>
      <c r="AF26" s="9"/>
      <c r="AG26" s="22">
        <v>-1.9378699999999999E-2</v>
      </c>
      <c r="AH26" s="22">
        <v>345.77300000000002</v>
      </c>
      <c r="AI26" s="22">
        <v>-1.7654400000000001E-2</v>
      </c>
      <c r="AJ26" s="22">
        <v>16</v>
      </c>
      <c r="AK26" s="22">
        <v>-1.9613599999999998E-2</v>
      </c>
      <c r="AL26">
        <f t="shared" si="6"/>
        <v>17.654399999999999</v>
      </c>
      <c r="AM26">
        <f t="shared" si="7"/>
        <v>-0.34211932127999994</v>
      </c>
      <c r="AP26" s="9"/>
      <c r="AQ26" s="22">
        <v>1.74942</v>
      </c>
      <c r="AR26" s="22">
        <v>423.654</v>
      </c>
      <c r="AS26" s="22">
        <v>-1.0528600000000001E-2</v>
      </c>
      <c r="AT26" s="22">
        <v>16</v>
      </c>
      <c r="AU26" s="22">
        <v>1.7489600000000001</v>
      </c>
      <c r="AV26">
        <f t="shared" si="8"/>
        <v>10.528600000000001</v>
      </c>
      <c r="AW26">
        <f t="shared" si="9"/>
        <v>18.418943412000001</v>
      </c>
      <c r="AX26" s="9"/>
      <c r="AY26" s="22">
        <v>-1.9378699999999999E-2</v>
      </c>
      <c r="AZ26" s="22">
        <v>474.66800000000001</v>
      </c>
      <c r="BA26" s="22">
        <v>-1.7663600000000002E-2</v>
      </c>
      <c r="BB26" s="22">
        <v>16</v>
      </c>
      <c r="BC26" s="22">
        <v>-1.9567899999999999E-2</v>
      </c>
      <c r="BD26">
        <f t="shared" si="10"/>
        <v>17.663600000000002</v>
      </c>
      <c r="BE26">
        <f t="shared" si="11"/>
        <v>-0.34229760532000003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109.94499999999999</v>
      </c>
      <c r="I27" s="22">
        <v>-5.8380100000000002E-3</v>
      </c>
      <c r="J27" s="22">
        <v>17</v>
      </c>
      <c r="K27" s="22">
        <v>1.74377</v>
      </c>
      <c r="L27">
        <f t="shared" si="0"/>
        <v>5.8380100000000006</v>
      </c>
      <c r="M27">
        <f t="shared" si="1"/>
        <v>10.183707883800002</v>
      </c>
      <c r="N27" s="9"/>
      <c r="O27" s="22">
        <v>-1.43433E-2</v>
      </c>
      <c r="P27" s="22">
        <v>159.047</v>
      </c>
      <c r="Q27" s="22">
        <v>-1.7639200000000001E-2</v>
      </c>
      <c r="R27" s="22">
        <v>17</v>
      </c>
      <c r="S27" s="22">
        <v>-1.4447E-2</v>
      </c>
      <c r="T27">
        <f t="shared" si="2"/>
        <v>17.639200000000002</v>
      </c>
      <c r="U27">
        <f t="shared" si="3"/>
        <v>-0.25300433736000005</v>
      </c>
      <c r="X27" s="9"/>
      <c r="Y27" s="22">
        <v>1.74438</v>
      </c>
      <c r="Z27" s="22">
        <v>215.203</v>
      </c>
      <c r="AA27" s="22">
        <v>-9.4726600000000008E-3</v>
      </c>
      <c r="AB27" s="22">
        <v>17</v>
      </c>
      <c r="AC27" s="22">
        <v>1.74316</v>
      </c>
      <c r="AD27">
        <f t="shared" si="4"/>
        <v>9.4726600000000012</v>
      </c>
      <c r="AE27">
        <f t="shared" si="5"/>
        <v>16.523918650800002</v>
      </c>
      <c r="AF27" s="9"/>
      <c r="AG27" s="22">
        <v>-1.43433E-2</v>
      </c>
      <c r="AH27" s="22">
        <v>345.87400000000002</v>
      </c>
      <c r="AI27" s="22">
        <v>-1.7654400000000001E-2</v>
      </c>
      <c r="AJ27" s="22">
        <v>17</v>
      </c>
      <c r="AK27" s="22">
        <v>-1.4523299999999999E-2</v>
      </c>
      <c r="AL27">
        <f t="shared" si="6"/>
        <v>17.654399999999999</v>
      </c>
      <c r="AM27">
        <f t="shared" si="7"/>
        <v>-0.25322235552</v>
      </c>
      <c r="AP27" s="9"/>
      <c r="AQ27" s="22">
        <v>1.74438</v>
      </c>
      <c r="AR27" s="22">
        <v>423.755</v>
      </c>
      <c r="AS27" s="22">
        <v>-1.11053E-2</v>
      </c>
      <c r="AT27" s="22">
        <v>17</v>
      </c>
      <c r="AU27" s="22">
        <v>1.74316</v>
      </c>
      <c r="AV27">
        <f t="shared" si="8"/>
        <v>11.1053</v>
      </c>
      <c r="AW27">
        <f t="shared" si="9"/>
        <v>19.371863214000001</v>
      </c>
      <c r="AX27" s="9"/>
      <c r="AY27" s="22">
        <v>-1.43433E-2</v>
      </c>
      <c r="AZ27" s="22">
        <v>474.76900000000001</v>
      </c>
      <c r="BA27" s="22">
        <v>-1.76575E-2</v>
      </c>
      <c r="BB27" s="22">
        <v>17</v>
      </c>
      <c r="BC27" s="22">
        <v>-1.4511100000000001E-2</v>
      </c>
      <c r="BD27">
        <f t="shared" si="10"/>
        <v>17.657499999999999</v>
      </c>
      <c r="BE27">
        <f t="shared" si="11"/>
        <v>-0.25326681974999998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110.04600000000001</v>
      </c>
      <c r="I28" s="22">
        <v>-6.4758300000000001E-3</v>
      </c>
      <c r="J28" s="22">
        <v>18</v>
      </c>
      <c r="K28" s="22">
        <v>1.73889</v>
      </c>
      <c r="L28">
        <f t="shared" si="0"/>
        <v>6.4758300000000002</v>
      </c>
      <c r="M28">
        <f t="shared" si="1"/>
        <v>11.2637349105</v>
      </c>
      <c r="N28" s="9"/>
      <c r="O28" s="22">
        <v>-9.3078599999999994E-3</v>
      </c>
      <c r="P28" s="22">
        <v>159.14699999999999</v>
      </c>
      <c r="Q28" s="22">
        <v>-1.7636099999999998E-2</v>
      </c>
      <c r="R28" s="22">
        <v>18</v>
      </c>
      <c r="S28" s="22">
        <v>-9.5458999999999995E-3</v>
      </c>
      <c r="T28">
        <f t="shared" si="2"/>
        <v>17.636099999999999</v>
      </c>
      <c r="U28">
        <f t="shared" si="3"/>
        <v>-0.16415434974599999</v>
      </c>
      <c r="X28" s="9"/>
      <c r="Y28" s="22">
        <v>1.73935</v>
      </c>
      <c r="Z28" s="22">
        <v>215.304</v>
      </c>
      <c r="AA28" s="22">
        <v>-1.02051E-2</v>
      </c>
      <c r="AB28" s="22">
        <v>18</v>
      </c>
      <c r="AC28" s="22">
        <v>1.73889</v>
      </c>
      <c r="AD28">
        <f t="shared" si="4"/>
        <v>10.2051</v>
      </c>
      <c r="AE28">
        <f t="shared" si="5"/>
        <v>17.750240684999998</v>
      </c>
      <c r="AF28" s="9"/>
      <c r="AG28" s="22">
        <v>-9.3078599999999994E-3</v>
      </c>
      <c r="AH28" s="22">
        <v>345.97399999999999</v>
      </c>
      <c r="AI28" s="22">
        <v>-1.7648299999999999E-2</v>
      </c>
      <c r="AJ28" s="22">
        <v>18</v>
      </c>
      <c r="AK28" s="22">
        <v>-9.6099900000000005E-3</v>
      </c>
      <c r="AL28">
        <f t="shared" si="6"/>
        <v>17.648299999999999</v>
      </c>
      <c r="AM28">
        <f t="shared" si="7"/>
        <v>-0.16426790563799998</v>
      </c>
      <c r="AP28" s="9"/>
      <c r="AQ28" s="22">
        <v>1.73935</v>
      </c>
      <c r="AR28" s="22">
        <v>423.85599999999999</v>
      </c>
      <c r="AS28" s="22">
        <v>-1.16089E-2</v>
      </c>
      <c r="AT28" s="22">
        <v>18</v>
      </c>
      <c r="AU28" s="22">
        <v>1.7385900000000001</v>
      </c>
      <c r="AV28">
        <f t="shared" si="8"/>
        <v>11.6089</v>
      </c>
      <c r="AW28">
        <f t="shared" si="9"/>
        <v>20.191940214999999</v>
      </c>
      <c r="AX28" s="9"/>
      <c r="AY28" s="22">
        <v>-9.3078599999999994E-3</v>
      </c>
      <c r="AZ28" s="22">
        <v>474.87</v>
      </c>
      <c r="BA28" s="22">
        <v>-1.76575E-2</v>
      </c>
      <c r="BB28" s="22">
        <v>18</v>
      </c>
      <c r="BC28" s="22">
        <v>-9.6343999999999996E-3</v>
      </c>
      <c r="BD28">
        <f t="shared" si="10"/>
        <v>17.657499999999999</v>
      </c>
      <c r="BE28">
        <f t="shared" si="11"/>
        <v>-0.16435353794999999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110.146</v>
      </c>
      <c r="I29" s="22">
        <v>-7.0709199999999996E-3</v>
      </c>
      <c r="J29" s="22">
        <v>19</v>
      </c>
      <c r="K29" s="22">
        <v>1.7334000000000001</v>
      </c>
      <c r="L29">
        <f t="shared" si="0"/>
        <v>7.0709199999999992</v>
      </c>
      <c r="M29">
        <f t="shared" si="1"/>
        <v>12.263167265199998</v>
      </c>
      <c r="N29" s="9"/>
      <c r="O29" s="22">
        <v>-4.2724599999999996E-3</v>
      </c>
      <c r="P29" s="22">
        <v>159.24799999999999</v>
      </c>
      <c r="Q29" s="22">
        <v>-1.7633099999999999E-2</v>
      </c>
      <c r="R29" s="22">
        <v>19</v>
      </c>
      <c r="S29" s="22">
        <v>-4.5593300000000003E-3</v>
      </c>
      <c r="T29">
        <f t="shared" si="2"/>
        <v>17.633099999999999</v>
      </c>
      <c r="U29">
        <f t="shared" si="3"/>
        <v>-7.5336714425999984E-2</v>
      </c>
      <c r="X29" s="9"/>
      <c r="Y29" s="22">
        <v>1.73431</v>
      </c>
      <c r="Z29" s="22">
        <v>215.405</v>
      </c>
      <c r="AA29" s="22">
        <v>-1.0766599999999999E-2</v>
      </c>
      <c r="AB29" s="22">
        <v>19</v>
      </c>
      <c r="AC29" s="22">
        <v>1.73309</v>
      </c>
      <c r="AD29">
        <f t="shared" si="4"/>
        <v>10.766599999999999</v>
      </c>
      <c r="AE29">
        <f t="shared" si="5"/>
        <v>18.672622045999997</v>
      </c>
      <c r="AF29" s="9"/>
      <c r="AG29" s="22">
        <v>-4.2724599999999996E-3</v>
      </c>
      <c r="AH29" s="22">
        <v>346.07499999999999</v>
      </c>
      <c r="AI29" s="22">
        <v>-1.7645299999999999E-2</v>
      </c>
      <c r="AJ29" s="22">
        <v>19</v>
      </c>
      <c r="AK29" s="22">
        <v>-4.6020499999999999E-3</v>
      </c>
      <c r="AL29">
        <f t="shared" si="6"/>
        <v>17.645299999999999</v>
      </c>
      <c r="AM29">
        <f t="shared" si="7"/>
        <v>-7.5388838437999983E-2</v>
      </c>
      <c r="AP29" s="9"/>
      <c r="AQ29" s="22">
        <v>1.73431</v>
      </c>
      <c r="AR29" s="22">
        <v>423.95600000000002</v>
      </c>
      <c r="AS29" s="22">
        <v>-1.20544E-2</v>
      </c>
      <c r="AT29" s="22">
        <v>19</v>
      </c>
      <c r="AU29" s="22">
        <v>1.73309</v>
      </c>
      <c r="AV29">
        <f t="shared" si="8"/>
        <v>12.054399999999999</v>
      </c>
      <c r="AW29">
        <f t="shared" si="9"/>
        <v>20.906066463999998</v>
      </c>
      <c r="AX29" s="9"/>
      <c r="AY29" s="22">
        <v>-4.2724599999999996E-3</v>
      </c>
      <c r="AZ29" s="22">
        <v>474.97</v>
      </c>
      <c r="BA29" s="22">
        <v>-1.7654400000000001E-2</v>
      </c>
      <c r="BB29" s="22">
        <v>19</v>
      </c>
      <c r="BC29" s="22">
        <v>-4.5318600000000004E-3</v>
      </c>
      <c r="BD29">
        <f t="shared" si="10"/>
        <v>17.654399999999999</v>
      </c>
      <c r="BE29">
        <f t="shared" si="11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110.247</v>
      </c>
      <c r="I30" s="22">
        <v>-7.6599099999999998E-3</v>
      </c>
      <c r="J30" s="22">
        <v>20</v>
      </c>
      <c r="K30" s="22">
        <v>1.7285200000000001</v>
      </c>
      <c r="L30">
        <f t="shared" si="0"/>
        <v>7.65991</v>
      </c>
      <c r="M30">
        <f t="shared" si="1"/>
        <v>13.246129164799999</v>
      </c>
      <c r="N30" s="9"/>
      <c r="O30" s="22">
        <v>7.6293900000000002E-4</v>
      </c>
      <c r="P30" s="22">
        <v>159.34899999999999</v>
      </c>
      <c r="Q30" s="22">
        <v>-1.763E-2</v>
      </c>
      <c r="R30" s="22">
        <v>20</v>
      </c>
      <c r="S30" s="22">
        <v>6.0119600000000002E-4</v>
      </c>
      <c r="T30">
        <f t="shared" si="2"/>
        <v>17.63</v>
      </c>
      <c r="U30">
        <f t="shared" si="3"/>
        <v>1.345061457E-2</v>
      </c>
      <c r="X30" s="9"/>
      <c r="Y30" s="22">
        <v>1.7292799999999999</v>
      </c>
      <c r="Z30" s="22">
        <v>215.506</v>
      </c>
      <c r="AA30" s="22">
        <v>-1.12885E-2</v>
      </c>
      <c r="AB30" s="22">
        <v>20</v>
      </c>
      <c r="AC30" s="22">
        <v>1.7285200000000001</v>
      </c>
      <c r="AD30">
        <f t="shared" si="4"/>
        <v>11.288499999999999</v>
      </c>
      <c r="AE30">
        <f t="shared" si="5"/>
        <v>19.520977279999997</v>
      </c>
      <c r="AF30" s="9"/>
      <c r="AG30" s="22">
        <v>7.6293900000000002E-4</v>
      </c>
      <c r="AH30" s="22">
        <v>346.17599999999999</v>
      </c>
      <c r="AI30" s="22">
        <v>-1.7645299999999999E-2</v>
      </c>
      <c r="AJ30" s="22">
        <v>20</v>
      </c>
      <c r="AK30" s="22">
        <v>6.1950700000000004E-4</v>
      </c>
      <c r="AL30">
        <f t="shared" si="6"/>
        <v>17.645299999999999</v>
      </c>
      <c r="AM30">
        <f t="shared" si="7"/>
        <v>1.34622875367E-2</v>
      </c>
      <c r="AP30" s="9"/>
      <c r="AQ30" s="22">
        <v>1.7292799999999999</v>
      </c>
      <c r="AR30" s="22">
        <v>424.05700000000002</v>
      </c>
      <c r="AS30" s="22">
        <v>-1.24268E-2</v>
      </c>
      <c r="AT30" s="22">
        <v>20</v>
      </c>
      <c r="AU30" s="22">
        <v>1.72821</v>
      </c>
      <c r="AV30">
        <f t="shared" si="8"/>
        <v>12.4268</v>
      </c>
      <c r="AW30">
        <f t="shared" si="9"/>
        <v>21.489416704</v>
      </c>
      <c r="AX30" s="9"/>
      <c r="AY30" s="22">
        <v>7.6293900000000002E-4</v>
      </c>
      <c r="AZ30" s="22">
        <v>475.07100000000003</v>
      </c>
      <c r="BA30" s="22">
        <v>-1.7651400000000001E-2</v>
      </c>
      <c r="BB30" s="22">
        <v>20</v>
      </c>
      <c r="BC30" s="22">
        <v>6.3171400000000002E-4</v>
      </c>
      <c r="BD30">
        <f t="shared" si="10"/>
        <v>17.651400000000002</v>
      </c>
      <c r="BE30">
        <f t="shared" si="11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110.348</v>
      </c>
      <c r="I31" s="22">
        <v>-8.1451400000000004E-3</v>
      </c>
      <c r="J31" s="22">
        <v>21</v>
      </c>
      <c r="K31" s="22">
        <v>1.72333</v>
      </c>
      <c r="L31">
        <f t="shared" si="0"/>
        <v>8.1451399999999996</v>
      </c>
      <c r="M31">
        <f t="shared" si="1"/>
        <v>14.044176193599998</v>
      </c>
      <c r="N31" s="9"/>
      <c r="O31" s="22">
        <v>5.7983399999999999E-3</v>
      </c>
      <c r="P31" s="22">
        <v>159.44900000000001</v>
      </c>
      <c r="Q31" s="22">
        <v>-1.7623900000000001E-2</v>
      </c>
      <c r="R31" s="22">
        <v>21</v>
      </c>
      <c r="S31" s="22">
        <v>5.7037399999999997E-3</v>
      </c>
      <c r="T31">
        <f t="shared" si="2"/>
        <v>17.623900000000003</v>
      </c>
      <c r="U31">
        <f t="shared" si="3"/>
        <v>0.10218936432600001</v>
      </c>
      <c r="X31" s="9"/>
      <c r="Y31" s="22">
        <v>1.72424</v>
      </c>
      <c r="Z31" s="22">
        <v>215.60599999999999</v>
      </c>
      <c r="AA31" s="22">
        <v>-1.1727899999999999E-2</v>
      </c>
      <c r="AB31" s="22">
        <v>21</v>
      </c>
      <c r="AC31" s="22">
        <v>1.72302</v>
      </c>
      <c r="AD31">
        <f t="shared" si="4"/>
        <v>11.7279</v>
      </c>
      <c r="AE31">
        <f t="shared" si="5"/>
        <v>20.221714295999998</v>
      </c>
      <c r="AF31" s="9"/>
      <c r="AG31" s="22">
        <v>5.7983399999999999E-3</v>
      </c>
      <c r="AH31" s="22">
        <v>346.27699999999999</v>
      </c>
      <c r="AI31" s="22">
        <v>-1.76422E-2</v>
      </c>
      <c r="AJ31" s="22">
        <v>21</v>
      </c>
      <c r="AK31" s="22">
        <v>5.6518599999999999E-3</v>
      </c>
      <c r="AL31">
        <f t="shared" si="6"/>
        <v>17.642199999999999</v>
      </c>
      <c r="AM31">
        <f t="shared" si="7"/>
        <v>0.102295473948</v>
      </c>
      <c r="AP31" s="9"/>
      <c r="AQ31" s="22">
        <v>1.72424</v>
      </c>
      <c r="AR31" s="22">
        <v>424.15800000000002</v>
      </c>
      <c r="AS31" s="22">
        <v>-1.27472E-2</v>
      </c>
      <c r="AT31" s="22">
        <v>21</v>
      </c>
      <c r="AU31" s="22">
        <v>1.72394</v>
      </c>
      <c r="AV31">
        <f t="shared" si="8"/>
        <v>12.747199999999999</v>
      </c>
      <c r="AW31">
        <f t="shared" si="9"/>
        <v>21.979232128</v>
      </c>
      <c r="AX31" s="9"/>
      <c r="AY31" s="22">
        <v>5.7983399999999999E-3</v>
      </c>
      <c r="AZ31" s="22">
        <v>475.17200000000003</v>
      </c>
      <c r="BA31" s="22">
        <v>-1.7648299999999999E-2</v>
      </c>
      <c r="BB31" s="22">
        <v>21</v>
      </c>
      <c r="BC31" s="22">
        <v>5.6854200000000001E-3</v>
      </c>
      <c r="BD31">
        <f t="shared" si="10"/>
        <v>17.648299999999999</v>
      </c>
      <c r="BE31">
        <f t="shared" si="11"/>
        <v>0.10233084382199999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110.44799999999999</v>
      </c>
      <c r="I32" s="22">
        <v>-8.6730999999999996E-3</v>
      </c>
      <c r="J32" s="22">
        <v>22</v>
      </c>
      <c r="K32" s="22">
        <v>1.71844</v>
      </c>
      <c r="L32">
        <f t="shared" si="0"/>
        <v>8.6730999999999998</v>
      </c>
      <c r="M32">
        <f t="shared" si="1"/>
        <v>14.910880250999998</v>
      </c>
      <c r="N32" s="9"/>
      <c r="O32" s="22">
        <v>1.08337E-2</v>
      </c>
      <c r="P32" s="22">
        <v>159.55000000000001</v>
      </c>
      <c r="Q32" s="22">
        <v>-1.7620799999999999E-2</v>
      </c>
      <c r="R32" s="22">
        <v>22</v>
      </c>
      <c r="S32" s="22">
        <v>1.0671999999999999E-2</v>
      </c>
      <c r="T32">
        <f t="shared" si="2"/>
        <v>17.620799999999999</v>
      </c>
      <c r="U32">
        <f t="shared" si="3"/>
        <v>0.19089846095999999</v>
      </c>
      <c r="X32" s="9"/>
      <c r="Y32" s="22">
        <v>1.7192099999999999</v>
      </c>
      <c r="Z32" s="22">
        <v>215.70699999999999</v>
      </c>
      <c r="AA32" s="22">
        <v>-1.21368E-2</v>
      </c>
      <c r="AB32" s="22">
        <v>22</v>
      </c>
      <c r="AC32" s="22">
        <v>1.71875</v>
      </c>
      <c r="AD32">
        <f t="shared" si="4"/>
        <v>12.136799999999999</v>
      </c>
      <c r="AE32">
        <f t="shared" si="5"/>
        <v>20.865707927999999</v>
      </c>
      <c r="AF32" s="9"/>
      <c r="AG32" s="22">
        <v>1.08337E-2</v>
      </c>
      <c r="AH32" s="22">
        <v>346.37700000000001</v>
      </c>
      <c r="AI32" s="22">
        <v>-1.7639200000000001E-2</v>
      </c>
      <c r="AJ32" s="22">
        <v>22</v>
      </c>
      <c r="AK32" s="22">
        <v>1.0614E-2</v>
      </c>
      <c r="AL32">
        <f t="shared" si="6"/>
        <v>17.639200000000002</v>
      </c>
      <c r="AM32">
        <f t="shared" si="7"/>
        <v>0.19109780104000001</v>
      </c>
      <c r="AP32" s="9"/>
      <c r="AQ32" s="22">
        <v>1.7192099999999999</v>
      </c>
      <c r="AR32" s="22">
        <v>424.25900000000001</v>
      </c>
      <c r="AS32" s="22">
        <v>-1.30554E-2</v>
      </c>
      <c r="AT32" s="22">
        <v>22</v>
      </c>
      <c r="AU32" s="22">
        <v>1.71875</v>
      </c>
      <c r="AV32">
        <f t="shared" si="8"/>
        <v>13.055400000000001</v>
      </c>
      <c r="AW32">
        <f t="shared" si="9"/>
        <v>22.444974234</v>
      </c>
      <c r="AX32" s="9"/>
      <c r="AY32" s="22">
        <v>1.08337E-2</v>
      </c>
      <c r="AZ32" s="22">
        <v>475.27199999999999</v>
      </c>
      <c r="BA32" s="22">
        <v>-1.7645299999999999E-2</v>
      </c>
      <c r="BB32" s="22">
        <v>22</v>
      </c>
      <c r="BC32" s="22">
        <v>1.05621E-2</v>
      </c>
      <c r="BD32">
        <f t="shared" si="10"/>
        <v>17.645299999999999</v>
      </c>
      <c r="BE32">
        <f t="shared" si="11"/>
        <v>0.19116388661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110.54900000000001</v>
      </c>
      <c r="I33" s="22">
        <v>-9.1125500000000005E-3</v>
      </c>
      <c r="J33" s="22">
        <v>23</v>
      </c>
      <c r="K33" s="22">
        <v>1.71265</v>
      </c>
      <c r="L33">
        <f t="shared" si="0"/>
        <v>9.1125500000000006</v>
      </c>
      <c r="M33">
        <f t="shared" si="1"/>
        <v>15.6204598335</v>
      </c>
      <c r="N33" s="9"/>
      <c r="O33" s="22">
        <v>1.5869100000000001E-2</v>
      </c>
      <c r="P33" s="22">
        <v>159.65100000000001</v>
      </c>
      <c r="Q33" s="22">
        <v>-1.7617799999999999E-2</v>
      </c>
      <c r="R33" s="22">
        <v>23</v>
      </c>
      <c r="S33" s="22">
        <v>1.5832499999999999E-2</v>
      </c>
      <c r="T33">
        <f t="shared" si="2"/>
        <v>17.617799999999999</v>
      </c>
      <c r="U33">
        <f t="shared" si="3"/>
        <v>0.27957862997999999</v>
      </c>
      <c r="X33" s="9"/>
      <c r="Y33" s="22">
        <v>1.71417</v>
      </c>
      <c r="Z33" s="22">
        <v>215.80799999999999</v>
      </c>
      <c r="AA33" s="22">
        <v>-1.2512199999999999E-2</v>
      </c>
      <c r="AB33" s="22">
        <v>23</v>
      </c>
      <c r="AC33" s="22">
        <v>1.71326</v>
      </c>
      <c r="AD33">
        <f t="shared" si="4"/>
        <v>12.5122</v>
      </c>
      <c r="AE33">
        <f t="shared" si="5"/>
        <v>21.448037874000001</v>
      </c>
      <c r="AF33" s="9"/>
      <c r="AG33" s="22">
        <v>1.5869100000000001E-2</v>
      </c>
      <c r="AH33" s="22">
        <v>346.47800000000001</v>
      </c>
      <c r="AI33" s="22">
        <v>-1.7633099999999999E-2</v>
      </c>
      <c r="AJ33" s="22">
        <v>23</v>
      </c>
      <c r="AK33" s="22">
        <v>1.5506000000000001E-2</v>
      </c>
      <c r="AL33">
        <f t="shared" si="6"/>
        <v>17.633099999999999</v>
      </c>
      <c r="AM33">
        <f t="shared" si="7"/>
        <v>0.27982142720999997</v>
      </c>
      <c r="AP33" s="9"/>
      <c r="AQ33" s="22">
        <v>1.71417</v>
      </c>
      <c r="AR33" s="22">
        <v>424.35899999999998</v>
      </c>
      <c r="AS33" s="22">
        <v>-1.3302599999999999E-2</v>
      </c>
      <c r="AT33" s="22">
        <v>23</v>
      </c>
      <c r="AU33" s="22">
        <v>1.71356</v>
      </c>
      <c r="AV33">
        <f t="shared" si="8"/>
        <v>13.3026</v>
      </c>
      <c r="AW33">
        <f t="shared" si="9"/>
        <v>22.802917841999999</v>
      </c>
      <c r="AX33" s="9"/>
      <c r="AY33" s="22">
        <v>1.5869100000000001E-2</v>
      </c>
      <c r="AZ33" s="22">
        <v>475.37299999999999</v>
      </c>
      <c r="BA33" s="22">
        <v>-1.7645299999999999E-2</v>
      </c>
      <c r="BB33" s="22">
        <v>23</v>
      </c>
      <c r="BC33" s="22">
        <v>1.5722699999999999E-2</v>
      </c>
      <c r="BD33">
        <f t="shared" si="10"/>
        <v>17.645299999999999</v>
      </c>
      <c r="BE33">
        <f t="shared" si="11"/>
        <v>0.28001503023000002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110.65</v>
      </c>
      <c r="I34" s="22">
        <v>-9.5245399999999997E-3</v>
      </c>
      <c r="J34" s="22">
        <v>24</v>
      </c>
      <c r="K34" s="22">
        <v>1.70868</v>
      </c>
      <c r="L34">
        <f t="shared" si="0"/>
        <v>9.52454</v>
      </c>
      <c r="M34">
        <f t="shared" si="1"/>
        <v>16.2787722956</v>
      </c>
      <c r="N34" s="9"/>
      <c r="O34" s="22">
        <v>2.0904499999999999E-2</v>
      </c>
      <c r="P34" s="22">
        <v>159.75200000000001</v>
      </c>
      <c r="Q34" s="22">
        <v>-1.76147E-2</v>
      </c>
      <c r="R34" s="22">
        <v>24</v>
      </c>
      <c r="S34" s="22">
        <v>2.07397E-2</v>
      </c>
      <c r="T34">
        <f t="shared" si="2"/>
        <v>17.614699999999999</v>
      </c>
      <c r="U34">
        <f t="shared" si="3"/>
        <v>0.36822649614999997</v>
      </c>
      <c r="X34" s="9"/>
      <c r="Y34" s="22">
        <v>1.7091400000000001</v>
      </c>
      <c r="Z34" s="22">
        <v>215.90799999999999</v>
      </c>
      <c r="AA34" s="22">
        <v>-1.28326E-2</v>
      </c>
      <c r="AB34" s="22">
        <v>24</v>
      </c>
      <c r="AC34" s="22">
        <v>1.7083699999999999</v>
      </c>
      <c r="AD34">
        <f t="shared" si="4"/>
        <v>12.832599999999999</v>
      </c>
      <c r="AE34">
        <f t="shared" si="5"/>
        <v>21.932709964000001</v>
      </c>
      <c r="AF34" s="9"/>
      <c r="AG34" s="22">
        <v>2.0904499999999999E-2</v>
      </c>
      <c r="AH34" s="22">
        <v>346.57900000000001</v>
      </c>
      <c r="AI34" s="22">
        <v>-1.7627E-2</v>
      </c>
      <c r="AJ34" s="22">
        <v>24</v>
      </c>
      <c r="AK34" s="22">
        <v>2.07916E-2</v>
      </c>
      <c r="AL34">
        <f t="shared" si="6"/>
        <v>17.626999999999999</v>
      </c>
      <c r="AM34">
        <f t="shared" si="7"/>
        <v>0.36848362149999997</v>
      </c>
      <c r="AP34" s="9"/>
      <c r="AQ34" s="22">
        <v>1.7091400000000001</v>
      </c>
      <c r="AR34" s="22">
        <v>424.46</v>
      </c>
      <c r="AS34" s="22">
        <v>-1.35406E-2</v>
      </c>
      <c r="AT34" s="22">
        <v>24</v>
      </c>
      <c r="AU34" s="22">
        <v>1.7083699999999999</v>
      </c>
      <c r="AV34">
        <f t="shared" si="8"/>
        <v>13.5406</v>
      </c>
      <c r="AW34">
        <f t="shared" si="9"/>
        <v>23.142781083999999</v>
      </c>
      <c r="AX34" s="9"/>
      <c r="AY34" s="22">
        <v>2.0904499999999999E-2</v>
      </c>
      <c r="AZ34" s="22">
        <v>475.47399999999999</v>
      </c>
      <c r="BA34" s="22">
        <v>-1.7639200000000001E-2</v>
      </c>
      <c r="BB34" s="22">
        <v>24</v>
      </c>
      <c r="BC34" s="22">
        <v>2.0727499999999999E-2</v>
      </c>
      <c r="BD34">
        <f t="shared" si="10"/>
        <v>17.639200000000002</v>
      </c>
      <c r="BE34">
        <f t="shared" si="11"/>
        <v>0.36873865640000003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110.751</v>
      </c>
      <c r="I35" s="22">
        <v>-9.9517800000000003E-3</v>
      </c>
      <c r="J35" s="22">
        <v>25</v>
      </c>
      <c r="K35" s="22">
        <v>1.70319</v>
      </c>
      <c r="L35">
        <f t="shared" si="0"/>
        <v>9.9517800000000012</v>
      </c>
      <c r="M35">
        <f t="shared" si="1"/>
        <v>16.958828298</v>
      </c>
      <c r="N35" s="9"/>
      <c r="O35" s="22">
        <v>2.5939899999999998E-2</v>
      </c>
      <c r="P35" s="22">
        <v>159.852</v>
      </c>
      <c r="Q35" s="22">
        <v>-1.76147E-2</v>
      </c>
      <c r="R35" s="22">
        <v>25</v>
      </c>
      <c r="S35" s="22">
        <v>2.5845300000000002E-2</v>
      </c>
      <c r="T35">
        <f t="shared" si="2"/>
        <v>17.614699999999999</v>
      </c>
      <c r="U35">
        <f t="shared" si="3"/>
        <v>0.45692355652999994</v>
      </c>
      <c r="X35" s="9"/>
      <c r="Y35" s="22">
        <v>1.7040999999999999</v>
      </c>
      <c r="Z35" s="22">
        <v>216.00899999999999</v>
      </c>
      <c r="AA35" s="22">
        <v>-1.31348E-2</v>
      </c>
      <c r="AB35" s="22">
        <v>25</v>
      </c>
      <c r="AC35" s="22">
        <v>1.7034899999999999</v>
      </c>
      <c r="AD35">
        <f t="shared" si="4"/>
        <v>13.1348</v>
      </c>
      <c r="AE35">
        <f t="shared" si="5"/>
        <v>22.38301268</v>
      </c>
      <c r="AF35" s="9"/>
      <c r="AG35" s="22">
        <v>2.5939899999999998E-2</v>
      </c>
      <c r="AH35" s="22">
        <v>346.67899999999997</v>
      </c>
      <c r="AI35" s="22">
        <v>-1.7627E-2</v>
      </c>
      <c r="AJ35" s="22">
        <v>25</v>
      </c>
      <c r="AK35" s="22">
        <v>2.5826999999999999E-2</v>
      </c>
      <c r="AL35">
        <f t="shared" si="6"/>
        <v>17.626999999999999</v>
      </c>
      <c r="AM35">
        <f t="shared" si="7"/>
        <v>0.45724261729999993</v>
      </c>
      <c r="AP35" s="9"/>
      <c r="AQ35" s="22">
        <v>1.7040999999999999</v>
      </c>
      <c r="AR35" s="22">
        <v>424.56099999999998</v>
      </c>
      <c r="AS35" s="22">
        <v>-1.37634E-2</v>
      </c>
      <c r="AT35" s="22">
        <v>25</v>
      </c>
      <c r="AU35" s="22">
        <v>1.7028799999999999</v>
      </c>
      <c r="AV35">
        <f t="shared" si="8"/>
        <v>13.763400000000001</v>
      </c>
      <c r="AW35">
        <f t="shared" si="9"/>
        <v>23.454209940000002</v>
      </c>
      <c r="AX35" s="9"/>
      <c r="AY35" s="22">
        <v>2.5939899999999998E-2</v>
      </c>
      <c r="AZ35" s="22">
        <v>475.57400000000001</v>
      </c>
      <c r="BA35" s="22">
        <v>-1.7639200000000001E-2</v>
      </c>
      <c r="BB35" s="22">
        <v>25</v>
      </c>
      <c r="BC35" s="22">
        <v>2.5790400000000002E-2</v>
      </c>
      <c r="BD35">
        <f t="shared" si="10"/>
        <v>17.639200000000002</v>
      </c>
      <c r="BE35">
        <f t="shared" si="11"/>
        <v>0.45755908408000001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110.851</v>
      </c>
      <c r="I36" s="22">
        <v>-1.02997E-2</v>
      </c>
      <c r="J36" s="22">
        <v>26</v>
      </c>
      <c r="K36" s="22">
        <v>1.6982999999999999</v>
      </c>
      <c r="L36">
        <f t="shared" si="0"/>
        <v>10.2997</v>
      </c>
      <c r="M36">
        <f t="shared" si="1"/>
        <v>17.499911278999999</v>
      </c>
      <c r="N36" s="9"/>
      <c r="O36" s="22">
        <v>3.0975300000000001E-2</v>
      </c>
      <c r="P36" s="22">
        <v>159.953</v>
      </c>
      <c r="Q36" s="22">
        <v>-1.7608599999999999E-2</v>
      </c>
      <c r="R36" s="22">
        <v>26</v>
      </c>
      <c r="S36" s="22">
        <v>3.0877700000000001E-2</v>
      </c>
      <c r="T36">
        <f t="shared" si="2"/>
        <v>17.608599999999999</v>
      </c>
      <c r="U36">
        <f t="shared" si="3"/>
        <v>0.54543166757999995</v>
      </c>
      <c r="X36" s="9"/>
      <c r="Y36" s="22">
        <v>1.6990700000000001</v>
      </c>
      <c r="Z36" s="22">
        <v>216.11</v>
      </c>
      <c r="AA36" s="22">
        <v>-1.3378900000000001E-2</v>
      </c>
      <c r="AB36" s="22">
        <v>26</v>
      </c>
      <c r="AC36" s="22">
        <v>1.6976899999999999</v>
      </c>
      <c r="AD36">
        <f t="shared" si="4"/>
        <v>13.378900000000002</v>
      </c>
      <c r="AE36">
        <f t="shared" si="5"/>
        <v>22.731687623000003</v>
      </c>
      <c r="AF36" s="9"/>
      <c r="AG36" s="22">
        <v>3.0975300000000001E-2</v>
      </c>
      <c r="AH36" s="22">
        <v>346.78</v>
      </c>
      <c r="AI36" s="22">
        <v>-1.7623900000000001E-2</v>
      </c>
      <c r="AJ36" s="22">
        <v>26</v>
      </c>
      <c r="AK36" s="22">
        <v>3.06488E-2</v>
      </c>
      <c r="AL36">
        <f t="shared" si="6"/>
        <v>17.623900000000003</v>
      </c>
      <c r="AM36">
        <f t="shared" si="7"/>
        <v>0.54590558967000014</v>
      </c>
      <c r="AP36" s="9"/>
      <c r="AQ36" s="22">
        <v>1.6990700000000001</v>
      </c>
      <c r="AR36" s="22">
        <v>424.661</v>
      </c>
      <c r="AS36" s="22">
        <v>-1.3958699999999999E-2</v>
      </c>
      <c r="AT36" s="22">
        <v>26</v>
      </c>
      <c r="AU36" s="22">
        <v>1.6982999999999999</v>
      </c>
      <c r="AV36">
        <f t="shared" si="8"/>
        <v>13.958699999999999</v>
      </c>
      <c r="AW36">
        <f t="shared" si="9"/>
        <v>23.716808408999999</v>
      </c>
      <c r="AX36" s="9"/>
      <c r="AY36" s="22">
        <v>3.0975300000000001E-2</v>
      </c>
      <c r="AZ36" s="22">
        <v>475.67500000000001</v>
      </c>
      <c r="BA36" s="22">
        <v>-1.7636099999999998E-2</v>
      </c>
      <c r="BB36" s="22">
        <v>26</v>
      </c>
      <c r="BC36" s="22">
        <v>3.0767800000000001E-2</v>
      </c>
      <c r="BD36">
        <f t="shared" si="10"/>
        <v>17.636099999999999</v>
      </c>
      <c r="BE36">
        <f t="shared" si="11"/>
        <v>0.54628348832999996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110.952</v>
      </c>
      <c r="I37" s="22">
        <v>-1.06934E-2</v>
      </c>
      <c r="J37" s="22">
        <v>27</v>
      </c>
      <c r="K37" s="22">
        <v>1.6928099999999999</v>
      </c>
      <c r="L37">
        <f t="shared" si="0"/>
        <v>10.6934</v>
      </c>
      <c r="M37">
        <f t="shared" si="1"/>
        <v>18.114940401999998</v>
      </c>
      <c r="N37" s="9"/>
      <c r="O37" s="22">
        <v>3.60107E-2</v>
      </c>
      <c r="P37" s="22">
        <v>160.054</v>
      </c>
      <c r="Q37" s="22">
        <v>-1.7608599999999999E-2</v>
      </c>
      <c r="R37" s="22">
        <v>27</v>
      </c>
      <c r="S37" s="22">
        <v>3.5839799999999998E-2</v>
      </c>
      <c r="T37">
        <f t="shared" si="2"/>
        <v>17.608599999999999</v>
      </c>
      <c r="U37">
        <f t="shared" si="3"/>
        <v>0.63409801201999993</v>
      </c>
      <c r="X37" s="9"/>
      <c r="Y37" s="22">
        <v>1.6940299999999999</v>
      </c>
      <c r="Z37" s="22">
        <v>216.21100000000001</v>
      </c>
      <c r="AA37" s="22">
        <v>-1.3629199999999999E-2</v>
      </c>
      <c r="AB37" s="22">
        <v>27</v>
      </c>
      <c r="AC37" s="22">
        <v>1.69373</v>
      </c>
      <c r="AD37">
        <f t="shared" si="4"/>
        <v>13.629199999999999</v>
      </c>
      <c r="AE37">
        <f t="shared" si="5"/>
        <v>23.088273675999996</v>
      </c>
      <c r="AF37" s="9"/>
      <c r="AG37" s="22">
        <v>3.60107E-2</v>
      </c>
      <c r="AH37" s="22">
        <v>346.88099999999997</v>
      </c>
      <c r="AI37" s="22">
        <v>-1.7620799999999999E-2</v>
      </c>
      <c r="AJ37" s="22">
        <v>27</v>
      </c>
      <c r="AK37" s="22">
        <v>3.59528E-2</v>
      </c>
      <c r="AL37">
        <f t="shared" si="6"/>
        <v>17.620799999999999</v>
      </c>
      <c r="AM37">
        <f t="shared" si="7"/>
        <v>0.63453734255999994</v>
      </c>
      <c r="AP37" s="9"/>
      <c r="AQ37" s="22">
        <v>1.6940299999999999</v>
      </c>
      <c r="AR37" s="22">
        <v>424.762</v>
      </c>
      <c r="AS37" s="22">
        <v>-1.41418E-2</v>
      </c>
      <c r="AT37" s="22">
        <v>27</v>
      </c>
      <c r="AU37" s="22">
        <v>1.6934199999999999</v>
      </c>
      <c r="AV37">
        <f t="shared" si="8"/>
        <v>14.1418</v>
      </c>
      <c r="AW37">
        <f t="shared" si="9"/>
        <v>23.956633453999999</v>
      </c>
      <c r="AX37" s="9"/>
      <c r="AY37" s="22">
        <v>3.60107E-2</v>
      </c>
      <c r="AZ37" s="22">
        <v>475.77600000000001</v>
      </c>
      <c r="BA37" s="22">
        <v>-1.763E-2</v>
      </c>
      <c r="BB37" s="22">
        <v>27</v>
      </c>
      <c r="BC37" s="22">
        <v>3.5848999999999999E-2</v>
      </c>
      <c r="BD37">
        <f t="shared" si="10"/>
        <v>17.63</v>
      </c>
      <c r="BE37">
        <f t="shared" si="11"/>
        <v>0.63486864099999996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111.053</v>
      </c>
      <c r="I38" s="22">
        <v>-1.10382E-2</v>
      </c>
      <c r="J38" s="22">
        <v>28</v>
      </c>
      <c r="K38" s="22">
        <v>1.6882299999999999</v>
      </c>
      <c r="L38">
        <f t="shared" si="0"/>
        <v>11.0382</v>
      </c>
      <c r="M38">
        <f t="shared" si="1"/>
        <v>18.6435198</v>
      </c>
      <c r="N38" s="9"/>
      <c r="O38" s="22">
        <v>4.1046100000000002E-2</v>
      </c>
      <c r="P38" s="22">
        <v>160.154</v>
      </c>
      <c r="Q38" s="22">
        <v>-1.76025E-2</v>
      </c>
      <c r="R38" s="22">
        <v>28</v>
      </c>
      <c r="S38" s="22">
        <v>4.0979000000000002E-2</v>
      </c>
      <c r="T38">
        <f t="shared" si="2"/>
        <v>17.602499999999999</v>
      </c>
      <c r="U38">
        <f t="shared" si="3"/>
        <v>0.72251397525000005</v>
      </c>
      <c r="X38" s="9"/>
      <c r="Y38" s="22">
        <v>1.6890000000000001</v>
      </c>
      <c r="Z38" s="22">
        <v>216.31100000000001</v>
      </c>
      <c r="AA38" s="22">
        <v>-1.38184E-2</v>
      </c>
      <c r="AB38" s="22">
        <v>28</v>
      </c>
      <c r="AC38" s="22">
        <v>1.6879299999999999</v>
      </c>
      <c r="AD38">
        <f t="shared" si="4"/>
        <v>13.8184</v>
      </c>
      <c r="AE38">
        <f t="shared" si="5"/>
        <v>23.339277600000003</v>
      </c>
      <c r="AF38" s="9"/>
      <c r="AG38" s="22">
        <v>4.1046100000000002E-2</v>
      </c>
      <c r="AH38" s="22">
        <v>346.98200000000003</v>
      </c>
      <c r="AI38" s="22">
        <v>-1.7617799999999999E-2</v>
      </c>
      <c r="AJ38" s="22">
        <v>28</v>
      </c>
      <c r="AK38" s="22">
        <v>4.1073600000000002E-2</v>
      </c>
      <c r="AL38">
        <f t="shared" si="6"/>
        <v>17.617799999999999</v>
      </c>
      <c r="AM38">
        <f t="shared" si="7"/>
        <v>0.72314198058000001</v>
      </c>
      <c r="AP38" s="9"/>
      <c r="AQ38" s="22">
        <v>1.6890000000000001</v>
      </c>
      <c r="AR38" s="22">
        <v>424.863</v>
      </c>
      <c r="AS38" s="22">
        <v>-1.43097E-2</v>
      </c>
      <c r="AT38" s="22">
        <v>28</v>
      </c>
      <c r="AU38" s="22">
        <v>1.6879299999999999</v>
      </c>
      <c r="AV38">
        <f t="shared" si="8"/>
        <v>14.309699999999999</v>
      </c>
      <c r="AW38">
        <f t="shared" si="9"/>
        <v>24.1690833</v>
      </c>
      <c r="AX38" s="9"/>
      <c r="AY38" s="22">
        <v>4.1046100000000002E-2</v>
      </c>
      <c r="AZ38" s="22">
        <v>475.87700000000001</v>
      </c>
      <c r="BA38" s="22">
        <v>-1.7627E-2</v>
      </c>
      <c r="BB38" s="22">
        <v>28</v>
      </c>
      <c r="BC38" s="22">
        <v>4.08081E-2</v>
      </c>
      <c r="BD38">
        <f t="shared" si="10"/>
        <v>17.626999999999999</v>
      </c>
      <c r="BE38">
        <f t="shared" si="11"/>
        <v>0.72351960469999999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111.15300000000001</v>
      </c>
      <c r="I39" s="22">
        <v>-1.1340299999999999E-2</v>
      </c>
      <c r="J39" s="22">
        <v>29</v>
      </c>
      <c r="K39" s="22">
        <v>1.6830400000000001</v>
      </c>
      <c r="L39">
        <f t="shared" si="0"/>
        <v>11.340299999999999</v>
      </c>
      <c r="M39">
        <f t="shared" si="1"/>
        <v>19.096611587999998</v>
      </c>
      <c r="N39" s="9"/>
      <c r="O39" s="22">
        <v>4.6081499999999997E-2</v>
      </c>
      <c r="P39" s="22">
        <v>160.255</v>
      </c>
      <c r="Q39" s="22">
        <v>-1.7599500000000001E-2</v>
      </c>
      <c r="R39" s="22">
        <v>29</v>
      </c>
      <c r="S39" s="22">
        <v>4.5791600000000002E-2</v>
      </c>
      <c r="T39">
        <f t="shared" si="2"/>
        <v>17.599499999999999</v>
      </c>
      <c r="U39">
        <f t="shared" si="3"/>
        <v>0.8110113592499999</v>
      </c>
      <c r="X39" s="9"/>
      <c r="Y39" s="22">
        <v>1.6839599999999999</v>
      </c>
      <c r="Z39" s="22">
        <v>216.41200000000001</v>
      </c>
      <c r="AA39" s="22">
        <v>-1.39893E-2</v>
      </c>
      <c r="AB39" s="22">
        <v>29</v>
      </c>
      <c r="AC39" s="22">
        <v>1.6833499999999999</v>
      </c>
      <c r="AD39">
        <f t="shared" si="4"/>
        <v>13.9893</v>
      </c>
      <c r="AE39">
        <f t="shared" si="5"/>
        <v>23.557421628</v>
      </c>
      <c r="AF39" s="9"/>
      <c r="AG39" s="22">
        <v>4.6081499999999997E-2</v>
      </c>
      <c r="AH39" s="22">
        <v>347.08199999999999</v>
      </c>
      <c r="AI39" s="22">
        <v>-1.7617799999999999E-2</v>
      </c>
      <c r="AJ39" s="22">
        <v>29</v>
      </c>
      <c r="AK39" s="22">
        <v>4.6151699999999997E-2</v>
      </c>
      <c r="AL39">
        <f t="shared" si="6"/>
        <v>17.617799999999999</v>
      </c>
      <c r="AM39">
        <f t="shared" si="7"/>
        <v>0.81185465069999996</v>
      </c>
      <c r="AP39" s="9"/>
      <c r="AQ39" s="22">
        <v>1.6839599999999999</v>
      </c>
      <c r="AR39" s="22">
        <v>424.964</v>
      </c>
      <c r="AS39" s="22">
        <v>-1.44653E-2</v>
      </c>
      <c r="AT39" s="22">
        <v>29</v>
      </c>
      <c r="AU39" s="22">
        <v>1.6830400000000001</v>
      </c>
      <c r="AV39">
        <f t="shared" si="8"/>
        <v>14.465300000000001</v>
      </c>
      <c r="AW39">
        <f t="shared" si="9"/>
        <v>24.358986588</v>
      </c>
      <c r="AX39" s="9"/>
      <c r="AY39" s="22">
        <v>4.6081499999999997E-2</v>
      </c>
      <c r="AZ39" s="22">
        <v>475.97699999999998</v>
      </c>
      <c r="BA39" s="22">
        <v>-1.7623900000000001E-2</v>
      </c>
      <c r="BB39" s="22">
        <v>29</v>
      </c>
      <c r="BC39" s="22">
        <v>4.5867900000000003E-2</v>
      </c>
      <c r="BD39">
        <f t="shared" si="10"/>
        <v>17.623900000000003</v>
      </c>
      <c r="BE39">
        <f t="shared" si="11"/>
        <v>0.81213574785000009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111.254</v>
      </c>
      <c r="I40" s="22">
        <v>-1.1682100000000001E-2</v>
      </c>
      <c r="J40" s="22">
        <v>30</v>
      </c>
      <c r="K40" s="22">
        <v>1.6784699999999999</v>
      </c>
      <c r="L40">
        <f t="shared" si="0"/>
        <v>11.6821</v>
      </c>
      <c r="M40">
        <f t="shared" si="1"/>
        <v>19.613311331999999</v>
      </c>
      <c r="N40" s="9"/>
      <c r="O40" s="22">
        <v>5.11169E-2</v>
      </c>
      <c r="P40" s="22">
        <v>160.35599999999999</v>
      </c>
      <c r="Q40" s="22">
        <v>-1.7596400000000002E-2</v>
      </c>
      <c r="R40" s="22">
        <v>30</v>
      </c>
      <c r="S40" s="22">
        <v>5.1110799999999998E-2</v>
      </c>
      <c r="T40">
        <f t="shared" si="2"/>
        <v>17.596400000000003</v>
      </c>
      <c r="U40">
        <f t="shared" si="3"/>
        <v>0.89947341916000012</v>
      </c>
      <c r="X40" s="9"/>
      <c r="Y40" s="22">
        <v>1.67892</v>
      </c>
      <c r="Z40" s="22">
        <v>216.51300000000001</v>
      </c>
      <c r="AA40" s="22">
        <v>-1.41846E-2</v>
      </c>
      <c r="AB40" s="22">
        <v>30</v>
      </c>
      <c r="AC40" s="22">
        <v>1.6781600000000001</v>
      </c>
      <c r="AD40">
        <f t="shared" si="4"/>
        <v>14.1846</v>
      </c>
      <c r="AE40">
        <f t="shared" si="5"/>
        <v>23.814808631999998</v>
      </c>
      <c r="AF40" s="9"/>
      <c r="AG40" s="22">
        <v>5.11169E-2</v>
      </c>
      <c r="AH40" s="22">
        <v>347.18299999999999</v>
      </c>
      <c r="AI40" s="22">
        <v>-1.7611700000000001E-2</v>
      </c>
      <c r="AJ40" s="22">
        <v>30</v>
      </c>
      <c r="AK40" s="22">
        <v>5.0784299999999997E-2</v>
      </c>
      <c r="AL40">
        <f t="shared" si="6"/>
        <v>17.611700000000003</v>
      </c>
      <c r="AM40">
        <f t="shared" si="7"/>
        <v>0.90025550773000018</v>
      </c>
      <c r="AP40" s="9"/>
      <c r="AQ40" s="22">
        <v>1.67892</v>
      </c>
      <c r="AR40" s="22">
        <v>425.06400000000002</v>
      </c>
      <c r="AS40" s="22">
        <v>-1.4605699999999999E-2</v>
      </c>
      <c r="AT40" s="22">
        <v>30</v>
      </c>
      <c r="AU40" s="22">
        <v>1.6778599999999999</v>
      </c>
      <c r="AV40">
        <f t="shared" si="8"/>
        <v>14.605699999999999</v>
      </c>
      <c r="AW40">
        <f t="shared" si="9"/>
        <v>24.521801843999999</v>
      </c>
      <c r="AX40" s="9"/>
      <c r="AY40" s="22">
        <v>5.11169E-2</v>
      </c>
      <c r="AZ40" s="22">
        <v>476.07799999999997</v>
      </c>
      <c r="BA40" s="22">
        <v>-1.7620799999999999E-2</v>
      </c>
      <c r="BB40" s="22">
        <v>30</v>
      </c>
      <c r="BC40" s="22">
        <v>5.1046800000000003E-2</v>
      </c>
      <c r="BD40">
        <f t="shared" si="10"/>
        <v>17.620799999999999</v>
      </c>
      <c r="BE40">
        <f t="shared" si="11"/>
        <v>0.9007206715199999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111.355</v>
      </c>
      <c r="I41" s="22">
        <v>-1.2030000000000001E-2</v>
      </c>
      <c r="J41" s="22">
        <v>31</v>
      </c>
      <c r="K41" s="22">
        <v>1.6729700000000001</v>
      </c>
      <c r="L41">
        <f t="shared" si="0"/>
        <v>12.030000000000001</v>
      </c>
      <c r="M41">
        <f t="shared" si="1"/>
        <v>20.136896700000005</v>
      </c>
      <c r="N41" s="9"/>
      <c r="O41" s="22">
        <v>5.6152300000000002E-2</v>
      </c>
      <c r="P41" s="22">
        <v>160.45699999999999</v>
      </c>
      <c r="Q41" s="22">
        <v>-1.7593399999999999E-2</v>
      </c>
      <c r="R41" s="22">
        <v>31</v>
      </c>
      <c r="S41" s="22">
        <v>5.5603E-2</v>
      </c>
      <c r="T41">
        <f t="shared" si="2"/>
        <v>17.593399999999999</v>
      </c>
      <c r="U41">
        <f t="shared" si="3"/>
        <v>0.98790987482000003</v>
      </c>
      <c r="X41" s="9"/>
      <c r="Y41" s="22">
        <v>1.6738900000000001</v>
      </c>
      <c r="Z41" s="22">
        <v>216.613</v>
      </c>
      <c r="AA41" s="22">
        <v>-1.43372E-2</v>
      </c>
      <c r="AB41" s="22">
        <v>31</v>
      </c>
      <c r="AC41" s="22">
        <v>1.6732800000000001</v>
      </c>
      <c r="AD41">
        <f t="shared" si="4"/>
        <v>14.337199999999999</v>
      </c>
      <c r="AE41">
        <f t="shared" si="5"/>
        <v>23.998895707999999</v>
      </c>
      <c r="AF41" s="9"/>
      <c r="AG41" s="22">
        <v>5.6152300000000002E-2</v>
      </c>
      <c r="AH41" s="22">
        <v>347.28399999999999</v>
      </c>
      <c r="AI41" s="22">
        <v>-1.7608599999999999E-2</v>
      </c>
      <c r="AJ41" s="22">
        <v>31</v>
      </c>
      <c r="AK41" s="22">
        <v>5.5572499999999997E-2</v>
      </c>
      <c r="AL41">
        <f t="shared" si="6"/>
        <v>17.608599999999999</v>
      </c>
      <c r="AM41">
        <f t="shared" si="7"/>
        <v>0.98876338978</v>
      </c>
      <c r="AP41" s="9"/>
      <c r="AQ41" s="22">
        <v>1.6738900000000001</v>
      </c>
      <c r="AR41" s="22">
        <v>425.16500000000002</v>
      </c>
      <c r="AS41" s="22">
        <v>-1.4733899999999999E-2</v>
      </c>
      <c r="AT41" s="22">
        <v>31</v>
      </c>
      <c r="AU41" s="22">
        <v>1.6729700000000001</v>
      </c>
      <c r="AV41">
        <f t="shared" si="8"/>
        <v>14.7339</v>
      </c>
      <c r="AW41">
        <f t="shared" si="9"/>
        <v>24.662927871000001</v>
      </c>
      <c r="AX41" s="9"/>
      <c r="AY41" s="22">
        <v>5.6152300000000002E-2</v>
      </c>
      <c r="AZ41" s="22">
        <v>476.17899999999997</v>
      </c>
      <c r="BA41" s="22">
        <v>-1.7617799999999999E-2</v>
      </c>
      <c r="BB41" s="22">
        <v>31</v>
      </c>
      <c r="BC41" s="22">
        <v>5.5572499999999997E-2</v>
      </c>
      <c r="BD41">
        <f t="shared" si="10"/>
        <v>17.617799999999999</v>
      </c>
      <c r="BE41">
        <f t="shared" si="11"/>
        <v>0.98927999093999996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111.456</v>
      </c>
      <c r="I42" s="22">
        <v>-1.2417600000000001E-2</v>
      </c>
      <c r="J42" s="22">
        <v>32</v>
      </c>
      <c r="K42" s="22">
        <v>1.6680900000000001</v>
      </c>
      <c r="L42">
        <f t="shared" si="0"/>
        <v>12.4176</v>
      </c>
      <c r="M42">
        <f t="shared" si="1"/>
        <v>20.723111759999998</v>
      </c>
      <c r="N42" s="9"/>
      <c r="O42" s="22">
        <v>6.1187699999999998E-2</v>
      </c>
      <c r="P42" s="22">
        <v>160.55699999999999</v>
      </c>
      <c r="Q42" s="22">
        <v>-1.7593399999999999E-2</v>
      </c>
      <c r="R42" s="22">
        <v>32</v>
      </c>
      <c r="S42" s="22">
        <v>6.0638400000000002E-2</v>
      </c>
      <c r="T42">
        <f t="shared" si="2"/>
        <v>17.593399999999999</v>
      </c>
      <c r="U42">
        <f t="shared" si="3"/>
        <v>1.0764996811799998</v>
      </c>
      <c r="X42" s="9"/>
      <c r="Y42" s="22">
        <v>1.6688499999999999</v>
      </c>
      <c r="Z42" s="22">
        <v>216.714</v>
      </c>
      <c r="AA42" s="22">
        <v>-1.44745E-2</v>
      </c>
      <c r="AB42" s="22">
        <v>32</v>
      </c>
      <c r="AC42" s="22">
        <v>1.6684000000000001</v>
      </c>
      <c r="AD42">
        <f t="shared" si="4"/>
        <v>14.474499999999999</v>
      </c>
      <c r="AE42">
        <f t="shared" si="5"/>
        <v>24.155769324999998</v>
      </c>
      <c r="AF42" s="9"/>
      <c r="AG42" s="22">
        <v>6.1187699999999998E-2</v>
      </c>
      <c r="AH42" s="22">
        <v>347.38400000000001</v>
      </c>
      <c r="AI42" s="22">
        <v>-1.7605599999999999E-2</v>
      </c>
      <c r="AJ42" s="22">
        <v>32</v>
      </c>
      <c r="AK42" s="22">
        <v>6.0668899999999998E-2</v>
      </c>
      <c r="AL42">
        <f t="shared" si="6"/>
        <v>17.605599999999999</v>
      </c>
      <c r="AM42">
        <f t="shared" si="7"/>
        <v>1.0772461711199999</v>
      </c>
      <c r="AP42" s="9"/>
      <c r="AQ42" s="22">
        <v>1.6688499999999999</v>
      </c>
      <c r="AR42" s="22">
        <v>425.26600000000002</v>
      </c>
      <c r="AS42" s="22">
        <v>-1.48407E-2</v>
      </c>
      <c r="AT42" s="22">
        <v>32</v>
      </c>
      <c r="AU42" s="22">
        <v>1.6680900000000001</v>
      </c>
      <c r="AV42">
        <f t="shared" si="8"/>
        <v>14.8407</v>
      </c>
      <c r="AW42">
        <f t="shared" si="9"/>
        <v>24.766902195</v>
      </c>
      <c r="AX42" s="9"/>
      <c r="AY42" s="22">
        <v>6.1187699999999998E-2</v>
      </c>
      <c r="AZ42" s="22">
        <v>476.279</v>
      </c>
      <c r="BA42" s="22">
        <v>-1.76147E-2</v>
      </c>
      <c r="BB42" s="22">
        <v>32</v>
      </c>
      <c r="BC42" s="22">
        <v>6.0546900000000001E-2</v>
      </c>
      <c r="BD42">
        <f t="shared" si="10"/>
        <v>17.614699999999999</v>
      </c>
      <c r="BE42">
        <f t="shared" si="11"/>
        <v>1.0778029791899999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111.556</v>
      </c>
      <c r="I43" s="22">
        <v>-1.27899E-2</v>
      </c>
      <c r="J43" s="22">
        <v>33</v>
      </c>
      <c r="K43" s="22">
        <v>1.6632100000000001</v>
      </c>
      <c r="L43">
        <f t="shared" si="0"/>
        <v>12.789899999999999</v>
      </c>
      <c r="M43">
        <f t="shared" si="1"/>
        <v>21.280091418000001</v>
      </c>
      <c r="N43" s="9"/>
      <c r="O43" s="22">
        <v>6.6223099999999993E-2</v>
      </c>
      <c r="P43" s="22">
        <v>160.65799999999999</v>
      </c>
      <c r="Q43" s="22">
        <v>-1.7593399999999999E-2</v>
      </c>
      <c r="R43" s="22">
        <v>33</v>
      </c>
      <c r="S43" s="22">
        <v>6.5643300000000002E-2</v>
      </c>
      <c r="T43">
        <f t="shared" si="2"/>
        <v>17.593399999999999</v>
      </c>
      <c r="U43">
        <f t="shared" si="3"/>
        <v>1.1650894875399997</v>
      </c>
      <c r="X43" s="9"/>
      <c r="Y43" s="22">
        <v>1.6638200000000001</v>
      </c>
      <c r="Z43" s="22">
        <v>216.815</v>
      </c>
      <c r="AA43" s="22">
        <v>-1.4605699999999999E-2</v>
      </c>
      <c r="AB43" s="22">
        <v>33</v>
      </c>
      <c r="AC43" s="22">
        <v>1.6632100000000001</v>
      </c>
      <c r="AD43">
        <f t="shared" si="4"/>
        <v>14.605699999999999</v>
      </c>
      <c r="AE43">
        <f t="shared" si="5"/>
        <v>24.301255773999998</v>
      </c>
      <c r="AF43" s="9"/>
      <c r="AG43" s="22">
        <v>6.6223099999999993E-2</v>
      </c>
      <c r="AH43" s="22">
        <v>347.48500000000001</v>
      </c>
      <c r="AI43" s="22">
        <v>-1.7605599999999999E-2</v>
      </c>
      <c r="AJ43" s="22">
        <v>33</v>
      </c>
      <c r="AK43" s="22">
        <v>6.5582299999999996E-2</v>
      </c>
      <c r="AL43">
        <f t="shared" si="6"/>
        <v>17.605599999999999</v>
      </c>
      <c r="AM43">
        <f t="shared" si="7"/>
        <v>1.1658974093599999</v>
      </c>
      <c r="AP43" s="9"/>
      <c r="AQ43" s="22">
        <v>1.6638200000000001</v>
      </c>
      <c r="AR43" s="22">
        <v>425.36599999999999</v>
      </c>
      <c r="AS43" s="22">
        <v>-1.4944499999999999E-2</v>
      </c>
      <c r="AT43" s="22">
        <v>33</v>
      </c>
      <c r="AU43" s="22">
        <v>1.6632100000000001</v>
      </c>
      <c r="AV43">
        <f t="shared" si="8"/>
        <v>14.9445</v>
      </c>
      <c r="AW43">
        <f t="shared" si="9"/>
        <v>24.864957990000001</v>
      </c>
      <c r="AX43" s="9"/>
      <c r="AY43" s="22">
        <v>6.6223099999999993E-2</v>
      </c>
      <c r="AZ43" s="22">
        <v>476.38</v>
      </c>
      <c r="BA43" s="22">
        <v>-1.7611700000000001E-2</v>
      </c>
      <c r="BB43" s="22">
        <v>33</v>
      </c>
      <c r="BC43" s="22">
        <v>6.5582299999999996E-2</v>
      </c>
      <c r="BD43">
        <f t="shared" si="10"/>
        <v>17.611700000000003</v>
      </c>
      <c r="BE43">
        <f t="shared" si="11"/>
        <v>1.16630137027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111.657</v>
      </c>
      <c r="I44" s="22">
        <v>-1.3113400000000001E-2</v>
      </c>
      <c r="J44" s="22">
        <v>34</v>
      </c>
      <c r="K44" s="22">
        <v>1.65771</v>
      </c>
      <c r="L44">
        <f t="shared" si="0"/>
        <v>13.1134</v>
      </c>
      <c r="M44">
        <f t="shared" si="1"/>
        <v>21.752245651999999</v>
      </c>
      <c r="N44" s="9"/>
      <c r="O44" s="22">
        <v>7.1258500000000002E-2</v>
      </c>
      <c r="P44" s="22">
        <v>160.75899999999999</v>
      </c>
      <c r="Q44" s="22">
        <v>-1.75873E-2</v>
      </c>
      <c r="R44" s="22">
        <v>34</v>
      </c>
      <c r="S44" s="22">
        <v>7.0556599999999997E-2</v>
      </c>
      <c r="T44">
        <f t="shared" si="2"/>
        <v>17.587299999999999</v>
      </c>
      <c r="U44">
        <f t="shared" si="3"/>
        <v>1.25324461705</v>
      </c>
      <c r="X44" s="9"/>
      <c r="Y44" s="22">
        <v>1.6587799999999999</v>
      </c>
      <c r="Z44" s="22">
        <v>216.916</v>
      </c>
      <c r="AA44" s="22">
        <v>-1.47247E-2</v>
      </c>
      <c r="AB44" s="22">
        <v>34</v>
      </c>
      <c r="AC44" s="22">
        <v>1.65741</v>
      </c>
      <c r="AD44">
        <f t="shared" si="4"/>
        <v>14.7247</v>
      </c>
      <c r="AE44">
        <f t="shared" si="5"/>
        <v>24.425037866</v>
      </c>
      <c r="AF44" s="9"/>
      <c r="AG44" s="22">
        <v>7.1258500000000002E-2</v>
      </c>
      <c r="AH44" s="22">
        <v>347.58600000000001</v>
      </c>
      <c r="AI44" s="22">
        <v>-1.7599500000000001E-2</v>
      </c>
      <c r="AJ44" s="22">
        <v>34</v>
      </c>
      <c r="AK44" s="22">
        <v>7.0770299999999994E-2</v>
      </c>
      <c r="AL44">
        <f t="shared" si="6"/>
        <v>17.599499999999999</v>
      </c>
      <c r="AM44">
        <f t="shared" si="7"/>
        <v>1.25411397075</v>
      </c>
      <c r="AP44" s="9"/>
      <c r="AQ44" s="22">
        <v>1.6587799999999999</v>
      </c>
      <c r="AR44" s="22">
        <v>425.46699999999998</v>
      </c>
      <c r="AS44" s="22">
        <v>-1.5048199999999999E-2</v>
      </c>
      <c r="AT44" s="22">
        <v>34</v>
      </c>
      <c r="AU44" s="22">
        <v>1.65771</v>
      </c>
      <c r="AV44">
        <f t="shared" si="8"/>
        <v>15.0482</v>
      </c>
      <c r="AW44">
        <f t="shared" si="9"/>
        <v>24.961653195999997</v>
      </c>
      <c r="AX44" s="9"/>
      <c r="AY44" s="22">
        <v>7.1258500000000002E-2</v>
      </c>
      <c r="AZ44" s="22">
        <v>476.48099999999999</v>
      </c>
      <c r="BA44" s="22">
        <v>-1.7608599999999999E-2</v>
      </c>
      <c r="BB44" s="22">
        <v>34</v>
      </c>
      <c r="BC44" s="22">
        <v>7.0526099999999994E-2</v>
      </c>
      <c r="BD44">
        <f t="shared" si="10"/>
        <v>17.608599999999999</v>
      </c>
      <c r="BE44">
        <f t="shared" si="11"/>
        <v>1.2547624231000001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111.758</v>
      </c>
      <c r="I45" s="22">
        <v>-1.33667E-2</v>
      </c>
      <c r="J45" s="22">
        <v>35</v>
      </c>
      <c r="K45" s="22">
        <v>1.65283</v>
      </c>
      <c r="L45">
        <f t="shared" si="0"/>
        <v>13.3667</v>
      </c>
      <c r="M45">
        <f t="shared" si="1"/>
        <v>22.105180125</v>
      </c>
      <c r="N45" s="9"/>
      <c r="O45" s="22">
        <v>7.6293899999999998E-2</v>
      </c>
      <c r="P45" s="22">
        <v>160.85900000000001</v>
      </c>
      <c r="Q45" s="22">
        <v>-1.75873E-2</v>
      </c>
      <c r="R45" s="22">
        <v>35</v>
      </c>
      <c r="S45" s="22">
        <v>7.5561500000000004E-2</v>
      </c>
      <c r="T45">
        <f t="shared" si="2"/>
        <v>17.587299999999999</v>
      </c>
      <c r="U45">
        <f t="shared" si="3"/>
        <v>1.34180370747</v>
      </c>
      <c r="X45" s="9"/>
      <c r="Y45" s="22">
        <v>1.6537500000000001</v>
      </c>
      <c r="Z45" s="22">
        <v>217.01599999999999</v>
      </c>
      <c r="AA45" s="22">
        <v>-1.4837599999999999E-2</v>
      </c>
      <c r="AB45" s="22">
        <v>35</v>
      </c>
      <c r="AC45" s="22">
        <v>1.6531400000000001</v>
      </c>
      <c r="AD45">
        <f t="shared" si="4"/>
        <v>14.8376</v>
      </c>
      <c r="AE45">
        <f t="shared" si="5"/>
        <v>24.537681000000003</v>
      </c>
      <c r="AF45" s="9"/>
      <c r="AG45" s="22">
        <v>7.6293899999999998E-2</v>
      </c>
      <c r="AH45" s="22">
        <v>347.68599999999998</v>
      </c>
      <c r="AI45" s="22">
        <v>-1.7596400000000002E-2</v>
      </c>
      <c r="AJ45" s="22">
        <v>35</v>
      </c>
      <c r="AK45" s="22">
        <v>7.5714100000000006E-2</v>
      </c>
      <c r="AL45">
        <f t="shared" si="6"/>
        <v>17.596400000000003</v>
      </c>
      <c r="AM45">
        <f t="shared" si="7"/>
        <v>1.3424979819600003</v>
      </c>
      <c r="AP45" s="9"/>
      <c r="AQ45" s="22">
        <v>1.6537500000000001</v>
      </c>
      <c r="AR45" s="22">
        <v>425.56799999999998</v>
      </c>
      <c r="AS45" s="22">
        <v>-1.51337E-2</v>
      </c>
      <c r="AT45" s="22">
        <v>35</v>
      </c>
      <c r="AU45" s="22">
        <v>1.6531400000000001</v>
      </c>
      <c r="AV45">
        <f t="shared" si="8"/>
        <v>15.133699999999999</v>
      </c>
      <c r="AW45">
        <f t="shared" si="9"/>
        <v>25.027356375</v>
      </c>
      <c r="AX45" s="9"/>
      <c r="AY45" s="22">
        <v>7.6293899999999998E-2</v>
      </c>
      <c r="AZ45" s="22">
        <v>476.58199999999999</v>
      </c>
      <c r="BA45" s="22">
        <v>-1.7605599999999999E-2</v>
      </c>
      <c r="BB45" s="22">
        <v>35</v>
      </c>
      <c r="BC45" s="22">
        <v>7.5714100000000006E-2</v>
      </c>
      <c r="BD45">
        <f t="shared" si="10"/>
        <v>17.605599999999999</v>
      </c>
      <c r="BE45">
        <f t="shared" si="11"/>
        <v>1.3431998858399998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111.858</v>
      </c>
      <c r="I46" s="22">
        <v>-1.3677999999999999E-2</v>
      </c>
      <c r="J46" s="22">
        <v>36</v>
      </c>
      <c r="K46" s="22">
        <v>1.64825</v>
      </c>
      <c r="L46">
        <f t="shared" si="0"/>
        <v>13.677999999999999</v>
      </c>
      <c r="M46">
        <f t="shared" si="1"/>
        <v>22.551055379999998</v>
      </c>
      <c r="N46" s="9"/>
      <c r="O46" s="22">
        <v>8.1329299999999993E-2</v>
      </c>
      <c r="P46" s="22">
        <v>160.96</v>
      </c>
      <c r="Q46" s="22">
        <v>-1.7581200000000002E-2</v>
      </c>
      <c r="R46" s="22">
        <v>36</v>
      </c>
      <c r="S46" s="22">
        <v>8.0932599999999993E-2</v>
      </c>
      <c r="T46">
        <f t="shared" si="2"/>
        <v>17.581200000000003</v>
      </c>
      <c r="U46">
        <f t="shared" si="3"/>
        <v>1.42986668916</v>
      </c>
      <c r="X46" s="9"/>
      <c r="Y46" s="22">
        <v>1.6487099999999999</v>
      </c>
      <c r="Z46" s="22">
        <v>217.11699999999999</v>
      </c>
      <c r="AA46" s="22">
        <v>-1.4959699999999999E-2</v>
      </c>
      <c r="AB46" s="22">
        <v>36</v>
      </c>
      <c r="AC46" s="22">
        <v>1.64764</v>
      </c>
      <c r="AD46">
        <f t="shared" si="4"/>
        <v>14.9597</v>
      </c>
      <c r="AE46">
        <f t="shared" si="5"/>
        <v>24.664206986999996</v>
      </c>
      <c r="AF46" s="9"/>
      <c r="AG46" s="22">
        <v>8.1329299999999993E-2</v>
      </c>
      <c r="AH46" s="22">
        <v>347.78699999999998</v>
      </c>
      <c r="AI46" s="22">
        <v>-1.7596400000000002E-2</v>
      </c>
      <c r="AJ46" s="22">
        <v>36</v>
      </c>
      <c r="AK46" s="22">
        <v>8.0902100000000005E-2</v>
      </c>
      <c r="AL46">
        <f t="shared" si="6"/>
        <v>17.596400000000003</v>
      </c>
      <c r="AM46">
        <f t="shared" si="7"/>
        <v>1.4311028945200002</v>
      </c>
      <c r="AP46" s="9"/>
      <c r="AQ46" s="22">
        <v>1.6487099999999999</v>
      </c>
      <c r="AR46" s="22">
        <v>425.66800000000001</v>
      </c>
      <c r="AS46" s="22">
        <v>-1.52222E-2</v>
      </c>
      <c r="AT46" s="22">
        <v>36</v>
      </c>
      <c r="AU46" s="22">
        <v>1.64764</v>
      </c>
      <c r="AV46">
        <f t="shared" si="8"/>
        <v>15.222200000000001</v>
      </c>
      <c r="AW46">
        <f t="shared" si="9"/>
        <v>25.096993361999999</v>
      </c>
      <c r="AX46" s="9"/>
      <c r="AY46" s="22">
        <v>8.1329299999999993E-2</v>
      </c>
      <c r="AZ46" s="22">
        <v>476.68200000000002</v>
      </c>
      <c r="BA46" s="22">
        <v>-1.76025E-2</v>
      </c>
      <c r="BB46" s="22">
        <v>36</v>
      </c>
      <c r="BC46" s="22">
        <v>8.0749500000000002E-2</v>
      </c>
      <c r="BD46">
        <f t="shared" si="10"/>
        <v>17.602499999999999</v>
      </c>
      <c r="BE46">
        <f t="shared" si="11"/>
        <v>1.4315990032499999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111.959</v>
      </c>
      <c r="I47" s="22">
        <v>-1.3977099999999999E-2</v>
      </c>
      <c r="J47" s="22">
        <v>37</v>
      </c>
      <c r="K47" s="22">
        <v>1.64337</v>
      </c>
      <c r="L47">
        <f t="shared" si="0"/>
        <v>13.9771</v>
      </c>
      <c r="M47">
        <f t="shared" si="1"/>
        <v>22.973879728</v>
      </c>
      <c r="N47" s="9"/>
      <c r="O47" s="22">
        <v>8.6364700000000003E-2</v>
      </c>
      <c r="P47" s="22">
        <v>161.06100000000001</v>
      </c>
      <c r="Q47" s="22">
        <v>-1.7581200000000002E-2</v>
      </c>
      <c r="R47" s="22">
        <v>37</v>
      </c>
      <c r="S47" s="22">
        <v>8.5723900000000006E-2</v>
      </c>
      <c r="T47">
        <f t="shared" si="2"/>
        <v>17.581200000000003</v>
      </c>
      <c r="U47">
        <f t="shared" si="3"/>
        <v>1.5183950636400003</v>
      </c>
      <c r="X47" s="9"/>
      <c r="Y47" s="22">
        <v>1.64368</v>
      </c>
      <c r="Z47" s="22">
        <v>217.21799999999999</v>
      </c>
      <c r="AA47" s="22">
        <v>-1.50391E-2</v>
      </c>
      <c r="AB47" s="22">
        <v>37</v>
      </c>
      <c r="AC47" s="22">
        <v>1.64276</v>
      </c>
      <c r="AD47">
        <f t="shared" si="4"/>
        <v>15.039099999999999</v>
      </c>
      <c r="AE47">
        <f t="shared" si="5"/>
        <v>24.719467888</v>
      </c>
      <c r="AF47" s="9"/>
      <c r="AG47" s="22">
        <v>8.6364700000000003E-2</v>
      </c>
      <c r="AH47" s="22">
        <v>347.88799999999998</v>
      </c>
      <c r="AI47" s="22">
        <v>-1.7593399999999999E-2</v>
      </c>
      <c r="AJ47" s="22">
        <v>37</v>
      </c>
      <c r="AK47" s="22">
        <v>8.5510299999999997E-2</v>
      </c>
      <c r="AL47">
        <f t="shared" si="6"/>
        <v>17.593399999999999</v>
      </c>
      <c r="AM47">
        <f t="shared" si="7"/>
        <v>1.5194487129800001</v>
      </c>
      <c r="AP47" s="9"/>
      <c r="AQ47" s="22">
        <v>1.64368</v>
      </c>
      <c r="AR47" s="22">
        <v>425.76900000000001</v>
      </c>
      <c r="AS47" s="22">
        <v>-1.53046E-2</v>
      </c>
      <c r="AT47" s="22">
        <v>37</v>
      </c>
      <c r="AU47" s="22">
        <v>1.64215</v>
      </c>
      <c r="AV47">
        <f t="shared" si="8"/>
        <v>15.304600000000001</v>
      </c>
      <c r="AW47">
        <f t="shared" si="9"/>
        <v>25.155864928000003</v>
      </c>
      <c r="AX47" s="9"/>
      <c r="AY47" s="22">
        <v>8.6364700000000003E-2</v>
      </c>
      <c r="AZ47" s="22">
        <v>476.78300000000002</v>
      </c>
      <c r="BA47" s="22">
        <v>-1.76025E-2</v>
      </c>
      <c r="BB47" s="22">
        <v>37</v>
      </c>
      <c r="BC47" s="22">
        <v>8.5876499999999995E-2</v>
      </c>
      <c r="BD47">
        <f t="shared" si="10"/>
        <v>17.602499999999999</v>
      </c>
      <c r="BE47">
        <f t="shared" si="11"/>
        <v>1.52023463175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112.06</v>
      </c>
      <c r="I48" s="22">
        <v>-1.41876E-2</v>
      </c>
      <c r="J48" s="22">
        <v>38</v>
      </c>
      <c r="K48" s="22">
        <v>1.63757</v>
      </c>
      <c r="L48">
        <f t="shared" si="0"/>
        <v>14.1876</v>
      </c>
      <c r="M48">
        <f t="shared" si="1"/>
        <v>23.248368864</v>
      </c>
      <c r="N48" s="9"/>
      <c r="O48" s="22">
        <v>9.1400099999999998E-2</v>
      </c>
      <c r="P48" s="22">
        <v>161.16200000000001</v>
      </c>
      <c r="Q48" s="22">
        <v>-1.7578099999999999E-2</v>
      </c>
      <c r="R48" s="22">
        <v>38</v>
      </c>
      <c r="S48" s="22">
        <v>9.0911900000000004E-2</v>
      </c>
      <c r="T48">
        <f t="shared" si="2"/>
        <v>17.578099999999999</v>
      </c>
      <c r="U48">
        <f t="shared" si="3"/>
        <v>1.6066400978099999</v>
      </c>
      <c r="X48" s="9"/>
      <c r="Y48" s="22">
        <v>1.6386400000000001</v>
      </c>
      <c r="Z48" s="22">
        <v>217.31800000000001</v>
      </c>
      <c r="AA48" s="22">
        <v>-1.5130599999999999E-2</v>
      </c>
      <c r="AB48" s="22">
        <v>38</v>
      </c>
      <c r="AC48" s="22">
        <v>1.63757</v>
      </c>
      <c r="AD48">
        <f t="shared" si="4"/>
        <v>15.130599999999999</v>
      </c>
      <c r="AE48">
        <f t="shared" si="5"/>
        <v>24.793606384</v>
      </c>
      <c r="AF48" s="9"/>
      <c r="AG48" s="22">
        <v>9.1400099999999998E-2</v>
      </c>
      <c r="AH48" s="22">
        <v>347.98899999999998</v>
      </c>
      <c r="AI48" s="22">
        <v>-1.75873E-2</v>
      </c>
      <c r="AJ48" s="22">
        <v>38</v>
      </c>
      <c r="AK48" s="22">
        <v>9.0850799999999995E-2</v>
      </c>
      <c r="AL48">
        <f t="shared" si="6"/>
        <v>17.587299999999999</v>
      </c>
      <c r="AM48">
        <f t="shared" si="7"/>
        <v>1.60748097873</v>
      </c>
      <c r="AP48" s="9"/>
      <c r="AQ48" s="22">
        <v>1.6386400000000001</v>
      </c>
      <c r="AR48" s="22">
        <v>425.87</v>
      </c>
      <c r="AS48" s="22">
        <v>-1.53778E-2</v>
      </c>
      <c r="AT48" s="22">
        <v>38</v>
      </c>
      <c r="AU48" s="22">
        <v>1.63757</v>
      </c>
      <c r="AV48">
        <f t="shared" si="8"/>
        <v>15.377800000000001</v>
      </c>
      <c r="AW48">
        <f t="shared" si="9"/>
        <v>25.198678192000003</v>
      </c>
      <c r="AX48" s="9"/>
      <c r="AY48" s="22">
        <v>9.1400099999999998E-2</v>
      </c>
      <c r="AZ48" s="22">
        <v>476.88400000000001</v>
      </c>
      <c r="BA48" s="22">
        <v>-1.7599500000000001E-2</v>
      </c>
      <c r="BB48" s="22">
        <v>38</v>
      </c>
      <c r="BC48" s="22">
        <v>9.0881299999999998E-2</v>
      </c>
      <c r="BD48">
        <f t="shared" si="10"/>
        <v>17.599499999999999</v>
      </c>
      <c r="BE48">
        <f t="shared" si="11"/>
        <v>1.6085960599499998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112.16</v>
      </c>
      <c r="I49" s="22">
        <v>-1.43768E-2</v>
      </c>
      <c r="J49" s="22">
        <v>39</v>
      </c>
      <c r="K49" s="22">
        <v>1.633</v>
      </c>
      <c r="L49">
        <f t="shared" si="0"/>
        <v>14.376800000000001</v>
      </c>
      <c r="M49">
        <f t="shared" si="1"/>
        <v>23.486084248000001</v>
      </c>
      <c r="N49" s="9"/>
      <c r="O49" s="22">
        <v>9.6435499999999993E-2</v>
      </c>
      <c r="P49" s="22">
        <v>161.262</v>
      </c>
      <c r="Q49" s="22">
        <v>-1.7572000000000001E-2</v>
      </c>
      <c r="R49" s="22">
        <v>39</v>
      </c>
      <c r="S49" s="22">
        <v>9.5855700000000002E-2</v>
      </c>
      <c r="T49">
        <f t="shared" si="2"/>
        <v>17.571999999999999</v>
      </c>
      <c r="U49">
        <f t="shared" si="3"/>
        <v>1.6945646059999997</v>
      </c>
      <c r="X49" s="9"/>
      <c r="Y49" s="22">
        <v>1.63361</v>
      </c>
      <c r="Z49" s="22">
        <v>217.41900000000001</v>
      </c>
      <c r="AA49" s="22">
        <v>-1.5225199999999999E-2</v>
      </c>
      <c r="AB49" s="22">
        <v>39</v>
      </c>
      <c r="AC49" s="22">
        <v>1.633</v>
      </c>
      <c r="AD49">
        <f t="shared" si="4"/>
        <v>15.225199999999999</v>
      </c>
      <c r="AE49">
        <f t="shared" si="5"/>
        <v>24.872038971999999</v>
      </c>
      <c r="AF49" s="9"/>
      <c r="AG49" s="22">
        <v>9.6435499999999993E-2</v>
      </c>
      <c r="AH49" s="22">
        <v>348.089</v>
      </c>
      <c r="AI49" s="22">
        <v>-1.7584200000000001E-2</v>
      </c>
      <c r="AJ49" s="22">
        <v>39</v>
      </c>
      <c r="AK49" s="22">
        <v>9.5886200000000005E-2</v>
      </c>
      <c r="AL49">
        <f t="shared" si="6"/>
        <v>17.584200000000003</v>
      </c>
      <c r="AM49">
        <f t="shared" si="7"/>
        <v>1.6957411191000002</v>
      </c>
      <c r="AP49" s="9"/>
      <c r="AQ49" s="22">
        <v>1.63361</v>
      </c>
      <c r="AR49" s="22">
        <v>425.971</v>
      </c>
      <c r="AS49" s="22">
        <v>-1.5450999999999999E-2</v>
      </c>
      <c r="AT49" s="22">
        <v>39</v>
      </c>
      <c r="AU49" s="22">
        <v>1.633</v>
      </c>
      <c r="AV49">
        <f t="shared" si="8"/>
        <v>15.450999999999999</v>
      </c>
      <c r="AW49">
        <f t="shared" si="9"/>
        <v>25.240908109999999</v>
      </c>
      <c r="AX49" s="9"/>
      <c r="AY49" s="22">
        <v>9.6435499999999993E-2</v>
      </c>
      <c r="AZ49" s="22">
        <v>476.98399999999998</v>
      </c>
      <c r="BA49" s="22">
        <v>-1.7593399999999999E-2</v>
      </c>
      <c r="BB49" s="22">
        <v>39</v>
      </c>
      <c r="BC49" s="22">
        <v>9.5825199999999999E-2</v>
      </c>
      <c r="BD49">
        <f t="shared" si="10"/>
        <v>17.593399999999999</v>
      </c>
      <c r="BE49">
        <f t="shared" si="11"/>
        <v>1.6966283256999999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112.261</v>
      </c>
      <c r="I50" s="22">
        <v>-1.4556899999999999E-2</v>
      </c>
      <c r="J50" s="22">
        <v>40</v>
      </c>
      <c r="K50" s="22">
        <v>1.6274999999999999</v>
      </c>
      <c r="L50">
        <f t="shared" si="0"/>
        <v>14.556899999999999</v>
      </c>
      <c r="M50">
        <f t="shared" si="1"/>
        <v>23.706930632999999</v>
      </c>
      <c r="N50" s="9"/>
      <c r="O50" s="22">
        <v>0.10147100000000001</v>
      </c>
      <c r="P50" s="22">
        <v>161.363</v>
      </c>
      <c r="Q50" s="22">
        <v>-1.7569000000000001E-2</v>
      </c>
      <c r="R50" s="22">
        <v>40</v>
      </c>
      <c r="S50" s="22">
        <v>0.100952</v>
      </c>
      <c r="T50">
        <f t="shared" si="2"/>
        <v>17.569000000000003</v>
      </c>
      <c r="U50">
        <f t="shared" si="3"/>
        <v>1.7827439990000005</v>
      </c>
      <c r="X50" s="9"/>
      <c r="Y50" s="22">
        <v>1.6285700000000001</v>
      </c>
      <c r="Z50" s="22">
        <v>217.52</v>
      </c>
      <c r="AA50" s="22">
        <v>-1.5307599999999999E-2</v>
      </c>
      <c r="AB50" s="22">
        <v>40</v>
      </c>
      <c r="AC50" s="22">
        <v>1.6274999999999999</v>
      </c>
      <c r="AD50">
        <f t="shared" si="4"/>
        <v>15.307599999999999</v>
      </c>
      <c r="AE50">
        <f t="shared" si="5"/>
        <v>24.929498131999999</v>
      </c>
      <c r="AF50" s="9"/>
      <c r="AG50" s="22">
        <v>0.10147100000000001</v>
      </c>
      <c r="AH50" s="22">
        <v>348.19</v>
      </c>
      <c r="AI50" s="22">
        <v>-1.7584200000000001E-2</v>
      </c>
      <c r="AJ50" s="22">
        <v>40</v>
      </c>
      <c r="AK50" s="22">
        <v>0.100769</v>
      </c>
      <c r="AL50">
        <f t="shared" si="6"/>
        <v>17.584200000000003</v>
      </c>
      <c r="AM50">
        <f t="shared" si="7"/>
        <v>1.7842863582000004</v>
      </c>
      <c r="AP50" s="9"/>
      <c r="AQ50" s="22">
        <v>1.6285700000000001</v>
      </c>
      <c r="AR50" s="22">
        <v>426.07100000000003</v>
      </c>
      <c r="AS50" s="22">
        <v>-1.5509E-2</v>
      </c>
      <c r="AT50" s="22">
        <v>40</v>
      </c>
      <c r="AU50" s="22">
        <v>1.6274999999999999</v>
      </c>
      <c r="AV50">
        <f t="shared" si="8"/>
        <v>15.509</v>
      </c>
      <c r="AW50">
        <f t="shared" si="9"/>
        <v>25.257492130000003</v>
      </c>
      <c r="AX50" s="9"/>
      <c r="AY50" s="22">
        <v>0.10147100000000001</v>
      </c>
      <c r="AZ50" s="22">
        <v>477.08499999999998</v>
      </c>
      <c r="BA50" s="22">
        <v>-1.75903E-2</v>
      </c>
      <c r="BB50" s="22">
        <v>40</v>
      </c>
      <c r="BC50" s="22">
        <v>0.10070800000000001</v>
      </c>
      <c r="BD50">
        <f t="shared" si="10"/>
        <v>17.590299999999999</v>
      </c>
      <c r="BE50">
        <f t="shared" si="11"/>
        <v>1.7849053313000001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112.36199999999999</v>
      </c>
      <c r="I51" s="22">
        <v>-1.4721700000000001E-2</v>
      </c>
      <c r="J51" s="22">
        <v>41</v>
      </c>
      <c r="K51" s="22">
        <v>1.62262</v>
      </c>
      <c r="L51">
        <f t="shared" si="0"/>
        <v>14.7217</v>
      </c>
      <c r="M51">
        <f t="shared" si="1"/>
        <v>23.901268817999998</v>
      </c>
      <c r="N51" s="9"/>
      <c r="O51" s="22">
        <v>0.106506</v>
      </c>
      <c r="P51" s="22">
        <v>161.464</v>
      </c>
      <c r="Q51" s="22">
        <v>-1.7565899999999999E-2</v>
      </c>
      <c r="R51" s="22">
        <v>41</v>
      </c>
      <c r="S51" s="22">
        <v>0.105896</v>
      </c>
      <c r="T51">
        <f t="shared" si="2"/>
        <v>17.565899999999999</v>
      </c>
      <c r="U51">
        <f t="shared" si="3"/>
        <v>1.8708737454</v>
      </c>
      <c r="X51" s="9"/>
      <c r="Y51" s="22">
        <v>1.62354</v>
      </c>
      <c r="Z51" s="22">
        <v>217.62</v>
      </c>
      <c r="AA51" s="22">
        <v>-1.53778E-2</v>
      </c>
      <c r="AB51" s="22">
        <v>41</v>
      </c>
      <c r="AC51" s="22">
        <v>1.62262</v>
      </c>
      <c r="AD51">
        <f t="shared" si="4"/>
        <v>15.377800000000001</v>
      </c>
      <c r="AE51">
        <f t="shared" si="5"/>
        <v>24.966473411999999</v>
      </c>
      <c r="AF51" s="9"/>
      <c r="AG51" s="22">
        <v>0.106506</v>
      </c>
      <c r="AH51" s="22">
        <v>348.291</v>
      </c>
      <c r="AI51" s="22">
        <v>-1.7578099999999999E-2</v>
      </c>
      <c r="AJ51" s="22">
        <v>41</v>
      </c>
      <c r="AK51" s="22">
        <v>0.105835</v>
      </c>
      <c r="AL51">
        <f t="shared" si="6"/>
        <v>17.578099999999999</v>
      </c>
      <c r="AM51">
        <f t="shared" si="7"/>
        <v>1.8721731185999999</v>
      </c>
      <c r="AP51" s="9"/>
      <c r="AQ51" s="22">
        <v>1.62354</v>
      </c>
      <c r="AR51" s="22">
        <v>426.17200000000003</v>
      </c>
      <c r="AS51" s="22">
        <v>-1.55701E-2</v>
      </c>
      <c r="AT51" s="22">
        <v>41</v>
      </c>
      <c r="AU51" s="22">
        <v>1.62262</v>
      </c>
      <c r="AV51">
        <f t="shared" si="8"/>
        <v>15.5701</v>
      </c>
      <c r="AW51">
        <f t="shared" si="9"/>
        <v>25.278680154</v>
      </c>
      <c r="AX51" s="9"/>
      <c r="AY51" s="22">
        <v>0.106506</v>
      </c>
      <c r="AZ51" s="22">
        <v>477.18599999999998</v>
      </c>
      <c r="BA51" s="22">
        <v>-1.75903E-2</v>
      </c>
      <c r="BB51" s="22">
        <v>41</v>
      </c>
      <c r="BC51" s="22">
        <v>0.105865</v>
      </c>
      <c r="BD51">
        <f t="shared" si="10"/>
        <v>17.590299999999999</v>
      </c>
      <c r="BE51">
        <f t="shared" si="11"/>
        <v>1.8734724917999999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112.46299999999999</v>
      </c>
      <c r="I52" s="22">
        <v>-1.4871199999999999E-2</v>
      </c>
      <c r="J52" s="22">
        <v>42</v>
      </c>
      <c r="K52" s="22">
        <v>1.6174299999999999</v>
      </c>
      <c r="L52">
        <f t="shared" si="0"/>
        <v>14.8712</v>
      </c>
      <c r="M52">
        <f t="shared" si="1"/>
        <v>24.0690372</v>
      </c>
      <c r="N52" s="9"/>
      <c r="O52" s="22">
        <v>0.111542</v>
      </c>
      <c r="P52" s="22">
        <v>161.56399999999999</v>
      </c>
      <c r="Q52" s="22">
        <v>-1.7562899999999999E-2</v>
      </c>
      <c r="R52" s="22">
        <v>42</v>
      </c>
      <c r="S52" s="22">
        <v>0.110901</v>
      </c>
      <c r="T52">
        <f t="shared" si="2"/>
        <v>17.562899999999999</v>
      </c>
      <c r="U52">
        <f t="shared" si="3"/>
        <v>1.9590009918</v>
      </c>
      <c r="X52" s="9"/>
      <c r="Y52" s="22">
        <v>1.6185</v>
      </c>
      <c r="Z52" s="22">
        <v>217.721</v>
      </c>
      <c r="AA52" s="22">
        <v>-1.5429699999999999E-2</v>
      </c>
      <c r="AB52" s="22">
        <v>42</v>
      </c>
      <c r="AC52" s="22">
        <v>1.61774</v>
      </c>
      <c r="AD52">
        <f t="shared" si="4"/>
        <v>15.429699999999999</v>
      </c>
      <c r="AE52">
        <f t="shared" si="5"/>
        <v>24.972969449999997</v>
      </c>
      <c r="AF52" s="9"/>
      <c r="AG52" s="22">
        <v>0.111542</v>
      </c>
      <c r="AH52" s="22">
        <v>348.39100000000002</v>
      </c>
      <c r="AI52" s="22">
        <v>-1.75751E-2</v>
      </c>
      <c r="AJ52" s="22">
        <v>42</v>
      </c>
      <c r="AK52" s="22">
        <v>0.110779</v>
      </c>
      <c r="AL52">
        <f t="shared" si="6"/>
        <v>17.575099999999999</v>
      </c>
      <c r="AM52">
        <f t="shared" si="7"/>
        <v>1.9603618041999999</v>
      </c>
      <c r="AP52" s="9"/>
      <c r="AQ52" s="22">
        <v>1.6185</v>
      </c>
      <c r="AR52" s="22">
        <v>426.27300000000002</v>
      </c>
      <c r="AS52" s="22">
        <v>-1.5621899999999999E-2</v>
      </c>
      <c r="AT52" s="22">
        <v>42</v>
      </c>
      <c r="AU52" s="22">
        <v>1.61774</v>
      </c>
      <c r="AV52">
        <f t="shared" si="8"/>
        <v>15.6219</v>
      </c>
      <c r="AW52">
        <f t="shared" si="9"/>
        <v>25.284045150000001</v>
      </c>
      <c r="AX52" s="9"/>
      <c r="AY52" s="22">
        <v>0.111542</v>
      </c>
      <c r="AZ52" s="22">
        <v>477.286</v>
      </c>
      <c r="BA52" s="22">
        <v>-1.7584200000000001E-2</v>
      </c>
      <c r="BB52" s="22">
        <v>42</v>
      </c>
      <c r="BC52" s="22">
        <v>0.11087</v>
      </c>
      <c r="BD52">
        <f t="shared" si="10"/>
        <v>17.584200000000003</v>
      </c>
      <c r="BE52">
        <f t="shared" si="11"/>
        <v>1.9613768364000004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112.563</v>
      </c>
      <c r="I53" s="22">
        <v>-1.49902E-2</v>
      </c>
      <c r="J53" s="22">
        <v>43</v>
      </c>
      <c r="K53" s="22">
        <v>1.6128499999999999</v>
      </c>
      <c r="L53">
        <f t="shared" si="0"/>
        <v>14.9902</v>
      </c>
      <c r="M53">
        <f t="shared" si="1"/>
        <v>24.186088091999999</v>
      </c>
      <c r="N53" s="9"/>
      <c r="O53" s="22">
        <v>0.116577</v>
      </c>
      <c r="P53" s="22">
        <v>161.66499999999999</v>
      </c>
      <c r="Q53" s="22">
        <v>-1.75598E-2</v>
      </c>
      <c r="R53" s="22">
        <v>43</v>
      </c>
      <c r="S53" s="22">
        <v>0.115936</v>
      </c>
      <c r="T53">
        <f t="shared" si="2"/>
        <v>17.559799999999999</v>
      </c>
      <c r="U53">
        <f t="shared" si="3"/>
        <v>2.0470688045999998</v>
      </c>
      <c r="X53" s="9"/>
      <c r="Y53" s="22">
        <v>1.6134599999999999</v>
      </c>
      <c r="Z53" s="22">
        <v>217.822</v>
      </c>
      <c r="AA53" s="22">
        <v>-1.54938E-2</v>
      </c>
      <c r="AB53" s="22">
        <v>43</v>
      </c>
      <c r="AC53" s="22">
        <v>1.6125499999999999</v>
      </c>
      <c r="AD53">
        <f t="shared" si="4"/>
        <v>15.4938</v>
      </c>
      <c r="AE53">
        <f t="shared" si="5"/>
        <v>24.998626547999997</v>
      </c>
      <c r="AF53" s="9"/>
      <c r="AG53" s="22">
        <v>0.116577</v>
      </c>
      <c r="AH53" s="22">
        <v>348.49200000000002</v>
      </c>
      <c r="AI53" s="22">
        <v>-1.7572000000000001E-2</v>
      </c>
      <c r="AJ53" s="22">
        <v>43</v>
      </c>
      <c r="AK53" s="22">
        <v>0.115997</v>
      </c>
      <c r="AL53">
        <f t="shared" si="6"/>
        <v>17.571999999999999</v>
      </c>
      <c r="AM53">
        <f t="shared" si="7"/>
        <v>2.0484910439999999</v>
      </c>
      <c r="AP53" s="9"/>
      <c r="AQ53" s="22">
        <v>1.6134599999999999</v>
      </c>
      <c r="AR53" s="22">
        <v>426.37299999999999</v>
      </c>
      <c r="AS53" s="22">
        <v>-1.5676900000000001E-2</v>
      </c>
      <c r="AT53" s="22">
        <v>43</v>
      </c>
      <c r="AU53" s="22">
        <v>1.6131599999999999</v>
      </c>
      <c r="AV53">
        <f t="shared" si="8"/>
        <v>15.6769</v>
      </c>
      <c r="AW53">
        <f t="shared" si="9"/>
        <v>25.294051073999999</v>
      </c>
      <c r="AX53" s="9"/>
      <c r="AY53" s="22">
        <v>0.116577</v>
      </c>
      <c r="AZ53" s="22">
        <v>477.387</v>
      </c>
      <c r="BA53" s="22">
        <v>-1.7581200000000002E-2</v>
      </c>
      <c r="BB53" s="22">
        <v>43</v>
      </c>
      <c r="BC53" s="22">
        <v>0.11618000000000001</v>
      </c>
      <c r="BD53">
        <f t="shared" si="10"/>
        <v>17.581200000000003</v>
      </c>
      <c r="BE53">
        <f t="shared" si="11"/>
        <v>2.0495635524000004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112.664</v>
      </c>
      <c r="I54" s="22">
        <v>-1.5081799999999999E-2</v>
      </c>
      <c r="J54" s="22">
        <v>44</v>
      </c>
      <c r="K54" s="22">
        <v>1.6079699999999999</v>
      </c>
      <c r="L54">
        <f t="shared" si="0"/>
        <v>15.081799999999999</v>
      </c>
      <c r="M54">
        <f t="shared" si="1"/>
        <v>24.258019573999999</v>
      </c>
      <c r="N54" s="9"/>
      <c r="O54" s="22">
        <v>0.121613</v>
      </c>
      <c r="P54" s="22">
        <v>161.76599999999999</v>
      </c>
      <c r="Q54" s="22">
        <v>-1.75598E-2</v>
      </c>
      <c r="R54" s="22">
        <v>44</v>
      </c>
      <c r="S54" s="22">
        <v>0.121033</v>
      </c>
      <c r="T54">
        <f t="shared" si="2"/>
        <v>17.559799999999999</v>
      </c>
      <c r="U54">
        <f t="shared" si="3"/>
        <v>2.1354999574</v>
      </c>
      <c r="X54" s="9"/>
      <c r="Y54" s="22">
        <v>1.60843</v>
      </c>
      <c r="Z54" s="22">
        <v>217.923</v>
      </c>
      <c r="AA54" s="22">
        <v>-1.5545700000000001E-2</v>
      </c>
      <c r="AB54" s="22">
        <v>44</v>
      </c>
      <c r="AC54" s="22">
        <v>1.6073599999999999</v>
      </c>
      <c r="AD54">
        <f t="shared" si="4"/>
        <v>15.5457</v>
      </c>
      <c r="AE54">
        <f t="shared" si="5"/>
        <v>25.004170251000001</v>
      </c>
      <c r="AF54" s="9"/>
      <c r="AG54" s="22">
        <v>0.121613</v>
      </c>
      <c r="AH54" s="22">
        <v>348.59300000000002</v>
      </c>
      <c r="AI54" s="22">
        <v>-1.7572000000000001E-2</v>
      </c>
      <c r="AJ54" s="22">
        <v>44</v>
      </c>
      <c r="AK54" s="22">
        <v>0.120972</v>
      </c>
      <c r="AL54">
        <f t="shared" si="6"/>
        <v>17.571999999999999</v>
      </c>
      <c r="AM54">
        <f t="shared" si="7"/>
        <v>2.1369836360000001</v>
      </c>
      <c r="AP54" s="9"/>
      <c r="AQ54" s="22">
        <v>1.60843</v>
      </c>
      <c r="AR54" s="22">
        <v>426.47399999999999</v>
      </c>
      <c r="AS54" s="22">
        <v>-1.5731800000000001E-2</v>
      </c>
      <c r="AT54" s="22">
        <v>44</v>
      </c>
      <c r="AU54" s="22">
        <v>1.6070599999999999</v>
      </c>
      <c r="AV54">
        <f t="shared" si="8"/>
        <v>15.7318</v>
      </c>
      <c r="AW54">
        <f t="shared" si="9"/>
        <v>25.303499074000001</v>
      </c>
      <c r="AX54" s="9"/>
      <c r="AY54" s="22">
        <v>0.121613</v>
      </c>
      <c r="AZ54" s="22">
        <v>477.488</v>
      </c>
      <c r="BA54" s="22">
        <v>-1.7578099999999999E-2</v>
      </c>
      <c r="BB54" s="22">
        <v>44</v>
      </c>
      <c r="BC54" s="22">
        <v>0.120972</v>
      </c>
      <c r="BD54">
        <f t="shared" si="10"/>
        <v>17.578099999999999</v>
      </c>
      <c r="BE54">
        <f t="shared" si="11"/>
        <v>2.1377254752999999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112.765</v>
      </c>
      <c r="I55" s="22">
        <v>-1.5173300000000001E-2</v>
      </c>
      <c r="J55" s="22">
        <v>45</v>
      </c>
      <c r="K55" s="22">
        <v>1.6024799999999999</v>
      </c>
      <c r="L55">
        <f t="shared" si="0"/>
        <v>15.173300000000001</v>
      </c>
      <c r="M55">
        <f t="shared" si="1"/>
        <v>24.328717487000002</v>
      </c>
      <c r="N55" s="9"/>
      <c r="O55" s="22">
        <v>0.12664800000000001</v>
      </c>
      <c r="P55" s="22">
        <v>161.86600000000001</v>
      </c>
      <c r="Q55" s="22">
        <v>-1.7556800000000001E-2</v>
      </c>
      <c r="R55" s="22">
        <v>45</v>
      </c>
      <c r="S55" s="22">
        <v>0.12609899999999999</v>
      </c>
      <c r="T55">
        <f t="shared" si="2"/>
        <v>17.556800000000003</v>
      </c>
      <c r="U55">
        <f t="shared" si="3"/>
        <v>2.2235336064000006</v>
      </c>
      <c r="X55" s="9"/>
      <c r="Y55" s="22">
        <v>1.6033900000000001</v>
      </c>
      <c r="Z55" s="22">
        <v>218.023</v>
      </c>
      <c r="AA55" s="22">
        <v>-1.5609700000000001E-2</v>
      </c>
      <c r="AB55" s="22">
        <v>45</v>
      </c>
      <c r="AC55" s="22">
        <v>1.6024799999999999</v>
      </c>
      <c r="AD55">
        <f t="shared" si="4"/>
        <v>15.6097</v>
      </c>
      <c r="AE55">
        <f t="shared" si="5"/>
        <v>25.028436883000001</v>
      </c>
      <c r="AF55" s="9"/>
      <c r="AG55" s="22">
        <v>0.12664800000000001</v>
      </c>
      <c r="AH55" s="22">
        <v>348.69400000000002</v>
      </c>
      <c r="AI55" s="22">
        <v>-1.7565899999999999E-2</v>
      </c>
      <c r="AJ55" s="22">
        <v>45</v>
      </c>
      <c r="AK55" s="22">
        <v>0.12597700000000001</v>
      </c>
      <c r="AL55">
        <f t="shared" si="6"/>
        <v>17.565899999999999</v>
      </c>
      <c r="AM55">
        <f t="shared" si="7"/>
        <v>2.2246861032000003</v>
      </c>
      <c r="AP55" s="9"/>
      <c r="AQ55" s="22">
        <v>1.6033900000000001</v>
      </c>
      <c r="AR55" s="22">
        <v>426.57499999999999</v>
      </c>
      <c r="AS55" s="22">
        <v>-1.5771500000000001E-2</v>
      </c>
      <c r="AT55" s="22">
        <v>45</v>
      </c>
      <c r="AU55" s="22">
        <v>1.6027800000000001</v>
      </c>
      <c r="AV55">
        <f t="shared" si="8"/>
        <v>15.771500000000001</v>
      </c>
      <c r="AW55">
        <f t="shared" si="9"/>
        <v>25.287865385000003</v>
      </c>
      <c r="AX55" s="9"/>
      <c r="AY55" s="22">
        <v>0.12664800000000001</v>
      </c>
      <c r="AZ55" s="22">
        <v>477.589</v>
      </c>
      <c r="BA55" s="22">
        <v>-1.75751E-2</v>
      </c>
      <c r="BB55" s="22">
        <v>45</v>
      </c>
      <c r="BC55" s="22">
        <v>0.125885</v>
      </c>
      <c r="BD55">
        <f t="shared" si="10"/>
        <v>17.575099999999999</v>
      </c>
      <c r="BE55">
        <f t="shared" si="11"/>
        <v>2.2258512648000002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112.86499999999999</v>
      </c>
      <c r="I56" s="22">
        <v>-1.5240500000000001E-2</v>
      </c>
      <c r="J56" s="22">
        <v>46</v>
      </c>
      <c r="K56" s="22">
        <v>1.5975999999999999</v>
      </c>
      <c r="L56">
        <f t="shared" si="0"/>
        <v>15.240500000000001</v>
      </c>
      <c r="M56">
        <f t="shared" si="1"/>
        <v>24.35980558</v>
      </c>
      <c r="N56" s="9"/>
      <c r="O56" s="22">
        <v>0.13168299999999999</v>
      </c>
      <c r="P56" s="22">
        <v>161.96700000000001</v>
      </c>
      <c r="Q56" s="22">
        <v>-1.7553699999999998E-2</v>
      </c>
      <c r="R56" s="22">
        <v>46</v>
      </c>
      <c r="S56" s="22">
        <v>0.131134</v>
      </c>
      <c r="T56">
        <f t="shared" si="2"/>
        <v>17.553699999999999</v>
      </c>
      <c r="U56">
        <f t="shared" si="3"/>
        <v>2.3115238771</v>
      </c>
      <c r="X56" s="9"/>
      <c r="Y56" s="22">
        <v>1.59836</v>
      </c>
      <c r="Z56" s="22">
        <v>218.124</v>
      </c>
      <c r="AA56" s="22">
        <v>-1.56647E-2</v>
      </c>
      <c r="AB56" s="22">
        <v>46</v>
      </c>
      <c r="AC56" s="22">
        <v>1.5979000000000001</v>
      </c>
      <c r="AD56">
        <f t="shared" si="4"/>
        <v>15.6647</v>
      </c>
      <c r="AE56">
        <f t="shared" si="5"/>
        <v>25.037829892000001</v>
      </c>
      <c r="AF56" s="9"/>
      <c r="AG56" s="22">
        <v>0.13168299999999999</v>
      </c>
      <c r="AH56" s="22">
        <v>348.79399999999998</v>
      </c>
      <c r="AI56" s="22">
        <v>-1.75598E-2</v>
      </c>
      <c r="AJ56" s="22">
        <v>46</v>
      </c>
      <c r="AK56" s="22">
        <v>0.13122600000000001</v>
      </c>
      <c r="AL56">
        <f t="shared" si="6"/>
        <v>17.559799999999999</v>
      </c>
      <c r="AM56">
        <f t="shared" si="7"/>
        <v>2.3123271433999997</v>
      </c>
      <c r="AP56" s="9"/>
      <c r="AQ56" s="22">
        <v>1.59836</v>
      </c>
      <c r="AR56" s="22">
        <v>426.67599999999999</v>
      </c>
      <c r="AS56" s="22">
        <v>-1.5811200000000001E-2</v>
      </c>
      <c r="AT56" s="22">
        <v>46</v>
      </c>
      <c r="AU56" s="22">
        <v>1.5969800000000001</v>
      </c>
      <c r="AV56">
        <f t="shared" si="8"/>
        <v>15.811200000000001</v>
      </c>
      <c r="AW56">
        <f t="shared" si="9"/>
        <v>25.271989632</v>
      </c>
      <c r="AX56" s="9"/>
      <c r="AY56" s="22">
        <v>0.13168299999999999</v>
      </c>
      <c r="AZ56" s="22">
        <v>477.68900000000002</v>
      </c>
      <c r="BA56" s="22">
        <v>-1.7572000000000001E-2</v>
      </c>
      <c r="BB56" s="22">
        <v>46</v>
      </c>
      <c r="BC56" s="22">
        <v>0.13131699999999999</v>
      </c>
      <c r="BD56">
        <f t="shared" si="10"/>
        <v>17.571999999999999</v>
      </c>
      <c r="BE56">
        <f t="shared" si="11"/>
        <v>2.313933676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112.96599999999999</v>
      </c>
      <c r="I57" s="22">
        <v>-1.5344200000000001E-2</v>
      </c>
      <c r="J57" s="22">
        <v>47</v>
      </c>
      <c r="K57" s="22">
        <v>1.5927100000000001</v>
      </c>
      <c r="L57">
        <f t="shared" si="0"/>
        <v>15.344200000000001</v>
      </c>
      <c r="M57">
        <f t="shared" si="1"/>
        <v>24.448220744000004</v>
      </c>
      <c r="N57" s="9"/>
      <c r="O57" s="22">
        <v>0.13671900000000001</v>
      </c>
      <c r="P57" s="22">
        <v>162.06800000000001</v>
      </c>
      <c r="Q57" s="22">
        <v>-1.7550699999999999E-2</v>
      </c>
      <c r="R57" s="22">
        <v>47</v>
      </c>
      <c r="S57" s="22">
        <v>0.136078</v>
      </c>
      <c r="T57">
        <f t="shared" si="2"/>
        <v>17.550699999999999</v>
      </c>
      <c r="U57">
        <f t="shared" si="3"/>
        <v>2.3995141533000002</v>
      </c>
      <c r="X57" s="9"/>
      <c r="Y57" s="22">
        <v>1.5933200000000001</v>
      </c>
      <c r="Z57" s="22">
        <v>218.22499999999999</v>
      </c>
      <c r="AA57" s="22">
        <v>-1.57196E-2</v>
      </c>
      <c r="AB57" s="22">
        <v>47</v>
      </c>
      <c r="AC57" s="22">
        <v>1.5924100000000001</v>
      </c>
      <c r="AD57">
        <f t="shared" si="4"/>
        <v>15.7196</v>
      </c>
      <c r="AE57">
        <f t="shared" si="5"/>
        <v>25.046353072000002</v>
      </c>
      <c r="AF57" s="9"/>
      <c r="AG57" s="22">
        <v>0.13671900000000001</v>
      </c>
      <c r="AH57" s="22">
        <v>348.89499999999998</v>
      </c>
      <c r="AI57" s="22">
        <v>-1.75598E-2</v>
      </c>
      <c r="AJ57" s="22">
        <v>47</v>
      </c>
      <c r="AK57" s="22">
        <v>0.136047</v>
      </c>
      <c r="AL57">
        <f t="shared" si="6"/>
        <v>17.559799999999999</v>
      </c>
      <c r="AM57">
        <f t="shared" si="7"/>
        <v>2.4007582961999998</v>
      </c>
      <c r="AP57" s="9"/>
      <c r="AQ57" s="22">
        <v>1.5933200000000001</v>
      </c>
      <c r="AR57" s="22">
        <v>426.77600000000001</v>
      </c>
      <c r="AS57" s="22">
        <v>-1.5859999999999999E-2</v>
      </c>
      <c r="AT57" s="22">
        <v>47</v>
      </c>
      <c r="AU57" s="22">
        <v>1.5927100000000001</v>
      </c>
      <c r="AV57">
        <f t="shared" si="8"/>
        <v>15.86</v>
      </c>
      <c r="AW57">
        <f t="shared" si="9"/>
        <v>25.270055200000002</v>
      </c>
      <c r="AX57" s="9"/>
      <c r="AY57" s="22">
        <v>0.13671900000000001</v>
      </c>
      <c r="AZ57" s="22">
        <v>477.79</v>
      </c>
      <c r="BA57" s="22">
        <v>-1.7565899999999999E-2</v>
      </c>
      <c r="BB57" s="22">
        <v>47</v>
      </c>
      <c r="BC57" s="22">
        <v>0.13610800000000001</v>
      </c>
      <c r="BD57">
        <f t="shared" si="10"/>
        <v>17.565899999999999</v>
      </c>
      <c r="BE57">
        <f t="shared" si="11"/>
        <v>2.4015922821000002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113.06699999999999</v>
      </c>
      <c r="I58" s="22">
        <v>-1.54144E-2</v>
      </c>
      <c r="J58" s="22">
        <v>48</v>
      </c>
      <c r="K58" s="22">
        <v>1.5872200000000001</v>
      </c>
      <c r="L58">
        <f t="shared" si="0"/>
        <v>15.414400000000001</v>
      </c>
      <c r="M58">
        <f t="shared" si="1"/>
        <v>24.482537376</v>
      </c>
      <c r="N58" s="9"/>
      <c r="O58" s="22">
        <v>0.14175399999999999</v>
      </c>
      <c r="P58" s="22">
        <v>162.16900000000001</v>
      </c>
      <c r="Q58" s="22">
        <v>-1.7550699999999999E-2</v>
      </c>
      <c r="R58" s="22">
        <v>48</v>
      </c>
      <c r="S58" s="22">
        <v>0.14102200000000001</v>
      </c>
      <c r="T58">
        <f t="shared" si="2"/>
        <v>17.550699999999999</v>
      </c>
      <c r="U58">
        <f t="shared" si="3"/>
        <v>2.4878819277999997</v>
      </c>
      <c r="X58" s="9"/>
      <c r="Y58" s="22">
        <v>1.58829</v>
      </c>
      <c r="Z58" s="22">
        <v>218.32499999999999</v>
      </c>
      <c r="AA58" s="22">
        <v>-1.57623E-2</v>
      </c>
      <c r="AB58" s="22">
        <v>48</v>
      </c>
      <c r="AC58" s="22">
        <v>1.58691</v>
      </c>
      <c r="AD58">
        <f t="shared" si="4"/>
        <v>15.7623</v>
      </c>
      <c r="AE58">
        <f t="shared" si="5"/>
        <v>25.035103466999999</v>
      </c>
      <c r="AF58" s="9"/>
      <c r="AG58" s="22">
        <v>0.14175399999999999</v>
      </c>
      <c r="AH58" s="22">
        <v>348.99599999999998</v>
      </c>
      <c r="AI58" s="22">
        <v>-1.7556800000000001E-2</v>
      </c>
      <c r="AJ58" s="22">
        <v>48</v>
      </c>
      <c r="AK58" s="22">
        <v>0.141205</v>
      </c>
      <c r="AL58">
        <f t="shared" si="6"/>
        <v>17.556800000000003</v>
      </c>
      <c r="AM58">
        <f t="shared" si="7"/>
        <v>2.4887466272000003</v>
      </c>
      <c r="AP58" s="9"/>
      <c r="AQ58" s="22">
        <v>1.58829</v>
      </c>
      <c r="AR58" s="22">
        <v>426.87700000000001</v>
      </c>
      <c r="AS58" s="22">
        <v>-1.5893600000000001E-2</v>
      </c>
      <c r="AT58" s="22">
        <v>48</v>
      </c>
      <c r="AU58" s="22">
        <v>1.58813</v>
      </c>
      <c r="AV58">
        <f t="shared" si="8"/>
        <v>15.893600000000001</v>
      </c>
      <c r="AW58">
        <f t="shared" si="9"/>
        <v>25.243645944000001</v>
      </c>
      <c r="AX58" s="9"/>
      <c r="AY58" s="22">
        <v>0.14175399999999999</v>
      </c>
      <c r="AZ58" s="22">
        <v>477.89100000000002</v>
      </c>
      <c r="BA58" s="22">
        <v>-1.7562899999999999E-2</v>
      </c>
      <c r="BB58" s="22">
        <v>48</v>
      </c>
      <c r="BC58" s="22">
        <v>0.141205</v>
      </c>
      <c r="BD58">
        <f t="shared" si="10"/>
        <v>17.562899999999999</v>
      </c>
      <c r="BE58">
        <f t="shared" si="11"/>
        <v>2.4896113265999995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113.16800000000001</v>
      </c>
      <c r="I59" s="22">
        <v>-1.54938E-2</v>
      </c>
      <c r="J59" s="22">
        <v>49</v>
      </c>
      <c r="K59" s="22">
        <v>1.5823400000000001</v>
      </c>
      <c r="L59">
        <f t="shared" si="0"/>
        <v>15.4938</v>
      </c>
      <c r="M59">
        <f t="shared" si="1"/>
        <v>24.530558850000002</v>
      </c>
      <c r="N59" s="9"/>
      <c r="O59" s="22">
        <v>0.14679</v>
      </c>
      <c r="P59" s="22">
        <v>162.26900000000001</v>
      </c>
      <c r="Q59" s="22">
        <v>-1.75446E-2</v>
      </c>
      <c r="R59" s="22">
        <v>49</v>
      </c>
      <c r="S59" s="22">
        <v>0.146088</v>
      </c>
      <c r="T59">
        <f t="shared" si="2"/>
        <v>17.544599999999999</v>
      </c>
      <c r="U59">
        <f t="shared" si="3"/>
        <v>2.5753718339999998</v>
      </c>
      <c r="X59" s="9"/>
      <c r="Y59" s="22">
        <v>1.58325</v>
      </c>
      <c r="Z59" s="22">
        <v>218.42599999999999</v>
      </c>
      <c r="AA59" s="22">
        <v>-1.5805099999999999E-2</v>
      </c>
      <c r="AB59" s="22">
        <v>49</v>
      </c>
      <c r="AC59" s="22">
        <v>1.5823400000000001</v>
      </c>
      <c r="AD59">
        <f t="shared" si="4"/>
        <v>15.805099999999999</v>
      </c>
      <c r="AE59">
        <f t="shared" si="5"/>
        <v>25.023424575</v>
      </c>
      <c r="AF59" s="9"/>
      <c r="AG59" s="22">
        <v>0.14679</v>
      </c>
      <c r="AH59" s="22">
        <v>349.096</v>
      </c>
      <c r="AI59" s="22">
        <v>-1.7550699999999999E-2</v>
      </c>
      <c r="AJ59" s="22">
        <v>49</v>
      </c>
      <c r="AK59" s="22">
        <v>0.14621000000000001</v>
      </c>
      <c r="AL59">
        <f t="shared" si="6"/>
        <v>17.550699999999999</v>
      </c>
      <c r="AM59">
        <f t="shared" si="7"/>
        <v>2.5762672530000001</v>
      </c>
      <c r="AP59" s="9"/>
      <c r="AQ59" s="22">
        <v>1.58325</v>
      </c>
      <c r="AR59" s="22">
        <v>426.97800000000001</v>
      </c>
      <c r="AS59" s="22">
        <v>-1.5930199999999999E-2</v>
      </c>
      <c r="AT59" s="22">
        <v>49</v>
      </c>
      <c r="AU59" s="22">
        <v>1.5829500000000001</v>
      </c>
      <c r="AV59">
        <f t="shared" si="8"/>
        <v>15.930199999999999</v>
      </c>
      <c r="AW59">
        <f t="shared" si="9"/>
        <v>25.22148915</v>
      </c>
      <c r="AX59" s="9"/>
      <c r="AY59" s="22">
        <v>0.14679</v>
      </c>
      <c r="AZ59" s="22">
        <v>477.99099999999999</v>
      </c>
      <c r="BA59" s="22">
        <v>-1.75598E-2</v>
      </c>
      <c r="BB59" s="22">
        <v>49</v>
      </c>
      <c r="BC59" s="22">
        <v>0.146149</v>
      </c>
      <c r="BD59">
        <f t="shared" si="10"/>
        <v>17.559799999999999</v>
      </c>
      <c r="BE59">
        <f t="shared" si="11"/>
        <v>2.5776030419999998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113.268</v>
      </c>
      <c r="I60" s="22">
        <v>-1.5551799999999999E-2</v>
      </c>
      <c r="J60" s="22">
        <v>50</v>
      </c>
      <c r="K60" s="22">
        <v>1.57684</v>
      </c>
      <c r="L60">
        <f t="shared" si="0"/>
        <v>15.5518</v>
      </c>
      <c r="M60">
        <f t="shared" si="1"/>
        <v>24.544161796000001</v>
      </c>
      <c r="N60" s="9"/>
      <c r="O60" s="22">
        <v>0.15182499999999999</v>
      </c>
      <c r="P60" s="22">
        <v>162.37</v>
      </c>
      <c r="Q60" s="22">
        <v>-1.75446E-2</v>
      </c>
      <c r="R60" s="22">
        <v>50</v>
      </c>
      <c r="S60" s="22">
        <v>0.15109300000000001</v>
      </c>
      <c r="T60">
        <f t="shared" si="2"/>
        <v>17.544599999999999</v>
      </c>
      <c r="U60">
        <f t="shared" si="3"/>
        <v>2.6637088949999996</v>
      </c>
      <c r="X60" s="9"/>
      <c r="Y60" s="22">
        <v>1.57822</v>
      </c>
      <c r="Z60" s="22">
        <v>218.52699999999999</v>
      </c>
      <c r="AA60" s="22">
        <v>-1.58569E-2</v>
      </c>
      <c r="AB60" s="22">
        <v>50</v>
      </c>
      <c r="AC60" s="22">
        <v>1.5771500000000001</v>
      </c>
      <c r="AD60">
        <f t="shared" si="4"/>
        <v>15.8569</v>
      </c>
      <c r="AE60">
        <f t="shared" si="5"/>
        <v>25.025676718</v>
      </c>
      <c r="AF60" s="9"/>
      <c r="AG60" s="22">
        <v>0.15182499999999999</v>
      </c>
      <c r="AH60" s="22">
        <v>349.197</v>
      </c>
      <c r="AI60" s="22">
        <v>-1.75476E-2</v>
      </c>
      <c r="AJ60" s="22">
        <v>50</v>
      </c>
      <c r="AK60" s="22">
        <v>0.15127599999999999</v>
      </c>
      <c r="AL60">
        <f t="shared" si="6"/>
        <v>17.547599999999999</v>
      </c>
      <c r="AM60">
        <f t="shared" si="7"/>
        <v>2.6641643699999995</v>
      </c>
      <c r="AP60" s="9"/>
      <c r="AQ60" s="22">
        <v>1.57822</v>
      </c>
      <c r="AR60" s="22">
        <v>427.07799999999997</v>
      </c>
      <c r="AS60" s="22">
        <v>-1.59668E-2</v>
      </c>
      <c r="AT60" s="22">
        <v>50</v>
      </c>
      <c r="AU60" s="22">
        <v>1.5771500000000001</v>
      </c>
      <c r="AV60">
        <f t="shared" si="8"/>
        <v>15.966799999999999</v>
      </c>
      <c r="AW60">
        <f t="shared" si="9"/>
        <v>25.199123095999997</v>
      </c>
      <c r="AX60" s="9"/>
      <c r="AY60" s="22">
        <v>0.15182499999999999</v>
      </c>
      <c r="AZ60" s="22">
        <v>478.09199999999998</v>
      </c>
      <c r="BA60" s="22">
        <v>-1.7553699999999998E-2</v>
      </c>
      <c r="BB60" s="22">
        <v>50</v>
      </c>
      <c r="BC60" s="22">
        <v>0.15112300000000001</v>
      </c>
      <c r="BD60">
        <f t="shared" si="10"/>
        <v>17.553699999999999</v>
      </c>
      <c r="BE60">
        <f t="shared" si="11"/>
        <v>2.6650905024999996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113.369</v>
      </c>
      <c r="I61" s="22">
        <v>-1.5600599999999999E-2</v>
      </c>
      <c r="J61" s="22">
        <v>51</v>
      </c>
      <c r="K61" s="22">
        <v>1.57257</v>
      </c>
      <c r="L61">
        <f t="shared" si="0"/>
        <v>15.6006</v>
      </c>
      <c r="M61">
        <f t="shared" si="1"/>
        <v>24.542551908</v>
      </c>
      <c r="N61" s="9"/>
      <c r="O61" s="22">
        <v>0.15686</v>
      </c>
      <c r="P61" s="22">
        <v>162.471</v>
      </c>
      <c r="Q61" s="22">
        <v>-1.7538499999999999E-2</v>
      </c>
      <c r="R61" s="22">
        <v>51</v>
      </c>
      <c r="S61" s="22">
        <v>0.15631100000000001</v>
      </c>
      <c r="T61">
        <f t="shared" si="2"/>
        <v>17.538499999999999</v>
      </c>
      <c r="U61">
        <f t="shared" si="3"/>
        <v>2.7510891099999997</v>
      </c>
      <c r="X61" s="9"/>
      <c r="Y61" s="22">
        <v>1.57318</v>
      </c>
      <c r="Z61" s="22">
        <v>218.62799999999999</v>
      </c>
      <c r="AA61" s="22">
        <v>-1.58966E-2</v>
      </c>
      <c r="AB61" s="22">
        <v>51</v>
      </c>
      <c r="AC61" s="22">
        <v>1.5728800000000001</v>
      </c>
      <c r="AD61">
        <f t="shared" si="4"/>
        <v>15.896600000000001</v>
      </c>
      <c r="AE61">
        <f t="shared" si="5"/>
        <v>25.008213188000003</v>
      </c>
      <c r="AF61" s="9"/>
      <c r="AG61" s="22">
        <v>0.15686</v>
      </c>
      <c r="AH61" s="22">
        <v>349.298</v>
      </c>
      <c r="AI61" s="22">
        <v>-1.75446E-2</v>
      </c>
      <c r="AJ61" s="22">
        <v>51</v>
      </c>
      <c r="AK61" s="22">
        <v>0.15634200000000001</v>
      </c>
      <c r="AL61">
        <f t="shared" si="6"/>
        <v>17.544599999999999</v>
      </c>
      <c r="AM61">
        <f t="shared" si="7"/>
        <v>2.7520459559999999</v>
      </c>
      <c r="AP61" s="9"/>
      <c r="AQ61" s="22">
        <v>1.57318</v>
      </c>
      <c r="AR61" s="22">
        <v>427.17899999999997</v>
      </c>
      <c r="AS61" s="22">
        <v>-1.5994299999999999E-2</v>
      </c>
      <c r="AT61" s="22">
        <v>51</v>
      </c>
      <c r="AU61" s="22">
        <v>1.5728800000000001</v>
      </c>
      <c r="AV61">
        <f t="shared" si="8"/>
        <v>15.994299999999999</v>
      </c>
      <c r="AW61">
        <f t="shared" si="9"/>
        <v>25.161912873999999</v>
      </c>
      <c r="AX61" s="9"/>
      <c r="AY61" s="22">
        <v>0.15686</v>
      </c>
      <c r="AZ61" s="22">
        <v>478.19299999999998</v>
      </c>
      <c r="BA61" s="22">
        <v>-1.7553699999999998E-2</v>
      </c>
      <c r="BB61" s="22">
        <v>51</v>
      </c>
      <c r="BC61" s="22">
        <v>0.156219</v>
      </c>
      <c r="BD61">
        <f t="shared" si="10"/>
        <v>17.553699999999999</v>
      </c>
      <c r="BE61">
        <f t="shared" si="11"/>
        <v>2.7534733819999997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113.47</v>
      </c>
      <c r="I62" s="22">
        <v>-1.5643299999999999E-2</v>
      </c>
      <c r="J62" s="22">
        <v>52</v>
      </c>
      <c r="K62" s="22">
        <v>1.56708</v>
      </c>
      <c r="L62">
        <f t="shared" si="0"/>
        <v>15.643299999999998</v>
      </c>
      <c r="M62">
        <f t="shared" si="1"/>
        <v>24.531040894999997</v>
      </c>
      <c r="N62" s="9"/>
      <c r="O62" s="22">
        <v>0.16189600000000001</v>
      </c>
      <c r="P62" s="22">
        <v>162.571</v>
      </c>
      <c r="Q62" s="22">
        <v>-1.75354E-2</v>
      </c>
      <c r="R62" s="22">
        <v>52</v>
      </c>
      <c r="S62" s="22">
        <v>0.16131599999999999</v>
      </c>
      <c r="T62">
        <f t="shared" si="2"/>
        <v>17.535399999999999</v>
      </c>
      <c r="U62">
        <f t="shared" si="3"/>
        <v>2.8389111184</v>
      </c>
      <c r="X62" s="9"/>
      <c r="Y62" s="22">
        <v>1.5681499999999999</v>
      </c>
      <c r="Z62" s="22">
        <v>218.72800000000001</v>
      </c>
      <c r="AA62" s="22">
        <v>-1.5933200000000002E-2</v>
      </c>
      <c r="AB62" s="22">
        <v>52</v>
      </c>
      <c r="AC62" s="22">
        <v>1.56677</v>
      </c>
      <c r="AD62">
        <f t="shared" si="4"/>
        <v>15.933200000000001</v>
      </c>
      <c r="AE62">
        <f t="shared" si="5"/>
        <v>24.985647580000002</v>
      </c>
      <c r="AF62" s="9"/>
      <c r="AG62" s="22">
        <v>0.16189600000000001</v>
      </c>
      <c r="AH62" s="22">
        <v>349.399</v>
      </c>
      <c r="AI62" s="22">
        <v>-1.7541500000000002E-2</v>
      </c>
      <c r="AJ62" s="22">
        <v>52</v>
      </c>
      <c r="AK62" s="22">
        <v>0.161163</v>
      </c>
      <c r="AL62">
        <f t="shared" si="6"/>
        <v>17.541500000000003</v>
      </c>
      <c r="AM62">
        <f t="shared" si="7"/>
        <v>2.8398986840000005</v>
      </c>
      <c r="AP62" s="9"/>
      <c r="AQ62" s="22">
        <v>1.5681499999999999</v>
      </c>
      <c r="AR62" s="22">
        <v>427.28</v>
      </c>
      <c r="AS62" s="22">
        <v>-1.6030900000000001E-2</v>
      </c>
      <c r="AT62" s="22">
        <v>52</v>
      </c>
      <c r="AU62" s="22">
        <v>1.56738</v>
      </c>
      <c r="AV62">
        <f t="shared" si="8"/>
        <v>16.030899999999999</v>
      </c>
      <c r="AW62">
        <f t="shared" si="9"/>
        <v>25.138855834999998</v>
      </c>
      <c r="AX62" s="9"/>
      <c r="AY62" s="22">
        <v>0.16189600000000001</v>
      </c>
      <c r="AZ62" s="22">
        <v>478.29399999999998</v>
      </c>
      <c r="BA62" s="22">
        <v>-1.75476E-2</v>
      </c>
      <c r="BB62" s="22">
        <v>52</v>
      </c>
      <c r="BC62" s="22">
        <v>0.16122400000000001</v>
      </c>
      <c r="BD62">
        <f t="shared" si="10"/>
        <v>17.547599999999999</v>
      </c>
      <c r="BE62">
        <f t="shared" si="11"/>
        <v>2.8408862496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113.57</v>
      </c>
      <c r="I63" s="22">
        <v>-1.56799E-2</v>
      </c>
      <c r="J63" s="22">
        <v>53</v>
      </c>
      <c r="K63" s="22">
        <v>1.56219</v>
      </c>
      <c r="L63">
        <f t="shared" si="0"/>
        <v>15.6799</v>
      </c>
      <c r="M63">
        <f t="shared" si="1"/>
        <v>24.509408488999998</v>
      </c>
      <c r="N63" s="9"/>
      <c r="O63" s="22">
        <v>0.166931</v>
      </c>
      <c r="P63" s="22">
        <v>162.672</v>
      </c>
      <c r="Q63" s="22">
        <v>-1.7532300000000001E-2</v>
      </c>
      <c r="R63" s="22">
        <v>53</v>
      </c>
      <c r="S63" s="22">
        <v>0.16656499999999999</v>
      </c>
      <c r="T63">
        <f t="shared" si="2"/>
        <v>17.532299999999999</v>
      </c>
      <c r="U63">
        <f t="shared" si="3"/>
        <v>2.9266843712999999</v>
      </c>
      <c r="X63" s="9"/>
      <c r="Y63" s="22">
        <v>1.56311</v>
      </c>
      <c r="Z63" s="22">
        <v>218.82900000000001</v>
      </c>
      <c r="AA63" s="22">
        <v>-1.5982099999999999E-2</v>
      </c>
      <c r="AB63" s="22">
        <v>53</v>
      </c>
      <c r="AC63" s="22">
        <v>1.56219</v>
      </c>
      <c r="AD63">
        <f t="shared" si="4"/>
        <v>15.982099999999999</v>
      </c>
      <c r="AE63">
        <f t="shared" si="5"/>
        <v>24.981780331</v>
      </c>
      <c r="AF63" s="9"/>
      <c r="AG63" s="22">
        <v>0.166931</v>
      </c>
      <c r="AH63" s="22">
        <v>349.49900000000002</v>
      </c>
      <c r="AI63" s="22">
        <v>-1.7532300000000001E-2</v>
      </c>
      <c r="AJ63" s="22">
        <v>53</v>
      </c>
      <c r="AK63" s="22">
        <v>0.16613800000000001</v>
      </c>
      <c r="AL63">
        <f t="shared" si="6"/>
        <v>17.532299999999999</v>
      </c>
      <c r="AM63">
        <f t="shared" si="7"/>
        <v>2.9266843712999999</v>
      </c>
      <c r="AP63" s="9"/>
      <c r="AQ63" s="22">
        <v>1.56311</v>
      </c>
      <c r="AR63" s="22">
        <v>427.38</v>
      </c>
      <c r="AS63" s="22">
        <v>-1.60614E-2</v>
      </c>
      <c r="AT63" s="22">
        <v>53</v>
      </c>
      <c r="AU63" s="22">
        <v>1.56219</v>
      </c>
      <c r="AV63">
        <f t="shared" si="8"/>
        <v>16.061399999999999</v>
      </c>
      <c r="AW63">
        <f t="shared" si="9"/>
        <v>25.105734953999999</v>
      </c>
      <c r="AX63" s="9"/>
      <c r="AY63" s="22">
        <v>0.166931</v>
      </c>
      <c r="AZ63" s="22">
        <v>478.39400000000001</v>
      </c>
      <c r="BA63" s="22">
        <v>-1.75446E-2</v>
      </c>
      <c r="BB63" s="22">
        <v>53</v>
      </c>
      <c r="BC63" s="22">
        <v>0.166351</v>
      </c>
      <c r="BD63">
        <f t="shared" si="10"/>
        <v>17.544599999999999</v>
      </c>
      <c r="BE63">
        <f t="shared" si="11"/>
        <v>2.9287376225999999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113.67100000000001</v>
      </c>
      <c r="I64" s="22">
        <v>-1.5731800000000001E-2</v>
      </c>
      <c r="J64" s="22">
        <v>54</v>
      </c>
      <c r="K64" s="22">
        <v>1.55762</v>
      </c>
      <c r="L64">
        <f t="shared" si="0"/>
        <v>15.7318</v>
      </c>
      <c r="M64">
        <f t="shared" si="1"/>
        <v>24.511245626000001</v>
      </c>
      <c r="N64" s="9"/>
      <c r="O64" s="22">
        <v>0.17196700000000001</v>
      </c>
      <c r="P64" s="22">
        <v>162.773</v>
      </c>
      <c r="Q64" s="22">
        <v>-1.7529300000000001E-2</v>
      </c>
      <c r="R64" s="22">
        <v>54</v>
      </c>
      <c r="S64" s="22">
        <v>0.17141700000000001</v>
      </c>
      <c r="T64">
        <f t="shared" si="2"/>
        <v>17.529300000000003</v>
      </c>
      <c r="U64">
        <f t="shared" si="3"/>
        <v>3.0144611331000006</v>
      </c>
      <c r="X64" s="9"/>
      <c r="Y64" s="22">
        <v>1.5580700000000001</v>
      </c>
      <c r="Z64" s="22">
        <v>218.93</v>
      </c>
      <c r="AA64" s="22">
        <v>-1.6012599999999998E-2</v>
      </c>
      <c r="AB64" s="22">
        <v>54</v>
      </c>
      <c r="AC64" s="22">
        <v>1.55701</v>
      </c>
      <c r="AD64">
        <f t="shared" si="4"/>
        <v>16.012599999999999</v>
      </c>
      <c r="AE64">
        <f t="shared" si="5"/>
        <v>24.948751682000001</v>
      </c>
      <c r="AF64" s="9"/>
      <c r="AG64" s="22">
        <v>0.17196700000000001</v>
      </c>
      <c r="AH64" s="22">
        <v>349.6</v>
      </c>
      <c r="AI64" s="22">
        <v>-1.7529300000000001E-2</v>
      </c>
      <c r="AJ64" s="22">
        <v>54</v>
      </c>
      <c r="AK64" s="22">
        <v>0.171295</v>
      </c>
      <c r="AL64">
        <f t="shared" si="6"/>
        <v>17.529300000000003</v>
      </c>
      <c r="AM64">
        <f t="shared" si="7"/>
        <v>3.0144611331000006</v>
      </c>
      <c r="AP64" s="9"/>
      <c r="AQ64" s="22">
        <v>1.5580700000000001</v>
      </c>
      <c r="AR64" s="22">
        <v>427.48099999999999</v>
      </c>
      <c r="AS64" s="22">
        <v>-1.6079699999999999E-2</v>
      </c>
      <c r="AT64" s="22">
        <v>54</v>
      </c>
      <c r="AU64" s="22">
        <v>1.55731</v>
      </c>
      <c r="AV64">
        <f t="shared" si="8"/>
        <v>16.079699999999999</v>
      </c>
      <c r="AW64">
        <f t="shared" si="9"/>
        <v>25.053298178999999</v>
      </c>
      <c r="AX64" s="9"/>
      <c r="AY64" s="22">
        <v>0.17196700000000001</v>
      </c>
      <c r="AZ64" s="22">
        <v>478.495</v>
      </c>
      <c r="BA64" s="22">
        <v>-1.75446E-2</v>
      </c>
      <c r="BB64" s="22">
        <v>54</v>
      </c>
      <c r="BC64" s="22">
        <v>0.171234</v>
      </c>
      <c r="BD64">
        <f t="shared" si="10"/>
        <v>17.544599999999999</v>
      </c>
      <c r="BE64">
        <f t="shared" si="11"/>
        <v>3.0170922282000001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113.77200000000001</v>
      </c>
      <c r="I65" s="22">
        <v>-1.5744000000000001E-2</v>
      </c>
      <c r="J65" s="22">
        <v>55</v>
      </c>
      <c r="K65" s="22">
        <v>1.5527299999999999</v>
      </c>
      <c r="L65">
        <f t="shared" si="0"/>
        <v>15.744000000000002</v>
      </c>
      <c r="M65">
        <f t="shared" si="1"/>
        <v>24.451061760000002</v>
      </c>
      <c r="N65" s="9"/>
      <c r="O65" s="22">
        <v>0.17700199999999999</v>
      </c>
      <c r="P65" s="22">
        <v>162.874</v>
      </c>
      <c r="Q65" s="22">
        <v>-1.7523199999999999E-2</v>
      </c>
      <c r="R65" s="22">
        <v>55</v>
      </c>
      <c r="S65" s="22">
        <v>0.176514</v>
      </c>
      <c r="T65">
        <f t="shared" si="2"/>
        <v>17.523199999999999</v>
      </c>
      <c r="U65">
        <f t="shared" si="3"/>
        <v>3.1016414463999999</v>
      </c>
      <c r="X65" s="9"/>
      <c r="Y65" s="22">
        <v>1.55304</v>
      </c>
      <c r="Z65" s="22">
        <v>219.03</v>
      </c>
      <c r="AA65" s="22">
        <v>-1.6046100000000001E-2</v>
      </c>
      <c r="AB65" s="22">
        <v>55</v>
      </c>
      <c r="AC65" s="22">
        <v>1.5515099999999999</v>
      </c>
      <c r="AD65">
        <f t="shared" si="4"/>
        <v>16.046099999999999</v>
      </c>
      <c r="AE65">
        <f t="shared" si="5"/>
        <v>24.920235143999999</v>
      </c>
      <c r="AF65" s="9"/>
      <c r="AG65" s="22">
        <v>0.17700199999999999</v>
      </c>
      <c r="AH65" s="22">
        <v>349.70100000000002</v>
      </c>
      <c r="AI65" s="22">
        <v>-1.7523199999999999E-2</v>
      </c>
      <c r="AJ65" s="22">
        <v>55</v>
      </c>
      <c r="AK65" s="22">
        <v>0.17669699999999999</v>
      </c>
      <c r="AL65">
        <f t="shared" si="6"/>
        <v>17.523199999999999</v>
      </c>
      <c r="AM65">
        <f t="shared" si="7"/>
        <v>3.1016414463999999</v>
      </c>
      <c r="AP65" s="9"/>
      <c r="AQ65" s="22">
        <v>1.55304</v>
      </c>
      <c r="AR65" s="22">
        <v>427.58199999999999</v>
      </c>
      <c r="AS65" s="22">
        <v>-1.61011E-2</v>
      </c>
      <c r="AT65" s="22">
        <v>55</v>
      </c>
      <c r="AU65" s="22">
        <v>1.55182</v>
      </c>
      <c r="AV65">
        <f t="shared" si="8"/>
        <v>16.101099999999999</v>
      </c>
      <c r="AW65">
        <f t="shared" si="9"/>
        <v>25.005652343999998</v>
      </c>
      <c r="AX65" s="9"/>
      <c r="AY65" s="22">
        <v>0.17700199999999999</v>
      </c>
      <c r="AZ65" s="22">
        <v>478.596</v>
      </c>
      <c r="BA65" s="22">
        <v>-1.75446E-2</v>
      </c>
      <c r="BB65" s="22">
        <v>55</v>
      </c>
      <c r="BC65" s="22">
        <v>0.17657500000000001</v>
      </c>
      <c r="BD65">
        <f t="shared" si="10"/>
        <v>17.544599999999999</v>
      </c>
      <c r="BE65">
        <f t="shared" si="11"/>
        <v>3.1054292891999995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113.873</v>
      </c>
      <c r="I66" s="22">
        <v>-1.57745E-2</v>
      </c>
      <c r="J66" s="22">
        <v>56</v>
      </c>
      <c r="K66" s="22">
        <v>1.54755</v>
      </c>
      <c r="L66">
        <f t="shared" si="0"/>
        <v>15.7745</v>
      </c>
      <c r="M66">
        <f t="shared" si="1"/>
        <v>24.418925999999999</v>
      </c>
      <c r="N66" s="9"/>
      <c r="O66" s="22">
        <v>0.182037</v>
      </c>
      <c r="P66" s="22">
        <v>162.97399999999999</v>
      </c>
      <c r="Q66" s="22">
        <v>-1.7523199999999999E-2</v>
      </c>
      <c r="R66" s="22">
        <v>56</v>
      </c>
      <c r="S66" s="22">
        <v>0.181366</v>
      </c>
      <c r="T66">
        <f t="shared" si="2"/>
        <v>17.523199999999999</v>
      </c>
      <c r="U66">
        <f t="shared" si="3"/>
        <v>3.1898707584000001</v>
      </c>
      <c r="X66" s="9"/>
      <c r="Y66" s="22">
        <v>1.548</v>
      </c>
      <c r="Z66" s="22">
        <v>219.131</v>
      </c>
      <c r="AA66" s="22">
        <v>-1.6067499999999998E-2</v>
      </c>
      <c r="AB66" s="22">
        <v>56</v>
      </c>
      <c r="AC66" s="22">
        <v>1.5472399999999999</v>
      </c>
      <c r="AD66">
        <f t="shared" si="4"/>
        <v>16.067499999999999</v>
      </c>
      <c r="AE66">
        <f t="shared" si="5"/>
        <v>24.872489999999999</v>
      </c>
      <c r="AF66" s="9"/>
      <c r="AG66" s="22">
        <v>0.182037</v>
      </c>
      <c r="AH66" s="22">
        <v>349.80099999999999</v>
      </c>
      <c r="AI66" s="22">
        <v>-1.7523199999999999E-2</v>
      </c>
      <c r="AJ66" s="22">
        <v>56</v>
      </c>
      <c r="AK66" s="22">
        <v>0.181427</v>
      </c>
      <c r="AL66">
        <f t="shared" si="6"/>
        <v>17.523199999999999</v>
      </c>
      <c r="AM66">
        <f t="shared" si="7"/>
        <v>3.1898707584000001</v>
      </c>
      <c r="AP66" s="9"/>
      <c r="AQ66" s="22">
        <v>1.548</v>
      </c>
      <c r="AR66" s="22">
        <v>427.68299999999999</v>
      </c>
      <c r="AS66" s="22">
        <v>-1.6131599999999999E-2</v>
      </c>
      <c r="AT66" s="22">
        <v>56</v>
      </c>
      <c r="AU66" s="22">
        <v>1.5472399999999999</v>
      </c>
      <c r="AV66">
        <f t="shared" si="8"/>
        <v>16.131599999999999</v>
      </c>
      <c r="AW66">
        <f t="shared" si="9"/>
        <v>24.971716799999999</v>
      </c>
      <c r="AX66" s="9"/>
      <c r="AY66" s="22">
        <v>0.182037</v>
      </c>
      <c r="AZ66" s="22">
        <v>478.69600000000003</v>
      </c>
      <c r="BA66" s="22">
        <v>-1.7541500000000002E-2</v>
      </c>
      <c r="BB66" s="22">
        <v>56</v>
      </c>
      <c r="BC66" s="22">
        <v>0.18148800000000001</v>
      </c>
      <c r="BD66">
        <f t="shared" si="10"/>
        <v>17.541500000000003</v>
      </c>
      <c r="BE66">
        <f t="shared" si="11"/>
        <v>3.1932020355000006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113.973</v>
      </c>
      <c r="I67" s="22">
        <v>-1.5820299999999999E-2</v>
      </c>
      <c r="J67" s="22">
        <v>57</v>
      </c>
      <c r="K67" s="22">
        <v>1.54175</v>
      </c>
      <c r="L67">
        <f t="shared" si="0"/>
        <v>15.8203</v>
      </c>
      <c r="M67">
        <f t="shared" si="1"/>
        <v>24.410248290999998</v>
      </c>
      <c r="N67" s="9"/>
      <c r="O67" s="22">
        <v>0.18707299999999999</v>
      </c>
      <c r="P67" s="22">
        <v>163.07499999999999</v>
      </c>
      <c r="Q67" s="22">
        <v>-1.7517100000000001E-2</v>
      </c>
      <c r="R67" s="22">
        <v>57</v>
      </c>
      <c r="S67" s="22">
        <v>0.18646199999999999</v>
      </c>
      <c r="T67">
        <f t="shared" si="2"/>
        <v>17.517099999999999</v>
      </c>
      <c r="U67">
        <f t="shared" si="3"/>
        <v>3.2769764482999997</v>
      </c>
      <c r="X67" s="9"/>
      <c r="Y67" s="22">
        <v>1.54297</v>
      </c>
      <c r="Z67" s="22">
        <v>219.232</v>
      </c>
      <c r="AA67" s="22">
        <v>-1.6091899999999999E-2</v>
      </c>
      <c r="AB67" s="22">
        <v>57</v>
      </c>
      <c r="AC67" s="22">
        <v>1.5420499999999999</v>
      </c>
      <c r="AD67">
        <f t="shared" si="4"/>
        <v>16.091899999999999</v>
      </c>
      <c r="AE67">
        <f t="shared" si="5"/>
        <v>24.829318942999997</v>
      </c>
      <c r="AF67" s="9"/>
      <c r="AG67" s="22">
        <v>0.18707299999999999</v>
      </c>
      <c r="AH67" s="22">
        <v>349.90199999999999</v>
      </c>
      <c r="AI67" s="22">
        <v>-1.7517100000000001E-2</v>
      </c>
      <c r="AJ67" s="22">
        <v>57</v>
      </c>
      <c r="AK67" s="22">
        <v>0.18643199999999999</v>
      </c>
      <c r="AL67">
        <f t="shared" si="6"/>
        <v>17.517099999999999</v>
      </c>
      <c r="AM67">
        <f t="shared" si="7"/>
        <v>3.2769764482999997</v>
      </c>
      <c r="AP67" s="9"/>
      <c r="AQ67" s="22">
        <v>1.54297</v>
      </c>
      <c r="AR67" s="22">
        <v>427.78300000000002</v>
      </c>
      <c r="AS67" s="22">
        <v>-1.6149899999999998E-2</v>
      </c>
      <c r="AT67" s="22">
        <v>57</v>
      </c>
      <c r="AU67" s="22">
        <v>1.54236</v>
      </c>
      <c r="AV67">
        <f t="shared" si="8"/>
        <v>16.149899999999999</v>
      </c>
      <c r="AW67">
        <f t="shared" si="9"/>
        <v>24.918811202999997</v>
      </c>
      <c r="AX67" s="9"/>
      <c r="AY67" s="22">
        <v>0.18707299999999999</v>
      </c>
      <c r="AZ67" s="22">
        <v>478.79700000000003</v>
      </c>
      <c r="BA67" s="22">
        <v>-1.75354E-2</v>
      </c>
      <c r="BB67" s="22">
        <v>57</v>
      </c>
      <c r="BC67" s="22">
        <v>0.18649299999999999</v>
      </c>
      <c r="BD67">
        <f t="shared" si="10"/>
        <v>17.535399999999999</v>
      </c>
      <c r="BE67">
        <f t="shared" si="11"/>
        <v>3.2803998841999995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114.074</v>
      </c>
      <c r="I68" s="22">
        <v>-1.5847799999999999E-2</v>
      </c>
      <c r="J68" s="22">
        <v>58</v>
      </c>
      <c r="K68" s="22">
        <v>1.5371699999999999</v>
      </c>
      <c r="L68">
        <f t="shared" si="0"/>
        <v>15.847799999999999</v>
      </c>
      <c r="M68">
        <f t="shared" si="1"/>
        <v>24.372807053999999</v>
      </c>
      <c r="N68" s="9"/>
      <c r="O68" s="22">
        <v>0.192108</v>
      </c>
      <c r="P68" s="22">
        <v>163.17599999999999</v>
      </c>
      <c r="Q68" s="22">
        <v>-1.7517100000000001E-2</v>
      </c>
      <c r="R68" s="22">
        <v>58</v>
      </c>
      <c r="S68" s="22">
        <v>0.191467</v>
      </c>
      <c r="T68">
        <f t="shared" si="2"/>
        <v>17.517099999999999</v>
      </c>
      <c r="U68">
        <f t="shared" si="3"/>
        <v>3.3651750467999997</v>
      </c>
      <c r="X68" s="9"/>
      <c r="Y68" s="22">
        <v>1.53793</v>
      </c>
      <c r="Z68" s="22">
        <v>219.333</v>
      </c>
      <c r="AA68" s="22">
        <v>-1.61163E-2</v>
      </c>
      <c r="AB68" s="22">
        <v>58</v>
      </c>
      <c r="AC68" s="22">
        <v>1.5371699999999999</v>
      </c>
      <c r="AD68">
        <f t="shared" si="4"/>
        <v>16.116299999999999</v>
      </c>
      <c r="AE68">
        <f t="shared" si="5"/>
        <v>24.785741258999998</v>
      </c>
      <c r="AF68" s="9"/>
      <c r="AG68" s="22">
        <v>0.192108</v>
      </c>
      <c r="AH68" s="22">
        <v>350.00299999999999</v>
      </c>
      <c r="AI68" s="22">
        <v>-1.7513999999999998E-2</v>
      </c>
      <c r="AJ68" s="22">
        <v>58</v>
      </c>
      <c r="AK68" s="22">
        <v>0.191437</v>
      </c>
      <c r="AL68">
        <f t="shared" si="6"/>
        <v>17.513999999999999</v>
      </c>
      <c r="AM68">
        <f t="shared" si="7"/>
        <v>3.3645795119999997</v>
      </c>
      <c r="AP68" s="9"/>
      <c r="AQ68" s="22">
        <v>1.53793</v>
      </c>
      <c r="AR68" s="22">
        <v>427.88400000000001</v>
      </c>
      <c r="AS68" s="22">
        <v>-1.6168200000000001E-2</v>
      </c>
      <c r="AT68" s="22">
        <v>58</v>
      </c>
      <c r="AU68" s="22">
        <v>1.5377799999999999</v>
      </c>
      <c r="AV68">
        <f t="shared" si="8"/>
        <v>16.168200000000002</v>
      </c>
      <c r="AW68">
        <f t="shared" si="9"/>
        <v>24.865559826000005</v>
      </c>
      <c r="AX68" s="9"/>
      <c r="AY68" s="22">
        <v>0.192108</v>
      </c>
      <c r="AZ68" s="22">
        <v>478.89800000000002</v>
      </c>
      <c r="BA68" s="22">
        <v>-1.75354E-2</v>
      </c>
      <c r="BB68" s="22">
        <v>58</v>
      </c>
      <c r="BC68" s="22">
        <v>0.191437</v>
      </c>
      <c r="BD68">
        <f t="shared" si="10"/>
        <v>17.535399999999999</v>
      </c>
      <c r="BE68">
        <f t="shared" si="11"/>
        <v>3.3686906232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114.175</v>
      </c>
      <c r="I69" s="22">
        <v>-1.5878300000000001E-2</v>
      </c>
      <c r="J69" s="22">
        <v>59</v>
      </c>
      <c r="K69" s="22">
        <v>1.5316799999999999</v>
      </c>
      <c r="L69">
        <f t="shared" si="0"/>
        <v>15.878300000000001</v>
      </c>
      <c r="M69">
        <f t="shared" si="1"/>
        <v>24.33984607</v>
      </c>
      <c r="N69" s="9"/>
      <c r="O69" s="22">
        <v>0.19714400000000001</v>
      </c>
      <c r="P69" s="22">
        <v>163.27600000000001</v>
      </c>
      <c r="Q69" s="22">
        <v>-1.7510999999999999E-2</v>
      </c>
      <c r="R69" s="22">
        <v>59</v>
      </c>
      <c r="S69" s="22">
        <v>0.19662499999999999</v>
      </c>
      <c r="T69">
        <f t="shared" si="2"/>
        <v>17.510999999999999</v>
      </c>
      <c r="U69">
        <f t="shared" si="3"/>
        <v>3.4521885839999999</v>
      </c>
      <c r="X69" s="9"/>
      <c r="Y69" s="22">
        <v>1.5328999999999999</v>
      </c>
      <c r="Z69" s="22">
        <v>219.43299999999999</v>
      </c>
      <c r="AA69" s="22">
        <v>-1.61438E-2</v>
      </c>
      <c r="AB69" s="22">
        <v>59</v>
      </c>
      <c r="AC69" s="22">
        <v>1.5325899999999999</v>
      </c>
      <c r="AD69">
        <f t="shared" si="4"/>
        <v>16.143799999999999</v>
      </c>
      <c r="AE69">
        <f t="shared" si="5"/>
        <v>24.746831019999998</v>
      </c>
      <c r="AF69" s="9"/>
      <c r="AG69" s="22">
        <v>0.19714400000000001</v>
      </c>
      <c r="AH69" s="22">
        <v>350.10300000000001</v>
      </c>
      <c r="AI69" s="22">
        <v>-1.7510999999999999E-2</v>
      </c>
      <c r="AJ69" s="22">
        <v>59</v>
      </c>
      <c r="AK69" s="22">
        <v>0.19650300000000001</v>
      </c>
      <c r="AL69">
        <f t="shared" si="6"/>
        <v>17.510999999999999</v>
      </c>
      <c r="AM69">
        <f t="shared" si="7"/>
        <v>3.4521885839999999</v>
      </c>
      <c r="AP69" s="9"/>
      <c r="AQ69" s="22">
        <v>1.5328999999999999</v>
      </c>
      <c r="AR69" s="22">
        <v>427.98500000000001</v>
      </c>
      <c r="AS69" s="22">
        <v>-1.6186499999999999E-2</v>
      </c>
      <c r="AT69" s="22">
        <v>59</v>
      </c>
      <c r="AU69" s="22">
        <v>1.5322899999999999</v>
      </c>
      <c r="AV69">
        <f t="shared" si="8"/>
        <v>16.186499999999999</v>
      </c>
      <c r="AW69">
        <f t="shared" si="9"/>
        <v>24.812285849999999</v>
      </c>
      <c r="AX69" s="9"/>
      <c r="AY69" s="22">
        <v>0.19714400000000001</v>
      </c>
      <c r="AZ69" s="22">
        <v>478.99900000000002</v>
      </c>
      <c r="BA69" s="22">
        <v>-1.7526199999999999E-2</v>
      </c>
      <c r="BB69" s="22">
        <v>59</v>
      </c>
      <c r="BC69" s="22">
        <v>0.19659399999999999</v>
      </c>
      <c r="BD69">
        <f t="shared" si="10"/>
        <v>17.526199999999999</v>
      </c>
      <c r="BE69">
        <f t="shared" si="11"/>
        <v>3.4551851728000003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114.27500000000001</v>
      </c>
      <c r="I70" s="22">
        <v>-1.5905800000000001E-2</v>
      </c>
      <c r="J70" s="22">
        <v>60</v>
      </c>
      <c r="K70" s="22">
        <v>1.5274000000000001</v>
      </c>
      <c r="L70">
        <f t="shared" si="0"/>
        <v>15.905800000000001</v>
      </c>
      <c r="M70">
        <f t="shared" si="1"/>
        <v>24.301835588000003</v>
      </c>
      <c r="N70" s="9"/>
      <c r="O70" s="22">
        <v>0.202179</v>
      </c>
      <c r="P70" s="22">
        <v>163.37700000000001</v>
      </c>
      <c r="Q70" s="22">
        <v>-1.75049E-2</v>
      </c>
      <c r="R70" s="22">
        <v>60</v>
      </c>
      <c r="S70" s="22">
        <v>0.20150799999999999</v>
      </c>
      <c r="T70">
        <f t="shared" si="2"/>
        <v>17.504899999999999</v>
      </c>
      <c r="U70">
        <f t="shared" si="3"/>
        <v>3.5391231771</v>
      </c>
      <c r="X70" s="9"/>
      <c r="Y70" s="22">
        <v>1.52786</v>
      </c>
      <c r="Z70" s="22">
        <v>219.53399999999999</v>
      </c>
      <c r="AA70" s="22">
        <v>-1.61713E-2</v>
      </c>
      <c r="AB70" s="22">
        <v>60</v>
      </c>
      <c r="AC70" s="22">
        <v>1.5277099999999999</v>
      </c>
      <c r="AD70">
        <f t="shared" si="4"/>
        <v>16.171299999999999</v>
      </c>
      <c r="AE70">
        <f t="shared" si="5"/>
        <v>24.707482417999998</v>
      </c>
      <c r="AF70" s="9"/>
      <c r="AG70" s="22">
        <v>0.202179</v>
      </c>
      <c r="AH70" s="22">
        <v>350.20400000000001</v>
      </c>
      <c r="AI70" s="22">
        <v>-1.75049E-2</v>
      </c>
      <c r="AJ70" s="22">
        <v>60</v>
      </c>
      <c r="AK70" s="22">
        <v>0.20150799999999999</v>
      </c>
      <c r="AL70">
        <f t="shared" si="6"/>
        <v>17.504899999999999</v>
      </c>
      <c r="AM70">
        <f t="shared" si="7"/>
        <v>3.5391231771</v>
      </c>
      <c r="AP70" s="9"/>
      <c r="AQ70" s="22">
        <v>1.52786</v>
      </c>
      <c r="AR70" s="22">
        <v>428.08499999999998</v>
      </c>
      <c r="AS70" s="22">
        <v>-1.6204799999999998E-2</v>
      </c>
      <c r="AT70" s="22">
        <v>60</v>
      </c>
      <c r="AU70" s="22">
        <v>1.5270999999999999</v>
      </c>
      <c r="AV70">
        <f t="shared" si="8"/>
        <v>16.204799999999999</v>
      </c>
      <c r="AW70">
        <f t="shared" si="9"/>
        <v>24.758665727999997</v>
      </c>
      <c r="AX70" s="9"/>
      <c r="AY70" s="22">
        <v>0.202179</v>
      </c>
      <c r="AZ70" s="22">
        <v>479.09899999999999</v>
      </c>
      <c r="BA70" s="22">
        <v>-1.7526199999999999E-2</v>
      </c>
      <c r="BB70" s="22">
        <v>60</v>
      </c>
      <c r="BC70" s="22">
        <v>0.201599</v>
      </c>
      <c r="BD70">
        <f t="shared" si="10"/>
        <v>17.526199999999999</v>
      </c>
      <c r="BE70">
        <f t="shared" si="11"/>
        <v>3.5434295897999997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114.376</v>
      </c>
      <c r="I71" s="22">
        <v>-1.5930199999999999E-2</v>
      </c>
      <c r="J71" s="22">
        <v>61</v>
      </c>
      <c r="K71" s="22">
        <v>1.5219100000000001</v>
      </c>
      <c r="L71">
        <f t="shared" si="0"/>
        <v>15.930199999999999</v>
      </c>
      <c r="M71">
        <f t="shared" si="1"/>
        <v>24.258986465999996</v>
      </c>
      <c r="N71" s="9"/>
      <c r="O71" s="22">
        <v>0.20721400000000001</v>
      </c>
      <c r="P71" s="22">
        <v>163.47800000000001</v>
      </c>
      <c r="Q71" s="22">
        <v>-1.75049E-2</v>
      </c>
      <c r="R71" s="22">
        <v>61</v>
      </c>
      <c r="S71" s="22">
        <v>0.20657300000000001</v>
      </c>
      <c r="T71">
        <f t="shared" si="2"/>
        <v>17.504899999999999</v>
      </c>
      <c r="U71">
        <f t="shared" si="3"/>
        <v>3.6272603486000001</v>
      </c>
      <c r="X71" s="9"/>
      <c r="Y71" s="22">
        <v>1.5228299999999999</v>
      </c>
      <c r="Z71" s="22">
        <v>219.63499999999999</v>
      </c>
      <c r="AA71" s="22">
        <v>-1.61957E-2</v>
      </c>
      <c r="AB71" s="22">
        <v>61</v>
      </c>
      <c r="AC71" s="22">
        <v>1.5228299999999999</v>
      </c>
      <c r="AD71">
        <f t="shared" si="4"/>
        <v>16.195699999999999</v>
      </c>
      <c r="AE71">
        <f t="shared" si="5"/>
        <v>24.663297830999998</v>
      </c>
      <c r="AF71" s="9"/>
      <c r="AG71" s="22">
        <v>0.20721400000000001</v>
      </c>
      <c r="AH71" s="22">
        <v>350.30500000000001</v>
      </c>
      <c r="AI71" s="22">
        <v>-1.75049E-2</v>
      </c>
      <c r="AJ71" s="22">
        <v>61</v>
      </c>
      <c r="AK71" s="22">
        <v>0.20669599999999999</v>
      </c>
      <c r="AL71">
        <f t="shared" si="6"/>
        <v>17.504899999999999</v>
      </c>
      <c r="AM71">
        <f t="shared" si="7"/>
        <v>3.6272603486000001</v>
      </c>
      <c r="AP71" s="9"/>
      <c r="AQ71" s="22">
        <v>1.5228299999999999</v>
      </c>
      <c r="AR71" s="22">
        <v>428.18599999999998</v>
      </c>
      <c r="AS71" s="22">
        <v>-1.6220100000000001E-2</v>
      </c>
      <c r="AT71" s="22">
        <v>61</v>
      </c>
      <c r="AU71" s="22">
        <v>1.5225200000000001</v>
      </c>
      <c r="AV71">
        <f t="shared" si="8"/>
        <v>16.220100000000002</v>
      </c>
      <c r="AW71">
        <f t="shared" si="9"/>
        <v>24.700454883000003</v>
      </c>
      <c r="AX71" s="9"/>
      <c r="AY71" s="22">
        <v>0.20721400000000001</v>
      </c>
      <c r="AZ71" s="22">
        <v>479.2</v>
      </c>
      <c r="BA71" s="22">
        <v>-1.75201E-2</v>
      </c>
      <c r="BB71" s="22">
        <v>61</v>
      </c>
      <c r="BC71" s="22">
        <v>0.206543</v>
      </c>
      <c r="BD71">
        <f t="shared" si="10"/>
        <v>17.520099999999999</v>
      </c>
      <c r="BE71">
        <f t="shared" si="11"/>
        <v>3.6304100014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114.477</v>
      </c>
      <c r="I72" s="22">
        <v>-1.5960700000000001E-2</v>
      </c>
      <c r="J72" s="22">
        <v>62</v>
      </c>
      <c r="K72" s="22">
        <v>1.5176400000000001</v>
      </c>
      <c r="L72">
        <f t="shared" si="0"/>
        <v>15.960700000000001</v>
      </c>
      <c r="M72">
        <f t="shared" si="1"/>
        <v>24.224990853000001</v>
      </c>
      <c r="N72" s="9"/>
      <c r="O72" s="22">
        <v>0.21224999999999999</v>
      </c>
      <c r="P72" s="22">
        <v>163.578</v>
      </c>
      <c r="Q72" s="22">
        <v>-1.7501800000000001E-2</v>
      </c>
      <c r="R72" s="22">
        <v>62</v>
      </c>
      <c r="S72" s="22">
        <v>0.21160899999999999</v>
      </c>
      <c r="T72">
        <f t="shared" si="2"/>
        <v>17.501800000000003</v>
      </c>
      <c r="U72">
        <f t="shared" si="3"/>
        <v>3.7147570500000007</v>
      </c>
      <c r="X72" s="9"/>
      <c r="Y72" s="22">
        <v>1.51779</v>
      </c>
      <c r="Z72" s="22">
        <v>219.73500000000001</v>
      </c>
      <c r="AA72" s="22">
        <v>-1.6213999999999999E-2</v>
      </c>
      <c r="AB72" s="22">
        <v>62</v>
      </c>
      <c r="AC72" s="22">
        <v>1.5167200000000001</v>
      </c>
      <c r="AD72">
        <f t="shared" si="4"/>
        <v>16.213999999999999</v>
      </c>
      <c r="AE72">
        <f t="shared" si="5"/>
        <v>24.609447059999997</v>
      </c>
      <c r="AF72" s="9"/>
      <c r="AG72" s="22">
        <v>0.21224999999999999</v>
      </c>
      <c r="AH72" s="22">
        <v>350.40600000000001</v>
      </c>
      <c r="AI72" s="22">
        <v>-1.7501800000000001E-2</v>
      </c>
      <c r="AJ72" s="22">
        <v>62</v>
      </c>
      <c r="AK72" s="22">
        <v>0.21167</v>
      </c>
      <c r="AL72">
        <f t="shared" si="6"/>
        <v>17.501800000000003</v>
      </c>
      <c r="AM72">
        <f t="shared" si="7"/>
        <v>3.7147570500000007</v>
      </c>
      <c r="AP72" s="9"/>
      <c r="AQ72" s="22">
        <v>1.51779</v>
      </c>
      <c r="AR72" s="22">
        <v>428.28699999999998</v>
      </c>
      <c r="AS72" s="22">
        <v>-1.6241499999999999E-2</v>
      </c>
      <c r="AT72" s="22">
        <v>62</v>
      </c>
      <c r="AU72" s="22">
        <v>1.5167200000000001</v>
      </c>
      <c r="AV72">
        <f t="shared" si="8"/>
        <v>16.241499999999998</v>
      </c>
      <c r="AW72">
        <f t="shared" si="9"/>
        <v>24.651186284999998</v>
      </c>
      <c r="AX72" s="9"/>
      <c r="AY72" s="22">
        <v>0.21224999999999999</v>
      </c>
      <c r="AZ72" s="22">
        <v>479.30099999999999</v>
      </c>
      <c r="BA72" s="22">
        <v>-1.7517100000000001E-2</v>
      </c>
      <c r="BB72" s="22">
        <v>62</v>
      </c>
      <c r="BC72" s="22">
        <v>0.21167</v>
      </c>
      <c r="BD72">
        <f t="shared" si="10"/>
        <v>17.517099999999999</v>
      </c>
      <c r="BE72">
        <f t="shared" si="11"/>
        <v>3.7180044749999999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114.577</v>
      </c>
      <c r="I73" s="22">
        <v>-1.5988200000000001E-2</v>
      </c>
      <c r="J73" s="22">
        <v>63</v>
      </c>
      <c r="K73" s="22">
        <v>1.5118400000000001</v>
      </c>
      <c r="L73">
        <f t="shared" si="0"/>
        <v>15.988200000000001</v>
      </c>
      <c r="M73">
        <f t="shared" si="1"/>
        <v>24.186309432000002</v>
      </c>
      <c r="N73" s="9"/>
      <c r="O73" s="22">
        <v>0.21728500000000001</v>
      </c>
      <c r="P73" s="22">
        <v>163.679</v>
      </c>
      <c r="Q73" s="22">
        <v>-1.7495699999999999E-2</v>
      </c>
      <c r="R73" s="22">
        <v>63</v>
      </c>
      <c r="S73" s="22">
        <v>0.21679699999999999</v>
      </c>
      <c r="T73">
        <f t="shared" si="2"/>
        <v>17.495699999999999</v>
      </c>
      <c r="U73">
        <f t="shared" si="3"/>
        <v>3.8015531745</v>
      </c>
      <c r="X73" s="9"/>
      <c r="Y73" s="22">
        <v>1.5127600000000001</v>
      </c>
      <c r="Z73" s="22">
        <v>219.83600000000001</v>
      </c>
      <c r="AA73" s="22">
        <v>-1.6232300000000002E-2</v>
      </c>
      <c r="AB73" s="22">
        <v>63</v>
      </c>
      <c r="AC73" s="22">
        <v>1.5118400000000001</v>
      </c>
      <c r="AD73">
        <f t="shared" si="4"/>
        <v>16.232300000000002</v>
      </c>
      <c r="AE73">
        <f t="shared" si="5"/>
        <v>24.555574148000005</v>
      </c>
      <c r="AF73" s="9"/>
      <c r="AG73" s="22">
        <v>0.21728500000000001</v>
      </c>
      <c r="AH73" s="22">
        <v>350.50599999999997</v>
      </c>
      <c r="AI73" s="22">
        <v>-1.7498799999999998E-2</v>
      </c>
      <c r="AJ73" s="22">
        <v>63</v>
      </c>
      <c r="AK73" s="22">
        <v>0.21652199999999999</v>
      </c>
      <c r="AL73">
        <f t="shared" si="6"/>
        <v>17.498799999999999</v>
      </c>
      <c r="AM73">
        <f t="shared" si="7"/>
        <v>3.8022267579999998</v>
      </c>
      <c r="AP73" s="9"/>
      <c r="AQ73" s="22">
        <v>1.5127600000000001</v>
      </c>
      <c r="AR73" s="22">
        <v>428.38799999999998</v>
      </c>
      <c r="AS73" s="22">
        <v>-1.6253699999999999E-2</v>
      </c>
      <c r="AT73" s="22">
        <v>63</v>
      </c>
      <c r="AU73" s="22">
        <v>1.5124500000000001</v>
      </c>
      <c r="AV73">
        <f t="shared" si="8"/>
        <v>16.253699999999998</v>
      </c>
      <c r="AW73">
        <f t="shared" si="9"/>
        <v>24.587947212</v>
      </c>
      <c r="AX73" s="9"/>
      <c r="AY73" s="22">
        <v>0.21728500000000001</v>
      </c>
      <c r="AZ73" s="22">
        <v>479.40100000000001</v>
      </c>
      <c r="BA73" s="22">
        <v>-1.7517100000000001E-2</v>
      </c>
      <c r="BB73" s="22">
        <v>63</v>
      </c>
      <c r="BC73" s="22">
        <v>0.21667500000000001</v>
      </c>
      <c r="BD73">
        <f t="shared" si="10"/>
        <v>17.517099999999999</v>
      </c>
      <c r="BE73">
        <f t="shared" si="11"/>
        <v>3.8062030734999999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114.678</v>
      </c>
      <c r="I74" s="22">
        <v>-1.6012599999999998E-2</v>
      </c>
      <c r="J74" s="22">
        <v>64</v>
      </c>
      <c r="K74" s="22">
        <v>1.5081800000000001</v>
      </c>
      <c r="L74">
        <f t="shared" si="0"/>
        <v>16.012599999999999</v>
      </c>
      <c r="M74">
        <f t="shared" si="1"/>
        <v>24.142517271999999</v>
      </c>
      <c r="N74" s="9"/>
      <c r="O74" s="22">
        <v>0.22232099999999999</v>
      </c>
      <c r="P74" s="22">
        <v>163.78</v>
      </c>
      <c r="Q74" s="22">
        <v>-1.74927E-2</v>
      </c>
      <c r="R74" s="22">
        <v>64</v>
      </c>
      <c r="S74" s="22">
        <v>0.22164900000000001</v>
      </c>
      <c r="T74">
        <f t="shared" si="2"/>
        <v>17.492699999999999</v>
      </c>
      <c r="U74">
        <f t="shared" si="3"/>
        <v>3.8889945566999997</v>
      </c>
      <c r="X74" s="9"/>
      <c r="Y74" s="22">
        <v>1.5077199999999999</v>
      </c>
      <c r="Z74" s="22">
        <v>219.93700000000001</v>
      </c>
      <c r="AA74" s="22">
        <v>-1.6253699999999999E-2</v>
      </c>
      <c r="AB74" s="22">
        <v>64</v>
      </c>
      <c r="AC74" s="22">
        <v>1.50665</v>
      </c>
      <c r="AD74">
        <f t="shared" si="4"/>
        <v>16.253699999999998</v>
      </c>
      <c r="AE74">
        <f t="shared" si="5"/>
        <v>24.506028563999998</v>
      </c>
      <c r="AF74" s="9"/>
      <c r="AG74" s="22">
        <v>0.22232099999999999</v>
      </c>
      <c r="AH74" s="22">
        <v>350.60700000000003</v>
      </c>
      <c r="AI74" s="22">
        <v>-1.7495699999999999E-2</v>
      </c>
      <c r="AJ74" s="22">
        <v>64</v>
      </c>
      <c r="AK74" s="22">
        <v>0.22158800000000001</v>
      </c>
      <c r="AL74">
        <f t="shared" si="6"/>
        <v>17.495699999999999</v>
      </c>
      <c r="AM74">
        <f t="shared" si="7"/>
        <v>3.8896615196999997</v>
      </c>
      <c r="AP74" s="9"/>
      <c r="AQ74" s="22">
        <v>1.5077199999999999</v>
      </c>
      <c r="AR74" s="22">
        <v>428.488</v>
      </c>
      <c r="AS74" s="22">
        <v>-1.62659E-2</v>
      </c>
      <c r="AT74" s="22">
        <v>64</v>
      </c>
      <c r="AU74" s="22">
        <v>1.50665</v>
      </c>
      <c r="AV74">
        <f t="shared" si="8"/>
        <v>16.265899999999998</v>
      </c>
      <c r="AW74">
        <f t="shared" si="9"/>
        <v>24.524422747999996</v>
      </c>
      <c r="AX74" s="9"/>
      <c r="AY74" s="22">
        <v>0.22232099999999999</v>
      </c>
      <c r="AZ74" s="22">
        <v>479.50200000000001</v>
      </c>
      <c r="BA74" s="22">
        <v>-1.7517100000000001E-2</v>
      </c>
      <c r="BB74" s="22">
        <v>64</v>
      </c>
      <c r="BC74" s="22">
        <v>0.22174099999999999</v>
      </c>
      <c r="BD74">
        <f t="shared" si="10"/>
        <v>17.517099999999999</v>
      </c>
      <c r="BE74">
        <f t="shared" si="11"/>
        <v>3.8944191890999997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114.779</v>
      </c>
      <c r="I75" s="22">
        <v>-1.6030900000000001E-2</v>
      </c>
      <c r="J75" s="22">
        <v>65</v>
      </c>
      <c r="K75" s="22">
        <v>1.5020800000000001</v>
      </c>
      <c r="L75">
        <f t="shared" si="0"/>
        <v>16.030899999999999</v>
      </c>
      <c r="M75">
        <f t="shared" si="1"/>
        <v>24.089473121000001</v>
      </c>
      <c r="N75" s="9"/>
      <c r="O75" s="22">
        <v>0.227356</v>
      </c>
      <c r="P75" s="22">
        <v>163.881</v>
      </c>
      <c r="Q75" s="22">
        <v>-1.74927E-2</v>
      </c>
      <c r="R75" s="22">
        <v>65</v>
      </c>
      <c r="S75" s="22">
        <v>0.226746</v>
      </c>
      <c r="T75">
        <f t="shared" si="2"/>
        <v>17.492699999999999</v>
      </c>
      <c r="U75">
        <f t="shared" si="3"/>
        <v>3.9770703011999999</v>
      </c>
      <c r="X75" s="9"/>
      <c r="Y75" s="22">
        <v>1.5026900000000001</v>
      </c>
      <c r="Z75" s="22">
        <v>220.03700000000001</v>
      </c>
      <c r="AA75" s="22">
        <v>-1.6271999999999998E-2</v>
      </c>
      <c r="AB75" s="22">
        <v>65</v>
      </c>
      <c r="AC75" s="22">
        <v>1.50177</v>
      </c>
      <c r="AD75">
        <f t="shared" si="4"/>
        <v>16.271999999999998</v>
      </c>
      <c r="AE75">
        <f t="shared" si="5"/>
        <v>24.45177168</v>
      </c>
      <c r="AF75" s="9"/>
      <c r="AG75" s="22">
        <v>0.227356</v>
      </c>
      <c r="AH75" s="22">
        <v>350.70800000000003</v>
      </c>
      <c r="AI75" s="22">
        <v>-1.74927E-2</v>
      </c>
      <c r="AJ75" s="22">
        <v>65</v>
      </c>
      <c r="AK75" s="22">
        <v>0.22665399999999999</v>
      </c>
      <c r="AL75">
        <f t="shared" si="6"/>
        <v>17.492699999999999</v>
      </c>
      <c r="AM75">
        <f t="shared" si="7"/>
        <v>3.9770703011999999</v>
      </c>
      <c r="AP75" s="9"/>
      <c r="AQ75" s="22">
        <v>1.5026900000000001</v>
      </c>
      <c r="AR75" s="22">
        <v>428.589</v>
      </c>
      <c r="AS75" s="22">
        <v>-1.6284199999999999E-2</v>
      </c>
      <c r="AT75" s="22">
        <v>65</v>
      </c>
      <c r="AU75" s="22">
        <v>1.50177</v>
      </c>
      <c r="AV75">
        <f t="shared" si="8"/>
        <v>16.284199999999998</v>
      </c>
      <c r="AW75">
        <f t="shared" si="9"/>
        <v>24.470104497999998</v>
      </c>
      <c r="AX75" s="9"/>
      <c r="AY75" s="22">
        <v>0.227356</v>
      </c>
      <c r="AZ75" s="22">
        <v>479.60300000000001</v>
      </c>
      <c r="BA75" s="22">
        <v>-1.75079E-2</v>
      </c>
      <c r="BB75" s="22">
        <v>65</v>
      </c>
      <c r="BC75" s="22">
        <v>0.226685</v>
      </c>
      <c r="BD75">
        <f t="shared" si="10"/>
        <v>17.507899999999999</v>
      </c>
      <c r="BE75">
        <f t="shared" si="11"/>
        <v>3.9805261123999998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114.88</v>
      </c>
      <c r="I76" s="22">
        <v>-1.60492E-2</v>
      </c>
      <c r="J76" s="22">
        <v>66</v>
      </c>
      <c r="K76" s="22">
        <v>1.49658</v>
      </c>
      <c r="L76">
        <f t="shared" ref="L76:L139" si="12">-I76/$F$2*1000</f>
        <v>16.049199999999999</v>
      </c>
      <c r="M76">
        <f t="shared" ref="M76:M139" si="13">L76*G76</f>
        <v>24.036084379999998</v>
      </c>
      <c r="N76" s="9"/>
      <c r="O76" s="22">
        <v>0.23239099999999999</v>
      </c>
      <c r="P76" s="22">
        <v>163.98099999999999</v>
      </c>
      <c r="Q76" s="22">
        <v>-1.7486600000000001E-2</v>
      </c>
      <c r="R76" s="22">
        <v>66</v>
      </c>
      <c r="S76" s="22">
        <v>0.231873</v>
      </c>
      <c r="T76">
        <f t="shared" ref="T76:T139" si="14">-Q76/$F$2*1000</f>
        <v>17.486600000000003</v>
      </c>
      <c r="U76">
        <f t="shared" ref="U76:U139" si="15">T76*O76</f>
        <v>4.0637284606000001</v>
      </c>
      <c r="X76" s="9"/>
      <c r="Y76" s="22">
        <v>1.4976499999999999</v>
      </c>
      <c r="Z76" s="22">
        <v>220.13800000000001</v>
      </c>
      <c r="AA76" s="22">
        <v>-1.6296399999999999E-2</v>
      </c>
      <c r="AB76" s="22">
        <v>66</v>
      </c>
      <c r="AC76" s="22">
        <v>1.49658</v>
      </c>
      <c r="AD76">
        <f t="shared" ref="AD76:AD139" si="16">-AA76/$F$2*1000</f>
        <v>16.296399999999998</v>
      </c>
      <c r="AE76">
        <f t="shared" ref="AE76:AE139" si="17">AD76*Y76</f>
        <v>24.406303459999997</v>
      </c>
      <c r="AF76" s="9"/>
      <c r="AG76" s="22">
        <v>0.23239099999999999</v>
      </c>
      <c r="AH76" s="22">
        <v>350.80799999999999</v>
      </c>
      <c r="AI76" s="22">
        <v>-1.7489600000000001E-2</v>
      </c>
      <c r="AJ76" s="22">
        <v>66</v>
      </c>
      <c r="AK76" s="22">
        <v>0.23175000000000001</v>
      </c>
      <c r="AL76">
        <f t="shared" ref="AL76:AL139" si="18">-AI76/$F$2*1000</f>
        <v>17.489599999999999</v>
      </c>
      <c r="AM76">
        <f t="shared" ref="AM76:AM139" si="19">AL76*AG76</f>
        <v>4.0644256336</v>
      </c>
      <c r="AP76" s="9"/>
      <c r="AQ76" s="22">
        <v>1.4976499999999999</v>
      </c>
      <c r="AR76" s="22">
        <v>428.69</v>
      </c>
      <c r="AS76" s="22">
        <v>-1.62933E-2</v>
      </c>
      <c r="AT76" s="22">
        <v>66</v>
      </c>
      <c r="AU76" s="22">
        <v>1.49658</v>
      </c>
      <c r="AV76">
        <f t="shared" ref="AV76:AV139" si="20">-AS76/$F$2*1000</f>
        <v>16.293299999999999</v>
      </c>
      <c r="AW76">
        <f t="shared" ref="AW76:AW139" si="21">AV76*AQ76</f>
        <v>24.401660744999997</v>
      </c>
      <c r="AX76" s="9"/>
      <c r="AY76" s="22">
        <v>0.23239099999999999</v>
      </c>
      <c r="AZ76" s="22">
        <v>479.70299999999997</v>
      </c>
      <c r="BA76" s="22">
        <v>-1.75049E-2</v>
      </c>
      <c r="BB76" s="22">
        <v>66</v>
      </c>
      <c r="BC76" s="22">
        <v>0.23184199999999999</v>
      </c>
      <c r="BD76">
        <f t="shared" ref="BD76:BD139" si="22">-BA76/$F$2*1000</f>
        <v>17.504899999999999</v>
      </c>
      <c r="BE76">
        <f t="shared" ref="BE76:BE139" si="23">BD76*AY76</f>
        <v>4.0679812158999997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114.98</v>
      </c>
      <c r="I77" s="22">
        <v>-1.6076699999999999E-2</v>
      </c>
      <c r="J77" s="22">
        <v>67</v>
      </c>
      <c r="K77" s="22">
        <v>1.492</v>
      </c>
      <c r="L77">
        <f t="shared" si="12"/>
        <v>16.076699999999999</v>
      </c>
      <c r="M77">
        <f t="shared" si="13"/>
        <v>23.996243186999997</v>
      </c>
      <c r="N77" s="9"/>
      <c r="O77" s="22">
        <v>0.237427</v>
      </c>
      <c r="P77" s="22">
        <v>164.08199999999999</v>
      </c>
      <c r="Q77" s="22">
        <v>-1.7483499999999999E-2</v>
      </c>
      <c r="R77" s="22">
        <v>67</v>
      </c>
      <c r="S77" s="22">
        <v>0.236847</v>
      </c>
      <c r="T77">
        <f t="shared" si="14"/>
        <v>17.483499999999999</v>
      </c>
      <c r="U77">
        <f t="shared" si="15"/>
        <v>4.1510549545000002</v>
      </c>
      <c r="X77" s="9"/>
      <c r="Y77" s="22">
        <v>1.49261</v>
      </c>
      <c r="Z77" s="22">
        <v>220.239</v>
      </c>
      <c r="AA77" s="22">
        <v>-1.6302500000000001E-2</v>
      </c>
      <c r="AB77" s="22">
        <v>67</v>
      </c>
      <c r="AC77" s="22">
        <v>1.4917</v>
      </c>
      <c r="AD77">
        <f t="shared" si="16"/>
        <v>16.302500000000002</v>
      </c>
      <c r="AE77">
        <f t="shared" si="17"/>
        <v>24.333274525000004</v>
      </c>
      <c r="AF77" s="9"/>
      <c r="AG77" s="22">
        <v>0.237427</v>
      </c>
      <c r="AH77" s="22">
        <v>350.90899999999999</v>
      </c>
      <c r="AI77" s="22">
        <v>-1.7483499999999999E-2</v>
      </c>
      <c r="AJ77" s="22">
        <v>67</v>
      </c>
      <c r="AK77" s="22">
        <v>0.23666400000000001</v>
      </c>
      <c r="AL77">
        <f t="shared" si="18"/>
        <v>17.483499999999999</v>
      </c>
      <c r="AM77">
        <f t="shared" si="19"/>
        <v>4.1510549545000002</v>
      </c>
      <c r="AP77" s="9"/>
      <c r="AQ77" s="22">
        <v>1.49261</v>
      </c>
      <c r="AR77" s="22">
        <v>428.79</v>
      </c>
      <c r="AS77" s="22">
        <v>-1.6305500000000001E-2</v>
      </c>
      <c r="AT77" s="22">
        <v>67</v>
      </c>
      <c r="AU77" s="22">
        <v>1.4917</v>
      </c>
      <c r="AV77">
        <f t="shared" si="20"/>
        <v>16.305500000000002</v>
      </c>
      <c r="AW77">
        <f t="shared" si="21"/>
        <v>24.337752355000003</v>
      </c>
      <c r="AX77" s="9"/>
      <c r="AY77" s="22">
        <v>0.237427</v>
      </c>
      <c r="AZ77" s="22">
        <v>479.80399999999997</v>
      </c>
      <c r="BA77" s="22">
        <v>-1.75049E-2</v>
      </c>
      <c r="BB77" s="22">
        <v>67</v>
      </c>
      <c r="BC77" s="22">
        <v>0.23696900000000001</v>
      </c>
      <c r="BD77">
        <f t="shared" si="22"/>
        <v>17.504899999999999</v>
      </c>
      <c r="BE77">
        <f t="shared" si="23"/>
        <v>4.1561358923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115.081</v>
      </c>
      <c r="I78" s="22">
        <v>-1.6091899999999999E-2</v>
      </c>
      <c r="J78" s="22">
        <v>68</v>
      </c>
      <c r="K78" s="22">
        <v>1.48651</v>
      </c>
      <c r="L78">
        <f t="shared" si="12"/>
        <v>16.091899999999999</v>
      </c>
      <c r="M78">
        <f t="shared" si="13"/>
        <v>23.937988601999997</v>
      </c>
      <c r="N78" s="9"/>
      <c r="O78" s="22">
        <v>0.24246200000000001</v>
      </c>
      <c r="P78" s="22">
        <v>164.18299999999999</v>
      </c>
      <c r="Q78" s="22">
        <v>-1.74805E-2</v>
      </c>
      <c r="R78" s="22">
        <v>68</v>
      </c>
      <c r="S78" s="22">
        <v>0.242035</v>
      </c>
      <c r="T78">
        <f t="shared" si="14"/>
        <v>17.480499999999999</v>
      </c>
      <c r="U78">
        <f t="shared" si="15"/>
        <v>4.2383569909999999</v>
      </c>
      <c r="X78" s="9"/>
      <c r="Y78" s="22">
        <v>1.4875799999999999</v>
      </c>
      <c r="Z78" s="22">
        <v>220.34</v>
      </c>
      <c r="AA78" s="22">
        <v>-1.63208E-2</v>
      </c>
      <c r="AB78" s="22">
        <v>68</v>
      </c>
      <c r="AC78" s="22">
        <v>1.48682</v>
      </c>
      <c r="AD78">
        <f t="shared" si="16"/>
        <v>16.320799999999998</v>
      </c>
      <c r="AE78">
        <f t="shared" si="17"/>
        <v>24.278495663999998</v>
      </c>
      <c r="AF78" s="9"/>
      <c r="AG78" s="22">
        <v>0.24246200000000001</v>
      </c>
      <c r="AH78" s="22">
        <v>351.01</v>
      </c>
      <c r="AI78" s="22">
        <v>-1.74805E-2</v>
      </c>
      <c r="AJ78" s="22">
        <v>68</v>
      </c>
      <c r="AK78" s="22">
        <v>0.242065</v>
      </c>
      <c r="AL78">
        <f t="shared" si="18"/>
        <v>17.480499999999999</v>
      </c>
      <c r="AM78">
        <f t="shared" si="19"/>
        <v>4.2383569909999999</v>
      </c>
      <c r="AP78" s="9"/>
      <c r="AQ78" s="22">
        <v>1.4875799999999999</v>
      </c>
      <c r="AR78" s="22">
        <v>428.89100000000002</v>
      </c>
      <c r="AS78" s="22">
        <v>-1.63208E-2</v>
      </c>
      <c r="AT78" s="22">
        <v>68</v>
      </c>
      <c r="AU78" s="22">
        <v>1.48621</v>
      </c>
      <c r="AV78">
        <f t="shared" si="20"/>
        <v>16.320799999999998</v>
      </c>
      <c r="AW78">
        <f t="shared" si="21"/>
        <v>24.278495663999998</v>
      </c>
      <c r="AX78" s="9"/>
      <c r="AY78" s="22">
        <v>0.24246200000000001</v>
      </c>
      <c r="AZ78" s="22">
        <v>479.90499999999997</v>
      </c>
      <c r="BA78" s="22">
        <v>-1.75049E-2</v>
      </c>
      <c r="BB78" s="22">
        <v>68</v>
      </c>
      <c r="BC78" s="22">
        <v>0.24182100000000001</v>
      </c>
      <c r="BD78">
        <f t="shared" si="22"/>
        <v>17.504899999999999</v>
      </c>
      <c r="BE78">
        <f t="shared" si="23"/>
        <v>4.2442730637999997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115.182</v>
      </c>
      <c r="I79" s="22">
        <v>-1.61163E-2</v>
      </c>
      <c r="J79" s="22">
        <v>69</v>
      </c>
      <c r="K79" s="22">
        <v>1.48193</v>
      </c>
      <c r="L79">
        <f t="shared" si="12"/>
        <v>16.116299999999999</v>
      </c>
      <c r="M79">
        <f t="shared" si="13"/>
        <v>23.893059401999999</v>
      </c>
      <c r="N79" s="9"/>
      <c r="O79" s="22">
        <v>0.247498</v>
      </c>
      <c r="P79" s="22">
        <v>164.28299999999999</v>
      </c>
      <c r="Q79" s="22">
        <v>-1.7477400000000001E-2</v>
      </c>
      <c r="R79" s="22">
        <v>69</v>
      </c>
      <c r="S79" s="22">
        <v>0.246887</v>
      </c>
      <c r="T79">
        <f t="shared" si="14"/>
        <v>17.477399999999999</v>
      </c>
      <c r="U79">
        <f t="shared" si="15"/>
        <v>4.3256215451999998</v>
      </c>
      <c r="X79" s="9"/>
      <c r="Y79" s="22">
        <v>1.48254</v>
      </c>
      <c r="Z79" s="22">
        <v>220.44</v>
      </c>
      <c r="AA79" s="22">
        <v>-1.6339099999999999E-2</v>
      </c>
      <c r="AB79" s="22">
        <v>69</v>
      </c>
      <c r="AC79" s="22">
        <v>1.48193</v>
      </c>
      <c r="AD79">
        <f t="shared" si="16"/>
        <v>16.339099999999998</v>
      </c>
      <c r="AE79">
        <f t="shared" si="17"/>
        <v>24.223369313999996</v>
      </c>
      <c r="AF79" s="9"/>
      <c r="AG79" s="22">
        <v>0.247498</v>
      </c>
      <c r="AH79" s="22">
        <v>351.11099999999999</v>
      </c>
      <c r="AI79" s="22">
        <v>-1.7477400000000001E-2</v>
      </c>
      <c r="AJ79" s="22">
        <v>69</v>
      </c>
      <c r="AK79" s="22">
        <v>0.246887</v>
      </c>
      <c r="AL79">
        <f t="shared" si="18"/>
        <v>17.477399999999999</v>
      </c>
      <c r="AM79">
        <f t="shared" si="19"/>
        <v>4.3256215451999998</v>
      </c>
      <c r="AP79" s="9"/>
      <c r="AQ79" s="22">
        <v>1.48254</v>
      </c>
      <c r="AR79" s="22">
        <v>428.99200000000002</v>
      </c>
      <c r="AS79" s="22">
        <v>-1.6333E-2</v>
      </c>
      <c r="AT79" s="22">
        <v>69</v>
      </c>
      <c r="AU79" s="22">
        <v>1.48163</v>
      </c>
      <c r="AV79">
        <f t="shared" si="20"/>
        <v>16.333000000000002</v>
      </c>
      <c r="AW79">
        <f t="shared" si="21"/>
        <v>24.214325820000003</v>
      </c>
      <c r="AX79" s="9"/>
      <c r="AY79" s="22">
        <v>0.247498</v>
      </c>
      <c r="AZ79" s="22">
        <v>480.00599999999997</v>
      </c>
      <c r="BA79" s="22">
        <v>-1.7498799999999998E-2</v>
      </c>
      <c r="BB79" s="22">
        <v>69</v>
      </c>
      <c r="BC79" s="22">
        <v>0.246674</v>
      </c>
      <c r="BD79">
        <f t="shared" si="22"/>
        <v>17.498799999999999</v>
      </c>
      <c r="BE79">
        <f t="shared" si="23"/>
        <v>4.3309180023999998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115.282</v>
      </c>
      <c r="I80" s="22">
        <v>-1.6146899999999999E-2</v>
      </c>
      <c r="J80" s="22">
        <v>70</v>
      </c>
      <c r="K80" s="22">
        <v>1.47705</v>
      </c>
      <c r="L80">
        <f t="shared" si="12"/>
        <v>16.146899999999999</v>
      </c>
      <c r="M80">
        <f t="shared" si="13"/>
        <v>23.857206218999998</v>
      </c>
      <c r="N80" s="9"/>
      <c r="O80" s="22">
        <v>0.25253300000000001</v>
      </c>
      <c r="P80" s="22">
        <v>164.38399999999999</v>
      </c>
      <c r="Q80" s="22">
        <v>-1.7474400000000001E-2</v>
      </c>
      <c r="R80" s="22">
        <v>70</v>
      </c>
      <c r="S80" s="22">
        <v>0.25170900000000002</v>
      </c>
      <c r="T80">
        <f t="shared" si="14"/>
        <v>17.474400000000003</v>
      </c>
      <c r="U80">
        <f t="shared" si="15"/>
        <v>4.4128626552000005</v>
      </c>
      <c r="X80" s="9"/>
      <c r="Y80" s="22">
        <v>1.4775100000000001</v>
      </c>
      <c r="Z80" s="22">
        <v>220.541</v>
      </c>
      <c r="AA80" s="22">
        <v>-1.6354400000000002E-2</v>
      </c>
      <c r="AB80" s="22">
        <v>70</v>
      </c>
      <c r="AC80" s="22">
        <v>1.47705</v>
      </c>
      <c r="AD80">
        <f t="shared" si="16"/>
        <v>16.354400000000002</v>
      </c>
      <c r="AE80">
        <f t="shared" si="17"/>
        <v>24.163789544000004</v>
      </c>
      <c r="AF80" s="9"/>
      <c r="AG80" s="22">
        <v>0.25253300000000001</v>
      </c>
      <c r="AH80" s="22">
        <v>351.21100000000001</v>
      </c>
      <c r="AI80" s="22">
        <v>-1.7474400000000001E-2</v>
      </c>
      <c r="AJ80" s="22">
        <v>70</v>
      </c>
      <c r="AK80" s="22">
        <v>0.25176999999999999</v>
      </c>
      <c r="AL80">
        <f t="shared" si="18"/>
        <v>17.474400000000003</v>
      </c>
      <c r="AM80">
        <f t="shared" si="19"/>
        <v>4.4128626552000005</v>
      </c>
      <c r="AP80" s="9"/>
      <c r="AQ80" s="22">
        <v>1.4775100000000001</v>
      </c>
      <c r="AR80" s="22">
        <v>429.09300000000002</v>
      </c>
      <c r="AS80" s="22">
        <v>-1.6345200000000001E-2</v>
      </c>
      <c r="AT80" s="22">
        <v>70</v>
      </c>
      <c r="AU80" s="22">
        <v>1.47644</v>
      </c>
      <c r="AV80">
        <f t="shared" si="20"/>
        <v>16.345200000000002</v>
      </c>
      <c r="AW80">
        <f t="shared" si="21"/>
        <v>24.150196452000003</v>
      </c>
      <c r="AX80" s="9"/>
      <c r="AY80" s="22">
        <v>0.25253300000000001</v>
      </c>
      <c r="AZ80" s="22">
        <v>480.10599999999999</v>
      </c>
      <c r="BA80" s="22">
        <v>-1.74927E-2</v>
      </c>
      <c r="BB80" s="22">
        <v>70</v>
      </c>
      <c r="BC80" s="22">
        <v>0.25192300000000001</v>
      </c>
      <c r="BD80">
        <f t="shared" si="22"/>
        <v>17.492699999999999</v>
      </c>
      <c r="BE80">
        <f t="shared" si="23"/>
        <v>4.4174840090999998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115.383</v>
      </c>
      <c r="I81" s="22">
        <v>-1.6174299999999999E-2</v>
      </c>
      <c r="J81" s="22">
        <v>71</v>
      </c>
      <c r="K81" s="22">
        <v>1.4718599999999999</v>
      </c>
      <c r="L81">
        <f t="shared" si="12"/>
        <v>16.174299999999999</v>
      </c>
      <c r="M81">
        <f t="shared" si="13"/>
        <v>23.816171520999998</v>
      </c>
      <c r="N81" s="9"/>
      <c r="O81" s="22">
        <v>0.25756800000000002</v>
      </c>
      <c r="P81" s="22">
        <v>164.48500000000001</v>
      </c>
      <c r="Q81" s="22">
        <v>-1.7468299999999999E-2</v>
      </c>
      <c r="R81" s="22">
        <v>71</v>
      </c>
      <c r="S81" s="22">
        <v>0.25686599999999998</v>
      </c>
      <c r="T81">
        <f t="shared" si="14"/>
        <v>17.468299999999999</v>
      </c>
      <c r="U81">
        <f t="shared" si="15"/>
        <v>4.4992750943999997</v>
      </c>
      <c r="X81" s="9"/>
      <c r="Y81" s="22">
        <v>1.4724699999999999</v>
      </c>
      <c r="Z81" s="22">
        <v>220.642</v>
      </c>
      <c r="AA81" s="22">
        <v>-1.6366599999999999E-2</v>
      </c>
      <c r="AB81" s="22">
        <v>71</v>
      </c>
      <c r="AC81" s="22">
        <v>1.4718599999999999</v>
      </c>
      <c r="AD81">
        <f t="shared" si="16"/>
        <v>16.366599999999998</v>
      </c>
      <c r="AE81">
        <f t="shared" si="17"/>
        <v>24.099327501999998</v>
      </c>
      <c r="AF81" s="9"/>
      <c r="AG81" s="22">
        <v>0.25756800000000002</v>
      </c>
      <c r="AH81" s="22">
        <v>351.31200000000001</v>
      </c>
      <c r="AI81" s="22">
        <v>-1.7471299999999999E-2</v>
      </c>
      <c r="AJ81" s="22">
        <v>71</v>
      </c>
      <c r="AK81" s="22">
        <v>0.25683600000000001</v>
      </c>
      <c r="AL81">
        <f t="shared" si="18"/>
        <v>17.471299999999999</v>
      </c>
      <c r="AM81">
        <f t="shared" si="19"/>
        <v>4.5000477983999998</v>
      </c>
      <c r="AP81" s="9"/>
      <c r="AQ81" s="22">
        <v>1.4724699999999999</v>
      </c>
      <c r="AR81" s="22">
        <v>429.19299999999998</v>
      </c>
      <c r="AS81" s="22">
        <v>-1.6357400000000001E-2</v>
      </c>
      <c r="AT81" s="22">
        <v>71</v>
      </c>
      <c r="AU81" s="22">
        <v>1.47156</v>
      </c>
      <c r="AV81">
        <f t="shared" si="20"/>
        <v>16.357400000000002</v>
      </c>
      <c r="AW81">
        <f t="shared" si="21"/>
        <v>24.085780778000004</v>
      </c>
      <c r="AX81" s="9"/>
      <c r="AY81" s="22">
        <v>0.25756800000000002</v>
      </c>
      <c r="AZ81" s="22">
        <v>480.20699999999999</v>
      </c>
      <c r="BA81" s="22">
        <v>-1.74927E-2</v>
      </c>
      <c r="BB81" s="22">
        <v>71</v>
      </c>
      <c r="BC81" s="22">
        <v>0.25689699999999999</v>
      </c>
      <c r="BD81">
        <f t="shared" si="22"/>
        <v>17.492699999999999</v>
      </c>
      <c r="BE81">
        <f t="shared" si="23"/>
        <v>4.5055597536000001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115.48399999999999</v>
      </c>
      <c r="I82" s="22">
        <v>-1.61957E-2</v>
      </c>
      <c r="J82" s="22">
        <v>72</v>
      </c>
      <c r="K82" s="22">
        <v>1.46637</v>
      </c>
      <c r="L82">
        <f t="shared" si="12"/>
        <v>16.195699999999999</v>
      </c>
      <c r="M82">
        <f t="shared" si="13"/>
        <v>23.766218007999999</v>
      </c>
      <c r="N82" s="9"/>
      <c r="O82" s="22">
        <v>0.262604</v>
      </c>
      <c r="P82" s="22">
        <v>164.58600000000001</v>
      </c>
      <c r="Q82" s="22">
        <v>-1.7468299999999999E-2</v>
      </c>
      <c r="R82" s="22">
        <v>72</v>
      </c>
      <c r="S82" s="22">
        <v>0.26202399999999998</v>
      </c>
      <c r="T82">
        <f t="shared" si="14"/>
        <v>17.468299999999999</v>
      </c>
      <c r="U82">
        <f t="shared" si="15"/>
        <v>4.5872454531999995</v>
      </c>
      <c r="X82" s="9"/>
      <c r="Y82" s="22">
        <v>1.4674400000000001</v>
      </c>
      <c r="Z82" s="22">
        <v>220.74199999999999</v>
      </c>
      <c r="AA82" s="22">
        <v>-1.6384900000000001E-2</v>
      </c>
      <c r="AB82" s="22">
        <v>72</v>
      </c>
      <c r="AC82" s="22">
        <v>1.4666699999999999</v>
      </c>
      <c r="AD82">
        <f t="shared" si="16"/>
        <v>16.384900000000002</v>
      </c>
      <c r="AE82">
        <f t="shared" si="17"/>
        <v>24.043857656000004</v>
      </c>
      <c r="AF82" s="9"/>
      <c r="AG82" s="22">
        <v>0.262604</v>
      </c>
      <c r="AH82" s="22">
        <v>351.41300000000001</v>
      </c>
      <c r="AI82" s="22">
        <v>-1.7468299999999999E-2</v>
      </c>
      <c r="AJ82" s="22">
        <v>72</v>
      </c>
      <c r="AK82" s="22">
        <v>0.26190200000000002</v>
      </c>
      <c r="AL82">
        <f t="shared" si="18"/>
        <v>17.468299999999999</v>
      </c>
      <c r="AM82">
        <f t="shared" si="19"/>
        <v>4.5872454531999995</v>
      </c>
      <c r="AP82" s="9"/>
      <c r="AQ82" s="22">
        <v>1.4674400000000001</v>
      </c>
      <c r="AR82" s="22">
        <v>429.29399999999998</v>
      </c>
      <c r="AS82" s="22">
        <v>-1.6369600000000002E-2</v>
      </c>
      <c r="AT82" s="22">
        <v>72</v>
      </c>
      <c r="AU82" s="22">
        <v>1.4666699999999999</v>
      </c>
      <c r="AV82">
        <f t="shared" si="20"/>
        <v>16.369600000000002</v>
      </c>
      <c r="AW82">
        <f t="shared" si="21"/>
        <v>24.021405824000006</v>
      </c>
      <c r="AX82" s="9"/>
      <c r="AY82" s="22">
        <v>0.262604</v>
      </c>
      <c r="AZ82" s="22">
        <v>480.30799999999999</v>
      </c>
      <c r="BA82" s="22">
        <v>-1.7489600000000001E-2</v>
      </c>
      <c r="BB82" s="22">
        <v>72</v>
      </c>
      <c r="BC82" s="22">
        <v>0.26187100000000002</v>
      </c>
      <c r="BD82">
        <f t="shared" si="22"/>
        <v>17.489599999999999</v>
      </c>
      <c r="BE82">
        <f t="shared" si="23"/>
        <v>4.5928389184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115.58499999999999</v>
      </c>
      <c r="I83" s="22">
        <v>-1.62262E-2</v>
      </c>
      <c r="J83" s="22">
        <v>73</v>
      </c>
      <c r="K83" s="22">
        <v>1.4611799999999999</v>
      </c>
      <c r="L83">
        <f t="shared" si="12"/>
        <v>16.226199999999999</v>
      </c>
      <c r="M83">
        <f t="shared" si="13"/>
        <v>23.729194879999998</v>
      </c>
      <c r="N83" s="9"/>
      <c r="O83" s="22">
        <v>0.26763900000000002</v>
      </c>
      <c r="P83" s="22">
        <v>164.68600000000001</v>
      </c>
      <c r="Q83" s="22">
        <v>-1.7462200000000001E-2</v>
      </c>
      <c r="R83" s="22">
        <v>73</v>
      </c>
      <c r="S83" s="22">
        <v>0.26712000000000002</v>
      </c>
      <c r="T83">
        <f t="shared" si="14"/>
        <v>17.462199999999999</v>
      </c>
      <c r="U83">
        <f t="shared" si="15"/>
        <v>4.6735657458000004</v>
      </c>
      <c r="X83" s="9"/>
      <c r="Y83" s="22">
        <v>1.4623999999999999</v>
      </c>
      <c r="Z83" s="22">
        <v>220.84299999999999</v>
      </c>
      <c r="AA83" s="22">
        <v>-1.6390999999999999E-2</v>
      </c>
      <c r="AB83" s="22">
        <v>73</v>
      </c>
      <c r="AC83" s="22">
        <v>1.4617899999999999</v>
      </c>
      <c r="AD83">
        <f t="shared" si="16"/>
        <v>16.390999999999998</v>
      </c>
      <c r="AE83">
        <f t="shared" si="17"/>
        <v>23.970198399999997</v>
      </c>
      <c r="AF83" s="9"/>
      <c r="AG83" s="22">
        <v>0.26763900000000002</v>
      </c>
      <c r="AH83" s="22">
        <v>351.51299999999998</v>
      </c>
      <c r="AI83" s="22">
        <v>-1.74652E-2</v>
      </c>
      <c r="AJ83" s="22">
        <v>73</v>
      </c>
      <c r="AK83" s="22">
        <v>0.266876</v>
      </c>
      <c r="AL83">
        <f t="shared" si="18"/>
        <v>17.465199999999999</v>
      </c>
      <c r="AM83">
        <f t="shared" si="19"/>
        <v>4.6743686628000001</v>
      </c>
      <c r="AP83" s="9"/>
      <c r="AQ83" s="22">
        <v>1.4623999999999999</v>
      </c>
      <c r="AR83" s="22">
        <v>429.39499999999998</v>
      </c>
      <c r="AS83" s="22">
        <v>-1.6381799999999998E-2</v>
      </c>
      <c r="AT83" s="22">
        <v>73</v>
      </c>
      <c r="AU83" s="22">
        <v>1.46149</v>
      </c>
      <c r="AV83">
        <f t="shared" si="20"/>
        <v>16.381799999999998</v>
      </c>
      <c r="AW83">
        <f t="shared" si="21"/>
        <v>23.956744319999995</v>
      </c>
      <c r="AX83" s="9"/>
      <c r="AY83" s="22">
        <v>0.26763900000000002</v>
      </c>
      <c r="AZ83" s="22">
        <v>480.40800000000002</v>
      </c>
      <c r="BA83" s="22">
        <v>-1.7483499999999999E-2</v>
      </c>
      <c r="BB83" s="22">
        <v>73</v>
      </c>
      <c r="BC83" s="22">
        <v>0.26699800000000001</v>
      </c>
      <c r="BD83">
        <f t="shared" si="22"/>
        <v>17.483499999999999</v>
      </c>
      <c r="BE83">
        <f t="shared" si="23"/>
        <v>4.6792664564999997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115.685</v>
      </c>
      <c r="I84" s="22">
        <v>-1.6244499999999999E-2</v>
      </c>
      <c r="J84" s="22">
        <v>74</v>
      </c>
      <c r="K84" s="22">
        <v>1.4572099999999999</v>
      </c>
      <c r="L84">
        <f t="shared" si="12"/>
        <v>16.244499999999999</v>
      </c>
      <c r="M84">
        <f t="shared" si="13"/>
        <v>23.674246964999998</v>
      </c>
      <c r="N84" s="9"/>
      <c r="O84" s="22">
        <v>0.272675</v>
      </c>
      <c r="P84" s="22">
        <v>164.78700000000001</v>
      </c>
      <c r="Q84" s="22">
        <v>-1.7459100000000002E-2</v>
      </c>
      <c r="R84" s="22">
        <v>74</v>
      </c>
      <c r="S84" s="22">
        <v>0.27218599999999998</v>
      </c>
      <c r="T84">
        <f t="shared" si="14"/>
        <v>17.459100000000003</v>
      </c>
      <c r="U84">
        <f t="shared" si="15"/>
        <v>4.7606600925000011</v>
      </c>
      <c r="X84" s="9"/>
      <c r="Y84" s="22">
        <v>1.4573700000000001</v>
      </c>
      <c r="Z84" s="22">
        <v>220.94399999999999</v>
      </c>
      <c r="AA84" s="22">
        <v>-1.6400100000000001E-2</v>
      </c>
      <c r="AB84" s="22">
        <v>74</v>
      </c>
      <c r="AC84" s="22">
        <v>1.4565999999999999</v>
      </c>
      <c r="AD84">
        <f t="shared" si="16"/>
        <v>16.400100000000002</v>
      </c>
      <c r="AE84">
        <f t="shared" si="17"/>
        <v>23.901013737000003</v>
      </c>
      <c r="AF84" s="9"/>
      <c r="AG84" s="22">
        <v>0.272675</v>
      </c>
      <c r="AH84" s="22">
        <v>351.61399999999998</v>
      </c>
      <c r="AI84" s="22">
        <v>-1.74652E-2</v>
      </c>
      <c r="AJ84" s="22">
        <v>74</v>
      </c>
      <c r="AK84" s="22">
        <v>0.27197300000000002</v>
      </c>
      <c r="AL84">
        <f t="shared" si="18"/>
        <v>17.465199999999999</v>
      </c>
      <c r="AM84">
        <f t="shared" si="19"/>
        <v>4.7623234099999996</v>
      </c>
      <c r="AP84" s="9"/>
      <c r="AQ84" s="22">
        <v>1.4573700000000001</v>
      </c>
      <c r="AR84" s="22">
        <v>429.495</v>
      </c>
      <c r="AS84" s="22">
        <v>-1.63879E-2</v>
      </c>
      <c r="AT84" s="22">
        <v>74</v>
      </c>
      <c r="AU84" s="22">
        <v>1.4565999999999999</v>
      </c>
      <c r="AV84">
        <f t="shared" si="20"/>
        <v>16.387900000000002</v>
      </c>
      <c r="AW84">
        <f t="shared" si="21"/>
        <v>23.883233823000005</v>
      </c>
      <c r="AX84" s="9"/>
      <c r="AY84" s="22">
        <v>0.272675</v>
      </c>
      <c r="AZ84" s="22">
        <v>480.50900000000001</v>
      </c>
      <c r="BA84" s="22">
        <v>-1.7483499999999999E-2</v>
      </c>
      <c r="BB84" s="22">
        <v>74</v>
      </c>
      <c r="BC84" s="22">
        <v>0.27218599999999998</v>
      </c>
      <c r="BD84">
        <f t="shared" si="22"/>
        <v>17.483499999999999</v>
      </c>
      <c r="BE84">
        <f t="shared" si="23"/>
        <v>4.7673133624999995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115.786</v>
      </c>
      <c r="I85" s="22">
        <v>-1.62781E-2</v>
      </c>
      <c r="J85" s="22">
        <v>75</v>
      </c>
      <c r="K85" s="22">
        <v>1.4511099999999999</v>
      </c>
      <c r="L85">
        <f t="shared" si="12"/>
        <v>16.278099999999998</v>
      </c>
      <c r="M85">
        <f t="shared" si="13"/>
        <v>23.641172972999996</v>
      </c>
      <c r="N85" s="9"/>
      <c r="O85" s="22">
        <v>0.27771000000000001</v>
      </c>
      <c r="P85" s="22">
        <v>164.88800000000001</v>
      </c>
      <c r="Q85" s="22">
        <v>-1.7456099999999999E-2</v>
      </c>
      <c r="R85" s="22">
        <v>75</v>
      </c>
      <c r="S85" s="22">
        <v>0.277252</v>
      </c>
      <c r="T85">
        <f t="shared" si="14"/>
        <v>17.456099999999999</v>
      </c>
      <c r="U85">
        <f t="shared" si="15"/>
        <v>4.8477335310000003</v>
      </c>
      <c r="X85" s="9"/>
      <c r="Y85" s="22">
        <v>1.4523299999999999</v>
      </c>
      <c r="Z85" s="22">
        <v>221.04499999999999</v>
      </c>
      <c r="AA85" s="22">
        <v>-1.6409300000000002E-2</v>
      </c>
      <c r="AB85" s="22">
        <v>75</v>
      </c>
      <c r="AC85" s="22">
        <v>1.4508099999999999</v>
      </c>
      <c r="AD85">
        <f t="shared" si="16"/>
        <v>16.409300000000002</v>
      </c>
      <c r="AE85">
        <f t="shared" si="17"/>
        <v>23.831718669000001</v>
      </c>
      <c r="AF85" s="9"/>
      <c r="AG85" s="22">
        <v>0.27771000000000001</v>
      </c>
      <c r="AH85" s="22">
        <v>351.71499999999997</v>
      </c>
      <c r="AI85" s="22">
        <v>-1.7462200000000001E-2</v>
      </c>
      <c r="AJ85" s="22">
        <v>75</v>
      </c>
      <c r="AK85" s="22">
        <v>0.27703899999999998</v>
      </c>
      <c r="AL85">
        <f t="shared" si="18"/>
        <v>17.462199999999999</v>
      </c>
      <c r="AM85">
        <f t="shared" si="19"/>
        <v>4.8494275619999998</v>
      </c>
      <c r="AP85" s="9"/>
      <c r="AQ85" s="22">
        <v>1.4523299999999999</v>
      </c>
      <c r="AR85" s="22">
        <v>429.596</v>
      </c>
      <c r="AS85" s="22">
        <v>-1.64032E-2</v>
      </c>
      <c r="AT85" s="22">
        <v>75</v>
      </c>
      <c r="AU85" s="22">
        <v>1.4517199999999999</v>
      </c>
      <c r="AV85">
        <f t="shared" si="20"/>
        <v>16.403199999999998</v>
      </c>
      <c r="AW85">
        <f t="shared" si="21"/>
        <v>23.822859455999996</v>
      </c>
      <c r="AX85" s="9"/>
      <c r="AY85" s="22">
        <v>0.27771000000000001</v>
      </c>
      <c r="AZ85" s="22">
        <v>480.61</v>
      </c>
      <c r="BA85" s="22">
        <v>-1.74805E-2</v>
      </c>
      <c r="BB85" s="22">
        <v>75</v>
      </c>
      <c r="BC85" s="22">
        <v>0.27706900000000001</v>
      </c>
      <c r="BD85">
        <f t="shared" si="22"/>
        <v>17.480499999999999</v>
      </c>
      <c r="BE85">
        <f t="shared" si="23"/>
        <v>4.8545096550000002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115.887</v>
      </c>
      <c r="I86" s="22">
        <v>-1.6302500000000001E-2</v>
      </c>
      <c r="J86" s="22">
        <v>76</v>
      </c>
      <c r="K86" s="22">
        <v>1.4468399999999999</v>
      </c>
      <c r="L86">
        <f t="shared" si="12"/>
        <v>16.302500000000002</v>
      </c>
      <c r="M86">
        <f t="shared" si="13"/>
        <v>23.594608250000004</v>
      </c>
      <c r="N86" s="9"/>
      <c r="O86" s="22">
        <v>0.28274500000000002</v>
      </c>
      <c r="P86" s="22">
        <v>164.988</v>
      </c>
      <c r="Q86" s="22">
        <v>-1.7456099999999999E-2</v>
      </c>
      <c r="R86" s="22">
        <v>76</v>
      </c>
      <c r="S86" s="22">
        <v>0.28213500000000002</v>
      </c>
      <c r="T86">
        <f t="shared" si="14"/>
        <v>17.456099999999999</v>
      </c>
      <c r="U86">
        <f t="shared" si="15"/>
        <v>4.9356249945000004</v>
      </c>
      <c r="X86" s="9"/>
      <c r="Y86" s="22">
        <v>1.4473</v>
      </c>
      <c r="Z86" s="22">
        <v>221.14500000000001</v>
      </c>
      <c r="AA86" s="22">
        <v>-1.6424600000000001E-2</v>
      </c>
      <c r="AB86" s="22">
        <v>76</v>
      </c>
      <c r="AC86" s="22">
        <v>1.4465300000000001</v>
      </c>
      <c r="AD86">
        <f t="shared" si="16"/>
        <v>16.424600000000002</v>
      </c>
      <c r="AE86">
        <f t="shared" si="17"/>
        <v>23.771323580000004</v>
      </c>
      <c r="AF86" s="9"/>
      <c r="AG86" s="22">
        <v>0.28274500000000002</v>
      </c>
      <c r="AH86" s="22">
        <v>351.81599999999997</v>
      </c>
      <c r="AI86" s="22">
        <v>-1.7459100000000002E-2</v>
      </c>
      <c r="AJ86" s="22">
        <v>76</v>
      </c>
      <c r="AK86" s="22">
        <v>0.28195199999999998</v>
      </c>
      <c r="AL86">
        <f t="shared" si="18"/>
        <v>17.459100000000003</v>
      </c>
      <c r="AM86">
        <f t="shared" si="19"/>
        <v>4.9364732295000016</v>
      </c>
      <c r="AP86" s="9"/>
      <c r="AQ86" s="22">
        <v>1.4473</v>
      </c>
      <c r="AR86" s="22">
        <v>429.697</v>
      </c>
      <c r="AS86" s="22">
        <v>-1.6409300000000002E-2</v>
      </c>
      <c r="AT86" s="22">
        <v>76</v>
      </c>
      <c r="AU86" s="22">
        <v>1.4465300000000001</v>
      </c>
      <c r="AV86">
        <f t="shared" si="20"/>
        <v>16.409300000000002</v>
      </c>
      <c r="AW86">
        <f t="shared" si="21"/>
        <v>23.749179890000004</v>
      </c>
      <c r="AX86" s="9"/>
      <c r="AY86" s="22">
        <v>0.28274500000000002</v>
      </c>
      <c r="AZ86" s="22">
        <v>480.71100000000001</v>
      </c>
      <c r="BA86" s="22">
        <v>-1.7471299999999999E-2</v>
      </c>
      <c r="BB86" s="22">
        <v>76</v>
      </c>
      <c r="BC86" s="22">
        <v>0.28213500000000002</v>
      </c>
      <c r="BD86">
        <f t="shared" si="22"/>
        <v>17.471299999999999</v>
      </c>
      <c r="BE86">
        <f t="shared" si="23"/>
        <v>4.9399227185000001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115.98699999999999</v>
      </c>
      <c r="I87" s="22">
        <v>-1.6311599999999999E-2</v>
      </c>
      <c r="J87" s="22">
        <v>77</v>
      </c>
      <c r="K87" s="22">
        <v>1.4419599999999999</v>
      </c>
      <c r="L87">
        <f t="shared" si="12"/>
        <v>16.311599999999999</v>
      </c>
      <c r="M87">
        <f t="shared" si="13"/>
        <v>23.525568216</v>
      </c>
      <c r="N87" s="9"/>
      <c r="O87" s="22">
        <v>0.28778100000000001</v>
      </c>
      <c r="P87" s="22">
        <v>165.089</v>
      </c>
      <c r="Q87" s="22">
        <v>-1.7446900000000001E-2</v>
      </c>
      <c r="R87" s="22">
        <v>77</v>
      </c>
      <c r="S87" s="22">
        <v>0.28714000000000001</v>
      </c>
      <c r="T87">
        <f t="shared" si="14"/>
        <v>17.446900000000003</v>
      </c>
      <c r="U87">
        <f t="shared" si="15"/>
        <v>5.0208863289000014</v>
      </c>
      <c r="X87" s="9"/>
      <c r="Y87" s="22">
        <v>1.4422600000000001</v>
      </c>
      <c r="Z87" s="22">
        <v>221.24600000000001</v>
      </c>
      <c r="AA87" s="22">
        <v>-1.6436800000000001E-2</v>
      </c>
      <c r="AB87" s="22">
        <v>77</v>
      </c>
      <c r="AC87" s="22">
        <v>1.4419599999999999</v>
      </c>
      <c r="AD87">
        <f t="shared" si="16"/>
        <v>16.436800000000002</v>
      </c>
      <c r="AE87">
        <f t="shared" si="17"/>
        <v>23.706139168000004</v>
      </c>
      <c r="AF87" s="9"/>
      <c r="AG87" s="22">
        <v>0.28778100000000001</v>
      </c>
      <c r="AH87" s="22">
        <v>351.916</v>
      </c>
      <c r="AI87" s="22">
        <v>-1.7456099999999999E-2</v>
      </c>
      <c r="AJ87" s="22">
        <v>77</v>
      </c>
      <c r="AK87" s="22">
        <v>0.287109</v>
      </c>
      <c r="AL87">
        <f t="shared" si="18"/>
        <v>17.456099999999999</v>
      </c>
      <c r="AM87">
        <f t="shared" si="19"/>
        <v>5.0235339140999997</v>
      </c>
      <c r="AP87" s="9"/>
      <c r="AQ87" s="22">
        <v>1.4422600000000001</v>
      </c>
      <c r="AR87" s="22">
        <v>429.79700000000003</v>
      </c>
      <c r="AS87" s="22">
        <v>-1.64154E-2</v>
      </c>
      <c r="AT87" s="22">
        <v>77</v>
      </c>
      <c r="AU87" s="22">
        <v>1.4413499999999999</v>
      </c>
      <c r="AV87">
        <f t="shared" si="20"/>
        <v>16.415400000000002</v>
      </c>
      <c r="AW87">
        <f t="shared" si="21"/>
        <v>23.675274804000004</v>
      </c>
      <c r="AX87" s="9"/>
      <c r="AY87" s="22">
        <v>0.28778100000000001</v>
      </c>
      <c r="AZ87" s="22">
        <v>480.81099999999998</v>
      </c>
      <c r="BA87" s="22">
        <v>-1.7471299999999999E-2</v>
      </c>
      <c r="BB87" s="22">
        <v>77</v>
      </c>
      <c r="BC87" s="22">
        <v>0.287109</v>
      </c>
      <c r="BD87">
        <f t="shared" si="22"/>
        <v>17.471299999999999</v>
      </c>
      <c r="BE87">
        <f t="shared" si="23"/>
        <v>5.0279081853000003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116.08799999999999</v>
      </c>
      <c r="I88" s="22">
        <v>-1.6326899999999998E-2</v>
      </c>
      <c r="J88" s="22">
        <v>78</v>
      </c>
      <c r="K88" s="22">
        <v>1.4364600000000001</v>
      </c>
      <c r="L88">
        <f t="shared" si="12"/>
        <v>16.326899999999998</v>
      </c>
      <c r="M88">
        <f t="shared" si="13"/>
        <v>23.465510487</v>
      </c>
      <c r="N88" s="9"/>
      <c r="O88" s="22">
        <v>0.29281600000000002</v>
      </c>
      <c r="P88" s="22">
        <v>165.19</v>
      </c>
      <c r="Q88" s="22">
        <v>-1.7446900000000001E-2</v>
      </c>
      <c r="R88" s="22">
        <v>78</v>
      </c>
      <c r="S88" s="22">
        <v>0.292236</v>
      </c>
      <c r="T88">
        <f t="shared" si="14"/>
        <v>17.446900000000003</v>
      </c>
      <c r="U88">
        <f t="shared" si="15"/>
        <v>5.1087314704000013</v>
      </c>
      <c r="X88" s="9"/>
      <c r="Y88" s="22">
        <v>1.43723</v>
      </c>
      <c r="Z88" s="22">
        <v>221.34700000000001</v>
      </c>
      <c r="AA88" s="22">
        <v>-1.6445899999999999E-2</v>
      </c>
      <c r="AB88" s="22">
        <v>78</v>
      </c>
      <c r="AC88" s="22">
        <v>1.4364600000000001</v>
      </c>
      <c r="AD88">
        <f t="shared" si="16"/>
        <v>16.445899999999998</v>
      </c>
      <c r="AE88">
        <f t="shared" si="17"/>
        <v>23.636540856999996</v>
      </c>
      <c r="AF88" s="9"/>
      <c r="AG88" s="22">
        <v>0.29281600000000002</v>
      </c>
      <c r="AH88" s="22">
        <v>352.017</v>
      </c>
      <c r="AI88" s="22">
        <v>-1.7453E-2</v>
      </c>
      <c r="AJ88" s="22">
        <v>78</v>
      </c>
      <c r="AK88" s="22">
        <v>0.29214499999999999</v>
      </c>
      <c r="AL88">
        <f t="shared" si="18"/>
        <v>17.452999999999999</v>
      </c>
      <c r="AM88">
        <f t="shared" si="19"/>
        <v>5.1105176480000001</v>
      </c>
      <c r="AP88" s="9"/>
      <c r="AQ88" s="22">
        <v>1.43723</v>
      </c>
      <c r="AR88" s="22">
        <v>429.89800000000002</v>
      </c>
      <c r="AS88" s="22">
        <v>-1.6430699999999999E-2</v>
      </c>
      <c r="AT88" s="22">
        <v>78</v>
      </c>
      <c r="AU88" s="22">
        <v>1.4364600000000001</v>
      </c>
      <c r="AV88">
        <f t="shared" si="20"/>
        <v>16.430699999999998</v>
      </c>
      <c r="AW88">
        <f t="shared" si="21"/>
        <v>23.614694960999998</v>
      </c>
      <c r="AX88" s="9"/>
      <c r="AY88" s="22">
        <v>0.29281600000000002</v>
      </c>
      <c r="AZ88" s="22">
        <v>480.91199999999998</v>
      </c>
      <c r="BA88" s="22">
        <v>-1.7468299999999999E-2</v>
      </c>
      <c r="BB88" s="22">
        <v>78</v>
      </c>
      <c r="BC88" s="22">
        <v>0.29208400000000001</v>
      </c>
      <c r="BD88">
        <f t="shared" si="22"/>
        <v>17.468299999999999</v>
      </c>
      <c r="BE88">
        <f t="shared" si="23"/>
        <v>5.1149977328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116.18899999999999</v>
      </c>
      <c r="I89" s="22">
        <v>-1.6339099999999999E-2</v>
      </c>
      <c r="J89" s="22">
        <v>79</v>
      </c>
      <c r="K89" s="22">
        <v>1.4315800000000001</v>
      </c>
      <c r="L89">
        <f t="shared" si="12"/>
        <v>16.339099999999998</v>
      </c>
      <c r="M89">
        <f t="shared" si="13"/>
        <v>23.400695628999998</v>
      </c>
      <c r="N89" s="9"/>
      <c r="O89" s="22">
        <v>0.29785200000000001</v>
      </c>
      <c r="P89" s="22">
        <v>165.291</v>
      </c>
      <c r="Q89" s="22">
        <v>-1.7443799999999999E-2</v>
      </c>
      <c r="R89" s="22">
        <v>79</v>
      </c>
      <c r="S89" s="22">
        <v>0.297211</v>
      </c>
      <c r="T89">
        <f t="shared" si="14"/>
        <v>17.4438</v>
      </c>
      <c r="U89">
        <f t="shared" si="15"/>
        <v>5.1956707175999997</v>
      </c>
      <c r="X89" s="9"/>
      <c r="Y89" s="22">
        <v>1.4321900000000001</v>
      </c>
      <c r="Z89" s="22">
        <v>221.447</v>
      </c>
      <c r="AA89" s="22">
        <v>-1.64551E-2</v>
      </c>
      <c r="AB89" s="22">
        <v>79</v>
      </c>
      <c r="AC89" s="22">
        <v>1.4309700000000001</v>
      </c>
      <c r="AD89">
        <f t="shared" si="16"/>
        <v>16.455100000000002</v>
      </c>
      <c r="AE89">
        <f t="shared" si="17"/>
        <v>23.566829669000004</v>
      </c>
      <c r="AF89" s="9"/>
      <c r="AG89" s="22">
        <v>0.29785200000000001</v>
      </c>
      <c r="AH89" s="22">
        <v>352.11799999999999</v>
      </c>
      <c r="AI89" s="22">
        <v>-1.7446900000000001E-2</v>
      </c>
      <c r="AJ89" s="22">
        <v>79</v>
      </c>
      <c r="AK89" s="22">
        <v>0.29711900000000002</v>
      </c>
      <c r="AL89">
        <f t="shared" si="18"/>
        <v>17.446900000000003</v>
      </c>
      <c r="AM89">
        <f t="shared" si="19"/>
        <v>5.1965940588000006</v>
      </c>
      <c r="AP89" s="9"/>
      <c r="AQ89" s="22">
        <v>1.4321900000000001</v>
      </c>
      <c r="AR89" s="22">
        <v>429.99900000000002</v>
      </c>
      <c r="AS89" s="22">
        <v>-1.6436800000000001E-2</v>
      </c>
      <c r="AT89" s="22">
        <v>79</v>
      </c>
      <c r="AU89" s="22">
        <v>1.4309700000000001</v>
      </c>
      <c r="AV89">
        <f t="shared" si="20"/>
        <v>16.436800000000002</v>
      </c>
      <c r="AW89">
        <f t="shared" si="21"/>
        <v>23.540620592000003</v>
      </c>
      <c r="AX89" s="9"/>
      <c r="AY89" s="22">
        <v>0.29785200000000001</v>
      </c>
      <c r="AZ89" s="22">
        <v>481.01299999999998</v>
      </c>
      <c r="BA89" s="22">
        <v>-1.74652E-2</v>
      </c>
      <c r="BB89" s="22">
        <v>79</v>
      </c>
      <c r="BC89" s="22">
        <v>0.29745500000000002</v>
      </c>
      <c r="BD89">
        <f t="shared" si="22"/>
        <v>17.465199999999999</v>
      </c>
      <c r="BE89">
        <f t="shared" si="23"/>
        <v>5.2020447503999998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116.29</v>
      </c>
      <c r="I90" s="22">
        <v>-1.6354400000000002E-2</v>
      </c>
      <c r="J90" s="22">
        <v>80</v>
      </c>
      <c r="K90" s="22">
        <v>1.42639</v>
      </c>
      <c r="L90">
        <f t="shared" si="12"/>
        <v>16.354400000000002</v>
      </c>
      <c r="M90">
        <f t="shared" si="13"/>
        <v>23.340181960000002</v>
      </c>
      <c r="N90" s="9"/>
      <c r="O90" s="22">
        <v>0.30288700000000002</v>
      </c>
      <c r="P90" s="22">
        <v>165.39099999999999</v>
      </c>
      <c r="Q90" s="22">
        <v>-1.7443799999999999E-2</v>
      </c>
      <c r="R90" s="22">
        <v>80</v>
      </c>
      <c r="S90" s="22">
        <v>0.302124</v>
      </c>
      <c r="T90">
        <f t="shared" si="14"/>
        <v>17.4438</v>
      </c>
      <c r="U90">
        <f t="shared" si="15"/>
        <v>5.2835002506000004</v>
      </c>
      <c r="X90" s="9"/>
      <c r="Y90" s="22">
        <v>1.4271499999999999</v>
      </c>
      <c r="Z90" s="22">
        <v>221.548</v>
      </c>
      <c r="AA90" s="22">
        <v>-1.6464199999999998E-2</v>
      </c>
      <c r="AB90" s="22">
        <v>80</v>
      </c>
      <c r="AC90" s="22">
        <v>1.42639</v>
      </c>
      <c r="AD90">
        <f t="shared" si="16"/>
        <v>16.464199999999998</v>
      </c>
      <c r="AE90">
        <f t="shared" si="17"/>
        <v>23.496883029999996</v>
      </c>
      <c r="AF90" s="9"/>
      <c r="AG90" s="22">
        <v>0.30288700000000002</v>
      </c>
      <c r="AH90" s="22">
        <v>352.21800000000002</v>
      </c>
      <c r="AI90" s="22">
        <v>-1.7440799999999999E-2</v>
      </c>
      <c r="AJ90" s="22">
        <v>80</v>
      </c>
      <c r="AK90" s="22">
        <v>0.302124</v>
      </c>
      <c r="AL90">
        <f t="shared" si="18"/>
        <v>17.440799999999999</v>
      </c>
      <c r="AM90">
        <f t="shared" si="19"/>
        <v>5.2825915896</v>
      </c>
      <c r="AP90" s="9"/>
      <c r="AQ90" s="22">
        <v>1.4271499999999999</v>
      </c>
      <c r="AR90" s="22">
        <v>430.1</v>
      </c>
      <c r="AS90" s="22">
        <v>-1.6445899999999999E-2</v>
      </c>
      <c r="AT90" s="22">
        <v>80</v>
      </c>
      <c r="AU90" s="22">
        <v>1.4267000000000001</v>
      </c>
      <c r="AV90">
        <f t="shared" si="20"/>
        <v>16.445899999999998</v>
      </c>
      <c r="AW90">
        <f t="shared" si="21"/>
        <v>23.470766184999995</v>
      </c>
      <c r="AX90" s="9"/>
      <c r="AY90" s="22">
        <v>0.30288700000000002</v>
      </c>
      <c r="AZ90" s="22">
        <v>481.113</v>
      </c>
      <c r="BA90" s="22">
        <v>-1.7462200000000001E-2</v>
      </c>
      <c r="BB90" s="22">
        <v>80</v>
      </c>
      <c r="BC90" s="22">
        <v>0.30239899999999997</v>
      </c>
      <c r="BD90">
        <f t="shared" si="22"/>
        <v>17.462199999999999</v>
      </c>
      <c r="BE90">
        <f t="shared" si="23"/>
        <v>5.2890733713999998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116.39</v>
      </c>
      <c r="I91" s="22">
        <v>-1.63605E-2</v>
      </c>
      <c r="J91" s="22">
        <v>81</v>
      </c>
      <c r="K91" s="22">
        <v>1.42059</v>
      </c>
      <c r="L91">
        <f t="shared" si="12"/>
        <v>16.360500000000002</v>
      </c>
      <c r="M91">
        <f t="shared" si="13"/>
        <v>23.266594260000005</v>
      </c>
      <c r="N91" s="9"/>
      <c r="O91" s="22">
        <v>0.30792199999999997</v>
      </c>
      <c r="P91" s="22">
        <v>165.49199999999999</v>
      </c>
      <c r="Q91" s="22">
        <v>-1.7434700000000001E-2</v>
      </c>
      <c r="R91" s="22">
        <v>81</v>
      </c>
      <c r="S91" s="22">
        <v>0.30737300000000001</v>
      </c>
      <c r="T91">
        <f t="shared" si="14"/>
        <v>17.434699999999999</v>
      </c>
      <c r="U91">
        <f t="shared" si="15"/>
        <v>5.368527693399999</v>
      </c>
      <c r="X91" s="9"/>
      <c r="Y91" s="22">
        <v>1.4221200000000001</v>
      </c>
      <c r="Z91" s="22">
        <v>221.649</v>
      </c>
      <c r="AA91" s="22">
        <v>-1.6479500000000001E-2</v>
      </c>
      <c r="AB91" s="22">
        <v>81</v>
      </c>
      <c r="AC91" s="22">
        <v>1.4212</v>
      </c>
      <c r="AD91">
        <f t="shared" si="16"/>
        <v>16.479500000000002</v>
      </c>
      <c r="AE91">
        <f t="shared" si="17"/>
        <v>23.435826540000004</v>
      </c>
      <c r="AF91" s="9"/>
      <c r="AG91" s="22">
        <v>0.30792199999999997</v>
      </c>
      <c r="AH91" s="22">
        <v>352.31900000000002</v>
      </c>
      <c r="AI91" s="22">
        <v>-1.7440799999999999E-2</v>
      </c>
      <c r="AJ91" s="22">
        <v>81</v>
      </c>
      <c r="AK91" s="22">
        <v>0.30719000000000002</v>
      </c>
      <c r="AL91">
        <f t="shared" si="18"/>
        <v>17.440799999999999</v>
      </c>
      <c r="AM91">
        <f t="shared" si="19"/>
        <v>5.3704060175999997</v>
      </c>
      <c r="AP91" s="9"/>
      <c r="AQ91" s="22">
        <v>1.4221200000000001</v>
      </c>
      <c r="AR91" s="22">
        <v>430.2</v>
      </c>
      <c r="AS91" s="22">
        <v>-1.6452000000000001E-2</v>
      </c>
      <c r="AT91" s="22">
        <v>81</v>
      </c>
      <c r="AU91" s="22">
        <v>1.42181</v>
      </c>
      <c r="AV91">
        <f t="shared" si="20"/>
        <v>16.452000000000002</v>
      </c>
      <c r="AW91">
        <f t="shared" si="21"/>
        <v>23.396718240000002</v>
      </c>
      <c r="AX91" s="9"/>
      <c r="AY91" s="22">
        <v>0.30792199999999997</v>
      </c>
      <c r="AZ91" s="22">
        <v>481.214</v>
      </c>
      <c r="BA91" s="22">
        <v>-1.7459100000000002E-2</v>
      </c>
      <c r="BB91" s="22">
        <v>81</v>
      </c>
      <c r="BC91" s="22">
        <v>0.30731199999999997</v>
      </c>
      <c r="BD91">
        <f t="shared" si="22"/>
        <v>17.459100000000003</v>
      </c>
      <c r="BE91">
        <f t="shared" si="23"/>
        <v>5.3760409902000008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116.491</v>
      </c>
      <c r="I92" s="22">
        <v>-1.63727E-2</v>
      </c>
      <c r="J92" s="22">
        <v>82</v>
      </c>
      <c r="K92" s="22">
        <v>1.4166300000000001</v>
      </c>
      <c r="L92">
        <f t="shared" si="12"/>
        <v>16.372700000000002</v>
      </c>
      <c r="M92">
        <f t="shared" si="13"/>
        <v>23.201425715999999</v>
      </c>
      <c r="N92" s="9"/>
      <c r="O92" s="22">
        <v>0.31295800000000001</v>
      </c>
      <c r="P92" s="22">
        <v>165.59299999999999</v>
      </c>
      <c r="Q92" s="22">
        <v>-1.7434700000000001E-2</v>
      </c>
      <c r="R92" s="22">
        <v>82</v>
      </c>
      <c r="S92" s="22">
        <v>0.31231700000000001</v>
      </c>
      <c r="T92">
        <f t="shared" si="14"/>
        <v>17.434699999999999</v>
      </c>
      <c r="U92">
        <f t="shared" si="15"/>
        <v>5.4563288425999996</v>
      </c>
      <c r="X92" s="9"/>
      <c r="Y92" s="22">
        <v>1.4170799999999999</v>
      </c>
      <c r="Z92" s="22">
        <v>221.75</v>
      </c>
      <c r="AA92" s="22">
        <v>-1.6479500000000001E-2</v>
      </c>
      <c r="AB92" s="22">
        <v>82</v>
      </c>
      <c r="AC92" s="22">
        <v>1.4166300000000001</v>
      </c>
      <c r="AD92">
        <f t="shared" si="16"/>
        <v>16.479500000000002</v>
      </c>
      <c r="AE92">
        <f t="shared" si="17"/>
        <v>23.352769860000002</v>
      </c>
      <c r="AF92" s="9"/>
      <c r="AG92" s="22">
        <v>0.31295800000000001</v>
      </c>
      <c r="AH92" s="22">
        <v>352.42</v>
      </c>
      <c r="AI92" s="22">
        <v>-1.74377E-2</v>
      </c>
      <c r="AJ92" s="22">
        <v>82</v>
      </c>
      <c r="AK92" s="22">
        <v>0.31222499999999997</v>
      </c>
      <c r="AL92">
        <f t="shared" si="18"/>
        <v>17.4377</v>
      </c>
      <c r="AM92">
        <f t="shared" si="19"/>
        <v>5.4572677166000005</v>
      </c>
      <c r="AP92" s="9"/>
      <c r="AQ92" s="22">
        <v>1.4170799999999999</v>
      </c>
      <c r="AR92" s="22">
        <v>430.30099999999999</v>
      </c>
      <c r="AS92" s="22">
        <v>-1.6461199999999999E-2</v>
      </c>
      <c r="AT92" s="22">
        <v>82</v>
      </c>
      <c r="AU92" s="22">
        <v>1.41632</v>
      </c>
      <c r="AV92">
        <f t="shared" si="20"/>
        <v>16.461199999999998</v>
      </c>
      <c r="AW92">
        <f t="shared" si="21"/>
        <v>23.326837295999997</v>
      </c>
      <c r="AX92" s="9"/>
      <c r="AY92" s="22">
        <v>0.31295800000000001</v>
      </c>
      <c r="AZ92" s="22">
        <v>481.315</v>
      </c>
      <c r="BA92" s="22">
        <v>-1.7456099999999999E-2</v>
      </c>
      <c r="BB92" s="22">
        <v>82</v>
      </c>
      <c r="BC92" s="22">
        <v>0.31243900000000002</v>
      </c>
      <c r="BD92">
        <f t="shared" si="22"/>
        <v>17.456099999999999</v>
      </c>
      <c r="BE92">
        <f t="shared" si="23"/>
        <v>5.4630261437999996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116.592</v>
      </c>
      <c r="I93" s="22">
        <v>-1.6381799999999998E-2</v>
      </c>
      <c r="J93" s="22">
        <v>83</v>
      </c>
      <c r="K93" s="22">
        <v>1.41113</v>
      </c>
      <c r="L93">
        <f t="shared" si="12"/>
        <v>16.381799999999998</v>
      </c>
      <c r="M93">
        <f t="shared" si="13"/>
        <v>23.131920689999998</v>
      </c>
      <c r="N93" s="9"/>
      <c r="O93" s="22">
        <v>0.31799300000000003</v>
      </c>
      <c r="P93" s="22">
        <v>165.69300000000001</v>
      </c>
      <c r="Q93" s="22">
        <v>-1.7428599999999999E-2</v>
      </c>
      <c r="R93" s="22">
        <v>83</v>
      </c>
      <c r="S93" s="22">
        <v>0.31707800000000003</v>
      </c>
      <c r="T93">
        <f t="shared" si="14"/>
        <v>17.428599999999999</v>
      </c>
      <c r="U93">
        <f t="shared" si="15"/>
        <v>5.5421727998000003</v>
      </c>
      <c r="X93" s="9"/>
      <c r="Y93" s="22">
        <v>1.41205</v>
      </c>
      <c r="Z93" s="22">
        <v>221.85</v>
      </c>
      <c r="AA93" s="22">
        <v>-1.6488599999999999E-2</v>
      </c>
      <c r="AB93" s="22">
        <v>83</v>
      </c>
      <c r="AC93" s="22">
        <v>1.41174</v>
      </c>
      <c r="AD93">
        <f t="shared" si="16"/>
        <v>16.488599999999998</v>
      </c>
      <c r="AE93">
        <f t="shared" si="17"/>
        <v>23.282727629999997</v>
      </c>
      <c r="AF93" s="9"/>
      <c r="AG93" s="22">
        <v>0.31799300000000003</v>
      </c>
      <c r="AH93" s="22">
        <v>352.52</v>
      </c>
      <c r="AI93" s="22">
        <v>-1.7434700000000001E-2</v>
      </c>
      <c r="AJ93" s="22">
        <v>83</v>
      </c>
      <c r="AK93" s="22">
        <v>0.31729099999999999</v>
      </c>
      <c r="AL93">
        <f t="shared" si="18"/>
        <v>17.434699999999999</v>
      </c>
      <c r="AM93">
        <f t="shared" si="19"/>
        <v>5.5441125571000001</v>
      </c>
      <c r="AP93" s="9"/>
      <c r="AQ93" s="22">
        <v>1.41205</v>
      </c>
      <c r="AR93" s="22">
        <v>430.40199999999999</v>
      </c>
      <c r="AS93" s="22">
        <v>-1.64703E-2</v>
      </c>
      <c r="AT93" s="22">
        <v>83</v>
      </c>
      <c r="AU93" s="22">
        <v>1.41113</v>
      </c>
      <c r="AV93">
        <f t="shared" si="20"/>
        <v>16.470300000000002</v>
      </c>
      <c r="AW93">
        <f t="shared" si="21"/>
        <v>23.256887115000001</v>
      </c>
      <c r="AX93" s="9"/>
      <c r="AY93" s="22">
        <v>0.31799300000000003</v>
      </c>
      <c r="AZ93" s="22">
        <v>481.416</v>
      </c>
      <c r="BA93" s="22">
        <v>-1.7453E-2</v>
      </c>
      <c r="BB93" s="22">
        <v>83</v>
      </c>
      <c r="BC93" s="22">
        <v>0.31726100000000002</v>
      </c>
      <c r="BD93">
        <f t="shared" si="22"/>
        <v>17.452999999999999</v>
      </c>
      <c r="BE93">
        <f t="shared" si="23"/>
        <v>5.5499318290000001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116.69199999999999</v>
      </c>
      <c r="I94" s="22">
        <v>-1.6384900000000001E-2</v>
      </c>
      <c r="J94" s="22">
        <v>84</v>
      </c>
      <c r="K94" s="22">
        <v>1.40625</v>
      </c>
      <c r="L94">
        <f t="shared" si="12"/>
        <v>16.384900000000002</v>
      </c>
      <c r="M94">
        <f t="shared" si="13"/>
        <v>23.053718149000005</v>
      </c>
      <c r="N94" s="9"/>
      <c r="O94" s="22">
        <v>0.32302900000000001</v>
      </c>
      <c r="P94" s="22">
        <v>165.79400000000001</v>
      </c>
      <c r="Q94" s="22">
        <v>-1.74255E-2</v>
      </c>
      <c r="R94" s="22">
        <v>84</v>
      </c>
      <c r="S94" s="22">
        <v>0.32232699999999997</v>
      </c>
      <c r="T94">
        <f t="shared" si="14"/>
        <v>17.4255</v>
      </c>
      <c r="U94">
        <f t="shared" si="15"/>
        <v>5.6289418395000004</v>
      </c>
      <c r="X94" s="9"/>
      <c r="Y94" s="22">
        <v>1.4070100000000001</v>
      </c>
      <c r="Z94" s="22">
        <v>221.95099999999999</v>
      </c>
      <c r="AA94" s="22">
        <v>-1.64978E-2</v>
      </c>
      <c r="AB94" s="22">
        <v>84</v>
      </c>
      <c r="AC94" s="22">
        <v>1.40594</v>
      </c>
      <c r="AD94">
        <f t="shared" si="16"/>
        <v>16.497800000000002</v>
      </c>
      <c r="AE94">
        <f t="shared" si="17"/>
        <v>23.212569578000004</v>
      </c>
      <c r="AF94" s="9"/>
      <c r="AG94" s="22">
        <v>0.32302900000000001</v>
      </c>
      <c r="AH94" s="22">
        <v>352.62099999999998</v>
      </c>
      <c r="AI94" s="22">
        <v>-1.74255E-2</v>
      </c>
      <c r="AJ94" s="22">
        <v>84</v>
      </c>
      <c r="AK94" s="22">
        <v>0.32232699999999997</v>
      </c>
      <c r="AL94">
        <f t="shared" si="18"/>
        <v>17.4255</v>
      </c>
      <c r="AM94">
        <f t="shared" si="19"/>
        <v>5.6289418395000004</v>
      </c>
      <c r="AP94" s="9"/>
      <c r="AQ94" s="22">
        <v>1.4070100000000001</v>
      </c>
      <c r="AR94" s="22">
        <v>430.50200000000001</v>
      </c>
      <c r="AS94" s="22">
        <v>-1.6482500000000001E-2</v>
      </c>
      <c r="AT94" s="22">
        <v>84</v>
      </c>
      <c r="AU94" s="22">
        <v>1.40656</v>
      </c>
      <c r="AV94">
        <f t="shared" si="20"/>
        <v>16.482500000000002</v>
      </c>
      <c r="AW94">
        <f t="shared" si="21"/>
        <v>23.191042325000005</v>
      </c>
      <c r="AX94" s="9"/>
      <c r="AY94" s="22">
        <v>0.32302900000000001</v>
      </c>
      <c r="AZ94" s="22">
        <v>481.51600000000002</v>
      </c>
      <c r="BA94" s="22">
        <v>-1.7453E-2</v>
      </c>
      <c r="BB94" s="22">
        <v>84</v>
      </c>
      <c r="BC94" s="22">
        <v>0.322266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116.79300000000001</v>
      </c>
      <c r="I95" s="22">
        <v>-1.6397100000000001E-2</v>
      </c>
      <c r="J95" s="22">
        <v>85</v>
      </c>
      <c r="K95" s="22">
        <v>1.40137</v>
      </c>
      <c r="L95">
        <f t="shared" si="12"/>
        <v>16.397100000000002</v>
      </c>
      <c r="M95">
        <f t="shared" si="13"/>
        <v>22.988406258000001</v>
      </c>
      <c r="N95" s="9"/>
      <c r="O95" s="22">
        <v>0.32806400000000002</v>
      </c>
      <c r="P95" s="22">
        <v>165.89500000000001</v>
      </c>
      <c r="Q95" s="22">
        <v>-1.74255E-2</v>
      </c>
      <c r="R95" s="22">
        <v>85</v>
      </c>
      <c r="S95" s="22">
        <v>0.32733200000000001</v>
      </c>
      <c r="T95">
        <f t="shared" si="14"/>
        <v>17.4255</v>
      </c>
      <c r="U95">
        <f t="shared" si="15"/>
        <v>5.7166792320000006</v>
      </c>
      <c r="X95" s="9"/>
      <c r="Y95" s="22">
        <v>1.40198</v>
      </c>
      <c r="Z95" s="22">
        <v>222.05199999999999</v>
      </c>
      <c r="AA95" s="22">
        <v>-1.651E-2</v>
      </c>
      <c r="AB95" s="22">
        <v>85</v>
      </c>
      <c r="AC95" s="22">
        <v>1.40106</v>
      </c>
      <c r="AD95">
        <f t="shared" si="16"/>
        <v>16.510000000000002</v>
      </c>
      <c r="AE95">
        <f t="shared" si="17"/>
        <v>23.146689800000001</v>
      </c>
      <c r="AF95" s="9"/>
      <c r="AG95" s="22">
        <v>0.32806400000000002</v>
      </c>
      <c r="AH95" s="22">
        <v>352.72199999999998</v>
      </c>
      <c r="AI95" s="22">
        <v>-1.74255E-2</v>
      </c>
      <c r="AJ95" s="22">
        <v>85</v>
      </c>
      <c r="AK95" s="22">
        <v>0.32766699999999999</v>
      </c>
      <c r="AL95">
        <f t="shared" si="18"/>
        <v>17.4255</v>
      </c>
      <c r="AM95">
        <f t="shared" si="19"/>
        <v>5.7166792320000006</v>
      </c>
      <c r="AP95" s="9"/>
      <c r="AQ95" s="22">
        <v>1.40198</v>
      </c>
      <c r="AR95" s="22">
        <v>430.60300000000001</v>
      </c>
      <c r="AS95" s="22">
        <v>-1.6482500000000001E-2</v>
      </c>
      <c r="AT95" s="22">
        <v>85</v>
      </c>
      <c r="AU95" s="22">
        <v>1.40106</v>
      </c>
      <c r="AV95">
        <f t="shared" si="20"/>
        <v>16.482500000000002</v>
      </c>
      <c r="AW95">
        <f t="shared" si="21"/>
        <v>23.108135350000001</v>
      </c>
      <c r="AX95" s="9"/>
      <c r="AY95" s="22">
        <v>0.32806400000000002</v>
      </c>
      <c r="AZ95" s="22">
        <v>481.61700000000002</v>
      </c>
      <c r="BA95" s="22">
        <v>-1.7443799999999999E-2</v>
      </c>
      <c r="BB95" s="22">
        <v>85</v>
      </c>
      <c r="BC95" s="22">
        <v>0.32736199999999999</v>
      </c>
      <c r="BD95">
        <f t="shared" si="22"/>
        <v>17.4438</v>
      </c>
      <c r="BE95">
        <f t="shared" si="23"/>
        <v>5.7226828032000006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116.89400000000001</v>
      </c>
      <c r="I96" s="22">
        <v>-1.6406299999999999E-2</v>
      </c>
      <c r="J96" s="22">
        <v>86</v>
      </c>
      <c r="K96" s="22">
        <v>1.3958699999999999</v>
      </c>
      <c r="L96">
        <f t="shared" si="12"/>
        <v>16.406299999999998</v>
      </c>
      <c r="M96">
        <f t="shared" si="13"/>
        <v>22.918616721999999</v>
      </c>
      <c r="N96" s="9"/>
      <c r="O96" s="22">
        <v>0.33309899999999998</v>
      </c>
      <c r="P96" s="22">
        <v>165.995</v>
      </c>
      <c r="Q96" s="22">
        <v>-1.7419400000000002E-2</v>
      </c>
      <c r="R96" s="22">
        <v>86</v>
      </c>
      <c r="S96" s="22">
        <v>0.33255000000000001</v>
      </c>
      <c r="T96">
        <f t="shared" si="14"/>
        <v>17.419400000000003</v>
      </c>
      <c r="U96">
        <f t="shared" si="15"/>
        <v>5.802384720600001</v>
      </c>
      <c r="X96" s="9"/>
      <c r="Y96" s="22">
        <v>1.3969400000000001</v>
      </c>
      <c r="Z96" s="22">
        <v>222.15199999999999</v>
      </c>
      <c r="AA96" s="22">
        <v>-1.6522200000000001E-2</v>
      </c>
      <c r="AB96" s="22">
        <v>86</v>
      </c>
      <c r="AC96" s="22">
        <v>1.3958699999999999</v>
      </c>
      <c r="AD96">
        <f t="shared" si="16"/>
        <v>16.522200000000002</v>
      </c>
      <c r="AE96">
        <f t="shared" si="17"/>
        <v>23.080522068000004</v>
      </c>
      <c r="AF96" s="9"/>
      <c r="AG96" s="22">
        <v>0.33309899999999998</v>
      </c>
      <c r="AH96" s="22">
        <v>352.82299999999998</v>
      </c>
      <c r="AI96" s="22">
        <v>-1.74225E-2</v>
      </c>
      <c r="AJ96" s="22">
        <v>86</v>
      </c>
      <c r="AK96" s="22">
        <v>0.33230599999999999</v>
      </c>
      <c r="AL96">
        <f t="shared" si="18"/>
        <v>17.422499999999999</v>
      </c>
      <c r="AM96">
        <f t="shared" si="19"/>
        <v>5.8034173274999992</v>
      </c>
      <c r="AP96" s="9"/>
      <c r="AQ96" s="22">
        <v>1.3969400000000001</v>
      </c>
      <c r="AR96" s="22">
        <v>430.70400000000001</v>
      </c>
      <c r="AS96" s="22">
        <v>-1.64948E-2</v>
      </c>
      <c r="AT96" s="22">
        <v>86</v>
      </c>
      <c r="AU96" s="22">
        <v>1.39618</v>
      </c>
      <c r="AV96">
        <f t="shared" si="20"/>
        <v>16.494800000000001</v>
      </c>
      <c r="AW96">
        <f t="shared" si="21"/>
        <v>23.042245912000002</v>
      </c>
      <c r="AX96" s="9"/>
      <c r="AY96" s="22">
        <v>0.33309899999999998</v>
      </c>
      <c r="AZ96" s="22">
        <v>481.71800000000002</v>
      </c>
      <c r="BA96" s="22">
        <v>-1.7443799999999999E-2</v>
      </c>
      <c r="BB96" s="22">
        <v>86</v>
      </c>
      <c r="BC96" s="22">
        <v>0.332397</v>
      </c>
      <c r="BD96">
        <f t="shared" si="22"/>
        <v>17.4438</v>
      </c>
      <c r="BE96">
        <f t="shared" si="23"/>
        <v>5.8105123361999995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116.994</v>
      </c>
      <c r="I97" s="22">
        <v>-1.6409300000000002E-2</v>
      </c>
      <c r="J97" s="22">
        <v>87</v>
      </c>
      <c r="K97" s="22">
        <v>1.3915999999999999</v>
      </c>
      <c r="L97">
        <f t="shared" si="12"/>
        <v>16.409300000000002</v>
      </c>
      <c r="M97">
        <f t="shared" si="13"/>
        <v>22.840268763000001</v>
      </c>
      <c r="N97" s="9"/>
      <c r="O97" s="22">
        <v>0.33813500000000002</v>
      </c>
      <c r="P97" s="22">
        <v>166.096</v>
      </c>
      <c r="Q97" s="22">
        <v>-1.7419400000000002E-2</v>
      </c>
      <c r="R97" s="22">
        <v>87</v>
      </c>
      <c r="S97" s="22">
        <v>0.33749400000000002</v>
      </c>
      <c r="T97">
        <f t="shared" si="14"/>
        <v>17.419400000000003</v>
      </c>
      <c r="U97">
        <f t="shared" si="15"/>
        <v>5.8901088190000017</v>
      </c>
      <c r="X97" s="9"/>
      <c r="Y97" s="22">
        <v>1.39191</v>
      </c>
      <c r="Z97" s="22">
        <v>222.25299999999999</v>
      </c>
      <c r="AA97" s="22">
        <v>-1.6528299999999999E-2</v>
      </c>
      <c r="AB97" s="22">
        <v>87</v>
      </c>
      <c r="AC97" s="22">
        <v>1.3913</v>
      </c>
      <c r="AD97">
        <f t="shared" si="16"/>
        <v>16.528299999999998</v>
      </c>
      <c r="AE97">
        <f t="shared" si="17"/>
        <v>23.005906052999997</v>
      </c>
      <c r="AF97" s="9"/>
      <c r="AG97" s="22">
        <v>0.33813500000000002</v>
      </c>
      <c r="AH97" s="22">
        <v>352.923</v>
      </c>
      <c r="AI97" s="22">
        <v>-1.7419400000000002E-2</v>
      </c>
      <c r="AJ97" s="22">
        <v>87</v>
      </c>
      <c r="AK97" s="22">
        <v>0.33743299999999998</v>
      </c>
      <c r="AL97">
        <f t="shared" si="18"/>
        <v>17.419400000000003</v>
      </c>
      <c r="AM97">
        <f t="shared" si="19"/>
        <v>5.8901088190000017</v>
      </c>
      <c r="AP97" s="9"/>
      <c r="AQ97" s="22">
        <v>1.39191</v>
      </c>
      <c r="AR97" s="22">
        <v>430.80500000000001</v>
      </c>
      <c r="AS97" s="22">
        <v>-1.6500899999999999E-2</v>
      </c>
      <c r="AT97" s="22">
        <v>87</v>
      </c>
      <c r="AU97" s="22">
        <v>1.3909899999999999</v>
      </c>
      <c r="AV97">
        <f t="shared" si="20"/>
        <v>16.500899999999998</v>
      </c>
      <c r="AW97">
        <f t="shared" si="21"/>
        <v>22.967767718999998</v>
      </c>
      <c r="AX97" s="9"/>
      <c r="AY97" s="22">
        <v>0.33813500000000002</v>
      </c>
      <c r="AZ97" s="22">
        <v>481.81799999999998</v>
      </c>
      <c r="BA97" s="22">
        <v>-1.74377E-2</v>
      </c>
      <c r="BB97" s="22">
        <v>87</v>
      </c>
      <c r="BC97" s="22">
        <v>0.33737200000000001</v>
      </c>
      <c r="BD97">
        <f t="shared" si="22"/>
        <v>17.4377</v>
      </c>
      <c r="BE97">
        <f t="shared" si="23"/>
        <v>5.8962966894999997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117.095</v>
      </c>
      <c r="I98" s="22">
        <v>-1.6421499999999999E-2</v>
      </c>
      <c r="J98" s="22">
        <v>88</v>
      </c>
      <c r="K98" s="22">
        <v>1.38611</v>
      </c>
      <c r="L98">
        <f t="shared" si="12"/>
        <v>16.421499999999998</v>
      </c>
      <c r="M98">
        <f t="shared" si="13"/>
        <v>22.774485705</v>
      </c>
      <c r="N98" s="9"/>
      <c r="O98" s="22">
        <v>0.34316999999999998</v>
      </c>
      <c r="P98" s="22">
        <v>166.197</v>
      </c>
      <c r="Q98" s="22">
        <v>-1.74133E-2</v>
      </c>
      <c r="R98" s="22">
        <v>88</v>
      </c>
      <c r="S98" s="22">
        <v>0.34231600000000001</v>
      </c>
      <c r="T98">
        <f t="shared" si="14"/>
        <v>17.4133</v>
      </c>
      <c r="U98">
        <f t="shared" si="15"/>
        <v>5.9757221609999993</v>
      </c>
      <c r="X98" s="9"/>
      <c r="Y98" s="22">
        <v>1.38687</v>
      </c>
      <c r="Z98" s="22">
        <v>222.35400000000001</v>
      </c>
      <c r="AA98" s="22">
        <v>-1.65375E-2</v>
      </c>
      <c r="AB98" s="22">
        <v>88</v>
      </c>
      <c r="AC98" s="22">
        <v>1.3857999999999999</v>
      </c>
      <c r="AD98">
        <f t="shared" si="16"/>
        <v>16.537500000000001</v>
      </c>
      <c r="AE98">
        <f t="shared" si="17"/>
        <v>22.935362625000003</v>
      </c>
      <c r="AF98" s="9"/>
      <c r="AG98" s="22">
        <v>0.34316999999999998</v>
      </c>
      <c r="AH98" s="22">
        <v>353.024</v>
      </c>
      <c r="AI98" s="22">
        <v>-1.7416399999999999E-2</v>
      </c>
      <c r="AJ98" s="22">
        <v>88</v>
      </c>
      <c r="AK98" s="22">
        <v>0.34255999999999998</v>
      </c>
      <c r="AL98">
        <f t="shared" si="18"/>
        <v>17.416399999999999</v>
      </c>
      <c r="AM98">
        <f t="shared" si="19"/>
        <v>5.9767859879999996</v>
      </c>
      <c r="AP98" s="9"/>
      <c r="AQ98" s="22">
        <v>1.38687</v>
      </c>
      <c r="AR98" s="22">
        <v>430.90499999999997</v>
      </c>
      <c r="AS98" s="22">
        <v>-1.651E-2</v>
      </c>
      <c r="AT98" s="22">
        <v>88</v>
      </c>
      <c r="AU98" s="22">
        <v>1.38611</v>
      </c>
      <c r="AV98">
        <f t="shared" si="20"/>
        <v>16.510000000000002</v>
      </c>
      <c r="AW98">
        <f t="shared" si="21"/>
        <v>22.897223700000001</v>
      </c>
      <c r="AX98" s="9"/>
      <c r="AY98" s="22">
        <v>0.34316999999999998</v>
      </c>
      <c r="AZ98" s="22">
        <v>481.91899999999998</v>
      </c>
      <c r="BA98" s="22">
        <v>-1.7434700000000001E-2</v>
      </c>
      <c r="BB98" s="22">
        <v>88</v>
      </c>
      <c r="BC98" s="22">
        <v>0.34243800000000002</v>
      </c>
      <c r="BD98">
        <f t="shared" si="22"/>
        <v>17.434699999999999</v>
      </c>
      <c r="BE98">
        <f t="shared" si="23"/>
        <v>5.983065998999999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117.196</v>
      </c>
      <c r="I99" s="22">
        <v>-1.6433699999999999E-2</v>
      </c>
      <c r="J99" s="22">
        <v>89</v>
      </c>
      <c r="K99" s="22">
        <v>1.3809199999999999</v>
      </c>
      <c r="L99">
        <f t="shared" si="12"/>
        <v>16.433699999999998</v>
      </c>
      <c r="M99">
        <f t="shared" si="13"/>
        <v>22.708744007999996</v>
      </c>
      <c r="N99" s="9"/>
      <c r="O99" s="22">
        <v>0.34820600000000002</v>
      </c>
      <c r="P99" s="22">
        <v>166.298</v>
      </c>
      <c r="Q99" s="22">
        <v>-1.74133E-2</v>
      </c>
      <c r="R99" s="22">
        <v>89</v>
      </c>
      <c r="S99" s="22">
        <v>0.347412</v>
      </c>
      <c r="T99">
        <f t="shared" si="14"/>
        <v>17.4133</v>
      </c>
      <c r="U99">
        <f t="shared" si="15"/>
        <v>6.0634155398000003</v>
      </c>
      <c r="X99" s="9"/>
      <c r="Y99" s="22">
        <v>1.38184</v>
      </c>
      <c r="Z99" s="22">
        <v>222.45400000000001</v>
      </c>
      <c r="AA99" s="22">
        <v>-1.6543599999999999E-2</v>
      </c>
      <c r="AB99" s="22">
        <v>89</v>
      </c>
      <c r="AC99" s="22">
        <v>1.3803099999999999</v>
      </c>
      <c r="AD99">
        <f t="shared" si="16"/>
        <v>16.543599999999998</v>
      </c>
      <c r="AE99">
        <f t="shared" si="17"/>
        <v>22.860608223999996</v>
      </c>
      <c r="AF99" s="9"/>
      <c r="AG99" s="22">
        <v>0.34820600000000002</v>
      </c>
      <c r="AH99" s="22">
        <v>353.125</v>
      </c>
      <c r="AI99" s="22">
        <v>-1.7416399999999999E-2</v>
      </c>
      <c r="AJ99" s="22">
        <v>89</v>
      </c>
      <c r="AK99" s="22">
        <v>0.34756500000000001</v>
      </c>
      <c r="AL99">
        <f t="shared" si="18"/>
        <v>17.416399999999999</v>
      </c>
      <c r="AM99">
        <f t="shared" si="19"/>
        <v>6.0644949784</v>
      </c>
      <c r="AP99" s="9"/>
      <c r="AQ99" s="22">
        <v>1.38184</v>
      </c>
      <c r="AR99" s="22">
        <v>431.00599999999997</v>
      </c>
      <c r="AS99" s="22">
        <v>-1.6522200000000001E-2</v>
      </c>
      <c r="AT99" s="22">
        <v>89</v>
      </c>
      <c r="AU99" s="22">
        <v>1.3815299999999999</v>
      </c>
      <c r="AV99">
        <f t="shared" si="20"/>
        <v>16.522200000000002</v>
      </c>
      <c r="AW99">
        <f t="shared" si="21"/>
        <v>22.831036848</v>
      </c>
      <c r="AX99" s="9"/>
      <c r="AY99" s="22">
        <v>0.34820600000000002</v>
      </c>
      <c r="AZ99" s="22">
        <v>482.02</v>
      </c>
      <c r="BA99" s="22">
        <v>-1.7434700000000001E-2</v>
      </c>
      <c r="BB99" s="22">
        <v>89</v>
      </c>
      <c r="BC99" s="22">
        <v>0.34732099999999999</v>
      </c>
      <c r="BD99">
        <f t="shared" si="22"/>
        <v>17.434699999999999</v>
      </c>
      <c r="BE99">
        <f t="shared" si="23"/>
        <v>6.0708671482000005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117.297</v>
      </c>
      <c r="I100" s="22">
        <v>-1.6436800000000001E-2</v>
      </c>
      <c r="J100" s="22">
        <v>90</v>
      </c>
      <c r="K100" s="22">
        <v>1.3760399999999999</v>
      </c>
      <c r="L100">
        <f t="shared" si="12"/>
        <v>16.436800000000002</v>
      </c>
      <c r="M100">
        <f t="shared" si="13"/>
        <v>22.630186240000004</v>
      </c>
      <c r="N100" s="9"/>
      <c r="O100" s="22">
        <v>0.35324100000000003</v>
      </c>
      <c r="P100" s="22">
        <v>166.398</v>
      </c>
      <c r="Q100" s="22">
        <v>-1.7407200000000001E-2</v>
      </c>
      <c r="R100" s="22">
        <v>90</v>
      </c>
      <c r="S100" s="22">
        <v>0.35247800000000001</v>
      </c>
      <c r="T100">
        <f t="shared" si="14"/>
        <v>17.4072</v>
      </c>
      <c r="U100">
        <f t="shared" si="15"/>
        <v>6.1489367352000004</v>
      </c>
      <c r="X100" s="9"/>
      <c r="Y100" s="22">
        <v>1.3768</v>
      </c>
      <c r="Z100" s="22">
        <v>222.55500000000001</v>
      </c>
      <c r="AA100" s="22">
        <v>-1.6543599999999999E-2</v>
      </c>
      <c r="AB100" s="22">
        <v>90</v>
      </c>
      <c r="AC100" s="22">
        <v>1.3769499999999999</v>
      </c>
      <c r="AD100">
        <f t="shared" si="16"/>
        <v>16.543599999999998</v>
      </c>
      <c r="AE100">
        <f t="shared" si="17"/>
        <v>22.777228479999998</v>
      </c>
      <c r="AF100" s="9"/>
      <c r="AG100" s="22">
        <v>0.35324100000000003</v>
      </c>
      <c r="AH100" s="22">
        <v>353.22500000000002</v>
      </c>
      <c r="AI100" s="22">
        <v>-1.74103E-2</v>
      </c>
      <c r="AJ100" s="22">
        <v>90</v>
      </c>
      <c r="AK100" s="22">
        <v>0.35253899999999999</v>
      </c>
      <c r="AL100">
        <f t="shared" si="18"/>
        <v>17.410299999999999</v>
      </c>
      <c r="AM100">
        <f t="shared" si="19"/>
        <v>6.1500317823000001</v>
      </c>
      <c r="AP100" s="9"/>
      <c r="AQ100" s="22">
        <v>1.3768</v>
      </c>
      <c r="AR100" s="22">
        <v>431.10700000000003</v>
      </c>
      <c r="AS100" s="22">
        <v>-1.65253E-2</v>
      </c>
      <c r="AT100" s="22">
        <v>90</v>
      </c>
      <c r="AU100" s="22">
        <v>1.3754299999999999</v>
      </c>
      <c r="AV100">
        <f t="shared" si="20"/>
        <v>16.525300000000001</v>
      </c>
      <c r="AW100">
        <f t="shared" si="21"/>
        <v>22.752033040000001</v>
      </c>
      <c r="AX100" s="9"/>
      <c r="AY100" s="22">
        <v>0.35324100000000003</v>
      </c>
      <c r="AZ100" s="22">
        <v>482.12</v>
      </c>
      <c r="BA100" s="22">
        <v>-1.7428599999999999E-2</v>
      </c>
      <c r="BB100" s="22">
        <v>90</v>
      </c>
      <c r="BC100" s="22">
        <v>0.35241699999999998</v>
      </c>
      <c r="BD100">
        <f t="shared" si="22"/>
        <v>17.428599999999999</v>
      </c>
      <c r="BE100">
        <f t="shared" si="23"/>
        <v>6.1564960926000003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117.39700000000001</v>
      </c>
      <c r="I101" s="22">
        <v>-1.6439800000000001E-2</v>
      </c>
      <c r="J101" s="22">
        <v>91</v>
      </c>
      <c r="K101" s="22">
        <v>1.3705400000000001</v>
      </c>
      <c r="L101">
        <f t="shared" si="12"/>
        <v>16.439800000000002</v>
      </c>
      <c r="M101">
        <f t="shared" si="13"/>
        <v>22.551624446000002</v>
      </c>
      <c r="N101" s="9"/>
      <c r="O101" s="22">
        <v>0.35827599999999998</v>
      </c>
      <c r="P101" s="22">
        <v>166.499</v>
      </c>
      <c r="Q101" s="22">
        <v>-1.7404200000000002E-2</v>
      </c>
      <c r="R101" s="22">
        <v>91</v>
      </c>
      <c r="S101" s="22">
        <v>0.35760500000000001</v>
      </c>
      <c r="T101">
        <f t="shared" si="14"/>
        <v>17.404200000000003</v>
      </c>
      <c r="U101">
        <f t="shared" si="15"/>
        <v>6.2355071592000009</v>
      </c>
      <c r="X101" s="9"/>
      <c r="Y101" s="22">
        <v>1.3717699999999999</v>
      </c>
      <c r="Z101" s="22">
        <v>222.65600000000001</v>
      </c>
      <c r="AA101" s="22">
        <v>-1.6561900000000001E-2</v>
      </c>
      <c r="AB101" s="22">
        <v>91</v>
      </c>
      <c r="AC101" s="22">
        <v>1.3705400000000001</v>
      </c>
      <c r="AD101">
        <f t="shared" si="16"/>
        <v>16.561900000000001</v>
      </c>
      <c r="AE101">
        <f t="shared" si="17"/>
        <v>22.719117563000001</v>
      </c>
      <c r="AF101" s="9"/>
      <c r="AG101" s="22">
        <v>0.35827599999999998</v>
      </c>
      <c r="AH101" s="22">
        <v>353.32600000000002</v>
      </c>
      <c r="AI101" s="22">
        <v>-1.7407200000000001E-2</v>
      </c>
      <c r="AJ101" s="22">
        <v>91</v>
      </c>
      <c r="AK101" s="22">
        <v>0.35778799999999999</v>
      </c>
      <c r="AL101">
        <f t="shared" si="18"/>
        <v>17.4072</v>
      </c>
      <c r="AM101">
        <f t="shared" si="19"/>
        <v>6.2365819871999992</v>
      </c>
      <c r="AP101" s="9"/>
      <c r="AQ101" s="22">
        <v>1.3717699999999999</v>
      </c>
      <c r="AR101" s="22">
        <v>431.20699999999999</v>
      </c>
      <c r="AS101" s="22">
        <v>-1.6531400000000002E-2</v>
      </c>
      <c r="AT101" s="22">
        <v>91</v>
      </c>
      <c r="AU101" s="22">
        <v>1.3711500000000001</v>
      </c>
      <c r="AV101">
        <f t="shared" si="20"/>
        <v>16.531400000000001</v>
      </c>
      <c r="AW101">
        <f t="shared" si="21"/>
        <v>22.677278577999999</v>
      </c>
      <c r="AX101" s="9"/>
      <c r="AY101" s="22">
        <v>0.35827599999999998</v>
      </c>
      <c r="AZ101" s="22">
        <v>482.221</v>
      </c>
      <c r="BA101" s="22">
        <v>-1.7428599999999999E-2</v>
      </c>
      <c r="BB101" s="22">
        <v>91</v>
      </c>
      <c r="BC101" s="22">
        <v>0.35763499999999998</v>
      </c>
      <c r="BD101">
        <f t="shared" si="22"/>
        <v>17.428599999999999</v>
      </c>
      <c r="BE101">
        <f t="shared" si="23"/>
        <v>6.2442490935999997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117.498</v>
      </c>
      <c r="I102" s="22">
        <v>-1.64551E-2</v>
      </c>
      <c r="J102" s="22">
        <v>92</v>
      </c>
      <c r="K102" s="22">
        <v>1.3656600000000001</v>
      </c>
      <c r="L102">
        <f t="shared" si="12"/>
        <v>16.455100000000002</v>
      </c>
      <c r="M102">
        <f t="shared" si="13"/>
        <v>22.489678823000002</v>
      </c>
      <c r="N102" s="9"/>
      <c r="O102" s="22">
        <v>0.36331200000000002</v>
      </c>
      <c r="P102" s="22">
        <v>166.6</v>
      </c>
      <c r="Q102" s="22">
        <v>-1.73981E-2</v>
      </c>
      <c r="R102" s="22">
        <v>92</v>
      </c>
      <c r="S102" s="22">
        <v>0.36245699999999997</v>
      </c>
      <c r="T102">
        <f t="shared" si="14"/>
        <v>17.398099999999999</v>
      </c>
      <c r="U102">
        <f t="shared" si="15"/>
        <v>6.3209385072000002</v>
      </c>
      <c r="X102" s="9"/>
      <c r="Y102" s="22">
        <v>1.36673</v>
      </c>
      <c r="Z102" s="22">
        <v>222.75700000000001</v>
      </c>
      <c r="AA102" s="22">
        <v>-1.65649E-2</v>
      </c>
      <c r="AB102" s="22">
        <v>92</v>
      </c>
      <c r="AC102" s="22">
        <v>1.3659699999999999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353.42700000000002</v>
      </c>
      <c r="AI102" s="22">
        <v>-1.7401099999999999E-2</v>
      </c>
      <c r="AJ102" s="22">
        <v>92</v>
      </c>
      <c r="AK102" s="22">
        <v>0.36264000000000002</v>
      </c>
      <c r="AL102">
        <f t="shared" si="18"/>
        <v>17.4011</v>
      </c>
      <c r="AM102">
        <f t="shared" si="19"/>
        <v>6.3220284432000007</v>
      </c>
      <c r="AP102" s="9"/>
      <c r="AQ102" s="22">
        <v>1.36673</v>
      </c>
      <c r="AR102" s="22">
        <v>431.30799999999999</v>
      </c>
      <c r="AS102" s="22">
        <v>-1.65375E-2</v>
      </c>
      <c r="AT102" s="22">
        <v>92</v>
      </c>
      <c r="AU102" s="22">
        <v>1.3659699999999999</v>
      </c>
      <c r="AV102">
        <f t="shared" si="20"/>
        <v>16.537500000000001</v>
      </c>
      <c r="AW102">
        <f t="shared" si="21"/>
        <v>22.602297375000003</v>
      </c>
      <c r="AX102" s="9"/>
      <c r="AY102" s="22">
        <v>0.36331200000000002</v>
      </c>
      <c r="AZ102" s="22">
        <v>482.322</v>
      </c>
      <c r="BA102" s="22">
        <v>-1.74255E-2</v>
      </c>
      <c r="BB102" s="22">
        <v>92</v>
      </c>
      <c r="BC102" s="22">
        <v>0.36276199999999997</v>
      </c>
      <c r="BD102">
        <f t="shared" si="22"/>
        <v>17.4255</v>
      </c>
      <c r="BE102">
        <f t="shared" si="23"/>
        <v>6.3308932560000004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117.599</v>
      </c>
      <c r="I103" s="22">
        <v>-1.6461199999999999E-2</v>
      </c>
      <c r="J103" s="22">
        <v>93</v>
      </c>
      <c r="K103" s="22">
        <v>1.3610800000000001</v>
      </c>
      <c r="L103">
        <f t="shared" si="12"/>
        <v>16.461199999999998</v>
      </c>
      <c r="M103">
        <f t="shared" si="13"/>
        <v>22.415051427999998</v>
      </c>
      <c r="N103" s="9"/>
      <c r="O103" s="22">
        <v>0.36834699999999998</v>
      </c>
      <c r="P103" s="22">
        <v>166.7</v>
      </c>
      <c r="Q103" s="22">
        <v>-1.7395000000000001E-2</v>
      </c>
      <c r="R103" s="22">
        <v>93</v>
      </c>
      <c r="S103" s="22">
        <v>0.36758400000000002</v>
      </c>
      <c r="T103">
        <f t="shared" si="14"/>
        <v>17.395</v>
      </c>
      <c r="U103">
        <f t="shared" si="15"/>
        <v>6.4073960649999995</v>
      </c>
      <c r="X103" s="9"/>
      <c r="Y103" s="22">
        <v>1.3616900000000001</v>
      </c>
      <c r="Z103" s="22">
        <v>222.857</v>
      </c>
      <c r="AA103" s="22">
        <v>-1.6570999999999999E-2</v>
      </c>
      <c r="AB103" s="22">
        <v>93</v>
      </c>
      <c r="AC103" s="22">
        <v>1.3607800000000001</v>
      </c>
      <c r="AD103">
        <f t="shared" si="16"/>
        <v>16.570999999999998</v>
      </c>
      <c r="AE103">
        <f t="shared" si="17"/>
        <v>22.564564989999997</v>
      </c>
      <c r="AF103" s="9"/>
      <c r="AG103" s="22">
        <v>0.36834699999999998</v>
      </c>
      <c r="AH103" s="22">
        <v>353.52800000000002</v>
      </c>
      <c r="AI103" s="22">
        <v>-1.7401099999999999E-2</v>
      </c>
      <c r="AJ103" s="22">
        <v>93</v>
      </c>
      <c r="AK103" s="22">
        <v>0.36755399999999999</v>
      </c>
      <c r="AL103">
        <f t="shared" si="18"/>
        <v>17.4011</v>
      </c>
      <c r="AM103">
        <f t="shared" si="19"/>
        <v>6.4096429816999994</v>
      </c>
      <c r="AP103" s="9"/>
      <c r="AQ103" s="22">
        <v>1.3616900000000001</v>
      </c>
      <c r="AR103" s="22">
        <v>431.40899999999999</v>
      </c>
      <c r="AS103" s="22">
        <v>-1.6543599999999999E-2</v>
      </c>
      <c r="AT103" s="22">
        <v>93</v>
      </c>
      <c r="AU103" s="22">
        <v>1.3610800000000001</v>
      </c>
      <c r="AV103">
        <f t="shared" si="20"/>
        <v>16.543599999999998</v>
      </c>
      <c r="AW103">
        <f t="shared" si="21"/>
        <v>22.527254683999999</v>
      </c>
      <c r="AX103" s="9"/>
      <c r="AY103" s="22">
        <v>0.36834699999999998</v>
      </c>
      <c r="AZ103" s="22">
        <v>482.423</v>
      </c>
      <c r="BA103" s="22">
        <v>-1.74225E-2</v>
      </c>
      <c r="BB103" s="22">
        <v>93</v>
      </c>
      <c r="BC103" s="22">
        <v>0.36770599999999998</v>
      </c>
      <c r="BD103">
        <f t="shared" si="22"/>
        <v>17.422499999999999</v>
      </c>
      <c r="BE103">
        <f t="shared" si="23"/>
        <v>6.4175256074999991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117.699</v>
      </c>
      <c r="I104" s="22">
        <v>-1.64703E-2</v>
      </c>
      <c r="J104" s="22">
        <v>94</v>
      </c>
      <c r="K104" s="22">
        <v>1.3565100000000001</v>
      </c>
      <c r="L104">
        <f t="shared" si="12"/>
        <v>16.470300000000002</v>
      </c>
      <c r="M104">
        <f t="shared" si="13"/>
        <v>22.344597198000002</v>
      </c>
      <c r="N104" s="9"/>
      <c r="O104" s="22">
        <v>0.37338300000000002</v>
      </c>
      <c r="P104" s="22">
        <v>166.80099999999999</v>
      </c>
      <c r="Q104" s="22">
        <v>-1.7392000000000001E-2</v>
      </c>
      <c r="R104" s="22">
        <v>94</v>
      </c>
      <c r="S104" s="22">
        <v>0.37277199999999999</v>
      </c>
      <c r="T104">
        <f t="shared" si="14"/>
        <v>17.391999999999999</v>
      </c>
      <c r="U104">
        <f t="shared" si="15"/>
        <v>6.493877136</v>
      </c>
      <c r="X104" s="9"/>
      <c r="Y104" s="22">
        <v>1.35666</v>
      </c>
      <c r="Z104" s="22">
        <v>222.958</v>
      </c>
      <c r="AA104" s="22">
        <v>-1.6586299999999998E-2</v>
      </c>
      <c r="AB104" s="22">
        <v>94</v>
      </c>
      <c r="AC104" s="22">
        <v>1.3559000000000001</v>
      </c>
      <c r="AD104">
        <f t="shared" si="16"/>
        <v>16.586299999999998</v>
      </c>
      <c r="AE104">
        <f t="shared" si="17"/>
        <v>22.501969757999998</v>
      </c>
      <c r="AF104" s="9"/>
      <c r="AG104" s="22">
        <v>0.37338300000000002</v>
      </c>
      <c r="AH104" s="22">
        <v>353.62799999999999</v>
      </c>
      <c r="AI104" s="22">
        <v>-1.7395000000000001E-2</v>
      </c>
      <c r="AJ104" s="22">
        <v>94</v>
      </c>
      <c r="AK104" s="22">
        <v>0.37271100000000001</v>
      </c>
      <c r="AL104">
        <f t="shared" si="18"/>
        <v>17.395</v>
      </c>
      <c r="AM104">
        <f t="shared" si="19"/>
        <v>6.4949972850000002</v>
      </c>
      <c r="AP104" s="9"/>
      <c r="AQ104" s="22">
        <v>1.35666</v>
      </c>
      <c r="AR104" s="22">
        <v>431.51</v>
      </c>
      <c r="AS104" s="22">
        <v>-1.6549700000000001E-2</v>
      </c>
      <c r="AT104" s="22">
        <v>94</v>
      </c>
      <c r="AU104" s="22">
        <v>1.3555900000000001</v>
      </c>
      <c r="AV104">
        <f t="shared" si="20"/>
        <v>16.549700000000001</v>
      </c>
      <c r="AW104">
        <f t="shared" si="21"/>
        <v>22.452316002</v>
      </c>
      <c r="AX104" s="9"/>
      <c r="AY104" s="22">
        <v>0.37338300000000002</v>
      </c>
      <c r="AZ104" s="22">
        <v>482.52300000000002</v>
      </c>
      <c r="BA104" s="22">
        <v>-1.7416399999999999E-2</v>
      </c>
      <c r="BB104" s="22">
        <v>94</v>
      </c>
      <c r="BC104" s="22">
        <v>0.37264999999999998</v>
      </c>
      <c r="BD104">
        <f t="shared" si="22"/>
        <v>17.416399999999999</v>
      </c>
      <c r="BE104">
        <f t="shared" si="23"/>
        <v>6.5029876812000005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117.8</v>
      </c>
      <c r="I105" s="22">
        <v>-1.6482500000000001E-2</v>
      </c>
      <c r="J105" s="22">
        <v>95</v>
      </c>
      <c r="K105" s="22">
        <v>1.3507100000000001</v>
      </c>
      <c r="L105">
        <f t="shared" si="12"/>
        <v>16.482500000000002</v>
      </c>
      <c r="M105">
        <f t="shared" si="13"/>
        <v>22.278076650000003</v>
      </c>
      <c r="N105" s="9"/>
      <c r="O105" s="22">
        <v>0.37841799999999998</v>
      </c>
      <c r="P105" s="22">
        <v>166.90199999999999</v>
      </c>
      <c r="Q105" s="22">
        <v>-1.7388899999999999E-2</v>
      </c>
      <c r="R105" s="22">
        <v>95</v>
      </c>
      <c r="S105" s="22">
        <v>0.37759399999999999</v>
      </c>
      <c r="T105">
        <f t="shared" si="14"/>
        <v>17.3889</v>
      </c>
      <c r="U105">
        <f t="shared" si="15"/>
        <v>6.5802727601999997</v>
      </c>
      <c r="X105" s="9"/>
      <c r="Y105" s="22">
        <v>1.35162</v>
      </c>
      <c r="Z105" s="22">
        <v>223.059</v>
      </c>
      <c r="AA105" s="22">
        <v>-1.6586299999999998E-2</v>
      </c>
      <c r="AB105" s="22">
        <v>95</v>
      </c>
      <c r="AC105" s="22">
        <v>1.3507100000000001</v>
      </c>
      <c r="AD105">
        <f t="shared" si="16"/>
        <v>16.586299999999998</v>
      </c>
      <c r="AE105">
        <f t="shared" si="17"/>
        <v>22.418374805999999</v>
      </c>
      <c r="AF105" s="9"/>
      <c r="AG105" s="22">
        <v>0.37841799999999998</v>
      </c>
      <c r="AH105" s="22">
        <v>353.72899999999998</v>
      </c>
      <c r="AI105" s="22">
        <v>-1.7392000000000001E-2</v>
      </c>
      <c r="AJ105" s="22">
        <v>95</v>
      </c>
      <c r="AK105" s="22">
        <v>0.37777699999999997</v>
      </c>
      <c r="AL105">
        <f t="shared" si="18"/>
        <v>17.391999999999999</v>
      </c>
      <c r="AM105">
        <f t="shared" si="19"/>
        <v>6.5814458559999993</v>
      </c>
      <c r="AP105" s="9"/>
      <c r="AQ105" s="22">
        <v>1.35162</v>
      </c>
      <c r="AR105" s="22">
        <v>431.61</v>
      </c>
      <c r="AS105" s="22">
        <v>-1.6558799999999999E-2</v>
      </c>
      <c r="AT105" s="22">
        <v>95</v>
      </c>
      <c r="AU105" s="22">
        <v>1.3507100000000001</v>
      </c>
      <c r="AV105">
        <f t="shared" si="20"/>
        <v>16.558799999999998</v>
      </c>
      <c r="AW105">
        <f t="shared" si="21"/>
        <v>22.381205255999998</v>
      </c>
      <c r="AX105" s="9"/>
      <c r="AY105" s="22">
        <v>0.37841799999999998</v>
      </c>
      <c r="AZ105" s="22">
        <v>482.62400000000002</v>
      </c>
      <c r="BA105" s="22">
        <v>-1.74133E-2</v>
      </c>
      <c r="BB105" s="22">
        <v>95</v>
      </c>
      <c r="BC105" s="22">
        <v>0.377747</v>
      </c>
      <c r="BD105">
        <f t="shared" si="22"/>
        <v>17.4133</v>
      </c>
      <c r="BE105">
        <f t="shared" si="23"/>
        <v>6.5895061593999991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117.901</v>
      </c>
      <c r="I106" s="22">
        <v>-1.64856E-2</v>
      </c>
      <c r="J106" s="22">
        <v>96</v>
      </c>
      <c r="K106" s="22">
        <v>1.34613</v>
      </c>
      <c r="L106">
        <f t="shared" si="12"/>
        <v>16.485599999999998</v>
      </c>
      <c r="M106">
        <f t="shared" si="13"/>
        <v>22.199344103999998</v>
      </c>
      <c r="N106" s="9"/>
      <c r="O106" s="22">
        <v>0.38345299999999999</v>
      </c>
      <c r="P106" s="22">
        <v>167.00299999999999</v>
      </c>
      <c r="Q106" s="22">
        <v>-1.7388899999999999E-2</v>
      </c>
      <c r="R106" s="22">
        <v>96</v>
      </c>
      <c r="S106" s="22">
        <v>0.38278200000000001</v>
      </c>
      <c r="T106">
        <f t="shared" si="14"/>
        <v>17.3889</v>
      </c>
      <c r="U106">
        <f t="shared" si="15"/>
        <v>6.6678258716999999</v>
      </c>
      <c r="X106" s="9"/>
      <c r="Y106" s="22">
        <v>1.34659</v>
      </c>
      <c r="Z106" s="22">
        <v>223.15899999999999</v>
      </c>
      <c r="AA106" s="22">
        <v>-1.6589400000000001E-2</v>
      </c>
      <c r="AB106" s="22">
        <v>96</v>
      </c>
      <c r="AC106" s="22">
        <v>1.3464400000000001</v>
      </c>
      <c r="AD106">
        <f t="shared" si="16"/>
        <v>16.589400000000001</v>
      </c>
      <c r="AE106">
        <f t="shared" si="17"/>
        <v>22.339120146000003</v>
      </c>
      <c r="AF106" s="9"/>
      <c r="AG106" s="22">
        <v>0.38345299999999999</v>
      </c>
      <c r="AH106" s="22">
        <v>353.83</v>
      </c>
      <c r="AI106" s="22">
        <v>-1.7392000000000001E-2</v>
      </c>
      <c r="AJ106" s="22">
        <v>96</v>
      </c>
      <c r="AK106" s="22">
        <v>0.38272099999999998</v>
      </c>
      <c r="AL106">
        <f t="shared" si="18"/>
        <v>17.391999999999999</v>
      </c>
      <c r="AM106">
        <f t="shared" si="19"/>
        <v>6.6690145759999995</v>
      </c>
      <c r="AP106" s="9"/>
      <c r="AQ106" s="22">
        <v>1.34659</v>
      </c>
      <c r="AR106" s="22">
        <v>431.71100000000001</v>
      </c>
      <c r="AS106" s="22">
        <v>-1.6567999999999999E-2</v>
      </c>
      <c r="AT106" s="22">
        <v>96</v>
      </c>
      <c r="AU106" s="22">
        <v>1.34521</v>
      </c>
      <c r="AV106">
        <f t="shared" si="20"/>
        <v>16.567999999999998</v>
      </c>
      <c r="AW106">
        <f t="shared" si="21"/>
        <v>22.310303119999997</v>
      </c>
      <c r="AX106" s="9"/>
      <c r="AY106" s="22">
        <v>0.38345299999999999</v>
      </c>
      <c r="AZ106" s="22">
        <v>482.72500000000002</v>
      </c>
      <c r="BA106" s="22">
        <v>-1.74103E-2</v>
      </c>
      <c r="BB106" s="22">
        <v>96</v>
      </c>
      <c r="BC106" s="22">
        <v>0.38275100000000001</v>
      </c>
      <c r="BD106">
        <f t="shared" si="22"/>
        <v>17.410299999999999</v>
      </c>
      <c r="BE106">
        <f t="shared" si="23"/>
        <v>6.6760317658999995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118.002</v>
      </c>
      <c r="I107" s="22">
        <v>-1.64978E-2</v>
      </c>
      <c r="J107" s="22">
        <v>97</v>
      </c>
      <c r="K107" s="22">
        <v>1.34094</v>
      </c>
      <c r="L107">
        <f t="shared" si="12"/>
        <v>16.497800000000002</v>
      </c>
      <c r="M107">
        <f t="shared" si="13"/>
        <v>22.132623590000001</v>
      </c>
      <c r="N107" s="9"/>
      <c r="O107" s="22">
        <v>0.38848899999999997</v>
      </c>
      <c r="P107" s="22">
        <v>167.10300000000001</v>
      </c>
      <c r="Q107" s="22">
        <v>-1.7388899999999999E-2</v>
      </c>
      <c r="R107" s="22">
        <v>97</v>
      </c>
      <c r="S107" s="22">
        <v>0.38781700000000002</v>
      </c>
      <c r="T107">
        <f t="shared" si="14"/>
        <v>17.3889</v>
      </c>
      <c r="U107">
        <f t="shared" si="15"/>
        <v>6.755396372099999</v>
      </c>
      <c r="X107" s="9"/>
      <c r="Y107" s="22">
        <v>1.34155</v>
      </c>
      <c r="Z107" s="22">
        <v>223.26</v>
      </c>
      <c r="AA107" s="22">
        <v>-1.6598499999999999E-2</v>
      </c>
      <c r="AB107" s="22">
        <v>97</v>
      </c>
      <c r="AC107" s="22">
        <v>1.34033</v>
      </c>
      <c r="AD107">
        <f t="shared" si="16"/>
        <v>16.598499999999998</v>
      </c>
      <c r="AE107">
        <f t="shared" si="17"/>
        <v>22.267717674999997</v>
      </c>
      <c r="AF107" s="9"/>
      <c r="AG107" s="22">
        <v>0.38848899999999997</v>
      </c>
      <c r="AH107" s="22">
        <v>353.93</v>
      </c>
      <c r="AI107" s="22">
        <v>-1.7388899999999999E-2</v>
      </c>
      <c r="AJ107" s="22">
        <v>97</v>
      </c>
      <c r="AK107" s="22">
        <v>0.38778699999999999</v>
      </c>
      <c r="AL107">
        <f t="shared" si="18"/>
        <v>17.3889</v>
      </c>
      <c r="AM107">
        <f t="shared" si="19"/>
        <v>6.755396372099999</v>
      </c>
      <c r="AP107" s="9"/>
      <c r="AQ107" s="22">
        <v>1.34155</v>
      </c>
      <c r="AR107" s="22">
        <v>431.81200000000001</v>
      </c>
      <c r="AS107" s="22">
        <v>-1.6577100000000001E-2</v>
      </c>
      <c r="AT107" s="22">
        <v>97</v>
      </c>
      <c r="AU107" s="22">
        <v>1.34033</v>
      </c>
      <c r="AV107">
        <f t="shared" si="20"/>
        <v>16.577100000000002</v>
      </c>
      <c r="AW107">
        <f t="shared" si="21"/>
        <v>22.239008505000001</v>
      </c>
      <c r="AX107" s="9"/>
      <c r="AY107" s="22">
        <v>0.38848899999999997</v>
      </c>
      <c r="AZ107" s="22">
        <v>482.82499999999999</v>
      </c>
      <c r="BA107" s="22">
        <v>-1.7404200000000002E-2</v>
      </c>
      <c r="BB107" s="22">
        <v>97</v>
      </c>
      <c r="BC107" s="22">
        <v>0.38781700000000002</v>
      </c>
      <c r="BD107">
        <f t="shared" si="22"/>
        <v>17.404200000000003</v>
      </c>
      <c r="BE107">
        <f t="shared" si="23"/>
        <v>6.7613402538000011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118.102</v>
      </c>
      <c r="I108" s="22">
        <v>-1.64978E-2</v>
      </c>
      <c r="J108" s="22">
        <v>98</v>
      </c>
      <c r="K108" s="22">
        <v>1.33545</v>
      </c>
      <c r="L108">
        <f t="shared" si="12"/>
        <v>16.497800000000002</v>
      </c>
      <c r="M108">
        <f t="shared" si="13"/>
        <v>22.049639656</v>
      </c>
      <c r="N108" s="9"/>
      <c r="O108" s="22">
        <v>0.39352399999999998</v>
      </c>
      <c r="P108" s="22">
        <v>167.20400000000001</v>
      </c>
      <c r="Q108" s="22">
        <v>-1.73828E-2</v>
      </c>
      <c r="R108" s="22">
        <v>98</v>
      </c>
      <c r="S108" s="22">
        <v>0.39276100000000003</v>
      </c>
      <c r="T108">
        <f t="shared" si="14"/>
        <v>17.3828</v>
      </c>
      <c r="U108">
        <f t="shared" si="15"/>
        <v>6.8405489871999992</v>
      </c>
      <c r="X108" s="9"/>
      <c r="Y108" s="22">
        <v>1.3365199999999999</v>
      </c>
      <c r="Z108" s="22">
        <v>223.36099999999999</v>
      </c>
      <c r="AA108" s="22">
        <v>-1.6610699999999999E-2</v>
      </c>
      <c r="AB108" s="22">
        <v>98</v>
      </c>
      <c r="AC108" s="22">
        <v>1.33575</v>
      </c>
      <c r="AD108">
        <f t="shared" si="16"/>
        <v>16.610699999999998</v>
      </c>
      <c r="AE108">
        <f t="shared" si="17"/>
        <v>22.200532763999995</v>
      </c>
      <c r="AF108" s="9"/>
      <c r="AG108" s="22">
        <v>0.39352399999999998</v>
      </c>
      <c r="AH108" s="22">
        <v>354.03100000000001</v>
      </c>
      <c r="AI108" s="22">
        <v>-1.7385899999999999E-2</v>
      </c>
      <c r="AJ108" s="22">
        <v>98</v>
      </c>
      <c r="AK108" s="22">
        <v>0.392822</v>
      </c>
      <c r="AL108">
        <f t="shared" si="18"/>
        <v>17.385899999999999</v>
      </c>
      <c r="AM108">
        <f t="shared" si="19"/>
        <v>6.8417689115999991</v>
      </c>
      <c r="AP108" s="9"/>
      <c r="AQ108" s="22">
        <v>1.3365199999999999</v>
      </c>
      <c r="AR108" s="22">
        <v>431.91199999999998</v>
      </c>
      <c r="AS108" s="22">
        <v>-1.6583299999999999E-2</v>
      </c>
      <c r="AT108" s="22">
        <v>98</v>
      </c>
      <c r="AU108" s="22">
        <v>1.33606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482.92599999999999</v>
      </c>
      <c r="BA108" s="22">
        <v>-1.7404200000000002E-2</v>
      </c>
      <c r="BB108" s="22">
        <v>98</v>
      </c>
      <c r="BC108" s="22">
        <v>0.39269999999999999</v>
      </c>
      <c r="BD108">
        <f t="shared" si="22"/>
        <v>17.404200000000003</v>
      </c>
      <c r="BE108">
        <f t="shared" si="23"/>
        <v>6.8489704008000007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118.203</v>
      </c>
      <c r="I109" s="22">
        <v>-1.6507000000000001E-2</v>
      </c>
      <c r="J109" s="22">
        <v>99</v>
      </c>
      <c r="K109" s="22">
        <v>1.33087</v>
      </c>
      <c r="L109">
        <f t="shared" si="12"/>
        <v>16.507000000000001</v>
      </c>
      <c r="M109">
        <f t="shared" si="13"/>
        <v>21.978740360000003</v>
      </c>
      <c r="N109" s="9"/>
      <c r="O109" s="22">
        <v>0.39856000000000003</v>
      </c>
      <c r="P109" s="22">
        <v>167.30500000000001</v>
      </c>
      <c r="Q109" s="22">
        <v>-1.7379800000000001E-2</v>
      </c>
      <c r="R109" s="22">
        <v>99</v>
      </c>
      <c r="S109" s="22">
        <v>0.397675</v>
      </c>
      <c r="T109">
        <f t="shared" si="14"/>
        <v>17.379799999999999</v>
      </c>
      <c r="U109">
        <f t="shared" si="15"/>
        <v>6.9268930879999999</v>
      </c>
      <c r="X109" s="9"/>
      <c r="Y109" s="22">
        <v>1.33148</v>
      </c>
      <c r="Z109" s="22">
        <v>223.46199999999999</v>
      </c>
      <c r="AA109" s="22">
        <v>-1.6616800000000001E-2</v>
      </c>
      <c r="AB109" s="22">
        <v>99</v>
      </c>
      <c r="AC109" s="22">
        <v>1.33118</v>
      </c>
      <c r="AD109">
        <f t="shared" si="16"/>
        <v>16.616800000000001</v>
      </c>
      <c r="AE109">
        <f t="shared" si="17"/>
        <v>22.124936864000002</v>
      </c>
      <c r="AF109" s="9"/>
      <c r="AG109" s="22">
        <v>0.39856000000000003</v>
      </c>
      <c r="AH109" s="22">
        <v>354.13200000000001</v>
      </c>
      <c r="AI109" s="22">
        <v>-1.7385899999999999E-2</v>
      </c>
      <c r="AJ109" s="22">
        <v>99</v>
      </c>
      <c r="AK109" s="22">
        <v>0.397949</v>
      </c>
      <c r="AL109">
        <f t="shared" si="18"/>
        <v>17.385899999999999</v>
      </c>
      <c r="AM109">
        <f t="shared" si="19"/>
        <v>6.9293243040000005</v>
      </c>
      <c r="AP109" s="9"/>
      <c r="AQ109" s="22">
        <v>1.33148</v>
      </c>
      <c r="AR109" s="22">
        <v>432.01299999999998</v>
      </c>
      <c r="AS109" s="22">
        <v>-1.6586299999999998E-2</v>
      </c>
      <c r="AT109" s="22">
        <v>99</v>
      </c>
      <c r="AU109" s="22">
        <v>1.33026</v>
      </c>
      <c r="AV109">
        <f t="shared" si="20"/>
        <v>16.586299999999998</v>
      </c>
      <c r="AW109">
        <f t="shared" si="21"/>
        <v>22.084326723999997</v>
      </c>
      <c r="AX109" s="9"/>
      <c r="AY109" s="22">
        <v>0.39856000000000003</v>
      </c>
      <c r="AZ109" s="22">
        <v>483.02699999999999</v>
      </c>
      <c r="BA109" s="22">
        <v>-1.73981E-2</v>
      </c>
      <c r="BB109" s="22">
        <v>99</v>
      </c>
      <c r="BC109" s="22">
        <v>0.39785799999999999</v>
      </c>
      <c r="BD109">
        <f t="shared" si="22"/>
        <v>17.398099999999999</v>
      </c>
      <c r="BE109">
        <f t="shared" si="23"/>
        <v>6.934186736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118.304</v>
      </c>
      <c r="I110" s="22">
        <v>-1.6516099999999999E-2</v>
      </c>
      <c r="J110" s="22">
        <v>100</v>
      </c>
      <c r="K110" s="22">
        <v>1.32568</v>
      </c>
      <c r="L110">
        <f t="shared" si="12"/>
        <v>16.516099999999998</v>
      </c>
      <c r="M110">
        <f t="shared" si="13"/>
        <v>21.907780844999994</v>
      </c>
      <c r="N110" s="9"/>
      <c r="O110" s="22">
        <v>0.40359499999999998</v>
      </c>
      <c r="P110" s="22">
        <v>167.405</v>
      </c>
      <c r="Q110" s="22">
        <v>-1.7376699999999998E-2</v>
      </c>
      <c r="R110" s="22">
        <v>100</v>
      </c>
      <c r="S110" s="22">
        <v>0.40286300000000003</v>
      </c>
      <c r="T110">
        <f t="shared" si="14"/>
        <v>17.3767</v>
      </c>
      <c r="U110">
        <f t="shared" si="15"/>
        <v>7.0131492364999994</v>
      </c>
      <c r="X110" s="9"/>
      <c r="Y110" s="22">
        <v>1.3264499999999999</v>
      </c>
      <c r="Z110" s="22">
        <v>223.56200000000001</v>
      </c>
      <c r="AA110" s="22">
        <v>-1.6622899999999999E-2</v>
      </c>
      <c r="AB110" s="22">
        <v>100</v>
      </c>
      <c r="AC110" s="22">
        <v>1.32538</v>
      </c>
      <c r="AD110">
        <f t="shared" si="16"/>
        <v>16.622899999999998</v>
      </c>
      <c r="AE110">
        <f t="shared" si="17"/>
        <v>22.049445704999997</v>
      </c>
      <c r="AF110" s="9"/>
      <c r="AG110" s="22">
        <v>0.40359499999999998</v>
      </c>
      <c r="AH110" s="22">
        <v>354.233</v>
      </c>
      <c r="AI110" s="22">
        <v>-1.7376699999999998E-2</v>
      </c>
      <c r="AJ110" s="22">
        <v>100</v>
      </c>
      <c r="AK110" s="22">
        <v>0.402924</v>
      </c>
      <c r="AL110">
        <f t="shared" si="18"/>
        <v>17.3767</v>
      </c>
      <c r="AM110">
        <f t="shared" si="19"/>
        <v>7.0131492364999994</v>
      </c>
      <c r="AP110" s="9"/>
      <c r="AQ110" s="22">
        <v>1.3264499999999999</v>
      </c>
      <c r="AR110" s="22">
        <v>432.11399999999998</v>
      </c>
      <c r="AS110" s="22">
        <v>-1.6595499999999999E-2</v>
      </c>
      <c r="AT110" s="22">
        <v>100</v>
      </c>
      <c r="AU110" s="22">
        <v>1.32568</v>
      </c>
      <c r="AV110">
        <f t="shared" si="20"/>
        <v>16.595499999999998</v>
      </c>
      <c r="AW110">
        <f t="shared" si="21"/>
        <v>22.013100974999997</v>
      </c>
      <c r="AX110" s="9"/>
      <c r="AY110" s="22">
        <v>0.40359499999999998</v>
      </c>
      <c r="AZ110" s="22">
        <v>483.12799999999999</v>
      </c>
      <c r="BA110" s="22">
        <v>-1.7395000000000001E-2</v>
      </c>
      <c r="BB110" s="22">
        <v>100</v>
      </c>
      <c r="BC110" s="22">
        <v>0.40301500000000001</v>
      </c>
      <c r="BD110">
        <f t="shared" si="22"/>
        <v>17.395</v>
      </c>
      <c r="BE110">
        <f t="shared" si="23"/>
        <v>7.0205350249999992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118.404</v>
      </c>
      <c r="I111" s="22">
        <v>-1.6519200000000001E-2</v>
      </c>
      <c r="J111" s="22">
        <v>101</v>
      </c>
      <c r="K111" s="22">
        <v>1.3205</v>
      </c>
      <c r="L111">
        <f t="shared" si="12"/>
        <v>16.519200000000001</v>
      </c>
      <c r="M111">
        <f t="shared" si="13"/>
        <v>21.828636072000002</v>
      </c>
      <c r="N111" s="9"/>
      <c r="O111" s="22">
        <v>0.40862999999999999</v>
      </c>
      <c r="P111" s="22">
        <v>167.506</v>
      </c>
      <c r="Q111" s="22">
        <v>-1.73706E-2</v>
      </c>
      <c r="R111" s="22">
        <v>101</v>
      </c>
      <c r="S111" s="22">
        <v>0.407806</v>
      </c>
      <c r="T111">
        <f t="shared" si="14"/>
        <v>17.3706</v>
      </c>
      <c r="U111">
        <f t="shared" si="15"/>
        <v>7.098148278</v>
      </c>
      <c r="X111" s="9"/>
      <c r="Y111" s="22">
        <v>1.32141</v>
      </c>
      <c r="Z111" s="22">
        <v>223.66300000000001</v>
      </c>
      <c r="AA111" s="22">
        <v>-1.66321E-2</v>
      </c>
      <c r="AB111" s="22">
        <v>101</v>
      </c>
      <c r="AC111" s="22">
        <v>1.32111</v>
      </c>
      <c r="AD111">
        <f t="shared" si="16"/>
        <v>16.632100000000001</v>
      </c>
      <c r="AE111">
        <f t="shared" si="17"/>
        <v>21.977823261000001</v>
      </c>
      <c r="AF111" s="9"/>
      <c r="AG111" s="22">
        <v>0.40862999999999999</v>
      </c>
      <c r="AH111" s="22">
        <v>354.33300000000003</v>
      </c>
      <c r="AI111" s="22">
        <v>-1.7376699999999998E-2</v>
      </c>
      <c r="AJ111" s="22">
        <v>101</v>
      </c>
      <c r="AK111" s="22">
        <v>0.40789799999999998</v>
      </c>
      <c r="AL111">
        <f t="shared" si="18"/>
        <v>17.3767</v>
      </c>
      <c r="AM111">
        <f t="shared" si="19"/>
        <v>7.1006409210000001</v>
      </c>
      <c r="AP111" s="9"/>
      <c r="AQ111" s="22">
        <v>1.32141</v>
      </c>
      <c r="AR111" s="22">
        <v>432.214</v>
      </c>
      <c r="AS111" s="22">
        <v>-1.6601600000000001E-2</v>
      </c>
      <c r="AT111" s="22">
        <v>101</v>
      </c>
      <c r="AU111" s="22">
        <v>1.3208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483.22800000000001</v>
      </c>
      <c r="BA111" s="22">
        <v>-1.7392000000000001E-2</v>
      </c>
      <c r="BB111" s="22">
        <v>101</v>
      </c>
      <c r="BC111" s="22">
        <v>0.40789799999999998</v>
      </c>
      <c r="BD111">
        <f t="shared" si="22"/>
        <v>17.391999999999999</v>
      </c>
      <c r="BE111">
        <f t="shared" si="23"/>
        <v>7.1068929599999997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118.505</v>
      </c>
      <c r="I112" s="22">
        <v>-1.6528299999999999E-2</v>
      </c>
      <c r="J112" s="22">
        <v>102</v>
      </c>
      <c r="K112" s="22">
        <v>1.3156099999999999</v>
      </c>
      <c r="L112">
        <f t="shared" si="12"/>
        <v>16.528299999999998</v>
      </c>
      <c r="M112">
        <f t="shared" si="13"/>
        <v>21.757523553999999</v>
      </c>
      <c r="N112" s="9"/>
      <c r="O112" s="22">
        <v>0.41366599999999998</v>
      </c>
      <c r="P112" s="22">
        <v>167.607</v>
      </c>
      <c r="Q112" s="22">
        <v>-1.7364500000000001E-2</v>
      </c>
      <c r="R112" s="22">
        <v>102</v>
      </c>
      <c r="S112" s="22">
        <v>0.41293299999999999</v>
      </c>
      <c r="T112">
        <f t="shared" si="14"/>
        <v>17.364500000000003</v>
      </c>
      <c r="U112">
        <f t="shared" si="15"/>
        <v>7.1831032570000009</v>
      </c>
      <c r="X112" s="9"/>
      <c r="Y112" s="22">
        <v>1.3163800000000001</v>
      </c>
      <c r="Z112" s="22">
        <v>223.76400000000001</v>
      </c>
      <c r="AA112" s="22">
        <v>-1.66321E-2</v>
      </c>
      <c r="AB112" s="22">
        <v>102</v>
      </c>
      <c r="AC112" s="22">
        <v>1.3156099999999999</v>
      </c>
      <c r="AD112">
        <f t="shared" si="16"/>
        <v>16.632100000000001</v>
      </c>
      <c r="AE112">
        <f t="shared" si="17"/>
        <v>21.894163798000005</v>
      </c>
      <c r="AF112" s="9"/>
      <c r="AG112" s="22">
        <v>0.41366599999999998</v>
      </c>
      <c r="AH112" s="22">
        <v>354.43400000000003</v>
      </c>
      <c r="AI112" s="22">
        <v>-1.73706E-2</v>
      </c>
      <c r="AJ112" s="22">
        <v>102</v>
      </c>
      <c r="AK112" s="22">
        <v>0.41293299999999999</v>
      </c>
      <c r="AL112">
        <f t="shared" si="18"/>
        <v>17.3706</v>
      </c>
      <c r="AM112">
        <f t="shared" si="19"/>
        <v>7.1856266195999998</v>
      </c>
      <c r="AP112" s="9"/>
      <c r="AQ112" s="22">
        <v>1.3163800000000001</v>
      </c>
      <c r="AR112" s="22">
        <v>432.315</v>
      </c>
      <c r="AS112" s="22">
        <v>-1.6610699999999999E-2</v>
      </c>
      <c r="AT112" s="22">
        <v>102</v>
      </c>
      <c r="AU112" s="22">
        <v>1.3149999999999999</v>
      </c>
      <c r="AV112">
        <f t="shared" si="20"/>
        <v>16.610699999999998</v>
      </c>
      <c r="AW112">
        <f t="shared" si="21"/>
        <v>21.865993266</v>
      </c>
      <c r="AX112" s="9"/>
      <c r="AY112" s="22">
        <v>0.41366599999999998</v>
      </c>
      <c r="AZ112" s="22">
        <v>483.32900000000001</v>
      </c>
      <c r="BA112" s="22">
        <v>-1.7388899999999999E-2</v>
      </c>
      <c r="BB112" s="22">
        <v>102</v>
      </c>
      <c r="BC112" s="22">
        <v>0.41293299999999999</v>
      </c>
      <c r="BD112">
        <f t="shared" si="22"/>
        <v>17.3889</v>
      </c>
      <c r="BE112">
        <f t="shared" si="23"/>
        <v>7.1931967073999994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118.60599999999999</v>
      </c>
      <c r="I113" s="22">
        <v>-1.6534400000000001E-2</v>
      </c>
      <c r="J113" s="22">
        <v>103</v>
      </c>
      <c r="K113" s="22">
        <v>1.3104199999999999</v>
      </c>
      <c r="L113">
        <f t="shared" si="12"/>
        <v>16.534400000000002</v>
      </c>
      <c r="M113">
        <f t="shared" si="13"/>
        <v>21.682220096000002</v>
      </c>
      <c r="N113" s="9"/>
      <c r="O113" s="22">
        <v>0.41870099999999999</v>
      </c>
      <c r="P113" s="22">
        <v>167.708</v>
      </c>
      <c r="Q113" s="22">
        <v>-1.7361499999999998E-2</v>
      </c>
      <c r="R113" s="22">
        <v>103</v>
      </c>
      <c r="S113" s="22">
        <v>0.41781600000000002</v>
      </c>
      <c r="T113">
        <f t="shared" si="14"/>
        <v>17.361499999999999</v>
      </c>
      <c r="U113">
        <f t="shared" si="15"/>
        <v>7.2692774114999992</v>
      </c>
      <c r="X113" s="9"/>
      <c r="Y113" s="22">
        <v>1.31134</v>
      </c>
      <c r="Z113" s="22">
        <v>223.864</v>
      </c>
      <c r="AA113" s="22">
        <v>-1.66473E-2</v>
      </c>
      <c r="AB113" s="22">
        <v>103</v>
      </c>
      <c r="AC113" s="22">
        <v>1.31073</v>
      </c>
      <c r="AD113">
        <f t="shared" si="16"/>
        <v>16.647300000000001</v>
      </c>
      <c r="AE113">
        <f t="shared" si="17"/>
        <v>21.830270382000002</v>
      </c>
      <c r="AF113" s="9"/>
      <c r="AG113" s="22">
        <v>0.41870099999999999</v>
      </c>
      <c r="AH113" s="22">
        <v>354.53500000000003</v>
      </c>
      <c r="AI113" s="22">
        <v>-1.73676E-2</v>
      </c>
      <c r="AJ113" s="22">
        <v>103</v>
      </c>
      <c r="AK113" s="22">
        <v>0.41793799999999998</v>
      </c>
      <c r="AL113">
        <f t="shared" si="18"/>
        <v>17.367599999999999</v>
      </c>
      <c r="AM113">
        <f t="shared" si="19"/>
        <v>7.2718314875999992</v>
      </c>
      <c r="AP113" s="9"/>
      <c r="AQ113" s="22">
        <v>1.31134</v>
      </c>
      <c r="AR113" s="22">
        <v>432.416</v>
      </c>
      <c r="AS113" s="22">
        <v>-1.6622899999999999E-2</v>
      </c>
      <c r="AT113" s="22">
        <v>103</v>
      </c>
      <c r="AU113" s="22">
        <v>1.3104199999999999</v>
      </c>
      <c r="AV113">
        <f t="shared" si="20"/>
        <v>16.622899999999998</v>
      </c>
      <c r="AW113">
        <f t="shared" si="21"/>
        <v>21.798273685999995</v>
      </c>
      <c r="AX113" s="9"/>
      <c r="AY113" s="22">
        <v>0.41870099999999999</v>
      </c>
      <c r="AZ113" s="22">
        <v>483.43</v>
      </c>
      <c r="BA113" s="22">
        <v>-1.7385899999999999E-2</v>
      </c>
      <c r="BB113" s="22">
        <v>103</v>
      </c>
      <c r="BC113" s="22">
        <v>0.41799900000000001</v>
      </c>
      <c r="BD113">
        <f t="shared" si="22"/>
        <v>17.385899999999999</v>
      </c>
      <c r="BE113">
        <f t="shared" si="23"/>
        <v>7.2794937158999993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118.70699999999999</v>
      </c>
      <c r="I114" s="22">
        <v>-1.65375E-2</v>
      </c>
      <c r="J114" s="22">
        <v>104</v>
      </c>
      <c r="K114" s="22">
        <v>1.30585</v>
      </c>
      <c r="L114">
        <f t="shared" si="12"/>
        <v>16.537500000000001</v>
      </c>
      <c r="M114">
        <f t="shared" si="13"/>
        <v>21.602936250000003</v>
      </c>
      <c r="N114" s="9"/>
      <c r="O114" s="22">
        <v>0.42373699999999997</v>
      </c>
      <c r="P114" s="22">
        <v>167.80799999999999</v>
      </c>
      <c r="Q114" s="22">
        <v>-1.7361499999999998E-2</v>
      </c>
      <c r="R114" s="22">
        <v>104</v>
      </c>
      <c r="S114" s="22">
        <v>0.42300399999999999</v>
      </c>
      <c r="T114">
        <f t="shared" si="14"/>
        <v>17.361499999999999</v>
      </c>
      <c r="U114">
        <f t="shared" si="15"/>
        <v>7.3567099254999997</v>
      </c>
      <c r="X114" s="9"/>
      <c r="Y114" s="22">
        <v>1.3063</v>
      </c>
      <c r="Z114" s="22">
        <v>223.965</v>
      </c>
      <c r="AA114" s="22">
        <v>-1.6650399999999999E-2</v>
      </c>
      <c r="AB114" s="22">
        <v>104</v>
      </c>
      <c r="AC114" s="22">
        <v>1.30585</v>
      </c>
      <c r="AD114">
        <f t="shared" si="16"/>
        <v>16.650399999999998</v>
      </c>
      <c r="AE114">
        <f t="shared" si="17"/>
        <v>21.750417519999996</v>
      </c>
      <c r="AF114" s="9"/>
      <c r="AG114" s="22">
        <v>0.42373699999999997</v>
      </c>
      <c r="AH114" s="22">
        <v>354.63499999999999</v>
      </c>
      <c r="AI114" s="22">
        <v>-1.7361499999999998E-2</v>
      </c>
      <c r="AJ114" s="22">
        <v>104</v>
      </c>
      <c r="AK114" s="22">
        <v>0.42300399999999999</v>
      </c>
      <c r="AL114">
        <f t="shared" si="18"/>
        <v>17.361499999999999</v>
      </c>
      <c r="AM114">
        <f t="shared" si="19"/>
        <v>7.3567099254999997</v>
      </c>
      <c r="AP114" s="9"/>
      <c r="AQ114" s="22">
        <v>1.3063</v>
      </c>
      <c r="AR114" s="22">
        <v>432.517</v>
      </c>
      <c r="AS114" s="22">
        <v>-1.6622899999999999E-2</v>
      </c>
      <c r="AT114" s="22">
        <v>104</v>
      </c>
      <c r="AU114" s="22">
        <v>1.30585</v>
      </c>
      <c r="AV114">
        <f t="shared" si="20"/>
        <v>16.622899999999998</v>
      </c>
      <c r="AW114">
        <f t="shared" si="21"/>
        <v>21.714494269999996</v>
      </c>
      <c r="AX114" s="9"/>
      <c r="AY114" s="22">
        <v>0.42373699999999997</v>
      </c>
      <c r="AZ114" s="22">
        <v>483.53</v>
      </c>
      <c r="BA114" s="22">
        <v>-1.73828E-2</v>
      </c>
      <c r="BB114" s="22">
        <v>104</v>
      </c>
      <c r="BC114" s="22">
        <v>0.42306500000000002</v>
      </c>
      <c r="BD114">
        <f t="shared" si="22"/>
        <v>17.3828</v>
      </c>
      <c r="BE114">
        <f t="shared" si="23"/>
        <v>7.3657355235999997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118.807</v>
      </c>
      <c r="I115" s="22">
        <v>-1.6549700000000001E-2</v>
      </c>
      <c r="J115" s="22">
        <v>105</v>
      </c>
      <c r="K115" s="22">
        <v>1.3006599999999999</v>
      </c>
      <c r="L115">
        <f t="shared" si="12"/>
        <v>16.549700000000001</v>
      </c>
      <c r="M115">
        <f t="shared" si="13"/>
        <v>21.535628119000002</v>
      </c>
      <c r="N115" s="9"/>
      <c r="O115" s="22">
        <v>0.42877199999999999</v>
      </c>
      <c r="P115" s="22">
        <v>167.90899999999999</v>
      </c>
      <c r="Q115" s="22">
        <v>-1.7355300000000001E-2</v>
      </c>
      <c r="R115" s="22">
        <v>105</v>
      </c>
      <c r="S115" s="22">
        <v>0.42807000000000001</v>
      </c>
      <c r="T115">
        <f t="shared" si="14"/>
        <v>17.3553</v>
      </c>
      <c r="U115">
        <f t="shared" si="15"/>
        <v>7.4414666915999996</v>
      </c>
      <c r="X115" s="9"/>
      <c r="Y115" s="22">
        <v>1.3012699999999999</v>
      </c>
      <c r="Z115" s="22">
        <v>224.066</v>
      </c>
      <c r="AA115" s="22">
        <v>-1.6653399999999999E-2</v>
      </c>
      <c r="AB115" s="22">
        <v>105</v>
      </c>
      <c r="AC115" s="22">
        <v>1.3003499999999999</v>
      </c>
      <c r="AD115">
        <f t="shared" si="16"/>
        <v>16.653399999999998</v>
      </c>
      <c r="AE115">
        <f t="shared" si="17"/>
        <v>21.670569817999997</v>
      </c>
      <c r="AF115" s="9"/>
      <c r="AG115" s="22">
        <v>0.42877199999999999</v>
      </c>
      <c r="AH115" s="22">
        <v>354.73599999999999</v>
      </c>
      <c r="AI115" s="22">
        <v>-1.7361499999999998E-2</v>
      </c>
      <c r="AJ115" s="22">
        <v>105</v>
      </c>
      <c r="AK115" s="22">
        <v>0.42810100000000001</v>
      </c>
      <c r="AL115">
        <f t="shared" si="18"/>
        <v>17.361499999999999</v>
      </c>
      <c r="AM115">
        <f t="shared" si="19"/>
        <v>7.4441250779999999</v>
      </c>
      <c r="AP115" s="9"/>
      <c r="AQ115" s="22">
        <v>1.3012699999999999</v>
      </c>
      <c r="AR115" s="22">
        <v>432.61700000000002</v>
      </c>
      <c r="AS115" s="22">
        <v>-1.66321E-2</v>
      </c>
      <c r="AT115" s="22">
        <v>105</v>
      </c>
      <c r="AU115" s="22">
        <v>1.3003499999999999</v>
      </c>
      <c r="AV115">
        <f t="shared" si="20"/>
        <v>16.632100000000001</v>
      </c>
      <c r="AW115">
        <f t="shared" si="21"/>
        <v>21.642852767000001</v>
      </c>
      <c r="AX115" s="9"/>
      <c r="AY115" s="22">
        <v>0.42877199999999999</v>
      </c>
      <c r="AZ115" s="22">
        <v>483.63099999999997</v>
      </c>
      <c r="BA115" s="22">
        <v>-1.7379800000000001E-2</v>
      </c>
      <c r="BB115" s="22">
        <v>105</v>
      </c>
      <c r="BC115" s="22">
        <v>0.42813099999999998</v>
      </c>
      <c r="BD115">
        <f t="shared" si="22"/>
        <v>17.379799999999999</v>
      </c>
      <c r="BE115">
        <f t="shared" si="23"/>
        <v>7.4519716055999998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118.908</v>
      </c>
      <c r="I116" s="22">
        <v>-1.6555799999999999E-2</v>
      </c>
      <c r="J116" s="22">
        <v>106</v>
      </c>
      <c r="K116" s="22">
        <v>1.2957799999999999</v>
      </c>
      <c r="L116">
        <f t="shared" si="12"/>
        <v>16.555799999999998</v>
      </c>
      <c r="M116">
        <f t="shared" si="13"/>
        <v>21.460124633999996</v>
      </c>
      <c r="N116" s="9"/>
      <c r="O116" s="22">
        <v>0.433807</v>
      </c>
      <c r="P116" s="22">
        <v>168.01</v>
      </c>
      <c r="Q116" s="22">
        <v>-1.7352300000000001E-2</v>
      </c>
      <c r="R116" s="22">
        <v>106</v>
      </c>
      <c r="S116" s="22">
        <v>0.43304399999999998</v>
      </c>
      <c r="T116">
        <f t="shared" si="14"/>
        <v>17.3523</v>
      </c>
      <c r="U116">
        <f t="shared" si="15"/>
        <v>7.5275492060999998</v>
      </c>
      <c r="X116" s="9"/>
      <c r="Y116" s="22">
        <v>1.29623</v>
      </c>
      <c r="Z116" s="22">
        <v>224.167</v>
      </c>
      <c r="AA116" s="22">
        <v>-1.66626E-2</v>
      </c>
      <c r="AB116" s="22">
        <v>106</v>
      </c>
      <c r="AC116" s="22">
        <v>1.2954699999999999</v>
      </c>
      <c r="AD116">
        <f t="shared" si="16"/>
        <v>16.662600000000001</v>
      </c>
      <c r="AE116">
        <f t="shared" si="17"/>
        <v>21.598561998000001</v>
      </c>
      <c r="AF116" s="9"/>
      <c r="AG116" s="22">
        <v>0.433807</v>
      </c>
      <c r="AH116" s="22">
        <v>354.83699999999999</v>
      </c>
      <c r="AI116" s="22">
        <v>-1.73584E-2</v>
      </c>
      <c r="AJ116" s="22">
        <v>106</v>
      </c>
      <c r="AK116" s="22">
        <v>0.43316700000000002</v>
      </c>
      <c r="AL116">
        <f t="shared" si="18"/>
        <v>17.3584</v>
      </c>
      <c r="AM116">
        <f t="shared" si="19"/>
        <v>7.5301954287999999</v>
      </c>
      <c r="AP116" s="9"/>
      <c r="AQ116" s="22">
        <v>1.29623</v>
      </c>
      <c r="AR116" s="22">
        <v>432.71800000000002</v>
      </c>
      <c r="AS116" s="22">
        <v>-1.6641199999999998E-2</v>
      </c>
      <c r="AT116" s="22">
        <v>106</v>
      </c>
      <c r="AU116" s="22">
        <v>1.2954699999999999</v>
      </c>
      <c r="AV116">
        <f t="shared" si="20"/>
        <v>16.641199999999998</v>
      </c>
      <c r="AW116">
        <f t="shared" si="21"/>
        <v>21.570822675999995</v>
      </c>
      <c r="AX116" s="9"/>
      <c r="AY116" s="22">
        <v>0.433807</v>
      </c>
      <c r="AZ116" s="22">
        <v>483.73200000000003</v>
      </c>
      <c r="BA116" s="22">
        <v>-1.7376699999999998E-2</v>
      </c>
      <c r="BB116" s="22">
        <v>106</v>
      </c>
      <c r="BC116" s="22">
        <v>0.433228</v>
      </c>
      <c r="BD116">
        <f t="shared" si="22"/>
        <v>17.3767</v>
      </c>
      <c r="BE116">
        <f t="shared" si="23"/>
        <v>7.5381340968999995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119.009</v>
      </c>
      <c r="I117" s="22">
        <v>-1.6567999999999999E-2</v>
      </c>
      <c r="J117" s="22">
        <v>107</v>
      </c>
      <c r="K117" s="22">
        <v>1.2902800000000001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168.11</v>
      </c>
      <c r="Q117" s="22">
        <v>-1.7346199999999999E-2</v>
      </c>
      <c r="R117" s="22">
        <v>107</v>
      </c>
      <c r="S117" s="22">
        <v>0.43823200000000001</v>
      </c>
      <c r="T117">
        <f t="shared" si="14"/>
        <v>17.3462</v>
      </c>
      <c r="U117">
        <f t="shared" si="15"/>
        <v>7.6122584465999994</v>
      </c>
      <c r="X117" s="9"/>
      <c r="Y117" s="22">
        <v>1.2911999999999999</v>
      </c>
      <c r="Z117" s="22">
        <v>224.267</v>
      </c>
      <c r="AA117" s="22">
        <v>-1.6671800000000001E-2</v>
      </c>
      <c r="AB117" s="22">
        <v>107</v>
      </c>
      <c r="AC117" s="22">
        <v>1.2911999999999999</v>
      </c>
      <c r="AD117">
        <f t="shared" si="16"/>
        <v>16.671800000000001</v>
      </c>
      <c r="AE117">
        <f t="shared" si="17"/>
        <v>21.526628160000001</v>
      </c>
      <c r="AF117" s="9"/>
      <c r="AG117" s="22">
        <v>0.43884299999999998</v>
      </c>
      <c r="AH117" s="22">
        <v>354.93700000000001</v>
      </c>
      <c r="AI117" s="22">
        <v>-1.7355300000000001E-2</v>
      </c>
      <c r="AJ117" s="22">
        <v>107</v>
      </c>
      <c r="AK117" s="22">
        <v>0.43817099999999998</v>
      </c>
      <c r="AL117">
        <f t="shared" si="18"/>
        <v>17.3553</v>
      </c>
      <c r="AM117">
        <f t="shared" si="19"/>
        <v>7.6162519178999997</v>
      </c>
      <c r="AP117" s="9"/>
      <c r="AQ117" s="22">
        <v>1.2911999999999999</v>
      </c>
      <c r="AR117" s="22">
        <v>432.81900000000002</v>
      </c>
      <c r="AS117" s="22">
        <v>-1.6644300000000001E-2</v>
      </c>
      <c r="AT117" s="22">
        <v>107</v>
      </c>
      <c r="AU117" s="22">
        <v>1.2905899999999999</v>
      </c>
      <c r="AV117">
        <f t="shared" si="20"/>
        <v>16.644300000000001</v>
      </c>
      <c r="AW117">
        <f t="shared" si="21"/>
        <v>21.491120160000001</v>
      </c>
      <c r="AX117" s="9"/>
      <c r="AY117" s="22">
        <v>0.43884299999999998</v>
      </c>
      <c r="AZ117" s="22">
        <v>483.83300000000003</v>
      </c>
      <c r="BA117" s="22">
        <v>-1.7373699999999999E-2</v>
      </c>
      <c r="BB117" s="22">
        <v>107</v>
      </c>
      <c r="BC117" s="22">
        <v>0.43804900000000002</v>
      </c>
      <c r="BD117">
        <f t="shared" si="22"/>
        <v>17.373699999999999</v>
      </c>
      <c r="BE117">
        <f t="shared" si="23"/>
        <v>7.6243266290999996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119.10899999999999</v>
      </c>
      <c r="I118" s="22">
        <v>-1.6574100000000001E-2</v>
      </c>
      <c r="J118" s="22">
        <v>108</v>
      </c>
      <c r="K118" s="22">
        <v>1.2857099999999999</v>
      </c>
      <c r="L118">
        <f t="shared" si="12"/>
        <v>16.574100000000001</v>
      </c>
      <c r="M118">
        <f t="shared" si="13"/>
        <v>21.316944456000002</v>
      </c>
      <c r="N118" s="9"/>
      <c r="O118" s="22">
        <v>0.44387799999999999</v>
      </c>
      <c r="P118" s="22">
        <v>168.21100000000001</v>
      </c>
      <c r="Q118" s="22">
        <v>-1.73431E-2</v>
      </c>
      <c r="R118" s="22">
        <v>108</v>
      </c>
      <c r="S118" s="22">
        <v>0.44329800000000003</v>
      </c>
      <c r="T118">
        <f t="shared" si="14"/>
        <v>17.3431</v>
      </c>
      <c r="U118">
        <f t="shared" si="15"/>
        <v>7.6982205417999996</v>
      </c>
      <c r="X118" s="9"/>
      <c r="Y118" s="22">
        <v>1.28616</v>
      </c>
      <c r="Z118" s="22">
        <v>224.36799999999999</v>
      </c>
      <c r="AA118" s="22">
        <v>-1.66748E-2</v>
      </c>
      <c r="AB118" s="22">
        <v>108</v>
      </c>
      <c r="AC118" s="22">
        <v>1.2850999999999999</v>
      </c>
      <c r="AD118">
        <f t="shared" si="16"/>
        <v>16.674800000000001</v>
      </c>
      <c r="AE118">
        <f t="shared" si="17"/>
        <v>21.446460768000001</v>
      </c>
      <c r="AF118" s="9"/>
      <c r="AG118" s="22">
        <v>0.44387799999999999</v>
      </c>
      <c r="AH118" s="22">
        <v>355.03800000000001</v>
      </c>
      <c r="AI118" s="22">
        <v>-1.7352300000000001E-2</v>
      </c>
      <c r="AJ118" s="22">
        <v>108</v>
      </c>
      <c r="AK118" s="22">
        <v>0.442963</v>
      </c>
      <c r="AL118">
        <f t="shared" si="18"/>
        <v>17.3523</v>
      </c>
      <c r="AM118">
        <f t="shared" si="19"/>
        <v>7.7023042193999993</v>
      </c>
      <c r="AP118" s="9"/>
      <c r="AQ118" s="22">
        <v>1.28616</v>
      </c>
      <c r="AR118" s="22">
        <v>432.91899999999998</v>
      </c>
      <c r="AS118" s="22">
        <v>-1.6650399999999999E-2</v>
      </c>
      <c r="AT118" s="22">
        <v>108</v>
      </c>
      <c r="AU118" s="22">
        <v>1.2850999999999999</v>
      </c>
      <c r="AV118">
        <f t="shared" si="20"/>
        <v>16.650399999999998</v>
      </c>
      <c r="AW118">
        <f t="shared" si="21"/>
        <v>21.415078463999997</v>
      </c>
      <c r="AX118" s="9"/>
      <c r="AY118" s="22">
        <v>0.44387799999999999</v>
      </c>
      <c r="AZ118" s="22">
        <v>483.93299999999999</v>
      </c>
      <c r="BA118" s="22">
        <v>-1.73676E-2</v>
      </c>
      <c r="BB118" s="22">
        <v>108</v>
      </c>
      <c r="BC118" s="22">
        <v>0.44323699999999999</v>
      </c>
      <c r="BD118">
        <f t="shared" si="22"/>
        <v>17.367599999999999</v>
      </c>
      <c r="BE118">
        <f t="shared" si="23"/>
        <v>7.7090955528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119.21</v>
      </c>
      <c r="I119" s="22">
        <v>-1.6577100000000001E-2</v>
      </c>
      <c r="J119" s="22">
        <v>109</v>
      </c>
      <c r="K119" s="22">
        <v>1.2802100000000001</v>
      </c>
      <c r="L119">
        <f t="shared" si="12"/>
        <v>16.577100000000002</v>
      </c>
      <c r="M119">
        <f t="shared" si="13"/>
        <v>21.237420123000003</v>
      </c>
      <c r="N119" s="9"/>
      <c r="O119" s="22">
        <v>0.44891399999999998</v>
      </c>
      <c r="P119" s="22">
        <v>168.31200000000001</v>
      </c>
      <c r="Q119" s="22">
        <v>-1.7340100000000001E-2</v>
      </c>
      <c r="R119" s="22">
        <v>109</v>
      </c>
      <c r="S119" s="22">
        <v>0.44827299999999998</v>
      </c>
      <c r="T119">
        <f t="shared" si="14"/>
        <v>17.3401</v>
      </c>
      <c r="U119">
        <f t="shared" si="15"/>
        <v>7.7842136513999991</v>
      </c>
      <c r="X119" s="9"/>
      <c r="Y119" s="22">
        <v>1.2811300000000001</v>
      </c>
      <c r="Z119" s="22">
        <v>224.46899999999999</v>
      </c>
      <c r="AA119" s="22">
        <v>-1.6680899999999999E-2</v>
      </c>
      <c r="AB119" s="22">
        <v>109</v>
      </c>
      <c r="AC119" s="22">
        <v>1.2799100000000001</v>
      </c>
      <c r="AD119">
        <f t="shared" si="16"/>
        <v>16.680899999999998</v>
      </c>
      <c r="AE119">
        <f t="shared" si="17"/>
        <v>21.370401417</v>
      </c>
      <c r="AF119" s="9"/>
      <c r="AG119" s="22">
        <v>0.44891399999999998</v>
      </c>
      <c r="AH119" s="22">
        <v>355.13900000000001</v>
      </c>
      <c r="AI119" s="22">
        <v>-1.7346199999999999E-2</v>
      </c>
      <c r="AJ119" s="22">
        <v>109</v>
      </c>
      <c r="AK119" s="22">
        <v>0.44815100000000002</v>
      </c>
      <c r="AL119">
        <f t="shared" si="18"/>
        <v>17.3462</v>
      </c>
      <c r="AM119">
        <f t="shared" si="19"/>
        <v>7.7869520267999999</v>
      </c>
      <c r="AP119" s="9"/>
      <c r="AQ119" s="22">
        <v>1.2811300000000001</v>
      </c>
      <c r="AR119" s="22">
        <v>433.02</v>
      </c>
      <c r="AS119" s="22">
        <v>-1.6656500000000001E-2</v>
      </c>
      <c r="AT119" s="22">
        <v>109</v>
      </c>
      <c r="AU119" s="22">
        <v>1.2799100000000001</v>
      </c>
      <c r="AV119">
        <f t="shared" si="20"/>
        <v>16.656500000000001</v>
      </c>
      <c r="AW119">
        <f t="shared" si="21"/>
        <v>21.339141845000004</v>
      </c>
      <c r="AX119" s="9"/>
      <c r="AY119" s="22">
        <v>0.44891399999999998</v>
      </c>
      <c r="AZ119" s="22">
        <v>484.03399999999999</v>
      </c>
      <c r="BA119" s="22">
        <v>-1.73676E-2</v>
      </c>
      <c r="BB119" s="22">
        <v>109</v>
      </c>
      <c r="BC119" s="22">
        <v>0.448212</v>
      </c>
      <c r="BD119">
        <f t="shared" si="22"/>
        <v>17.367599999999999</v>
      </c>
      <c r="BE119">
        <f t="shared" si="23"/>
        <v>7.7965587863999994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119.31100000000001</v>
      </c>
      <c r="I120" s="22">
        <v>-1.6583299999999999E-2</v>
      </c>
      <c r="J120" s="22">
        <v>110</v>
      </c>
      <c r="K120" s="22">
        <v>1.27502</v>
      </c>
      <c r="L120">
        <f t="shared" si="12"/>
        <v>16.583299999999998</v>
      </c>
      <c r="M120">
        <f t="shared" si="13"/>
        <v>21.161783296999996</v>
      </c>
      <c r="N120" s="9"/>
      <c r="O120" s="22">
        <v>0.45394899999999999</v>
      </c>
      <c r="P120" s="22">
        <v>168.41200000000001</v>
      </c>
      <c r="Q120" s="22">
        <v>-1.7337000000000002E-2</v>
      </c>
      <c r="R120" s="22">
        <v>110</v>
      </c>
      <c r="S120" s="22">
        <v>0.45297199999999999</v>
      </c>
      <c r="T120">
        <f t="shared" si="14"/>
        <v>17.337000000000003</v>
      </c>
      <c r="U120">
        <f t="shared" si="15"/>
        <v>7.8701138130000015</v>
      </c>
      <c r="X120" s="9"/>
      <c r="Y120" s="22">
        <v>1.2760899999999999</v>
      </c>
      <c r="Z120" s="22">
        <v>224.56899999999999</v>
      </c>
      <c r="AA120" s="22">
        <v>-1.6693099999999999E-2</v>
      </c>
      <c r="AB120" s="22">
        <v>110</v>
      </c>
      <c r="AC120" s="22">
        <v>1.27502</v>
      </c>
      <c r="AD120">
        <f t="shared" si="16"/>
        <v>16.693099999999998</v>
      </c>
      <c r="AE120">
        <f t="shared" si="17"/>
        <v>21.301897978999996</v>
      </c>
      <c r="AF120" s="9"/>
      <c r="AG120" s="22">
        <v>0.45394899999999999</v>
      </c>
      <c r="AH120" s="22">
        <v>355.24</v>
      </c>
      <c r="AI120" s="22">
        <v>-1.73431E-2</v>
      </c>
      <c r="AJ120" s="22">
        <v>110</v>
      </c>
      <c r="AK120" s="22">
        <v>0.45333899999999999</v>
      </c>
      <c r="AL120">
        <f t="shared" si="18"/>
        <v>17.3431</v>
      </c>
      <c r="AM120">
        <f t="shared" si="19"/>
        <v>7.8728829018999997</v>
      </c>
      <c r="AP120" s="9"/>
      <c r="AQ120" s="22">
        <v>1.2760899999999999</v>
      </c>
      <c r="AR120" s="22">
        <v>433.12099999999998</v>
      </c>
      <c r="AS120" s="22">
        <v>-1.6665599999999999E-2</v>
      </c>
      <c r="AT120" s="22">
        <v>110</v>
      </c>
      <c r="AU120" s="22">
        <v>1.27502</v>
      </c>
      <c r="AV120">
        <f t="shared" si="20"/>
        <v>16.665599999999998</v>
      </c>
      <c r="AW120">
        <f t="shared" si="21"/>
        <v>21.266805503999997</v>
      </c>
      <c r="AX120" s="9"/>
      <c r="AY120" s="22">
        <v>0.45394899999999999</v>
      </c>
      <c r="AZ120" s="22">
        <v>484.13499999999999</v>
      </c>
      <c r="BA120" s="22">
        <v>-1.7364500000000001E-2</v>
      </c>
      <c r="BB120" s="22">
        <v>110</v>
      </c>
      <c r="BC120" s="22">
        <v>0.45330799999999999</v>
      </c>
      <c r="BD120">
        <f t="shared" si="22"/>
        <v>17.364500000000003</v>
      </c>
      <c r="BE120">
        <f t="shared" si="23"/>
        <v>7.8825974105000016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119.411</v>
      </c>
      <c r="I121" s="22">
        <v>-1.65924E-2</v>
      </c>
      <c r="J121" s="22">
        <v>111</v>
      </c>
      <c r="K121" s="22">
        <v>1.2710600000000001</v>
      </c>
      <c r="L121">
        <f t="shared" si="12"/>
        <v>16.592400000000001</v>
      </c>
      <c r="M121">
        <f t="shared" si="13"/>
        <v>21.089935944000004</v>
      </c>
      <c r="N121" s="9"/>
      <c r="O121" s="22">
        <v>0.458984</v>
      </c>
      <c r="P121" s="22">
        <v>168.51300000000001</v>
      </c>
      <c r="Q121" s="22">
        <v>-1.7333999999999999E-2</v>
      </c>
      <c r="R121" s="22">
        <v>111</v>
      </c>
      <c r="S121" s="22">
        <v>0.45831300000000003</v>
      </c>
      <c r="T121">
        <f t="shared" si="14"/>
        <v>17.334</v>
      </c>
      <c r="U121">
        <f t="shared" si="15"/>
        <v>7.956028656</v>
      </c>
      <c r="X121" s="9"/>
      <c r="Y121" s="22">
        <v>1.2710600000000001</v>
      </c>
      <c r="Z121" s="22">
        <v>224.67</v>
      </c>
      <c r="AA121" s="22">
        <v>-1.6693099999999999E-2</v>
      </c>
      <c r="AB121" s="22">
        <v>111</v>
      </c>
      <c r="AC121" s="22">
        <v>1.2704500000000001</v>
      </c>
      <c r="AD121">
        <f t="shared" si="16"/>
        <v>16.693099999999998</v>
      </c>
      <c r="AE121">
        <f t="shared" si="17"/>
        <v>21.217931686</v>
      </c>
      <c r="AF121" s="9"/>
      <c r="AG121" s="22">
        <v>0.458984</v>
      </c>
      <c r="AH121" s="22">
        <v>355.34</v>
      </c>
      <c r="AI121" s="22">
        <v>-1.7340100000000001E-2</v>
      </c>
      <c r="AJ121" s="22">
        <v>111</v>
      </c>
      <c r="AK121" s="22">
        <v>0.45834399999999997</v>
      </c>
      <c r="AL121">
        <f t="shared" si="18"/>
        <v>17.3401</v>
      </c>
      <c r="AM121">
        <f t="shared" si="19"/>
        <v>7.9588284584000002</v>
      </c>
      <c r="AP121" s="9"/>
      <c r="AQ121" s="22">
        <v>1.2710600000000001</v>
      </c>
      <c r="AR121" s="22">
        <v>433.22199999999998</v>
      </c>
      <c r="AS121" s="22">
        <v>-1.6668700000000002E-2</v>
      </c>
      <c r="AT121" s="22">
        <v>111</v>
      </c>
      <c r="AU121" s="22">
        <v>1.27014</v>
      </c>
      <c r="AV121">
        <f t="shared" si="20"/>
        <v>16.668700000000001</v>
      </c>
      <c r="AW121">
        <f t="shared" si="21"/>
        <v>21.186917822000002</v>
      </c>
      <c r="AX121" s="9"/>
      <c r="AY121" s="22">
        <v>0.458984</v>
      </c>
      <c r="AZ121" s="22">
        <v>484.23500000000001</v>
      </c>
      <c r="BA121" s="22">
        <v>-1.73584E-2</v>
      </c>
      <c r="BB121" s="22">
        <v>111</v>
      </c>
      <c r="BC121" s="22">
        <v>0.45825199999999999</v>
      </c>
      <c r="BD121">
        <f t="shared" si="22"/>
        <v>17.3584</v>
      </c>
      <c r="BE121">
        <f t="shared" si="23"/>
        <v>7.9672278656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119.512</v>
      </c>
      <c r="I122" s="22">
        <v>-1.6601600000000001E-2</v>
      </c>
      <c r="J122" s="22">
        <v>112</v>
      </c>
      <c r="K122" s="22">
        <v>1.26556</v>
      </c>
      <c r="L122">
        <f t="shared" si="12"/>
        <v>16.601600000000001</v>
      </c>
      <c r="M122">
        <f t="shared" si="13"/>
        <v>21.017957632000002</v>
      </c>
      <c r="N122" s="9"/>
      <c r="O122" s="22">
        <v>0.46401999999999999</v>
      </c>
      <c r="P122" s="22">
        <v>168.614</v>
      </c>
      <c r="Q122" s="22">
        <v>-1.73309E-2</v>
      </c>
      <c r="R122" s="22">
        <v>112</v>
      </c>
      <c r="S122" s="22">
        <v>0.46334799999999998</v>
      </c>
      <c r="T122">
        <f t="shared" si="14"/>
        <v>17.3309</v>
      </c>
      <c r="U122">
        <f t="shared" si="15"/>
        <v>8.0418842179999999</v>
      </c>
      <c r="X122" s="9"/>
      <c r="Y122" s="22">
        <v>1.2660199999999999</v>
      </c>
      <c r="Z122" s="22">
        <v>224.77099999999999</v>
      </c>
      <c r="AA122" s="22">
        <v>-1.6699200000000001E-2</v>
      </c>
      <c r="AB122" s="22">
        <v>112</v>
      </c>
      <c r="AC122" s="22">
        <v>1.2652600000000001</v>
      </c>
      <c r="AD122">
        <f t="shared" si="16"/>
        <v>16.699200000000001</v>
      </c>
      <c r="AE122">
        <f t="shared" si="17"/>
        <v>21.141521184000002</v>
      </c>
      <c r="AF122" s="9"/>
      <c r="AG122" s="22">
        <v>0.46401999999999999</v>
      </c>
      <c r="AH122" s="22">
        <v>355.44099999999997</v>
      </c>
      <c r="AI122" s="22">
        <v>-1.7337000000000002E-2</v>
      </c>
      <c r="AJ122" s="22">
        <v>112</v>
      </c>
      <c r="AK122" s="22">
        <v>0.46334799999999998</v>
      </c>
      <c r="AL122">
        <f t="shared" si="18"/>
        <v>17.337000000000003</v>
      </c>
      <c r="AM122">
        <f t="shared" si="19"/>
        <v>8.0447147400000016</v>
      </c>
      <c r="AP122" s="9"/>
      <c r="AQ122" s="22">
        <v>1.2660199999999999</v>
      </c>
      <c r="AR122" s="22">
        <v>433.322</v>
      </c>
      <c r="AS122" s="22">
        <v>-1.6671800000000001E-2</v>
      </c>
      <c r="AT122" s="22">
        <v>112</v>
      </c>
      <c r="AU122" s="22">
        <v>1.2646500000000001</v>
      </c>
      <c r="AV122">
        <f t="shared" si="20"/>
        <v>16.671800000000001</v>
      </c>
      <c r="AW122">
        <f t="shared" si="21"/>
        <v>21.106832235999999</v>
      </c>
      <c r="AX122" s="9"/>
      <c r="AY122" s="22">
        <v>0.46401999999999999</v>
      </c>
      <c r="AZ122" s="22">
        <v>484.33600000000001</v>
      </c>
      <c r="BA122" s="22">
        <v>-1.73584E-2</v>
      </c>
      <c r="BB122" s="22">
        <v>112</v>
      </c>
      <c r="BC122" s="22">
        <v>0.46325699999999997</v>
      </c>
      <c r="BD122">
        <f t="shared" si="22"/>
        <v>17.3584</v>
      </c>
      <c r="BE122">
        <f t="shared" si="23"/>
        <v>8.0546447679999993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119.613</v>
      </c>
      <c r="I123" s="22">
        <v>-1.6613800000000001E-2</v>
      </c>
      <c r="J123" s="22">
        <v>113</v>
      </c>
      <c r="K123" s="22">
        <v>1.26068</v>
      </c>
      <c r="L123">
        <f t="shared" si="12"/>
        <v>16.613800000000001</v>
      </c>
      <c r="M123">
        <f t="shared" si="13"/>
        <v>20.949835662000002</v>
      </c>
      <c r="N123" s="9"/>
      <c r="O123" s="22">
        <v>0.469055</v>
      </c>
      <c r="P123" s="22">
        <v>168.715</v>
      </c>
      <c r="Q123" s="22">
        <v>-1.7324800000000001E-2</v>
      </c>
      <c r="R123" s="22">
        <v>113</v>
      </c>
      <c r="S123" s="22">
        <v>0.46850599999999998</v>
      </c>
      <c r="T123">
        <f t="shared" si="14"/>
        <v>17.3248</v>
      </c>
      <c r="U123">
        <f t="shared" si="15"/>
        <v>8.126284064</v>
      </c>
      <c r="X123" s="9"/>
      <c r="Y123" s="22">
        <v>1.2609900000000001</v>
      </c>
      <c r="Z123" s="22">
        <v>224.87100000000001</v>
      </c>
      <c r="AA123" s="22">
        <v>-1.67023E-2</v>
      </c>
      <c r="AB123" s="22">
        <v>113</v>
      </c>
      <c r="AC123" s="22">
        <v>1.2603800000000001</v>
      </c>
      <c r="AD123">
        <f t="shared" si="16"/>
        <v>16.702300000000001</v>
      </c>
      <c r="AE123">
        <f t="shared" si="17"/>
        <v>21.061433277000003</v>
      </c>
      <c r="AF123" s="9"/>
      <c r="AG123" s="22">
        <v>0.469055</v>
      </c>
      <c r="AH123" s="22">
        <v>355.54199999999997</v>
      </c>
      <c r="AI123" s="22">
        <v>-1.73309E-2</v>
      </c>
      <c r="AJ123" s="22">
        <v>113</v>
      </c>
      <c r="AK123" s="22">
        <v>0.468414</v>
      </c>
      <c r="AL123">
        <f t="shared" si="18"/>
        <v>17.3309</v>
      </c>
      <c r="AM123">
        <f t="shared" si="19"/>
        <v>8.1291452994999993</v>
      </c>
      <c r="AP123" s="9"/>
      <c r="AQ123" s="22">
        <v>1.2609900000000001</v>
      </c>
      <c r="AR123" s="22">
        <v>433.423</v>
      </c>
      <c r="AS123" s="22">
        <v>-1.6684000000000001E-2</v>
      </c>
      <c r="AT123" s="22">
        <v>113</v>
      </c>
      <c r="AU123" s="22">
        <v>1.26007</v>
      </c>
      <c r="AV123">
        <f t="shared" si="20"/>
        <v>16.684000000000001</v>
      </c>
      <c r="AW123">
        <f t="shared" si="21"/>
        <v>21.038357160000004</v>
      </c>
      <c r="AX123" s="9"/>
      <c r="AY123" s="22">
        <v>0.469055</v>
      </c>
      <c r="AZ123" s="22">
        <v>484.43700000000001</v>
      </c>
      <c r="BA123" s="22">
        <v>-1.7355300000000001E-2</v>
      </c>
      <c r="BB123" s="22">
        <v>113</v>
      </c>
      <c r="BC123" s="22">
        <v>0.468414</v>
      </c>
      <c r="BD123">
        <f t="shared" si="22"/>
        <v>17.3553</v>
      </c>
      <c r="BE123">
        <f t="shared" si="23"/>
        <v>8.1405902415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119.714</v>
      </c>
      <c r="I124" s="22">
        <v>-1.66199E-2</v>
      </c>
      <c r="J124" s="22">
        <v>114</v>
      </c>
      <c r="K124" s="22">
        <v>1.25549</v>
      </c>
      <c r="L124">
        <f t="shared" si="12"/>
        <v>16.619900000000001</v>
      </c>
      <c r="M124">
        <f t="shared" si="13"/>
        <v>20.873763404999998</v>
      </c>
      <c r="N124" s="9"/>
      <c r="O124" s="22">
        <v>0.47409099999999998</v>
      </c>
      <c r="P124" s="22">
        <v>168.815</v>
      </c>
      <c r="Q124" s="22">
        <v>-1.7321799999999998E-2</v>
      </c>
      <c r="R124" s="22">
        <v>114</v>
      </c>
      <c r="S124" s="22">
        <v>0.47317500000000001</v>
      </c>
      <c r="T124">
        <f t="shared" si="14"/>
        <v>17.3218</v>
      </c>
      <c r="U124">
        <f t="shared" si="15"/>
        <v>8.2121094837999991</v>
      </c>
      <c r="X124" s="9"/>
      <c r="Y124" s="22">
        <v>1.2559499999999999</v>
      </c>
      <c r="Z124" s="22">
        <v>224.97200000000001</v>
      </c>
      <c r="AA124" s="22">
        <v>-1.67175E-2</v>
      </c>
      <c r="AB124" s="22">
        <v>114</v>
      </c>
      <c r="AC124" s="22">
        <v>1.25549</v>
      </c>
      <c r="AD124">
        <f t="shared" si="16"/>
        <v>16.717500000000001</v>
      </c>
      <c r="AE124">
        <f t="shared" si="17"/>
        <v>20.996344125</v>
      </c>
      <c r="AF124" s="9"/>
      <c r="AG124" s="22">
        <v>0.47409099999999998</v>
      </c>
      <c r="AH124" s="22">
        <v>355.642</v>
      </c>
      <c r="AI124" s="22">
        <v>-1.73279E-2</v>
      </c>
      <c r="AJ124" s="22">
        <v>114</v>
      </c>
      <c r="AK124" s="22">
        <v>0.47344999999999998</v>
      </c>
      <c r="AL124">
        <f t="shared" si="18"/>
        <v>17.3279</v>
      </c>
      <c r="AM124">
        <f t="shared" si="19"/>
        <v>8.2150014388999999</v>
      </c>
      <c r="AP124" s="9"/>
      <c r="AQ124" s="22">
        <v>1.2559499999999999</v>
      </c>
      <c r="AR124" s="22">
        <v>433.524</v>
      </c>
      <c r="AS124" s="22">
        <v>-1.6684000000000001E-2</v>
      </c>
      <c r="AT124" s="22">
        <v>114</v>
      </c>
      <c r="AU124" s="22">
        <v>1.25519</v>
      </c>
      <c r="AV124">
        <f t="shared" si="20"/>
        <v>16.684000000000001</v>
      </c>
      <c r="AW124">
        <f t="shared" si="21"/>
        <v>20.954269799999999</v>
      </c>
      <c r="AX124" s="9"/>
      <c r="AY124" s="22">
        <v>0.47409099999999998</v>
      </c>
      <c r="AZ124" s="22">
        <v>484.53699999999998</v>
      </c>
      <c r="BA124" s="22">
        <v>-1.7349199999999999E-2</v>
      </c>
      <c r="BB124" s="22">
        <v>114</v>
      </c>
      <c r="BC124" s="22">
        <v>0.47326699999999999</v>
      </c>
      <c r="BD124">
        <f t="shared" si="22"/>
        <v>17.3492</v>
      </c>
      <c r="BE124">
        <f t="shared" si="23"/>
        <v>8.2250995772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119.81399999999999</v>
      </c>
      <c r="I125" s="22">
        <v>-1.6622899999999999E-2</v>
      </c>
      <c r="J125" s="22">
        <v>115</v>
      </c>
      <c r="K125" s="22">
        <v>1.25</v>
      </c>
      <c r="L125">
        <f t="shared" si="12"/>
        <v>16.622899999999998</v>
      </c>
      <c r="M125">
        <f t="shared" si="13"/>
        <v>20.793918067999996</v>
      </c>
      <c r="N125" s="9"/>
      <c r="O125" s="22">
        <v>0.479126</v>
      </c>
      <c r="P125" s="22">
        <v>168.916</v>
      </c>
      <c r="Q125" s="22">
        <v>-1.7318699999999999E-2</v>
      </c>
      <c r="R125" s="22">
        <v>115</v>
      </c>
      <c r="S125" s="22">
        <v>0.47839399999999999</v>
      </c>
      <c r="T125">
        <f t="shared" si="14"/>
        <v>17.3187</v>
      </c>
      <c r="U125">
        <f t="shared" si="15"/>
        <v>8.2978394562000002</v>
      </c>
      <c r="X125" s="9"/>
      <c r="Y125" s="22">
        <v>1.25092</v>
      </c>
      <c r="Z125" s="22">
        <v>225.07300000000001</v>
      </c>
      <c r="AA125" s="22">
        <v>-1.67175E-2</v>
      </c>
      <c r="AB125" s="22">
        <v>115</v>
      </c>
      <c r="AC125" s="22">
        <v>1.25</v>
      </c>
      <c r="AD125">
        <f t="shared" si="16"/>
        <v>16.717500000000001</v>
      </c>
      <c r="AE125">
        <f t="shared" si="17"/>
        <v>20.912255100000003</v>
      </c>
      <c r="AF125" s="9"/>
      <c r="AG125" s="22">
        <v>0.479126</v>
      </c>
      <c r="AH125" s="22">
        <v>355.74299999999999</v>
      </c>
      <c r="AI125" s="22">
        <v>-1.7324800000000001E-2</v>
      </c>
      <c r="AJ125" s="22">
        <v>115</v>
      </c>
      <c r="AK125" s="22">
        <v>0.47836299999999998</v>
      </c>
      <c r="AL125">
        <f t="shared" si="18"/>
        <v>17.3248</v>
      </c>
      <c r="AM125">
        <f t="shared" si="19"/>
        <v>8.3007621248000003</v>
      </c>
      <c r="AP125" s="9"/>
      <c r="AQ125" s="22">
        <v>1.25092</v>
      </c>
      <c r="AR125" s="22">
        <v>433.62400000000002</v>
      </c>
      <c r="AS125" s="22">
        <v>-1.6693099999999999E-2</v>
      </c>
      <c r="AT125" s="22">
        <v>115</v>
      </c>
      <c r="AU125" s="22">
        <v>1.25</v>
      </c>
      <c r="AV125">
        <f t="shared" si="20"/>
        <v>16.693099999999998</v>
      </c>
      <c r="AW125">
        <f t="shared" si="21"/>
        <v>20.881732651999997</v>
      </c>
      <c r="AX125" s="9"/>
      <c r="AY125" s="22">
        <v>0.479126</v>
      </c>
      <c r="AZ125" s="22">
        <v>484.63799999999998</v>
      </c>
      <c r="BA125" s="22">
        <v>-1.7346199999999999E-2</v>
      </c>
      <c r="BB125" s="22">
        <v>115</v>
      </c>
      <c r="BC125" s="22">
        <v>0.47836299999999998</v>
      </c>
      <c r="BD125">
        <f t="shared" si="22"/>
        <v>17.3462</v>
      </c>
      <c r="BE125">
        <f t="shared" si="23"/>
        <v>8.3110154212000005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119.91500000000001</v>
      </c>
      <c r="I126" s="22">
        <v>-1.66351E-2</v>
      </c>
      <c r="J126" s="22">
        <v>116</v>
      </c>
      <c r="K126" s="22">
        <v>1.24481</v>
      </c>
      <c r="L126">
        <f t="shared" si="12"/>
        <v>16.635100000000001</v>
      </c>
      <c r="M126">
        <f t="shared" si="13"/>
        <v>20.725338388000004</v>
      </c>
      <c r="N126" s="9"/>
      <c r="O126" s="22">
        <v>0.48416100000000001</v>
      </c>
      <c r="P126" s="22">
        <v>169.017</v>
      </c>
      <c r="Q126" s="22">
        <v>-1.73157E-2</v>
      </c>
      <c r="R126" s="22">
        <v>116</v>
      </c>
      <c r="S126" s="22">
        <v>0.483429</v>
      </c>
      <c r="T126">
        <f t="shared" si="14"/>
        <v>17.3157</v>
      </c>
      <c r="U126">
        <f t="shared" si="15"/>
        <v>8.3835866276999997</v>
      </c>
      <c r="X126" s="9"/>
      <c r="Y126" s="22">
        <v>1.2458800000000001</v>
      </c>
      <c r="Z126" s="22">
        <v>225.17400000000001</v>
      </c>
      <c r="AA126" s="22">
        <v>-1.6720599999999999E-2</v>
      </c>
      <c r="AB126" s="22">
        <v>116</v>
      </c>
      <c r="AC126" s="22">
        <v>1.24512</v>
      </c>
      <c r="AD126">
        <f t="shared" si="16"/>
        <v>16.720599999999997</v>
      </c>
      <c r="AE126">
        <f t="shared" si="17"/>
        <v>20.831861128</v>
      </c>
      <c r="AF126" s="9"/>
      <c r="AG126" s="22">
        <v>0.48416100000000001</v>
      </c>
      <c r="AH126" s="22">
        <v>355.84399999999999</v>
      </c>
      <c r="AI126" s="22">
        <v>-1.7318699999999999E-2</v>
      </c>
      <c r="AJ126" s="22">
        <v>116</v>
      </c>
      <c r="AK126" s="22">
        <v>0.48339799999999999</v>
      </c>
      <c r="AL126">
        <f t="shared" si="18"/>
        <v>17.3187</v>
      </c>
      <c r="AM126">
        <f t="shared" si="19"/>
        <v>8.3850391106999993</v>
      </c>
      <c r="AP126" s="9"/>
      <c r="AQ126" s="22">
        <v>1.2458800000000001</v>
      </c>
      <c r="AR126" s="22">
        <v>433.72500000000002</v>
      </c>
      <c r="AS126" s="22">
        <v>-1.6705299999999999E-2</v>
      </c>
      <c r="AT126" s="22">
        <v>116</v>
      </c>
      <c r="AU126" s="22">
        <v>1.24512</v>
      </c>
      <c r="AV126">
        <f t="shared" si="20"/>
        <v>16.705299999999998</v>
      </c>
      <c r="AW126">
        <f t="shared" si="21"/>
        <v>20.812799163999998</v>
      </c>
      <c r="AX126" s="9"/>
      <c r="AY126" s="22">
        <v>0.48416100000000001</v>
      </c>
      <c r="AZ126" s="22">
        <v>484.73899999999998</v>
      </c>
      <c r="BA126" s="22">
        <v>-1.73431E-2</v>
      </c>
      <c r="BB126" s="22">
        <v>116</v>
      </c>
      <c r="BC126" s="22">
        <v>0.48355100000000001</v>
      </c>
      <c r="BD126">
        <f t="shared" si="22"/>
        <v>17.3431</v>
      </c>
      <c r="BE126">
        <f t="shared" si="23"/>
        <v>8.3968526391000005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120.01600000000001</v>
      </c>
      <c r="I127" s="22">
        <v>-1.6641199999999998E-2</v>
      </c>
      <c r="J127" s="22">
        <v>117</v>
      </c>
      <c r="K127" s="22">
        <v>1.2402299999999999</v>
      </c>
      <c r="L127">
        <f t="shared" si="12"/>
        <v>16.641199999999998</v>
      </c>
      <c r="M127">
        <f t="shared" si="13"/>
        <v>20.649066607999995</v>
      </c>
      <c r="N127" s="9"/>
      <c r="O127" s="22">
        <v>0.48919699999999999</v>
      </c>
      <c r="P127" s="22">
        <v>169.11699999999999</v>
      </c>
      <c r="Q127" s="22">
        <v>-1.7312600000000001E-2</v>
      </c>
      <c r="R127" s="22">
        <v>117</v>
      </c>
      <c r="S127" s="22">
        <v>0.48852499999999999</v>
      </c>
      <c r="T127">
        <f t="shared" si="14"/>
        <v>17.3126</v>
      </c>
      <c r="U127">
        <f t="shared" si="15"/>
        <v>8.4692719822000004</v>
      </c>
      <c r="X127" s="9"/>
      <c r="Y127" s="22">
        <v>1.2408399999999999</v>
      </c>
      <c r="Z127" s="22">
        <v>225.274</v>
      </c>
      <c r="AA127" s="22">
        <v>-1.6726700000000001E-2</v>
      </c>
      <c r="AB127" s="22">
        <v>117</v>
      </c>
      <c r="AC127" s="22">
        <v>1.23993</v>
      </c>
      <c r="AD127">
        <f t="shared" si="16"/>
        <v>16.726700000000001</v>
      </c>
      <c r="AE127">
        <f t="shared" si="17"/>
        <v>20.755158428000001</v>
      </c>
      <c r="AF127" s="9"/>
      <c r="AG127" s="22">
        <v>0.48919699999999999</v>
      </c>
      <c r="AH127" s="22">
        <v>355.94499999999999</v>
      </c>
      <c r="AI127" s="22">
        <v>-1.7321799999999998E-2</v>
      </c>
      <c r="AJ127" s="22">
        <v>117</v>
      </c>
      <c r="AK127" s="22">
        <v>0.48861700000000002</v>
      </c>
      <c r="AL127">
        <f t="shared" si="18"/>
        <v>17.3218</v>
      </c>
      <c r="AM127">
        <f t="shared" si="19"/>
        <v>8.4737725945999998</v>
      </c>
      <c r="AP127" s="9"/>
      <c r="AQ127" s="22">
        <v>1.2408399999999999</v>
      </c>
      <c r="AR127" s="22">
        <v>433.82600000000002</v>
      </c>
      <c r="AS127" s="22">
        <v>-1.6708400000000002E-2</v>
      </c>
      <c r="AT127" s="22">
        <v>117</v>
      </c>
      <c r="AU127" s="22">
        <v>1.23932</v>
      </c>
      <c r="AV127">
        <f t="shared" si="20"/>
        <v>16.708400000000001</v>
      </c>
      <c r="AW127">
        <f t="shared" si="21"/>
        <v>20.732451055999999</v>
      </c>
      <c r="AX127" s="9"/>
      <c r="AY127" s="22">
        <v>0.48919699999999999</v>
      </c>
      <c r="AZ127" s="22">
        <v>484.84</v>
      </c>
      <c r="BA127" s="22">
        <v>-1.7340100000000001E-2</v>
      </c>
      <c r="BB127" s="22">
        <v>117</v>
      </c>
      <c r="BC127" s="22">
        <v>0.48843399999999998</v>
      </c>
      <c r="BD127">
        <f t="shared" si="22"/>
        <v>17.3401</v>
      </c>
      <c r="BE127">
        <f t="shared" si="23"/>
        <v>8.4827248996999991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120.116</v>
      </c>
      <c r="I128" s="22">
        <v>-1.6644300000000001E-2</v>
      </c>
      <c r="J128" s="22">
        <v>118</v>
      </c>
      <c r="K128" s="22">
        <v>1.23505</v>
      </c>
      <c r="L128">
        <f t="shared" si="12"/>
        <v>16.644300000000001</v>
      </c>
      <c r="M128">
        <f t="shared" si="13"/>
        <v>20.569192383000004</v>
      </c>
      <c r="N128" s="9"/>
      <c r="O128" s="22">
        <v>0.494232</v>
      </c>
      <c r="P128" s="22">
        <v>169.21799999999999</v>
      </c>
      <c r="Q128" s="22">
        <v>-1.7309600000000001E-2</v>
      </c>
      <c r="R128" s="22">
        <v>118</v>
      </c>
      <c r="S128" s="22">
        <v>0.49349999999999999</v>
      </c>
      <c r="T128">
        <f t="shared" si="14"/>
        <v>17.3096</v>
      </c>
      <c r="U128">
        <f t="shared" si="15"/>
        <v>8.5549582272000002</v>
      </c>
      <c r="X128" s="9"/>
      <c r="Y128" s="22">
        <v>1.2358100000000001</v>
      </c>
      <c r="Z128" s="22">
        <v>225.375</v>
      </c>
      <c r="AA128" s="22">
        <v>-1.6735799999999999E-2</v>
      </c>
      <c r="AB128" s="22">
        <v>118</v>
      </c>
      <c r="AC128" s="22">
        <v>1.23505</v>
      </c>
      <c r="AD128">
        <f t="shared" si="16"/>
        <v>16.735799999999998</v>
      </c>
      <c r="AE128">
        <f t="shared" si="17"/>
        <v>20.682268997999998</v>
      </c>
      <c r="AF128" s="9"/>
      <c r="AG128" s="22">
        <v>0.494232</v>
      </c>
      <c r="AH128" s="22">
        <v>356.04500000000002</v>
      </c>
      <c r="AI128" s="22">
        <v>-1.7318699999999999E-2</v>
      </c>
      <c r="AJ128" s="22">
        <v>118</v>
      </c>
      <c r="AK128" s="22">
        <v>0.49346899999999999</v>
      </c>
      <c r="AL128">
        <f t="shared" si="18"/>
        <v>17.3187</v>
      </c>
      <c r="AM128">
        <f t="shared" si="19"/>
        <v>8.5594557384000005</v>
      </c>
      <c r="AP128" s="9"/>
      <c r="AQ128" s="22">
        <v>1.2358100000000001</v>
      </c>
      <c r="AR128" s="22">
        <v>433.92700000000002</v>
      </c>
      <c r="AS128" s="22">
        <v>-1.67145E-2</v>
      </c>
      <c r="AT128" s="22">
        <v>118</v>
      </c>
      <c r="AU128" s="22">
        <v>1.2347399999999999</v>
      </c>
      <c r="AV128">
        <f t="shared" si="20"/>
        <v>16.714500000000001</v>
      </c>
      <c r="AW128">
        <f t="shared" si="21"/>
        <v>20.655946245000003</v>
      </c>
      <c r="AX128" s="9"/>
      <c r="AY128" s="22">
        <v>0.494232</v>
      </c>
      <c r="AZ128" s="22">
        <v>484.94</v>
      </c>
      <c r="BA128" s="22">
        <v>-1.7333999999999999E-2</v>
      </c>
      <c r="BB128" s="22">
        <v>118</v>
      </c>
      <c r="BC128" s="22">
        <v>0.49334699999999998</v>
      </c>
      <c r="BD128">
        <f t="shared" si="22"/>
        <v>17.334</v>
      </c>
      <c r="BE128">
        <f t="shared" si="23"/>
        <v>8.5670174879999994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120.217</v>
      </c>
      <c r="I129" s="22">
        <v>-1.6659500000000001E-2</v>
      </c>
      <c r="J129" s="22">
        <v>119</v>
      </c>
      <c r="K129" s="22">
        <v>1.2301599999999999</v>
      </c>
      <c r="L129">
        <f t="shared" si="12"/>
        <v>16.659500000000001</v>
      </c>
      <c r="M129">
        <f t="shared" si="13"/>
        <v>20.504012814999999</v>
      </c>
      <c r="N129" s="9"/>
      <c r="O129" s="22">
        <v>0.49926799999999999</v>
      </c>
      <c r="P129" s="22">
        <v>169.31899999999999</v>
      </c>
      <c r="Q129" s="22">
        <v>-1.7306499999999999E-2</v>
      </c>
      <c r="R129" s="22">
        <v>119</v>
      </c>
      <c r="S129" s="22">
        <v>0.49829099999999998</v>
      </c>
      <c r="T129">
        <f t="shared" si="14"/>
        <v>17.3065</v>
      </c>
      <c r="U129">
        <f t="shared" si="15"/>
        <v>8.640581641999999</v>
      </c>
      <c r="X129" s="9"/>
      <c r="Y129" s="22">
        <v>1.2307699999999999</v>
      </c>
      <c r="Z129" s="22">
        <v>225.476</v>
      </c>
      <c r="AA129" s="22">
        <v>-1.6738900000000001E-2</v>
      </c>
      <c r="AB129" s="22">
        <v>119</v>
      </c>
      <c r="AC129" s="22">
        <v>1.2301599999999999</v>
      </c>
      <c r="AD129">
        <f t="shared" si="16"/>
        <v>16.738900000000001</v>
      </c>
      <c r="AE129">
        <f t="shared" si="17"/>
        <v>20.601735952999999</v>
      </c>
      <c r="AF129" s="9"/>
      <c r="AG129" s="22">
        <v>0.49926799999999999</v>
      </c>
      <c r="AH129" s="22">
        <v>356.14600000000002</v>
      </c>
      <c r="AI129" s="22">
        <v>-1.73157E-2</v>
      </c>
      <c r="AJ129" s="22">
        <v>119</v>
      </c>
      <c r="AK129" s="22">
        <v>0.498444</v>
      </c>
      <c r="AL129">
        <f t="shared" si="18"/>
        <v>17.3157</v>
      </c>
      <c r="AM129">
        <f t="shared" si="19"/>
        <v>8.6451749075999995</v>
      </c>
      <c r="AP129" s="9"/>
      <c r="AQ129" s="22">
        <v>1.2307699999999999</v>
      </c>
      <c r="AR129" s="22">
        <v>434.02699999999999</v>
      </c>
      <c r="AS129" s="22">
        <v>-1.6720599999999999E-2</v>
      </c>
      <c r="AT129" s="22">
        <v>119</v>
      </c>
      <c r="AU129" s="22">
        <v>1.2301599999999999</v>
      </c>
      <c r="AV129">
        <f t="shared" si="20"/>
        <v>16.720599999999997</v>
      </c>
      <c r="AW129">
        <f t="shared" si="21"/>
        <v>20.579212861999995</v>
      </c>
      <c r="AX129" s="9"/>
      <c r="AY129" s="22">
        <v>0.49926799999999999</v>
      </c>
      <c r="AZ129" s="22">
        <v>485.041</v>
      </c>
      <c r="BA129" s="22">
        <v>-1.73309E-2</v>
      </c>
      <c r="BB129" s="22">
        <v>119</v>
      </c>
      <c r="BC129" s="22">
        <v>0.49853500000000001</v>
      </c>
      <c r="BD129">
        <f t="shared" si="22"/>
        <v>17.3309</v>
      </c>
      <c r="BE129">
        <f t="shared" si="23"/>
        <v>8.6527637811999991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120.318</v>
      </c>
      <c r="I130" s="22">
        <v>-1.6665599999999999E-2</v>
      </c>
      <c r="J130" s="22">
        <v>120</v>
      </c>
      <c r="K130" s="22">
        <v>1.2246699999999999</v>
      </c>
      <c r="L130">
        <f t="shared" si="12"/>
        <v>16.665599999999998</v>
      </c>
      <c r="M130">
        <f t="shared" si="13"/>
        <v>20.427692543999999</v>
      </c>
      <c r="N130" s="9"/>
      <c r="O130" s="22">
        <v>0.50430299999999995</v>
      </c>
      <c r="P130" s="22">
        <v>169.42</v>
      </c>
      <c r="Q130" s="22">
        <v>-1.73004E-2</v>
      </c>
      <c r="R130" s="22">
        <v>120</v>
      </c>
      <c r="S130" s="22">
        <v>0.50357099999999999</v>
      </c>
      <c r="T130">
        <f t="shared" si="14"/>
        <v>17.3004</v>
      </c>
      <c r="U130">
        <f t="shared" si="15"/>
        <v>8.7246436211999985</v>
      </c>
      <c r="X130" s="9"/>
      <c r="Y130" s="22">
        <v>1.2257400000000001</v>
      </c>
      <c r="Z130" s="22">
        <v>225.57599999999999</v>
      </c>
      <c r="AA130" s="22">
        <v>-1.6747999999999999E-2</v>
      </c>
      <c r="AB130" s="22">
        <v>120</v>
      </c>
      <c r="AC130" s="22">
        <v>1.2246699999999999</v>
      </c>
      <c r="AD130">
        <f t="shared" si="16"/>
        <v>16.747999999999998</v>
      </c>
      <c r="AE130">
        <f t="shared" si="17"/>
        <v>20.528693519999997</v>
      </c>
      <c r="AF130" s="9"/>
      <c r="AG130" s="22">
        <v>0.50430299999999995</v>
      </c>
      <c r="AH130" s="22">
        <v>356.24700000000001</v>
      </c>
      <c r="AI130" s="22">
        <v>-1.7312600000000001E-2</v>
      </c>
      <c r="AJ130" s="22">
        <v>120</v>
      </c>
      <c r="AK130" s="22">
        <v>0.50353999999999999</v>
      </c>
      <c r="AL130">
        <f t="shared" si="18"/>
        <v>17.3126</v>
      </c>
      <c r="AM130">
        <f t="shared" si="19"/>
        <v>8.7307961177999989</v>
      </c>
      <c r="AP130" s="9"/>
      <c r="AQ130" s="22">
        <v>1.2257400000000001</v>
      </c>
      <c r="AR130" s="22">
        <v>434.12799999999999</v>
      </c>
      <c r="AS130" s="22">
        <v>-1.6723600000000002E-2</v>
      </c>
      <c r="AT130" s="22">
        <v>120</v>
      </c>
      <c r="AU130" s="22">
        <v>1.22437</v>
      </c>
      <c r="AV130">
        <f t="shared" si="20"/>
        <v>16.723600000000001</v>
      </c>
      <c r="AW130">
        <f t="shared" si="21"/>
        <v>20.498785464000001</v>
      </c>
      <c r="AX130" s="9"/>
      <c r="AY130" s="22">
        <v>0.50430299999999995</v>
      </c>
      <c r="AZ130" s="22">
        <v>485.142</v>
      </c>
      <c r="BA130" s="22">
        <v>-1.73309E-2</v>
      </c>
      <c r="BB130" s="22">
        <v>120</v>
      </c>
      <c r="BC130" s="22">
        <v>0.50353999999999999</v>
      </c>
      <c r="BD130">
        <f t="shared" si="22"/>
        <v>17.3309</v>
      </c>
      <c r="BE130">
        <f t="shared" si="23"/>
        <v>8.7400248626999986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120.419</v>
      </c>
      <c r="I131" s="22">
        <v>-1.66626E-2</v>
      </c>
      <c r="J131" s="22">
        <v>121</v>
      </c>
      <c r="K131" s="22">
        <v>1.2197899999999999</v>
      </c>
      <c r="L131">
        <f t="shared" si="12"/>
        <v>16.662600000000001</v>
      </c>
      <c r="M131">
        <f t="shared" si="13"/>
        <v>20.340035820000001</v>
      </c>
      <c r="N131" s="9"/>
      <c r="O131" s="22">
        <v>0.50933799999999996</v>
      </c>
      <c r="P131" s="22">
        <v>169.52</v>
      </c>
      <c r="Q131" s="22">
        <v>-1.7297400000000001E-2</v>
      </c>
      <c r="R131" s="22">
        <v>121</v>
      </c>
      <c r="S131" s="22">
        <v>0.50851400000000002</v>
      </c>
      <c r="T131">
        <f t="shared" si="14"/>
        <v>17.2974</v>
      </c>
      <c r="U131">
        <f t="shared" si="15"/>
        <v>8.8102231212</v>
      </c>
      <c r="X131" s="9"/>
      <c r="Y131" s="22">
        <v>1.2206999999999999</v>
      </c>
      <c r="Z131" s="22">
        <v>225.67699999999999</v>
      </c>
      <c r="AA131" s="22">
        <v>-1.6751100000000001E-2</v>
      </c>
      <c r="AB131" s="22">
        <v>121</v>
      </c>
      <c r="AC131" s="22">
        <v>1.2200899999999999</v>
      </c>
      <c r="AD131">
        <f t="shared" si="16"/>
        <v>16.751100000000001</v>
      </c>
      <c r="AE131">
        <f t="shared" si="17"/>
        <v>20.448067769999998</v>
      </c>
      <c r="AF131" s="9"/>
      <c r="AG131" s="22">
        <v>0.50933799999999996</v>
      </c>
      <c r="AH131" s="22">
        <v>356.34699999999998</v>
      </c>
      <c r="AI131" s="22">
        <v>-1.7309600000000001E-2</v>
      </c>
      <c r="AJ131" s="22">
        <v>121</v>
      </c>
      <c r="AK131" s="22">
        <v>0.50863599999999998</v>
      </c>
      <c r="AL131">
        <f t="shared" si="18"/>
        <v>17.3096</v>
      </c>
      <c r="AM131">
        <f t="shared" si="19"/>
        <v>8.8164370447999989</v>
      </c>
      <c r="AP131" s="9"/>
      <c r="AQ131" s="22">
        <v>1.2206999999999999</v>
      </c>
      <c r="AR131" s="22">
        <v>434.22899999999998</v>
      </c>
      <c r="AS131" s="22">
        <v>-1.6735799999999999E-2</v>
      </c>
      <c r="AT131" s="22">
        <v>121</v>
      </c>
      <c r="AU131" s="22">
        <v>1.2200899999999999</v>
      </c>
      <c r="AV131">
        <f t="shared" si="20"/>
        <v>16.735799999999998</v>
      </c>
      <c r="AW131">
        <f t="shared" si="21"/>
        <v>20.429391059999997</v>
      </c>
      <c r="AX131" s="9"/>
      <c r="AY131" s="22">
        <v>0.50933799999999996</v>
      </c>
      <c r="AZ131" s="22">
        <v>485.24200000000002</v>
      </c>
      <c r="BA131" s="22">
        <v>-1.7324800000000001E-2</v>
      </c>
      <c r="BB131" s="22">
        <v>121</v>
      </c>
      <c r="BC131" s="22">
        <v>0.50845300000000004</v>
      </c>
      <c r="BD131">
        <f t="shared" si="22"/>
        <v>17.3248</v>
      </c>
      <c r="BE131">
        <f t="shared" si="23"/>
        <v>8.8241789823999994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120.51900000000001</v>
      </c>
      <c r="I132" s="22">
        <v>-1.6677899999999999E-2</v>
      </c>
      <c r="J132" s="22">
        <v>122</v>
      </c>
      <c r="K132" s="22">
        <v>1.2145999999999999</v>
      </c>
      <c r="L132">
        <f t="shared" si="12"/>
        <v>16.677899999999998</v>
      </c>
      <c r="M132">
        <f t="shared" si="13"/>
        <v>20.274822692999997</v>
      </c>
      <c r="N132" s="9"/>
      <c r="O132" s="22">
        <v>0.514374</v>
      </c>
      <c r="P132" s="22">
        <v>169.62100000000001</v>
      </c>
      <c r="Q132" s="22">
        <v>-1.7297400000000001E-2</v>
      </c>
      <c r="R132" s="22">
        <v>122</v>
      </c>
      <c r="S132" s="22">
        <v>0.51361100000000004</v>
      </c>
      <c r="T132">
        <f t="shared" si="14"/>
        <v>17.2974</v>
      </c>
      <c r="U132">
        <f t="shared" si="15"/>
        <v>8.8973328275999997</v>
      </c>
      <c r="X132" s="9"/>
      <c r="Y132" s="22">
        <v>1.21567</v>
      </c>
      <c r="Z132" s="22">
        <v>225.77799999999999</v>
      </c>
      <c r="AA132" s="22">
        <v>-1.6763299999999998E-2</v>
      </c>
      <c r="AB132" s="22">
        <v>122</v>
      </c>
      <c r="AC132" s="22">
        <v>1.2145999999999999</v>
      </c>
      <c r="AD132">
        <f t="shared" si="16"/>
        <v>16.763299999999997</v>
      </c>
      <c r="AE132">
        <f t="shared" si="17"/>
        <v>20.378640910999998</v>
      </c>
      <c r="AF132" s="9"/>
      <c r="AG132" s="22">
        <v>0.514374</v>
      </c>
      <c r="AH132" s="22">
        <v>356.44799999999998</v>
      </c>
      <c r="AI132" s="22">
        <v>-1.7306499999999999E-2</v>
      </c>
      <c r="AJ132" s="22">
        <v>122</v>
      </c>
      <c r="AK132" s="22">
        <v>0.51345799999999997</v>
      </c>
      <c r="AL132">
        <f t="shared" si="18"/>
        <v>17.3065</v>
      </c>
      <c r="AM132">
        <f t="shared" si="19"/>
        <v>8.9020136309999991</v>
      </c>
      <c r="AP132" s="9"/>
      <c r="AQ132" s="22">
        <v>1.21567</v>
      </c>
      <c r="AR132" s="22">
        <v>434.32900000000001</v>
      </c>
      <c r="AS132" s="22">
        <v>-1.6735799999999999E-2</v>
      </c>
      <c r="AT132" s="22">
        <v>122</v>
      </c>
      <c r="AU132" s="22">
        <v>1.2149000000000001</v>
      </c>
      <c r="AV132">
        <f t="shared" si="20"/>
        <v>16.735799999999998</v>
      </c>
      <c r="AW132">
        <f t="shared" si="21"/>
        <v>20.345209985999997</v>
      </c>
      <c r="AX132" s="9"/>
      <c r="AY132" s="22">
        <v>0.514374</v>
      </c>
      <c r="AZ132" s="22">
        <v>485.34300000000002</v>
      </c>
      <c r="BA132" s="22">
        <v>-1.73279E-2</v>
      </c>
      <c r="BB132" s="22">
        <v>122</v>
      </c>
      <c r="BC132" s="22">
        <v>0.51354999999999995</v>
      </c>
      <c r="BD132">
        <f t="shared" si="22"/>
        <v>17.3279</v>
      </c>
      <c r="BE132">
        <f t="shared" si="23"/>
        <v>8.9130212346000004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120.62</v>
      </c>
      <c r="I133" s="22">
        <v>-1.6680899999999999E-2</v>
      </c>
      <c r="J133" s="22">
        <v>123</v>
      </c>
      <c r="K133" s="22">
        <v>1.2100200000000001</v>
      </c>
      <c r="L133">
        <f t="shared" si="12"/>
        <v>16.680899999999998</v>
      </c>
      <c r="M133">
        <f t="shared" si="13"/>
        <v>20.194397967</v>
      </c>
      <c r="N133" s="9"/>
      <c r="O133" s="22">
        <v>0.51940900000000001</v>
      </c>
      <c r="P133" s="22">
        <v>169.72200000000001</v>
      </c>
      <c r="Q133" s="22">
        <v>-1.72882E-2</v>
      </c>
      <c r="R133" s="22">
        <v>123</v>
      </c>
      <c r="S133" s="22">
        <v>0.51888999999999996</v>
      </c>
      <c r="T133">
        <f t="shared" si="14"/>
        <v>17.2882</v>
      </c>
      <c r="U133">
        <f t="shared" si="15"/>
        <v>8.9796466737999996</v>
      </c>
      <c r="X133" s="9"/>
      <c r="Y133" s="22">
        <v>1.2106300000000001</v>
      </c>
      <c r="Z133" s="22">
        <v>225.87899999999999</v>
      </c>
      <c r="AA133" s="22">
        <v>-1.6760299999999999E-2</v>
      </c>
      <c r="AB133" s="22">
        <v>123</v>
      </c>
      <c r="AC133" s="22">
        <v>1.2094100000000001</v>
      </c>
      <c r="AD133">
        <f t="shared" si="16"/>
        <v>16.760299999999997</v>
      </c>
      <c r="AE133">
        <f t="shared" si="17"/>
        <v>20.290521988999998</v>
      </c>
      <c r="AF133" s="9"/>
      <c r="AG133" s="22">
        <v>0.51940900000000001</v>
      </c>
      <c r="AH133" s="22">
        <v>356.54899999999998</v>
      </c>
      <c r="AI133" s="22">
        <v>-1.7303499999999999E-2</v>
      </c>
      <c r="AJ133" s="22">
        <v>123</v>
      </c>
      <c r="AK133" s="22">
        <v>0.51864600000000005</v>
      </c>
      <c r="AL133">
        <f t="shared" si="18"/>
        <v>17.3035</v>
      </c>
      <c r="AM133">
        <f t="shared" si="19"/>
        <v>8.9875936314999993</v>
      </c>
      <c r="AP133" s="9"/>
      <c r="AQ133" s="22">
        <v>1.2106300000000001</v>
      </c>
      <c r="AR133" s="22">
        <v>434.43</v>
      </c>
      <c r="AS133" s="22">
        <v>-1.6738900000000001E-2</v>
      </c>
      <c r="AT133" s="22">
        <v>123</v>
      </c>
      <c r="AU133" s="22">
        <v>1.2100200000000001</v>
      </c>
      <c r="AV133">
        <f t="shared" si="20"/>
        <v>16.738900000000001</v>
      </c>
      <c r="AW133">
        <f t="shared" si="21"/>
        <v>20.264614507000005</v>
      </c>
      <c r="AX133" s="9"/>
      <c r="AY133" s="22">
        <v>0.51940900000000001</v>
      </c>
      <c r="AZ133" s="22">
        <v>485.44400000000002</v>
      </c>
      <c r="BA133" s="22">
        <v>-1.7318699999999999E-2</v>
      </c>
      <c r="BB133" s="22">
        <v>123</v>
      </c>
      <c r="BC133" s="22">
        <v>0.51864600000000005</v>
      </c>
      <c r="BD133">
        <f t="shared" si="22"/>
        <v>17.3187</v>
      </c>
      <c r="BE133">
        <f t="shared" si="23"/>
        <v>8.9954886483000003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120.721</v>
      </c>
      <c r="I134" s="22">
        <v>-1.6690099999999999E-2</v>
      </c>
      <c r="J134" s="22">
        <v>124</v>
      </c>
      <c r="K134" s="22">
        <v>1.2048300000000001</v>
      </c>
      <c r="L134">
        <f t="shared" si="12"/>
        <v>16.690100000000001</v>
      </c>
      <c r="M134">
        <f t="shared" si="13"/>
        <v>20.121584560000002</v>
      </c>
      <c r="N134" s="9"/>
      <c r="O134" s="22">
        <v>0.52444500000000005</v>
      </c>
      <c r="P134" s="22">
        <v>169.822</v>
      </c>
      <c r="Q134" s="22">
        <v>-1.72882E-2</v>
      </c>
      <c r="R134" s="22">
        <v>124</v>
      </c>
      <c r="S134" s="22">
        <v>0.52359</v>
      </c>
      <c r="T134">
        <f t="shared" si="14"/>
        <v>17.2882</v>
      </c>
      <c r="U134">
        <f t="shared" si="15"/>
        <v>9.066710049000001</v>
      </c>
      <c r="X134" s="9"/>
      <c r="Y134" s="22">
        <v>1.2056</v>
      </c>
      <c r="Z134" s="22">
        <v>225.97900000000001</v>
      </c>
      <c r="AA134" s="22">
        <v>-1.67694E-2</v>
      </c>
      <c r="AB134" s="22">
        <v>124</v>
      </c>
      <c r="AC134" s="22">
        <v>1.2048300000000001</v>
      </c>
      <c r="AD134">
        <f t="shared" si="16"/>
        <v>16.769400000000001</v>
      </c>
      <c r="AE134">
        <f t="shared" si="17"/>
        <v>20.21718864</v>
      </c>
      <c r="AF134" s="9"/>
      <c r="AG134" s="22">
        <v>0.52444500000000005</v>
      </c>
      <c r="AH134" s="22">
        <v>356.65</v>
      </c>
      <c r="AI134" s="22">
        <v>-1.73004E-2</v>
      </c>
      <c r="AJ134" s="22">
        <v>124</v>
      </c>
      <c r="AK134" s="22">
        <v>0.523621</v>
      </c>
      <c r="AL134">
        <f t="shared" si="18"/>
        <v>17.3004</v>
      </c>
      <c r="AM134">
        <f t="shared" si="19"/>
        <v>9.0731082780000012</v>
      </c>
      <c r="AP134" s="9"/>
      <c r="AQ134" s="22">
        <v>1.2056</v>
      </c>
      <c r="AR134" s="22">
        <v>434.53100000000001</v>
      </c>
      <c r="AS134" s="22">
        <v>-1.6751100000000001E-2</v>
      </c>
      <c r="AT134" s="22">
        <v>124</v>
      </c>
      <c r="AU134" s="22">
        <v>1.2042200000000001</v>
      </c>
      <c r="AV134">
        <f t="shared" si="20"/>
        <v>16.751100000000001</v>
      </c>
      <c r="AW134">
        <f t="shared" si="21"/>
        <v>20.195126160000001</v>
      </c>
      <c r="AX134" s="9"/>
      <c r="AY134" s="22">
        <v>0.52444500000000005</v>
      </c>
      <c r="AZ134" s="22">
        <v>485.54500000000002</v>
      </c>
      <c r="BA134" s="22">
        <v>-1.73157E-2</v>
      </c>
      <c r="BB134" s="22">
        <v>124</v>
      </c>
      <c r="BC134" s="22">
        <v>0.52356000000000003</v>
      </c>
      <c r="BD134">
        <f t="shared" si="22"/>
        <v>17.3157</v>
      </c>
      <c r="BE134">
        <f t="shared" si="23"/>
        <v>9.0811322865000008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120.821</v>
      </c>
      <c r="I135" s="22">
        <v>-1.6687E-2</v>
      </c>
      <c r="J135" s="22">
        <v>125</v>
      </c>
      <c r="K135" s="22">
        <v>1.1993400000000001</v>
      </c>
      <c r="L135">
        <f t="shared" si="12"/>
        <v>16.687000000000001</v>
      </c>
      <c r="M135">
        <f t="shared" si="13"/>
        <v>20.033744720000001</v>
      </c>
      <c r="N135" s="9"/>
      <c r="O135" s="22">
        <v>0.52947999999999995</v>
      </c>
      <c r="P135" s="22">
        <v>169.923</v>
      </c>
      <c r="Q135" s="22">
        <v>-1.7285200000000001E-2</v>
      </c>
      <c r="R135" s="22">
        <v>125</v>
      </c>
      <c r="S135" s="22">
        <v>0.528748</v>
      </c>
      <c r="T135">
        <f t="shared" si="14"/>
        <v>17.2852</v>
      </c>
      <c r="U135">
        <f t="shared" si="15"/>
        <v>9.1521676959999994</v>
      </c>
      <c r="X135" s="9"/>
      <c r="Y135" s="22">
        <v>1.2005600000000001</v>
      </c>
      <c r="Z135" s="22">
        <v>226.08</v>
      </c>
      <c r="AA135" s="22">
        <v>-1.6775499999999999E-2</v>
      </c>
      <c r="AB135" s="22">
        <v>125</v>
      </c>
      <c r="AC135" s="22">
        <v>1.1999500000000001</v>
      </c>
      <c r="AD135">
        <f t="shared" si="16"/>
        <v>16.775499999999997</v>
      </c>
      <c r="AE135">
        <f t="shared" si="17"/>
        <v>20.13999428</v>
      </c>
      <c r="AF135" s="9"/>
      <c r="AG135" s="22">
        <v>0.52947999999999995</v>
      </c>
      <c r="AH135" s="22">
        <v>356.75</v>
      </c>
      <c r="AI135" s="22">
        <v>-1.73004E-2</v>
      </c>
      <c r="AJ135" s="22">
        <v>125</v>
      </c>
      <c r="AK135" s="22">
        <v>0.52871699999999999</v>
      </c>
      <c r="AL135">
        <f t="shared" si="18"/>
        <v>17.3004</v>
      </c>
      <c r="AM135">
        <f t="shared" si="19"/>
        <v>9.1602157919999989</v>
      </c>
      <c r="AP135" s="9"/>
      <c r="AQ135" s="22">
        <v>1.2005600000000001</v>
      </c>
      <c r="AR135" s="22">
        <v>434.63099999999997</v>
      </c>
      <c r="AS135" s="22">
        <v>-1.6751100000000001E-2</v>
      </c>
      <c r="AT135" s="22">
        <v>125</v>
      </c>
      <c r="AU135" s="22">
        <v>1.1990400000000001</v>
      </c>
      <c r="AV135">
        <f t="shared" si="20"/>
        <v>16.751100000000001</v>
      </c>
      <c r="AW135">
        <f t="shared" si="21"/>
        <v>20.110700616000003</v>
      </c>
      <c r="AX135" s="9"/>
      <c r="AY135" s="22">
        <v>0.52947999999999995</v>
      </c>
      <c r="AZ135" s="22">
        <v>485.64499999999998</v>
      </c>
      <c r="BA135" s="22">
        <v>-1.7312600000000001E-2</v>
      </c>
      <c r="BB135" s="22">
        <v>125</v>
      </c>
      <c r="BC135" s="22">
        <v>0.528748</v>
      </c>
      <c r="BD135">
        <f t="shared" si="22"/>
        <v>17.3126</v>
      </c>
      <c r="BE135">
        <f t="shared" si="23"/>
        <v>9.1666754479999994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120.922</v>
      </c>
      <c r="I136" s="22">
        <v>-1.6693099999999999E-2</v>
      </c>
      <c r="J136" s="22">
        <v>126</v>
      </c>
      <c r="K136" s="22">
        <v>1.19415</v>
      </c>
      <c r="L136">
        <f t="shared" si="12"/>
        <v>16.693099999999998</v>
      </c>
      <c r="M136">
        <f t="shared" si="13"/>
        <v>19.957101842999997</v>
      </c>
      <c r="N136" s="9"/>
      <c r="O136" s="22">
        <v>0.53451499999999996</v>
      </c>
      <c r="P136" s="22">
        <v>170.024</v>
      </c>
      <c r="Q136" s="22">
        <v>-1.7285200000000001E-2</v>
      </c>
      <c r="R136" s="22">
        <v>126</v>
      </c>
      <c r="S136" s="22">
        <v>0.53381299999999998</v>
      </c>
      <c r="T136">
        <f t="shared" si="14"/>
        <v>17.2852</v>
      </c>
      <c r="U136">
        <f t="shared" si="15"/>
        <v>9.2391986779999993</v>
      </c>
      <c r="X136" s="9"/>
      <c r="Y136" s="22">
        <v>1.19553</v>
      </c>
      <c r="Z136" s="22">
        <v>226.18100000000001</v>
      </c>
      <c r="AA136" s="22">
        <v>-1.6775499999999999E-2</v>
      </c>
      <c r="AB136" s="22">
        <v>126</v>
      </c>
      <c r="AC136" s="22">
        <v>1.1944600000000001</v>
      </c>
      <c r="AD136">
        <f t="shared" si="16"/>
        <v>16.775499999999997</v>
      </c>
      <c r="AE136">
        <f t="shared" si="17"/>
        <v>20.055613514999997</v>
      </c>
      <c r="AF136" s="9"/>
      <c r="AG136" s="22">
        <v>0.53451499999999996</v>
      </c>
      <c r="AH136" s="22">
        <v>356.851</v>
      </c>
      <c r="AI136" s="22">
        <v>-1.7291299999999999E-2</v>
      </c>
      <c r="AJ136" s="22">
        <v>126</v>
      </c>
      <c r="AK136" s="22">
        <v>0.533752</v>
      </c>
      <c r="AL136">
        <f t="shared" si="18"/>
        <v>17.2913</v>
      </c>
      <c r="AM136">
        <f t="shared" si="19"/>
        <v>9.2424592194999988</v>
      </c>
      <c r="AP136" s="9"/>
      <c r="AQ136" s="22">
        <v>1.19553</v>
      </c>
      <c r="AR136" s="22">
        <v>434.73200000000003</v>
      </c>
      <c r="AS136" s="22">
        <v>-1.6763299999999998E-2</v>
      </c>
      <c r="AT136" s="22">
        <v>126</v>
      </c>
      <c r="AU136" s="22">
        <v>1.1944600000000001</v>
      </c>
      <c r="AV136">
        <f t="shared" si="20"/>
        <v>16.763299999999997</v>
      </c>
      <c r="AW136">
        <f t="shared" si="21"/>
        <v>20.041028048999998</v>
      </c>
      <c r="AX136" s="9"/>
      <c r="AY136" s="22">
        <v>0.53451499999999996</v>
      </c>
      <c r="AZ136" s="22">
        <v>485.74599999999998</v>
      </c>
      <c r="BA136" s="22">
        <v>-1.7309600000000001E-2</v>
      </c>
      <c r="BB136" s="22">
        <v>126</v>
      </c>
      <c r="BC136" s="22">
        <v>0.53390499999999996</v>
      </c>
      <c r="BD136">
        <f t="shared" si="22"/>
        <v>17.3096</v>
      </c>
      <c r="BE136">
        <f t="shared" si="23"/>
        <v>9.2522408439999992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121.023</v>
      </c>
      <c r="I137" s="22">
        <v>-1.6690099999999999E-2</v>
      </c>
      <c r="J137" s="22">
        <v>127</v>
      </c>
      <c r="K137" s="22">
        <v>1.18988</v>
      </c>
      <c r="L137">
        <f t="shared" si="12"/>
        <v>16.690100000000001</v>
      </c>
      <c r="M137">
        <f t="shared" si="13"/>
        <v>19.869397149000001</v>
      </c>
      <c r="N137" s="9"/>
      <c r="O137" s="22">
        <v>0.539551</v>
      </c>
      <c r="P137" s="22">
        <v>170.125</v>
      </c>
      <c r="Q137" s="22">
        <v>-1.7282100000000002E-2</v>
      </c>
      <c r="R137" s="22">
        <v>127</v>
      </c>
      <c r="S137" s="22">
        <v>0.53875700000000004</v>
      </c>
      <c r="T137">
        <f t="shared" si="14"/>
        <v>17.282100000000003</v>
      </c>
      <c r="U137">
        <f t="shared" si="15"/>
        <v>9.3245743371000014</v>
      </c>
      <c r="X137" s="9"/>
      <c r="Y137" s="22">
        <v>1.19049</v>
      </c>
      <c r="Z137" s="22">
        <v>226.28100000000001</v>
      </c>
      <c r="AA137" s="22">
        <v>-1.6787699999999999E-2</v>
      </c>
      <c r="AB137" s="22">
        <v>127</v>
      </c>
      <c r="AC137" s="22">
        <v>1.18927</v>
      </c>
      <c r="AD137">
        <f t="shared" si="16"/>
        <v>16.787699999999997</v>
      </c>
      <c r="AE137">
        <f t="shared" si="17"/>
        <v>19.985588972999999</v>
      </c>
      <c r="AF137" s="9"/>
      <c r="AG137" s="22">
        <v>0.539551</v>
      </c>
      <c r="AH137" s="22">
        <v>356.952</v>
      </c>
      <c r="AI137" s="22">
        <v>-1.7291299999999999E-2</v>
      </c>
      <c r="AJ137" s="22">
        <v>127</v>
      </c>
      <c r="AK137" s="22">
        <v>0.53881800000000002</v>
      </c>
      <c r="AL137">
        <f t="shared" si="18"/>
        <v>17.2913</v>
      </c>
      <c r="AM137">
        <f t="shared" si="19"/>
        <v>9.3295382063000005</v>
      </c>
      <c r="AP137" s="9"/>
      <c r="AQ137" s="22">
        <v>1.19049</v>
      </c>
      <c r="AR137" s="22">
        <v>434.83300000000003</v>
      </c>
      <c r="AS137" s="22">
        <v>-1.67694E-2</v>
      </c>
      <c r="AT137" s="22">
        <v>127</v>
      </c>
      <c r="AU137" s="22">
        <v>1.18927</v>
      </c>
      <c r="AV137">
        <f t="shared" si="20"/>
        <v>16.769400000000001</v>
      </c>
      <c r="AW137">
        <f t="shared" si="21"/>
        <v>19.963803006000003</v>
      </c>
      <c r="AX137" s="9"/>
      <c r="AY137" s="22">
        <v>0.539551</v>
      </c>
      <c r="AZ137" s="22">
        <v>485.84699999999998</v>
      </c>
      <c r="BA137" s="22">
        <v>-1.7306499999999999E-2</v>
      </c>
      <c r="BB137" s="22">
        <v>127</v>
      </c>
      <c r="BC137" s="22">
        <v>0.53878800000000004</v>
      </c>
      <c r="BD137">
        <f t="shared" si="22"/>
        <v>17.3065</v>
      </c>
      <c r="BE137">
        <f t="shared" si="23"/>
        <v>9.3377393815000005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121.123</v>
      </c>
      <c r="I138" s="22">
        <v>-1.6699200000000001E-2</v>
      </c>
      <c r="J138" s="22">
        <v>128</v>
      </c>
      <c r="K138" s="22">
        <v>1.18469</v>
      </c>
      <c r="L138">
        <f t="shared" si="12"/>
        <v>16.699200000000001</v>
      </c>
      <c r="M138">
        <f t="shared" si="13"/>
        <v>19.796233632</v>
      </c>
      <c r="N138" s="9"/>
      <c r="O138" s="22">
        <v>0.54458600000000001</v>
      </c>
      <c r="P138" s="22">
        <v>170.22499999999999</v>
      </c>
      <c r="Q138" s="22">
        <v>-1.7279099999999999E-2</v>
      </c>
      <c r="R138" s="22">
        <v>128</v>
      </c>
      <c r="S138" s="22">
        <v>0.54385399999999995</v>
      </c>
      <c r="T138">
        <f t="shared" si="14"/>
        <v>17.2791</v>
      </c>
      <c r="U138">
        <f t="shared" si="15"/>
        <v>9.4099559526000007</v>
      </c>
      <c r="X138" s="9"/>
      <c r="Y138" s="22">
        <v>1.18546</v>
      </c>
      <c r="Z138" s="22">
        <v>226.38200000000001</v>
      </c>
      <c r="AA138" s="22">
        <v>-1.6787699999999999E-2</v>
      </c>
      <c r="AB138" s="22">
        <v>128</v>
      </c>
      <c r="AC138" s="22">
        <v>1.18408</v>
      </c>
      <c r="AD138">
        <f t="shared" si="16"/>
        <v>16.787699999999997</v>
      </c>
      <c r="AE138">
        <f t="shared" si="17"/>
        <v>19.901146841999996</v>
      </c>
      <c r="AF138" s="9"/>
      <c r="AG138" s="22">
        <v>0.54458600000000001</v>
      </c>
      <c r="AH138" s="22">
        <v>357.05200000000002</v>
      </c>
      <c r="AI138" s="22">
        <v>-1.7285200000000001E-2</v>
      </c>
      <c r="AJ138" s="22">
        <v>128</v>
      </c>
      <c r="AK138" s="22">
        <v>0.54379299999999997</v>
      </c>
      <c r="AL138">
        <f t="shared" si="18"/>
        <v>17.2852</v>
      </c>
      <c r="AM138">
        <f t="shared" si="19"/>
        <v>9.4132779271999993</v>
      </c>
      <c r="AP138" s="9"/>
      <c r="AQ138" s="22">
        <v>1.18546</v>
      </c>
      <c r="AR138" s="22">
        <v>434.93400000000003</v>
      </c>
      <c r="AS138" s="22">
        <v>-1.6772499999999999E-2</v>
      </c>
      <c r="AT138" s="22">
        <v>128</v>
      </c>
      <c r="AU138" s="22">
        <v>1.1843900000000001</v>
      </c>
      <c r="AV138">
        <f t="shared" si="20"/>
        <v>16.772500000000001</v>
      </c>
      <c r="AW138">
        <f t="shared" si="21"/>
        <v>19.883127850000001</v>
      </c>
      <c r="AX138" s="9"/>
      <c r="AY138" s="22">
        <v>0.54458600000000001</v>
      </c>
      <c r="AZ138" s="22">
        <v>485.947</v>
      </c>
      <c r="BA138" s="22">
        <v>-1.7306499999999999E-2</v>
      </c>
      <c r="BB138" s="22">
        <v>128</v>
      </c>
      <c r="BC138" s="22">
        <v>0.54385399999999995</v>
      </c>
      <c r="BD138">
        <f t="shared" si="22"/>
        <v>17.3065</v>
      </c>
      <c r="BE138">
        <f t="shared" si="23"/>
        <v>9.4248776089999993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121.224</v>
      </c>
      <c r="I139" s="22">
        <v>-1.6705299999999999E-2</v>
      </c>
      <c r="J139" s="22">
        <v>129</v>
      </c>
      <c r="K139" s="22">
        <v>1.18011</v>
      </c>
      <c r="L139">
        <f t="shared" si="12"/>
        <v>16.705299999999998</v>
      </c>
      <c r="M139">
        <f t="shared" si="13"/>
        <v>19.719270225999999</v>
      </c>
      <c r="N139" s="9"/>
      <c r="O139" s="22">
        <v>0.54962200000000005</v>
      </c>
      <c r="P139" s="22">
        <v>170.32599999999999</v>
      </c>
      <c r="Q139" s="22">
        <v>-1.7272900000000001E-2</v>
      </c>
      <c r="R139" s="22">
        <v>129</v>
      </c>
      <c r="S139" s="22">
        <v>0.54858399999999996</v>
      </c>
      <c r="T139">
        <f t="shared" si="14"/>
        <v>17.2729</v>
      </c>
      <c r="U139">
        <f t="shared" si="15"/>
        <v>9.4935658438000008</v>
      </c>
      <c r="X139" s="9"/>
      <c r="Y139" s="22">
        <v>1.18042</v>
      </c>
      <c r="Z139" s="22">
        <v>226.483</v>
      </c>
      <c r="AA139" s="22">
        <v>-1.67969E-2</v>
      </c>
      <c r="AB139" s="22">
        <v>129</v>
      </c>
      <c r="AC139" s="22">
        <v>1.1795</v>
      </c>
      <c r="AD139">
        <f t="shared" si="16"/>
        <v>16.796900000000001</v>
      </c>
      <c r="AE139">
        <f t="shared" si="17"/>
        <v>19.827396698000001</v>
      </c>
      <c r="AF139" s="9"/>
      <c r="AG139" s="22">
        <v>0.54962200000000005</v>
      </c>
      <c r="AH139" s="22">
        <v>357.15300000000002</v>
      </c>
      <c r="AI139" s="22">
        <v>-1.7285200000000001E-2</v>
      </c>
      <c r="AJ139" s="22">
        <v>129</v>
      </c>
      <c r="AK139" s="22">
        <v>0.54879800000000001</v>
      </c>
      <c r="AL139">
        <f t="shared" si="18"/>
        <v>17.2852</v>
      </c>
      <c r="AM139">
        <f t="shared" si="19"/>
        <v>9.5003261944000013</v>
      </c>
      <c r="AP139" s="9"/>
      <c r="AQ139" s="22">
        <v>1.18042</v>
      </c>
      <c r="AR139" s="22">
        <v>435.03399999999999</v>
      </c>
      <c r="AS139" s="22">
        <v>-1.6778600000000001E-2</v>
      </c>
      <c r="AT139" s="22">
        <v>129</v>
      </c>
      <c r="AU139" s="22">
        <v>1.1795</v>
      </c>
      <c r="AV139">
        <f t="shared" si="20"/>
        <v>16.778600000000001</v>
      </c>
      <c r="AW139">
        <f t="shared" si="21"/>
        <v>19.805795012000001</v>
      </c>
      <c r="AX139" s="9"/>
      <c r="AY139" s="22">
        <v>0.54962200000000005</v>
      </c>
      <c r="AZ139" s="22">
        <v>486.048</v>
      </c>
      <c r="BA139" s="22">
        <v>-1.73004E-2</v>
      </c>
      <c r="BB139" s="22">
        <v>129</v>
      </c>
      <c r="BC139" s="22">
        <v>0.54885899999999999</v>
      </c>
      <c r="BD139">
        <f t="shared" si="22"/>
        <v>17.3004</v>
      </c>
      <c r="BE139">
        <f t="shared" si="23"/>
        <v>9.5086804488000016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121.325</v>
      </c>
      <c r="I140" s="22">
        <v>-1.67145E-2</v>
      </c>
      <c r="J140" s="22">
        <v>130</v>
      </c>
      <c r="K140" s="22">
        <v>1.17462</v>
      </c>
      <c r="L140">
        <f t="shared" ref="L140:L203" si="24">-I140/$F$2*1000</f>
        <v>16.714500000000001</v>
      </c>
      <c r="M140">
        <f t="shared" ref="M140:M203" si="25">L140*G140</f>
        <v>19.645889010000001</v>
      </c>
      <c r="N140" s="9"/>
      <c r="O140" s="22">
        <v>0.55465699999999996</v>
      </c>
      <c r="P140" s="22">
        <v>170.42699999999999</v>
      </c>
      <c r="Q140" s="22">
        <v>-1.7266799999999999E-2</v>
      </c>
      <c r="R140" s="22">
        <v>130</v>
      </c>
      <c r="S140" s="22">
        <v>0.55377200000000004</v>
      </c>
      <c r="T140">
        <f t="shared" ref="T140:T203" si="26">-Q140/$F$2*1000</f>
        <v>17.2668</v>
      </c>
      <c r="U140">
        <f t="shared" ref="U140:U203" si="27">T140*O140</f>
        <v>9.5771514875999983</v>
      </c>
      <c r="X140" s="9"/>
      <c r="Y140" s="22">
        <v>1.1753800000000001</v>
      </c>
      <c r="Z140" s="22">
        <v>226.583</v>
      </c>
      <c r="AA140" s="22">
        <v>-1.67999E-2</v>
      </c>
      <c r="AB140" s="22">
        <v>130</v>
      </c>
      <c r="AC140" s="22">
        <v>1.17432</v>
      </c>
      <c r="AD140">
        <f t="shared" ref="AD140:AD203" si="28">-AA140/$F$2*1000</f>
        <v>16.799900000000001</v>
      </c>
      <c r="AE140">
        <f t="shared" ref="AE140:AE203" si="29">AD140*Y140</f>
        <v>19.746266462000001</v>
      </c>
      <c r="AF140" s="9"/>
      <c r="AG140" s="22">
        <v>0.55465699999999996</v>
      </c>
      <c r="AH140" s="22">
        <v>357.25400000000002</v>
      </c>
      <c r="AI140" s="22">
        <v>-1.7282100000000002E-2</v>
      </c>
      <c r="AJ140" s="22">
        <v>130</v>
      </c>
      <c r="AK140" s="22">
        <v>0.55380200000000002</v>
      </c>
      <c r="AL140">
        <f t="shared" ref="AL140:AL203" si="30">-AI140/$F$2*1000</f>
        <v>17.282100000000003</v>
      </c>
      <c r="AM140">
        <f t="shared" ref="AM140:AM203" si="31">AL140*AG140</f>
        <v>9.585637739700001</v>
      </c>
      <c r="AP140" s="9"/>
      <c r="AQ140" s="22">
        <v>1.1753800000000001</v>
      </c>
      <c r="AR140" s="22">
        <v>435.13499999999999</v>
      </c>
      <c r="AS140" s="22">
        <v>-1.6778600000000001E-2</v>
      </c>
      <c r="AT140" s="22">
        <v>130</v>
      </c>
      <c r="AU140" s="22">
        <v>1.17432</v>
      </c>
      <c r="AV140">
        <f t="shared" ref="AV140:AV203" si="32">-AS140/$F$2*1000</f>
        <v>16.778600000000001</v>
      </c>
      <c r="AW140">
        <f t="shared" ref="AW140:AW203" si="33">AV140*AQ140</f>
        <v>19.721230868000003</v>
      </c>
      <c r="AX140" s="9"/>
      <c r="AY140" s="22">
        <v>0.55465699999999996</v>
      </c>
      <c r="AZ140" s="22">
        <v>486.149</v>
      </c>
      <c r="BA140" s="22">
        <v>-1.7294299999999999E-2</v>
      </c>
      <c r="BB140" s="22">
        <v>130</v>
      </c>
      <c r="BC140" s="22">
        <v>0.55383300000000002</v>
      </c>
      <c r="BD140">
        <f t="shared" ref="BD140:BD203" si="34">-BA140/$F$2*1000</f>
        <v>17.2943</v>
      </c>
      <c r="BE140">
        <f t="shared" ref="BE140:BE203" si="35">BD140*AY140</f>
        <v>9.5924045550999999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121.426</v>
      </c>
      <c r="I141" s="22">
        <v>-1.6720599999999999E-2</v>
      </c>
      <c r="J141" s="22">
        <v>131</v>
      </c>
      <c r="K141" s="22">
        <v>1.16913</v>
      </c>
      <c r="L141">
        <f t="shared" si="24"/>
        <v>16.720599999999997</v>
      </c>
      <c r="M141">
        <f t="shared" si="25"/>
        <v>19.568954209999998</v>
      </c>
      <c r="N141" s="9"/>
      <c r="O141" s="22">
        <v>0.55969199999999997</v>
      </c>
      <c r="P141" s="22">
        <v>170.52699999999999</v>
      </c>
      <c r="Q141" s="22">
        <v>-1.7266799999999999E-2</v>
      </c>
      <c r="R141" s="22">
        <v>131</v>
      </c>
      <c r="S141" s="22">
        <v>0.55902099999999999</v>
      </c>
      <c r="T141">
        <f t="shared" si="26"/>
        <v>17.2668</v>
      </c>
      <c r="U141">
        <f t="shared" si="27"/>
        <v>9.6640898255999996</v>
      </c>
      <c r="X141" s="9"/>
      <c r="Y141" s="22">
        <v>1.17035</v>
      </c>
      <c r="Z141" s="22">
        <v>226.684</v>
      </c>
      <c r="AA141" s="22">
        <v>-1.68091E-2</v>
      </c>
      <c r="AB141" s="22">
        <v>131</v>
      </c>
      <c r="AC141" s="22">
        <v>1.16974</v>
      </c>
      <c r="AD141">
        <f t="shared" si="28"/>
        <v>16.809100000000001</v>
      </c>
      <c r="AE141">
        <f t="shared" si="29"/>
        <v>19.672530184999999</v>
      </c>
      <c r="AF141" s="9"/>
      <c r="AG141" s="22">
        <v>0.55969199999999997</v>
      </c>
      <c r="AH141" s="22">
        <v>357.35399999999998</v>
      </c>
      <c r="AI141" s="22">
        <v>-1.7276E-2</v>
      </c>
      <c r="AJ141" s="22">
        <v>131</v>
      </c>
      <c r="AK141" s="22">
        <v>0.55886800000000003</v>
      </c>
      <c r="AL141">
        <f t="shared" si="30"/>
        <v>17.276</v>
      </c>
      <c r="AM141">
        <f t="shared" si="31"/>
        <v>9.6692389919999986</v>
      </c>
      <c r="AP141" s="9"/>
      <c r="AQ141" s="22">
        <v>1.17035</v>
      </c>
      <c r="AR141" s="22">
        <v>435.23599999999999</v>
      </c>
      <c r="AS141" s="22">
        <v>-1.6787699999999999E-2</v>
      </c>
      <c r="AT141" s="22">
        <v>131</v>
      </c>
      <c r="AU141" s="22">
        <v>1.16913</v>
      </c>
      <c r="AV141">
        <f t="shared" si="32"/>
        <v>16.787699999999997</v>
      </c>
      <c r="AW141">
        <f t="shared" si="33"/>
        <v>19.647484694999996</v>
      </c>
      <c r="AX141" s="9"/>
      <c r="AY141" s="22">
        <v>0.55969199999999997</v>
      </c>
      <c r="AZ141" s="22">
        <v>486.25</v>
      </c>
      <c r="BA141" s="22">
        <v>-1.7294299999999999E-2</v>
      </c>
      <c r="BB141" s="22">
        <v>131</v>
      </c>
      <c r="BC141" s="22">
        <v>0.55898999999999999</v>
      </c>
      <c r="BD141">
        <f t="shared" si="34"/>
        <v>17.2943</v>
      </c>
      <c r="BE141">
        <f t="shared" si="35"/>
        <v>9.6794813556000001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121.526</v>
      </c>
      <c r="I142" s="22">
        <v>-1.67297E-2</v>
      </c>
      <c r="J142" s="22">
        <v>132</v>
      </c>
      <c r="K142" s="22">
        <v>1.16516</v>
      </c>
      <c r="L142">
        <f t="shared" si="24"/>
        <v>16.729700000000001</v>
      </c>
      <c r="M142">
        <f t="shared" si="25"/>
        <v>19.495286707000002</v>
      </c>
      <c r="N142" s="9"/>
      <c r="O142" s="22">
        <v>0.56472800000000001</v>
      </c>
      <c r="P142" s="22">
        <v>170.62799999999999</v>
      </c>
      <c r="Q142" s="22">
        <v>-1.72607E-2</v>
      </c>
      <c r="R142" s="22">
        <v>132</v>
      </c>
      <c r="S142" s="22">
        <v>0.56390399999999996</v>
      </c>
      <c r="T142">
        <f t="shared" si="26"/>
        <v>17.2607</v>
      </c>
      <c r="U142">
        <f t="shared" si="27"/>
        <v>9.7476005895999993</v>
      </c>
      <c r="X142" s="9"/>
      <c r="Y142" s="22">
        <v>1.1653100000000001</v>
      </c>
      <c r="Z142" s="22">
        <v>226.785</v>
      </c>
      <c r="AA142" s="22">
        <v>-1.68091E-2</v>
      </c>
      <c r="AB142" s="22">
        <v>132</v>
      </c>
      <c r="AC142" s="22">
        <v>1.16455</v>
      </c>
      <c r="AD142">
        <f t="shared" si="28"/>
        <v>16.809100000000001</v>
      </c>
      <c r="AE142">
        <f t="shared" si="29"/>
        <v>19.587812321000001</v>
      </c>
      <c r="AF142" s="9"/>
      <c r="AG142" s="22">
        <v>0.56472800000000001</v>
      </c>
      <c r="AH142" s="22">
        <v>357.45499999999998</v>
      </c>
      <c r="AI142" s="22">
        <v>-1.7272900000000001E-2</v>
      </c>
      <c r="AJ142" s="22">
        <v>132</v>
      </c>
      <c r="AK142" s="22">
        <v>0.56396500000000005</v>
      </c>
      <c r="AL142">
        <f t="shared" si="30"/>
        <v>17.2729</v>
      </c>
      <c r="AM142">
        <f t="shared" si="31"/>
        <v>9.7544902711999999</v>
      </c>
      <c r="AP142" s="9"/>
      <c r="AQ142" s="22">
        <v>1.1653100000000001</v>
      </c>
      <c r="AR142" s="22">
        <v>435.33600000000001</v>
      </c>
      <c r="AS142" s="22">
        <v>-1.6793800000000001E-2</v>
      </c>
      <c r="AT142" s="22">
        <v>132</v>
      </c>
      <c r="AU142" s="22">
        <v>1.16425</v>
      </c>
      <c r="AV142">
        <f t="shared" si="32"/>
        <v>16.793800000000001</v>
      </c>
      <c r="AW142">
        <f t="shared" si="33"/>
        <v>19.569983078000003</v>
      </c>
      <c r="AX142" s="9"/>
      <c r="AY142" s="22">
        <v>0.56472800000000001</v>
      </c>
      <c r="AZ142" s="22">
        <v>486.35</v>
      </c>
      <c r="BA142" s="22">
        <v>-1.72882E-2</v>
      </c>
      <c r="BB142" s="22">
        <v>132</v>
      </c>
      <c r="BC142" s="22">
        <v>0.56393400000000005</v>
      </c>
      <c r="BD142">
        <f t="shared" si="34"/>
        <v>17.2882</v>
      </c>
      <c r="BE142">
        <f t="shared" si="35"/>
        <v>9.7631306095999992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121.627</v>
      </c>
      <c r="I143" s="22">
        <v>-1.67297E-2</v>
      </c>
      <c r="J143" s="22">
        <v>133</v>
      </c>
      <c r="K143" s="22">
        <v>1.15906</v>
      </c>
      <c r="L143">
        <f t="shared" si="24"/>
        <v>16.729700000000001</v>
      </c>
      <c r="M143">
        <f t="shared" si="25"/>
        <v>19.411136316</v>
      </c>
      <c r="N143" s="9"/>
      <c r="O143" s="22">
        <v>0.56976300000000002</v>
      </c>
      <c r="P143" s="22">
        <v>170.72900000000001</v>
      </c>
      <c r="Q143" s="22">
        <v>-1.7257700000000001E-2</v>
      </c>
      <c r="R143" s="22">
        <v>133</v>
      </c>
      <c r="S143" s="22">
        <v>0.56899999999999995</v>
      </c>
      <c r="T143">
        <f t="shared" si="26"/>
        <v>17.2577</v>
      </c>
      <c r="U143">
        <f t="shared" si="27"/>
        <v>9.8327989251000005</v>
      </c>
      <c r="X143" s="9"/>
      <c r="Y143" s="22">
        <v>1.16028</v>
      </c>
      <c r="Z143" s="22">
        <v>226.886</v>
      </c>
      <c r="AA143" s="22">
        <v>-1.68121E-2</v>
      </c>
      <c r="AB143" s="22">
        <v>133</v>
      </c>
      <c r="AC143" s="22">
        <v>1.1599699999999999</v>
      </c>
      <c r="AD143">
        <f t="shared" si="28"/>
        <v>16.812100000000001</v>
      </c>
      <c r="AE143">
        <f t="shared" si="29"/>
        <v>19.506743388</v>
      </c>
      <c r="AF143" s="9"/>
      <c r="AG143" s="22">
        <v>0.56976300000000002</v>
      </c>
      <c r="AH143" s="22">
        <v>357.55599999999998</v>
      </c>
      <c r="AI143" s="22">
        <v>-1.7272900000000001E-2</v>
      </c>
      <c r="AJ143" s="22">
        <v>133</v>
      </c>
      <c r="AK143" s="22">
        <v>0.56896999999999998</v>
      </c>
      <c r="AL143">
        <f t="shared" si="30"/>
        <v>17.2729</v>
      </c>
      <c r="AM143">
        <f t="shared" si="31"/>
        <v>9.8414593227000005</v>
      </c>
      <c r="AP143" s="9"/>
      <c r="AQ143" s="22">
        <v>1.16028</v>
      </c>
      <c r="AR143" s="22">
        <v>435.43700000000001</v>
      </c>
      <c r="AS143" s="22">
        <v>-1.6793800000000001E-2</v>
      </c>
      <c r="AT143" s="22">
        <v>133</v>
      </c>
      <c r="AU143" s="22">
        <v>1.1593599999999999</v>
      </c>
      <c r="AV143">
        <f t="shared" si="32"/>
        <v>16.793800000000001</v>
      </c>
      <c r="AW143">
        <f t="shared" si="33"/>
        <v>19.485510264000002</v>
      </c>
      <c r="AX143" s="9"/>
      <c r="AY143" s="22">
        <v>0.56976300000000002</v>
      </c>
      <c r="AZ143" s="22">
        <v>486.45100000000002</v>
      </c>
      <c r="BA143" s="22">
        <v>-1.7285200000000001E-2</v>
      </c>
      <c r="BB143" s="22">
        <v>133</v>
      </c>
      <c r="BC143" s="22">
        <v>0.56903099999999995</v>
      </c>
      <c r="BD143">
        <f t="shared" si="34"/>
        <v>17.2852</v>
      </c>
      <c r="BE143">
        <f t="shared" si="35"/>
        <v>9.8484674075999994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121.72799999999999</v>
      </c>
      <c r="I144" s="22">
        <v>-1.6741900000000001E-2</v>
      </c>
      <c r="J144" s="22">
        <v>134</v>
      </c>
      <c r="K144" s="22">
        <v>1.1541699999999999</v>
      </c>
      <c r="L144">
        <f t="shared" si="24"/>
        <v>16.741900000000001</v>
      </c>
      <c r="M144">
        <f t="shared" si="25"/>
        <v>19.340912556000003</v>
      </c>
      <c r="N144" s="9"/>
      <c r="O144" s="22">
        <v>0.57479899999999995</v>
      </c>
      <c r="P144" s="22">
        <v>170.82900000000001</v>
      </c>
      <c r="Q144" s="22">
        <v>-1.7251599999999999E-2</v>
      </c>
      <c r="R144" s="22">
        <v>134</v>
      </c>
      <c r="S144" s="22">
        <v>0.57403599999999999</v>
      </c>
      <c r="T144">
        <f t="shared" si="26"/>
        <v>17.2516</v>
      </c>
      <c r="U144">
        <f t="shared" si="27"/>
        <v>9.9162024283999983</v>
      </c>
      <c r="X144" s="9"/>
      <c r="Y144" s="22">
        <v>1.15524</v>
      </c>
      <c r="Z144" s="22">
        <v>226.98599999999999</v>
      </c>
      <c r="AA144" s="22">
        <v>-1.6818199999999998E-2</v>
      </c>
      <c r="AB144" s="22">
        <v>134</v>
      </c>
      <c r="AC144" s="22">
        <v>1.15448</v>
      </c>
      <c r="AD144">
        <f t="shared" si="28"/>
        <v>16.818199999999997</v>
      </c>
      <c r="AE144">
        <f t="shared" si="29"/>
        <v>19.429057367999999</v>
      </c>
      <c r="AF144" s="9"/>
      <c r="AG144" s="22">
        <v>0.57479899999999995</v>
      </c>
      <c r="AH144" s="22">
        <v>357.65699999999998</v>
      </c>
      <c r="AI144" s="22">
        <v>-1.7266799999999999E-2</v>
      </c>
      <c r="AJ144" s="22">
        <v>134</v>
      </c>
      <c r="AK144" s="22">
        <v>0.57403599999999999</v>
      </c>
      <c r="AL144">
        <f t="shared" si="30"/>
        <v>17.2668</v>
      </c>
      <c r="AM144">
        <f t="shared" si="31"/>
        <v>9.9249393731999991</v>
      </c>
      <c r="AP144" s="9"/>
      <c r="AQ144" s="22">
        <v>1.15524</v>
      </c>
      <c r="AR144" s="22">
        <v>435.53800000000001</v>
      </c>
      <c r="AS144" s="22">
        <v>-1.6806000000000001E-2</v>
      </c>
      <c r="AT144" s="22">
        <v>134</v>
      </c>
      <c r="AU144" s="22">
        <v>1.1541699999999999</v>
      </c>
      <c r="AV144">
        <f t="shared" si="32"/>
        <v>16.806000000000001</v>
      </c>
      <c r="AW144">
        <f t="shared" si="33"/>
        <v>19.414963440000001</v>
      </c>
      <c r="AX144" s="9"/>
      <c r="AY144" s="22">
        <v>0.57479899999999995</v>
      </c>
      <c r="AZ144" s="22">
        <v>486.55200000000002</v>
      </c>
      <c r="BA144" s="22">
        <v>-1.72882E-2</v>
      </c>
      <c r="BB144" s="22">
        <v>134</v>
      </c>
      <c r="BC144" s="22">
        <v>0.57400499999999999</v>
      </c>
      <c r="BD144">
        <f t="shared" si="34"/>
        <v>17.2882</v>
      </c>
      <c r="BE144">
        <f t="shared" si="35"/>
        <v>9.9372400717999998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121.828</v>
      </c>
      <c r="I145" s="22">
        <v>-1.6744999999999999E-2</v>
      </c>
      <c r="J145" s="22">
        <v>135</v>
      </c>
      <c r="K145" s="22">
        <v>1.14899</v>
      </c>
      <c r="L145">
        <f t="shared" si="24"/>
        <v>16.745000000000001</v>
      </c>
      <c r="M145">
        <f t="shared" si="25"/>
        <v>19.26026645</v>
      </c>
      <c r="N145" s="9"/>
      <c r="O145" s="22">
        <v>0.57983399999999996</v>
      </c>
      <c r="P145" s="22">
        <v>170.93</v>
      </c>
      <c r="Q145" s="22">
        <v>-1.7254599999999998E-2</v>
      </c>
      <c r="R145" s="22">
        <v>135</v>
      </c>
      <c r="S145" s="22">
        <v>0.57913199999999998</v>
      </c>
      <c r="T145">
        <f t="shared" si="26"/>
        <v>17.2546</v>
      </c>
      <c r="U145">
        <f t="shared" si="27"/>
        <v>10.0048037364</v>
      </c>
      <c r="X145" s="9"/>
      <c r="Y145" s="22">
        <v>1.15021</v>
      </c>
      <c r="Z145" s="22">
        <v>227.08699999999999</v>
      </c>
      <c r="AA145" s="22">
        <v>-1.68243E-2</v>
      </c>
      <c r="AB145" s="22">
        <v>135</v>
      </c>
      <c r="AC145" s="22">
        <v>1.14899</v>
      </c>
      <c r="AD145">
        <f t="shared" si="28"/>
        <v>16.824300000000001</v>
      </c>
      <c r="AE145">
        <f t="shared" si="29"/>
        <v>19.351478103000002</v>
      </c>
      <c r="AF145" s="9"/>
      <c r="AG145" s="22">
        <v>0.57983399999999996</v>
      </c>
      <c r="AH145" s="22">
        <v>357.75700000000001</v>
      </c>
      <c r="AI145" s="22">
        <v>-1.7263799999999999E-2</v>
      </c>
      <c r="AJ145" s="22">
        <v>135</v>
      </c>
      <c r="AK145" s="22">
        <v>0.57910200000000001</v>
      </c>
      <c r="AL145">
        <f t="shared" si="30"/>
        <v>17.2638</v>
      </c>
      <c r="AM145">
        <f t="shared" si="31"/>
        <v>10.010138209199999</v>
      </c>
      <c r="AP145" s="9"/>
      <c r="AQ145" s="22">
        <v>1.15021</v>
      </c>
      <c r="AR145" s="22">
        <v>435.63900000000001</v>
      </c>
      <c r="AS145" s="22">
        <v>-1.6806000000000001E-2</v>
      </c>
      <c r="AT145" s="22">
        <v>135</v>
      </c>
      <c r="AU145" s="22">
        <v>1.1492899999999999</v>
      </c>
      <c r="AV145">
        <f t="shared" si="32"/>
        <v>16.806000000000001</v>
      </c>
      <c r="AW145">
        <f t="shared" si="33"/>
        <v>19.330429259999999</v>
      </c>
      <c r="AX145" s="9"/>
      <c r="AY145" s="22">
        <v>0.57983399999999996</v>
      </c>
      <c r="AZ145" s="22">
        <v>486.65199999999999</v>
      </c>
      <c r="BA145" s="22">
        <v>-1.7282100000000002E-2</v>
      </c>
      <c r="BB145" s="22">
        <v>135</v>
      </c>
      <c r="BC145" s="22">
        <v>0.57897900000000002</v>
      </c>
      <c r="BD145">
        <f t="shared" si="34"/>
        <v>17.282100000000003</v>
      </c>
      <c r="BE145">
        <f t="shared" si="35"/>
        <v>10.020749171400002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121.929</v>
      </c>
      <c r="I146" s="22">
        <v>-1.67542E-2</v>
      </c>
      <c r="J146" s="22">
        <v>136</v>
      </c>
      <c r="K146" s="22">
        <v>1.1444099999999999</v>
      </c>
      <c r="L146">
        <f t="shared" si="24"/>
        <v>16.754200000000001</v>
      </c>
      <c r="M146">
        <f t="shared" si="25"/>
        <v>19.186407214000003</v>
      </c>
      <c r="N146" s="9"/>
      <c r="O146" s="22">
        <v>0.58486899999999997</v>
      </c>
      <c r="P146" s="22">
        <v>171.03100000000001</v>
      </c>
      <c r="Q146" s="22">
        <v>-1.72485E-2</v>
      </c>
      <c r="R146" s="22">
        <v>136</v>
      </c>
      <c r="S146" s="22">
        <v>0.58416699999999999</v>
      </c>
      <c r="T146">
        <f t="shared" si="26"/>
        <v>17.2485</v>
      </c>
      <c r="U146">
        <f t="shared" si="27"/>
        <v>10.088112946499999</v>
      </c>
      <c r="X146" s="9"/>
      <c r="Y146" s="22">
        <v>1.14517</v>
      </c>
      <c r="Z146" s="22">
        <v>227.18799999999999</v>
      </c>
      <c r="AA146" s="22">
        <v>-1.6833500000000001E-2</v>
      </c>
      <c r="AB146" s="22">
        <v>136</v>
      </c>
      <c r="AC146" s="22">
        <v>1.1437999999999999</v>
      </c>
      <c r="AD146">
        <f t="shared" si="28"/>
        <v>16.833500000000001</v>
      </c>
      <c r="AE146">
        <f t="shared" si="29"/>
        <v>19.277219195000001</v>
      </c>
      <c r="AF146" s="9"/>
      <c r="AG146" s="22">
        <v>0.58486899999999997</v>
      </c>
      <c r="AH146" s="22">
        <v>357.858</v>
      </c>
      <c r="AI146" s="22">
        <v>-1.72607E-2</v>
      </c>
      <c r="AJ146" s="22">
        <v>136</v>
      </c>
      <c r="AK146" s="22">
        <v>0.58401499999999995</v>
      </c>
      <c r="AL146">
        <f t="shared" si="30"/>
        <v>17.2607</v>
      </c>
      <c r="AM146">
        <f t="shared" si="31"/>
        <v>10.0952483483</v>
      </c>
      <c r="AP146" s="9"/>
      <c r="AQ146" s="22">
        <v>1.14517</v>
      </c>
      <c r="AR146" s="22">
        <v>435.73899999999998</v>
      </c>
      <c r="AS146" s="22">
        <v>-1.68091E-2</v>
      </c>
      <c r="AT146" s="22">
        <v>136</v>
      </c>
      <c r="AU146" s="22">
        <v>1.1447099999999999</v>
      </c>
      <c r="AV146">
        <f t="shared" si="32"/>
        <v>16.809100000000001</v>
      </c>
      <c r="AW146">
        <f t="shared" si="33"/>
        <v>19.249277047</v>
      </c>
      <c r="AX146" s="9"/>
      <c r="AY146" s="22">
        <v>0.58486899999999997</v>
      </c>
      <c r="AZ146" s="22">
        <v>486.75299999999999</v>
      </c>
      <c r="BA146" s="22">
        <v>-1.7279099999999999E-2</v>
      </c>
      <c r="BB146" s="22">
        <v>136</v>
      </c>
      <c r="BC146" s="22">
        <v>0.58413700000000002</v>
      </c>
      <c r="BD146">
        <f t="shared" si="34"/>
        <v>17.2791</v>
      </c>
      <c r="BE146">
        <f t="shared" si="35"/>
        <v>10.1060099379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122.03</v>
      </c>
      <c r="I147" s="22">
        <v>-1.67572E-2</v>
      </c>
      <c r="J147" s="22">
        <v>137</v>
      </c>
      <c r="K147" s="22">
        <v>1.1392199999999999</v>
      </c>
      <c r="L147">
        <f t="shared" si="24"/>
        <v>16.757200000000001</v>
      </c>
      <c r="M147">
        <f t="shared" si="25"/>
        <v>19.105554007999999</v>
      </c>
      <c r="N147" s="9"/>
      <c r="O147" s="22">
        <v>0.58990500000000001</v>
      </c>
      <c r="P147" s="22">
        <v>171.13200000000001</v>
      </c>
      <c r="Q147" s="22">
        <v>-1.72485E-2</v>
      </c>
      <c r="R147" s="22">
        <v>137</v>
      </c>
      <c r="S147" s="22">
        <v>0.58920300000000003</v>
      </c>
      <c r="T147">
        <f t="shared" si="26"/>
        <v>17.2485</v>
      </c>
      <c r="U147">
        <f t="shared" si="27"/>
        <v>10.1749763925</v>
      </c>
      <c r="X147" s="9"/>
      <c r="Y147" s="22">
        <v>1.1401399999999999</v>
      </c>
      <c r="Z147" s="22">
        <v>227.28800000000001</v>
      </c>
      <c r="AA147" s="22">
        <v>-1.68396E-2</v>
      </c>
      <c r="AB147" s="22">
        <v>137</v>
      </c>
      <c r="AC147" s="22">
        <v>1.1392199999999999</v>
      </c>
      <c r="AD147">
        <f t="shared" si="28"/>
        <v>16.839600000000001</v>
      </c>
      <c r="AE147">
        <f t="shared" si="29"/>
        <v>19.199501544</v>
      </c>
      <c r="AF147" s="9"/>
      <c r="AG147" s="22">
        <v>0.58990500000000001</v>
      </c>
      <c r="AH147" s="22">
        <v>357.959</v>
      </c>
      <c r="AI147" s="22">
        <v>-1.7257700000000001E-2</v>
      </c>
      <c r="AJ147" s="22">
        <v>137</v>
      </c>
      <c r="AK147" s="22">
        <v>0.58917200000000003</v>
      </c>
      <c r="AL147">
        <f t="shared" si="30"/>
        <v>17.2577</v>
      </c>
      <c r="AM147">
        <f t="shared" si="31"/>
        <v>10.1804035185</v>
      </c>
      <c r="AP147" s="9"/>
      <c r="AQ147" s="22">
        <v>1.1401399999999999</v>
      </c>
      <c r="AR147" s="22">
        <v>435.84</v>
      </c>
      <c r="AS147" s="22">
        <v>-1.68243E-2</v>
      </c>
      <c r="AT147" s="22">
        <v>137</v>
      </c>
      <c r="AU147" s="22">
        <v>1.1386099999999999</v>
      </c>
      <c r="AV147">
        <f t="shared" si="32"/>
        <v>16.824300000000001</v>
      </c>
      <c r="AW147">
        <f t="shared" si="33"/>
        <v>19.182057402000002</v>
      </c>
      <c r="AX147" s="9"/>
      <c r="AY147" s="22">
        <v>0.58990500000000001</v>
      </c>
      <c r="AZ147" s="22">
        <v>486.85399999999998</v>
      </c>
      <c r="BA147" s="22">
        <v>-1.7272900000000001E-2</v>
      </c>
      <c r="BB147" s="22">
        <v>137</v>
      </c>
      <c r="BC147" s="22">
        <v>0.58920300000000003</v>
      </c>
      <c r="BD147">
        <f t="shared" si="34"/>
        <v>17.2729</v>
      </c>
      <c r="BE147">
        <f t="shared" si="35"/>
        <v>10.189370074499999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122.131</v>
      </c>
      <c r="I148" s="22">
        <v>-1.6766400000000001E-2</v>
      </c>
      <c r="J148" s="22">
        <v>138</v>
      </c>
      <c r="K148" s="22">
        <v>1.1343399999999999</v>
      </c>
      <c r="L148">
        <f t="shared" si="24"/>
        <v>16.766400000000001</v>
      </c>
      <c r="M148">
        <f t="shared" si="25"/>
        <v>19.031540639999999</v>
      </c>
      <c r="N148" s="9"/>
      <c r="O148" s="22">
        <v>0.59494000000000002</v>
      </c>
      <c r="P148" s="22">
        <v>171.232</v>
      </c>
      <c r="Q148" s="22">
        <v>-1.72485E-2</v>
      </c>
      <c r="R148" s="22">
        <v>138</v>
      </c>
      <c r="S148" s="22">
        <v>0.59420799999999996</v>
      </c>
      <c r="T148">
        <f t="shared" si="26"/>
        <v>17.2485</v>
      </c>
      <c r="U148">
        <f t="shared" si="27"/>
        <v>10.26182259</v>
      </c>
      <c r="X148" s="9"/>
      <c r="Y148" s="22">
        <v>1.1351</v>
      </c>
      <c r="Z148" s="22">
        <v>227.38900000000001</v>
      </c>
      <c r="AA148" s="22">
        <v>-1.68396E-2</v>
      </c>
      <c r="AB148" s="22">
        <v>138</v>
      </c>
      <c r="AC148" s="22">
        <v>1.1346400000000001</v>
      </c>
      <c r="AD148">
        <f t="shared" si="28"/>
        <v>16.839600000000001</v>
      </c>
      <c r="AE148">
        <f t="shared" si="29"/>
        <v>19.114629960000002</v>
      </c>
      <c r="AF148" s="9"/>
      <c r="AG148" s="22">
        <v>0.59494000000000002</v>
      </c>
      <c r="AH148" s="22">
        <v>358.05900000000003</v>
      </c>
      <c r="AI148" s="22">
        <v>-1.7251599999999999E-2</v>
      </c>
      <c r="AJ148" s="22">
        <v>138</v>
      </c>
      <c r="AK148" s="22">
        <v>0.59414699999999998</v>
      </c>
      <c r="AL148">
        <f t="shared" si="30"/>
        <v>17.2516</v>
      </c>
      <c r="AM148">
        <f t="shared" si="31"/>
        <v>10.263666904000001</v>
      </c>
      <c r="AP148" s="9"/>
      <c r="AQ148" s="22">
        <v>1.1351</v>
      </c>
      <c r="AR148" s="22">
        <v>435.94099999999997</v>
      </c>
      <c r="AS148" s="22">
        <v>-1.68243E-2</v>
      </c>
      <c r="AT148" s="22">
        <v>138</v>
      </c>
      <c r="AU148" s="22">
        <v>1.1343399999999999</v>
      </c>
      <c r="AV148">
        <f t="shared" si="32"/>
        <v>16.824300000000001</v>
      </c>
      <c r="AW148">
        <f t="shared" si="33"/>
        <v>19.097262929999999</v>
      </c>
      <c r="AX148" s="9"/>
      <c r="AY148" s="22">
        <v>0.59494000000000002</v>
      </c>
      <c r="AZ148" s="22">
        <v>486.95400000000001</v>
      </c>
      <c r="BA148" s="22">
        <v>-1.7272900000000001E-2</v>
      </c>
      <c r="BB148" s="22">
        <v>138</v>
      </c>
      <c r="BC148" s="22">
        <v>0.594055</v>
      </c>
      <c r="BD148">
        <f t="shared" si="34"/>
        <v>17.2729</v>
      </c>
      <c r="BE148">
        <f t="shared" si="35"/>
        <v>10.276339126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122.23099999999999</v>
      </c>
      <c r="I149" s="22">
        <v>-1.6781600000000001E-2</v>
      </c>
      <c r="J149" s="22">
        <v>139</v>
      </c>
      <c r="K149" s="22">
        <v>1.1291500000000001</v>
      </c>
      <c r="L149">
        <f t="shared" si="24"/>
        <v>16.781600000000001</v>
      </c>
      <c r="M149">
        <f t="shared" si="25"/>
        <v>18.964382711999999</v>
      </c>
      <c r="N149" s="9"/>
      <c r="O149" s="22">
        <v>0.59997599999999995</v>
      </c>
      <c r="P149" s="22">
        <v>171.333</v>
      </c>
      <c r="Q149" s="22">
        <v>-1.72455E-2</v>
      </c>
      <c r="R149" s="22">
        <v>139</v>
      </c>
      <c r="S149" s="22">
        <v>0.599518</v>
      </c>
      <c r="T149">
        <f t="shared" si="26"/>
        <v>17.2455</v>
      </c>
      <c r="U149">
        <f t="shared" si="27"/>
        <v>10.346886108</v>
      </c>
      <c r="X149" s="9"/>
      <c r="Y149" s="22">
        <v>1.1300699999999999</v>
      </c>
      <c r="Z149" s="22">
        <v>227.49</v>
      </c>
      <c r="AA149" s="22">
        <v>-1.6845700000000002E-2</v>
      </c>
      <c r="AB149" s="22">
        <v>139</v>
      </c>
      <c r="AC149" s="22">
        <v>1.1288499999999999</v>
      </c>
      <c r="AD149">
        <f t="shared" si="28"/>
        <v>16.845700000000001</v>
      </c>
      <c r="AE149">
        <f t="shared" si="29"/>
        <v>19.036820199000001</v>
      </c>
      <c r="AF149" s="9"/>
      <c r="AG149" s="22">
        <v>0.59997599999999995</v>
      </c>
      <c r="AH149" s="22">
        <v>358.16</v>
      </c>
      <c r="AI149" s="22">
        <v>-1.72455E-2</v>
      </c>
      <c r="AJ149" s="22">
        <v>139</v>
      </c>
      <c r="AK149" s="22">
        <v>0.599213</v>
      </c>
      <c r="AL149">
        <f t="shared" si="30"/>
        <v>17.2455</v>
      </c>
      <c r="AM149">
        <f t="shared" si="31"/>
        <v>10.346886108</v>
      </c>
      <c r="AP149" s="9"/>
      <c r="AQ149" s="22">
        <v>1.1300699999999999</v>
      </c>
      <c r="AR149" s="22">
        <v>436.041</v>
      </c>
      <c r="AS149" s="22">
        <v>-1.6827399999999999E-2</v>
      </c>
      <c r="AT149" s="22">
        <v>139</v>
      </c>
      <c r="AU149" s="22">
        <v>1.1294599999999999</v>
      </c>
      <c r="AV149">
        <f t="shared" si="32"/>
        <v>16.827400000000001</v>
      </c>
      <c r="AW149">
        <f t="shared" si="33"/>
        <v>19.016139918</v>
      </c>
      <c r="AX149" s="9"/>
      <c r="AY149" s="22">
        <v>0.59997599999999995</v>
      </c>
      <c r="AZ149" s="22">
        <v>487.05500000000001</v>
      </c>
      <c r="BA149" s="22">
        <v>-1.7263799999999999E-2</v>
      </c>
      <c r="BB149" s="22">
        <v>139</v>
      </c>
      <c r="BC149" s="22">
        <v>0.599213</v>
      </c>
      <c r="BD149">
        <f t="shared" si="34"/>
        <v>17.2638</v>
      </c>
      <c r="BE149">
        <f t="shared" si="35"/>
        <v>10.357865668799999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122.33199999999999</v>
      </c>
      <c r="I150" s="22">
        <v>-1.6787699999999999E-2</v>
      </c>
      <c r="J150" s="22">
        <v>140</v>
      </c>
      <c r="K150" s="22">
        <v>1.1239600000000001</v>
      </c>
      <c r="L150">
        <f t="shared" si="24"/>
        <v>16.787699999999997</v>
      </c>
      <c r="M150">
        <f t="shared" si="25"/>
        <v>18.886666130999998</v>
      </c>
      <c r="N150" s="9"/>
      <c r="O150" s="22">
        <v>0.60501099999999997</v>
      </c>
      <c r="P150" s="22">
        <v>171.434</v>
      </c>
      <c r="Q150" s="22">
        <v>-1.7242400000000001E-2</v>
      </c>
      <c r="R150" s="22">
        <v>140</v>
      </c>
      <c r="S150" s="22">
        <v>0.60418700000000003</v>
      </c>
      <c r="T150">
        <f t="shared" si="26"/>
        <v>17.2424</v>
      </c>
      <c r="U150">
        <f t="shared" si="27"/>
        <v>10.431841666399999</v>
      </c>
      <c r="X150" s="9"/>
      <c r="Y150" s="22">
        <v>1.12503</v>
      </c>
      <c r="Z150" s="22">
        <v>227.59100000000001</v>
      </c>
      <c r="AA150" s="22">
        <v>-1.68518E-2</v>
      </c>
      <c r="AB150" s="22">
        <v>140</v>
      </c>
      <c r="AC150" s="22">
        <v>1.1242700000000001</v>
      </c>
      <c r="AD150">
        <f t="shared" si="28"/>
        <v>16.851800000000001</v>
      </c>
      <c r="AE150">
        <f t="shared" si="29"/>
        <v>18.958780554000001</v>
      </c>
      <c r="AF150" s="9"/>
      <c r="AG150" s="22">
        <v>0.60501099999999997</v>
      </c>
      <c r="AH150" s="22">
        <v>358.26100000000002</v>
      </c>
      <c r="AI150" s="22">
        <v>-1.7242400000000001E-2</v>
      </c>
      <c r="AJ150" s="22">
        <v>140</v>
      </c>
      <c r="AK150" s="22">
        <v>0.60418700000000003</v>
      </c>
      <c r="AL150">
        <f t="shared" si="30"/>
        <v>17.2424</v>
      </c>
      <c r="AM150">
        <f t="shared" si="31"/>
        <v>10.431841666399999</v>
      </c>
      <c r="AP150" s="9"/>
      <c r="AQ150" s="22">
        <v>1.12503</v>
      </c>
      <c r="AR150" s="22">
        <v>436.142</v>
      </c>
      <c r="AS150" s="22">
        <v>-1.68396E-2</v>
      </c>
      <c r="AT150" s="22">
        <v>140</v>
      </c>
      <c r="AU150" s="22">
        <v>1.1239600000000001</v>
      </c>
      <c r="AV150">
        <f t="shared" si="32"/>
        <v>16.839600000000001</v>
      </c>
      <c r="AW150">
        <f t="shared" si="33"/>
        <v>18.945055188000001</v>
      </c>
      <c r="AX150" s="9"/>
      <c r="AY150" s="22">
        <v>0.60501099999999997</v>
      </c>
      <c r="AZ150" s="22">
        <v>487.15600000000001</v>
      </c>
      <c r="BA150" s="22">
        <v>-1.7266799999999999E-2</v>
      </c>
      <c r="BB150" s="22">
        <v>140</v>
      </c>
      <c r="BC150" s="22">
        <v>0.60427900000000001</v>
      </c>
      <c r="BD150">
        <f t="shared" si="34"/>
        <v>17.2668</v>
      </c>
      <c r="BE150">
        <f t="shared" si="35"/>
        <v>10.446603934799999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122.43300000000001</v>
      </c>
      <c r="I151" s="22">
        <v>-1.67999E-2</v>
      </c>
      <c r="J151" s="22">
        <v>141</v>
      </c>
      <c r="K151" s="22">
        <v>1.1196900000000001</v>
      </c>
      <c r="L151">
        <f t="shared" si="24"/>
        <v>16.799900000000001</v>
      </c>
      <c r="M151">
        <f t="shared" si="25"/>
        <v>18.815888000000005</v>
      </c>
      <c r="N151" s="9"/>
      <c r="O151" s="22">
        <v>0.61004599999999998</v>
      </c>
      <c r="P151" s="22">
        <v>171.53399999999999</v>
      </c>
      <c r="Q151" s="22">
        <v>-1.7242400000000001E-2</v>
      </c>
      <c r="R151" s="22">
        <v>141</v>
      </c>
      <c r="S151" s="22">
        <v>0.60922200000000004</v>
      </c>
      <c r="T151">
        <f t="shared" si="26"/>
        <v>17.2424</v>
      </c>
      <c r="U151">
        <f t="shared" si="27"/>
        <v>10.518657150399999</v>
      </c>
      <c r="X151" s="9"/>
      <c r="Y151" s="22">
        <v>1.1200000000000001</v>
      </c>
      <c r="Z151" s="22">
        <v>227.691</v>
      </c>
      <c r="AA151" s="22">
        <v>-1.68518E-2</v>
      </c>
      <c r="AB151" s="22">
        <v>141</v>
      </c>
      <c r="AC151" s="22">
        <v>1.1184700000000001</v>
      </c>
      <c r="AD151">
        <f t="shared" si="28"/>
        <v>16.851800000000001</v>
      </c>
      <c r="AE151">
        <f t="shared" si="29"/>
        <v>18.874016000000001</v>
      </c>
      <c r="AF151" s="9"/>
      <c r="AG151" s="22">
        <v>0.61004599999999998</v>
      </c>
      <c r="AH151" s="22">
        <v>358.36200000000002</v>
      </c>
      <c r="AI151" s="22">
        <v>-1.7239399999999998E-2</v>
      </c>
      <c r="AJ151" s="22">
        <v>141</v>
      </c>
      <c r="AK151" s="22">
        <v>0.609344</v>
      </c>
      <c r="AL151">
        <f t="shared" si="30"/>
        <v>17.2394</v>
      </c>
      <c r="AM151">
        <f t="shared" si="31"/>
        <v>10.5168270124</v>
      </c>
      <c r="AP151" s="9"/>
      <c r="AQ151" s="22">
        <v>1.1200000000000001</v>
      </c>
      <c r="AR151" s="22">
        <v>436.24299999999999</v>
      </c>
      <c r="AS151" s="22">
        <v>-1.6836500000000001E-2</v>
      </c>
      <c r="AT151" s="22">
        <v>141</v>
      </c>
      <c r="AU151" s="22">
        <v>1.11877</v>
      </c>
      <c r="AV151">
        <f t="shared" si="32"/>
        <v>16.836500000000001</v>
      </c>
      <c r="AW151">
        <f t="shared" si="33"/>
        <v>18.856880000000004</v>
      </c>
      <c r="AX151" s="9"/>
      <c r="AY151" s="22">
        <v>0.61004599999999998</v>
      </c>
      <c r="AZ151" s="22">
        <v>487.25700000000001</v>
      </c>
      <c r="BA151" s="22">
        <v>-1.7257700000000001E-2</v>
      </c>
      <c r="BB151" s="22">
        <v>141</v>
      </c>
      <c r="BC151" s="22">
        <v>0.60919199999999996</v>
      </c>
      <c r="BD151">
        <f t="shared" si="34"/>
        <v>17.2577</v>
      </c>
      <c r="BE151">
        <f t="shared" si="35"/>
        <v>10.527990854199999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122.533</v>
      </c>
      <c r="I152" s="22">
        <v>-1.6806000000000001E-2</v>
      </c>
      <c r="J152" s="22">
        <v>142</v>
      </c>
      <c r="K152" s="22">
        <v>1.1142000000000001</v>
      </c>
      <c r="L152">
        <f t="shared" si="24"/>
        <v>16.806000000000001</v>
      </c>
      <c r="M152">
        <f t="shared" si="25"/>
        <v>18.738017760000002</v>
      </c>
      <c r="N152" s="9"/>
      <c r="O152" s="22">
        <v>0.61508200000000002</v>
      </c>
      <c r="P152" s="22">
        <v>171.63499999999999</v>
      </c>
      <c r="Q152" s="22">
        <v>-1.7239399999999998E-2</v>
      </c>
      <c r="R152" s="22">
        <v>142</v>
      </c>
      <c r="S152" s="22">
        <v>0.61431899999999995</v>
      </c>
      <c r="T152">
        <f t="shared" si="26"/>
        <v>17.2394</v>
      </c>
      <c r="U152">
        <f t="shared" si="27"/>
        <v>10.6036446308</v>
      </c>
      <c r="X152" s="9"/>
      <c r="Y152" s="22">
        <v>1.11496</v>
      </c>
      <c r="Z152" s="22">
        <v>227.792</v>
      </c>
      <c r="AA152" s="22">
        <v>-1.6857899999999999E-2</v>
      </c>
      <c r="AB152" s="22">
        <v>142</v>
      </c>
      <c r="AC152" s="22">
        <v>1.1142000000000001</v>
      </c>
      <c r="AD152">
        <f t="shared" si="28"/>
        <v>16.857899999999997</v>
      </c>
      <c r="AE152">
        <f t="shared" si="29"/>
        <v>18.795884183999995</v>
      </c>
      <c r="AF152" s="9"/>
      <c r="AG152" s="22">
        <v>0.61508200000000002</v>
      </c>
      <c r="AH152" s="22">
        <v>358.46199999999999</v>
      </c>
      <c r="AI152" s="22">
        <v>-1.72363E-2</v>
      </c>
      <c r="AJ152" s="22">
        <v>142</v>
      </c>
      <c r="AK152" s="22">
        <v>0.61441000000000001</v>
      </c>
      <c r="AL152">
        <f t="shared" si="30"/>
        <v>17.2363</v>
      </c>
      <c r="AM152">
        <f t="shared" si="31"/>
        <v>10.6017378766</v>
      </c>
      <c r="AP152" s="9"/>
      <c r="AQ152" s="22">
        <v>1.11496</v>
      </c>
      <c r="AR152" s="22">
        <v>436.34399999999999</v>
      </c>
      <c r="AS152" s="22">
        <v>-1.6848800000000001E-2</v>
      </c>
      <c r="AT152" s="22">
        <v>142</v>
      </c>
      <c r="AU152" s="22">
        <v>1.1135900000000001</v>
      </c>
      <c r="AV152">
        <f t="shared" si="32"/>
        <v>16.848800000000001</v>
      </c>
      <c r="AW152">
        <f t="shared" si="33"/>
        <v>18.785738047999999</v>
      </c>
      <c r="AX152" s="9"/>
      <c r="AY152" s="22">
        <v>0.61508200000000002</v>
      </c>
      <c r="AZ152" s="22">
        <v>487.35700000000003</v>
      </c>
      <c r="BA152" s="22">
        <v>-1.7254599999999998E-2</v>
      </c>
      <c r="BB152" s="22">
        <v>142</v>
      </c>
      <c r="BC152" s="22">
        <v>0.61450199999999999</v>
      </c>
      <c r="BD152">
        <f t="shared" si="34"/>
        <v>17.2546</v>
      </c>
      <c r="BE152">
        <f t="shared" si="35"/>
        <v>10.612993877200001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122.634</v>
      </c>
      <c r="I153" s="22">
        <v>-1.68121E-2</v>
      </c>
      <c r="J153" s="22">
        <v>143</v>
      </c>
      <c r="K153" s="22">
        <v>1.10931</v>
      </c>
      <c r="L153">
        <f t="shared" si="24"/>
        <v>16.812100000000001</v>
      </c>
      <c r="M153">
        <f t="shared" si="25"/>
        <v>18.660086032000002</v>
      </c>
      <c r="N153" s="9"/>
      <c r="O153" s="22">
        <v>0.62011700000000003</v>
      </c>
      <c r="P153" s="22">
        <v>171.73599999999999</v>
      </c>
      <c r="Q153" s="22">
        <v>-1.72333E-2</v>
      </c>
      <c r="R153" s="22">
        <v>143</v>
      </c>
      <c r="S153" s="22">
        <v>0.61938499999999996</v>
      </c>
      <c r="T153">
        <f t="shared" si="26"/>
        <v>17.2333</v>
      </c>
      <c r="U153">
        <f t="shared" si="27"/>
        <v>10.6866622961</v>
      </c>
      <c r="X153" s="9"/>
      <c r="Y153" s="22">
        <v>1.10992</v>
      </c>
      <c r="Z153" s="22">
        <v>227.893</v>
      </c>
      <c r="AA153" s="22">
        <v>-1.6864000000000001E-2</v>
      </c>
      <c r="AB153" s="22">
        <v>143</v>
      </c>
      <c r="AC153" s="22">
        <v>1.1090100000000001</v>
      </c>
      <c r="AD153">
        <f t="shared" si="28"/>
        <v>16.864000000000001</v>
      </c>
      <c r="AE153">
        <f t="shared" si="29"/>
        <v>18.717690880000003</v>
      </c>
      <c r="AF153" s="9"/>
      <c r="AG153" s="22">
        <v>0.62011700000000003</v>
      </c>
      <c r="AH153" s="22">
        <v>358.56299999999999</v>
      </c>
      <c r="AI153" s="22">
        <v>-1.72333E-2</v>
      </c>
      <c r="AJ153" s="22">
        <v>143</v>
      </c>
      <c r="AK153" s="22">
        <v>0.61938499999999996</v>
      </c>
      <c r="AL153">
        <f t="shared" si="30"/>
        <v>17.2333</v>
      </c>
      <c r="AM153">
        <f t="shared" si="31"/>
        <v>10.6866622961</v>
      </c>
      <c r="AP153" s="9"/>
      <c r="AQ153" s="22">
        <v>1.10992</v>
      </c>
      <c r="AR153" s="22">
        <v>436.44400000000002</v>
      </c>
      <c r="AS153" s="22">
        <v>-1.6848800000000001E-2</v>
      </c>
      <c r="AT153" s="22">
        <v>143</v>
      </c>
      <c r="AU153" s="22">
        <v>1.10931</v>
      </c>
      <c r="AV153">
        <f t="shared" si="32"/>
        <v>16.848800000000001</v>
      </c>
      <c r="AW153">
        <f t="shared" si="33"/>
        <v>18.700820096000001</v>
      </c>
      <c r="AX153" s="9"/>
      <c r="AY153" s="22">
        <v>0.62011700000000003</v>
      </c>
      <c r="AZ153" s="22">
        <v>487.45800000000003</v>
      </c>
      <c r="BA153" s="22">
        <v>-1.7251599999999999E-2</v>
      </c>
      <c r="BB153" s="22">
        <v>143</v>
      </c>
      <c r="BC153" s="22">
        <v>0.61950700000000003</v>
      </c>
      <c r="BD153">
        <f t="shared" si="34"/>
        <v>17.2516</v>
      </c>
      <c r="BE153">
        <f t="shared" si="35"/>
        <v>10.698010437200001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122.735</v>
      </c>
      <c r="I154" s="22">
        <v>-1.6821300000000001E-2</v>
      </c>
      <c r="J154" s="22">
        <v>144</v>
      </c>
      <c r="K154" s="22">
        <v>1.1041300000000001</v>
      </c>
      <c r="L154">
        <f t="shared" si="24"/>
        <v>16.821300000000001</v>
      </c>
      <c r="M154">
        <f t="shared" si="25"/>
        <v>18.585686157000001</v>
      </c>
      <c r="N154" s="9"/>
      <c r="O154" s="22">
        <v>0.62515299999999996</v>
      </c>
      <c r="P154" s="22">
        <v>171.83699999999999</v>
      </c>
      <c r="Q154" s="22">
        <v>-1.7230200000000001E-2</v>
      </c>
      <c r="R154" s="22">
        <v>144</v>
      </c>
      <c r="S154" s="22">
        <v>0.62451199999999996</v>
      </c>
      <c r="T154">
        <f t="shared" si="26"/>
        <v>17.2302</v>
      </c>
      <c r="U154">
        <f t="shared" si="27"/>
        <v>10.771511220599999</v>
      </c>
      <c r="X154" s="9"/>
      <c r="Y154" s="22">
        <v>1.1048899999999999</v>
      </c>
      <c r="Z154" s="22">
        <v>227.99299999999999</v>
      </c>
      <c r="AA154" s="22">
        <v>-1.6870099999999999E-2</v>
      </c>
      <c r="AB154" s="22">
        <v>144</v>
      </c>
      <c r="AC154" s="22">
        <v>1.1041300000000001</v>
      </c>
      <c r="AD154">
        <f t="shared" si="28"/>
        <v>16.870100000000001</v>
      </c>
      <c r="AE154">
        <f t="shared" si="29"/>
        <v>18.639604789</v>
      </c>
      <c r="AF154" s="9"/>
      <c r="AG154" s="22">
        <v>0.62515299999999996</v>
      </c>
      <c r="AH154" s="22">
        <v>358.66399999999999</v>
      </c>
      <c r="AI154" s="22">
        <v>-1.7230200000000001E-2</v>
      </c>
      <c r="AJ154" s="22">
        <v>144</v>
      </c>
      <c r="AK154" s="22">
        <v>0.62441999999999998</v>
      </c>
      <c r="AL154">
        <f t="shared" si="30"/>
        <v>17.2302</v>
      </c>
      <c r="AM154">
        <f t="shared" si="31"/>
        <v>10.771511220599999</v>
      </c>
      <c r="AP154" s="9"/>
      <c r="AQ154" s="22">
        <v>1.1048899999999999</v>
      </c>
      <c r="AR154" s="22">
        <v>436.54500000000002</v>
      </c>
      <c r="AS154" s="22">
        <v>-1.68518E-2</v>
      </c>
      <c r="AT154" s="22">
        <v>144</v>
      </c>
      <c r="AU154" s="22">
        <v>1.1035200000000001</v>
      </c>
      <c r="AV154">
        <f t="shared" si="32"/>
        <v>16.851800000000001</v>
      </c>
      <c r="AW154">
        <f t="shared" si="33"/>
        <v>18.619385302000001</v>
      </c>
      <c r="AX154" s="9"/>
      <c r="AY154" s="22">
        <v>0.62515299999999996</v>
      </c>
      <c r="AZ154" s="22">
        <v>487.55900000000003</v>
      </c>
      <c r="BA154" s="22">
        <v>-1.72455E-2</v>
      </c>
      <c r="BB154" s="22">
        <v>144</v>
      </c>
      <c r="BC154" s="22">
        <v>0.62429800000000002</v>
      </c>
      <c r="BD154">
        <f t="shared" si="34"/>
        <v>17.2455</v>
      </c>
      <c r="BE154">
        <f t="shared" si="35"/>
        <v>10.781076061499999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122.836</v>
      </c>
      <c r="I155" s="22">
        <v>-1.6827399999999999E-2</v>
      </c>
      <c r="J155" s="22">
        <v>145</v>
      </c>
      <c r="K155" s="22">
        <v>1.09863</v>
      </c>
      <c r="L155">
        <f t="shared" si="24"/>
        <v>16.827400000000001</v>
      </c>
      <c r="M155">
        <f t="shared" si="25"/>
        <v>18.50761589</v>
      </c>
      <c r="N155" s="9"/>
      <c r="O155" s="22">
        <v>0.63018799999999997</v>
      </c>
      <c r="P155" s="22">
        <v>171.93700000000001</v>
      </c>
      <c r="Q155" s="22">
        <v>-1.7227200000000002E-2</v>
      </c>
      <c r="R155" s="22">
        <v>145</v>
      </c>
      <c r="S155" s="22">
        <v>0.62951699999999999</v>
      </c>
      <c r="T155">
        <f t="shared" si="26"/>
        <v>17.2272</v>
      </c>
      <c r="U155">
        <f t="shared" si="27"/>
        <v>10.856374713599999</v>
      </c>
      <c r="X155" s="9"/>
      <c r="Y155" s="22">
        <v>1.09985</v>
      </c>
      <c r="Z155" s="22">
        <v>228.09399999999999</v>
      </c>
      <c r="AA155" s="22">
        <v>-1.6876200000000001E-2</v>
      </c>
      <c r="AB155" s="22">
        <v>145</v>
      </c>
      <c r="AC155" s="22">
        <v>1.09894</v>
      </c>
      <c r="AD155">
        <f t="shared" si="28"/>
        <v>16.876200000000001</v>
      </c>
      <c r="AE155">
        <f t="shared" si="29"/>
        <v>18.561288570000002</v>
      </c>
      <c r="AF155" s="9"/>
      <c r="AG155" s="22">
        <v>0.63018799999999997</v>
      </c>
      <c r="AH155" s="22">
        <v>358.76400000000001</v>
      </c>
      <c r="AI155" s="22">
        <v>-1.7227200000000002E-2</v>
      </c>
      <c r="AJ155" s="22">
        <v>145</v>
      </c>
      <c r="AK155" s="22">
        <v>0.62927200000000005</v>
      </c>
      <c r="AL155">
        <f t="shared" si="30"/>
        <v>17.2272</v>
      </c>
      <c r="AM155">
        <f t="shared" si="31"/>
        <v>10.856374713599999</v>
      </c>
      <c r="AP155" s="9"/>
      <c r="AQ155" s="22">
        <v>1.09985</v>
      </c>
      <c r="AR155" s="22">
        <v>436.64600000000002</v>
      </c>
      <c r="AS155" s="22">
        <v>-1.6864000000000001E-2</v>
      </c>
      <c r="AT155" s="22">
        <v>145</v>
      </c>
      <c r="AU155" s="22">
        <v>1.09894</v>
      </c>
      <c r="AV155">
        <f t="shared" si="32"/>
        <v>16.864000000000001</v>
      </c>
      <c r="AW155">
        <f t="shared" si="33"/>
        <v>18.547870400000001</v>
      </c>
      <c r="AX155" s="9"/>
      <c r="AY155" s="22">
        <v>0.63018799999999997</v>
      </c>
      <c r="AZ155" s="22">
        <v>487.65899999999999</v>
      </c>
      <c r="BA155" s="22">
        <v>-1.72455E-2</v>
      </c>
      <c r="BB155" s="22">
        <v>145</v>
      </c>
      <c r="BC155" s="22">
        <v>0.62942500000000001</v>
      </c>
      <c r="BD155">
        <f t="shared" si="34"/>
        <v>17.2455</v>
      </c>
      <c r="BE155">
        <f t="shared" si="35"/>
        <v>10.867907153999999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122.93600000000001</v>
      </c>
      <c r="I156" s="22">
        <v>-1.6833500000000001E-2</v>
      </c>
      <c r="J156" s="22">
        <v>146</v>
      </c>
      <c r="K156" s="22">
        <v>1.09406</v>
      </c>
      <c r="L156">
        <f t="shared" si="24"/>
        <v>16.833500000000001</v>
      </c>
      <c r="M156">
        <f t="shared" si="25"/>
        <v>18.429652470000001</v>
      </c>
      <c r="N156" s="9"/>
      <c r="O156" s="22">
        <v>0.63522299999999998</v>
      </c>
      <c r="P156" s="22">
        <v>172.03800000000001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1.0948199999999999</v>
      </c>
      <c r="Z156" s="22">
        <v>228.19499999999999</v>
      </c>
      <c r="AA156" s="22">
        <v>-1.6882299999999999E-2</v>
      </c>
      <c r="AB156" s="22">
        <v>146</v>
      </c>
      <c r="AC156" s="22">
        <v>1.09436</v>
      </c>
      <c r="AD156">
        <f t="shared" si="28"/>
        <v>16.882300000000001</v>
      </c>
      <c r="AE156">
        <f t="shared" si="29"/>
        <v>18.483079686</v>
      </c>
      <c r="AF156" s="9"/>
      <c r="AG156" s="22">
        <v>0.63522299999999998</v>
      </c>
      <c r="AH156" s="22">
        <v>358.86500000000001</v>
      </c>
      <c r="AI156" s="22">
        <v>-1.7224099999999999E-2</v>
      </c>
      <c r="AJ156" s="22">
        <v>146</v>
      </c>
      <c r="AK156" s="22">
        <v>0.63470499999999996</v>
      </c>
      <c r="AL156">
        <f t="shared" si="30"/>
        <v>17.2241</v>
      </c>
      <c r="AM156">
        <f t="shared" si="31"/>
        <v>10.9411444743</v>
      </c>
      <c r="AP156" s="9"/>
      <c r="AQ156" s="22">
        <v>1.0948199999999999</v>
      </c>
      <c r="AR156" s="22">
        <v>436.74599999999998</v>
      </c>
      <c r="AS156" s="22">
        <v>-1.6864000000000001E-2</v>
      </c>
      <c r="AT156" s="22">
        <v>146</v>
      </c>
      <c r="AU156" s="22">
        <v>1.09344</v>
      </c>
      <c r="AV156">
        <f t="shared" si="32"/>
        <v>16.864000000000001</v>
      </c>
      <c r="AW156">
        <f t="shared" si="33"/>
        <v>18.463044480000001</v>
      </c>
      <c r="AX156" s="9"/>
      <c r="AY156" s="22">
        <v>0.63522299999999998</v>
      </c>
      <c r="AZ156" s="22">
        <v>487.76</v>
      </c>
      <c r="BA156" s="22">
        <v>-1.7242400000000001E-2</v>
      </c>
      <c r="BB156" s="22">
        <v>146</v>
      </c>
      <c r="BC156" s="22">
        <v>0.63458300000000001</v>
      </c>
      <c r="BD156">
        <f t="shared" si="34"/>
        <v>17.2424</v>
      </c>
      <c r="BE156">
        <f t="shared" si="35"/>
        <v>10.952769055199999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123.03700000000001</v>
      </c>
      <c r="I157" s="22">
        <v>-1.68396E-2</v>
      </c>
      <c r="J157" s="22">
        <v>147</v>
      </c>
      <c r="K157" s="22">
        <v>1.08887</v>
      </c>
      <c r="L157">
        <f t="shared" si="24"/>
        <v>16.839600000000001</v>
      </c>
      <c r="M157">
        <f t="shared" si="25"/>
        <v>18.351459288000001</v>
      </c>
      <c r="N157" s="9"/>
      <c r="O157" s="22">
        <v>0.64025900000000002</v>
      </c>
      <c r="P157" s="22">
        <v>172.13900000000001</v>
      </c>
      <c r="Q157" s="22">
        <v>-1.72211E-2</v>
      </c>
      <c r="R157" s="22">
        <v>147</v>
      </c>
      <c r="S157" s="22">
        <v>0.63958700000000002</v>
      </c>
      <c r="T157">
        <f t="shared" si="26"/>
        <v>17.2211</v>
      </c>
      <c r="U157">
        <f t="shared" si="27"/>
        <v>11.025964264900001</v>
      </c>
      <c r="X157" s="9"/>
      <c r="Y157" s="22">
        <v>1.08978</v>
      </c>
      <c r="Z157" s="22">
        <v>228.29599999999999</v>
      </c>
      <c r="AA157" s="22">
        <v>-1.6882299999999999E-2</v>
      </c>
      <c r="AB157" s="22">
        <v>147</v>
      </c>
      <c r="AC157" s="22">
        <v>1.08856</v>
      </c>
      <c r="AD157">
        <f t="shared" si="28"/>
        <v>16.882300000000001</v>
      </c>
      <c r="AE157">
        <f t="shared" si="29"/>
        <v>18.397992894000001</v>
      </c>
      <c r="AF157" s="9"/>
      <c r="AG157" s="22">
        <v>0.64025900000000002</v>
      </c>
      <c r="AH157" s="22">
        <v>358.96600000000001</v>
      </c>
      <c r="AI157" s="22">
        <v>-1.7218000000000001E-2</v>
      </c>
      <c r="AJ157" s="22">
        <v>147</v>
      </c>
      <c r="AK157" s="22">
        <v>0.63973999999999998</v>
      </c>
      <c r="AL157">
        <f t="shared" si="30"/>
        <v>17.218</v>
      </c>
      <c r="AM157">
        <f t="shared" si="31"/>
        <v>11.023979462</v>
      </c>
      <c r="AP157" s="9"/>
      <c r="AQ157" s="22">
        <v>1.08978</v>
      </c>
      <c r="AR157" s="22">
        <v>436.84699999999998</v>
      </c>
      <c r="AS157" s="22">
        <v>-1.6867099999999999E-2</v>
      </c>
      <c r="AT157" s="22">
        <v>147</v>
      </c>
      <c r="AU157" s="22">
        <v>1.08856</v>
      </c>
      <c r="AV157">
        <f t="shared" si="32"/>
        <v>16.867100000000001</v>
      </c>
      <c r="AW157">
        <f t="shared" si="33"/>
        <v>18.381428238000002</v>
      </c>
      <c r="AX157" s="9"/>
      <c r="AY157" s="22">
        <v>0.64025900000000002</v>
      </c>
      <c r="AZ157" s="22">
        <v>487.86099999999999</v>
      </c>
      <c r="BA157" s="22">
        <v>-1.72363E-2</v>
      </c>
      <c r="BB157" s="22">
        <v>147</v>
      </c>
      <c r="BC157" s="22">
        <v>0.63946499999999995</v>
      </c>
      <c r="BD157">
        <f t="shared" si="34"/>
        <v>17.2363</v>
      </c>
      <c r="BE157">
        <f t="shared" si="35"/>
        <v>11.0356962017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123.13800000000001</v>
      </c>
      <c r="I158" s="22">
        <v>-1.6848800000000001E-2</v>
      </c>
      <c r="J158" s="22">
        <v>148</v>
      </c>
      <c r="K158" s="22">
        <v>1.08368</v>
      </c>
      <c r="L158">
        <f t="shared" si="24"/>
        <v>16.848800000000001</v>
      </c>
      <c r="M158">
        <f t="shared" si="25"/>
        <v>18.276735800000001</v>
      </c>
      <c r="N158" s="9"/>
      <c r="O158" s="22">
        <v>0.64529400000000003</v>
      </c>
      <c r="P158" s="22">
        <v>172.239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1.0847500000000001</v>
      </c>
      <c r="Z158" s="22">
        <v>228.39599999999999</v>
      </c>
      <c r="AA158" s="22">
        <v>-1.68915E-2</v>
      </c>
      <c r="AB158" s="22">
        <v>148</v>
      </c>
      <c r="AC158" s="22">
        <v>1.0839799999999999</v>
      </c>
      <c r="AD158">
        <f t="shared" si="28"/>
        <v>16.891500000000001</v>
      </c>
      <c r="AE158">
        <f t="shared" si="29"/>
        <v>18.323054625000001</v>
      </c>
      <c r="AF158" s="9"/>
      <c r="AG158" s="22">
        <v>0.64529400000000003</v>
      </c>
      <c r="AH158" s="22">
        <v>359.06700000000001</v>
      </c>
      <c r="AI158" s="22">
        <v>-1.7215000000000001E-2</v>
      </c>
      <c r="AJ158" s="22">
        <v>148</v>
      </c>
      <c r="AK158" s="22">
        <v>0.64437900000000004</v>
      </c>
      <c r="AL158">
        <f t="shared" si="30"/>
        <v>17.215</v>
      </c>
      <c r="AM158">
        <f t="shared" si="31"/>
        <v>11.10873621</v>
      </c>
      <c r="AP158" s="9"/>
      <c r="AQ158" s="22">
        <v>1.0847500000000001</v>
      </c>
      <c r="AR158" s="22">
        <v>436.94799999999998</v>
      </c>
      <c r="AS158" s="22">
        <v>-1.6876200000000001E-2</v>
      </c>
      <c r="AT158" s="22">
        <v>148</v>
      </c>
      <c r="AU158" s="22">
        <v>1.0833699999999999</v>
      </c>
      <c r="AV158">
        <f t="shared" si="32"/>
        <v>16.876200000000001</v>
      </c>
      <c r="AW158">
        <f t="shared" si="33"/>
        <v>18.306457950000002</v>
      </c>
      <c r="AX158" s="9"/>
      <c r="AY158" s="22">
        <v>0.64529400000000003</v>
      </c>
      <c r="AZ158" s="22">
        <v>487.96199999999999</v>
      </c>
      <c r="BA158" s="22">
        <v>-1.72363E-2</v>
      </c>
      <c r="BB158" s="22">
        <v>148</v>
      </c>
      <c r="BC158" s="22">
        <v>0.64453099999999997</v>
      </c>
      <c r="BD158">
        <f t="shared" si="34"/>
        <v>17.2363</v>
      </c>
      <c r="BE158">
        <f t="shared" si="35"/>
        <v>11.1224809722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123.238</v>
      </c>
      <c r="I159" s="22">
        <v>-1.6848800000000001E-2</v>
      </c>
      <c r="J159" s="22">
        <v>149</v>
      </c>
      <c r="K159" s="22">
        <v>1.0784899999999999</v>
      </c>
      <c r="L159">
        <f t="shared" si="24"/>
        <v>16.848800000000001</v>
      </c>
      <c r="M159">
        <f t="shared" si="25"/>
        <v>18.191817847999999</v>
      </c>
      <c r="N159" s="9"/>
      <c r="O159" s="22">
        <v>0.65032999999999996</v>
      </c>
      <c r="P159" s="22">
        <v>172.34</v>
      </c>
      <c r="Q159" s="22">
        <v>-1.7211899999999999E-2</v>
      </c>
      <c r="R159" s="22">
        <v>149</v>
      </c>
      <c r="S159" s="22">
        <v>0.64987200000000001</v>
      </c>
      <c r="T159">
        <f t="shared" si="26"/>
        <v>17.2119</v>
      </c>
      <c r="U159">
        <f t="shared" si="27"/>
        <v>11.193414926999999</v>
      </c>
      <c r="X159" s="9"/>
      <c r="Y159" s="22">
        <v>1.0797099999999999</v>
      </c>
      <c r="Z159" s="22">
        <v>228.49700000000001</v>
      </c>
      <c r="AA159" s="22">
        <v>-1.68915E-2</v>
      </c>
      <c r="AB159" s="22">
        <v>149</v>
      </c>
      <c r="AC159" s="22">
        <v>1.0790999999999999</v>
      </c>
      <c r="AD159">
        <f t="shared" si="28"/>
        <v>16.891500000000001</v>
      </c>
      <c r="AE159">
        <f t="shared" si="29"/>
        <v>18.237921464999999</v>
      </c>
      <c r="AF159" s="9"/>
      <c r="AG159" s="22">
        <v>0.65032999999999996</v>
      </c>
      <c r="AH159" s="22">
        <v>359.16699999999997</v>
      </c>
      <c r="AI159" s="22">
        <v>-1.7211899999999999E-2</v>
      </c>
      <c r="AJ159" s="22">
        <v>149</v>
      </c>
      <c r="AK159" s="22">
        <v>0.649536</v>
      </c>
      <c r="AL159">
        <f t="shared" si="30"/>
        <v>17.2119</v>
      </c>
      <c r="AM159">
        <f t="shared" si="31"/>
        <v>11.193414926999999</v>
      </c>
      <c r="AP159" s="9"/>
      <c r="AQ159" s="22">
        <v>1.0797099999999999</v>
      </c>
      <c r="AR159" s="22">
        <v>437.048</v>
      </c>
      <c r="AS159" s="22">
        <v>-1.6876200000000001E-2</v>
      </c>
      <c r="AT159" s="22">
        <v>149</v>
      </c>
      <c r="AU159" s="22">
        <v>1.0784899999999999</v>
      </c>
      <c r="AV159">
        <f t="shared" si="32"/>
        <v>16.876200000000001</v>
      </c>
      <c r="AW159">
        <f t="shared" si="33"/>
        <v>18.221401902</v>
      </c>
      <c r="AX159" s="9"/>
      <c r="AY159" s="22">
        <v>0.65032999999999996</v>
      </c>
      <c r="AZ159" s="22">
        <v>488.06200000000001</v>
      </c>
      <c r="BA159" s="22">
        <v>-1.7230200000000001E-2</v>
      </c>
      <c r="BB159" s="22">
        <v>149</v>
      </c>
      <c r="BC159" s="22">
        <v>0.64950600000000003</v>
      </c>
      <c r="BD159">
        <f t="shared" si="34"/>
        <v>17.2302</v>
      </c>
      <c r="BE159">
        <f t="shared" si="35"/>
        <v>11.205315965999999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123.339</v>
      </c>
      <c r="I160" s="22">
        <v>-1.6857899999999999E-2</v>
      </c>
      <c r="J160" s="22">
        <v>150</v>
      </c>
      <c r="K160" s="22">
        <v>1.07422</v>
      </c>
      <c r="L160">
        <f t="shared" si="24"/>
        <v>16.857899999999997</v>
      </c>
      <c r="M160">
        <f t="shared" si="25"/>
        <v>18.116847971999999</v>
      </c>
      <c r="N160" s="9"/>
      <c r="O160" s="22">
        <v>0.65536499999999998</v>
      </c>
      <c r="P160" s="22">
        <v>172.441</v>
      </c>
      <c r="Q160" s="22">
        <v>-1.7208899999999999E-2</v>
      </c>
      <c r="R160" s="22">
        <v>150</v>
      </c>
      <c r="S160" s="22">
        <v>0.65451000000000004</v>
      </c>
      <c r="T160">
        <f t="shared" si="26"/>
        <v>17.2089</v>
      </c>
      <c r="U160">
        <f t="shared" si="27"/>
        <v>11.2781107485</v>
      </c>
      <c r="X160" s="9"/>
      <c r="Y160" s="22">
        <v>1.0746800000000001</v>
      </c>
      <c r="Z160" s="22">
        <v>228.59800000000001</v>
      </c>
      <c r="AA160" s="22">
        <v>-1.68945E-2</v>
      </c>
      <c r="AB160" s="22">
        <v>150</v>
      </c>
      <c r="AC160" s="22">
        <v>1.07361</v>
      </c>
      <c r="AD160">
        <f t="shared" si="28"/>
        <v>16.894500000000001</v>
      </c>
      <c r="AE160">
        <f t="shared" si="29"/>
        <v>18.156181260000004</v>
      </c>
      <c r="AF160" s="9"/>
      <c r="AG160" s="22">
        <v>0.65536499999999998</v>
      </c>
      <c r="AH160" s="22">
        <v>359.26799999999997</v>
      </c>
      <c r="AI160" s="22">
        <v>-1.72058E-2</v>
      </c>
      <c r="AJ160" s="22">
        <v>150</v>
      </c>
      <c r="AK160" s="22">
        <v>0.65466299999999999</v>
      </c>
      <c r="AL160">
        <f t="shared" si="30"/>
        <v>17.2058</v>
      </c>
      <c r="AM160">
        <f t="shared" si="31"/>
        <v>11.276079117</v>
      </c>
      <c r="AP160" s="9"/>
      <c r="AQ160" s="22">
        <v>1.0746800000000001</v>
      </c>
      <c r="AR160" s="22">
        <v>437.149</v>
      </c>
      <c r="AS160" s="22">
        <v>-1.6882299999999999E-2</v>
      </c>
      <c r="AT160" s="22">
        <v>150</v>
      </c>
      <c r="AU160" s="22">
        <v>1.07361</v>
      </c>
      <c r="AV160">
        <f t="shared" si="32"/>
        <v>16.882300000000001</v>
      </c>
      <c r="AW160">
        <f t="shared" si="33"/>
        <v>18.143070164000001</v>
      </c>
      <c r="AX160" s="9"/>
      <c r="AY160" s="22">
        <v>0.65536499999999998</v>
      </c>
      <c r="AZ160" s="22">
        <v>488.16300000000001</v>
      </c>
      <c r="BA160" s="22">
        <v>-1.7230200000000001E-2</v>
      </c>
      <c r="BB160" s="22">
        <v>150</v>
      </c>
      <c r="BC160" s="22">
        <v>0.65454100000000004</v>
      </c>
      <c r="BD160">
        <f t="shared" si="34"/>
        <v>17.2302</v>
      </c>
      <c r="BE160">
        <f t="shared" si="35"/>
        <v>11.292070022999999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123.44</v>
      </c>
      <c r="I161" s="22">
        <v>-1.6864000000000001E-2</v>
      </c>
      <c r="J161" s="22">
        <v>151</v>
      </c>
      <c r="K161" s="22">
        <v>1.06873</v>
      </c>
      <c r="L161">
        <f t="shared" si="24"/>
        <v>16.864000000000001</v>
      </c>
      <c r="M161">
        <f t="shared" si="25"/>
        <v>18.038408959999998</v>
      </c>
      <c r="N161" s="9"/>
      <c r="O161" s="22">
        <v>0.66039999999999999</v>
      </c>
      <c r="P161" s="22">
        <v>172.542</v>
      </c>
      <c r="Q161" s="22">
        <v>-1.72058E-2</v>
      </c>
      <c r="R161" s="22">
        <v>151</v>
      </c>
      <c r="S161" s="22">
        <v>0.65954599999999997</v>
      </c>
      <c r="T161">
        <f t="shared" si="26"/>
        <v>17.2058</v>
      </c>
      <c r="U161">
        <f t="shared" si="27"/>
        <v>11.36271032</v>
      </c>
      <c r="X161" s="9"/>
      <c r="Y161" s="22">
        <v>1.0696399999999999</v>
      </c>
      <c r="Z161" s="22">
        <v>228.69800000000001</v>
      </c>
      <c r="AA161" s="22">
        <v>-1.6900600000000002E-2</v>
      </c>
      <c r="AB161" s="22">
        <v>151</v>
      </c>
      <c r="AC161" s="22">
        <v>1.0684199999999999</v>
      </c>
      <c r="AD161">
        <f t="shared" si="28"/>
        <v>16.900600000000001</v>
      </c>
      <c r="AE161">
        <f t="shared" si="29"/>
        <v>18.077557784</v>
      </c>
      <c r="AF161" s="9"/>
      <c r="AG161" s="22">
        <v>0.66039999999999999</v>
      </c>
      <c r="AH161" s="22">
        <v>359.36900000000003</v>
      </c>
      <c r="AI161" s="22">
        <v>-1.72058E-2</v>
      </c>
      <c r="AJ161" s="22">
        <v>151</v>
      </c>
      <c r="AK161" s="22">
        <v>0.65972900000000001</v>
      </c>
      <c r="AL161">
        <f t="shared" si="30"/>
        <v>17.2058</v>
      </c>
      <c r="AM161">
        <f t="shared" si="31"/>
        <v>11.36271032</v>
      </c>
      <c r="AP161" s="9"/>
      <c r="AQ161" s="22">
        <v>1.0696399999999999</v>
      </c>
      <c r="AR161" s="22">
        <v>437.25</v>
      </c>
      <c r="AS161" s="22">
        <v>-1.6888400000000001E-2</v>
      </c>
      <c r="AT161" s="22">
        <v>151</v>
      </c>
      <c r="AU161" s="22">
        <v>1.0684199999999999</v>
      </c>
      <c r="AV161">
        <f t="shared" si="32"/>
        <v>16.888400000000001</v>
      </c>
      <c r="AW161">
        <f t="shared" si="33"/>
        <v>18.064508176</v>
      </c>
      <c r="AX161" s="9"/>
      <c r="AY161" s="22">
        <v>0.66039999999999999</v>
      </c>
      <c r="AZ161" s="22">
        <v>488.26400000000001</v>
      </c>
      <c r="BA161" s="22">
        <v>-1.7224099999999999E-2</v>
      </c>
      <c r="BB161" s="22">
        <v>151</v>
      </c>
      <c r="BC161" s="22">
        <v>0.65966800000000003</v>
      </c>
      <c r="BD161">
        <f t="shared" si="34"/>
        <v>17.2241</v>
      </c>
      <c r="BE161">
        <f t="shared" si="35"/>
        <v>11.37479564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123.54</v>
      </c>
      <c r="I162" s="22">
        <v>-1.6870099999999999E-2</v>
      </c>
      <c r="J162" s="22">
        <v>152</v>
      </c>
      <c r="K162" s="22">
        <v>1.0638399999999999</v>
      </c>
      <c r="L162">
        <f t="shared" si="24"/>
        <v>16.870100000000001</v>
      </c>
      <c r="M162">
        <f t="shared" si="25"/>
        <v>17.960077161000001</v>
      </c>
      <c r="N162" s="9"/>
      <c r="O162" s="22">
        <v>0.66543600000000003</v>
      </c>
      <c r="P162" s="22">
        <v>172.642</v>
      </c>
      <c r="Q162" s="22">
        <v>-1.7199699999999998E-2</v>
      </c>
      <c r="R162" s="22">
        <v>152</v>
      </c>
      <c r="S162" s="22">
        <v>0.66470300000000004</v>
      </c>
      <c r="T162">
        <f t="shared" si="26"/>
        <v>17.1997</v>
      </c>
      <c r="U162">
        <f t="shared" si="27"/>
        <v>11.445299569200001</v>
      </c>
      <c r="X162" s="9"/>
      <c r="Y162" s="22">
        <v>1.0646100000000001</v>
      </c>
      <c r="Z162" s="22">
        <v>228.79900000000001</v>
      </c>
      <c r="AA162" s="22">
        <v>-1.6900600000000002E-2</v>
      </c>
      <c r="AB162" s="22">
        <v>152</v>
      </c>
      <c r="AC162" s="22">
        <v>1.0638399999999999</v>
      </c>
      <c r="AD162">
        <f t="shared" si="28"/>
        <v>16.900600000000001</v>
      </c>
      <c r="AE162">
        <f t="shared" si="29"/>
        <v>17.992547766000001</v>
      </c>
      <c r="AF162" s="9"/>
      <c r="AG162" s="22">
        <v>0.66543600000000003</v>
      </c>
      <c r="AH162" s="22">
        <v>359.46899999999999</v>
      </c>
      <c r="AI162" s="22">
        <v>-1.7199699999999998E-2</v>
      </c>
      <c r="AJ162" s="22">
        <v>152</v>
      </c>
      <c r="AK162" s="22">
        <v>0.66476400000000002</v>
      </c>
      <c r="AL162">
        <f t="shared" si="30"/>
        <v>17.1997</v>
      </c>
      <c r="AM162">
        <f t="shared" si="31"/>
        <v>11.445299569200001</v>
      </c>
      <c r="AP162" s="9"/>
      <c r="AQ162" s="22">
        <v>1.0646100000000001</v>
      </c>
      <c r="AR162" s="22">
        <v>437.351</v>
      </c>
      <c r="AS162" s="22">
        <v>-1.68915E-2</v>
      </c>
      <c r="AT162" s="22">
        <v>152</v>
      </c>
      <c r="AU162" s="22">
        <v>1.0635399999999999</v>
      </c>
      <c r="AV162">
        <f t="shared" si="32"/>
        <v>16.891500000000001</v>
      </c>
      <c r="AW162">
        <f t="shared" si="33"/>
        <v>17.982859815000001</v>
      </c>
      <c r="AX162" s="9"/>
      <c r="AY162" s="22">
        <v>0.66543600000000003</v>
      </c>
      <c r="AZ162" s="22">
        <v>488.36399999999998</v>
      </c>
      <c r="BA162" s="22">
        <v>-1.7218000000000001E-2</v>
      </c>
      <c r="BB162" s="22">
        <v>152</v>
      </c>
      <c r="BC162" s="22">
        <v>0.66461199999999998</v>
      </c>
      <c r="BD162">
        <f t="shared" si="34"/>
        <v>17.218</v>
      </c>
      <c r="BE162">
        <f t="shared" si="35"/>
        <v>11.457477048000001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123.64100000000001</v>
      </c>
      <c r="I163" s="22">
        <v>-1.6870099999999999E-2</v>
      </c>
      <c r="J163" s="22">
        <v>153</v>
      </c>
      <c r="K163" s="22">
        <v>1.0586500000000001</v>
      </c>
      <c r="L163">
        <f t="shared" si="24"/>
        <v>16.870100000000001</v>
      </c>
      <c r="M163">
        <f t="shared" si="25"/>
        <v>17.875051856999999</v>
      </c>
      <c r="N163" s="9"/>
      <c r="O163" s="22">
        <v>0.67047100000000004</v>
      </c>
      <c r="P163" s="22">
        <v>172.74299999999999</v>
      </c>
      <c r="Q163" s="22">
        <v>-1.71936E-2</v>
      </c>
      <c r="R163" s="22">
        <v>153</v>
      </c>
      <c r="S163" s="22">
        <v>0.66979999999999995</v>
      </c>
      <c r="T163">
        <f t="shared" si="26"/>
        <v>17.1936</v>
      </c>
      <c r="U163">
        <f t="shared" si="27"/>
        <v>11.5278101856</v>
      </c>
      <c r="X163" s="9"/>
      <c r="Y163" s="22">
        <v>1.0595699999999999</v>
      </c>
      <c r="Z163" s="22">
        <v>228.9</v>
      </c>
      <c r="AA163" s="22">
        <v>-1.6909799999999999E-2</v>
      </c>
      <c r="AB163" s="22">
        <v>153</v>
      </c>
      <c r="AC163" s="22">
        <v>1.0589599999999999</v>
      </c>
      <c r="AD163">
        <f t="shared" si="28"/>
        <v>16.909800000000001</v>
      </c>
      <c r="AE163">
        <f t="shared" si="29"/>
        <v>17.917116785999998</v>
      </c>
      <c r="AF163" s="9"/>
      <c r="AG163" s="22">
        <v>0.67047100000000004</v>
      </c>
      <c r="AH163" s="22">
        <v>359.57</v>
      </c>
      <c r="AI163" s="22">
        <v>-1.7196699999999999E-2</v>
      </c>
      <c r="AJ163" s="22">
        <v>153</v>
      </c>
      <c r="AK163" s="22">
        <v>0.66983000000000004</v>
      </c>
      <c r="AL163">
        <f t="shared" si="30"/>
        <v>17.1967</v>
      </c>
      <c r="AM163">
        <f t="shared" si="31"/>
        <v>11.5298886457</v>
      </c>
      <c r="AP163" s="9"/>
      <c r="AQ163" s="22">
        <v>1.0595699999999999</v>
      </c>
      <c r="AR163" s="22">
        <v>437.45100000000002</v>
      </c>
      <c r="AS163" s="22">
        <v>-1.68945E-2</v>
      </c>
      <c r="AT163" s="22">
        <v>153</v>
      </c>
      <c r="AU163" s="22">
        <v>1.0580400000000001</v>
      </c>
      <c r="AV163">
        <f t="shared" si="32"/>
        <v>16.894500000000001</v>
      </c>
      <c r="AW163">
        <f t="shared" si="33"/>
        <v>17.900905365</v>
      </c>
      <c r="AX163" s="9"/>
      <c r="AY163" s="22">
        <v>0.67047100000000004</v>
      </c>
      <c r="AZ163" s="22">
        <v>488.46499999999997</v>
      </c>
      <c r="BA163" s="22">
        <v>-1.7218000000000001E-2</v>
      </c>
      <c r="BB163" s="22">
        <v>153</v>
      </c>
      <c r="BC163" s="22">
        <v>0.66973899999999997</v>
      </c>
      <c r="BD163">
        <f t="shared" si="34"/>
        <v>17.218</v>
      </c>
      <c r="BE163">
        <f t="shared" si="35"/>
        <v>11.544169678000001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123.742</v>
      </c>
      <c r="I164" s="22">
        <v>-1.6873200000000001E-2</v>
      </c>
      <c r="J164" s="22">
        <v>154</v>
      </c>
      <c r="K164" s="22">
        <v>1.0537700000000001</v>
      </c>
      <c r="L164">
        <f t="shared" si="24"/>
        <v>16.873200000000001</v>
      </c>
      <c r="M164">
        <f t="shared" si="25"/>
        <v>17.793295596</v>
      </c>
      <c r="N164" s="9"/>
      <c r="O164" s="22">
        <v>0.67550699999999997</v>
      </c>
      <c r="P164" s="22">
        <v>172.84399999999999</v>
      </c>
      <c r="Q164" s="22">
        <v>-1.71936E-2</v>
      </c>
      <c r="R164" s="22">
        <v>154</v>
      </c>
      <c r="S164" s="22">
        <v>0.67483499999999996</v>
      </c>
      <c r="T164">
        <f t="shared" si="26"/>
        <v>17.1936</v>
      </c>
      <c r="U164">
        <f t="shared" si="27"/>
        <v>11.614397155199999</v>
      </c>
      <c r="X164" s="9"/>
      <c r="Y164" s="22">
        <v>1.05453</v>
      </c>
      <c r="Z164" s="22">
        <v>229</v>
      </c>
      <c r="AA164" s="22">
        <v>-1.6912799999999999E-2</v>
      </c>
      <c r="AB164" s="22">
        <v>154</v>
      </c>
      <c r="AC164" s="22">
        <v>1.0537700000000001</v>
      </c>
      <c r="AD164">
        <f t="shared" si="28"/>
        <v>16.912799999999997</v>
      </c>
      <c r="AE164">
        <f t="shared" si="29"/>
        <v>17.835054983999996</v>
      </c>
      <c r="AF164" s="9"/>
      <c r="AG164" s="22">
        <v>0.67550699999999997</v>
      </c>
      <c r="AH164" s="22">
        <v>359.67099999999999</v>
      </c>
      <c r="AI164" s="22">
        <v>-1.71936E-2</v>
      </c>
      <c r="AJ164" s="22">
        <v>154</v>
      </c>
      <c r="AK164" s="22">
        <v>0.67489600000000005</v>
      </c>
      <c r="AL164">
        <f t="shared" si="30"/>
        <v>17.1936</v>
      </c>
      <c r="AM164">
        <f t="shared" si="31"/>
        <v>11.614397155199999</v>
      </c>
      <c r="AP164" s="9"/>
      <c r="AQ164" s="22">
        <v>1.05453</v>
      </c>
      <c r="AR164" s="22">
        <v>437.55200000000002</v>
      </c>
      <c r="AS164" s="22">
        <v>-1.6900600000000002E-2</v>
      </c>
      <c r="AT164" s="22">
        <v>154</v>
      </c>
      <c r="AU164" s="22">
        <v>1.0537700000000001</v>
      </c>
      <c r="AV164">
        <f t="shared" si="32"/>
        <v>16.900600000000001</v>
      </c>
      <c r="AW164">
        <f t="shared" si="33"/>
        <v>17.822189718000001</v>
      </c>
      <c r="AX164" s="9"/>
      <c r="AY164" s="22">
        <v>0.67550699999999997</v>
      </c>
      <c r="AZ164" s="22">
        <v>488.56599999999997</v>
      </c>
      <c r="BA164" s="22">
        <v>-1.7211899999999999E-2</v>
      </c>
      <c r="BB164" s="22">
        <v>154</v>
      </c>
      <c r="BC164" s="22">
        <v>0.67459100000000005</v>
      </c>
      <c r="BD164">
        <f t="shared" si="34"/>
        <v>17.2119</v>
      </c>
      <c r="BE164">
        <f t="shared" si="35"/>
        <v>11.6267589333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123.843</v>
      </c>
      <c r="I165" s="22">
        <v>-1.6882299999999999E-2</v>
      </c>
      <c r="J165" s="22">
        <v>155</v>
      </c>
      <c r="K165" s="22">
        <v>1.0488900000000001</v>
      </c>
      <c r="L165">
        <f t="shared" si="24"/>
        <v>16.882300000000001</v>
      </c>
      <c r="M165">
        <f t="shared" si="25"/>
        <v>17.717973850000003</v>
      </c>
      <c r="N165" s="9"/>
      <c r="O165" s="22">
        <v>0.68054199999999998</v>
      </c>
      <c r="P165" s="22">
        <v>172.94399999999999</v>
      </c>
      <c r="Q165" s="22">
        <v>-1.71906E-2</v>
      </c>
      <c r="R165" s="22">
        <v>155</v>
      </c>
      <c r="S165" s="22">
        <v>0.67974900000000005</v>
      </c>
      <c r="T165">
        <f t="shared" si="26"/>
        <v>17.1906</v>
      </c>
      <c r="U165">
        <f t="shared" si="27"/>
        <v>11.6989253052</v>
      </c>
      <c r="X165" s="9"/>
      <c r="Y165" s="22">
        <v>1.0495000000000001</v>
      </c>
      <c r="Z165" s="22">
        <v>229.101</v>
      </c>
      <c r="AA165" s="22">
        <v>-1.6915900000000001E-2</v>
      </c>
      <c r="AB165" s="22">
        <v>155</v>
      </c>
      <c r="AC165" s="22">
        <v>1.0482800000000001</v>
      </c>
      <c r="AD165">
        <f t="shared" si="28"/>
        <v>16.915900000000001</v>
      </c>
      <c r="AE165">
        <f t="shared" si="29"/>
        <v>17.753237050000003</v>
      </c>
      <c r="AF165" s="9"/>
      <c r="AG165" s="22">
        <v>0.68054199999999998</v>
      </c>
      <c r="AH165" s="22">
        <v>359.77100000000002</v>
      </c>
      <c r="AI165" s="22">
        <v>-1.71936E-2</v>
      </c>
      <c r="AJ165" s="22">
        <v>155</v>
      </c>
      <c r="AK165" s="22">
        <v>0.67977900000000002</v>
      </c>
      <c r="AL165">
        <f t="shared" si="30"/>
        <v>17.1936</v>
      </c>
      <c r="AM165">
        <f t="shared" si="31"/>
        <v>11.7009669312</v>
      </c>
      <c r="AP165" s="9"/>
      <c r="AQ165" s="22">
        <v>1.0495000000000001</v>
      </c>
      <c r="AR165" s="22">
        <v>437.65300000000002</v>
      </c>
      <c r="AS165" s="22">
        <v>-1.6909799999999999E-2</v>
      </c>
      <c r="AT165" s="22">
        <v>155</v>
      </c>
      <c r="AU165" s="22">
        <v>1.0482800000000001</v>
      </c>
      <c r="AV165">
        <f t="shared" si="32"/>
        <v>16.909800000000001</v>
      </c>
      <c r="AW165">
        <f t="shared" si="33"/>
        <v>17.746835100000002</v>
      </c>
      <c r="AX165" s="9"/>
      <c r="AY165" s="22">
        <v>0.68054199999999998</v>
      </c>
      <c r="AZ165" s="22">
        <v>488.666</v>
      </c>
      <c r="BA165" s="22">
        <v>-1.7208899999999999E-2</v>
      </c>
      <c r="BB165" s="22">
        <v>155</v>
      </c>
      <c r="BC165" s="22">
        <v>0.67977900000000002</v>
      </c>
      <c r="BD165">
        <f t="shared" si="34"/>
        <v>17.2089</v>
      </c>
      <c r="BE165">
        <f t="shared" si="35"/>
        <v>11.7113792238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123.943</v>
      </c>
      <c r="I166" s="22">
        <v>-1.6882299999999999E-2</v>
      </c>
      <c r="J166" s="22">
        <v>156</v>
      </c>
      <c r="K166" s="22">
        <v>1.0434000000000001</v>
      </c>
      <c r="L166">
        <f t="shared" si="24"/>
        <v>16.882300000000001</v>
      </c>
      <c r="M166">
        <f t="shared" si="25"/>
        <v>17.632887058000001</v>
      </c>
      <c r="N166" s="9"/>
      <c r="O166" s="22">
        <v>0.68557699999999999</v>
      </c>
      <c r="P166" s="22">
        <v>173.04499999999999</v>
      </c>
      <c r="Q166" s="22">
        <v>-1.7184399999999999E-2</v>
      </c>
      <c r="R166" s="22">
        <v>156</v>
      </c>
      <c r="S166" s="22">
        <v>0.68493700000000002</v>
      </c>
      <c r="T166">
        <f t="shared" si="26"/>
        <v>17.1844</v>
      </c>
      <c r="U166">
        <f t="shared" si="27"/>
        <v>11.781229398800001</v>
      </c>
      <c r="X166" s="9"/>
      <c r="Y166" s="22">
        <v>1.0444599999999999</v>
      </c>
      <c r="Z166" s="22">
        <v>229.202</v>
      </c>
      <c r="AA166" s="22">
        <v>-1.6918900000000001E-2</v>
      </c>
      <c r="AB166" s="22">
        <v>156</v>
      </c>
      <c r="AC166" s="22">
        <v>1.0434000000000001</v>
      </c>
      <c r="AD166">
        <f t="shared" si="28"/>
        <v>16.918900000000001</v>
      </c>
      <c r="AE166">
        <f t="shared" si="29"/>
        <v>17.671114293999999</v>
      </c>
      <c r="AF166" s="9"/>
      <c r="AG166" s="22">
        <v>0.68557699999999999</v>
      </c>
      <c r="AH166" s="22">
        <v>359.87200000000001</v>
      </c>
      <c r="AI166" s="22">
        <v>-1.7187500000000001E-2</v>
      </c>
      <c r="AJ166" s="22">
        <v>156</v>
      </c>
      <c r="AK166" s="22">
        <v>0.68511999999999995</v>
      </c>
      <c r="AL166">
        <f t="shared" si="30"/>
        <v>17.1875</v>
      </c>
      <c r="AM166">
        <f t="shared" si="31"/>
        <v>11.783354687499999</v>
      </c>
      <c r="AP166" s="9"/>
      <c r="AQ166" s="22">
        <v>1.0444599999999999</v>
      </c>
      <c r="AR166" s="22">
        <v>437.75299999999999</v>
      </c>
      <c r="AS166" s="22">
        <v>-1.6912799999999999E-2</v>
      </c>
      <c r="AT166" s="22">
        <v>156</v>
      </c>
      <c r="AU166" s="22">
        <v>1.0427900000000001</v>
      </c>
      <c r="AV166">
        <f t="shared" si="32"/>
        <v>16.912799999999997</v>
      </c>
      <c r="AW166">
        <f t="shared" si="33"/>
        <v>17.664743087999994</v>
      </c>
      <c r="AX166" s="9"/>
      <c r="AY166" s="22">
        <v>0.68557699999999999</v>
      </c>
      <c r="AZ166" s="22">
        <v>488.767</v>
      </c>
      <c r="BA166" s="22">
        <v>-1.72058E-2</v>
      </c>
      <c r="BB166" s="22">
        <v>156</v>
      </c>
      <c r="BC166" s="22">
        <v>0.68484500000000004</v>
      </c>
      <c r="BD166">
        <f t="shared" si="34"/>
        <v>17.2058</v>
      </c>
      <c r="BE166">
        <f t="shared" si="35"/>
        <v>11.795900746599999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124.044</v>
      </c>
      <c r="I167" s="22">
        <v>-1.6888400000000001E-2</v>
      </c>
      <c r="J167" s="22">
        <v>157</v>
      </c>
      <c r="K167" s="22">
        <v>1.0388200000000001</v>
      </c>
      <c r="L167">
        <f t="shared" si="24"/>
        <v>16.888400000000001</v>
      </c>
      <c r="M167">
        <f t="shared" si="25"/>
        <v>17.554309612000001</v>
      </c>
      <c r="N167" s="9"/>
      <c r="O167" s="22">
        <v>0.69061300000000003</v>
      </c>
      <c r="P167" s="22">
        <v>173.14599999999999</v>
      </c>
      <c r="Q167" s="22">
        <v>-1.7181399999999999E-2</v>
      </c>
      <c r="R167" s="22">
        <v>157</v>
      </c>
      <c r="S167" s="22">
        <v>0.68991100000000005</v>
      </c>
      <c r="T167">
        <f t="shared" si="26"/>
        <v>17.1814</v>
      </c>
      <c r="U167">
        <f t="shared" si="27"/>
        <v>11.8656981982</v>
      </c>
      <c r="X167" s="9"/>
      <c r="Y167" s="22">
        <v>1.0394300000000001</v>
      </c>
      <c r="Z167" s="22">
        <v>229.303</v>
      </c>
      <c r="AA167" s="22">
        <v>-1.6924999999999999E-2</v>
      </c>
      <c r="AB167" s="22">
        <v>157</v>
      </c>
      <c r="AC167" s="22">
        <v>1.0382100000000001</v>
      </c>
      <c r="AD167">
        <f t="shared" si="28"/>
        <v>16.925000000000001</v>
      </c>
      <c r="AE167">
        <f t="shared" si="29"/>
        <v>17.592352750000003</v>
      </c>
      <c r="AF167" s="9"/>
      <c r="AG167" s="22">
        <v>0.69061300000000003</v>
      </c>
      <c r="AH167" s="22">
        <v>359.97300000000001</v>
      </c>
      <c r="AI167" s="22">
        <v>-1.7187500000000001E-2</v>
      </c>
      <c r="AJ167" s="22">
        <v>157</v>
      </c>
      <c r="AK167" s="22">
        <v>0.68994100000000003</v>
      </c>
      <c r="AL167">
        <f t="shared" si="30"/>
        <v>17.1875</v>
      </c>
      <c r="AM167">
        <f t="shared" si="31"/>
        <v>11.8699109375</v>
      </c>
      <c r="AP167" s="9"/>
      <c r="AQ167" s="22">
        <v>1.0394300000000001</v>
      </c>
      <c r="AR167" s="22">
        <v>437.85399999999998</v>
      </c>
      <c r="AS167" s="22">
        <v>-1.6915900000000001E-2</v>
      </c>
      <c r="AT167" s="22">
        <v>157</v>
      </c>
      <c r="AU167" s="22">
        <v>1.0382100000000001</v>
      </c>
      <c r="AV167">
        <f t="shared" si="32"/>
        <v>16.915900000000001</v>
      </c>
      <c r="AW167">
        <f t="shared" si="33"/>
        <v>17.582893937000001</v>
      </c>
      <c r="AX167" s="9"/>
      <c r="AY167" s="22">
        <v>0.69061300000000003</v>
      </c>
      <c r="AZ167" s="22">
        <v>488.86799999999999</v>
      </c>
      <c r="BA167" s="22">
        <v>-1.7202800000000001E-2</v>
      </c>
      <c r="BB167" s="22">
        <v>157</v>
      </c>
      <c r="BC167" s="22">
        <v>0.68975799999999998</v>
      </c>
      <c r="BD167">
        <f t="shared" si="34"/>
        <v>17.2028</v>
      </c>
      <c r="BE167">
        <f t="shared" si="35"/>
        <v>11.8804773164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124.145</v>
      </c>
      <c r="I168" s="22">
        <v>-1.68945E-2</v>
      </c>
      <c r="J168" s="22">
        <v>158</v>
      </c>
      <c r="K168" s="22">
        <v>1.0339400000000001</v>
      </c>
      <c r="L168">
        <f t="shared" si="24"/>
        <v>16.894500000000001</v>
      </c>
      <c r="M168">
        <f t="shared" si="25"/>
        <v>17.475501855000001</v>
      </c>
      <c r="N168" s="9"/>
      <c r="O168" s="22">
        <v>0.69564800000000004</v>
      </c>
      <c r="P168" s="22">
        <v>173.24600000000001</v>
      </c>
      <c r="Q168" s="22">
        <v>-1.7178300000000001E-2</v>
      </c>
      <c r="R168" s="22">
        <v>158</v>
      </c>
      <c r="S168" s="22">
        <v>0.69494599999999995</v>
      </c>
      <c r="T168">
        <f t="shared" si="26"/>
        <v>17.1783</v>
      </c>
      <c r="U168">
        <f t="shared" si="27"/>
        <v>11.950050038400001</v>
      </c>
      <c r="X168" s="9"/>
      <c r="Y168" s="22">
        <v>1.0343899999999999</v>
      </c>
      <c r="Z168" s="22">
        <v>229.40299999999999</v>
      </c>
      <c r="AA168" s="22">
        <v>-1.69312E-2</v>
      </c>
      <c r="AB168" s="22">
        <v>158</v>
      </c>
      <c r="AC168" s="22">
        <v>1.0333300000000001</v>
      </c>
      <c r="AD168">
        <f t="shared" si="28"/>
        <v>16.9312</v>
      </c>
      <c r="AE168">
        <f t="shared" si="29"/>
        <v>17.513463968</v>
      </c>
      <c r="AF168" s="9"/>
      <c r="AG168" s="22">
        <v>0.69564800000000004</v>
      </c>
      <c r="AH168" s="22">
        <v>360.07400000000001</v>
      </c>
      <c r="AI168" s="22">
        <v>-1.7184399999999999E-2</v>
      </c>
      <c r="AJ168" s="22">
        <v>158</v>
      </c>
      <c r="AK168" s="22">
        <v>0.69506800000000002</v>
      </c>
      <c r="AL168">
        <f t="shared" si="30"/>
        <v>17.1844</v>
      </c>
      <c r="AM168">
        <f t="shared" si="31"/>
        <v>11.954293491200001</v>
      </c>
      <c r="AP168" s="9"/>
      <c r="AQ168" s="22">
        <v>1.0343899999999999</v>
      </c>
      <c r="AR168" s="22">
        <v>437.95499999999998</v>
      </c>
      <c r="AS168" s="22">
        <v>-1.6922E-2</v>
      </c>
      <c r="AT168" s="22">
        <v>158</v>
      </c>
      <c r="AU168" s="22">
        <v>1.0333300000000001</v>
      </c>
      <c r="AV168">
        <f t="shared" si="32"/>
        <v>16.922000000000001</v>
      </c>
      <c r="AW168">
        <f t="shared" si="33"/>
        <v>17.503947579999998</v>
      </c>
      <c r="AX168" s="9"/>
      <c r="AY168" s="22">
        <v>0.69564800000000004</v>
      </c>
      <c r="AZ168" s="22">
        <v>488.96899999999999</v>
      </c>
      <c r="BA168" s="22">
        <v>-1.7196699999999999E-2</v>
      </c>
      <c r="BB168" s="22">
        <v>158</v>
      </c>
      <c r="BC168" s="22">
        <v>0.69500700000000004</v>
      </c>
      <c r="BD168">
        <f t="shared" si="34"/>
        <v>17.1967</v>
      </c>
      <c r="BE168">
        <f t="shared" si="35"/>
        <v>11.9628499616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124.245</v>
      </c>
      <c r="I169" s="22">
        <v>-1.6900600000000002E-2</v>
      </c>
      <c r="J169" s="22">
        <v>159</v>
      </c>
      <c r="K169" s="22">
        <v>1.0287500000000001</v>
      </c>
      <c r="L169">
        <f t="shared" si="24"/>
        <v>16.900600000000001</v>
      </c>
      <c r="M169">
        <f t="shared" si="25"/>
        <v>17.396801616000001</v>
      </c>
      <c r="N169" s="9"/>
      <c r="O169" s="22">
        <v>0.70068399999999997</v>
      </c>
      <c r="P169" s="22">
        <v>173.34700000000001</v>
      </c>
      <c r="Q169" s="22">
        <v>-1.7175300000000001E-2</v>
      </c>
      <c r="R169" s="22">
        <v>159</v>
      </c>
      <c r="S169" s="22">
        <v>0.69982900000000003</v>
      </c>
      <c r="T169">
        <f t="shared" si="26"/>
        <v>17.1753</v>
      </c>
      <c r="U169">
        <f t="shared" si="27"/>
        <v>12.0344579052</v>
      </c>
      <c r="X169" s="9"/>
      <c r="Y169" s="22">
        <v>1.0293600000000001</v>
      </c>
      <c r="Z169" s="22">
        <v>229.50399999999999</v>
      </c>
      <c r="AA169" s="22">
        <v>-1.69342E-2</v>
      </c>
      <c r="AB169" s="22">
        <v>159</v>
      </c>
      <c r="AC169" s="22">
        <v>1.02844</v>
      </c>
      <c r="AD169">
        <f t="shared" si="28"/>
        <v>16.934200000000001</v>
      </c>
      <c r="AE169">
        <f t="shared" si="29"/>
        <v>17.431388112</v>
      </c>
      <c r="AF169" s="9"/>
      <c r="AG169" s="22">
        <v>0.70068399999999997</v>
      </c>
      <c r="AH169" s="22">
        <v>360.17399999999998</v>
      </c>
      <c r="AI169" s="22">
        <v>-1.7178300000000001E-2</v>
      </c>
      <c r="AJ169" s="22">
        <v>159</v>
      </c>
      <c r="AK169" s="22">
        <v>0.69986000000000004</v>
      </c>
      <c r="AL169">
        <f t="shared" si="30"/>
        <v>17.1783</v>
      </c>
      <c r="AM169">
        <f t="shared" si="31"/>
        <v>12.0365599572</v>
      </c>
      <c r="AP169" s="9"/>
      <c r="AQ169" s="22">
        <v>1.0293600000000001</v>
      </c>
      <c r="AR169" s="22">
        <v>438.05599999999998</v>
      </c>
      <c r="AS169" s="22">
        <v>-1.69312E-2</v>
      </c>
      <c r="AT169" s="22">
        <v>159</v>
      </c>
      <c r="AU169" s="22">
        <v>1.0281400000000001</v>
      </c>
      <c r="AV169">
        <f t="shared" si="32"/>
        <v>16.9312</v>
      </c>
      <c r="AW169">
        <f t="shared" si="33"/>
        <v>17.428300032000003</v>
      </c>
      <c r="AX169" s="9"/>
      <c r="AY169" s="22">
        <v>0.70068399999999997</v>
      </c>
      <c r="AZ169" s="22">
        <v>489.06900000000002</v>
      </c>
      <c r="BA169" s="22">
        <v>-1.71936E-2</v>
      </c>
      <c r="BB169" s="22">
        <v>159</v>
      </c>
      <c r="BC169" s="22">
        <v>0.69982900000000003</v>
      </c>
      <c r="BD169">
        <f t="shared" si="34"/>
        <v>17.1936</v>
      </c>
      <c r="BE169">
        <f t="shared" si="35"/>
        <v>12.0472804224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124.346</v>
      </c>
      <c r="I170" s="22">
        <v>-1.6903700000000001E-2</v>
      </c>
      <c r="J170" s="22">
        <v>160</v>
      </c>
      <c r="K170" s="22">
        <v>1.02325</v>
      </c>
      <c r="L170">
        <f t="shared" si="24"/>
        <v>16.903700000000001</v>
      </c>
      <c r="M170">
        <f t="shared" si="25"/>
        <v>17.314797983999998</v>
      </c>
      <c r="N170" s="9"/>
      <c r="O170" s="22">
        <v>0.70571899999999999</v>
      </c>
      <c r="P170" s="22">
        <v>173.44800000000001</v>
      </c>
      <c r="Q170" s="22">
        <v>-1.7172199999999999E-2</v>
      </c>
      <c r="R170" s="22">
        <v>160</v>
      </c>
      <c r="S170" s="22">
        <v>0.70495600000000003</v>
      </c>
      <c r="T170">
        <f t="shared" si="26"/>
        <v>17.1722</v>
      </c>
      <c r="U170">
        <f t="shared" si="27"/>
        <v>12.1187478118</v>
      </c>
      <c r="X170" s="9"/>
      <c r="Y170" s="22">
        <v>1.0243199999999999</v>
      </c>
      <c r="Z170" s="22">
        <v>229.60499999999999</v>
      </c>
      <c r="AA170" s="22">
        <v>-1.6940299999999998E-2</v>
      </c>
      <c r="AB170" s="22">
        <v>160</v>
      </c>
      <c r="AC170" s="22">
        <v>1.02356</v>
      </c>
      <c r="AD170">
        <f t="shared" si="28"/>
        <v>16.940299999999997</v>
      </c>
      <c r="AE170">
        <f t="shared" si="29"/>
        <v>17.352288095999995</v>
      </c>
      <c r="AF170" s="9"/>
      <c r="AG170" s="22">
        <v>0.70571899999999999</v>
      </c>
      <c r="AH170" s="22">
        <v>360.27499999999998</v>
      </c>
      <c r="AI170" s="22">
        <v>-1.7175300000000001E-2</v>
      </c>
      <c r="AJ170" s="22">
        <v>160</v>
      </c>
      <c r="AK170" s="22">
        <v>0.705017</v>
      </c>
      <c r="AL170">
        <f t="shared" si="30"/>
        <v>17.1753</v>
      </c>
      <c r="AM170">
        <f t="shared" si="31"/>
        <v>12.1209355407</v>
      </c>
      <c r="AP170" s="9"/>
      <c r="AQ170" s="22">
        <v>1.0243199999999999</v>
      </c>
      <c r="AR170" s="22">
        <v>438.15600000000001</v>
      </c>
      <c r="AS170" s="22">
        <v>-1.6928100000000001E-2</v>
      </c>
      <c r="AT170" s="22">
        <v>160</v>
      </c>
      <c r="AU170" s="22">
        <v>1.02325</v>
      </c>
      <c r="AV170">
        <f t="shared" si="32"/>
        <v>16.928100000000001</v>
      </c>
      <c r="AW170">
        <f t="shared" si="33"/>
        <v>17.339791391999999</v>
      </c>
      <c r="AX170" s="9"/>
      <c r="AY170" s="22">
        <v>0.70571899999999999</v>
      </c>
      <c r="AZ170" s="22">
        <v>489.17</v>
      </c>
      <c r="BA170" s="22">
        <v>-1.71906E-2</v>
      </c>
      <c r="BB170" s="22">
        <v>160</v>
      </c>
      <c r="BC170" s="22">
        <v>0.70504800000000001</v>
      </c>
      <c r="BD170">
        <f t="shared" si="34"/>
        <v>17.1906</v>
      </c>
      <c r="BE170">
        <f t="shared" si="35"/>
        <v>12.1317330414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124.447</v>
      </c>
      <c r="I171" s="22">
        <v>-1.69067E-2</v>
      </c>
      <c r="J171" s="22">
        <v>161</v>
      </c>
      <c r="K171" s="22">
        <v>1.01807</v>
      </c>
      <c r="L171">
        <f t="shared" si="24"/>
        <v>16.906700000000001</v>
      </c>
      <c r="M171">
        <f t="shared" si="25"/>
        <v>17.232830243000002</v>
      </c>
      <c r="N171" s="9"/>
      <c r="O171" s="22">
        <v>0.710754</v>
      </c>
      <c r="P171" s="22">
        <v>173.54900000000001</v>
      </c>
      <c r="Q171" s="22">
        <v>-1.7169199999999999E-2</v>
      </c>
      <c r="R171" s="22">
        <v>161</v>
      </c>
      <c r="S171" s="22">
        <v>0.70989999999999998</v>
      </c>
      <c r="T171">
        <f t="shared" si="26"/>
        <v>17.1692</v>
      </c>
      <c r="U171">
        <f t="shared" si="27"/>
        <v>12.2030775768</v>
      </c>
      <c r="X171" s="9"/>
      <c r="Y171" s="22">
        <v>1.01929</v>
      </c>
      <c r="Z171" s="22">
        <v>229.70500000000001</v>
      </c>
      <c r="AA171" s="22">
        <v>-1.69464E-2</v>
      </c>
      <c r="AB171" s="22">
        <v>161</v>
      </c>
      <c r="AC171" s="22">
        <v>1.01837</v>
      </c>
      <c r="AD171">
        <f t="shared" si="28"/>
        <v>16.946400000000001</v>
      </c>
      <c r="AE171">
        <f t="shared" si="29"/>
        <v>17.273296056</v>
      </c>
      <c r="AF171" s="9"/>
      <c r="AG171" s="22">
        <v>0.710754</v>
      </c>
      <c r="AH171" s="22">
        <v>360.37599999999998</v>
      </c>
      <c r="AI171" s="22">
        <v>-1.7169199999999999E-2</v>
      </c>
      <c r="AJ171" s="22">
        <v>161</v>
      </c>
      <c r="AK171" s="22">
        <v>0.70986899999999997</v>
      </c>
      <c r="AL171">
        <f t="shared" si="30"/>
        <v>17.1692</v>
      </c>
      <c r="AM171">
        <f t="shared" si="31"/>
        <v>12.2030775768</v>
      </c>
      <c r="AP171" s="9"/>
      <c r="AQ171" s="22">
        <v>1.01929</v>
      </c>
      <c r="AR171" s="22">
        <v>438.25700000000001</v>
      </c>
      <c r="AS171" s="22">
        <v>-1.6937299999999999E-2</v>
      </c>
      <c r="AT171" s="22">
        <v>161</v>
      </c>
      <c r="AU171" s="22">
        <v>1.01868</v>
      </c>
      <c r="AV171">
        <f t="shared" si="32"/>
        <v>16.9373</v>
      </c>
      <c r="AW171">
        <f t="shared" si="33"/>
        <v>17.264020517000002</v>
      </c>
      <c r="AX171" s="9"/>
      <c r="AY171" s="22">
        <v>0.710754</v>
      </c>
      <c r="AZ171" s="22">
        <v>489.27100000000002</v>
      </c>
      <c r="BA171" s="22">
        <v>-1.71906E-2</v>
      </c>
      <c r="BB171" s="22">
        <v>161</v>
      </c>
      <c r="BC171" s="22">
        <v>0.70996099999999995</v>
      </c>
      <c r="BD171">
        <f t="shared" si="34"/>
        <v>17.1906</v>
      </c>
      <c r="BE171">
        <f t="shared" si="35"/>
        <v>12.2182877124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124.548</v>
      </c>
      <c r="I172" s="22">
        <v>-1.6912799999999999E-2</v>
      </c>
      <c r="J172" s="22">
        <v>162</v>
      </c>
      <c r="K172" s="22">
        <v>1.01318</v>
      </c>
      <c r="L172">
        <f t="shared" si="24"/>
        <v>16.912799999999997</v>
      </c>
      <c r="M172">
        <f t="shared" si="25"/>
        <v>17.153807399999998</v>
      </c>
      <c r="N172" s="9"/>
      <c r="O172" s="22">
        <v>0.71579000000000004</v>
      </c>
      <c r="P172" s="22">
        <v>173.649</v>
      </c>
      <c r="Q172" s="22">
        <v>-1.7163100000000001E-2</v>
      </c>
      <c r="R172" s="22">
        <v>162</v>
      </c>
      <c r="S172" s="22">
        <v>0.71505700000000005</v>
      </c>
      <c r="T172">
        <f t="shared" si="26"/>
        <v>17.1631</v>
      </c>
      <c r="U172">
        <f t="shared" si="27"/>
        <v>12.285175349000001</v>
      </c>
      <c r="X172" s="9"/>
      <c r="Y172" s="22">
        <v>1.0142500000000001</v>
      </c>
      <c r="Z172" s="22">
        <v>229.80600000000001</v>
      </c>
      <c r="AA172" s="22">
        <v>-1.6949499999999999E-2</v>
      </c>
      <c r="AB172" s="22">
        <v>162</v>
      </c>
      <c r="AC172" s="22">
        <v>1.01318</v>
      </c>
      <c r="AD172">
        <f t="shared" si="28"/>
        <v>16.9495</v>
      </c>
      <c r="AE172">
        <f t="shared" si="29"/>
        <v>17.191030375</v>
      </c>
      <c r="AF172" s="9"/>
      <c r="AG172" s="22">
        <v>0.71579000000000004</v>
      </c>
      <c r="AH172" s="22">
        <v>360.476</v>
      </c>
      <c r="AI172" s="22">
        <v>-1.71661E-2</v>
      </c>
      <c r="AJ172" s="22">
        <v>162</v>
      </c>
      <c r="AK172" s="22">
        <v>0.71521000000000001</v>
      </c>
      <c r="AL172">
        <f t="shared" si="30"/>
        <v>17.1661</v>
      </c>
      <c r="AM172">
        <f t="shared" si="31"/>
        <v>12.287322719000001</v>
      </c>
      <c r="AP172" s="9"/>
      <c r="AQ172" s="22">
        <v>1.0142500000000001</v>
      </c>
      <c r="AR172" s="22">
        <v>438.358</v>
      </c>
      <c r="AS172" s="22">
        <v>-1.6937299999999999E-2</v>
      </c>
      <c r="AT172" s="22">
        <v>162</v>
      </c>
      <c r="AU172" s="22">
        <v>1.01318</v>
      </c>
      <c r="AV172">
        <f t="shared" si="32"/>
        <v>16.9373</v>
      </c>
      <c r="AW172">
        <f t="shared" si="33"/>
        <v>17.178656525000001</v>
      </c>
      <c r="AX172" s="9"/>
      <c r="AY172" s="22">
        <v>0.71579000000000004</v>
      </c>
      <c r="AZ172" s="22">
        <v>489.37099999999998</v>
      </c>
      <c r="BA172" s="22">
        <v>-1.7184399999999999E-2</v>
      </c>
      <c r="BB172" s="22">
        <v>162</v>
      </c>
      <c r="BC172" s="22">
        <v>0.71493499999999999</v>
      </c>
      <c r="BD172">
        <f t="shared" si="34"/>
        <v>17.1844</v>
      </c>
      <c r="BE172">
        <f t="shared" si="35"/>
        <v>12.300421676000001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124.648</v>
      </c>
      <c r="I173" s="22">
        <v>-1.6922E-2</v>
      </c>
      <c r="J173" s="22">
        <v>163</v>
      </c>
      <c r="K173" s="22">
        <v>1.0083</v>
      </c>
      <c r="L173">
        <f t="shared" si="24"/>
        <v>16.922000000000001</v>
      </c>
      <c r="M173">
        <f t="shared" si="25"/>
        <v>17.078020840000001</v>
      </c>
      <c r="N173" s="9"/>
      <c r="O173" s="22">
        <v>0.72082500000000005</v>
      </c>
      <c r="P173" s="22">
        <v>173.75</v>
      </c>
      <c r="Q173" s="22">
        <v>-1.7156999999999999E-2</v>
      </c>
      <c r="R173" s="22">
        <v>163</v>
      </c>
      <c r="S173" s="22">
        <v>0.72003200000000001</v>
      </c>
      <c r="T173">
        <f t="shared" si="26"/>
        <v>17.157</v>
      </c>
      <c r="U173">
        <f t="shared" si="27"/>
        <v>12.367194525</v>
      </c>
      <c r="X173" s="9"/>
      <c r="Y173" s="22">
        <v>1.00922</v>
      </c>
      <c r="Z173" s="22">
        <v>229.90700000000001</v>
      </c>
      <c r="AA173" s="22">
        <v>-1.6949499999999999E-2</v>
      </c>
      <c r="AB173" s="22">
        <v>163</v>
      </c>
      <c r="AC173" s="22">
        <v>1.00861</v>
      </c>
      <c r="AD173">
        <f t="shared" si="28"/>
        <v>16.9495</v>
      </c>
      <c r="AE173">
        <f t="shared" si="29"/>
        <v>17.105774390000001</v>
      </c>
      <c r="AF173" s="9"/>
      <c r="AG173" s="22">
        <v>0.72082500000000005</v>
      </c>
      <c r="AH173" s="22">
        <v>360.577</v>
      </c>
      <c r="AI173" s="22">
        <v>-1.7163100000000001E-2</v>
      </c>
      <c r="AJ173" s="22">
        <v>163</v>
      </c>
      <c r="AK173" s="22">
        <v>0.71994000000000002</v>
      </c>
      <c r="AL173">
        <f t="shared" si="30"/>
        <v>17.1631</v>
      </c>
      <c r="AM173">
        <f t="shared" si="31"/>
        <v>12.3715915575</v>
      </c>
      <c r="AP173" s="9"/>
      <c r="AQ173" s="22">
        <v>1.00922</v>
      </c>
      <c r="AR173" s="22">
        <v>438.45800000000003</v>
      </c>
      <c r="AS173" s="22">
        <v>-1.6943400000000001E-2</v>
      </c>
      <c r="AT173" s="22">
        <v>163</v>
      </c>
      <c r="AU173" s="22">
        <v>1.0083</v>
      </c>
      <c r="AV173">
        <f t="shared" si="32"/>
        <v>16.9434</v>
      </c>
      <c r="AW173">
        <f t="shared" si="33"/>
        <v>17.099618148000001</v>
      </c>
      <c r="AX173" s="9"/>
      <c r="AY173" s="22">
        <v>0.72082500000000005</v>
      </c>
      <c r="AZ173" s="22">
        <v>489.47199999999998</v>
      </c>
      <c r="BA173" s="22">
        <v>-1.7181399999999999E-2</v>
      </c>
      <c r="BB173" s="22">
        <v>163</v>
      </c>
      <c r="BC173" s="22">
        <v>0.72027600000000003</v>
      </c>
      <c r="BD173">
        <f t="shared" si="34"/>
        <v>17.1814</v>
      </c>
      <c r="BE173">
        <f t="shared" si="35"/>
        <v>12.384782655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124.749</v>
      </c>
      <c r="I174" s="22">
        <v>-1.6924999999999999E-2</v>
      </c>
      <c r="J174" s="22">
        <v>164</v>
      </c>
      <c r="K174" s="22">
        <v>1.00342</v>
      </c>
      <c r="L174">
        <f t="shared" si="24"/>
        <v>16.925000000000001</v>
      </c>
      <c r="M174">
        <f t="shared" si="25"/>
        <v>16.995746500000003</v>
      </c>
      <c r="N174" s="9"/>
      <c r="O174" s="22">
        <v>0.72586099999999998</v>
      </c>
      <c r="P174" s="22">
        <v>173.851</v>
      </c>
      <c r="Q174" s="22">
        <v>-1.71539E-2</v>
      </c>
      <c r="R174" s="22">
        <v>164</v>
      </c>
      <c r="S174" s="22">
        <v>0.72506700000000002</v>
      </c>
      <c r="T174">
        <f t="shared" si="26"/>
        <v>17.1539</v>
      </c>
      <c r="U174">
        <f t="shared" si="27"/>
        <v>12.451347007899999</v>
      </c>
      <c r="X174" s="9"/>
      <c r="Y174" s="22">
        <v>1.0041800000000001</v>
      </c>
      <c r="Z174" s="22">
        <v>230.00800000000001</v>
      </c>
      <c r="AA174" s="22">
        <v>-1.6955600000000001E-2</v>
      </c>
      <c r="AB174" s="22">
        <v>164</v>
      </c>
      <c r="AC174" s="22">
        <v>1.0031099999999999</v>
      </c>
      <c r="AD174">
        <f t="shared" si="28"/>
        <v>16.9556</v>
      </c>
      <c r="AE174">
        <f t="shared" si="29"/>
        <v>17.026474408000002</v>
      </c>
      <c r="AF174" s="9"/>
      <c r="AG174" s="22">
        <v>0.72586099999999998</v>
      </c>
      <c r="AH174" s="22">
        <v>360.678</v>
      </c>
      <c r="AI174" s="22">
        <v>-1.7160000000000002E-2</v>
      </c>
      <c r="AJ174" s="22">
        <v>164</v>
      </c>
      <c r="AK174" s="22">
        <v>0.725159</v>
      </c>
      <c r="AL174">
        <f t="shared" si="30"/>
        <v>17.16</v>
      </c>
      <c r="AM174">
        <f t="shared" si="31"/>
        <v>12.455774760000001</v>
      </c>
      <c r="AP174" s="9"/>
      <c r="AQ174" s="22">
        <v>1.0041800000000001</v>
      </c>
      <c r="AR174" s="22">
        <v>438.55900000000003</v>
      </c>
      <c r="AS174" s="22">
        <v>-1.6949499999999999E-2</v>
      </c>
      <c r="AT174" s="22">
        <v>164</v>
      </c>
      <c r="AU174" s="22">
        <v>1.0031099999999999</v>
      </c>
      <c r="AV174">
        <f t="shared" si="32"/>
        <v>16.9495</v>
      </c>
      <c r="AW174">
        <f t="shared" si="33"/>
        <v>17.020348910000003</v>
      </c>
      <c r="AX174" s="9"/>
      <c r="AY174" s="22">
        <v>0.72586099999999998</v>
      </c>
      <c r="AZ174" s="22">
        <v>489.57299999999998</v>
      </c>
      <c r="BA174" s="22">
        <v>-1.7178300000000001E-2</v>
      </c>
      <c r="BB174" s="22">
        <v>164</v>
      </c>
      <c r="BC174" s="22">
        <v>0.72503700000000004</v>
      </c>
      <c r="BD174">
        <f t="shared" si="34"/>
        <v>17.1783</v>
      </c>
      <c r="BE174">
        <f t="shared" si="35"/>
        <v>12.4690580163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124.85</v>
      </c>
      <c r="I175" s="22">
        <v>-1.6928100000000001E-2</v>
      </c>
      <c r="J175" s="22">
        <v>165</v>
      </c>
      <c r="K175" s="22">
        <v>0.99853499999999995</v>
      </c>
      <c r="L175">
        <f t="shared" si="24"/>
        <v>16.928100000000001</v>
      </c>
      <c r="M175">
        <f t="shared" si="25"/>
        <v>16.913643402600002</v>
      </c>
      <c r="N175" s="9"/>
      <c r="O175" s="22">
        <v>0.73089599999999999</v>
      </c>
      <c r="P175" s="22">
        <v>173.95099999999999</v>
      </c>
      <c r="Q175" s="22">
        <v>-1.71509E-2</v>
      </c>
      <c r="R175" s="22">
        <v>165</v>
      </c>
      <c r="S175" s="22">
        <v>0.73013300000000003</v>
      </c>
      <c r="T175">
        <f t="shared" si="26"/>
        <v>17.1509</v>
      </c>
      <c r="U175">
        <f t="shared" si="27"/>
        <v>12.5355242064</v>
      </c>
      <c r="X175" s="9"/>
      <c r="Y175" s="22">
        <v>0.99914599999999998</v>
      </c>
      <c r="Z175" s="22">
        <v>230.108</v>
      </c>
      <c r="AA175" s="22">
        <v>-1.69617E-2</v>
      </c>
      <c r="AB175" s="22">
        <v>165</v>
      </c>
      <c r="AC175" s="22">
        <v>0.99822999999999995</v>
      </c>
      <c r="AD175">
        <f t="shared" si="28"/>
        <v>16.9617</v>
      </c>
      <c r="AE175">
        <f t="shared" si="29"/>
        <v>16.947214708200001</v>
      </c>
      <c r="AF175" s="9"/>
      <c r="AG175" s="22">
        <v>0.73089599999999999</v>
      </c>
      <c r="AH175" s="22">
        <v>360.779</v>
      </c>
      <c r="AI175" s="22">
        <v>-1.71509E-2</v>
      </c>
      <c r="AJ175" s="22">
        <v>165</v>
      </c>
      <c r="AK175" s="22">
        <v>0.73001099999999997</v>
      </c>
      <c r="AL175">
        <f t="shared" si="30"/>
        <v>17.1509</v>
      </c>
      <c r="AM175">
        <f t="shared" si="31"/>
        <v>12.5355242064</v>
      </c>
      <c r="AP175" s="9"/>
      <c r="AQ175" s="22">
        <v>0.99914599999999998</v>
      </c>
      <c r="AR175" s="22">
        <v>438.66</v>
      </c>
      <c r="AS175" s="22">
        <v>-1.6949499999999999E-2</v>
      </c>
      <c r="AT175" s="22">
        <v>165</v>
      </c>
      <c r="AU175" s="22">
        <v>0.99792499999999995</v>
      </c>
      <c r="AV175">
        <f t="shared" si="32"/>
        <v>16.9495</v>
      </c>
      <c r="AW175">
        <f t="shared" si="33"/>
        <v>16.935025126999999</v>
      </c>
      <c r="AX175" s="9"/>
      <c r="AY175" s="22">
        <v>0.73089599999999999</v>
      </c>
      <c r="AZ175" s="22">
        <v>489.67399999999998</v>
      </c>
      <c r="BA175" s="22">
        <v>-1.7169199999999999E-2</v>
      </c>
      <c r="BB175" s="22">
        <v>165</v>
      </c>
      <c r="BC175" s="22">
        <v>0.73028599999999999</v>
      </c>
      <c r="BD175">
        <f t="shared" si="34"/>
        <v>17.1692</v>
      </c>
      <c r="BE175">
        <f t="shared" si="35"/>
        <v>12.548899603200001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124.95</v>
      </c>
      <c r="I176" s="22">
        <v>-1.6928100000000001E-2</v>
      </c>
      <c r="J176" s="22">
        <v>166</v>
      </c>
      <c r="K176" s="22">
        <v>0.99395800000000001</v>
      </c>
      <c r="L176">
        <f t="shared" si="24"/>
        <v>16.928100000000001</v>
      </c>
      <c r="M176">
        <f t="shared" si="25"/>
        <v>16.828393491</v>
      </c>
      <c r="N176" s="9"/>
      <c r="O176" s="22">
        <v>0.735931</v>
      </c>
      <c r="P176" s="22">
        <v>174.05199999999999</v>
      </c>
      <c r="Q176" s="22">
        <v>-1.7144800000000002E-2</v>
      </c>
      <c r="R176" s="22">
        <v>166</v>
      </c>
      <c r="S176" s="22">
        <v>0.73522900000000002</v>
      </c>
      <c r="T176">
        <f t="shared" si="26"/>
        <v>17.1448</v>
      </c>
      <c r="U176">
        <f t="shared" si="27"/>
        <v>12.6173898088</v>
      </c>
      <c r="X176" s="9"/>
      <c r="Y176" s="22">
        <v>0.99411000000000005</v>
      </c>
      <c r="Z176" s="22">
        <v>230.209</v>
      </c>
      <c r="AA176" s="22">
        <v>-1.6964699999999999E-2</v>
      </c>
      <c r="AB176" s="22">
        <v>166</v>
      </c>
      <c r="AC176" s="22">
        <v>0.99304199999999998</v>
      </c>
      <c r="AD176">
        <f t="shared" si="28"/>
        <v>16.964700000000001</v>
      </c>
      <c r="AE176">
        <f t="shared" si="29"/>
        <v>16.864777917000001</v>
      </c>
      <c r="AF176" s="9"/>
      <c r="AG176" s="22">
        <v>0.735931</v>
      </c>
      <c r="AH176" s="22">
        <v>360.87900000000002</v>
      </c>
      <c r="AI176" s="22">
        <v>-1.7144800000000002E-2</v>
      </c>
      <c r="AJ176" s="22">
        <v>166</v>
      </c>
      <c r="AK176" s="22">
        <v>0.73529100000000003</v>
      </c>
      <c r="AL176">
        <f t="shared" si="30"/>
        <v>17.1448</v>
      </c>
      <c r="AM176">
        <f t="shared" si="31"/>
        <v>12.6173898088</v>
      </c>
      <c r="AP176" s="9"/>
      <c r="AQ176" s="22">
        <v>0.99411000000000005</v>
      </c>
      <c r="AR176" s="22">
        <v>438.76100000000002</v>
      </c>
      <c r="AS176" s="22">
        <v>-1.6955600000000001E-2</v>
      </c>
      <c r="AT176" s="22">
        <v>166</v>
      </c>
      <c r="AU176" s="22">
        <v>0.99334699999999998</v>
      </c>
      <c r="AV176">
        <f t="shared" si="32"/>
        <v>16.9556</v>
      </c>
      <c r="AW176">
        <f t="shared" si="33"/>
        <v>16.855731516000002</v>
      </c>
      <c r="AX176" s="9"/>
      <c r="AY176" s="22">
        <v>0.735931</v>
      </c>
      <c r="AZ176" s="22">
        <v>489.774</v>
      </c>
      <c r="BA176" s="22">
        <v>-1.7169199999999999E-2</v>
      </c>
      <c r="BB176" s="22">
        <v>166</v>
      </c>
      <c r="BC176" s="22">
        <v>0.73535200000000001</v>
      </c>
      <c r="BD176">
        <f t="shared" si="34"/>
        <v>17.1692</v>
      </c>
      <c r="BE176">
        <f t="shared" si="35"/>
        <v>12.635346525199999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125.051</v>
      </c>
      <c r="I177" s="22">
        <v>-1.69312E-2</v>
      </c>
      <c r="J177" s="22">
        <v>167</v>
      </c>
      <c r="K177" s="22">
        <v>0.98815900000000001</v>
      </c>
      <c r="L177">
        <f t="shared" si="24"/>
        <v>16.9312</v>
      </c>
      <c r="M177">
        <f t="shared" si="25"/>
        <v>16.74622664</v>
      </c>
      <c r="N177" s="9"/>
      <c r="O177" s="22">
        <v>0.74096700000000004</v>
      </c>
      <c r="P177" s="22">
        <v>174.15299999999999</v>
      </c>
      <c r="Q177" s="22">
        <v>-1.7144800000000002E-2</v>
      </c>
      <c r="R177" s="22">
        <v>167</v>
      </c>
      <c r="S177" s="22">
        <v>0.74020399999999997</v>
      </c>
      <c r="T177">
        <f t="shared" si="26"/>
        <v>17.1448</v>
      </c>
      <c r="U177">
        <f t="shared" si="27"/>
        <v>12.703731021600001</v>
      </c>
      <c r="X177" s="9"/>
      <c r="Y177" s="22">
        <v>0.98907500000000004</v>
      </c>
      <c r="Z177" s="22">
        <v>230.31</v>
      </c>
      <c r="AA177" s="22">
        <v>-1.6970800000000001E-2</v>
      </c>
      <c r="AB177" s="22">
        <v>167</v>
      </c>
      <c r="AC177" s="22">
        <v>0.98846400000000001</v>
      </c>
      <c r="AD177">
        <f t="shared" si="28"/>
        <v>16.970800000000001</v>
      </c>
      <c r="AE177">
        <f t="shared" si="29"/>
        <v>16.785394010000001</v>
      </c>
      <c r="AF177" s="9"/>
      <c r="AG177" s="22">
        <v>0.74096700000000004</v>
      </c>
      <c r="AH177" s="22">
        <v>360.98</v>
      </c>
      <c r="AI177" s="22">
        <v>-1.7144800000000002E-2</v>
      </c>
      <c r="AJ177" s="22">
        <v>167</v>
      </c>
      <c r="AK177" s="22">
        <v>0.74017299999999997</v>
      </c>
      <c r="AL177">
        <f t="shared" si="30"/>
        <v>17.1448</v>
      </c>
      <c r="AM177">
        <f t="shared" si="31"/>
        <v>12.703731021600001</v>
      </c>
      <c r="AP177" s="9"/>
      <c r="AQ177" s="22">
        <v>0.98907500000000004</v>
      </c>
      <c r="AR177" s="22">
        <v>438.86099999999999</v>
      </c>
      <c r="AS177" s="22">
        <v>-1.69617E-2</v>
      </c>
      <c r="AT177" s="22">
        <v>167</v>
      </c>
      <c r="AU177" s="22">
        <v>0.98815900000000001</v>
      </c>
      <c r="AV177">
        <f t="shared" si="32"/>
        <v>16.9617</v>
      </c>
      <c r="AW177">
        <f t="shared" si="33"/>
        <v>16.7763934275</v>
      </c>
      <c r="AX177" s="9"/>
      <c r="AY177" s="22">
        <v>0.74096700000000004</v>
      </c>
      <c r="AZ177" s="22">
        <v>489.875</v>
      </c>
      <c r="BA177" s="22">
        <v>-1.7169199999999999E-2</v>
      </c>
      <c r="BB177" s="22">
        <v>167</v>
      </c>
      <c r="BC177" s="22">
        <v>0.740143</v>
      </c>
      <c r="BD177">
        <f t="shared" si="34"/>
        <v>17.1692</v>
      </c>
      <c r="BE177">
        <f t="shared" si="35"/>
        <v>12.721810616400001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125.152</v>
      </c>
      <c r="I178" s="22">
        <v>-1.6940299999999998E-2</v>
      </c>
      <c r="J178" s="22">
        <v>168</v>
      </c>
      <c r="K178" s="22">
        <v>0.98297100000000004</v>
      </c>
      <c r="L178">
        <f t="shared" si="24"/>
        <v>16.940299999999997</v>
      </c>
      <c r="M178">
        <f t="shared" si="25"/>
        <v>16.669915871699995</v>
      </c>
      <c r="N178" s="9"/>
      <c r="O178" s="22">
        <v>0.74600200000000005</v>
      </c>
      <c r="P178" s="22">
        <v>174.25399999999999</v>
      </c>
      <c r="Q178" s="22">
        <v>-1.71387E-2</v>
      </c>
      <c r="R178" s="22">
        <v>168</v>
      </c>
      <c r="S178" s="22">
        <v>0.74533099999999997</v>
      </c>
      <c r="T178">
        <f t="shared" si="26"/>
        <v>17.1387</v>
      </c>
      <c r="U178">
        <f t="shared" si="27"/>
        <v>12.785504477400002</v>
      </c>
      <c r="X178" s="9"/>
      <c r="Y178" s="22">
        <v>0.984039</v>
      </c>
      <c r="Z178" s="22">
        <v>230.41</v>
      </c>
      <c r="AA178" s="22">
        <v>-1.69739E-2</v>
      </c>
      <c r="AB178" s="22">
        <v>168</v>
      </c>
      <c r="AC178" s="22">
        <v>0.98327600000000004</v>
      </c>
      <c r="AD178">
        <f t="shared" si="28"/>
        <v>16.9739</v>
      </c>
      <c r="AE178">
        <f t="shared" si="29"/>
        <v>16.702979582099999</v>
      </c>
      <c r="AF178" s="9"/>
      <c r="AG178" s="22">
        <v>0.74600200000000005</v>
      </c>
      <c r="AH178" s="22">
        <v>361.08100000000002</v>
      </c>
      <c r="AI178" s="22">
        <v>-1.71387E-2</v>
      </c>
      <c r="AJ178" s="22">
        <v>168</v>
      </c>
      <c r="AK178" s="22">
        <v>0.74523899999999998</v>
      </c>
      <c r="AL178">
        <f t="shared" si="30"/>
        <v>17.1387</v>
      </c>
      <c r="AM178">
        <f t="shared" si="31"/>
        <v>12.785504477400002</v>
      </c>
      <c r="AP178" s="9"/>
      <c r="AQ178" s="22">
        <v>0.984039</v>
      </c>
      <c r="AR178" s="22">
        <v>438.96199999999999</v>
      </c>
      <c r="AS178" s="22">
        <v>-1.6964699999999999E-2</v>
      </c>
      <c r="AT178" s="22">
        <v>168</v>
      </c>
      <c r="AU178" s="22">
        <v>0.98327600000000004</v>
      </c>
      <c r="AV178">
        <f t="shared" si="32"/>
        <v>16.964700000000001</v>
      </c>
      <c r="AW178">
        <f t="shared" si="33"/>
        <v>16.693926423299999</v>
      </c>
      <c r="AX178" s="9"/>
      <c r="AY178" s="22">
        <v>0.74600200000000005</v>
      </c>
      <c r="AZ178" s="22">
        <v>489.976</v>
      </c>
      <c r="BA178" s="22">
        <v>-1.7160000000000002E-2</v>
      </c>
      <c r="BB178" s="22">
        <v>168</v>
      </c>
      <c r="BC178" s="22">
        <v>0.74523899999999998</v>
      </c>
      <c r="BD178">
        <f t="shared" si="34"/>
        <v>17.16</v>
      </c>
      <c r="BE178">
        <f t="shared" si="35"/>
        <v>12.801394320000002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125.253</v>
      </c>
      <c r="I179" s="22">
        <v>-1.6943400000000001E-2</v>
      </c>
      <c r="J179" s="22">
        <v>169</v>
      </c>
      <c r="K179" s="22">
        <v>0.97839399999999999</v>
      </c>
      <c r="L179">
        <f t="shared" si="24"/>
        <v>16.9434</v>
      </c>
      <c r="M179">
        <f t="shared" si="25"/>
        <v>16.587656373600002</v>
      </c>
      <c r="N179" s="9"/>
      <c r="O179" s="22">
        <v>0.75103799999999998</v>
      </c>
      <c r="P179" s="22">
        <v>174.35400000000001</v>
      </c>
      <c r="Q179" s="22">
        <v>-1.71387E-2</v>
      </c>
      <c r="R179" s="22">
        <v>169</v>
      </c>
      <c r="S179" s="22">
        <v>0.75018300000000004</v>
      </c>
      <c r="T179">
        <f t="shared" si="26"/>
        <v>17.1387</v>
      </c>
      <c r="U179">
        <f t="shared" si="27"/>
        <v>12.871814970599999</v>
      </c>
      <c r="X179" s="9"/>
      <c r="Y179" s="22">
        <v>0.97900399999999999</v>
      </c>
      <c r="Z179" s="22">
        <v>230.511</v>
      </c>
      <c r="AA179" s="22">
        <v>-1.69739E-2</v>
      </c>
      <c r="AB179" s="22">
        <v>169</v>
      </c>
      <c r="AC179" s="22">
        <v>0.97747799999999996</v>
      </c>
      <c r="AD179">
        <f t="shared" si="28"/>
        <v>16.9739</v>
      </c>
      <c r="AE179">
        <f t="shared" si="29"/>
        <v>16.617515995600002</v>
      </c>
      <c r="AF179" s="9"/>
      <c r="AG179" s="22">
        <v>0.75103799999999998</v>
      </c>
      <c r="AH179" s="22">
        <v>361.18099999999998</v>
      </c>
      <c r="AI179" s="22">
        <v>-1.7135600000000001E-2</v>
      </c>
      <c r="AJ179" s="22">
        <v>169</v>
      </c>
      <c r="AK179" s="22">
        <v>0.75024400000000002</v>
      </c>
      <c r="AL179">
        <f t="shared" si="30"/>
        <v>17.1356</v>
      </c>
      <c r="AM179">
        <f t="shared" si="31"/>
        <v>12.8694867528</v>
      </c>
      <c r="AP179" s="9"/>
      <c r="AQ179" s="22">
        <v>0.97900399999999999</v>
      </c>
      <c r="AR179" s="22">
        <v>439.06299999999999</v>
      </c>
      <c r="AS179" s="22">
        <v>-1.6967800000000002E-2</v>
      </c>
      <c r="AT179" s="22">
        <v>169</v>
      </c>
      <c r="AU179" s="22">
        <v>0.97808799999999996</v>
      </c>
      <c r="AV179">
        <f t="shared" si="32"/>
        <v>16.9678</v>
      </c>
      <c r="AW179">
        <f t="shared" si="33"/>
        <v>16.611544071200001</v>
      </c>
      <c r="AX179" s="9"/>
      <c r="AY179" s="22">
        <v>0.75103799999999998</v>
      </c>
      <c r="AZ179" s="22">
        <v>490.07600000000002</v>
      </c>
      <c r="BA179" s="22">
        <v>-1.7160000000000002E-2</v>
      </c>
      <c r="BB179" s="22">
        <v>169</v>
      </c>
      <c r="BC179" s="22">
        <v>0.75027500000000003</v>
      </c>
      <c r="BD179">
        <f t="shared" si="34"/>
        <v>17.16</v>
      </c>
      <c r="BE179">
        <f t="shared" si="35"/>
        <v>12.88781208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125.35299999999999</v>
      </c>
      <c r="I180" s="22">
        <v>-1.6949499999999999E-2</v>
      </c>
      <c r="J180" s="22">
        <v>170</v>
      </c>
      <c r="K180" s="22">
        <v>0.97320600000000002</v>
      </c>
      <c r="L180">
        <f t="shared" si="24"/>
        <v>16.9495</v>
      </c>
      <c r="M180">
        <f t="shared" si="25"/>
        <v>16.508287565500002</v>
      </c>
      <c r="N180" s="9"/>
      <c r="O180" s="22">
        <v>0.756073</v>
      </c>
      <c r="P180" s="22">
        <v>174.45500000000001</v>
      </c>
      <c r="Q180" s="22">
        <v>-1.7132600000000001E-2</v>
      </c>
      <c r="R180" s="22">
        <v>170</v>
      </c>
      <c r="S180" s="22">
        <v>0.75500500000000004</v>
      </c>
      <c r="T180">
        <f t="shared" si="26"/>
        <v>17.1326</v>
      </c>
      <c r="U180">
        <f t="shared" si="27"/>
        <v>12.9534962798</v>
      </c>
      <c r="X180" s="9"/>
      <c r="Y180" s="22">
        <v>0.97396899999999997</v>
      </c>
      <c r="Z180" s="22">
        <v>230.61199999999999</v>
      </c>
      <c r="AA180" s="22">
        <v>-1.6979999999999999E-2</v>
      </c>
      <c r="AB180" s="22">
        <v>170</v>
      </c>
      <c r="AC180" s="22">
        <v>0.97259499999999999</v>
      </c>
      <c r="AD180">
        <f t="shared" si="28"/>
        <v>16.979999999999997</v>
      </c>
      <c r="AE180">
        <f t="shared" si="29"/>
        <v>16.537993619999998</v>
      </c>
      <c r="AF180" s="9"/>
      <c r="AG180" s="22">
        <v>0.756073</v>
      </c>
      <c r="AH180" s="22">
        <v>361.28199999999998</v>
      </c>
      <c r="AI180" s="22">
        <v>-1.7135600000000001E-2</v>
      </c>
      <c r="AJ180" s="22">
        <v>170</v>
      </c>
      <c r="AK180" s="22">
        <v>0.75561500000000004</v>
      </c>
      <c r="AL180">
        <f t="shared" si="30"/>
        <v>17.1356</v>
      </c>
      <c r="AM180">
        <f t="shared" si="31"/>
        <v>12.955764498800001</v>
      </c>
      <c r="AP180" s="9"/>
      <c r="AQ180" s="22">
        <v>0.97396899999999997</v>
      </c>
      <c r="AR180" s="22">
        <v>439.16300000000001</v>
      </c>
      <c r="AS180" s="22">
        <v>-1.6970800000000001E-2</v>
      </c>
      <c r="AT180" s="22">
        <v>170</v>
      </c>
      <c r="AU180" s="22">
        <v>0.97259499999999999</v>
      </c>
      <c r="AV180">
        <f t="shared" si="32"/>
        <v>16.970800000000001</v>
      </c>
      <c r="AW180">
        <f t="shared" si="33"/>
        <v>16.5290331052</v>
      </c>
      <c r="AX180" s="9"/>
      <c r="AY180" s="22">
        <v>0.756073</v>
      </c>
      <c r="AZ180" s="22">
        <v>490.17700000000002</v>
      </c>
      <c r="BA180" s="22">
        <v>-1.71539E-2</v>
      </c>
      <c r="BB180" s="22">
        <v>170</v>
      </c>
      <c r="BC180" s="22">
        <v>0.75592000000000004</v>
      </c>
      <c r="BD180">
        <f t="shared" si="34"/>
        <v>17.1539</v>
      </c>
      <c r="BE180">
        <f t="shared" si="35"/>
        <v>12.969600634700001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125.45399999999999</v>
      </c>
      <c r="I181" s="22">
        <v>-1.6955600000000001E-2</v>
      </c>
      <c r="J181" s="22">
        <v>171</v>
      </c>
      <c r="K181" s="22">
        <v>0.96832300000000004</v>
      </c>
      <c r="L181">
        <f t="shared" si="24"/>
        <v>16.9556</v>
      </c>
      <c r="M181">
        <f t="shared" si="25"/>
        <v>16.4288403748</v>
      </c>
      <c r="N181" s="9"/>
      <c r="O181" s="22">
        <v>0.76110800000000001</v>
      </c>
      <c r="P181" s="22">
        <v>174.55600000000001</v>
      </c>
      <c r="Q181" s="22">
        <v>-1.7126499999999999E-2</v>
      </c>
      <c r="R181" s="22">
        <v>171</v>
      </c>
      <c r="S181" s="22">
        <v>0.75927699999999998</v>
      </c>
      <c r="T181">
        <f t="shared" si="26"/>
        <v>17.1265</v>
      </c>
      <c r="U181">
        <f t="shared" si="27"/>
        <v>13.035116162</v>
      </c>
      <c r="X181" s="9"/>
      <c r="Y181" s="22">
        <v>0.96893300000000004</v>
      </c>
      <c r="Z181" s="22">
        <v>230.71299999999999</v>
      </c>
      <c r="AA181" s="22">
        <v>-1.6983000000000002E-2</v>
      </c>
      <c r="AB181" s="22">
        <v>171</v>
      </c>
      <c r="AC181" s="22">
        <v>0.96801800000000005</v>
      </c>
      <c r="AD181">
        <f t="shared" si="28"/>
        <v>16.983000000000001</v>
      </c>
      <c r="AE181">
        <f t="shared" si="29"/>
        <v>16.455389139000001</v>
      </c>
      <c r="AF181" s="9"/>
      <c r="AG181" s="22">
        <v>0.76110800000000001</v>
      </c>
      <c r="AH181" s="22">
        <v>361.38299999999998</v>
      </c>
      <c r="AI181" s="22">
        <v>-1.7129499999999999E-2</v>
      </c>
      <c r="AJ181" s="22">
        <v>171</v>
      </c>
      <c r="AK181" s="22">
        <v>0.75988800000000001</v>
      </c>
      <c r="AL181">
        <f t="shared" si="30"/>
        <v>17.1295</v>
      </c>
      <c r="AM181">
        <f t="shared" si="31"/>
        <v>13.037399486</v>
      </c>
      <c r="AP181" s="9"/>
      <c r="AQ181" s="22">
        <v>0.96893300000000004</v>
      </c>
      <c r="AR181" s="22">
        <v>439.26400000000001</v>
      </c>
      <c r="AS181" s="22">
        <v>-1.6979999999999999E-2</v>
      </c>
      <c r="AT181" s="22">
        <v>171</v>
      </c>
      <c r="AU181" s="22">
        <v>0.96740700000000002</v>
      </c>
      <c r="AV181">
        <f t="shared" si="32"/>
        <v>16.979999999999997</v>
      </c>
      <c r="AW181">
        <f t="shared" si="33"/>
        <v>16.452482339999996</v>
      </c>
      <c r="AX181" s="9"/>
      <c r="AY181" s="22">
        <v>0.76110800000000001</v>
      </c>
      <c r="AZ181" s="22">
        <v>490.27800000000002</v>
      </c>
      <c r="BA181" s="22">
        <v>-1.7147800000000001E-2</v>
      </c>
      <c r="BB181" s="22">
        <v>171</v>
      </c>
      <c r="BC181" s="22">
        <v>0.76049800000000001</v>
      </c>
      <c r="BD181">
        <f t="shared" si="34"/>
        <v>17.1478</v>
      </c>
      <c r="BE181">
        <f t="shared" si="35"/>
        <v>13.0513277624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125.55500000000001</v>
      </c>
      <c r="I182" s="22">
        <v>-1.6958600000000001E-2</v>
      </c>
      <c r="J182" s="22">
        <v>172</v>
      </c>
      <c r="K182" s="22">
        <v>0.96282999999999996</v>
      </c>
      <c r="L182">
        <f t="shared" si="24"/>
        <v>16.958600000000001</v>
      </c>
      <c r="M182">
        <f t="shared" si="25"/>
        <v>16.346360622800002</v>
      </c>
      <c r="N182" s="9"/>
      <c r="O182" s="22">
        <v>0.76614400000000005</v>
      </c>
      <c r="P182" s="22">
        <v>174.65600000000001</v>
      </c>
      <c r="Q182" s="22">
        <v>-1.7126499999999999E-2</v>
      </c>
      <c r="R182" s="22">
        <v>172</v>
      </c>
      <c r="S182" s="22">
        <v>0.76507599999999998</v>
      </c>
      <c r="T182">
        <f t="shared" si="26"/>
        <v>17.1265</v>
      </c>
      <c r="U182">
        <f t="shared" si="27"/>
        <v>13.121365216000001</v>
      </c>
      <c r="X182" s="9"/>
      <c r="Y182" s="22">
        <v>0.96389800000000003</v>
      </c>
      <c r="Z182" s="22">
        <v>230.81299999999999</v>
      </c>
      <c r="AA182" s="22">
        <v>-1.69891E-2</v>
      </c>
      <c r="AB182" s="22">
        <v>172</v>
      </c>
      <c r="AC182" s="22">
        <v>0.96191400000000005</v>
      </c>
      <c r="AD182">
        <f t="shared" si="28"/>
        <v>16.989100000000001</v>
      </c>
      <c r="AE182">
        <f t="shared" si="29"/>
        <v>16.375759511800002</v>
      </c>
      <c r="AF182" s="9"/>
      <c r="AG182" s="22">
        <v>0.76614400000000005</v>
      </c>
      <c r="AH182" s="22">
        <v>361.483</v>
      </c>
      <c r="AI182" s="22">
        <v>-1.7126499999999999E-2</v>
      </c>
      <c r="AJ182" s="22">
        <v>172</v>
      </c>
      <c r="AK182" s="22">
        <v>0.76538099999999998</v>
      </c>
      <c r="AL182">
        <f t="shared" si="30"/>
        <v>17.1265</v>
      </c>
      <c r="AM182">
        <f t="shared" si="31"/>
        <v>13.121365216000001</v>
      </c>
      <c r="AP182" s="9"/>
      <c r="AQ182" s="22">
        <v>0.96389800000000003</v>
      </c>
      <c r="AR182" s="22">
        <v>439.36500000000001</v>
      </c>
      <c r="AS182" s="22">
        <v>-1.6983000000000002E-2</v>
      </c>
      <c r="AT182" s="22">
        <v>172</v>
      </c>
      <c r="AU182" s="22">
        <v>0.96221900000000005</v>
      </c>
      <c r="AV182">
        <f t="shared" si="32"/>
        <v>16.983000000000001</v>
      </c>
      <c r="AW182">
        <f t="shared" si="33"/>
        <v>16.369879734000001</v>
      </c>
      <c r="AX182" s="9"/>
      <c r="AY182" s="22">
        <v>0.76614400000000005</v>
      </c>
      <c r="AZ182" s="22">
        <v>490.37900000000002</v>
      </c>
      <c r="BA182" s="22">
        <v>-1.7147800000000001E-2</v>
      </c>
      <c r="BB182" s="22">
        <v>172</v>
      </c>
      <c r="BC182" s="22">
        <v>0.76538099999999998</v>
      </c>
      <c r="BD182">
        <f t="shared" si="34"/>
        <v>17.1478</v>
      </c>
      <c r="BE182">
        <f t="shared" si="35"/>
        <v>13.137684083200002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125.655</v>
      </c>
      <c r="I183" s="22">
        <v>-1.6964699999999999E-2</v>
      </c>
      <c r="J183" s="22">
        <v>173</v>
      </c>
      <c r="K183" s="22">
        <v>0.95764199999999999</v>
      </c>
      <c r="L183">
        <f t="shared" si="24"/>
        <v>16.964700000000001</v>
      </c>
      <c r="M183">
        <f t="shared" si="25"/>
        <v>16.266806171399999</v>
      </c>
      <c r="N183" s="9"/>
      <c r="O183" s="22">
        <v>0.77117899999999995</v>
      </c>
      <c r="P183" s="22">
        <v>174.75700000000001</v>
      </c>
      <c r="Q183" s="22">
        <v>-1.7120400000000001E-2</v>
      </c>
      <c r="R183" s="22">
        <v>173</v>
      </c>
      <c r="S183" s="22">
        <v>0.77026399999999995</v>
      </c>
      <c r="T183">
        <f t="shared" si="26"/>
        <v>17.1204</v>
      </c>
      <c r="U183">
        <f t="shared" si="27"/>
        <v>13.202892951599999</v>
      </c>
      <c r="X183" s="9"/>
      <c r="Y183" s="22">
        <v>0.95886199999999999</v>
      </c>
      <c r="Z183" s="22">
        <v>230.91399999999999</v>
      </c>
      <c r="AA183" s="22">
        <v>-1.6995199999999999E-2</v>
      </c>
      <c r="AB183" s="22">
        <v>173</v>
      </c>
      <c r="AC183" s="22">
        <v>0.95794699999999999</v>
      </c>
      <c r="AD183">
        <f t="shared" si="28"/>
        <v>16.995199999999997</v>
      </c>
      <c r="AE183">
        <f t="shared" si="29"/>
        <v>16.296051462399998</v>
      </c>
      <c r="AF183" s="9"/>
      <c r="AG183" s="22">
        <v>0.77117899999999995</v>
      </c>
      <c r="AH183" s="22">
        <v>361.584</v>
      </c>
      <c r="AI183" s="22">
        <v>-1.71234E-2</v>
      </c>
      <c r="AJ183" s="22">
        <v>173</v>
      </c>
      <c r="AK183" s="22">
        <v>0.77056899999999995</v>
      </c>
      <c r="AL183">
        <f t="shared" si="30"/>
        <v>17.1234</v>
      </c>
      <c r="AM183">
        <f t="shared" si="31"/>
        <v>13.2052064886</v>
      </c>
      <c r="AP183" s="9"/>
      <c r="AQ183" s="22">
        <v>0.95886199999999999</v>
      </c>
      <c r="AR183" s="22">
        <v>439.46499999999997</v>
      </c>
      <c r="AS183" s="22">
        <v>-1.6983000000000002E-2</v>
      </c>
      <c r="AT183" s="22">
        <v>173</v>
      </c>
      <c r="AU183" s="22">
        <v>0.95733599999999996</v>
      </c>
      <c r="AV183">
        <f t="shared" si="32"/>
        <v>16.983000000000001</v>
      </c>
      <c r="AW183">
        <f t="shared" si="33"/>
        <v>16.284353346</v>
      </c>
      <c r="AX183" s="9"/>
      <c r="AY183" s="22">
        <v>0.77117899999999995</v>
      </c>
      <c r="AZ183" s="22">
        <v>490.47899999999998</v>
      </c>
      <c r="BA183" s="22">
        <v>-1.7144800000000002E-2</v>
      </c>
      <c r="BB183" s="22">
        <v>173</v>
      </c>
      <c r="BC183" s="22">
        <v>0.77056899999999995</v>
      </c>
      <c r="BD183">
        <f t="shared" si="34"/>
        <v>17.1448</v>
      </c>
      <c r="BE183">
        <f t="shared" si="35"/>
        <v>13.2217097192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125.756</v>
      </c>
      <c r="I184" s="22">
        <v>-1.6967800000000002E-2</v>
      </c>
      <c r="J184" s="22">
        <v>174</v>
      </c>
      <c r="K184" s="22">
        <v>0.95245400000000002</v>
      </c>
      <c r="L184">
        <f t="shared" si="24"/>
        <v>16.9678</v>
      </c>
      <c r="M184">
        <f t="shared" si="25"/>
        <v>16.1843457706</v>
      </c>
      <c r="N184" s="9"/>
      <c r="O184" s="22">
        <v>0.77621499999999999</v>
      </c>
      <c r="P184" s="22">
        <v>174.858</v>
      </c>
      <c r="Q184" s="22">
        <v>-1.7114299999999999E-2</v>
      </c>
      <c r="R184" s="22">
        <v>174</v>
      </c>
      <c r="S184" s="22">
        <v>0.77545200000000003</v>
      </c>
      <c r="T184">
        <f t="shared" si="26"/>
        <v>17.1143</v>
      </c>
      <c r="U184">
        <f t="shared" si="27"/>
        <v>13.284376374499999</v>
      </c>
      <c r="X184" s="9"/>
      <c r="Y184" s="22">
        <v>0.95382699999999998</v>
      </c>
      <c r="Z184" s="22">
        <v>231.01499999999999</v>
      </c>
      <c r="AA184" s="22">
        <v>-1.6998300000000001E-2</v>
      </c>
      <c r="AB184" s="22">
        <v>174</v>
      </c>
      <c r="AC184" s="22">
        <v>0.95275900000000002</v>
      </c>
      <c r="AD184">
        <f t="shared" si="28"/>
        <v>16.9983</v>
      </c>
      <c r="AE184">
        <f t="shared" si="29"/>
        <v>16.213437494099999</v>
      </c>
      <c r="AF184" s="9"/>
      <c r="AG184" s="22">
        <v>0.77621499999999999</v>
      </c>
      <c r="AH184" s="22">
        <v>361.685</v>
      </c>
      <c r="AI184" s="22">
        <v>-1.7120400000000001E-2</v>
      </c>
      <c r="AJ184" s="22">
        <v>174</v>
      </c>
      <c r="AK184" s="22">
        <v>0.774841</v>
      </c>
      <c r="AL184">
        <f t="shared" si="30"/>
        <v>17.1204</v>
      </c>
      <c r="AM184">
        <f t="shared" si="31"/>
        <v>13.289111286000001</v>
      </c>
      <c r="AP184" s="9"/>
      <c r="AQ184" s="22">
        <v>0.95382699999999998</v>
      </c>
      <c r="AR184" s="22">
        <v>439.56599999999997</v>
      </c>
      <c r="AS184" s="22">
        <v>-1.6992199999999999E-2</v>
      </c>
      <c r="AT184" s="22">
        <v>174</v>
      </c>
      <c r="AU184" s="22">
        <v>0.95306400000000002</v>
      </c>
      <c r="AV184">
        <f t="shared" si="32"/>
        <v>16.9922</v>
      </c>
      <c r="AW184">
        <f t="shared" si="33"/>
        <v>16.207619149399999</v>
      </c>
      <c r="AX184" s="9"/>
      <c r="AY184" s="22">
        <v>0.77621499999999999</v>
      </c>
      <c r="AZ184" s="22">
        <v>490.58</v>
      </c>
      <c r="BA184" s="22">
        <v>-1.7144800000000002E-2</v>
      </c>
      <c r="BB184" s="22">
        <v>174</v>
      </c>
      <c r="BC184" s="22">
        <v>0.775146</v>
      </c>
      <c r="BD184">
        <f t="shared" si="34"/>
        <v>17.1448</v>
      </c>
      <c r="BE184">
        <f t="shared" si="35"/>
        <v>13.308050932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125.857</v>
      </c>
      <c r="I185" s="22">
        <v>-1.6967800000000002E-2</v>
      </c>
      <c r="J185" s="22">
        <v>175</v>
      </c>
      <c r="K185" s="22">
        <v>0.94726600000000005</v>
      </c>
      <c r="L185">
        <f t="shared" si="24"/>
        <v>16.9678</v>
      </c>
      <c r="M185">
        <f t="shared" si="25"/>
        <v>16.098912897599998</v>
      </c>
      <c r="N185" s="9"/>
      <c r="O185" s="22">
        <v>0.78125</v>
      </c>
      <c r="P185" s="22">
        <v>174.959</v>
      </c>
      <c r="Q185" s="22">
        <v>-1.71112E-2</v>
      </c>
      <c r="R185" s="22">
        <v>175</v>
      </c>
      <c r="S185" s="22">
        <v>0.78064</v>
      </c>
      <c r="T185">
        <f t="shared" si="26"/>
        <v>17.1112</v>
      </c>
      <c r="U185">
        <f t="shared" si="27"/>
        <v>13.368125000000001</v>
      </c>
      <c r="X185" s="9"/>
      <c r="Y185" s="22">
        <v>0.94879199999999997</v>
      </c>
      <c r="Z185" s="22">
        <v>231.11500000000001</v>
      </c>
      <c r="AA185" s="22">
        <v>-1.70013E-2</v>
      </c>
      <c r="AB185" s="22">
        <v>175</v>
      </c>
      <c r="AC185" s="22">
        <v>0.94818100000000005</v>
      </c>
      <c r="AD185">
        <f t="shared" si="28"/>
        <v>17.001300000000001</v>
      </c>
      <c r="AE185">
        <f t="shared" si="29"/>
        <v>16.130697429600001</v>
      </c>
      <c r="AF185" s="9"/>
      <c r="AG185" s="22">
        <v>0.78125</v>
      </c>
      <c r="AH185" s="22">
        <v>361.786</v>
      </c>
      <c r="AI185" s="22">
        <v>-1.7117299999999998E-2</v>
      </c>
      <c r="AJ185" s="22">
        <v>175</v>
      </c>
      <c r="AK185" s="22">
        <v>0.780945</v>
      </c>
      <c r="AL185">
        <f t="shared" si="30"/>
        <v>17.1173</v>
      </c>
      <c r="AM185">
        <f t="shared" si="31"/>
        <v>13.372890625</v>
      </c>
      <c r="AP185" s="9"/>
      <c r="AQ185" s="22">
        <v>0.94879199999999997</v>
      </c>
      <c r="AR185" s="22">
        <v>439.66699999999997</v>
      </c>
      <c r="AS185" s="22">
        <v>-1.6995199999999999E-2</v>
      </c>
      <c r="AT185" s="22">
        <v>175</v>
      </c>
      <c r="AU185" s="22">
        <v>0.94757100000000005</v>
      </c>
      <c r="AV185">
        <f t="shared" si="32"/>
        <v>16.995199999999997</v>
      </c>
      <c r="AW185">
        <f t="shared" si="33"/>
        <v>16.124909798399997</v>
      </c>
      <c r="AX185" s="9"/>
      <c r="AY185" s="22">
        <v>0.78125</v>
      </c>
      <c r="AZ185" s="22">
        <v>490.68099999999998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125.95699999999999</v>
      </c>
      <c r="I186" s="22">
        <v>-1.69739E-2</v>
      </c>
      <c r="J186" s="22">
        <v>176</v>
      </c>
      <c r="K186" s="22">
        <v>0.94299299999999997</v>
      </c>
      <c r="L186">
        <f t="shared" si="24"/>
        <v>16.9739</v>
      </c>
      <c r="M186">
        <f t="shared" si="25"/>
        <v>16.019219968400002</v>
      </c>
      <c r="N186" s="9"/>
      <c r="O186" s="22">
        <v>0.78628500000000001</v>
      </c>
      <c r="P186" s="22">
        <v>175.059</v>
      </c>
      <c r="Q186" s="22">
        <v>-1.71082E-2</v>
      </c>
      <c r="R186" s="22">
        <v>176</v>
      </c>
      <c r="S186" s="22">
        <v>0.78521700000000005</v>
      </c>
      <c r="T186">
        <f t="shared" si="26"/>
        <v>17.1082</v>
      </c>
      <c r="U186">
        <f t="shared" si="27"/>
        <v>13.451921037</v>
      </c>
      <c r="X186" s="9"/>
      <c r="Y186" s="22">
        <v>0.94375600000000004</v>
      </c>
      <c r="Z186" s="22">
        <v>231.21600000000001</v>
      </c>
      <c r="AA186" s="22">
        <v>-1.7010500000000001E-2</v>
      </c>
      <c r="AB186" s="22">
        <v>176</v>
      </c>
      <c r="AC186" s="22">
        <v>0.94299299999999997</v>
      </c>
      <c r="AD186">
        <f t="shared" si="28"/>
        <v>17.0105</v>
      </c>
      <c r="AE186">
        <f t="shared" si="29"/>
        <v>16.053761438000002</v>
      </c>
      <c r="AF186" s="9"/>
      <c r="AG186" s="22">
        <v>0.78628500000000001</v>
      </c>
      <c r="AH186" s="22">
        <v>361.88600000000002</v>
      </c>
      <c r="AI186" s="22">
        <v>-1.71112E-2</v>
      </c>
      <c r="AJ186" s="22">
        <v>176</v>
      </c>
      <c r="AK186" s="22">
        <v>0.78552200000000005</v>
      </c>
      <c r="AL186">
        <f t="shared" si="30"/>
        <v>17.1112</v>
      </c>
      <c r="AM186">
        <f t="shared" si="31"/>
        <v>13.454279892000001</v>
      </c>
      <c r="AP186" s="9"/>
      <c r="AQ186" s="22">
        <v>0.94375600000000004</v>
      </c>
      <c r="AR186" s="22">
        <v>439.76799999999997</v>
      </c>
      <c r="AS186" s="22">
        <v>-1.70013E-2</v>
      </c>
      <c r="AT186" s="22">
        <v>176</v>
      </c>
      <c r="AU186" s="22">
        <v>0.94207799999999997</v>
      </c>
      <c r="AV186">
        <f t="shared" si="32"/>
        <v>17.001300000000001</v>
      </c>
      <c r="AW186">
        <f t="shared" si="33"/>
        <v>16.045078882800002</v>
      </c>
      <c r="AX186" s="9"/>
      <c r="AY186" s="22">
        <v>0.78628500000000001</v>
      </c>
      <c r="AZ186" s="22">
        <v>490.78100000000001</v>
      </c>
      <c r="BA186" s="22">
        <v>-1.7132600000000001E-2</v>
      </c>
      <c r="BB186" s="22">
        <v>176</v>
      </c>
      <c r="BC186" s="22">
        <v>0.78552200000000005</v>
      </c>
      <c r="BD186">
        <f t="shared" si="34"/>
        <v>17.1326</v>
      </c>
      <c r="BE186">
        <f t="shared" si="35"/>
        <v>13.471106391000001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126.05800000000001</v>
      </c>
      <c r="I187" s="22">
        <v>-1.69769E-2</v>
      </c>
      <c r="J187" s="22">
        <v>177</v>
      </c>
      <c r="K187" s="22">
        <v>0.9375</v>
      </c>
      <c r="L187">
        <f t="shared" si="24"/>
        <v>16.976900000000001</v>
      </c>
      <c r="M187">
        <f t="shared" si="25"/>
        <v>15.936572544900001</v>
      </c>
      <c r="N187" s="9"/>
      <c r="O187" s="22">
        <v>0.79132100000000005</v>
      </c>
      <c r="P187" s="22">
        <v>175.16</v>
      </c>
      <c r="Q187" s="22">
        <v>-1.71082E-2</v>
      </c>
      <c r="R187" s="22">
        <v>177</v>
      </c>
      <c r="S187" s="22">
        <v>0.79040500000000002</v>
      </c>
      <c r="T187">
        <f t="shared" si="26"/>
        <v>17.1082</v>
      </c>
      <c r="U187">
        <f t="shared" si="27"/>
        <v>13.5380779322</v>
      </c>
      <c r="X187" s="9"/>
      <c r="Y187" s="22">
        <v>0.93872100000000003</v>
      </c>
      <c r="Z187" s="22">
        <v>231.31700000000001</v>
      </c>
      <c r="AA187" s="22">
        <v>-1.7010500000000001E-2</v>
      </c>
      <c r="AB187" s="22">
        <v>177</v>
      </c>
      <c r="AC187" s="22">
        <v>0.9375</v>
      </c>
      <c r="AD187">
        <f t="shared" si="28"/>
        <v>17.0105</v>
      </c>
      <c r="AE187">
        <f t="shared" si="29"/>
        <v>15.968113570500002</v>
      </c>
      <c r="AF187" s="9"/>
      <c r="AG187" s="22">
        <v>0.79132100000000005</v>
      </c>
      <c r="AH187" s="22">
        <v>361.98700000000002</v>
      </c>
      <c r="AI187" s="22">
        <v>-1.7105100000000002E-2</v>
      </c>
      <c r="AJ187" s="22">
        <v>177</v>
      </c>
      <c r="AK187" s="22">
        <v>0.79040500000000002</v>
      </c>
      <c r="AL187">
        <f t="shared" si="30"/>
        <v>17.1051</v>
      </c>
      <c r="AM187">
        <f t="shared" si="31"/>
        <v>13.5356248371</v>
      </c>
      <c r="AP187" s="9"/>
      <c r="AQ187" s="22">
        <v>0.93872100000000003</v>
      </c>
      <c r="AR187" s="22">
        <v>439.86799999999999</v>
      </c>
      <c r="AS187" s="22">
        <v>-1.70013E-2</v>
      </c>
      <c r="AT187" s="22">
        <v>177</v>
      </c>
      <c r="AU187" s="22">
        <v>0.9375</v>
      </c>
      <c r="AV187">
        <f t="shared" si="32"/>
        <v>17.001300000000001</v>
      </c>
      <c r="AW187">
        <f t="shared" si="33"/>
        <v>15.959477337300001</v>
      </c>
      <c r="AX187" s="9"/>
      <c r="AY187" s="22">
        <v>0.79132100000000005</v>
      </c>
      <c r="AZ187" s="22">
        <v>490.88200000000001</v>
      </c>
      <c r="BA187" s="22">
        <v>-1.7129499999999999E-2</v>
      </c>
      <c r="BB187" s="22">
        <v>177</v>
      </c>
      <c r="BC187" s="22">
        <v>0.79010000000000002</v>
      </c>
      <c r="BD187">
        <f t="shared" si="34"/>
        <v>17.1295</v>
      </c>
      <c r="BE187">
        <f t="shared" si="35"/>
        <v>13.554933069500001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126.15900000000001</v>
      </c>
      <c r="I188" s="22">
        <v>-1.6986100000000001E-2</v>
      </c>
      <c r="J188" s="22">
        <v>178</v>
      </c>
      <c r="K188" s="22">
        <v>0.93322799999999995</v>
      </c>
      <c r="L188">
        <f t="shared" si="24"/>
        <v>16.9861</v>
      </c>
      <c r="M188">
        <f t="shared" si="25"/>
        <v>15.859666778499999</v>
      </c>
      <c r="N188" s="9"/>
      <c r="O188" s="22">
        <v>0.79635599999999995</v>
      </c>
      <c r="P188" s="22">
        <v>175.261</v>
      </c>
      <c r="Q188" s="22">
        <v>-1.7105100000000002E-2</v>
      </c>
      <c r="R188" s="22">
        <v>178</v>
      </c>
      <c r="S188" s="22">
        <v>0.79528799999999999</v>
      </c>
      <c r="T188">
        <f t="shared" si="26"/>
        <v>17.1051</v>
      </c>
      <c r="U188">
        <f t="shared" si="27"/>
        <v>13.621749015599999</v>
      </c>
      <c r="X188" s="9"/>
      <c r="Y188" s="22">
        <v>0.93368499999999999</v>
      </c>
      <c r="Z188" s="22">
        <v>231.417</v>
      </c>
      <c r="AA188" s="22">
        <v>-1.70166E-2</v>
      </c>
      <c r="AB188" s="22">
        <v>178</v>
      </c>
      <c r="AC188" s="22">
        <v>0.93292200000000003</v>
      </c>
      <c r="AD188">
        <f t="shared" si="28"/>
        <v>17.0166</v>
      </c>
      <c r="AE188">
        <f t="shared" si="29"/>
        <v>15.888144171</v>
      </c>
      <c r="AF188" s="9"/>
      <c r="AG188" s="22">
        <v>0.79635599999999995</v>
      </c>
      <c r="AH188" s="22">
        <v>362.08800000000002</v>
      </c>
      <c r="AI188" s="22">
        <v>-1.7105100000000002E-2</v>
      </c>
      <c r="AJ188" s="22">
        <v>178</v>
      </c>
      <c r="AK188" s="22">
        <v>0.79528799999999999</v>
      </c>
      <c r="AL188">
        <f t="shared" si="30"/>
        <v>17.1051</v>
      </c>
      <c r="AM188">
        <f t="shared" si="31"/>
        <v>13.621749015599999</v>
      </c>
      <c r="AP188" s="9"/>
      <c r="AQ188" s="22">
        <v>0.93368499999999999</v>
      </c>
      <c r="AR188" s="22">
        <v>439.96899999999999</v>
      </c>
      <c r="AS188" s="22">
        <v>-1.7004399999999999E-2</v>
      </c>
      <c r="AT188" s="22">
        <v>178</v>
      </c>
      <c r="AU188" s="22">
        <v>0.93292200000000003</v>
      </c>
      <c r="AV188">
        <f t="shared" si="32"/>
        <v>17.0044</v>
      </c>
      <c r="AW188">
        <f t="shared" si="33"/>
        <v>15.876753214000001</v>
      </c>
      <c r="AX188" s="9"/>
      <c r="AY188" s="22">
        <v>0.79635599999999995</v>
      </c>
      <c r="AZ188" s="22">
        <v>490.983</v>
      </c>
      <c r="BA188" s="22">
        <v>-1.7126499999999999E-2</v>
      </c>
      <c r="BB188" s="22">
        <v>178</v>
      </c>
      <c r="BC188" s="22">
        <v>0.79559299999999999</v>
      </c>
      <c r="BD188">
        <f t="shared" si="34"/>
        <v>17.1265</v>
      </c>
      <c r="BE188">
        <f t="shared" si="35"/>
        <v>13.638791033999999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126.26</v>
      </c>
      <c r="I189" s="22">
        <v>-1.6992199999999999E-2</v>
      </c>
      <c r="J189" s="22">
        <v>179</v>
      </c>
      <c r="K189" s="22">
        <v>0.92773399999999995</v>
      </c>
      <c r="L189">
        <f t="shared" si="24"/>
        <v>16.9922</v>
      </c>
      <c r="M189">
        <f t="shared" si="25"/>
        <v>15.77980653</v>
      </c>
      <c r="N189" s="9"/>
      <c r="O189" s="22">
        <v>0.80139199999999999</v>
      </c>
      <c r="P189" s="22">
        <v>175.36099999999999</v>
      </c>
      <c r="Q189" s="22">
        <v>-1.7099E-2</v>
      </c>
      <c r="R189" s="22">
        <v>179</v>
      </c>
      <c r="S189" s="22">
        <v>0.80078099999999997</v>
      </c>
      <c r="T189">
        <f t="shared" si="26"/>
        <v>17.099</v>
      </c>
      <c r="U189">
        <f t="shared" si="27"/>
        <v>13.703001808</v>
      </c>
      <c r="X189" s="9"/>
      <c r="Y189" s="22">
        <v>0.92864999999999998</v>
      </c>
      <c r="Z189" s="22">
        <v>231.518</v>
      </c>
      <c r="AA189" s="22">
        <v>-1.7019699999999999E-2</v>
      </c>
      <c r="AB189" s="22">
        <v>179</v>
      </c>
      <c r="AC189" s="22">
        <v>0.92803999999999998</v>
      </c>
      <c r="AD189">
        <f t="shared" si="28"/>
        <v>17.0197</v>
      </c>
      <c r="AE189">
        <f t="shared" si="29"/>
        <v>15.805344405</v>
      </c>
      <c r="AF189" s="9"/>
      <c r="AG189" s="22">
        <v>0.80139199999999999</v>
      </c>
      <c r="AH189" s="22">
        <v>362.18799999999999</v>
      </c>
      <c r="AI189" s="22">
        <v>-1.7102099999999999E-2</v>
      </c>
      <c r="AJ189" s="22">
        <v>179</v>
      </c>
      <c r="AK189" s="22">
        <v>0.80078099999999997</v>
      </c>
      <c r="AL189">
        <f t="shared" si="30"/>
        <v>17.1021</v>
      </c>
      <c r="AM189">
        <f t="shared" si="31"/>
        <v>13.7054861232</v>
      </c>
      <c r="AP189" s="9"/>
      <c r="AQ189" s="22">
        <v>0.92864999999999998</v>
      </c>
      <c r="AR189" s="22">
        <v>440.07</v>
      </c>
      <c r="AS189" s="22">
        <v>-1.7007399999999999E-2</v>
      </c>
      <c r="AT189" s="22">
        <v>179</v>
      </c>
      <c r="AU189" s="22">
        <v>0.92773399999999995</v>
      </c>
      <c r="AV189">
        <f t="shared" si="32"/>
        <v>17.007400000000001</v>
      </c>
      <c r="AW189">
        <f t="shared" si="33"/>
        <v>15.793922009999999</v>
      </c>
      <c r="AX189" s="9"/>
      <c r="AY189" s="22">
        <v>0.80139199999999999</v>
      </c>
      <c r="AZ189" s="22">
        <v>491.08300000000003</v>
      </c>
      <c r="BA189" s="22">
        <v>-1.71234E-2</v>
      </c>
      <c r="BB189" s="22">
        <v>179</v>
      </c>
      <c r="BC189" s="22">
        <v>0.80047599999999997</v>
      </c>
      <c r="BD189">
        <f t="shared" si="34"/>
        <v>17.1234</v>
      </c>
      <c r="BE189">
        <f t="shared" si="35"/>
        <v>13.7225557728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126.36</v>
      </c>
      <c r="I190" s="22">
        <v>-1.6998300000000001E-2</v>
      </c>
      <c r="J190" s="22">
        <v>180</v>
      </c>
      <c r="K190" s="22">
        <v>0.92315700000000001</v>
      </c>
      <c r="L190">
        <f t="shared" si="24"/>
        <v>16.9983</v>
      </c>
      <c r="M190">
        <f t="shared" si="25"/>
        <v>15.6998848545</v>
      </c>
      <c r="N190" s="9"/>
      <c r="O190" s="22">
        <v>0.806427</v>
      </c>
      <c r="P190" s="22">
        <v>175.46199999999999</v>
      </c>
      <c r="Q190" s="22">
        <v>-1.7092900000000001E-2</v>
      </c>
      <c r="R190" s="22">
        <v>180</v>
      </c>
      <c r="S190" s="22">
        <v>0.80535900000000005</v>
      </c>
      <c r="T190">
        <f t="shared" si="26"/>
        <v>17.0929</v>
      </c>
      <c r="U190">
        <f t="shared" si="27"/>
        <v>13.784176068300001</v>
      </c>
      <c r="X190" s="9"/>
      <c r="Y190" s="22">
        <v>0.92361499999999996</v>
      </c>
      <c r="Z190" s="22">
        <v>231.619</v>
      </c>
      <c r="AA190" s="22">
        <v>-1.7022700000000002E-2</v>
      </c>
      <c r="AB190" s="22">
        <v>180</v>
      </c>
      <c r="AC190" s="22">
        <v>0.92285200000000001</v>
      </c>
      <c r="AD190">
        <f t="shared" si="28"/>
        <v>17.0227</v>
      </c>
      <c r="AE190">
        <f t="shared" si="29"/>
        <v>15.7224210605</v>
      </c>
      <c r="AF190" s="9"/>
      <c r="AG190" s="22">
        <v>0.806427</v>
      </c>
      <c r="AH190" s="22">
        <v>362.28899999999999</v>
      </c>
      <c r="AI190" s="22">
        <v>-1.7099E-2</v>
      </c>
      <c r="AJ190" s="22">
        <v>180</v>
      </c>
      <c r="AK190" s="22">
        <v>0.80566400000000005</v>
      </c>
      <c r="AL190">
        <f t="shared" si="30"/>
        <v>17.099</v>
      </c>
      <c r="AM190">
        <f t="shared" si="31"/>
        <v>13.789095273000001</v>
      </c>
      <c r="AP190" s="9"/>
      <c r="AQ190" s="22">
        <v>0.92361499999999996</v>
      </c>
      <c r="AR190" s="22">
        <v>440.17</v>
      </c>
      <c r="AS190" s="22">
        <v>-1.7013500000000001E-2</v>
      </c>
      <c r="AT190" s="22">
        <v>180</v>
      </c>
      <c r="AU190" s="22">
        <v>0.92254599999999998</v>
      </c>
      <c r="AV190">
        <f t="shared" si="32"/>
        <v>17.013500000000001</v>
      </c>
      <c r="AW190">
        <f t="shared" si="33"/>
        <v>15.7139238025</v>
      </c>
      <c r="AX190" s="9"/>
      <c r="AY190" s="22">
        <v>0.806427</v>
      </c>
      <c r="AZ190" s="22">
        <v>491.18400000000003</v>
      </c>
      <c r="BA190" s="22">
        <v>-1.7117299999999998E-2</v>
      </c>
      <c r="BB190" s="22">
        <v>180</v>
      </c>
      <c r="BC190" s="22">
        <v>0.80535900000000005</v>
      </c>
      <c r="BD190">
        <f t="shared" si="34"/>
        <v>17.1173</v>
      </c>
      <c r="BE190">
        <f t="shared" si="35"/>
        <v>13.8038528871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126.461</v>
      </c>
      <c r="I191" s="22">
        <v>-1.6995199999999999E-2</v>
      </c>
      <c r="J191" s="22">
        <v>181</v>
      </c>
      <c r="K191" s="22">
        <v>0.91735800000000001</v>
      </c>
      <c r="L191">
        <f t="shared" si="24"/>
        <v>16.995199999999997</v>
      </c>
      <c r="M191">
        <f t="shared" si="25"/>
        <v>15.611433820799999</v>
      </c>
      <c r="N191" s="9"/>
      <c r="O191" s="22">
        <v>0.81146200000000002</v>
      </c>
      <c r="P191" s="22">
        <v>175.56299999999999</v>
      </c>
      <c r="Q191" s="22">
        <v>-1.7092900000000001E-2</v>
      </c>
      <c r="R191" s="22">
        <v>181</v>
      </c>
      <c r="S191" s="22">
        <v>0.81085200000000002</v>
      </c>
      <c r="T191">
        <f t="shared" si="26"/>
        <v>17.0929</v>
      </c>
      <c r="U191">
        <f t="shared" si="27"/>
        <v>13.870238819800001</v>
      </c>
      <c r="X191" s="9"/>
      <c r="Y191" s="22">
        <v>0.91857900000000003</v>
      </c>
      <c r="Z191" s="22">
        <v>231.72</v>
      </c>
      <c r="AA191" s="22">
        <v>-1.70288E-2</v>
      </c>
      <c r="AB191" s="22">
        <v>181</v>
      </c>
      <c r="AC191" s="22">
        <v>0.91735800000000001</v>
      </c>
      <c r="AD191">
        <f t="shared" si="28"/>
        <v>17.0288</v>
      </c>
      <c r="AE191">
        <f t="shared" si="29"/>
        <v>15.642298075200001</v>
      </c>
      <c r="AF191" s="9"/>
      <c r="AG191" s="22">
        <v>0.81146200000000002</v>
      </c>
      <c r="AH191" s="22">
        <v>362.39</v>
      </c>
      <c r="AI191" s="22">
        <v>-1.7092900000000001E-2</v>
      </c>
      <c r="AJ191" s="22">
        <v>181</v>
      </c>
      <c r="AK191" s="22">
        <v>0.81054700000000002</v>
      </c>
      <c r="AL191">
        <f t="shared" si="30"/>
        <v>17.0929</v>
      </c>
      <c r="AM191">
        <f t="shared" si="31"/>
        <v>13.870238819800001</v>
      </c>
      <c r="AP191" s="9"/>
      <c r="AQ191" s="22">
        <v>0.91857900000000003</v>
      </c>
      <c r="AR191" s="22">
        <v>440.27100000000002</v>
      </c>
      <c r="AS191" s="22">
        <v>-1.70166E-2</v>
      </c>
      <c r="AT191" s="22">
        <v>181</v>
      </c>
      <c r="AU191" s="22">
        <v>0.91735800000000001</v>
      </c>
      <c r="AV191">
        <f t="shared" si="32"/>
        <v>17.0166</v>
      </c>
      <c r="AW191">
        <f t="shared" si="33"/>
        <v>15.631091411400002</v>
      </c>
      <c r="AX191" s="9"/>
      <c r="AY191" s="22">
        <v>0.81146200000000002</v>
      </c>
      <c r="AZ191" s="22">
        <v>491.28500000000003</v>
      </c>
      <c r="BA191" s="22">
        <v>-1.71112E-2</v>
      </c>
      <c r="BB191" s="22">
        <v>181</v>
      </c>
      <c r="BC191" s="22">
        <v>0.81024200000000002</v>
      </c>
      <c r="BD191">
        <f t="shared" si="34"/>
        <v>17.1112</v>
      </c>
      <c r="BE191">
        <f t="shared" si="35"/>
        <v>13.885088574400001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126.562</v>
      </c>
      <c r="I192" s="22">
        <v>-1.7010500000000001E-2</v>
      </c>
      <c r="J192" s="22">
        <v>182</v>
      </c>
      <c r="K192" s="22">
        <v>0.91278099999999995</v>
      </c>
      <c r="L192">
        <f t="shared" si="24"/>
        <v>17.0105</v>
      </c>
      <c r="M192">
        <f t="shared" si="25"/>
        <v>15.539840212000001</v>
      </c>
      <c r="N192" s="9"/>
      <c r="O192" s="22">
        <v>0.81649799999999995</v>
      </c>
      <c r="P192" s="22">
        <v>175.66300000000001</v>
      </c>
      <c r="Q192" s="22">
        <v>-1.7089799999999999E-2</v>
      </c>
      <c r="R192" s="22">
        <v>182</v>
      </c>
      <c r="S192" s="22">
        <v>0.81603999999999999</v>
      </c>
      <c r="T192">
        <f t="shared" si="26"/>
        <v>17.0898</v>
      </c>
      <c r="U192">
        <f t="shared" si="27"/>
        <v>13.953787520399999</v>
      </c>
      <c r="X192" s="9"/>
      <c r="Y192" s="22">
        <v>0.91354400000000002</v>
      </c>
      <c r="Z192" s="22">
        <v>231.82</v>
      </c>
      <c r="AA192" s="22">
        <v>-1.70288E-2</v>
      </c>
      <c r="AB192" s="22">
        <v>182</v>
      </c>
      <c r="AC192" s="22">
        <v>0.91278099999999995</v>
      </c>
      <c r="AD192">
        <f t="shared" si="28"/>
        <v>17.0288</v>
      </c>
      <c r="AE192">
        <f t="shared" si="29"/>
        <v>15.556558067200001</v>
      </c>
      <c r="AF192" s="9"/>
      <c r="AG192" s="22">
        <v>0.81649799999999995</v>
      </c>
      <c r="AH192" s="22">
        <v>362.49099999999999</v>
      </c>
      <c r="AI192" s="22">
        <v>-1.7086799999999999E-2</v>
      </c>
      <c r="AJ192" s="22">
        <v>182</v>
      </c>
      <c r="AK192" s="22">
        <v>0.81542999999999999</v>
      </c>
      <c r="AL192">
        <f t="shared" si="30"/>
        <v>17.0868</v>
      </c>
      <c r="AM192">
        <f t="shared" si="31"/>
        <v>13.951338026399998</v>
      </c>
      <c r="AP192" s="9"/>
      <c r="AQ192" s="22">
        <v>0.91354400000000002</v>
      </c>
      <c r="AR192" s="22">
        <v>440.37200000000001</v>
      </c>
      <c r="AS192" s="22">
        <v>-1.7022700000000002E-2</v>
      </c>
      <c r="AT192" s="22">
        <v>182</v>
      </c>
      <c r="AU192" s="22">
        <v>0.91278099999999995</v>
      </c>
      <c r="AV192">
        <f t="shared" si="32"/>
        <v>17.0227</v>
      </c>
      <c r="AW192">
        <f t="shared" si="33"/>
        <v>15.550985448800001</v>
      </c>
      <c r="AX192" s="9"/>
      <c r="AY192" s="22">
        <v>0.81649799999999995</v>
      </c>
      <c r="AZ192" s="22">
        <v>491.38600000000002</v>
      </c>
      <c r="BA192" s="22">
        <v>-1.71112E-2</v>
      </c>
      <c r="BB192" s="22">
        <v>182</v>
      </c>
      <c r="BC192" s="22">
        <v>0.81603999999999999</v>
      </c>
      <c r="BD192">
        <f t="shared" si="34"/>
        <v>17.1112</v>
      </c>
      <c r="BE192">
        <f t="shared" si="35"/>
        <v>13.971260577599999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126.66200000000001</v>
      </c>
      <c r="I193" s="22">
        <v>-1.7013500000000001E-2</v>
      </c>
      <c r="J193" s="22">
        <v>183</v>
      </c>
      <c r="K193" s="22">
        <v>0.90759299999999998</v>
      </c>
      <c r="L193">
        <f t="shared" si="24"/>
        <v>17.013500000000001</v>
      </c>
      <c r="M193">
        <f t="shared" si="25"/>
        <v>15.456900858000001</v>
      </c>
      <c r="N193" s="9"/>
      <c r="O193" s="22">
        <v>0.82153299999999996</v>
      </c>
      <c r="P193" s="22">
        <v>175.76400000000001</v>
      </c>
      <c r="Q193" s="22">
        <v>-1.70837E-2</v>
      </c>
      <c r="R193" s="22">
        <v>183</v>
      </c>
      <c r="S193" s="22">
        <v>0.82031299999999996</v>
      </c>
      <c r="T193">
        <f t="shared" si="26"/>
        <v>17.0837</v>
      </c>
      <c r="U193">
        <f t="shared" si="27"/>
        <v>14.0348233121</v>
      </c>
      <c r="X193" s="9"/>
      <c r="Y193" s="22">
        <v>0.90850799999999998</v>
      </c>
      <c r="Z193" s="22">
        <v>231.92099999999999</v>
      </c>
      <c r="AA193" s="22">
        <v>-1.7034899999999999E-2</v>
      </c>
      <c r="AB193" s="22">
        <v>183</v>
      </c>
      <c r="AC193" s="22">
        <v>0.90789799999999998</v>
      </c>
      <c r="AD193">
        <f t="shared" si="28"/>
        <v>17.0349</v>
      </c>
      <c r="AE193">
        <f t="shared" si="29"/>
        <v>15.476342929199999</v>
      </c>
      <c r="AF193" s="9"/>
      <c r="AG193" s="22">
        <v>0.82153299999999996</v>
      </c>
      <c r="AH193" s="22">
        <v>362.59100000000001</v>
      </c>
      <c r="AI193" s="22">
        <v>-1.7080700000000001E-2</v>
      </c>
      <c r="AJ193" s="22">
        <v>183</v>
      </c>
      <c r="AK193" s="22">
        <v>0.82092299999999996</v>
      </c>
      <c r="AL193">
        <f t="shared" si="30"/>
        <v>17.0807</v>
      </c>
      <c r="AM193">
        <f t="shared" si="31"/>
        <v>14.032358713099999</v>
      </c>
      <c r="AP193" s="9"/>
      <c r="AQ193" s="22">
        <v>0.90850799999999998</v>
      </c>
      <c r="AR193" s="22">
        <v>440.47300000000001</v>
      </c>
      <c r="AS193" s="22">
        <v>-1.7022700000000002E-2</v>
      </c>
      <c r="AT193" s="22">
        <v>183</v>
      </c>
      <c r="AU193" s="22">
        <v>0.90728799999999998</v>
      </c>
      <c r="AV193">
        <f t="shared" si="32"/>
        <v>17.0227</v>
      </c>
      <c r="AW193">
        <f t="shared" si="33"/>
        <v>15.4652591316</v>
      </c>
      <c r="AX193" s="9"/>
      <c r="AY193" s="22">
        <v>0.82153299999999996</v>
      </c>
      <c r="AZ193" s="22">
        <v>491.48599999999999</v>
      </c>
      <c r="BA193" s="22">
        <v>-1.7105100000000002E-2</v>
      </c>
      <c r="BB193" s="22">
        <v>183</v>
      </c>
      <c r="BC193" s="22">
        <v>0.82000700000000004</v>
      </c>
      <c r="BD193">
        <f t="shared" si="34"/>
        <v>17.1051</v>
      </c>
      <c r="BE193">
        <f t="shared" si="35"/>
        <v>14.0524041183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126.76300000000001</v>
      </c>
      <c r="I194" s="22">
        <v>-1.70166E-2</v>
      </c>
      <c r="J194" s="22">
        <v>184</v>
      </c>
      <c r="K194" s="22">
        <v>0.90210000000000001</v>
      </c>
      <c r="L194">
        <f t="shared" si="24"/>
        <v>17.0166</v>
      </c>
      <c r="M194">
        <f t="shared" si="25"/>
        <v>15.374038651799999</v>
      </c>
      <c r="N194" s="9"/>
      <c r="O194" s="22">
        <v>0.826569</v>
      </c>
      <c r="P194" s="22">
        <v>175.86500000000001</v>
      </c>
      <c r="Q194" s="22">
        <v>-1.70837E-2</v>
      </c>
      <c r="R194" s="22">
        <v>184</v>
      </c>
      <c r="S194" s="22">
        <v>0.82580600000000004</v>
      </c>
      <c r="T194">
        <f t="shared" si="26"/>
        <v>17.0837</v>
      </c>
      <c r="U194">
        <f t="shared" si="27"/>
        <v>14.120856825300001</v>
      </c>
      <c r="X194" s="9"/>
      <c r="Y194" s="22">
        <v>0.90347299999999997</v>
      </c>
      <c r="Z194" s="22">
        <v>232.02199999999999</v>
      </c>
      <c r="AA194" s="22">
        <v>-1.7041000000000001E-2</v>
      </c>
      <c r="AB194" s="22">
        <v>184</v>
      </c>
      <c r="AC194" s="22">
        <v>0.90301500000000001</v>
      </c>
      <c r="AD194">
        <f t="shared" si="28"/>
        <v>17.041</v>
      </c>
      <c r="AE194">
        <f t="shared" si="29"/>
        <v>15.396083393</v>
      </c>
      <c r="AF194" s="9"/>
      <c r="AG194" s="22">
        <v>0.826569</v>
      </c>
      <c r="AH194" s="22">
        <v>362.69200000000001</v>
      </c>
      <c r="AI194" s="22">
        <v>-1.7074599999999999E-2</v>
      </c>
      <c r="AJ194" s="22">
        <v>184</v>
      </c>
      <c r="AK194" s="22">
        <v>0.82550000000000001</v>
      </c>
      <c r="AL194">
        <f t="shared" si="30"/>
        <v>17.0746</v>
      </c>
      <c r="AM194">
        <f t="shared" si="31"/>
        <v>14.1133350474</v>
      </c>
      <c r="AP194" s="9"/>
      <c r="AQ194" s="22">
        <v>0.90347299999999997</v>
      </c>
      <c r="AR194" s="22">
        <v>440.57299999999998</v>
      </c>
      <c r="AS194" s="22">
        <v>-1.70288E-2</v>
      </c>
      <c r="AT194" s="22">
        <v>184</v>
      </c>
      <c r="AU194" s="22">
        <v>0.90301500000000001</v>
      </c>
      <c r="AV194">
        <f t="shared" si="32"/>
        <v>17.0288</v>
      </c>
      <c r="AW194">
        <f t="shared" si="33"/>
        <v>15.3850610224</v>
      </c>
      <c r="AX194" s="9"/>
      <c r="AY194" s="22">
        <v>0.826569</v>
      </c>
      <c r="AZ194" s="22">
        <v>491.58699999999999</v>
      </c>
      <c r="BA194" s="22">
        <v>-1.7105100000000002E-2</v>
      </c>
      <c r="BB194" s="22">
        <v>184</v>
      </c>
      <c r="BC194" s="22">
        <v>0.82580600000000004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126.864</v>
      </c>
      <c r="I195" s="22">
        <v>-1.70166E-2</v>
      </c>
      <c r="J195" s="22">
        <v>185</v>
      </c>
      <c r="K195" s="22">
        <v>0.89752200000000004</v>
      </c>
      <c r="L195">
        <f t="shared" si="24"/>
        <v>17.0166</v>
      </c>
      <c r="M195">
        <f t="shared" si="25"/>
        <v>15.2883600708</v>
      </c>
      <c r="N195" s="9"/>
      <c r="O195" s="22">
        <v>0.83160400000000001</v>
      </c>
      <c r="P195" s="22">
        <v>175.96600000000001</v>
      </c>
      <c r="Q195" s="22">
        <v>-1.7077599999999998E-2</v>
      </c>
      <c r="R195" s="22">
        <v>185</v>
      </c>
      <c r="S195" s="22">
        <v>0.83068799999999998</v>
      </c>
      <c r="T195">
        <f t="shared" si="26"/>
        <v>17.077599999999997</v>
      </c>
      <c r="U195">
        <f t="shared" si="27"/>
        <v>14.201800470399997</v>
      </c>
      <c r="X195" s="9"/>
      <c r="Y195" s="22">
        <v>0.89843799999999996</v>
      </c>
      <c r="Z195" s="22">
        <v>232.12200000000001</v>
      </c>
      <c r="AA195" s="22">
        <v>-1.7038000000000001E-2</v>
      </c>
      <c r="AB195" s="22">
        <v>185</v>
      </c>
      <c r="AC195" s="22">
        <v>0.89782700000000004</v>
      </c>
      <c r="AD195">
        <f t="shared" si="28"/>
        <v>17.038</v>
      </c>
      <c r="AE195">
        <f t="shared" si="29"/>
        <v>15.307586643999999</v>
      </c>
      <c r="AF195" s="9"/>
      <c r="AG195" s="22">
        <v>0.83160400000000001</v>
      </c>
      <c r="AH195" s="22">
        <v>362.79300000000001</v>
      </c>
      <c r="AI195" s="22">
        <v>-1.70715E-2</v>
      </c>
      <c r="AJ195" s="22">
        <v>185</v>
      </c>
      <c r="AK195" s="22">
        <v>0.83099400000000001</v>
      </c>
      <c r="AL195">
        <f t="shared" si="30"/>
        <v>17.0715</v>
      </c>
      <c r="AM195">
        <f t="shared" si="31"/>
        <v>14.196727686000001</v>
      </c>
      <c r="AP195" s="9"/>
      <c r="AQ195" s="22">
        <v>0.89843799999999996</v>
      </c>
      <c r="AR195" s="22">
        <v>440.67399999999998</v>
      </c>
      <c r="AS195" s="22">
        <v>-1.7031899999999999E-2</v>
      </c>
      <c r="AT195" s="22">
        <v>185</v>
      </c>
      <c r="AU195" s="22">
        <v>0.89752200000000004</v>
      </c>
      <c r="AV195">
        <f t="shared" si="32"/>
        <v>17.0319</v>
      </c>
      <c r="AW195">
        <f t="shared" si="33"/>
        <v>15.3021061722</v>
      </c>
      <c r="AX195" s="9"/>
      <c r="AY195" s="22">
        <v>0.83160400000000001</v>
      </c>
      <c r="AZ195" s="22">
        <v>491.68799999999999</v>
      </c>
      <c r="BA195" s="22">
        <v>-1.7099E-2</v>
      </c>
      <c r="BB195" s="22">
        <v>185</v>
      </c>
      <c r="BC195" s="22">
        <v>0.83068799999999998</v>
      </c>
      <c r="BD195">
        <f t="shared" si="34"/>
        <v>17.099</v>
      </c>
      <c r="BE195">
        <f t="shared" si="35"/>
        <v>14.219596796000001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126.965</v>
      </c>
      <c r="I196" s="22">
        <v>-1.7022700000000002E-2</v>
      </c>
      <c r="J196" s="22">
        <v>186</v>
      </c>
      <c r="K196" s="22">
        <v>0.89233399999999996</v>
      </c>
      <c r="L196">
        <f t="shared" si="24"/>
        <v>17.0227</v>
      </c>
      <c r="M196">
        <f t="shared" si="25"/>
        <v>15.208114225400001</v>
      </c>
      <c r="N196" s="9"/>
      <c r="O196" s="22">
        <v>0.83663900000000002</v>
      </c>
      <c r="P196" s="22">
        <v>176.066</v>
      </c>
      <c r="Q196" s="22">
        <v>-1.7077599999999998E-2</v>
      </c>
      <c r="R196" s="22">
        <v>186</v>
      </c>
      <c r="S196" s="22">
        <v>0.83587599999999995</v>
      </c>
      <c r="T196">
        <f t="shared" si="26"/>
        <v>17.077599999999997</v>
      </c>
      <c r="U196">
        <f t="shared" si="27"/>
        <v>14.287786186399998</v>
      </c>
      <c r="X196" s="9"/>
      <c r="Y196" s="22">
        <v>0.89340200000000003</v>
      </c>
      <c r="Z196" s="22">
        <v>232.22300000000001</v>
      </c>
      <c r="AA196" s="22">
        <v>-1.70441E-2</v>
      </c>
      <c r="AB196" s="22">
        <v>186</v>
      </c>
      <c r="AC196" s="22">
        <v>0.89263899999999996</v>
      </c>
      <c r="AD196">
        <f t="shared" si="28"/>
        <v>17.0441</v>
      </c>
      <c r="AE196">
        <f t="shared" si="29"/>
        <v>15.227233028200001</v>
      </c>
      <c r="AF196" s="9"/>
      <c r="AG196" s="22">
        <v>0.83663900000000002</v>
      </c>
      <c r="AH196" s="22">
        <v>362.89299999999997</v>
      </c>
      <c r="AI196" s="22">
        <v>-1.70685E-2</v>
      </c>
      <c r="AJ196" s="22">
        <v>186</v>
      </c>
      <c r="AK196" s="22">
        <v>0.83557099999999995</v>
      </c>
      <c r="AL196">
        <f t="shared" si="30"/>
        <v>17.0685</v>
      </c>
      <c r="AM196">
        <f t="shared" si="31"/>
        <v>14.2801727715</v>
      </c>
      <c r="AP196" s="9"/>
      <c r="AQ196" s="22">
        <v>0.89340200000000003</v>
      </c>
      <c r="AR196" s="22">
        <v>440.77499999999998</v>
      </c>
      <c r="AS196" s="22">
        <v>-1.7038000000000001E-2</v>
      </c>
      <c r="AT196" s="22">
        <v>186</v>
      </c>
      <c r="AU196" s="22">
        <v>0.89233399999999996</v>
      </c>
      <c r="AV196">
        <f t="shared" si="32"/>
        <v>17.038</v>
      </c>
      <c r="AW196">
        <f t="shared" si="33"/>
        <v>15.221783276</v>
      </c>
      <c r="AX196" s="9"/>
      <c r="AY196" s="22">
        <v>0.83663900000000002</v>
      </c>
      <c r="AZ196" s="22">
        <v>491.78800000000001</v>
      </c>
      <c r="BA196" s="22">
        <v>-1.7099E-2</v>
      </c>
      <c r="BB196" s="22">
        <v>186</v>
      </c>
      <c r="BC196" s="22">
        <v>0.83618199999999998</v>
      </c>
      <c r="BD196">
        <f t="shared" si="34"/>
        <v>17.099</v>
      </c>
      <c r="BE196">
        <f t="shared" si="35"/>
        <v>14.305690261000001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127.065</v>
      </c>
      <c r="I197" s="22">
        <v>-1.70288E-2</v>
      </c>
      <c r="J197" s="22">
        <v>187</v>
      </c>
      <c r="K197" s="22">
        <v>0.88714599999999999</v>
      </c>
      <c r="L197">
        <f t="shared" si="24"/>
        <v>17.0288</v>
      </c>
      <c r="M197">
        <f t="shared" si="25"/>
        <v>15.127823969600001</v>
      </c>
      <c r="N197" s="9"/>
      <c r="O197" s="22">
        <v>0.84167499999999995</v>
      </c>
      <c r="P197" s="22">
        <v>176.167</v>
      </c>
      <c r="Q197" s="22">
        <v>-1.7074599999999999E-2</v>
      </c>
      <c r="R197" s="22">
        <v>187</v>
      </c>
      <c r="S197" s="22">
        <v>0.84075900000000003</v>
      </c>
      <c r="T197">
        <f t="shared" si="26"/>
        <v>17.0746</v>
      </c>
      <c r="U197">
        <f t="shared" si="27"/>
        <v>14.371263955</v>
      </c>
      <c r="X197" s="9"/>
      <c r="Y197" s="22">
        <v>0.88836700000000002</v>
      </c>
      <c r="Z197" s="22">
        <v>232.32400000000001</v>
      </c>
      <c r="AA197" s="22">
        <v>-1.7050200000000001E-2</v>
      </c>
      <c r="AB197" s="22">
        <v>187</v>
      </c>
      <c r="AC197" s="22">
        <v>0.88714599999999999</v>
      </c>
      <c r="AD197">
        <f t="shared" si="28"/>
        <v>17.0502</v>
      </c>
      <c r="AE197">
        <f t="shared" si="29"/>
        <v>15.146835023400001</v>
      </c>
      <c r="AF197" s="9"/>
      <c r="AG197" s="22">
        <v>0.84167499999999995</v>
      </c>
      <c r="AH197" s="22">
        <v>362.99400000000003</v>
      </c>
      <c r="AI197" s="22">
        <v>-1.70685E-2</v>
      </c>
      <c r="AJ197" s="22">
        <v>187</v>
      </c>
      <c r="AK197" s="22">
        <v>0.84045400000000003</v>
      </c>
      <c r="AL197">
        <f t="shared" si="30"/>
        <v>17.0685</v>
      </c>
      <c r="AM197">
        <f t="shared" si="31"/>
        <v>14.3661297375</v>
      </c>
      <c r="AP197" s="9"/>
      <c r="AQ197" s="22">
        <v>0.88836700000000002</v>
      </c>
      <c r="AR197" s="22">
        <v>440.875</v>
      </c>
      <c r="AS197" s="22">
        <v>-1.7038000000000001E-2</v>
      </c>
      <c r="AT197" s="22">
        <v>187</v>
      </c>
      <c r="AU197" s="22">
        <v>0.88775599999999999</v>
      </c>
      <c r="AV197">
        <f t="shared" si="32"/>
        <v>17.038</v>
      </c>
      <c r="AW197">
        <f t="shared" si="33"/>
        <v>15.135996946000001</v>
      </c>
      <c r="AX197" s="9"/>
      <c r="AY197" s="22">
        <v>0.84167499999999995</v>
      </c>
      <c r="AZ197" s="22">
        <v>491.88900000000001</v>
      </c>
      <c r="BA197" s="22">
        <v>-1.7092900000000001E-2</v>
      </c>
      <c r="BB197" s="22">
        <v>187</v>
      </c>
      <c r="BC197" s="22">
        <v>0.84045400000000003</v>
      </c>
      <c r="BD197">
        <f t="shared" si="34"/>
        <v>17.0929</v>
      </c>
      <c r="BE197">
        <f t="shared" si="35"/>
        <v>14.386666607499999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127.166</v>
      </c>
      <c r="I198" s="22">
        <v>-1.70288E-2</v>
      </c>
      <c r="J198" s="22">
        <v>188</v>
      </c>
      <c r="K198" s="22">
        <v>0.88256800000000002</v>
      </c>
      <c r="L198">
        <f t="shared" si="24"/>
        <v>17.0288</v>
      </c>
      <c r="M198">
        <f t="shared" si="25"/>
        <v>15.042066932799999</v>
      </c>
      <c r="N198" s="9"/>
      <c r="O198" s="22">
        <v>0.84670999999999996</v>
      </c>
      <c r="P198" s="22">
        <v>176.268</v>
      </c>
      <c r="Q198" s="22">
        <v>-1.70685E-2</v>
      </c>
      <c r="R198" s="22">
        <v>188</v>
      </c>
      <c r="S198" s="22">
        <v>0.845642</v>
      </c>
      <c r="T198">
        <f t="shared" si="26"/>
        <v>17.0685</v>
      </c>
      <c r="U198">
        <f t="shared" si="27"/>
        <v>14.452069634999999</v>
      </c>
      <c r="X198" s="9"/>
      <c r="Y198" s="22">
        <v>0.88333099999999998</v>
      </c>
      <c r="Z198" s="22">
        <v>232.42500000000001</v>
      </c>
      <c r="AA198" s="22">
        <v>-1.7053200000000001E-2</v>
      </c>
      <c r="AB198" s="22">
        <v>188</v>
      </c>
      <c r="AC198" s="22">
        <v>0.88256800000000002</v>
      </c>
      <c r="AD198">
        <f t="shared" si="28"/>
        <v>17.0532</v>
      </c>
      <c r="AE198">
        <f t="shared" si="29"/>
        <v>15.0636202092</v>
      </c>
      <c r="AF198" s="9"/>
      <c r="AG198" s="22">
        <v>0.84670999999999996</v>
      </c>
      <c r="AH198" s="22">
        <v>363.09500000000003</v>
      </c>
      <c r="AI198" s="22">
        <v>-1.7062399999999998E-2</v>
      </c>
      <c r="AJ198" s="22">
        <v>188</v>
      </c>
      <c r="AK198" s="22">
        <v>0.845947</v>
      </c>
      <c r="AL198">
        <f t="shared" si="30"/>
        <v>17.062399999999997</v>
      </c>
      <c r="AM198">
        <f t="shared" si="31"/>
        <v>14.446904703999996</v>
      </c>
      <c r="AP198" s="9"/>
      <c r="AQ198" s="22">
        <v>0.88333099999999998</v>
      </c>
      <c r="AR198" s="22">
        <v>440.976</v>
      </c>
      <c r="AS198" s="22">
        <v>-1.7047099999999999E-2</v>
      </c>
      <c r="AT198" s="22">
        <v>188</v>
      </c>
      <c r="AU198" s="22">
        <v>0.88165300000000002</v>
      </c>
      <c r="AV198">
        <f t="shared" si="32"/>
        <v>17.0471</v>
      </c>
      <c r="AW198">
        <f t="shared" si="33"/>
        <v>15.0582318901</v>
      </c>
      <c r="AX198" s="9"/>
      <c r="AY198" s="22">
        <v>0.84670999999999996</v>
      </c>
      <c r="AZ198" s="22">
        <v>491.99</v>
      </c>
      <c r="BA198" s="22">
        <v>-1.7086799999999999E-2</v>
      </c>
      <c r="BB198" s="22">
        <v>188</v>
      </c>
      <c r="BC198" s="22">
        <v>0.84533700000000001</v>
      </c>
      <c r="BD198">
        <f t="shared" si="34"/>
        <v>17.0868</v>
      </c>
      <c r="BE198">
        <f t="shared" si="35"/>
        <v>14.467564427999999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127.267</v>
      </c>
      <c r="I199" s="22">
        <v>-1.7038000000000001E-2</v>
      </c>
      <c r="J199" s="22">
        <v>189</v>
      </c>
      <c r="K199" s="22">
        <v>0.87707500000000005</v>
      </c>
      <c r="L199">
        <f t="shared" si="24"/>
        <v>17.038</v>
      </c>
      <c r="M199">
        <f t="shared" si="25"/>
        <v>14.964407247999999</v>
      </c>
      <c r="N199" s="9"/>
      <c r="O199" s="22">
        <v>0.851746</v>
      </c>
      <c r="P199" s="22">
        <v>176.36799999999999</v>
      </c>
      <c r="Q199" s="22">
        <v>-1.7062399999999998E-2</v>
      </c>
      <c r="R199" s="22">
        <v>189</v>
      </c>
      <c r="S199" s="22">
        <v>0.85021999999999998</v>
      </c>
      <c r="T199">
        <f t="shared" si="26"/>
        <v>17.062399999999997</v>
      </c>
      <c r="U199">
        <f t="shared" si="27"/>
        <v>14.532830950399998</v>
      </c>
      <c r="X199" s="9"/>
      <c r="Y199" s="22">
        <v>0.87829599999999997</v>
      </c>
      <c r="Z199" s="22">
        <v>232.52500000000001</v>
      </c>
      <c r="AA199" s="22">
        <v>-1.70563E-2</v>
      </c>
      <c r="AB199" s="22">
        <v>189</v>
      </c>
      <c r="AC199" s="22">
        <v>0.87677000000000005</v>
      </c>
      <c r="AD199">
        <f t="shared" si="28"/>
        <v>17.0563</v>
      </c>
      <c r="AE199">
        <f t="shared" si="29"/>
        <v>14.9804800648</v>
      </c>
      <c r="AF199" s="9"/>
      <c r="AG199" s="22">
        <v>0.851746</v>
      </c>
      <c r="AH199" s="22">
        <v>363.19600000000003</v>
      </c>
      <c r="AI199" s="22">
        <v>-1.7062399999999998E-2</v>
      </c>
      <c r="AJ199" s="22">
        <v>189</v>
      </c>
      <c r="AK199" s="22">
        <v>0.85052499999999998</v>
      </c>
      <c r="AL199">
        <f t="shared" si="30"/>
        <v>17.062399999999997</v>
      </c>
      <c r="AM199">
        <f t="shared" si="31"/>
        <v>14.532830950399998</v>
      </c>
      <c r="AP199" s="9"/>
      <c r="AQ199" s="22">
        <v>0.87829599999999997</v>
      </c>
      <c r="AR199" s="22">
        <v>441.077</v>
      </c>
      <c r="AS199" s="22">
        <v>-1.7053200000000001E-2</v>
      </c>
      <c r="AT199" s="22">
        <v>189</v>
      </c>
      <c r="AU199" s="22">
        <v>0.87707500000000005</v>
      </c>
      <c r="AV199">
        <f t="shared" si="32"/>
        <v>17.0532</v>
      </c>
      <c r="AW199">
        <f t="shared" si="33"/>
        <v>14.977757347199999</v>
      </c>
      <c r="AX199" s="9"/>
      <c r="AY199" s="22">
        <v>0.851746</v>
      </c>
      <c r="AZ199" s="22">
        <v>492.09100000000001</v>
      </c>
      <c r="BA199" s="22">
        <v>-1.70837E-2</v>
      </c>
      <c r="BB199" s="22">
        <v>189</v>
      </c>
      <c r="BC199" s="22">
        <v>0.85113499999999997</v>
      </c>
      <c r="BD199">
        <f t="shared" si="34"/>
        <v>17.0837</v>
      </c>
      <c r="BE199">
        <f t="shared" si="35"/>
        <v>14.5509731402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127.367</v>
      </c>
      <c r="I200" s="22">
        <v>-1.7041000000000001E-2</v>
      </c>
      <c r="J200" s="22">
        <v>190</v>
      </c>
      <c r="K200" s="22">
        <v>0.87219199999999997</v>
      </c>
      <c r="L200">
        <f t="shared" si="24"/>
        <v>17.041</v>
      </c>
      <c r="M200">
        <f t="shared" si="25"/>
        <v>14.881223660000002</v>
      </c>
      <c r="N200" s="9"/>
      <c r="O200" s="22">
        <v>0.85678100000000001</v>
      </c>
      <c r="P200" s="22">
        <v>176.46899999999999</v>
      </c>
      <c r="Q200" s="22">
        <v>-1.7062399999999998E-2</v>
      </c>
      <c r="R200" s="22">
        <v>190</v>
      </c>
      <c r="S200" s="22">
        <v>0.85601799999999995</v>
      </c>
      <c r="T200">
        <f t="shared" si="26"/>
        <v>17.062399999999997</v>
      </c>
      <c r="U200">
        <f t="shared" si="27"/>
        <v>14.618740134399998</v>
      </c>
      <c r="X200" s="9"/>
      <c r="Y200" s="22">
        <v>0.87326000000000004</v>
      </c>
      <c r="Z200" s="22">
        <v>232.626</v>
      </c>
      <c r="AA200" s="22">
        <v>-1.7062399999999998E-2</v>
      </c>
      <c r="AB200" s="22">
        <v>190</v>
      </c>
      <c r="AC200" s="22">
        <v>0.87188699999999997</v>
      </c>
      <c r="AD200">
        <f t="shared" si="28"/>
        <v>17.062399999999997</v>
      </c>
      <c r="AE200">
        <f t="shared" si="29"/>
        <v>14.899911423999997</v>
      </c>
      <c r="AF200" s="9"/>
      <c r="AG200" s="22">
        <v>0.85678100000000001</v>
      </c>
      <c r="AH200" s="22">
        <v>363.29599999999999</v>
      </c>
      <c r="AI200" s="22">
        <v>-1.7059299999999999E-2</v>
      </c>
      <c r="AJ200" s="22">
        <v>190</v>
      </c>
      <c r="AK200" s="22">
        <v>0.85571299999999995</v>
      </c>
      <c r="AL200">
        <f t="shared" si="30"/>
        <v>17.0593</v>
      </c>
      <c r="AM200">
        <f t="shared" si="31"/>
        <v>14.616084113300001</v>
      </c>
      <c r="AP200" s="9"/>
      <c r="AQ200" s="22">
        <v>0.87326000000000004</v>
      </c>
      <c r="AR200" s="22">
        <v>441.17700000000002</v>
      </c>
      <c r="AS200" s="22">
        <v>-1.70563E-2</v>
      </c>
      <c r="AT200" s="22">
        <v>190</v>
      </c>
      <c r="AU200" s="22">
        <v>0.872498</v>
      </c>
      <c r="AV200">
        <f t="shared" si="32"/>
        <v>17.0563</v>
      </c>
      <c r="AW200">
        <f t="shared" si="33"/>
        <v>14.894584538</v>
      </c>
      <c r="AX200" s="9"/>
      <c r="AY200" s="22">
        <v>0.85678100000000001</v>
      </c>
      <c r="AZ200" s="22">
        <v>492.19099999999997</v>
      </c>
      <c r="BA200" s="22">
        <v>-1.70837E-2</v>
      </c>
      <c r="BB200" s="22">
        <v>190</v>
      </c>
      <c r="BC200" s="22">
        <v>0.85601799999999995</v>
      </c>
      <c r="BD200">
        <f t="shared" si="34"/>
        <v>17.0837</v>
      </c>
      <c r="BE200">
        <f t="shared" si="35"/>
        <v>14.636989569700001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127.468</v>
      </c>
      <c r="I201" s="22">
        <v>-1.70441E-2</v>
      </c>
      <c r="J201" s="22">
        <v>191</v>
      </c>
      <c r="K201" s="22">
        <v>0.866699</v>
      </c>
      <c r="L201">
        <f t="shared" si="24"/>
        <v>17.0441</v>
      </c>
      <c r="M201">
        <f t="shared" si="25"/>
        <v>14.7981137225</v>
      </c>
      <c r="N201" s="9"/>
      <c r="O201" s="22">
        <v>0.86181600000000003</v>
      </c>
      <c r="P201" s="22">
        <v>176.57</v>
      </c>
      <c r="Q201" s="22">
        <v>-1.70563E-2</v>
      </c>
      <c r="R201" s="22">
        <v>191</v>
      </c>
      <c r="S201" s="22">
        <v>0.86151100000000003</v>
      </c>
      <c r="T201">
        <f t="shared" si="26"/>
        <v>17.0563</v>
      </c>
      <c r="U201">
        <f t="shared" si="27"/>
        <v>14.6993922408</v>
      </c>
      <c r="X201" s="9"/>
      <c r="Y201" s="22">
        <v>0.86822500000000002</v>
      </c>
      <c r="Z201" s="22">
        <v>232.727</v>
      </c>
      <c r="AA201" s="22">
        <v>-1.7062399999999998E-2</v>
      </c>
      <c r="AB201" s="22">
        <v>191</v>
      </c>
      <c r="AC201" s="22">
        <v>0.86761500000000003</v>
      </c>
      <c r="AD201">
        <f t="shared" si="28"/>
        <v>17.062399999999997</v>
      </c>
      <c r="AE201">
        <f t="shared" si="29"/>
        <v>14.814002239999997</v>
      </c>
      <c r="AF201" s="9"/>
      <c r="AG201" s="22">
        <v>0.86181600000000003</v>
      </c>
      <c r="AH201" s="22">
        <v>363.39699999999999</v>
      </c>
      <c r="AI201" s="22">
        <v>-1.7053200000000001E-2</v>
      </c>
      <c r="AJ201" s="22">
        <v>191</v>
      </c>
      <c r="AK201" s="22">
        <v>0.86090100000000003</v>
      </c>
      <c r="AL201">
        <f t="shared" si="30"/>
        <v>17.0532</v>
      </c>
      <c r="AM201">
        <f t="shared" si="31"/>
        <v>14.6967206112</v>
      </c>
      <c r="AP201" s="9"/>
      <c r="AQ201" s="22">
        <v>0.86822500000000002</v>
      </c>
      <c r="AR201" s="22">
        <v>441.27800000000002</v>
      </c>
      <c r="AS201" s="22">
        <v>-1.7059299999999999E-2</v>
      </c>
      <c r="AT201" s="22">
        <v>191</v>
      </c>
      <c r="AU201" s="22">
        <v>0.86731000000000003</v>
      </c>
      <c r="AV201">
        <f t="shared" si="32"/>
        <v>17.0593</v>
      </c>
      <c r="AW201">
        <f t="shared" si="33"/>
        <v>14.8113107425</v>
      </c>
      <c r="AX201" s="9"/>
      <c r="AY201" s="22">
        <v>0.86181600000000003</v>
      </c>
      <c r="AZ201" s="22">
        <v>492.29199999999997</v>
      </c>
      <c r="BA201" s="22">
        <v>-1.7077599999999998E-2</v>
      </c>
      <c r="BB201" s="22">
        <v>191</v>
      </c>
      <c r="BC201" s="22">
        <v>0.86151100000000003</v>
      </c>
      <c r="BD201">
        <f t="shared" si="34"/>
        <v>17.077599999999997</v>
      </c>
      <c r="BE201">
        <f t="shared" si="35"/>
        <v>14.717748921599998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127.569</v>
      </c>
      <c r="I202" s="22">
        <v>-1.7053200000000001E-2</v>
      </c>
      <c r="J202" s="22">
        <v>192</v>
      </c>
      <c r="K202" s="22">
        <v>0.86181600000000003</v>
      </c>
      <c r="L202">
        <f t="shared" si="24"/>
        <v>17.0532</v>
      </c>
      <c r="M202">
        <f t="shared" si="25"/>
        <v>14.720151708000001</v>
      </c>
      <c r="N202" s="9"/>
      <c r="O202" s="22">
        <v>0.86685199999999996</v>
      </c>
      <c r="P202" s="22">
        <v>176.67099999999999</v>
      </c>
      <c r="Q202" s="22">
        <v>-1.70563E-2</v>
      </c>
      <c r="R202" s="22">
        <v>192</v>
      </c>
      <c r="S202" s="22">
        <v>0.865479</v>
      </c>
      <c r="T202">
        <f t="shared" si="26"/>
        <v>17.0563</v>
      </c>
      <c r="U202">
        <f t="shared" si="27"/>
        <v>14.7852877676</v>
      </c>
      <c r="X202" s="9"/>
      <c r="Y202" s="22">
        <v>0.86319000000000001</v>
      </c>
      <c r="Z202" s="22">
        <v>232.827</v>
      </c>
      <c r="AA202" s="22">
        <v>-1.70685E-2</v>
      </c>
      <c r="AB202" s="22">
        <v>192</v>
      </c>
      <c r="AC202" s="22">
        <v>0.86212200000000005</v>
      </c>
      <c r="AD202">
        <f t="shared" si="28"/>
        <v>17.0685</v>
      </c>
      <c r="AE202">
        <f t="shared" si="29"/>
        <v>14.733358515000001</v>
      </c>
      <c r="AF202" s="9"/>
      <c r="AG202" s="22">
        <v>0.86685199999999996</v>
      </c>
      <c r="AH202" s="22">
        <v>363.49799999999999</v>
      </c>
      <c r="AI202" s="22">
        <v>-1.7053200000000001E-2</v>
      </c>
      <c r="AJ202" s="22">
        <v>192</v>
      </c>
      <c r="AK202" s="22">
        <v>0.866089</v>
      </c>
      <c r="AL202">
        <f t="shared" si="30"/>
        <v>17.0532</v>
      </c>
      <c r="AM202">
        <f t="shared" si="31"/>
        <v>14.7826005264</v>
      </c>
      <c r="AP202" s="9"/>
      <c r="AQ202" s="22">
        <v>0.86319000000000001</v>
      </c>
      <c r="AR202" s="22">
        <v>441.37900000000002</v>
      </c>
      <c r="AS202" s="22">
        <v>-1.7062399999999998E-2</v>
      </c>
      <c r="AT202" s="22">
        <v>192</v>
      </c>
      <c r="AU202" s="22">
        <v>0.86242700000000005</v>
      </c>
      <c r="AV202">
        <f t="shared" si="32"/>
        <v>17.062399999999997</v>
      </c>
      <c r="AW202">
        <f t="shared" si="33"/>
        <v>14.728093055999997</v>
      </c>
      <c r="AX202" s="9"/>
      <c r="AY202" s="22">
        <v>0.86685199999999996</v>
      </c>
      <c r="AZ202" s="22">
        <v>492.39299999999997</v>
      </c>
      <c r="BA202" s="22">
        <v>-1.70685E-2</v>
      </c>
      <c r="BB202" s="22">
        <v>192</v>
      </c>
      <c r="BC202" s="22">
        <v>0.865784</v>
      </c>
      <c r="BD202">
        <f t="shared" si="34"/>
        <v>17.0685</v>
      </c>
      <c r="BE202">
        <f t="shared" si="35"/>
        <v>14.795863361999999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127.67</v>
      </c>
      <c r="I203" s="22">
        <v>-1.70563E-2</v>
      </c>
      <c r="J203" s="22">
        <v>193</v>
      </c>
      <c r="K203" s="22">
        <v>0.85754399999999997</v>
      </c>
      <c r="L203">
        <f t="shared" si="24"/>
        <v>17.0563</v>
      </c>
      <c r="M203">
        <f t="shared" si="25"/>
        <v>14.6369320702</v>
      </c>
      <c r="N203" s="9"/>
      <c r="O203" s="22">
        <v>0.87188699999999997</v>
      </c>
      <c r="P203" s="22">
        <v>176.77099999999999</v>
      </c>
      <c r="Q203" s="22">
        <v>-1.7047099999999999E-2</v>
      </c>
      <c r="R203" s="22">
        <v>193</v>
      </c>
      <c r="S203" s="22">
        <v>0.87097199999999997</v>
      </c>
      <c r="T203">
        <f t="shared" si="26"/>
        <v>17.0471</v>
      </c>
      <c r="U203">
        <f t="shared" si="27"/>
        <v>14.8631448777</v>
      </c>
      <c r="X203" s="9"/>
      <c r="Y203" s="22">
        <v>0.85815399999999997</v>
      </c>
      <c r="Z203" s="22">
        <v>232.928</v>
      </c>
      <c r="AA203" s="22">
        <v>-1.70715E-2</v>
      </c>
      <c r="AB203" s="22">
        <v>193</v>
      </c>
      <c r="AC203" s="22">
        <v>0.85693399999999997</v>
      </c>
      <c r="AD203">
        <f t="shared" si="28"/>
        <v>17.0715</v>
      </c>
      <c r="AE203">
        <f t="shared" si="29"/>
        <v>14.649976011</v>
      </c>
      <c r="AF203" s="9"/>
      <c r="AG203" s="22">
        <v>0.87188699999999997</v>
      </c>
      <c r="AH203" s="22">
        <v>363.59800000000001</v>
      </c>
      <c r="AI203" s="22">
        <v>-1.70441E-2</v>
      </c>
      <c r="AJ203" s="22">
        <v>193</v>
      </c>
      <c r="AK203" s="22">
        <v>0.87097199999999997</v>
      </c>
      <c r="AL203">
        <f t="shared" si="30"/>
        <v>17.0441</v>
      </c>
      <c r="AM203">
        <f t="shared" si="31"/>
        <v>14.8605292167</v>
      </c>
      <c r="AP203" s="9"/>
      <c r="AQ203" s="22">
        <v>0.85815399999999997</v>
      </c>
      <c r="AR203" s="22">
        <v>441.48</v>
      </c>
      <c r="AS203" s="22">
        <v>-1.70715E-2</v>
      </c>
      <c r="AT203" s="22">
        <v>193</v>
      </c>
      <c r="AU203" s="22">
        <v>0.85754399999999997</v>
      </c>
      <c r="AV203">
        <f t="shared" si="32"/>
        <v>17.0715</v>
      </c>
      <c r="AW203">
        <f t="shared" si="33"/>
        <v>14.649976011</v>
      </c>
      <c r="AX203" s="9"/>
      <c r="AY203" s="22">
        <v>0.87188699999999997</v>
      </c>
      <c r="AZ203" s="22">
        <v>492.49299999999999</v>
      </c>
      <c r="BA203" s="22">
        <v>-1.7065400000000001E-2</v>
      </c>
      <c r="BB203" s="22">
        <v>193</v>
      </c>
      <c r="BC203" s="22">
        <v>0.87066699999999997</v>
      </c>
      <c r="BD203">
        <f t="shared" si="34"/>
        <v>17.0654</v>
      </c>
      <c r="BE203">
        <f t="shared" si="35"/>
        <v>14.879100409799999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127.77</v>
      </c>
      <c r="I204" s="22">
        <v>-1.7062399999999998E-2</v>
      </c>
      <c r="J204" s="22">
        <v>194</v>
      </c>
      <c r="K204" s="22">
        <v>0.851746</v>
      </c>
      <c r="L204">
        <f t="shared" ref="L204:L267" si="36">-I204/$F$2*1000</f>
        <v>17.062399999999997</v>
      </c>
      <c r="M204">
        <f t="shared" ref="M204:M267" si="37">L204*G204</f>
        <v>14.556257625599997</v>
      </c>
      <c r="N204" s="9"/>
      <c r="O204" s="22">
        <v>0.87692300000000001</v>
      </c>
      <c r="P204" s="22">
        <v>176.87200000000001</v>
      </c>
      <c r="Q204" s="22">
        <v>-1.7050200000000001E-2</v>
      </c>
      <c r="R204" s="22">
        <v>194</v>
      </c>
      <c r="S204" s="22">
        <v>0.87554900000000002</v>
      </c>
      <c r="T204">
        <f t="shared" ref="T204:T267" si="38">-Q204/$F$2*1000</f>
        <v>17.0502</v>
      </c>
      <c r="U204">
        <f t="shared" ref="U204:U267" si="39">T204*O204</f>
        <v>14.9517125346</v>
      </c>
      <c r="X204" s="9"/>
      <c r="Y204" s="22">
        <v>0.85311899999999996</v>
      </c>
      <c r="Z204" s="22">
        <v>233.029</v>
      </c>
      <c r="AA204" s="22">
        <v>-1.7080700000000001E-2</v>
      </c>
      <c r="AB204" s="22">
        <v>194</v>
      </c>
      <c r="AC204" s="22">
        <v>0.852356</v>
      </c>
      <c r="AD204">
        <f t="shared" ref="AD204:AD267" si="40">-AA204/$F$2*1000</f>
        <v>17.0807</v>
      </c>
      <c r="AE204">
        <f t="shared" ref="AE204:AE267" si="41">AD204*Y204</f>
        <v>14.571869703299999</v>
      </c>
      <c r="AF204" s="9"/>
      <c r="AG204" s="22">
        <v>0.87692300000000001</v>
      </c>
      <c r="AH204" s="22">
        <v>363.69900000000001</v>
      </c>
      <c r="AI204" s="22">
        <v>-1.7038000000000001E-2</v>
      </c>
      <c r="AJ204" s="22">
        <v>194</v>
      </c>
      <c r="AK204" s="22">
        <v>0.87616000000000005</v>
      </c>
      <c r="AL204">
        <f t="shared" ref="AL204:AL267" si="42">-AI204/$F$2*1000</f>
        <v>17.038</v>
      </c>
      <c r="AM204">
        <f t="shared" ref="AM204:AM267" si="43">AL204*AG204</f>
        <v>14.941014074</v>
      </c>
      <c r="AP204" s="9"/>
      <c r="AQ204" s="22">
        <v>0.85311899999999996</v>
      </c>
      <c r="AR204" s="22">
        <v>441.58</v>
      </c>
      <c r="AS204" s="22">
        <v>-1.70685E-2</v>
      </c>
      <c r="AT204" s="22">
        <v>194</v>
      </c>
      <c r="AU204" s="22">
        <v>0.852051</v>
      </c>
      <c r="AV204">
        <f t="shared" ref="AV204:AV267" si="44">-AS204/$F$2*1000</f>
        <v>17.0685</v>
      </c>
      <c r="AW204">
        <f t="shared" ref="AW204:AW267" si="45">AV204*AQ204</f>
        <v>14.5614616515</v>
      </c>
      <c r="AX204" s="9"/>
      <c r="AY204" s="22">
        <v>0.87692300000000001</v>
      </c>
      <c r="AZ204" s="22">
        <v>492.59399999999999</v>
      </c>
      <c r="BA204" s="22">
        <v>-1.7062399999999998E-2</v>
      </c>
      <c r="BB204" s="22">
        <v>194</v>
      </c>
      <c r="BC204" s="22">
        <v>0.87554900000000002</v>
      </c>
      <c r="BD204">
        <f t="shared" ref="BD204:BD267" si="46">-BA204/$F$2*1000</f>
        <v>17.062399999999997</v>
      </c>
      <c r="BE204">
        <f t="shared" ref="BE204:BE267" si="47">BD204*AY204</f>
        <v>14.962410995199997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127.871</v>
      </c>
      <c r="I205" s="22">
        <v>-1.7065400000000001E-2</v>
      </c>
      <c r="J205" s="22">
        <v>195</v>
      </c>
      <c r="K205" s="22">
        <v>0.84655800000000003</v>
      </c>
      <c r="L205">
        <f t="shared" si="36"/>
        <v>17.0654</v>
      </c>
      <c r="M205">
        <f t="shared" si="37"/>
        <v>14.472875628200001</v>
      </c>
      <c r="N205" s="9"/>
      <c r="O205" s="22">
        <v>0.88195800000000002</v>
      </c>
      <c r="P205" s="22">
        <v>176.97300000000001</v>
      </c>
      <c r="Q205" s="22">
        <v>-1.7050200000000001E-2</v>
      </c>
      <c r="R205" s="22">
        <v>195</v>
      </c>
      <c r="S205" s="22">
        <v>0.88104199999999999</v>
      </c>
      <c r="T205">
        <f t="shared" si="38"/>
        <v>17.0502</v>
      </c>
      <c r="U205">
        <f t="shared" si="39"/>
        <v>15.0375602916</v>
      </c>
      <c r="X205" s="9"/>
      <c r="Y205" s="22">
        <v>0.84808300000000003</v>
      </c>
      <c r="Z205" s="22">
        <v>233.13</v>
      </c>
      <c r="AA205" s="22">
        <v>-1.7080700000000001E-2</v>
      </c>
      <c r="AB205" s="22">
        <v>195</v>
      </c>
      <c r="AC205" s="22">
        <v>0.84747300000000003</v>
      </c>
      <c r="AD205">
        <f t="shared" si="40"/>
        <v>17.0807</v>
      </c>
      <c r="AE205">
        <f t="shared" si="41"/>
        <v>14.4858512981</v>
      </c>
      <c r="AF205" s="9"/>
      <c r="AG205" s="22">
        <v>0.88195800000000002</v>
      </c>
      <c r="AH205" s="22">
        <v>363.8</v>
      </c>
      <c r="AI205" s="22">
        <v>-1.7038000000000001E-2</v>
      </c>
      <c r="AJ205" s="22">
        <v>195</v>
      </c>
      <c r="AK205" s="22">
        <v>0.88073699999999999</v>
      </c>
      <c r="AL205">
        <f t="shared" si="42"/>
        <v>17.038</v>
      </c>
      <c r="AM205">
        <f t="shared" si="43"/>
        <v>15.026800404000001</v>
      </c>
      <c r="AP205" s="9"/>
      <c r="AQ205" s="22">
        <v>0.84808300000000003</v>
      </c>
      <c r="AR205" s="22">
        <v>441.68099999999998</v>
      </c>
      <c r="AS205" s="22">
        <v>-1.7074599999999999E-2</v>
      </c>
      <c r="AT205" s="22">
        <v>195</v>
      </c>
      <c r="AU205" s="22">
        <v>0.84747300000000003</v>
      </c>
      <c r="AV205">
        <f t="shared" si="44"/>
        <v>17.0746</v>
      </c>
      <c r="AW205">
        <f t="shared" si="45"/>
        <v>14.4806779918</v>
      </c>
      <c r="AX205" s="9"/>
      <c r="AY205" s="22">
        <v>0.88195800000000002</v>
      </c>
      <c r="AZ205" s="22">
        <v>492.69499999999999</v>
      </c>
      <c r="BA205" s="22">
        <v>-1.7059299999999999E-2</v>
      </c>
      <c r="BB205" s="22">
        <v>195</v>
      </c>
      <c r="BC205" s="22">
        <v>0.88043199999999999</v>
      </c>
      <c r="BD205">
        <f t="shared" si="46"/>
        <v>17.0593</v>
      </c>
      <c r="BE205">
        <f t="shared" si="47"/>
        <v>15.0455861094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127.97199999999999</v>
      </c>
      <c r="I206" s="22">
        <v>-1.70685E-2</v>
      </c>
      <c r="J206" s="22">
        <v>196</v>
      </c>
      <c r="K206" s="22">
        <v>0.84167499999999995</v>
      </c>
      <c r="L206">
        <f t="shared" si="36"/>
        <v>17.0685</v>
      </c>
      <c r="M206">
        <f t="shared" si="37"/>
        <v>14.389564788000001</v>
      </c>
      <c r="N206" s="9"/>
      <c r="O206" s="22">
        <v>0.88699300000000003</v>
      </c>
      <c r="P206" s="22">
        <v>177.07300000000001</v>
      </c>
      <c r="Q206" s="22">
        <v>-1.7038000000000001E-2</v>
      </c>
      <c r="R206" s="22">
        <v>196</v>
      </c>
      <c r="S206" s="22">
        <v>0.88622999999999996</v>
      </c>
      <c r="T206">
        <f t="shared" si="38"/>
        <v>17.038</v>
      </c>
      <c r="U206">
        <f t="shared" si="39"/>
        <v>15.112586734000001</v>
      </c>
      <c r="X206" s="9"/>
      <c r="Y206" s="22">
        <v>0.84304800000000002</v>
      </c>
      <c r="Z206" s="22">
        <v>233.23</v>
      </c>
      <c r="AA206" s="22">
        <v>-1.7089799999999999E-2</v>
      </c>
      <c r="AB206" s="22">
        <v>196</v>
      </c>
      <c r="AC206" s="22">
        <v>0.84197999999999995</v>
      </c>
      <c r="AD206">
        <f t="shared" si="40"/>
        <v>17.0898</v>
      </c>
      <c r="AE206">
        <f t="shared" si="41"/>
        <v>14.407521710400001</v>
      </c>
      <c r="AF206" s="9"/>
      <c r="AG206" s="22">
        <v>0.88699300000000003</v>
      </c>
      <c r="AH206" s="22">
        <v>363.9</v>
      </c>
      <c r="AI206" s="22">
        <v>-1.70288E-2</v>
      </c>
      <c r="AJ206" s="22">
        <v>196</v>
      </c>
      <c r="AK206" s="22">
        <v>0.88653599999999999</v>
      </c>
      <c r="AL206">
        <f t="shared" si="42"/>
        <v>17.0288</v>
      </c>
      <c r="AM206">
        <f t="shared" si="43"/>
        <v>15.104426398400001</v>
      </c>
      <c r="AP206" s="9"/>
      <c r="AQ206" s="22">
        <v>0.84304800000000002</v>
      </c>
      <c r="AR206" s="22">
        <v>441.78199999999998</v>
      </c>
      <c r="AS206" s="22">
        <v>-1.7077599999999998E-2</v>
      </c>
      <c r="AT206" s="22">
        <v>196</v>
      </c>
      <c r="AU206" s="22">
        <v>0.84197999999999995</v>
      </c>
      <c r="AV206">
        <f t="shared" si="44"/>
        <v>17.077599999999997</v>
      </c>
      <c r="AW206">
        <f t="shared" si="45"/>
        <v>14.397236524799998</v>
      </c>
      <c r="AX206" s="9"/>
      <c r="AY206" s="22">
        <v>0.88699300000000003</v>
      </c>
      <c r="AZ206" s="22">
        <v>492.79599999999999</v>
      </c>
      <c r="BA206" s="22">
        <v>-1.70563E-2</v>
      </c>
      <c r="BB206" s="22">
        <v>196</v>
      </c>
      <c r="BC206" s="22">
        <v>0.88561999999999996</v>
      </c>
      <c r="BD206">
        <f t="shared" si="46"/>
        <v>17.0563</v>
      </c>
      <c r="BE206">
        <f t="shared" si="47"/>
        <v>15.128818705900001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128.072</v>
      </c>
      <c r="I207" s="22">
        <v>-1.7074599999999999E-2</v>
      </c>
      <c r="J207" s="22">
        <v>197</v>
      </c>
      <c r="K207" s="22">
        <v>0.83740199999999998</v>
      </c>
      <c r="L207">
        <f t="shared" si="36"/>
        <v>17.0746</v>
      </c>
      <c r="M207">
        <f t="shared" si="37"/>
        <v>14.308736769800001</v>
      </c>
      <c r="N207" s="9"/>
      <c r="O207" s="22">
        <v>0.89202899999999996</v>
      </c>
      <c r="P207" s="22">
        <v>177.17400000000001</v>
      </c>
      <c r="Q207" s="22">
        <v>-1.7034899999999999E-2</v>
      </c>
      <c r="R207" s="22">
        <v>197</v>
      </c>
      <c r="S207" s="22">
        <v>0.89080800000000004</v>
      </c>
      <c r="T207">
        <f t="shared" si="38"/>
        <v>17.0349</v>
      </c>
      <c r="U207">
        <f t="shared" si="39"/>
        <v>15.1956248121</v>
      </c>
      <c r="X207" s="9"/>
      <c r="Y207" s="22">
        <v>0.83801300000000001</v>
      </c>
      <c r="Z207" s="22">
        <v>233.33099999999999</v>
      </c>
      <c r="AA207" s="22">
        <v>-1.7092900000000001E-2</v>
      </c>
      <c r="AB207" s="22">
        <v>197</v>
      </c>
      <c r="AC207" s="22">
        <v>0.83679199999999998</v>
      </c>
      <c r="AD207">
        <f t="shared" si="40"/>
        <v>17.0929</v>
      </c>
      <c r="AE207">
        <f t="shared" si="41"/>
        <v>14.324072407700001</v>
      </c>
      <c r="AF207" s="9"/>
      <c r="AG207" s="22">
        <v>0.89202899999999996</v>
      </c>
      <c r="AH207" s="22">
        <v>364.00099999999998</v>
      </c>
      <c r="AI207" s="22">
        <v>-1.70288E-2</v>
      </c>
      <c r="AJ207" s="22">
        <v>197</v>
      </c>
      <c r="AK207" s="22">
        <v>0.89080800000000004</v>
      </c>
      <c r="AL207">
        <f t="shared" si="42"/>
        <v>17.0288</v>
      </c>
      <c r="AM207">
        <f t="shared" si="43"/>
        <v>15.1901834352</v>
      </c>
      <c r="AP207" s="9"/>
      <c r="AQ207" s="22">
        <v>0.83801300000000001</v>
      </c>
      <c r="AR207" s="22">
        <v>441.88200000000001</v>
      </c>
      <c r="AS207" s="22">
        <v>-1.7080700000000001E-2</v>
      </c>
      <c r="AT207" s="22">
        <v>197</v>
      </c>
      <c r="AU207" s="22">
        <v>0.83679199999999998</v>
      </c>
      <c r="AV207">
        <f t="shared" si="44"/>
        <v>17.0807</v>
      </c>
      <c r="AW207">
        <f t="shared" si="45"/>
        <v>14.313848649100001</v>
      </c>
      <c r="AX207" s="9"/>
      <c r="AY207" s="22">
        <v>0.89202899999999996</v>
      </c>
      <c r="AZ207" s="22">
        <v>492.89600000000002</v>
      </c>
      <c r="BA207" s="22">
        <v>-1.7053200000000001E-2</v>
      </c>
      <c r="BB207" s="22">
        <v>197</v>
      </c>
      <c r="BC207" s="22">
        <v>0.89111300000000004</v>
      </c>
      <c r="BD207">
        <f t="shared" si="46"/>
        <v>17.0532</v>
      </c>
      <c r="BE207">
        <f t="shared" si="47"/>
        <v>15.211948942799999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128.173</v>
      </c>
      <c r="I208" s="22">
        <v>-1.7077599999999998E-2</v>
      </c>
      <c r="J208" s="22">
        <v>198</v>
      </c>
      <c r="K208" s="22">
        <v>0.83190900000000001</v>
      </c>
      <c r="L208">
        <f t="shared" si="36"/>
        <v>17.077599999999997</v>
      </c>
      <c r="M208">
        <f t="shared" si="37"/>
        <v>14.225248015199996</v>
      </c>
      <c r="N208" s="9"/>
      <c r="O208" s="22">
        <v>0.89706399999999997</v>
      </c>
      <c r="P208" s="22">
        <v>177.27500000000001</v>
      </c>
      <c r="Q208" s="22">
        <v>-1.7034899999999999E-2</v>
      </c>
      <c r="R208" s="22">
        <v>198</v>
      </c>
      <c r="S208" s="22">
        <v>0.89630100000000001</v>
      </c>
      <c r="T208">
        <f t="shared" si="38"/>
        <v>17.0349</v>
      </c>
      <c r="U208">
        <f t="shared" si="39"/>
        <v>15.2813955336</v>
      </c>
      <c r="X208" s="9"/>
      <c r="Y208" s="22">
        <v>0.83297699999999997</v>
      </c>
      <c r="Z208" s="22">
        <v>233.43199999999999</v>
      </c>
      <c r="AA208" s="22">
        <v>-1.7095900000000001E-2</v>
      </c>
      <c r="AB208" s="22">
        <v>198</v>
      </c>
      <c r="AC208" s="22">
        <v>0.83190900000000001</v>
      </c>
      <c r="AD208">
        <f t="shared" si="40"/>
        <v>17.0959</v>
      </c>
      <c r="AE208">
        <f t="shared" si="41"/>
        <v>14.2404914943</v>
      </c>
      <c r="AF208" s="9"/>
      <c r="AG208" s="22">
        <v>0.89706399999999997</v>
      </c>
      <c r="AH208" s="22">
        <v>364.10199999999998</v>
      </c>
      <c r="AI208" s="22">
        <v>-1.7025800000000001E-2</v>
      </c>
      <c r="AJ208" s="22">
        <v>198</v>
      </c>
      <c r="AK208" s="22">
        <v>0.89569100000000001</v>
      </c>
      <c r="AL208">
        <f t="shared" si="42"/>
        <v>17.0258</v>
      </c>
      <c r="AM208">
        <f t="shared" si="43"/>
        <v>15.2732322512</v>
      </c>
      <c r="AP208" s="9"/>
      <c r="AQ208" s="22">
        <v>0.83297699999999997</v>
      </c>
      <c r="AR208" s="22">
        <v>441.983</v>
      </c>
      <c r="AS208" s="22">
        <v>-1.7089799999999999E-2</v>
      </c>
      <c r="AT208" s="22">
        <v>198</v>
      </c>
      <c r="AU208" s="22">
        <v>0.83221400000000001</v>
      </c>
      <c r="AV208">
        <f t="shared" si="44"/>
        <v>17.0898</v>
      </c>
      <c r="AW208">
        <f t="shared" si="45"/>
        <v>14.235410334599999</v>
      </c>
      <c r="AX208" s="9"/>
      <c r="AY208" s="22">
        <v>0.89706399999999997</v>
      </c>
      <c r="AZ208" s="22">
        <v>492.99700000000001</v>
      </c>
      <c r="BA208" s="22">
        <v>-1.7050200000000001E-2</v>
      </c>
      <c r="BB208" s="22">
        <v>198</v>
      </c>
      <c r="BC208" s="22">
        <v>0.89569100000000001</v>
      </c>
      <c r="BD208">
        <f t="shared" si="46"/>
        <v>17.0502</v>
      </c>
      <c r="BE208">
        <f t="shared" si="47"/>
        <v>15.2951206128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128.274</v>
      </c>
      <c r="I209" s="22">
        <v>-1.7080700000000001E-2</v>
      </c>
      <c r="J209" s="22">
        <v>199</v>
      </c>
      <c r="K209" s="22">
        <v>0.82611100000000004</v>
      </c>
      <c r="L209">
        <f t="shared" si="36"/>
        <v>17.0807</v>
      </c>
      <c r="M209">
        <f t="shared" si="37"/>
        <v>14.1418289194</v>
      </c>
      <c r="N209" s="9"/>
      <c r="O209" s="22">
        <v>0.90210000000000001</v>
      </c>
      <c r="P209" s="22">
        <v>177.375</v>
      </c>
      <c r="Q209" s="22">
        <v>-1.7031899999999999E-2</v>
      </c>
      <c r="R209" s="22">
        <v>199</v>
      </c>
      <c r="S209" s="22">
        <v>0.90179399999999998</v>
      </c>
      <c r="T209">
        <f t="shared" si="38"/>
        <v>17.0319</v>
      </c>
      <c r="U209">
        <f t="shared" si="39"/>
        <v>15.36447699</v>
      </c>
      <c r="X209" s="9"/>
      <c r="Y209" s="22">
        <v>0.82794199999999996</v>
      </c>
      <c r="Z209" s="22">
        <v>233.53200000000001</v>
      </c>
      <c r="AA209" s="22">
        <v>-1.7099E-2</v>
      </c>
      <c r="AB209" s="22">
        <v>199</v>
      </c>
      <c r="AC209" s="22">
        <v>0.82702600000000004</v>
      </c>
      <c r="AD209">
        <f t="shared" si="40"/>
        <v>17.099</v>
      </c>
      <c r="AE209">
        <f t="shared" si="41"/>
        <v>14.156980257999999</v>
      </c>
      <c r="AF209" s="9"/>
      <c r="AG209" s="22">
        <v>0.90210000000000001</v>
      </c>
      <c r="AH209" s="22">
        <v>364.20299999999997</v>
      </c>
      <c r="AI209" s="22">
        <v>-1.7019699999999999E-2</v>
      </c>
      <c r="AJ209" s="22">
        <v>199</v>
      </c>
      <c r="AK209" s="22">
        <v>0.90118399999999999</v>
      </c>
      <c r="AL209">
        <f t="shared" si="42"/>
        <v>17.0197</v>
      </c>
      <c r="AM209">
        <f t="shared" si="43"/>
        <v>15.353471370000001</v>
      </c>
      <c r="AP209" s="9"/>
      <c r="AQ209" s="22">
        <v>0.82794199999999996</v>
      </c>
      <c r="AR209" s="22">
        <v>442.084</v>
      </c>
      <c r="AS209" s="22">
        <v>-1.7092900000000001E-2</v>
      </c>
      <c r="AT209" s="22">
        <v>199</v>
      </c>
      <c r="AU209" s="22">
        <v>0.82702600000000004</v>
      </c>
      <c r="AV209">
        <f t="shared" si="44"/>
        <v>17.0929</v>
      </c>
      <c r="AW209">
        <f t="shared" si="45"/>
        <v>14.151929811799999</v>
      </c>
      <c r="AX209" s="9"/>
      <c r="AY209" s="22">
        <v>0.90210000000000001</v>
      </c>
      <c r="AZ209" s="22">
        <v>493.09800000000001</v>
      </c>
      <c r="BA209" s="22">
        <v>-1.7041000000000001E-2</v>
      </c>
      <c r="BB209" s="22">
        <v>199</v>
      </c>
      <c r="BC209" s="22">
        <v>0.90118399999999999</v>
      </c>
      <c r="BD209">
        <f t="shared" si="46"/>
        <v>17.041</v>
      </c>
      <c r="BE209">
        <f t="shared" si="47"/>
        <v>15.372686100000001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128.374</v>
      </c>
      <c r="I210" s="22">
        <v>-1.7086799999999999E-2</v>
      </c>
      <c r="J210" s="22">
        <v>200</v>
      </c>
      <c r="K210" s="22">
        <v>0.82244899999999999</v>
      </c>
      <c r="L210">
        <f t="shared" si="36"/>
        <v>17.0868</v>
      </c>
      <c r="M210">
        <f t="shared" si="37"/>
        <v>14.060830240800001</v>
      </c>
      <c r="N210" s="9"/>
      <c r="O210" s="22">
        <v>0.90713500000000002</v>
      </c>
      <c r="P210" s="22">
        <v>177.476</v>
      </c>
      <c r="Q210" s="22">
        <v>-1.7025800000000001E-2</v>
      </c>
      <c r="R210" s="22">
        <v>200</v>
      </c>
      <c r="S210" s="22">
        <v>0.90606699999999996</v>
      </c>
      <c r="T210">
        <f t="shared" si="38"/>
        <v>17.0258</v>
      </c>
      <c r="U210">
        <f t="shared" si="39"/>
        <v>15.444699083000001</v>
      </c>
      <c r="X210" s="9"/>
      <c r="Y210" s="22">
        <v>0.82290600000000003</v>
      </c>
      <c r="Z210" s="22">
        <v>233.63300000000001</v>
      </c>
      <c r="AA210" s="22">
        <v>-1.7099E-2</v>
      </c>
      <c r="AB210" s="22">
        <v>200</v>
      </c>
      <c r="AC210" s="22">
        <v>0.82214399999999999</v>
      </c>
      <c r="AD210">
        <f t="shared" si="40"/>
        <v>17.099</v>
      </c>
      <c r="AE210">
        <f t="shared" si="41"/>
        <v>14.070869694000001</v>
      </c>
      <c r="AF210" s="9"/>
      <c r="AG210" s="22">
        <v>0.90713500000000002</v>
      </c>
      <c r="AH210" s="22">
        <v>364.303</v>
      </c>
      <c r="AI210" s="22">
        <v>-1.70166E-2</v>
      </c>
      <c r="AJ210" s="22">
        <v>200</v>
      </c>
      <c r="AK210" s="22">
        <v>0.90667699999999996</v>
      </c>
      <c r="AL210">
        <f t="shared" si="42"/>
        <v>17.0166</v>
      </c>
      <c r="AM210">
        <f t="shared" si="43"/>
        <v>15.436353441000001</v>
      </c>
      <c r="AP210" s="9"/>
      <c r="AQ210" s="22">
        <v>0.82290600000000003</v>
      </c>
      <c r="AR210" s="22">
        <v>442.185</v>
      </c>
      <c r="AS210" s="22">
        <v>-1.7089799999999999E-2</v>
      </c>
      <c r="AT210" s="22">
        <v>200</v>
      </c>
      <c r="AU210" s="22">
        <v>0.82244899999999999</v>
      </c>
      <c r="AV210">
        <f t="shared" si="44"/>
        <v>17.0898</v>
      </c>
      <c r="AW210">
        <f t="shared" si="45"/>
        <v>14.063298958800001</v>
      </c>
      <c r="AX210" s="9"/>
      <c r="AY210" s="22">
        <v>0.90713500000000002</v>
      </c>
      <c r="AZ210" s="22">
        <v>493.19799999999998</v>
      </c>
      <c r="BA210" s="22">
        <v>-1.7041000000000001E-2</v>
      </c>
      <c r="BB210" s="22">
        <v>200</v>
      </c>
      <c r="BC210" s="22">
        <v>0.90606699999999996</v>
      </c>
      <c r="BD210">
        <f t="shared" si="46"/>
        <v>17.041</v>
      </c>
      <c r="BE210">
        <f t="shared" si="47"/>
        <v>15.458487535000002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128.47499999999999</v>
      </c>
      <c r="I211" s="22">
        <v>-1.7089799999999999E-2</v>
      </c>
      <c r="J211" s="22">
        <v>201</v>
      </c>
      <c r="K211" s="22">
        <v>0.81664999999999999</v>
      </c>
      <c r="L211">
        <f t="shared" si="36"/>
        <v>17.0898</v>
      </c>
      <c r="M211">
        <f t="shared" si="37"/>
        <v>13.977251815800001</v>
      </c>
      <c r="N211" s="9"/>
      <c r="O211" s="22">
        <v>0.91217000000000004</v>
      </c>
      <c r="P211" s="22">
        <v>177.577</v>
      </c>
      <c r="Q211" s="22">
        <v>-1.7022700000000002E-2</v>
      </c>
      <c r="R211" s="22">
        <v>201</v>
      </c>
      <c r="S211" s="22">
        <v>0.91095000000000004</v>
      </c>
      <c r="T211">
        <f t="shared" si="38"/>
        <v>17.0227</v>
      </c>
      <c r="U211">
        <f t="shared" si="39"/>
        <v>15.527596259000001</v>
      </c>
      <c r="X211" s="9"/>
      <c r="Y211" s="22">
        <v>0.81787100000000001</v>
      </c>
      <c r="Z211" s="22">
        <v>233.73400000000001</v>
      </c>
      <c r="AA211" s="22">
        <v>-1.71082E-2</v>
      </c>
      <c r="AB211" s="22">
        <v>201</v>
      </c>
      <c r="AC211" s="22">
        <v>0.81726100000000002</v>
      </c>
      <c r="AD211">
        <f t="shared" si="40"/>
        <v>17.1082</v>
      </c>
      <c r="AE211">
        <f t="shared" si="41"/>
        <v>13.9923006422</v>
      </c>
      <c r="AF211" s="9"/>
      <c r="AG211" s="22">
        <v>0.91217000000000004</v>
      </c>
      <c r="AH211" s="22">
        <v>364.404</v>
      </c>
      <c r="AI211" s="22">
        <v>-1.7007399999999999E-2</v>
      </c>
      <c r="AJ211" s="22">
        <v>201</v>
      </c>
      <c r="AK211" s="22">
        <v>0.91125500000000004</v>
      </c>
      <c r="AL211">
        <f t="shared" si="42"/>
        <v>17.007400000000001</v>
      </c>
      <c r="AM211">
        <f t="shared" si="43"/>
        <v>15.513640058000002</v>
      </c>
      <c r="AP211" s="9"/>
      <c r="AQ211" s="22">
        <v>0.81787100000000001</v>
      </c>
      <c r="AR211" s="22">
        <v>442.28500000000003</v>
      </c>
      <c r="AS211" s="22">
        <v>-1.7095900000000001E-2</v>
      </c>
      <c r="AT211" s="22">
        <v>201</v>
      </c>
      <c r="AU211" s="22">
        <v>0.81634499999999999</v>
      </c>
      <c r="AV211">
        <f t="shared" si="44"/>
        <v>17.0959</v>
      </c>
      <c r="AW211">
        <f t="shared" si="45"/>
        <v>13.9822408289</v>
      </c>
      <c r="AX211" s="9"/>
      <c r="AY211" s="22">
        <v>0.91217000000000004</v>
      </c>
      <c r="AZ211" s="22">
        <v>493.29899999999998</v>
      </c>
      <c r="BA211" s="22">
        <v>-1.7034899999999999E-2</v>
      </c>
      <c r="BB211" s="22">
        <v>201</v>
      </c>
      <c r="BC211" s="22">
        <v>0.91095000000000004</v>
      </c>
      <c r="BD211">
        <f t="shared" si="46"/>
        <v>17.0349</v>
      </c>
      <c r="BE211">
        <f t="shared" si="47"/>
        <v>15.538724733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128.57599999999999</v>
      </c>
      <c r="I212" s="22">
        <v>-1.7086799999999999E-2</v>
      </c>
      <c r="J212" s="22">
        <v>202</v>
      </c>
      <c r="K212" s="22">
        <v>0.81207300000000004</v>
      </c>
      <c r="L212">
        <f t="shared" si="36"/>
        <v>17.0868</v>
      </c>
      <c r="M212">
        <f t="shared" si="37"/>
        <v>13.8887661648</v>
      </c>
      <c r="N212" s="9"/>
      <c r="O212" s="22">
        <v>0.91720599999999997</v>
      </c>
      <c r="P212" s="22">
        <v>177.678</v>
      </c>
      <c r="Q212" s="22">
        <v>-1.7019699999999999E-2</v>
      </c>
      <c r="R212" s="22">
        <v>202</v>
      </c>
      <c r="S212" s="22">
        <v>0.91613800000000001</v>
      </c>
      <c r="T212">
        <f t="shared" si="38"/>
        <v>17.0197</v>
      </c>
      <c r="U212">
        <f t="shared" si="39"/>
        <v>15.6105709582</v>
      </c>
      <c r="X212" s="9"/>
      <c r="Y212" s="22">
        <v>0.812836</v>
      </c>
      <c r="Z212" s="22">
        <v>233.834</v>
      </c>
      <c r="AA212" s="22">
        <v>-1.7105100000000002E-2</v>
      </c>
      <c r="AB212" s="22">
        <v>202</v>
      </c>
      <c r="AC212" s="22">
        <v>0.81176800000000005</v>
      </c>
      <c r="AD212">
        <f t="shared" si="40"/>
        <v>17.1051</v>
      </c>
      <c r="AE212">
        <f t="shared" si="41"/>
        <v>13.9036410636</v>
      </c>
      <c r="AF212" s="9"/>
      <c r="AG212" s="22">
        <v>0.91720599999999997</v>
      </c>
      <c r="AH212" s="22">
        <v>364.505</v>
      </c>
      <c r="AI212" s="22">
        <v>-1.7010500000000001E-2</v>
      </c>
      <c r="AJ212" s="22">
        <v>202</v>
      </c>
      <c r="AK212" s="22">
        <v>0.91674800000000001</v>
      </c>
      <c r="AL212">
        <f t="shared" si="42"/>
        <v>17.0105</v>
      </c>
      <c r="AM212">
        <f t="shared" si="43"/>
        <v>15.602132662999999</v>
      </c>
      <c r="AP212" s="9"/>
      <c r="AQ212" s="22">
        <v>0.812836</v>
      </c>
      <c r="AR212" s="22">
        <v>442.38600000000002</v>
      </c>
      <c r="AS212" s="22">
        <v>-1.7102099999999999E-2</v>
      </c>
      <c r="AT212" s="22">
        <v>202</v>
      </c>
      <c r="AU212" s="22">
        <v>0.81176800000000005</v>
      </c>
      <c r="AV212">
        <f t="shared" si="44"/>
        <v>17.1021</v>
      </c>
      <c r="AW212">
        <f t="shared" si="45"/>
        <v>13.901202555599999</v>
      </c>
      <c r="AX212" s="9"/>
      <c r="AY212" s="22">
        <v>0.91720599999999997</v>
      </c>
      <c r="AZ212" s="22">
        <v>493.4</v>
      </c>
      <c r="BA212" s="22">
        <v>-1.7034899999999999E-2</v>
      </c>
      <c r="BB212" s="22">
        <v>202</v>
      </c>
      <c r="BC212" s="22">
        <v>0.91613800000000001</v>
      </c>
      <c r="BD212">
        <f t="shared" si="46"/>
        <v>17.0349</v>
      </c>
      <c r="BE212">
        <f t="shared" si="47"/>
        <v>15.624512489399999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128.67699999999999</v>
      </c>
      <c r="I213" s="22">
        <v>-1.7099E-2</v>
      </c>
      <c r="J213" s="22">
        <v>203</v>
      </c>
      <c r="K213" s="22">
        <v>0.80657999999999996</v>
      </c>
      <c r="L213">
        <f t="shared" si="36"/>
        <v>17.099</v>
      </c>
      <c r="M213">
        <f t="shared" si="37"/>
        <v>13.8125722</v>
      </c>
      <c r="N213" s="9"/>
      <c r="O213" s="22">
        <v>0.92224099999999998</v>
      </c>
      <c r="P213" s="22">
        <v>177.77799999999999</v>
      </c>
      <c r="Q213" s="22">
        <v>-1.70166E-2</v>
      </c>
      <c r="R213" s="22">
        <v>203</v>
      </c>
      <c r="S213" s="22">
        <v>0.92102099999999998</v>
      </c>
      <c r="T213">
        <f t="shared" si="38"/>
        <v>17.0166</v>
      </c>
      <c r="U213">
        <f t="shared" si="39"/>
        <v>15.6934062006</v>
      </c>
      <c r="X213" s="9"/>
      <c r="Y213" s="22">
        <v>0.80779999999999996</v>
      </c>
      <c r="Z213" s="22">
        <v>233.935</v>
      </c>
      <c r="AA213" s="22">
        <v>-1.71112E-2</v>
      </c>
      <c r="AB213" s="22">
        <v>203</v>
      </c>
      <c r="AC213" s="22">
        <v>0.80627400000000005</v>
      </c>
      <c r="AD213">
        <f t="shared" si="40"/>
        <v>17.1112</v>
      </c>
      <c r="AE213">
        <f t="shared" si="41"/>
        <v>13.822427359999999</v>
      </c>
      <c r="AF213" s="9"/>
      <c r="AG213" s="22">
        <v>0.92224099999999998</v>
      </c>
      <c r="AH213" s="22">
        <v>364.60500000000002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0.80779999999999996</v>
      </c>
      <c r="AR213" s="22">
        <v>442.48700000000002</v>
      </c>
      <c r="AS213" s="22">
        <v>-1.71082E-2</v>
      </c>
      <c r="AT213" s="22">
        <v>203</v>
      </c>
      <c r="AU213" s="22">
        <v>0.80718999999999996</v>
      </c>
      <c r="AV213">
        <f t="shared" si="44"/>
        <v>17.1082</v>
      </c>
      <c r="AW213">
        <f t="shared" si="45"/>
        <v>13.820003959999999</v>
      </c>
      <c r="AX213" s="9"/>
      <c r="AY213" s="22">
        <v>0.92224099999999998</v>
      </c>
      <c r="AZ213" s="22">
        <v>493.5</v>
      </c>
      <c r="BA213" s="22">
        <v>-1.7025800000000001E-2</v>
      </c>
      <c r="BB213" s="22">
        <v>203</v>
      </c>
      <c r="BC213" s="22">
        <v>0.92102099999999998</v>
      </c>
      <c r="BD213">
        <f t="shared" si="46"/>
        <v>17.0258</v>
      </c>
      <c r="BE213">
        <f t="shared" si="47"/>
        <v>15.701890817800001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128.77699999999999</v>
      </c>
      <c r="I214" s="22">
        <v>-1.7092900000000001E-2</v>
      </c>
      <c r="J214" s="22">
        <v>204</v>
      </c>
      <c r="K214" s="22">
        <v>0.80200199999999999</v>
      </c>
      <c r="L214">
        <f t="shared" si="36"/>
        <v>17.0929</v>
      </c>
      <c r="M214">
        <f t="shared" si="37"/>
        <v>13.7215818685</v>
      </c>
      <c r="N214" s="9"/>
      <c r="O214" s="22">
        <v>0.92727700000000002</v>
      </c>
      <c r="P214" s="22">
        <v>177.87899999999999</v>
      </c>
      <c r="Q214" s="22">
        <v>-1.7010500000000001E-2</v>
      </c>
      <c r="R214" s="22">
        <v>204</v>
      </c>
      <c r="S214" s="22">
        <v>0.92590300000000003</v>
      </c>
      <c r="T214">
        <f t="shared" si="38"/>
        <v>17.0105</v>
      </c>
      <c r="U214">
        <f t="shared" si="39"/>
        <v>15.773445408500001</v>
      </c>
      <c r="X214" s="9"/>
      <c r="Y214" s="22">
        <v>0.80276499999999995</v>
      </c>
      <c r="Z214" s="22">
        <v>234.036</v>
      </c>
      <c r="AA214" s="22">
        <v>-1.7114299999999999E-2</v>
      </c>
      <c r="AB214" s="22">
        <v>204</v>
      </c>
      <c r="AC214" s="22">
        <v>0.80169699999999999</v>
      </c>
      <c r="AD214">
        <f t="shared" si="40"/>
        <v>17.1143</v>
      </c>
      <c r="AE214">
        <f t="shared" si="41"/>
        <v>13.7387610395</v>
      </c>
      <c r="AF214" s="9"/>
      <c r="AG214" s="22">
        <v>0.92727700000000002</v>
      </c>
      <c r="AH214" s="22">
        <v>364.70600000000002</v>
      </c>
      <c r="AI214" s="22">
        <v>-1.70013E-2</v>
      </c>
      <c r="AJ214" s="22">
        <v>204</v>
      </c>
      <c r="AK214" s="22">
        <v>0.92651399999999995</v>
      </c>
      <c r="AL214">
        <f t="shared" si="42"/>
        <v>17.001300000000001</v>
      </c>
      <c r="AM214">
        <f t="shared" si="43"/>
        <v>15.7649144601</v>
      </c>
      <c r="AP214" s="9"/>
      <c r="AQ214" s="22">
        <v>0.80276499999999995</v>
      </c>
      <c r="AR214" s="22">
        <v>442.58699999999999</v>
      </c>
      <c r="AS214" s="22">
        <v>-1.71112E-2</v>
      </c>
      <c r="AT214" s="22">
        <v>204</v>
      </c>
      <c r="AU214" s="22">
        <v>0.80169699999999999</v>
      </c>
      <c r="AV214">
        <f t="shared" si="44"/>
        <v>17.1112</v>
      </c>
      <c r="AW214">
        <f t="shared" si="45"/>
        <v>13.736272467999999</v>
      </c>
      <c r="AX214" s="9"/>
      <c r="AY214" s="22">
        <v>0.92727700000000002</v>
      </c>
      <c r="AZ214" s="22">
        <v>493.601</v>
      </c>
      <c r="BA214" s="22">
        <v>-1.7019699999999999E-2</v>
      </c>
      <c r="BB214" s="22">
        <v>204</v>
      </c>
      <c r="BC214" s="22">
        <v>0.92590300000000003</v>
      </c>
      <c r="BD214">
        <f t="shared" si="46"/>
        <v>17.0197</v>
      </c>
      <c r="BE214">
        <f t="shared" si="47"/>
        <v>15.781976356900001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128.87799999999999</v>
      </c>
      <c r="I215" s="22">
        <v>-1.7102099999999999E-2</v>
      </c>
      <c r="J215" s="22">
        <v>205</v>
      </c>
      <c r="K215" s="22">
        <v>0.79681400000000002</v>
      </c>
      <c r="L215">
        <f t="shared" si="36"/>
        <v>17.1021</v>
      </c>
      <c r="M215">
        <f t="shared" si="37"/>
        <v>13.642841130900001</v>
      </c>
      <c r="N215" s="9"/>
      <c r="O215" s="22">
        <v>0.93231200000000003</v>
      </c>
      <c r="P215" s="22">
        <v>177.98</v>
      </c>
      <c r="Q215" s="22">
        <v>-1.7007399999999999E-2</v>
      </c>
      <c r="R215" s="22">
        <v>205</v>
      </c>
      <c r="S215" s="22">
        <v>0.931396</v>
      </c>
      <c r="T215">
        <f t="shared" si="38"/>
        <v>17.007400000000001</v>
      </c>
      <c r="U215">
        <f t="shared" si="39"/>
        <v>15.856203108800001</v>
      </c>
      <c r="X215" s="9"/>
      <c r="Y215" s="22">
        <v>0.79772900000000002</v>
      </c>
      <c r="Z215" s="22">
        <v>234.137</v>
      </c>
      <c r="AA215" s="22">
        <v>-1.7120400000000001E-2</v>
      </c>
      <c r="AB215" s="22">
        <v>205</v>
      </c>
      <c r="AC215" s="22">
        <v>0.79711900000000002</v>
      </c>
      <c r="AD215">
        <f t="shared" si="40"/>
        <v>17.1204</v>
      </c>
      <c r="AE215">
        <f t="shared" si="41"/>
        <v>13.657439571600001</v>
      </c>
      <c r="AF215" s="9"/>
      <c r="AG215" s="22">
        <v>0.93231200000000003</v>
      </c>
      <c r="AH215" s="22">
        <v>364.80700000000002</v>
      </c>
      <c r="AI215" s="22">
        <v>-1.6995199999999999E-2</v>
      </c>
      <c r="AJ215" s="22">
        <v>205</v>
      </c>
      <c r="AK215" s="22">
        <v>0.931396</v>
      </c>
      <c r="AL215">
        <f t="shared" si="42"/>
        <v>16.995199999999997</v>
      </c>
      <c r="AM215">
        <f t="shared" si="43"/>
        <v>15.844828902399998</v>
      </c>
      <c r="AP215" s="9"/>
      <c r="AQ215" s="22">
        <v>0.79772900000000002</v>
      </c>
      <c r="AR215" s="22">
        <v>442.68799999999999</v>
      </c>
      <c r="AS215" s="22">
        <v>-1.7114299999999999E-2</v>
      </c>
      <c r="AT215" s="22">
        <v>205</v>
      </c>
      <c r="AU215" s="22">
        <v>0.79742400000000002</v>
      </c>
      <c r="AV215">
        <f t="shared" si="44"/>
        <v>17.1143</v>
      </c>
      <c r="AW215">
        <f t="shared" si="45"/>
        <v>13.6525734247</v>
      </c>
      <c r="AX215" s="9"/>
      <c r="AY215" s="22">
        <v>0.93231200000000003</v>
      </c>
      <c r="AZ215" s="22">
        <v>493.702</v>
      </c>
      <c r="BA215" s="22">
        <v>-1.7022700000000002E-2</v>
      </c>
      <c r="BB215" s="22">
        <v>205</v>
      </c>
      <c r="BC215" s="22">
        <v>0.93170200000000003</v>
      </c>
      <c r="BD215">
        <f t="shared" si="46"/>
        <v>17.0227</v>
      </c>
      <c r="BE215">
        <f t="shared" si="47"/>
        <v>15.8704674824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128.97900000000001</v>
      </c>
      <c r="I216" s="22">
        <v>-1.7102099999999999E-2</v>
      </c>
      <c r="J216" s="22">
        <v>206</v>
      </c>
      <c r="K216" s="22">
        <v>0.79132100000000005</v>
      </c>
      <c r="L216">
        <f t="shared" si="36"/>
        <v>17.1021</v>
      </c>
      <c r="M216">
        <f t="shared" si="37"/>
        <v>13.5567320574</v>
      </c>
      <c r="N216" s="9"/>
      <c r="O216" s="22">
        <v>0.93734700000000004</v>
      </c>
      <c r="P216" s="22">
        <v>178.08</v>
      </c>
      <c r="Q216" s="22">
        <v>-1.70013E-2</v>
      </c>
      <c r="R216" s="22">
        <v>206</v>
      </c>
      <c r="S216" s="22">
        <v>0.93597399999999997</v>
      </c>
      <c r="T216">
        <f t="shared" si="38"/>
        <v>17.001300000000001</v>
      </c>
      <c r="U216">
        <f t="shared" si="39"/>
        <v>15.936117551100001</v>
      </c>
      <c r="X216" s="9"/>
      <c r="Y216" s="22">
        <v>0.79269400000000001</v>
      </c>
      <c r="Z216" s="22">
        <v>234.23699999999999</v>
      </c>
      <c r="AA216" s="22">
        <v>-1.7126499999999999E-2</v>
      </c>
      <c r="AB216" s="22">
        <v>206</v>
      </c>
      <c r="AC216" s="22">
        <v>0.79193100000000005</v>
      </c>
      <c r="AD216">
        <f t="shared" si="40"/>
        <v>17.1265</v>
      </c>
      <c r="AE216">
        <f t="shared" si="41"/>
        <v>13.576073791000001</v>
      </c>
      <c r="AF216" s="9"/>
      <c r="AG216" s="22">
        <v>0.93734700000000004</v>
      </c>
      <c r="AH216" s="22">
        <v>364.90800000000002</v>
      </c>
      <c r="AI216" s="22">
        <v>-1.6995199999999999E-2</v>
      </c>
      <c r="AJ216" s="22">
        <v>206</v>
      </c>
      <c r="AK216" s="22">
        <v>0.93658399999999997</v>
      </c>
      <c r="AL216">
        <f t="shared" si="42"/>
        <v>16.995199999999997</v>
      </c>
      <c r="AM216">
        <f t="shared" si="43"/>
        <v>15.930399734399998</v>
      </c>
      <c r="AP216" s="9"/>
      <c r="AQ216" s="22">
        <v>0.79269400000000001</v>
      </c>
      <c r="AR216" s="22">
        <v>442.78899999999999</v>
      </c>
      <c r="AS216" s="22">
        <v>-1.7120400000000001E-2</v>
      </c>
      <c r="AT216" s="22">
        <v>206</v>
      </c>
      <c r="AU216" s="22">
        <v>0.79223600000000005</v>
      </c>
      <c r="AV216">
        <f t="shared" si="44"/>
        <v>17.1204</v>
      </c>
      <c r="AW216">
        <f t="shared" si="45"/>
        <v>13.5712383576</v>
      </c>
      <c r="AX216" s="9"/>
      <c r="AY216" s="22">
        <v>0.93734700000000004</v>
      </c>
      <c r="AZ216" s="22">
        <v>493.803</v>
      </c>
      <c r="BA216" s="22">
        <v>-1.7019699999999999E-2</v>
      </c>
      <c r="BB216" s="22">
        <v>206</v>
      </c>
      <c r="BC216" s="22">
        <v>0.93658399999999997</v>
      </c>
      <c r="BD216">
        <f t="shared" si="46"/>
        <v>17.0197</v>
      </c>
      <c r="BE216">
        <f t="shared" si="47"/>
        <v>15.953364735900001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129.07900000000001</v>
      </c>
      <c r="I217" s="22">
        <v>-1.71112E-2</v>
      </c>
      <c r="J217" s="22">
        <v>207</v>
      </c>
      <c r="K217" s="22">
        <v>0.78643799999999997</v>
      </c>
      <c r="L217">
        <f t="shared" si="36"/>
        <v>17.1112</v>
      </c>
      <c r="M217">
        <f t="shared" si="37"/>
        <v>13.4777906808</v>
      </c>
      <c r="N217" s="9"/>
      <c r="O217" s="22">
        <v>0.94238299999999997</v>
      </c>
      <c r="P217" s="22">
        <v>178.18100000000001</v>
      </c>
      <c r="Q217" s="22">
        <v>-1.6998300000000001E-2</v>
      </c>
      <c r="R217" s="22">
        <v>207</v>
      </c>
      <c r="S217" s="22">
        <v>0.94177200000000005</v>
      </c>
      <c r="T217">
        <f t="shared" si="38"/>
        <v>16.9983</v>
      </c>
      <c r="U217">
        <f t="shared" si="39"/>
        <v>16.018908948899998</v>
      </c>
      <c r="X217" s="9"/>
      <c r="Y217" s="22">
        <v>0.787659</v>
      </c>
      <c r="Z217" s="22">
        <v>234.33799999999999</v>
      </c>
      <c r="AA217" s="22">
        <v>-1.7132600000000001E-2</v>
      </c>
      <c r="AB217" s="22">
        <v>207</v>
      </c>
      <c r="AC217" s="22">
        <v>0.787659</v>
      </c>
      <c r="AD217">
        <f t="shared" si="40"/>
        <v>17.1326</v>
      </c>
      <c r="AE217">
        <f t="shared" si="41"/>
        <v>13.4946465834</v>
      </c>
      <c r="AF217" s="9"/>
      <c r="AG217" s="22">
        <v>0.94238299999999997</v>
      </c>
      <c r="AH217" s="22">
        <v>365.00799999999998</v>
      </c>
      <c r="AI217" s="22">
        <v>-1.6986100000000001E-2</v>
      </c>
      <c r="AJ217" s="22">
        <v>207</v>
      </c>
      <c r="AK217" s="22">
        <v>0.94146700000000005</v>
      </c>
      <c r="AL217">
        <f t="shared" si="42"/>
        <v>16.9861</v>
      </c>
      <c r="AM217">
        <f t="shared" si="43"/>
        <v>16.007411876300001</v>
      </c>
      <c r="AP217" s="9"/>
      <c r="AQ217" s="22">
        <v>0.787659</v>
      </c>
      <c r="AR217" s="22">
        <v>442.89</v>
      </c>
      <c r="AS217" s="22">
        <v>-1.7120400000000001E-2</v>
      </c>
      <c r="AT217" s="22">
        <v>207</v>
      </c>
      <c r="AU217" s="22">
        <v>0.78674299999999997</v>
      </c>
      <c r="AV217">
        <f t="shared" si="44"/>
        <v>17.1204</v>
      </c>
      <c r="AW217">
        <f t="shared" si="45"/>
        <v>13.4850371436</v>
      </c>
      <c r="AX217" s="9"/>
      <c r="AY217" s="22">
        <v>0.94238299999999997</v>
      </c>
      <c r="AZ217" s="22">
        <v>493.90300000000002</v>
      </c>
      <c r="BA217" s="22">
        <v>-1.7013500000000001E-2</v>
      </c>
      <c r="BB217" s="22">
        <v>207</v>
      </c>
      <c r="BC217" s="22">
        <v>0.94146700000000005</v>
      </c>
      <c r="BD217">
        <f t="shared" si="46"/>
        <v>17.013500000000001</v>
      </c>
      <c r="BE217">
        <f t="shared" si="47"/>
        <v>16.033233170500001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129.18</v>
      </c>
      <c r="I218" s="22">
        <v>-1.7114299999999999E-2</v>
      </c>
      <c r="J218" s="22">
        <v>208</v>
      </c>
      <c r="K218" s="22">
        <v>0.78186</v>
      </c>
      <c r="L218">
        <f t="shared" si="36"/>
        <v>17.1143</v>
      </c>
      <c r="M218">
        <f t="shared" si="37"/>
        <v>13.394044808899999</v>
      </c>
      <c r="N218" s="9"/>
      <c r="O218" s="22">
        <v>0.94741799999999998</v>
      </c>
      <c r="P218" s="22">
        <v>178.28200000000001</v>
      </c>
      <c r="Q218" s="22">
        <v>-1.6995199999999999E-2</v>
      </c>
      <c r="R218" s="22">
        <v>208</v>
      </c>
      <c r="S218" s="22">
        <v>0.94665500000000002</v>
      </c>
      <c r="T218">
        <f t="shared" si="38"/>
        <v>16.995199999999997</v>
      </c>
      <c r="U218">
        <f t="shared" si="39"/>
        <v>16.101558393599998</v>
      </c>
      <c r="X218" s="9"/>
      <c r="Y218" s="22">
        <v>0.78262299999999996</v>
      </c>
      <c r="Z218" s="22">
        <v>234.43899999999999</v>
      </c>
      <c r="AA218" s="22">
        <v>-1.7135600000000001E-2</v>
      </c>
      <c r="AB218" s="22">
        <v>208</v>
      </c>
      <c r="AC218" s="22">
        <v>0.781555</v>
      </c>
      <c r="AD218">
        <f t="shared" si="40"/>
        <v>17.1356</v>
      </c>
      <c r="AE218">
        <f t="shared" si="41"/>
        <v>13.4107146788</v>
      </c>
      <c r="AF218" s="9"/>
      <c r="AG218" s="22">
        <v>0.94741799999999998</v>
      </c>
      <c r="AH218" s="22">
        <v>365.10899999999998</v>
      </c>
      <c r="AI218" s="22">
        <v>-1.6983000000000002E-2</v>
      </c>
      <c r="AJ218" s="22">
        <v>208</v>
      </c>
      <c r="AK218" s="22">
        <v>0.94665500000000002</v>
      </c>
      <c r="AL218">
        <f t="shared" si="42"/>
        <v>16.983000000000001</v>
      </c>
      <c r="AM218">
        <f t="shared" si="43"/>
        <v>16.089999894000002</v>
      </c>
      <c r="AP218" s="9"/>
      <c r="AQ218" s="22">
        <v>0.78262299999999996</v>
      </c>
      <c r="AR218" s="22">
        <v>442.99</v>
      </c>
      <c r="AS218" s="22">
        <v>-1.71234E-2</v>
      </c>
      <c r="AT218" s="22">
        <v>208</v>
      </c>
      <c r="AU218" s="22">
        <v>0.781555</v>
      </c>
      <c r="AV218">
        <f t="shared" si="44"/>
        <v>17.1234</v>
      </c>
      <c r="AW218">
        <f t="shared" si="45"/>
        <v>13.401166678199999</v>
      </c>
      <c r="AX218" s="9"/>
      <c r="AY218" s="22">
        <v>0.94741799999999998</v>
      </c>
      <c r="AZ218" s="22">
        <v>494.00400000000002</v>
      </c>
      <c r="BA218" s="22">
        <v>-1.7010500000000001E-2</v>
      </c>
      <c r="BB218" s="22">
        <v>208</v>
      </c>
      <c r="BC218" s="22">
        <v>0.94635000000000002</v>
      </c>
      <c r="BD218">
        <f t="shared" si="46"/>
        <v>17.0105</v>
      </c>
      <c r="BE218">
        <f t="shared" si="47"/>
        <v>16.116053889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129.28100000000001</v>
      </c>
      <c r="I219" s="22">
        <v>-1.7114299999999999E-2</v>
      </c>
      <c r="J219" s="22">
        <v>209</v>
      </c>
      <c r="K219" s="22">
        <v>0.77728299999999995</v>
      </c>
      <c r="L219">
        <f t="shared" si="36"/>
        <v>17.1143</v>
      </c>
      <c r="M219">
        <f t="shared" si="37"/>
        <v>13.307874308399999</v>
      </c>
      <c r="N219" s="9"/>
      <c r="O219" s="22">
        <v>0.95245400000000002</v>
      </c>
      <c r="P219" s="22">
        <v>178.38300000000001</v>
      </c>
      <c r="Q219" s="22">
        <v>-1.6986100000000001E-2</v>
      </c>
      <c r="R219" s="22">
        <v>209</v>
      </c>
      <c r="S219" s="22">
        <v>0.95153799999999999</v>
      </c>
      <c r="T219">
        <f t="shared" si="38"/>
        <v>16.9861</v>
      </c>
      <c r="U219">
        <f t="shared" si="39"/>
        <v>16.178478889400001</v>
      </c>
      <c r="X219" s="9"/>
      <c r="Y219" s="22">
        <v>0.77758799999999995</v>
      </c>
      <c r="Z219" s="22">
        <v>234.53899999999999</v>
      </c>
      <c r="AA219" s="22">
        <v>-1.7135600000000001E-2</v>
      </c>
      <c r="AB219" s="22">
        <v>209</v>
      </c>
      <c r="AC219" s="22">
        <v>0.77697799999999995</v>
      </c>
      <c r="AD219">
        <f t="shared" si="40"/>
        <v>17.1356</v>
      </c>
      <c r="AE219">
        <f t="shared" si="41"/>
        <v>13.324436932799999</v>
      </c>
      <c r="AF219" s="9"/>
      <c r="AG219" s="22">
        <v>0.95245400000000002</v>
      </c>
      <c r="AH219" s="22">
        <v>365.21</v>
      </c>
      <c r="AI219" s="22">
        <v>-1.6983000000000002E-2</v>
      </c>
      <c r="AJ219" s="22">
        <v>209</v>
      </c>
      <c r="AK219" s="22">
        <v>0.95214799999999999</v>
      </c>
      <c r="AL219">
        <f t="shared" si="42"/>
        <v>16.983000000000001</v>
      </c>
      <c r="AM219">
        <f t="shared" si="43"/>
        <v>16.175526282</v>
      </c>
      <c r="AP219" s="9"/>
      <c r="AQ219" s="22">
        <v>0.77758799999999995</v>
      </c>
      <c r="AR219" s="22">
        <v>443.09100000000001</v>
      </c>
      <c r="AS219" s="22">
        <v>-1.7129499999999999E-2</v>
      </c>
      <c r="AT219" s="22">
        <v>209</v>
      </c>
      <c r="AU219" s="22">
        <v>0.77667200000000003</v>
      </c>
      <c r="AV219">
        <f t="shared" si="44"/>
        <v>17.1295</v>
      </c>
      <c r="AW219">
        <f t="shared" si="45"/>
        <v>13.319693645999999</v>
      </c>
      <c r="AX219" s="9"/>
      <c r="AY219" s="22">
        <v>0.95245400000000002</v>
      </c>
      <c r="AZ219" s="22">
        <v>494.10500000000002</v>
      </c>
      <c r="BA219" s="22">
        <v>-1.70013E-2</v>
      </c>
      <c r="BB219" s="22">
        <v>209</v>
      </c>
      <c r="BC219" s="22">
        <v>0.951233</v>
      </c>
      <c r="BD219">
        <f t="shared" si="46"/>
        <v>17.001300000000001</v>
      </c>
      <c r="BE219">
        <f t="shared" si="47"/>
        <v>16.1929561902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129.38200000000001</v>
      </c>
      <c r="I220" s="22">
        <v>-1.7120400000000001E-2</v>
      </c>
      <c r="J220" s="22">
        <v>210</v>
      </c>
      <c r="K220" s="22">
        <v>0.77148399999999995</v>
      </c>
      <c r="L220">
        <f t="shared" si="36"/>
        <v>17.1204</v>
      </c>
      <c r="M220">
        <f t="shared" si="37"/>
        <v>13.226399260800001</v>
      </c>
      <c r="N220" s="9"/>
      <c r="O220" s="22">
        <v>0.95748900000000003</v>
      </c>
      <c r="P220" s="22">
        <v>178.483</v>
      </c>
      <c r="Q220" s="22">
        <v>-1.6986100000000001E-2</v>
      </c>
      <c r="R220" s="22">
        <v>210</v>
      </c>
      <c r="S220" s="22">
        <v>0.95642099999999997</v>
      </c>
      <c r="T220">
        <f t="shared" si="38"/>
        <v>16.9861</v>
      </c>
      <c r="U220">
        <f t="shared" si="39"/>
        <v>16.264003902900001</v>
      </c>
      <c r="X220" s="9"/>
      <c r="Y220" s="22">
        <v>0.77255200000000002</v>
      </c>
      <c r="Z220" s="22">
        <v>234.64</v>
      </c>
      <c r="AA220" s="22">
        <v>-1.71387E-2</v>
      </c>
      <c r="AB220" s="22">
        <v>210</v>
      </c>
      <c r="AC220" s="22">
        <v>0.77178999999999998</v>
      </c>
      <c r="AD220">
        <f t="shared" si="40"/>
        <v>17.1387</v>
      </c>
      <c r="AE220">
        <f t="shared" si="41"/>
        <v>13.2405369624</v>
      </c>
      <c r="AF220" s="9"/>
      <c r="AG220" s="22">
        <v>0.95748900000000003</v>
      </c>
      <c r="AH220" s="22">
        <v>365.31</v>
      </c>
      <c r="AI220" s="22">
        <v>-1.69739E-2</v>
      </c>
      <c r="AJ220" s="22">
        <v>210</v>
      </c>
      <c r="AK220" s="22">
        <v>0.95642099999999997</v>
      </c>
      <c r="AL220">
        <f t="shared" si="42"/>
        <v>16.9739</v>
      </c>
      <c r="AM220">
        <f t="shared" si="43"/>
        <v>16.2523225371</v>
      </c>
      <c r="AP220" s="9"/>
      <c r="AQ220" s="22">
        <v>0.77255200000000002</v>
      </c>
      <c r="AR220" s="22">
        <v>443.19200000000001</v>
      </c>
      <c r="AS220" s="22">
        <v>-1.7135600000000001E-2</v>
      </c>
      <c r="AT220" s="22">
        <v>210</v>
      </c>
      <c r="AU220" s="22">
        <v>0.77148399999999995</v>
      </c>
      <c r="AV220">
        <f t="shared" si="44"/>
        <v>17.1356</v>
      </c>
      <c r="AW220">
        <f t="shared" si="45"/>
        <v>13.238142051200001</v>
      </c>
      <c r="AX220" s="9"/>
      <c r="AY220" s="22">
        <v>0.95748900000000003</v>
      </c>
      <c r="AZ220" s="22">
        <v>494.20499999999998</v>
      </c>
      <c r="BA220" s="22">
        <v>-1.6998300000000001E-2</v>
      </c>
      <c r="BB220" s="22">
        <v>210</v>
      </c>
      <c r="BC220" s="22">
        <v>0.95703099999999997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129.482</v>
      </c>
      <c r="I221" s="22">
        <v>-1.7126499999999999E-2</v>
      </c>
      <c r="J221" s="22">
        <v>211</v>
      </c>
      <c r="K221" s="22">
        <v>0.76690700000000001</v>
      </c>
      <c r="L221">
        <f t="shared" si="36"/>
        <v>17.1265</v>
      </c>
      <c r="M221">
        <f t="shared" si="37"/>
        <v>13.144879900499999</v>
      </c>
      <c r="N221" s="9"/>
      <c r="O221" s="22">
        <v>0.96252400000000005</v>
      </c>
      <c r="P221" s="22">
        <v>178.584</v>
      </c>
      <c r="Q221" s="22">
        <v>-1.6979999999999999E-2</v>
      </c>
      <c r="R221" s="22">
        <v>211</v>
      </c>
      <c r="S221" s="22">
        <v>0.96130400000000005</v>
      </c>
      <c r="T221">
        <f t="shared" si="38"/>
        <v>16.979999999999997</v>
      </c>
      <c r="U221">
        <f t="shared" si="39"/>
        <v>16.343657519999997</v>
      </c>
      <c r="X221" s="9"/>
      <c r="Y221" s="22">
        <v>0.767517</v>
      </c>
      <c r="Z221" s="22">
        <v>234.74100000000001</v>
      </c>
      <c r="AA221" s="22">
        <v>-1.7144800000000002E-2</v>
      </c>
      <c r="AB221" s="22">
        <v>211</v>
      </c>
      <c r="AC221" s="22">
        <v>0.76690700000000001</v>
      </c>
      <c r="AD221">
        <f t="shared" si="40"/>
        <v>17.1448</v>
      </c>
      <c r="AE221">
        <f t="shared" si="41"/>
        <v>13.158925461600001</v>
      </c>
      <c r="AF221" s="9"/>
      <c r="AG221" s="22">
        <v>0.96252400000000005</v>
      </c>
      <c r="AH221" s="22">
        <v>365.411</v>
      </c>
      <c r="AI221" s="22">
        <v>-1.6970800000000001E-2</v>
      </c>
      <c r="AJ221" s="22">
        <v>211</v>
      </c>
      <c r="AK221" s="22">
        <v>0.96130400000000005</v>
      </c>
      <c r="AL221">
        <f t="shared" si="42"/>
        <v>16.970800000000001</v>
      </c>
      <c r="AM221">
        <f t="shared" si="43"/>
        <v>16.3348022992</v>
      </c>
      <c r="AP221" s="9"/>
      <c r="AQ221" s="22">
        <v>0.767517</v>
      </c>
      <c r="AR221" s="22">
        <v>443.29199999999997</v>
      </c>
      <c r="AS221" s="22">
        <v>-1.7135600000000001E-2</v>
      </c>
      <c r="AT221" s="22">
        <v>211</v>
      </c>
      <c r="AU221" s="22">
        <v>0.76629599999999998</v>
      </c>
      <c r="AV221">
        <f t="shared" si="44"/>
        <v>17.1356</v>
      </c>
      <c r="AW221">
        <f t="shared" si="45"/>
        <v>13.1518643052</v>
      </c>
      <c r="AX221" s="9"/>
      <c r="AY221" s="22">
        <v>0.96252400000000005</v>
      </c>
      <c r="AZ221" s="22">
        <v>494.30599999999998</v>
      </c>
      <c r="BA221" s="22">
        <v>-1.6995199999999999E-2</v>
      </c>
      <c r="BB221" s="22">
        <v>211</v>
      </c>
      <c r="BC221" s="22">
        <v>0.96130400000000005</v>
      </c>
      <c r="BD221">
        <f t="shared" si="46"/>
        <v>16.995199999999997</v>
      </c>
      <c r="BE221">
        <f t="shared" si="47"/>
        <v>16.358287884799999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129.583</v>
      </c>
      <c r="I222" s="22">
        <v>-1.7129499999999999E-2</v>
      </c>
      <c r="J222" s="22">
        <v>212</v>
      </c>
      <c r="K222" s="22">
        <v>0.76263400000000003</v>
      </c>
      <c r="L222">
        <f t="shared" si="36"/>
        <v>17.1295</v>
      </c>
      <c r="M222">
        <f t="shared" si="37"/>
        <v>13.060935419</v>
      </c>
      <c r="N222" s="9"/>
      <c r="O222" s="22">
        <v>0.96755999999999998</v>
      </c>
      <c r="P222" s="22">
        <v>178.685</v>
      </c>
      <c r="Q222" s="22">
        <v>-1.6979999999999999E-2</v>
      </c>
      <c r="R222" s="22">
        <v>212</v>
      </c>
      <c r="S222" s="22">
        <v>0.96618700000000002</v>
      </c>
      <c r="T222">
        <f t="shared" si="38"/>
        <v>16.979999999999997</v>
      </c>
      <c r="U222">
        <f t="shared" si="39"/>
        <v>16.429168799999996</v>
      </c>
      <c r="X222" s="9"/>
      <c r="Y222" s="22">
        <v>0.76248199999999999</v>
      </c>
      <c r="Z222" s="22">
        <v>234.84200000000001</v>
      </c>
      <c r="AA222" s="22">
        <v>-1.7147800000000001E-2</v>
      </c>
      <c r="AB222" s="22">
        <v>212</v>
      </c>
      <c r="AC222" s="22">
        <v>0.76141400000000004</v>
      </c>
      <c r="AD222">
        <f t="shared" si="40"/>
        <v>17.1478</v>
      </c>
      <c r="AE222">
        <f t="shared" si="41"/>
        <v>13.0748888396</v>
      </c>
      <c r="AF222" s="9"/>
      <c r="AG222" s="22">
        <v>0.96755999999999998</v>
      </c>
      <c r="AH222" s="22">
        <v>365.512</v>
      </c>
      <c r="AI222" s="22">
        <v>-1.6970800000000001E-2</v>
      </c>
      <c r="AJ222" s="22">
        <v>212</v>
      </c>
      <c r="AK222" s="22">
        <v>0.96649200000000002</v>
      </c>
      <c r="AL222">
        <f t="shared" si="42"/>
        <v>16.970800000000001</v>
      </c>
      <c r="AM222">
        <f t="shared" si="43"/>
        <v>16.420267248000002</v>
      </c>
      <c r="AP222" s="9"/>
      <c r="AQ222" s="22">
        <v>0.76248199999999999</v>
      </c>
      <c r="AR222" s="22">
        <v>443.39299999999997</v>
      </c>
      <c r="AS222" s="22">
        <v>-1.7141699999999999E-2</v>
      </c>
      <c r="AT222" s="22">
        <v>212</v>
      </c>
      <c r="AU222" s="22">
        <v>0.76141400000000004</v>
      </c>
      <c r="AV222">
        <f t="shared" si="44"/>
        <v>17.1417</v>
      </c>
      <c r="AW222">
        <f t="shared" si="45"/>
        <v>13.0702376994</v>
      </c>
      <c r="AX222" s="9"/>
      <c r="AY222" s="22">
        <v>0.96755999999999998</v>
      </c>
      <c r="AZ222" s="22">
        <v>494.40699999999998</v>
      </c>
      <c r="BA222" s="22">
        <v>-1.6992199999999999E-2</v>
      </c>
      <c r="BB222" s="22">
        <v>212</v>
      </c>
      <c r="BC222" s="22">
        <v>0.96679700000000002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129.684</v>
      </c>
      <c r="I223" s="22">
        <v>-1.7132600000000001E-2</v>
      </c>
      <c r="J223" s="22">
        <v>213</v>
      </c>
      <c r="K223" s="22">
        <v>0.75592000000000004</v>
      </c>
      <c r="L223">
        <f t="shared" si="36"/>
        <v>17.1326</v>
      </c>
      <c r="M223">
        <f t="shared" si="37"/>
        <v>12.9770193396</v>
      </c>
      <c r="N223" s="9"/>
      <c r="O223" s="22">
        <v>0.97259499999999999</v>
      </c>
      <c r="P223" s="22">
        <v>178.785</v>
      </c>
      <c r="Q223" s="22">
        <v>-1.69739E-2</v>
      </c>
      <c r="R223" s="22">
        <v>213</v>
      </c>
      <c r="S223" s="22">
        <v>0.97137499999999999</v>
      </c>
      <c r="T223">
        <f t="shared" si="38"/>
        <v>16.9739</v>
      </c>
      <c r="U223">
        <f t="shared" si="39"/>
        <v>16.508730270499999</v>
      </c>
      <c r="X223" s="9"/>
      <c r="Y223" s="22">
        <v>0.75744599999999995</v>
      </c>
      <c r="Z223" s="22">
        <v>234.94200000000001</v>
      </c>
      <c r="AA223" s="22">
        <v>-1.71539E-2</v>
      </c>
      <c r="AB223" s="22">
        <v>213</v>
      </c>
      <c r="AC223" s="22">
        <v>0.75622599999999995</v>
      </c>
      <c r="AD223">
        <f t="shared" si="40"/>
        <v>17.1539</v>
      </c>
      <c r="AE223">
        <f t="shared" si="41"/>
        <v>12.9931529394</v>
      </c>
      <c r="AF223" s="9"/>
      <c r="AG223" s="22">
        <v>0.97259499999999999</v>
      </c>
      <c r="AH223" s="22">
        <v>365.613</v>
      </c>
      <c r="AI223" s="22">
        <v>-1.6964699999999999E-2</v>
      </c>
      <c r="AJ223" s="22">
        <v>213</v>
      </c>
      <c r="AK223" s="22">
        <v>0.97167999999999999</v>
      </c>
      <c r="AL223">
        <f t="shared" si="42"/>
        <v>16.964700000000001</v>
      </c>
      <c r="AM223">
        <f t="shared" si="43"/>
        <v>16.499782396499999</v>
      </c>
      <c r="AP223" s="9"/>
      <c r="AQ223" s="22">
        <v>0.75744599999999995</v>
      </c>
      <c r="AR223" s="22">
        <v>443.49400000000003</v>
      </c>
      <c r="AS223" s="22">
        <v>-1.7144800000000002E-2</v>
      </c>
      <c r="AT223" s="22">
        <v>213</v>
      </c>
      <c r="AU223" s="22">
        <v>0.75683599999999995</v>
      </c>
      <c r="AV223">
        <f t="shared" si="44"/>
        <v>17.1448</v>
      </c>
      <c r="AW223">
        <f t="shared" si="45"/>
        <v>12.986260180799999</v>
      </c>
      <c r="AX223" s="9"/>
      <c r="AY223" s="22">
        <v>0.97259499999999999</v>
      </c>
      <c r="AZ223" s="22">
        <v>494.50799999999998</v>
      </c>
      <c r="BA223" s="22">
        <v>-1.69891E-2</v>
      </c>
      <c r="BB223" s="22">
        <v>213</v>
      </c>
      <c r="BC223" s="22">
        <v>0.97106899999999996</v>
      </c>
      <c r="BD223">
        <f t="shared" si="46"/>
        <v>16.989100000000001</v>
      </c>
      <c r="BE223">
        <f t="shared" si="47"/>
        <v>16.523513714500002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129.78399999999999</v>
      </c>
      <c r="I224" s="22">
        <v>-1.7141699999999999E-2</v>
      </c>
      <c r="J224" s="22">
        <v>214</v>
      </c>
      <c r="K224" s="22">
        <v>0.75103799999999998</v>
      </c>
      <c r="L224">
        <f t="shared" si="36"/>
        <v>17.1417</v>
      </c>
      <c r="M224">
        <f t="shared" si="37"/>
        <v>12.897603638700001</v>
      </c>
      <c r="N224" s="9"/>
      <c r="O224" s="22">
        <v>0.97763100000000003</v>
      </c>
      <c r="P224" s="22">
        <v>178.886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0.75241100000000005</v>
      </c>
      <c r="Z224" s="22">
        <v>235.04300000000001</v>
      </c>
      <c r="AA224" s="22">
        <v>-1.7156999999999999E-2</v>
      </c>
      <c r="AB224" s="22">
        <v>214</v>
      </c>
      <c r="AC224" s="22">
        <v>0.75164799999999998</v>
      </c>
      <c r="AD224">
        <f t="shared" si="40"/>
        <v>17.157</v>
      </c>
      <c r="AE224">
        <f t="shared" si="41"/>
        <v>12.909115527000001</v>
      </c>
      <c r="AF224" s="9"/>
      <c r="AG224" s="22">
        <v>0.97763100000000003</v>
      </c>
      <c r="AH224" s="22">
        <v>365.71300000000002</v>
      </c>
      <c r="AI224" s="22">
        <v>-1.6964699999999999E-2</v>
      </c>
      <c r="AJ224" s="22">
        <v>214</v>
      </c>
      <c r="AK224" s="22">
        <v>0.97625700000000004</v>
      </c>
      <c r="AL224">
        <f t="shared" si="42"/>
        <v>16.964700000000001</v>
      </c>
      <c r="AM224">
        <f t="shared" si="43"/>
        <v>16.585216625699999</v>
      </c>
      <c r="AP224" s="9"/>
      <c r="AQ224" s="22">
        <v>0.75241100000000005</v>
      </c>
      <c r="AR224" s="22">
        <v>443.59399999999999</v>
      </c>
      <c r="AS224" s="22">
        <v>-1.7147800000000001E-2</v>
      </c>
      <c r="AT224" s="22">
        <v>214</v>
      </c>
      <c r="AU224" s="22">
        <v>0.75134299999999998</v>
      </c>
      <c r="AV224">
        <f t="shared" si="44"/>
        <v>17.1478</v>
      </c>
      <c r="AW224">
        <f t="shared" si="45"/>
        <v>12.902193345800001</v>
      </c>
      <c r="AX224" s="9"/>
      <c r="AY224" s="22">
        <v>0.97763100000000003</v>
      </c>
      <c r="AZ224" s="22">
        <v>494.608</v>
      </c>
      <c r="BA224" s="22">
        <v>-1.6986100000000001E-2</v>
      </c>
      <c r="BB224" s="22">
        <v>214</v>
      </c>
      <c r="BC224" s="22">
        <v>0.97686799999999996</v>
      </c>
      <c r="BD224">
        <f t="shared" si="46"/>
        <v>16.9861</v>
      </c>
      <c r="BE224">
        <f t="shared" si="47"/>
        <v>16.606137929100001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129.88499999999999</v>
      </c>
      <c r="I225" s="22">
        <v>-1.7144800000000002E-2</v>
      </c>
      <c r="J225" s="22">
        <v>215</v>
      </c>
      <c r="K225" s="22">
        <v>0.74664299999999995</v>
      </c>
      <c r="L225">
        <f t="shared" si="36"/>
        <v>17.1448</v>
      </c>
      <c r="M225">
        <f t="shared" si="37"/>
        <v>12.8135949</v>
      </c>
      <c r="N225" s="9"/>
      <c r="O225" s="22">
        <v>0.98266600000000004</v>
      </c>
      <c r="P225" s="22">
        <v>178.98699999999999</v>
      </c>
      <c r="Q225" s="22">
        <v>-1.6964699999999999E-2</v>
      </c>
      <c r="R225" s="22">
        <v>215</v>
      </c>
      <c r="S225" s="22">
        <v>0.98144500000000001</v>
      </c>
      <c r="T225">
        <f t="shared" si="38"/>
        <v>16.964700000000001</v>
      </c>
      <c r="U225">
        <f t="shared" si="39"/>
        <v>16.670633890200001</v>
      </c>
      <c r="X225" s="9"/>
      <c r="Y225" s="22">
        <v>0.74737500000000001</v>
      </c>
      <c r="Z225" s="22">
        <v>235.14400000000001</v>
      </c>
      <c r="AA225" s="22">
        <v>-1.7163100000000001E-2</v>
      </c>
      <c r="AB225" s="22">
        <v>215</v>
      </c>
      <c r="AC225" s="22">
        <v>0.74639900000000003</v>
      </c>
      <c r="AD225">
        <f t="shared" si="40"/>
        <v>17.1631</v>
      </c>
      <c r="AE225">
        <f t="shared" si="41"/>
        <v>12.8272718625</v>
      </c>
      <c r="AF225" s="9"/>
      <c r="AG225" s="22">
        <v>0.98266600000000004</v>
      </c>
      <c r="AH225" s="22">
        <v>365.81400000000002</v>
      </c>
      <c r="AI225" s="22">
        <v>-1.6952499999999999E-2</v>
      </c>
      <c r="AJ225" s="22">
        <v>215</v>
      </c>
      <c r="AK225" s="22">
        <v>0.98144500000000001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0.74737500000000001</v>
      </c>
      <c r="AR225" s="22">
        <v>443.69499999999999</v>
      </c>
      <c r="AS225" s="22">
        <v>-1.71539E-2</v>
      </c>
      <c r="AT225" s="22">
        <v>215</v>
      </c>
      <c r="AU225" s="22">
        <v>0.74655199999999999</v>
      </c>
      <c r="AV225">
        <f t="shared" si="44"/>
        <v>17.1539</v>
      </c>
      <c r="AW225">
        <f t="shared" si="45"/>
        <v>12.8203960125</v>
      </c>
      <c r="AX225" s="9"/>
      <c r="AY225" s="22">
        <v>0.98266600000000004</v>
      </c>
      <c r="AZ225" s="22">
        <v>494.709</v>
      </c>
      <c r="BA225" s="22">
        <v>-1.69739E-2</v>
      </c>
      <c r="BB225" s="22">
        <v>215</v>
      </c>
      <c r="BC225" s="22">
        <v>0.98175000000000001</v>
      </c>
      <c r="BD225">
        <f t="shared" si="46"/>
        <v>16.9739</v>
      </c>
      <c r="BE225">
        <f t="shared" si="47"/>
        <v>16.679674417400001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129.98599999999999</v>
      </c>
      <c r="I226" s="22">
        <v>-1.71509E-2</v>
      </c>
      <c r="J226" s="22">
        <v>216</v>
      </c>
      <c r="K226" s="22">
        <v>0.74157700000000004</v>
      </c>
      <c r="L226">
        <f t="shared" si="36"/>
        <v>17.1509</v>
      </c>
      <c r="M226">
        <f t="shared" si="37"/>
        <v>12.731799106</v>
      </c>
      <c r="N226" s="9"/>
      <c r="O226" s="22">
        <v>0.98770100000000005</v>
      </c>
      <c r="P226" s="22">
        <v>179.08799999999999</v>
      </c>
      <c r="Q226" s="22">
        <v>-1.6958600000000001E-2</v>
      </c>
      <c r="R226" s="22">
        <v>216</v>
      </c>
      <c r="S226" s="22">
        <v>0.98693799999999998</v>
      </c>
      <c r="T226">
        <f t="shared" si="38"/>
        <v>16.958600000000001</v>
      </c>
      <c r="U226">
        <f t="shared" si="39"/>
        <v>16.750026178600002</v>
      </c>
      <c r="X226" s="9"/>
      <c r="Y226" s="22">
        <v>0.74234</v>
      </c>
      <c r="Z226" s="22">
        <v>235.244</v>
      </c>
      <c r="AA226" s="22">
        <v>-1.7163100000000001E-2</v>
      </c>
      <c r="AB226" s="22">
        <v>216</v>
      </c>
      <c r="AC226" s="22">
        <v>0.74157700000000004</v>
      </c>
      <c r="AD226">
        <f t="shared" si="40"/>
        <v>17.1631</v>
      </c>
      <c r="AE226">
        <f t="shared" si="41"/>
        <v>12.740855654000001</v>
      </c>
      <c r="AF226" s="9"/>
      <c r="AG226" s="22">
        <v>0.98770100000000005</v>
      </c>
      <c r="AH226" s="22">
        <v>365.91500000000002</v>
      </c>
      <c r="AI226" s="22">
        <v>-1.6952499999999999E-2</v>
      </c>
      <c r="AJ226" s="22">
        <v>216</v>
      </c>
      <c r="AK226" s="22">
        <v>0.98663299999999998</v>
      </c>
      <c r="AL226">
        <f t="shared" si="42"/>
        <v>16.952500000000001</v>
      </c>
      <c r="AM226">
        <f t="shared" si="43"/>
        <v>16.744001202500002</v>
      </c>
      <c r="AP226" s="9"/>
      <c r="AQ226" s="22">
        <v>0.74234</v>
      </c>
      <c r="AR226" s="22">
        <v>443.79599999999999</v>
      </c>
      <c r="AS226" s="22">
        <v>-1.7156999999999999E-2</v>
      </c>
      <c r="AT226" s="22">
        <v>216</v>
      </c>
      <c r="AU226" s="22">
        <v>0.74157700000000004</v>
      </c>
      <c r="AV226">
        <f t="shared" si="44"/>
        <v>17.157</v>
      </c>
      <c r="AW226">
        <f t="shared" si="45"/>
        <v>12.736327380000001</v>
      </c>
      <c r="AX226" s="9"/>
      <c r="AY226" s="22">
        <v>0.98770100000000005</v>
      </c>
      <c r="AZ226" s="22">
        <v>494.81</v>
      </c>
      <c r="BA226" s="22">
        <v>-1.69739E-2</v>
      </c>
      <c r="BB226" s="22">
        <v>216</v>
      </c>
      <c r="BC226" s="22">
        <v>0.98663299999999998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130.08699999999999</v>
      </c>
      <c r="I227" s="22">
        <v>-1.71509E-2</v>
      </c>
      <c r="J227" s="22">
        <v>217</v>
      </c>
      <c r="K227" s="22">
        <v>0.73678600000000005</v>
      </c>
      <c r="L227">
        <f t="shared" si="36"/>
        <v>17.1509</v>
      </c>
      <c r="M227">
        <f t="shared" si="37"/>
        <v>12.6454443245</v>
      </c>
      <c r="N227" s="9"/>
      <c r="O227" s="22">
        <v>0.99273699999999998</v>
      </c>
      <c r="P227" s="22">
        <v>179.18799999999999</v>
      </c>
      <c r="Q227" s="22">
        <v>-1.6952499999999999E-2</v>
      </c>
      <c r="R227" s="22">
        <v>217</v>
      </c>
      <c r="S227" s="22">
        <v>0.99212599999999995</v>
      </c>
      <c r="T227">
        <f t="shared" si="38"/>
        <v>16.952500000000001</v>
      </c>
      <c r="U227">
        <f t="shared" si="39"/>
        <v>16.829373992499999</v>
      </c>
      <c r="X227" s="9"/>
      <c r="Y227" s="22">
        <v>0.73730499999999999</v>
      </c>
      <c r="Z227" s="22">
        <v>235.345</v>
      </c>
      <c r="AA227" s="22">
        <v>-1.7169199999999999E-2</v>
      </c>
      <c r="AB227" s="22">
        <v>217</v>
      </c>
      <c r="AC227" s="22">
        <v>0.736572</v>
      </c>
      <c r="AD227">
        <f t="shared" si="40"/>
        <v>17.1692</v>
      </c>
      <c r="AE227">
        <f t="shared" si="41"/>
        <v>12.658937006</v>
      </c>
      <c r="AF227" s="9"/>
      <c r="AG227" s="22">
        <v>0.99273699999999998</v>
      </c>
      <c r="AH227" s="22">
        <v>366.01499999999999</v>
      </c>
      <c r="AI227" s="22">
        <v>-1.69464E-2</v>
      </c>
      <c r="AJ227" s="22">
        <v>217</v>
      </c>
      <c r="AK227" s="22">
        <v>0.99151599999999995</v>
      </c>
      <c r="AL227">
        <f t="shared" si="42"/>
        <v>16.946400000000001</v>
      </c>
      <c r="AM227">
        <f t="shared" si="43"/>
        <v>16.8233182968</v>
      </c>
      <c r="AP227" s="9"/>
      <c r="AQ227" s="22">
        <v>0.73730499999999999</v>
      </c>
      <c r="AR227" s="22">
        <v>443.89699999999999</v>
      </c>
      <c r="AS227" s="22">
        <v>-1.7156999999999999E-2</v>
      </c>
      <c r="AT227" s="22">
        <v>217</v>
      </c>
      <c r="AU227" s="22">
        <v>0.73638899999999996</v>
      </c>
      <c r="AV227">
        <f t="shared" si="44"/>
        <v>17.157</v>
      </c>
      <c r="AW227">
        <f t="shared" si="45"/>
        <v>12.649941885</v>
      </c>
      <c r="AX227" s="9"/>
      <c r="AY227" s="22">
        <v>0.99273699999999998</v>
      </c>
      <c r="AZ227" s="22">
        <v>494.91</v>
      </c>
      <c r="BA227" s="22">
        <v>-1.6967800000000002E-2</v>
      </c>
      <c r="BB227" s="22">
        <v>217</v>
      </c>
      <c r="BC227" s="22">
        <v>0.99182099999999995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130.18700000000001</v>
      </c>
      <c r="I228" s="22">
        <v>-1.7160000000000002E-2</v>
      </c>
      <c r="J228" s="22">
        <v>218</v>
      </c>
      <c r="K228" s="22">
        <v>0.73147600000000002</v>
      </c>
      <c r="L228">
        <f t="shared" si="36"/>
        <v>17.16</v>
      </c>
      <c r="M228">
        <f t="shared" si="37"/>
        <v>12.565736039999999</v>
      </c>
      <c r="N228" s="9"/>
      <c r="O228" s="22">
        <v>0.99777199999999999</v>
      </c>
      <c r="P228" s="22">
        <v>179.28899999999999</v>
      </c>
      <c r="Q228" s="22">
        <v>-1.6952499999999999E-2</v>
      </c>
      <c r="R228" s="22">
        <v>218</v>
      </c>
      <c r="S228" s="22">
        <v>0.99700900000000003</v>
      </c>
      <c r="T228">
        <f t="shared" si="38"/>
        <v>16.952500000000001</v>
      </c>
      <c r="U228">
        <f t="shared" si="39"/>
        <v>16.914729829999999</v>
      </c>
      <c r="X228" s="9"/>
      <c r="Y228" s="22">
        <v>0.73226899999999995</v>
      </c>
      <c r="Z228" s="22">
        <v>235.446</v>
      </c>
      <c r="AA228" s="22">
        <v>-1.7172199999999999E-2</v>
      </c>
      <c r="AB228" s="22">
        <v>218</v>
      </c>
      <c r="AC228" s="22">
        <v>0.73135399999999995</v>
      </c>
      <c r="AD228">
        <f t="shared" si="40"/>
        <v>17.1722</v>
      </c>
      <c r="AE228">
        <f t="shared" si="41"/>
        <v>12.574669721799999</v>
      </c>
      <c r="AF228" s="9"/>
      <c r="AG228" s="22">
        <v>0.99777199999999999</v>
      </c>
      <c r="AH228" s="22">
        <v>366.11599999999999</v>
      </c>
      <c r="AI228" s="22">
        <v>-1.6949499999999999E-2</v>
      </c>
      <c r="AJ228" s="22">
        <v>218</v>
      </c>
      <c r="AK228" s="22">
        <v>0.99731400000000003</v>
      </c>
      <c r="AL228">
        <f t="shared" si="42"/>
        <v>16.9495</v>
      </c>
      <c r="AM228">
        <f t="shared" si="43"/>
        <v>16.911736514000001</v>
      </c>
      <c r="AP228" s="9"/>
      <c r="AQ228" s="22">
        <v>0.73226899999999995</v>
      </c>
      <c r="AR228" s="22">
        <v>443.99700000000001</v>
      </c>
      <c r="AS228" s="22">
        <v>-1.7163100000000001E-2</v>
      </c>
      <c r="AT228" s="22">
        <v>218</v>
      </c>
      <c r="AU228" s="22">
        <v>0.73156699999999997</v>
      </c>
      <c r="AV228">
        <f t="shared" si="44"/>
        <v>17.1631</v>
      </c>
      <c r="AW228">
        <f t="shared" si="45"/>
        <v>12.568006073899999</v>
      </c>
      <c r="AX228" s="9"/>
      <c r="AY228" s="22">
        <v>0.99777199999999999</v>
      </c>
      <c r="AZ228" s="22">
        <v>495.01100000000002</v>
      </c>
      <c r="BA228" s="22">
        <v>-1.6964699999999999E-2</v>
      </c>
      <c r="BB228" s="22">
        <v>218</v>
      </c>
      <c r="BC228" s="22">
        <v>0.99639900000000003</v>
      </c>
      <c r="BD228">
        <f t="shared" si="46"/>
        <v>16.964700000000001</v>
      </c>
      <c r="BE228">
        <f t="shared" si="47"/>
        <v>16.926902648399999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130.28800000000001</v>
      </c>
      <c r="I229" s="22">
        <v>-1.7160000000000002E-2</v>
      </c>
      <c r="J229" s="22">
        <v>219</v>
      </c>
      <c r="K229" s="22">
        <v>0.72641</v>
      </c>
      <c r="L229">
        <f t="shared" si="36"/>
        <v>17.16</v>
      </c>
      <c r="M229">
        <f t="shared" si="37"/>
        <v>12.479335440000002</v>
      </c>
      <c r="N229" s="9"/>
      <c r="O229" s="22">
        <v>1.00281</v>
      </c>
      <c r="P229" s="22">
        <v>179.39</v>
      </c>
      <c r="Q229" s="22">
        <v>-1.6952499999999999E-2</v>
      </c>
      <c r="R229" s="22">
        <v>219</v>
      </c>
      <c r="S229" s="22">
        <v>1.0018899999999999</v>
      </c>
      <c r="T229">
        <f t="shared" si="38"/>
        <v>16.952500000000001</v>
      </c>
      <c r="U229">
        <f t="shared" si="39"/>
        <v>17.000136524999998</v>
      </c>
      <c r="X229" s="9"/>
      <c r="Y229" s="22">
        <v>0.72723400000000005</v>
      </c>
      <c r="Z229" s="22">
        <v>235.547</v>
      </c>
      <c r="AA229" s="22">
        <v>-1.7175300000000001E-2</v>
      </c>
      <c r="AB229" s="22">
        <v>219</v>
      </c>
      <c r="AC229" s="22">
        <v>0.72656299999999996</v>
      </c>
      <c r="AD229">
        <f t="shared" si="40"/>
        <v>17.1753</v>
      </c>
      <c r="AE229">
        <f t="shared" si="41"/>
        <v>12.4904621202</v>
      </c>
      <c r="AF229" s="9"/>
      <c r="AG229" s="22">
        <v>1.00281</v>
      </c>
      <c r="AH229" s="22">
        <v>366.21699999999998</v>
      </c>
      <c r="AI229" s="22">
        <v>-1.6943400000000001E-2</v>
      </c>
      <c r="AJ229" s="22">
        <v>219</v>
      </c>
      <c r="AK229" s="22">
        <v>1.0018899999999999</v>
      </c>
      <c r="AL229">
        <f t="shared" si="42"/>
        <v>16.9434</v>
      </c>
      <c r="AM229">
        <f t="shared" si="43"/>
        <v>16.991010954</v>
      </c>
      <c r="AP229" s="9"/>
      <c r="AQ229" s="22">
        <v>0.72723400000000005</v>
      </c>
      <c r="AR229" s="22">
        <v>444.09800000000001</v>
      </c>
      <c r="AS229" s="22">
        <v>-1.7163100000000001E-2</v>
      </c>
      <c r="AT229" s="22">
        <v>219</v>
      </c>
      <c r="AU229" s="22">
        <v>0.72656299999999996</v>
      </c>
      <c r="AV229">
        <f t="shared" si="44"/>
        <v>17.1631</v>
      </c>
      <c r="AW229">
        <f t="shared" si="45"/>
        <v>12.4815898654</v>
      </c>
      <c r="AX229" s="9"/>
      <c r="AY229" s="22">
        <v>1.00281</v>
      </c>
      <c r="AZ229" s="22">
        <v>495.11200000000002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130.38900000000001</v>
      </c>
      <c r="I230" s="22">
        <v>-1.7163100000000001E-2</v>
      </c>
      <c r="J230" s="22">
        <v>220</v>
      </c>
      <c r="K230" s="22">
        <v>0.72131299999999998</v>
      </c>
      <c r="L230">
        <f t="shared" si="36"/>
        <v>17.1631</v>
      </c>
      <c r="M230">
        <f t="shared" si="37"/>
        <v>12.3951564938</v>
      </c>
      <c r="N230" s="9"/>
      <c r="O230" s="22">
        <v>1.0078400000000001</v>
      </c>
      <c r="P230" s="22">
        <v>179.49</v>
      </c>
      <c r="Q230" s="22">
        <v>-1.6937299999999999E-2</v>
      </c>
      <c r="R230" s="22">
        <v>220</v>
      </c>
      <c r="S230" s="22">
        <v>1.00769</v>
      </c>
      <c r="T230">
        <f t="shared" si="38"/>
        <v>16.9373</v>
      </c>
      <c r="U230">
        <f t="shared" si="39"/>
        <v>17.070088432000002</v>
      </c>
      <c r="X230" s="9"/>
      <c r="Y230" s="22">
        <v>0.72219800000000001</v>
      </c>
      <c r="Z230" s="22">
        <v>235.64699999999999</v>
      </c>
      <c r="AA230" s="22">
        <v>-1.7175300000000001E-2</v>
      </c>
      <c r="AB230" s="22">
        <v>220</v>
      </c>
      <c r="AC230" s="22">
        <v>0.72164899999999998</v>
      </c>
      <c r="AD230">
        <f t="shared" si="40"/>
        <v>17.1753</v>
      </c>
      <c r="AE230">
        <f t="shared" si="41"/>
        <v>12.4039673094</v>
      </c>
      <c r="AF230" s="9"/>
      <c r="AG230" s="22">
        <v>1.0078400000000001</v>
      </c>
      <c r="AH230" s="22">
        <v>366.31700000000001</v>
      </c>
      <c r="AI230" s="22">
        <v>-1.6937299999999999E-2</v>
      </c>
      <c r="AJ230" s="22">
        <v>220</v>
      </c>
      <c r="AK230" s="22">
        <v>1.00708</v>
      </c>
      <c r="AL230">
        <f t="shared" si="42"/>
        <v>16.9373</v>
      </c>
      <c r="AM230">
        <f t="shared" si="43"/>
        <v>17.070088432000002</v>
      </c>
      <c r="AP230" s="9"/>
      <c r="AQ230" s="22">
        <v>0.72219800000000001</v>
      </c>
      <c r="AR230" s="22">
        <v>444.19900000000001</v>
      </c>
      <c r="AS230" s="22">
        <v>-1.7169199999999999E-2</v>
      </c>
      <c r="AT230" s="22">
        <v>220</v>
      </c>
      <c r="AU230" s="22">
        <v>0.72143599999999997</v>
      </c>
      <c r="AV230">
        <f t="shared" si="44"/>
        <v>17.1692</v>
      </c>
      <c r="AW230">
        <f t="shared" si="45"/>
        <v>12.3995619016</v>
      </c>
      <c r="AX230" s="9"/>
      <c r="AY230" s="22">
        <v>1.0078400000000001</v>
      </c>
      <c r="AZ230" s="22">
        <v>495.21300000000002</v>
      </c>
      <c r="BA230" s="22">
        <v>-1.6955600000000001E-2</v>
      </c>
      <c r="BB230" s="22">
        <v>220</v>
      </c>
      <c r="BC230" s="22">
        <v>1.00708</v>
      </c>
      <c r="BD230">
        <f t="shared" si="46"/>
        <v>16.9556</v>
      </c>
      <c r="BE230">
        <f t="shared" si="47"/>
        <v>17.088531904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130.489</v>
      </c>
      <c r="I231" s="22">
        <v>-1.7169199999999999E-2</v>
      </c>
      <c r="J231" s="22">
        <v>221</v>
      </c>
      <c r="K231" s="22">
        <v>0.71636999999999995</v>
      </c>
      <c r="L231">
        <f t="shared" si="36"/>
        <v>17.1692</v>
      </c>
      <c r="M231">
        <f t="shared" si="37"/>
        <v>12.3131149796</v>
      </c>
      <c r="N231" s="9"/>
      <c r="O231" s="22">
        <v>1.01288</v>
      </c>
      <c r="P231" s="22">
        <v>179.59100000000001</v>
      </c>
      <c r="Q231" s="22">
        <v>-1.69342E-2</v>
      </c>
      <c r="R231" s="22">
        <v>221</v>
      </c>
      <c r="S231" s="22">
        <v>1.01196</v>
      </c>
      <c r="T231">
        <f t="shared" si="38"/>
        <v>16.934200000000001</v>
      </c>
      <c r="U231">
        <f t="shared" si="39"/>
        <v>17.152312496</v>
      </c>
      <c r="X231" s="9"/>
      <c r="Y231" s="22">
        <v>0.71716299999999999</v>
      </c>
      <c r="Z231" s="22">
        <v>235.74799999999999</v>
      </c>
      <c r="AA231" s="22">
        <v>-1.7181399999999999E-2</v>
      </c>
      <c r="AB231" s="22">
        <v>221</v>
      </c>
      <c r="AC231" s="22">
        <v>0.71646100000000001</v>
      </c>
      <c r="AD231">
        <f t="shared" si="40"/>
        <v>17.1814</v>
      </c>
      <c r="AE231">
        <f t="shared" si="41"/>
        <v>12.3218643682</v>
      </c>
      <c r="AF231" s="9"/>
      <c r="AG231" s="22">
        <v>1.01288</v>
      </c>
      <c r="AH231" s="22">
        <v>366.41800000000001</v>
      </c>
      <c r="AI231" s="22">
        <v>-1.6928100000000001E-2</v>
      </c>
      <c r="AJ231" s="22">
        <v>221</v>
      </c>
      <c r="AK231" s="22">
        <v>1.01196</v>
      </c>
      <c r="AL231">
        <f t="shared" si="42"/>
        <v>16.928100000000001</v>
      </c>
      <c r="AM231">
        <f t="shared" si="43"/>
        <v>17.146133928000001</v>
      </c>
      <c r="AP231" s="9"/>
      <c r="AQ231" s="22">
        <v>0.71716299999999999</v>
      </c>
      <c r="AR231" s="22">
        <v>444.29899999999998</v>
      </c>
      <c r="AS231" s="22">
        <v>-1.7172199999999999E-2</v>
      </c>
      <c r="AT231" s="22">
        <v>221</v>
      </c>
      <c r="AU231" s="22">
        <v>0.71661399999999997</v>
      </c>
      <c r="AV231">
        <f t="shared" si="44"/>
        <v>17.1722</v>
      </c>
      <c r="AW231">
        <f t="shared" si="45"/>
        <v>12.315266468600001</v>
      </c>
      <c r="AX231" s="9"/>
      <c r="AY231" s="22">
        <v>1.01288</v>
      </c>
      <c r="AZ231" s="22">
        <v>495.31299999999999</v>
      </c>
      <c r="BA231" s="22">
        <v>-1.6952499999999999E-2</v>
      </c>
      <c r="BB231" s="22">
        <v>221</v>
      </c>
      <c r="BC231" s="22">
        <v>1.01227</v>
      </c>
      <c r="BD231">
        <f t="shared" si="46"/>
        <v>16.952500000000001</v>
      </c>
      <c r="BE231">
        <f t="shared" si="47"/>
        <v>17.170848200000002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130.59</v>
      </c>
      <c r="I232" s="22">
        <v>-1.7172199999999999E-2</v>
      </c>
      <c r="J232" s="22">
        <v>222</v>
      </c>
      <c r="K232" s="22">
        <v>0.71136500000000003</v>
      </c>
      <c r="L232">
        <f t="shared" si="36"/>
        <v>17.1722</v>
      </c>
      <c r="M232">
        <f t="shared" si="37"/>
        <v>12.228804441599999</v>
      </c>
      <c r="N232" s="9"/>
      <c r="O232" s="22">
        <v>1.0179100000000001</v>
      </c>
      <c r="P232" s="22">
        <v>179.69200000000001</v>
      </c>
      <c r="Q232" s="22">
        <v>-1.69342E-2</v>
      </c>
      <c r="R232" s="22">
        <v>222</v>
      </c>
      <c r="S232" s="22">
        <v>1.01715</v>
      </c>
      <c r="T232">
        <f t="shared" si="38"/>
        <v>16.934200000000001</v>
      </c>
      <c r="U232">
        <f t="shared" si="39"/>
        <v>17.237491522000003</v>
      </c>
      <c r="X232" s="9"/>
      <c r="Y232" s="22">
        <v>0.71212799999999998</v>
      </c>
      <c r="Z232" s="22">
        <v>235.84899999999999</v>
      </c>
      <c r="AA232" s="22">
        <v>-1.7184399999999999E-2</v>
      </c>
      <c r="AB232" s="22">
        <v>222</v>
      </c>
      <c r="AC232" s="22">
        <v>0.71136500000000003</v>
      </c>
      <c r="AD232">
        <f t="shared" si="40"/>
        <v>17.1844</v>
      </c>
      <c r="AE232">
        <f t="shared" si="41"/>
        <v>12.237492403199999</v>
      </c>
      <c r="AF232" s="9"/>
      <c r="AG232" s="22">
        <v>1.0179100000000001</v>
      </c>
      <c r="AH232" s="22">
        <v>366.51900000000001</v>
      </c>
      <c r="AI232" s="22">
        <v>-1.69312E-2</v>
      </c>
      <c r="AJ232" s="22">
        <v>222</v>
      </c>
      <c r="AK232" s="22">
        <v>1.01685</v>
      </c>
      <c r="AL232">
        <f t="shared" si="42"/>
        <v>16.9312</v>
      </c>
      <c r="AM232">
        <f t="shared" si="43"/>
        <v>17.234437792000001</v>
      </c>
      <c r="AP232" s="9"/>
      <c r="AQ232" s="22">
        <v>0.71212799999999998</v>
      </c>
      <c r="AR232" s="22">
        <v>444.4</v>
      </c>
      <c r="AS232" s="22">
        <v>-1.7178300000000001E-2</v>
      </c>
      <c r="AT232" s="22">
        <v>222</v>
      </c>
      <c r="AU232" s="22">
        <v>0.71154799999999996</v>
      </c>
      <c r="AV232">
        <f t="shared" si="44"/>
        <v>17.1783</v>
      </c>
      <c r="AW232">
        <f t="shared" si="45"/>
        <v>12.233148422399999</v>
      </c>
      <c r="AX232" s="9"/>
      <c r="AY232" s="22">
        <v>1.0179100000000001</v>
      </c>
      <c r="AZ232" s="22">
        <v>495.41399999999999</v>
      </c>
      <c r="BA232" s="22">
        <v>-1.69464E-2</v>
      </c>
      <c r="BB232" s="22">
        <v>222</v>
      </c>
      <c r="BC232" s="22">
        <v>1.01685</v>
      </c>
      <c r="BD232">
        <f t="shared" si="46"/>
        <v>16.946400000000001</v>
      </c>
      <c r="BE232">
        <f t="shared" si="47"/>
        <v>17.249910024000002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130.691</v>
      </c>
      <c r="I233" s="22">
        <v>-1.7175300000000001E-2</v>
      </c>
      <c r="J233" s="22">
        <v>223</v>
      </c>
      <c r="K233" s="22">
        <v>0.70642099999999997</v>
      </c>
      <c r="L233">
        <f t="shared" si="36"/>
        <v>17.1753</v>
      </c>
      <c r="M233">
        <f t="shared" si="37"/>
        <v>12.144517227600002</v>
      </c>
      <c r="N233" s="9"/>
      <c r="O233" s="22">
        <v>1.02295</v>
      </c>
      <c r="P233" s="22">
        <v>179.792</v>
      </c>
      <c r="Q233" s="22">
        <v>-1.69312E-2</v>
      </c>
      <c r="R233" s="22">
        <v>223</v>
      </c>
      <c r="S233" s="22">
        <v>1.02203</v>
      </c>
      <c r="T233">
        <f t="shared" si="38"/>
        <v>16.9312</v>
      </c>
      <c r="U233">
        <f t="shared" si="39"/>
        <v>17.319771040000003</v>
      </c>
      <c r="X233" s="9"/>
      <c r="Y233" s="22">
        <v>0.70709200000000005</v>
      </c>
      <c r="Z233" s="22">
        <v>235.94900000000001</v>
      </c>
      <c r="AA233" s="22">
        <v>-1.7187500000000001E-2</v>
      </c>
      <c r="AB233" s="22">
        <v>223</v>
      </c>
      <c r="AC233" s="22">
        <v>0.70638999999999996</v>
      </c>
      <c r="AD233">
        <f t="shared" si="40"/>
        <v>17.1875</v>
      </c>
      <c r="AE233">
        <f t="shared" si="41"/>
        <v>12.153143750000002</v>
      </c>
      <c r="AF233" s="9"/>
      <c r="AG233" s="22">
        <v>1.02295</v>
      </c>
      <c r="AH233" s="22">
        <v>366.62</v>
      </c>
      <c r="AI233" s="22">
        <v>-1.6924999999999999E-2</v>
      </c>
      <c r="AJ233" s="22">
        <v>223</v>
      </c>
      <c r="AK233" s="22">
        <v>1.02173</v>
      </c>
      <c r="AL233">
        <f t="shared" si="42"/>
        <v>16.925000000000001</v>
      </c>
      <c r="AM233">
        <f t="shared" si="43"/>
        <v>17.31342875</v>
      </c>
      <c r="AP233" s="9"/>
      <c r="AQ233" s="22">
        <v>0.70709200000000005</v>
      </c>
      <c r="AR233" s="22">
        <v>444.50099999999998</v>
      </c>
      <c r="AS233" s="22">
        <v>-1.7184399999999999E-2</v>
      </c>
      <c r="AT233" s="22">
        <v>223</v>
      </c>
      <c r="AU233" s="22">
        <v>0.70626800000000001</v>
      </c>
      <c r="AV233">
        <f t="shared" si="44"/>
        <v>17.1844</v>
      </c>
      <c r="AW233">
        <f t="shared" si="45"/>
        <v>12.1509517648</v>
      </c>
      <c r="AX233" s="9"/>
      <c r="AY233" s="22">
        <v>1.02295</v>
      </c>
      <c r="AZ233" s="22">
        <v>495.51499999999999</v>
      </c>
      <c r="BA233" s="22">
        <v>-1.6943400000000001E-2</v>
      </c>
      <c r="BB233" s="22">
        <v>223</v>
      </c>
      <c r="BC233" s="22">
        <v>1.02173</v>
      </c>
      <c r="BD233">
        <f t="shared" si="46"/>
        <v>16.9434</v>
      </c>
      <c r="BE233">
        <f t="shared" si="47"/>
        <v>17.332251030000002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130.791</v>
      </c>
      <c r="I234" s="22">
        <v>-1.7184399999999999E-2</v>
      </c>
      <c r="J234" s="22">
        <v>224</v>
      </c>
      <c r="K234" s="22">
        <v>0.70129399999999997</v>
      </c>
      <c r="L234">
        <f t="shared" si="36"/>
        <v>17.1844</v>
      </c>
      <c r="M234">
        <f t="shared" si="37"/>
        <v>12.0644283108</v>
      </c>
      <c r="N234" s="9"/>
      <c r="O234" s="22">
        <v>1.0279799999999999</v>
      </c>
      <c r="P234" s="22">
        <v>179.893</v>
      </c>
      <c r="Q234" s="22">
        <v>-1.6922E-2</v>
      </c>
      <c r="R234" s="22">
        <v>224</v>
      </c>
      <c r="S234" s="22">
        <v>1.026</v>
      </c>
      <c r="T234">
        <f t="shared" si="38"/>
        <v>16.922000000000001</v>
      </c>
      <c r="U234">
        <f t="shared" si="39"/>
        <v>17.39547756</v>
      </c>
      <c r="X234" s="9"/>
      <c r="Y234" s="22">
        <v>0.70205700000000004</v>
      </c>
      <c r="Z234" s="22">
        <v>236.05</v>
      </c>
      <c r="AA234" s="22">
        <v>-1.71936E-2</v>
      </c>
      <c r="AB234" s="22">
        <v>224</v>
      </c>
      <c r="AC234" s="22">
        <v>0.70129399999999997</v>
      </c>
      <c r="AD234">
        <f t="shared" si="40"/>
        <v>17.1936</v>
      </c>
      <c r="AE234">
        <f t="shared" si="41"/>
        <v>12.070887235200001</v>
      </c>
      <c r="AF234" s="9"/>
      <c r="AG234" s="22">
        <v>1.0279799999999999</v>
      </c>
      <c r="AH234" s="22">
        <v>366.72</v>
      </c>
      <c r="AI234" s="22">
        <v>-1.6918900000000001E-2</v>
      </c>
      <c r="AJ234" s="22">
        <v>224</v>
      </c>
      <c r="AK234" s="22">
        <v>1.02661</v>
      </c>
      <c r="AL234">
        <f t="shared" si="42"/>
        <v>16.918900000000001</v>
      </c>
      <c r="AM234">
        <f t="shared" si="43"/>
        <v>17.392290822</v>
      </c>
      <c r="AP234" s="9"/>
      <c r="AQ234" s="22">
        <v>0.70205700000000004</v>
      </c>
      <c r="AR234" s="22">
        <v>444.60199999999998</v>
      </c>
      <c r="AS234" s="22">
        <v>-1.7187500000000001E-2</v>
      </c>
      <c r="AT234" s="22">
        <v>224</v>
      </c>
      <c r="AU234" s="22">
        <v>0.70120199999999999</v>
      </c>
      <c r="AV234">
        <f t="shared" si="44"/>
        <v>17.1875</v>
      </c>
      <c r="AW234">
        <f t="shared" si="45"/>
        <v>12.0666046875</v>
      </c>
      <c r="AX234" s="9"/>
      <c r="AY234" s="22">
        <v>1.0279799999999999</v>
      </c>
      <c r="AZ234" s="22">
        <v>495.61500000000001</v>
      </c>
      <c r="BA234" s="22">
        <v>-1.6937299999999999E-2</v>
      </c>
      <c r="BB234" s="22">
        <v>224</v>
      </c>
      <c r="BC234" s="22">
        <v>1.0269200000000001</v>
      </c>
      <c r="BD234">
        <f t="shared" si="46"/>
        <v>16.9373</v>
      </c>
      <c r="BE234">
        <f t="shared" si="47"/>
        <v>17.411205654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130.892</v>
      </c>
      <c r="I235" s="22">
        <v>-1.7184399999999999E-2</v>
      </c>
      <c r="J235" s="22">
        <v>225</v>
      </c>
      <c r="K235" s="22">
        <v>0.69628900000000005</v>
      </c>
      <c r="L235">
        <f t="shared" si="36"/>
        <v>17.1844</v>
      </c>
      <c r="M235">
        <f t="shared" si="37"/>
        <v>11.9778876724</v>
      </c>
      <c r="N235" s="9"/>
      <c r="O235" s="22">
        <v>1.03302</v>
      </c>
      <c r="P235" s="22">
        <v>179.994</v>
      </c>
      <c r="Q235" s="22">
        <v>-1.6918900000000001E-2</v>
      </c>
      <c r="R235" s="22">
        <v>225</v>
      </c>
      <c r="S235" s="22">
        <v>1.03241</v>
      </c>
      <c r="T235">
        <f t="shared" si="38"/>
        <v>16.918900000000001</v>
      </c>
      <c r="U235">
        <f t="shared" si="39"/>
        <v>17.477562078000002</v>
      </c>
      <c r="X235" s="9"/>
      <c r="Y235" s="22">
        <v>0.697021</v>
      </c>
      <c r="Z235" s="22">
        <v>236.15100000000001</v>
      </c>
      <c r="AA235" s="22">
        <v>-1.71936E-2</v>
      </c>
      <c r="AB235" s="22">
        <v>225</v>
      </c>
      <c r="AC235" s="22">
        <v>0.69619799999999998</v>
      </c>
      <c r="AD235">
        <f t="shared" si="40"/>
        <v>17.1936</v>
      </c>
      <c r="AE235">
        <f t="shared" si="41"/>
        <v>11.9843002656</v>
      </c>
      <c r="AF235" s="9"/>
      <c r="AG235" s="22">
        <v>1.03302</v>
      </c>
      <c r="AH235" s="22">
        <v>366.82100000000003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0.697021</v>
      </c>
      <c r="AR235" s="22">
        <v>444.702</v>
      </c>
      <c r="AS235" s="22">
        <v>-1.71906E-2</v>
      </c>
      <c r="AT235" s="22">
        <v>225</v>
      </c>
      <c r="AU235" s="22">
        <v>0.69628900000000005</v>
      </c>
      <c r="AV235">
        <f t="shared" si="44"/>
        <v>17.1906</v>
      </c>
      <c r="AW235">
        <f t="shared" si="45"/>
        <v>11.9822092026</v>
      </c>
      <c r="AX235" s="9"/>
      <c r="AY235" s="22">
        <v>1.03302</v>
      </c>
      <c r="AZ235" s="22">
        <v>495.71600000000001</v>
      </c>
      <c r="BA235" s="22">
        <v>-1.69342E-2</v>
      </c>
      <c r="BB235" s="22">
        <v>225</v>
      </c>
      <c r="BC235" s="22">
        <v>1.03241</v>
      </c>
      <c r="BD235">
        <f t="shared" si="46"/>
        <v>16.934200000000001</v>
      </c>
      <c r="BE235">
        <f t="shared" si="47"/>
        <v>17.493367284000001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130.99299999999999</v>
      </c>
      <c r="I236" s="22">
        <v>-1.71906E-2</v>
      </c>
      <c r="J236" s="22">
        <v>226</v>
      </c>
      <c r="K236" s="22">
        <v>0.69110099999999997</v>
      </c>
      <c r="L236">
        <f t="shared" si="36"/>
        <v>17.1906</v>
      </c>
      <c r="M236">
        <f t="shared" si="37"/>
        <v>11.8956545316</v>
      </c>
      <c r="N236" s="9"/>
      <c r="O236" s="22">
        <v>1.03806</v>
      </c>
      <c r="P236" s="22">
        <v>180.095</v>
      </c>
      <c r="Q236" s="22">
        <v>-1.6915900000000001E-2</v>
      </c>
      <c r="R236" s="22">
        <v>226</v>
      </c>
      <c r="S236" s="22">
        <v>1.03668</v>
      </c>
      <c r="T236">
        <f t="shared" si="38"/>
        <v>16.915900000000001</v>
      </c>
      <c r="U236">
        <f t="shared" si="39"/>
        <v>17.559719154</v>
      </c>
      <c r="X236" s="9"/>
      <c r="Y236" s="22">
        <v>0.69198599999999999</v>
      </c>
      <c r="Z236" s="22">
        <v>236.251</v>
      </c>
      <c r="AA236" s="22">
        <v>-1.7199699999999998E-2</v>
      </c>
      <c r="AB236" s="22">
        <v>226</v>
      </c>
      <c r="AC236" s="22">
        <v>0.69113199999999997</v>
      </c>
      <c r="AD236">
        <f t="shared" si="40"/>
        <v>17.1997</v>
      </c>
      <c r="AE236">
        <f t="shared" si="41"/>
        <v>11.901951604200001</v>
      </c>
      <c r="AF236" s="9"/>
      <c r="AG236" s="22">
        <v>1.03806</v>
      </c>
      <c r="AH236" s="22">
        <v>366.92200000000003</v>
      </c>
      <c r="AI236" s="22">
        <v>-1.6912799999999999E-2</v>
      </c>
      <c r="AJ236" s="22">
        <v>226</v>
      </c>
      <c r="AK236" s="22">
        <v>1.0363800000000001</v>
      </c>
      <c r="AL236">
        <f t="shared" si="42"/>
        <v>16.912799999999997</v>
      </c>
      <c r="AM236">
        <f t="shared" si="43"/>
        <v>17.556501167999997</v>
      </c>
      <c r="AP236" s="9"/>
      <c r="AQ236" s="22">
        <v>0.69198599999999999</v>
      </c>
      <c r="AR236" s="22">
        <v>444.803</v>
      </c>
      <c r="AS236" s="22">
        <v>-1.7196699999999999E-2</v>
      </c>
      <c r="AT236" s="22">
        <v>226</v>
      </c>
      <c r="AU236" s="22">
        <v>0.69113199999999997</v>
      </c>
      <c r="AV236">
        <f t="shared" si="44"/>
        <v>17.1967</v>
      </c>
      <c r="AW236">
        <f t="shared" si="45"/>
        <v>11.8998756462</v>
      </c>
      <c r="AX236" s="9"/>
      <c r="AY236" s="22">
        <v>1.03806</v>
      </c>
      <c r="AZ236" s="22">
        <v>495.81700000000001</v>
      </c>
      <c r="BA236" s="22">
        <v>-1.69312E-2</v>
      </c>
      <c r="BB236" s="22">
        <v>226</v>
      </c>
      <c r="BC236" s="22">
        <v>1.0376000000000001</v>
      </c>
      <c r="BD236">
        <f t="shared" si="46"/>
        <v>16.9312</v>
      </c>
      <c r="BE236">
        <f t="shared" si="47"/>
        <v>17.575601471999999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131.09399999999999</v>
      </c>
      <c r="I237" s="22">
        <v>-1.71936E-2</v>
      </c>
      <c r="J237" s="22">
        <v>227</v>
      </c>
      <c r="K237" s="22">
        <v>0.68606599999999995</v>
      </c>
      <c r="L237">
        <f t="shared" si="36"/>
        <v>17.1936</v>
      </c>
      <c r="M237">
        <f t="shared" si="37"/>
        <v>11.8111607136</v>
      </c>
      <c r="N237" s="9"/>
      <c r="O237" s="22">
        <v>1.0430900000000001</v>
      </c>
      <c r="P237" s="22">
        <v>180.19499999999999</v>
      </c>
      <c r="Q237" s="22">
        <v>-1.6912799999999999E-2</v>
      </c>
      <c r="R237" s="22">
        <v>227</v>
      </c>
      <c r="S237" s="22">
        <v>1.04156</v>
      </c>
      <c r="T237">
        <f t="shared" si="38"/>
        <v>16.912799999999997</v>
      </c>
      <c r="U237">
        <f t="shared" si="39"/>
        <v>17.641572552</v>
      </c>
      <c r="X237" s="9"/>
      <c r="Y237" s="22">
        <v>0.68695099999999998</v>
      </c>
      <c r="Z237" s="22">
        <v>236.352</v>
      </c>
      <c r="AA237" s="22">
        <v>-1.7208899999999999E-2</v>
      </c>
      <c r="AB237" s="22">
        <v>227</v>
      </c>
      <c r="AC237" s="22">
        <v>0.68621799999999999</v>
      </c>
      <c r="AD237">
        <f t="shared" si="40"/>
        <v>17.2089</v>
      </c>
      <c r="AE237">
        <f t="shared" si="41"/>
        <v>11.8216710639</v>
      </c>
      <c r="AF237" s="9"/>
      <c r="AG237" s="22">
        <v>1.0430900000000001</v>
      </c>
      <c r="AH237" s="22">
        <v>367.02199999999999</v>
      </c>
      <c r="AI237" s="22">
        <v>-1.6900600000000002E-2</v>
      </c>
      <c r="AJ237" s="22">
        <v>227</v>
      </c>
      <c r="AK237" s="22">
        <v>1.0418700000000001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0.68695099999999998</v>
      </c>
      <c r="AR237" s="22">
        <v>444.904</v>
      </c>
      <c r="AS237" s="22">
        <v>-1.7196699999999999E-2</v>
      </c>
      <c r="AT237" s="22">
        <v>227</v>
      </c>
      <c r="AU237" s="22">
        <v>0.686249</v>
      </c>
      <c r="AV237">
        <f t="shared" si="44"/>
        <v>17.1967</v>
      </c>
      <c r="AW237">
        <f t="shared" si="45"/>
        <v>11.813290261699999</v>
      </c>
      <c r="AX237" s="9"/>
      <c r="AY237" s="22">
        <v>1.0430900000000001</v>
      </c>
      <c r="AZ237" s="22">
        <v>495.91699999999997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131.19399999999999</v>
      </c>
      <c r="I238" s="22">
        <v>-1.71936E-2</v>
      </c>
      <c r="J238" s="22">
        <v>228</v>
      </c>
      <c r="K238" s="22">
        <v>0.68121299999999996</v>
      </c>
      <c r="L238">
        <f t="shared" si="36"/>
        <v>17.1936</v>
      </c>
      <c r="M238">
        <f t="shared" si="37"/>
        <v>11.724573744000001</v>
      </c>
      <c r="N238" s="9"/>
      <c r="O238" s="22">
        <v>1.04813</v>
      </c>
      <c r="P238" s="22">
        <v>180.29599999999999</v>
      </c>
      <c r="Q238" s="22">
        <v>-1.69067E-2</v>
      </c>
      <c r="R238" s="22">
        <v>228</v>
      </c>
      <c r="S238" s="22">
        <v>1.0473600000000001</v>
      </c>
      <c r="T238">
        <f t="shared" si="38"/>
        <v>16.906700000000001</v>
      </c>
      <c r="U238">
        <f t="shared" si="39"/>
        <v>17.720419471</v>
      </c>
      <c r="X238" s="9"/>
      <c r="Y238" s="22">
        <v>0.68191500000000005</v>
      </c>
      <c r="Z238" s="22">
        <v>236.453</v>
      </c>
      <c r="AA238" s="22">
        <v>-1.7211899999999999E-2</v>
      </c>
      <c r="AB238" s="22">
        <v>228</v>
      </c>
      <c r="AC238" s="22">
        <v>0.68124399999999996</v>
      </c>
      <c r="AD238">
        <f t="shared" si="40"/>
        <v>17.2119</v>
      </c>
      <c r="AE238">
        <f t="shared" si="41"/>
        <v>11.737052788500002</v>
      </c>
      <c r="AF238" s="9"/>
      <c r="AG238" s="22">
        <v>1.04813</v>
      </c>
      <c r="AH238" s="22">
        <v>367.12299999999999</v>
      </c>
      <c r="AI238" s="22">
        <v>-1.6903700000000001E-2</v>
      </c>
      <c r="AJ238" s="22">
        <v>228</v>
      </c>
      <c r="AK238" s="22">
        <v>1.0476700000000001</v>
      </c>
      <c r="AL238">
        <f t="shared" si="42"/>
        <v>16.903700000000001</v>
      </c>
      <c r="AM238">
        <f t="shared" si="43"/>
        <v>17.717275081</v>
      </c>
      <c r="AP238" s="9"/>
      <c r="AQ238" s="22">
        <v>0.68191500000000005</v>
      </c>
      <c r="AR238" s="22">
        <v>445.00400000000002</v>
      </c>
      <c r="AS238" s="22">
        <v>-1.7199699999999998E-2</v>
      </c>
      <c r="AT238" s="22">
        <v>228</v>
      </c>
      <c r="AU238" s="22">
        <v>0.68112200000000001</v>
      </c>
      <c r="AV238">
        <f t="shared" si="44"/>
        <v>17.1997</v>
      </c>
      <c r="AW238">
        <f t="shared" si="45"/>
        <v>11.728733425500002</v>
      </c>
      <c r="AX238" s="9"/>
      <c r="AY238" s="22">
        <v>1.04813</v>
      </c>
      <c r="AZ238" s="22">
        <v>496.01799999999997</v>
      </c>
      <c r="BA238" s="22">
        <v>-1.6918900000000001E-2</v>
      </c>
      <c r="BB238" s="22">
        <v>228</v>
      </c>
      <c r="BC238" s="22">
        <v>1.0473600000000001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131.29499999999999</v>
      </c>
      <c r="I239" s="22">
        <v>-1.7196699999999999E-2</v>
      </c>
      <c r="J239" s="22">
        <v>229</v>
      </c>
      <c r="K239" s="22">
        <v>0.67630000000000001</v>
      </c>
      <c r="L239">
        <f t="shared" si="36"/>
        <v>17.1967</v>
      </c>
      <c r="M239">
        <f t="shared" si="37"/>
        <v>11.640102296</v>
      </c>
      <c r="N239" s="9"/>
      <c r="O239" s="22">
        <v>1.0531600000000001</v>
      </c>
      <c r="P239" s="22">
        <v>180.39699999999999</v>
      </c>
      <c r="Q239" s="22">
        <v>-1.6897599999999999E-2</v>
      </c>
      <c r="R239" s="22">
        <v>229</v>
      </c>
      <c r="S239" s="22">
        <v>1.0519400000000001</v>
      </c>
      <c r="T239">
        <f t="shared" si="38"/>
        <v>16.897599999999997</v>
      </c>
      <c r="U239">
        <f t="shared" si="39"/>
        <v>17.795876415999999</v>
      </c>
      <c r="X239" s="9"/>
      <c r="Y239" s="22">
        <v>0.67688000000000004</v>
      </c>
      <c r="Z239" s="22">
        <v>236.554</v>
      </c>
      <c r="AA239" s="22">
        <v>-1.7215000000000001E-2</v>
      </c>
      <c r="AB239" s="22">
        <v>229</v>
      </c>
      <c r="AC239" s="22">
        <v>0.67617799999999995</v>
      </c>
      <c r="AD239">
        <f t="shared" si="40"/>
        <v>17.215</v>
      </c>
      <c r="AE239">
        <f t="shared" si="41"/>
        <v>11.6524892</v>
      </c>
      <c r="AF239" s="9"/>
      <c r="AG239" s="22">
        <v>1.0531600000000001</v>
      </c>
      <c r="AH239" s="22">
        <v>367.22399999999999</v>
      </c>
      <c r="AI239" s="22">
        <v>-1.6897599999999999E-2</v>
      </c>
      <c r="AJ239" s="22">
        <v>229</v>
      </c>
      <c r="AK239" s="22">
        <v>1.0525500000000001</v>
      </c>
      <c r="AL239">
        <f t="shared" si="42"/>
        <v>16.897599999999997</v>
      </c>
      <c r="AM239">
        <f t="shared" si="43"/>
        <v>17.795876415999999</v>
      </c>
      <c r="AP239" s="9"/>
      <c r="AQ239" s="22">
        <v>0.67688000000000004</v>
      </c>
      <c r="AR239" s="22">
        <v>445.10500000000002</v>
      </c>
      <c r="AS239" s="22">
        <v>-1.72058E-2</v>
      </c>
      <c r="AT239" s="22">
        <v>229</v>
      </c>
      <c r="AU239" s="22">
        <v>0.67608599999999996</v>
      </c>
      <c r="AV239">
        <f t="shared" si="44"/>
        <v>17.2058</v>
      </c>
      <c r="AW239">
        <f t="shared" si="45"/>
        <v>11.646261904000001</v>
      </c>
      <c r="AX239" s="9"/>
      <c r="AY239" s="22">
        <v>1.0531600000000001</v>
      </c>
      <c r="AZ239" s="22">
        <v>496.11900000000003</v>
      </c>
      <c r="BA239" s="22">
        <v>-1.6915900000000001E-2</v>
      </c>
      <c r="BB239" s="22">
        <v>229</v>
      </c>
      <c r="BC239" s="22">
        <v>1.0513300000000001</v>
      </c>
      <c r="BD239">
        <f t="shared" si="46"/>
        <v>16.915900000000001</v>
      </c>
      <c r="BE239">
        <f t="shared" si="47"/>
        <v>17.815149244000001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131.39599999999999</v>
      </c>
      <c r="I240" s="22">
        <v>-1.7196699999999999E-2</v>
      </c>
      <c r="J240" s="22">
        <v>230</v>
      </c>
      <c r="K240" s="22">
        <v>0.67102099999999998</v>
      </c>
      <c r="L240">
        <f t="shared" si="36"/>
        <v>17.1967</v>
      </c>
      <c r="M240">
        <f t="shared" si="37"/>
        <v>11.553499714799999</v>
      </c>
      <c r="N240" s="9"/>
      <c r="O240" s="22">
        <v>1.0582</v>
      </c>
      <c r="P240" s="22">
        <v>180.49700000000001</v>
      </c>
      <c r="Q240" s="22">
        <v>-1.68945E-2</v>
      </c>
      <c r="R240" s="22">
        <v>230</v>
      </c>
      <c r="S240" s="22">
        <v>1.0568200000000001</v>
      </c>
      <c r="T240">
        <f t="shared" si="38"/>
        <v>16.894500000000001</v>
      </c>
      <c r="U240">
        <f t="shared" si="39"/>
        <v>17.877759900000001</v>
      </c>
      <c r="X240" s="9"/>
      <c r="Y240" s="22">
        <v>0.671844</v>
      </c>
      <c r="Z240" s="22">
        <v>236.654</v>
      </c>
      <c r="AA240" s="22">
        <v>-1.7218000000000001E-2</v>
      </c>
      <c r="AB240" s="22">
        <v>230</v>
      </c>
      <c r="AC240" s="22">
        <v>0.67105099999999995</v>
      </c>
      <c r="AD240">
        <f t="shared" si="40"/>
        <v>17.218</v>
      </c>
      <c r="AE240">
        <f t="shared" si="41"/>
        <v>11.567809991999999</v>
      </c>
      <c r="AF240" s="9"/>
      <c r="AG240" s="22">
        <v>1.0582</v>
      </c>
      <c r="AH240" s="22">
        <v>367.32499999999999</v>
      </c>
      <c r="AI240" s="22">
        <v>-1.68915E-2</v>
      </c>
      <c r="AJ240" s="22">
        <v>230</v>
      </c>
      <c r="AK240" s="22">
        <v>1.0571299999999999</v>
      </c>
      <c r="AL240">
        <f t="shared" si="42"/>
        <v>16.891500000000001</v>
      </c>
      <c r="AM240">
        <f t="shared" si="43"/>
        <v>17.8745853</v>
      </c>
      <c r="AP240" s="9"/>
      <c r="AQ240" s="22">
        <v>0.671844</v>
      </c>
      <c r="AR240" s="22">
        <v>445.20600000000002</v>
      </c>
      <c r="AS240" s="22">
        <v>-1.72058E-2</v>
      </c>
      <c r="AT240" s="22">
        <v>230</v>
      </c>
      <c r="AU240" s="22">
        <v>0.67102099999999998</v>
      </c>
      <c r="AV240">
        <f t="shared" si="44"/>
        <v>17.2058</v>
      </c>
      <c r="AW240">
        <f t="shared" si="45"/>
        <v>11.559613495200001</v>
      </c>
      <c r="AX240" s="9"/>
      <c r="AY240" s="22">
        <v>1.0582</v>
      </c>
      <c r="AZ240" s="22">
        <v>496.22</v>
      </c>
      <c r="BA240" s="22">
        <v>-1.6909799999999999E-2</v>
      </c>
      <c r="BB240" s="22">
        <v>230</v>
      </c>
      <c r="BC240" s="22">
        <v>1.0571299999999999</v>
      </c>
      <c r="BD240">
        <f t="shared" si="46"/>
        <v>16.909800000000001</v>
      </c>
      <c r="BE240">
        <f t="shared" si="47"/>
        <v>17.893950360000002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131.49600000000001</v>
      </c>
      <c r="I241" s="22">
        <v>-1.72058E-2</v>
      </c>
      <c r="J241" s="22">
        <v>231</v>
      </c>
      <c r="K241" s="22">
        <v>0.666107</v>
      </c>
      <c r="L241">
        <f t="shared" si="36"/>
        <v>17.2058</v>
      </c>
      <c r="M241">
        <f t="shared" si="37"/>
        <v>11.472982292199999</v>
      </c>
      <c r="N241" s="9"/>
      <c r="O241" s="22">
        <v>1.0632299999999999</v>
      </c>
      <c r="P241" s="22">
        <v>180.59800000000001</v>
      </c>
      <c r="Q241" s="22">
        <v>-1.6888400000000001E-2</v>
      </c>
      <c r="R241" s="22">
        <v>231</v>
      </c>
      <c r="S241" s="22">
        <v>1.0623199999999999</v>
      </c>
      <c r="T241">
        <f t="shared" si="38"/>
        <v>16.888400000000001</v>
      </c>
      <c r="U241">
        <f t="shared" si="39"/>
        <v>17.956253531999998</v>
      </c>
      <c r="X241" s="9"/>
      <c r="Y241" s="22">
        <v>0.66680899999999999</v>
      </c>
      <c r="Z241" s="22">
        <v>236.755</v>
      </c>
      <c r="AA241" s="22">
        <v>-1.7218000000000001E-2</v>
      </c>
      <c r="AB241" s="22">
        <v>231</v>
      </c>
      <c r="AC241" s="22">
        <v>0.66622899999999996</v>
      </c>
      <c r="AD241">
        <f t="shared" si="40"/>
        <v>17.218</v>
      </c>
      <c r="AE241">
        <f t="shared" si="41"/>
        <v>11.481117361999999</v>
      </c>
      <c r="AF241" s="9"/>
      <c r="AG241" s="22">
        <v>1.0632299999999999</v>
      </c>
      <c r="AH241" s="22">
        <v>367.42500000000001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0.66680899999999999</v>
      </c>
      <c r="AR241" s="22">
        <v>445.30700000000002</v>
      </c>
      <c r="AS241" s="22">
        <v>-1.7215000000000001E-2</v>
      </c>
      <c r="AT241" s="22">
        <v>231</v>
      </c>
      <c r="AU241" s="22">
        <v>0.66607700000000003</v>
      </c>
      <c r="AV241">
        <f t="shared" si="44"/>
        <v>17.215</v>
      </c>
      <c r="AW241">
        <f t="shared" si="45"/>
        <v>11.479116935</v>
      </c>
      <c r="AX241" s="9"/>
      <c r="AY241" s="22">
        <v>1.0632299999999999</v>
      </c>
      <c r="AZ241" s="22">
        <v>496.32</v>
      </c>
      <c r="BA241" s="22">
        <v>-1.6909799999999999E-2</v>
      </c>
      <c r="BB241" s="22">
        <v>231</v>
      </c>
      <c r="BC241" s="22">
        <v>1.0626199999999999</v>
      </c>
      <c r="BD241">
        <f t="shared" si="46"/>
        <v>16.909800000000001</v>
      </c>
      <c r="BE241">
        <f t="shared" si="47"/>
        <v>17.979006653999999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131.59700000000001</v>
      </c>
      <c r="I242" s="22">
        <v>-1.7208899999999999E-2</v>
      </c>
      <c r="J242" s="22">
        <v>232</v>
      </c>
      <c r="K242" s="22">
        <v>0.66104099999999999</v>
      </c>
      <c r="L242">
        <f t="shared" si="36"/>
        <v>17.2089</v>
      </c>
      <c r="M242">
        <f t="shared" si="37"/>
        <v>11.3884025886</v>
      </c>
      <c r="N242" s="9"/>
      <c r="O242" s="22">
        <v>1.0682700000000001</v>
      </c>
      <c r="P242" s="22">
        <v>180.69900000000001</v>
      </c>
      <c r="Q242" s="22">
        <v>-1.6882299999999999E-2</v>
      </c>
      <c r="R242" s="22">
        <v>232</v>
      </c>
      <c r="S242" s="22">
        <v>1.0674999999999999</v>
      </c>
      <c r="T242">
        <f t="shared" si="38"/>
        <v>16.882300000000001</v>
      </c>
      <c r="U242">
        <f t="shared" si="39"/>
        <v>18.034854621000001</v>
      </c>
      <c r="X242" s="9"/>
      <c r="Y242" s="22">
        <v>0.66177399999999997</v>
      </c>
      <c r="Z242" s="22">
        <v>236.85599999999999</v>
      </c>
      <c r="AA242" s="22">
        <v>-1.7224099999999999E-2</v>
      </c>
      <c r="AB242" s="22">
        <v>232</v>
      </c>
      <c r="AC242" s="22">
        <v>0.66110199999999997</v>
      </c>
      <c r="AD242">
        <f t="shared" si="40"/>
        <v>17.2241</v>
      </c>
      <c r="AE242">
        <f t="shared" si="41"/>
        <v>11.398461553399999</v>
      </c>
      <c r="AF242" s="9"/>
      <c r="AG242" s="22">
        <v>1.0682700000000001</v>
      </c>
      <c r="AH242" s="22">
        <v>367.52600000000001</v>
      </c>
      <c r="AI242" s="22">
        <v>-1.6882299999999999E-2</v>
      </c>
      <c r="AJ242" s="22">
        <v>232</v>
      </c>
      <c r="AK242" s="22">
        <v>1.0671999999999999</v>
      </c>
      <c r="AL242">
        <f t="shared" si="42"/>
        <v>16.882300000000001</v>
      </c>
      <c r="AM242">
        <f t="shared" si="43"/>
        <v>18.034854621000001</v>
      </c>
      <c r="AP242" s="9"/>
      <c r="AQ242" s="22">
        <v>0.66177399999999997</v>
      </c>
      <c r="AR242" s="22">
        <v>445.40699999999998</v>
      </c>
      <c r="AS242" s="22">
        <v>-1.7218000000000001E-2</v>
      </c>
      <c r="AT242" s="22">
        <v>232</v>
      </c>
      <c r="AU242" s="22">
        <v>0.66113299999999997</v>
      </c>
      <c r="AV242">
        <f t="shared" si="44"/>
        <v>17.218</v>
      </c>
      <c r="AW242">
        <f t="shared" si="45"/>
        <v>11.394424731999999</v>
      </c>
      <c r="AX242" s="9"/>
      <c r="AY242" s="22">
        <v>1.0682700000000001</v>
      </c>
      <c r="AZ242" s="22">
        <v>496.42099999999999</v>
      </c>
      <c r="BA242" s="22">
        <v>-1.6897599999999999E-2</v>
      </c>
      <c r="BB242" s="22">
        <v>232</v>
      </c>
      <c r="BC242" s="22">
        <v>1.0671999999999999</v>
      </c>
      <c r="BD242">
        <f t="shared" si="46"/>
        <v>16.897599999999997</v>
      </c>
      <c r="BE242">
        <f t="shared" si="47"/>
        <v>18.051199151999999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131.69800000000001</v>
      </c>
      <c r="I243" s="22">
        <v>-1.7215000000000001E-2</v>
      </c>
      <c r="J243" s="22">
        <v>233</v>
      </c>
      <c r="K243" s="22">
        <v>0.65585300000000002</v>
      </c>
      <c r="L243">
        <f t="shared" si="36"/>
        <v>17.215</v>
      </c>
      <c r="M243">
        <f t="shared" si="37"/>
        <v>11.305744670000001</v>
      </c>
      <c r="N243" s="9"/>
      <c r="O243" s="22">
        <v>1.0732999999999999</v>
      </c>
      <c r="P243" s="22">
        <v>180.8</v>
      </c>
      <c r="Q243" s="22">
        <v>-1.6885399999999998E-2</v>
      </c>
      <c r="R243" s="22">
        <v>233</v>
      </c>
      <c r="S243" s="22">
        <v>1.07178</v>
      </c>
      <c r="T243">
        <f t="shared" si="38"/>
        <v>16.885399999999997</v>
      </c>
      <c r="U243">
        <f t="shared" si="39"/>
        <v>18.123099819999997</v>
      </c>
      <c r="X243" s="9"/>
      <c r="Y243" s="22">
        <v>0.65673800000000004</v>
      </c>
      <c r="Z243" s="22">
        <v>236.95599999999999</v>
      </c>
      <c r="AA243" s="22">
        <v>-1.7227200000000002E-2</v>
      </c>
      <c r="AB243" s="22">
        <v>233</v>
      </c>
      <c r="AC243" s="22">
        <v>0.65612800000000004</v>
      </c>
      <c r="AD243">
        <f t="shared" si="40"/>
        <v>17.2272</v>
      </c>
      <c r="AE243">
        <f t="shared" si="41"/>
        <v>11.313756873600001</v>
      </c>
      <c r="AF243" s="9"/>
      <c r="AG243" s="22">
        <v>1.0732999999999999</v>
      </c>
      <c r="AH243" s="22">
        <v>367.62700000000001</v>
      </c>
      <c r="AI243" s="22">
        <v>-1.68793E-2</v>
      </c>
      <c r="AJ243" s="22">
        <v>233</v>
      </c>
      <c r="AK243" s="22">
        <v>1.0726899999999999</v>
      </c>
      <c r="AL243">
        <f t="shared" si="42"/>
        <v>16.879300000000001</v>
      </c>
      <c r="AM243">
        <f t="shared" si="43"/>
        <v>18.116552689999999</v>
      </c>
      <c r="AP243" s="9"/>
      <c r="AQ243" s="22">
        <v>0.65673800000000004</v>
      </c>
      <c r="AR243" s="22">
        <v>445.50799999999998</v>
      </c>
      <c r="AS243" s="22">
        <v>-1.7218000000000001E-2</v>
      </c>
      <c r="AT243" s="22">
        <v>233</v>
      </c>
      <c r="AU243" s="22">
        <v>0.65597499999999997</v>
      </c>
      <c r="AV243">
        <f t="shared" si="44"/>
        <v>17.218</v>
      </c>
      <c r="AW243">
        <f t="shared" si="45"/>
        <v>11.307714884000001</v>
      </c>
      <c r="AX243" s="9"/>
      <c r="AY243" s="22">
        <v>1.0732999999999999</v>
      </c>
      <c r="AZ243" s="22">
        <v>496.52199999999999</v>
      </c>
      <c r="BA243" s="22">
        <v>-1.68915E-2</v>
      </c>
      <c r="BB243" s="22">
        <v>233</v>
      </c>
      <c r="BC243" s="22">
        <v>1.0726899999999999</v>
      </c>
      <c r="BD243">
        <f t="shared" si="46"/>
        <v>16.891500000000001</v>
      </c>
      <c r="BE243">
        <f t="shared" si="47"/>
        <v>18.129646949999998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131.79900000000001</v>
      </c>
      <c r="I244" s="22">
        <v>-1.7218000000000001E-2</v>
      </c>
      <c r="J244" s="22">
        <v>234</v>
      </c>
      <c r="K244" s="22">
        <v>0.650787</v>
      </c>
      <c r="L244">
        <f t="shared" si="36"/>
        <v>17.218</v>
      </c>
      <c r="M244">
        <f t="shared" si="37"/>
        <v>11.221022254000001</v>
      </c>
      <c r="N244" s="9"/>
      <c r="O244" s="22">
        <v>1.0783400000000001</v>
      </c>
      <c r="P244" s="22">
        <v>180.9</v>
      </c>
      <c r="Q244" s="22">
        <v>-1.6876200000000001E-2</v>
      </c>
      <c r="R244" s="22">
        <v>234</v>
      </c>
      <c r="S244" s="22">
        <v>1.0772699999999999</v>
      </c>
      <c r="T244">
        <f t="shared" si="38"/>
        <v>16.876200000000001</v>
      </c>
      <c r="U244">
        <f t="shared" si="39"/>
        <v>18.198281508000001</v>
      </c>
      <c r="X244" s="9"/>
      <c r="Y244" s="22">
        <v>0.65170300000000003</v>
      </c>
      <c r="Z244" s="22">
        <v>237.05699999999999</v>
      </c>
      <c r="AA244" s="22">
        <v>-1.7230200000000001E-2</v>
      </c>
      <c r="AB244" s="22">
        <v>234</v>
      </c>
      <c r="AC244" s="22">
        <v>0.65093999999999996</v>
      </c>
      <c r="AD244">
        <f t="shared" si="40"/>
        <v>17.2302</v>
      </c>
      <c r="AE244">
        <f t="shared" si="41"/>
        <v>11.228973030600001</v>
      </c>
      <c r="AF244" s="9"/>
      <c r="AG244" s="22">
        <v>1.0783400000000001</v>
      </c>
      <c r="AH244" s="22">
        <v>367.72699999999998</v>
      </c>
      <c r="AI244" s="22">
        <v>-1.6876200000000001E-2</v>
      </c>
      <c r="AJ244" s="22">
        <v>234</v>
      </c>
      <c r="AK244" s="22">
        <v>1.07758</v>
      </c>
      <c r="AL244">
        <f t="shared" si="42"/>
        <v>16.876200000000001</v>
      </c>
      <c r="AM244">
        <f t="shared" si="43"/>
        <v>18.198281508000001</v>
      </c>
      <c r="AP244" s="9"/>
      <c r="AQ244" s="22">
        <v>0.65170300000000003</v>
      </c>
      <c r="AR244" s="22">
        <v>445.60899999999998</v>
      </c>
      <c r="AS244" s="22">
        <v>-1.72211E-2</v>
      </c>
      <c r="AT244" s="22">
        <v>234</v>
      </c>
      <c r="AU244" s="22">
        <v>0.65121499999999999</v>
      </c>
      <c r="AV244">
        <f t="shared" si="44"/>
        <v>17.2211</v>
      </c>
      <c r="AW244">
        <f t="shared" si="45"/>
        <v>11.223042533300001</v>
      </c>
      <c r="AX244" s="9"/>
      <c r="AY244" s="22">
        <v>1.0783400000000001</v>
      </c>
      <c r="AZ244" s="22">
        <v>496.62200000000001</v>
      </c>
      <c r="BA244" s="22">
        <v>-1.68945E-2</v>
      </c>
      <c r="BB244" s="22">
        <v>234</v>
      </c>
      <c r="BC244" s="22">
        <v>1.0778799999999999</v>
      </c>
      <c r="BD244">
        <f t="shared" si="46"/>
        <v>16.894500000000001</v>
      </c>
      <c r="BE244">
        <f t="shared" si="47"/>
        <v>18.218015130000001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131.899</v>
      </c>
      <c r="I245" s="22">
        <v>-1.7218000000000001E-2</v>
      </c>
      <c r="J245" s="22">
        <v>235</v>
      </c>
      <c r="K245" s="22">
        <v>0.646088</v>
      </c>
      <c r="L245">
        <f t="shared" si="36"/>
        <v>17.218</v>
      </c>
      <c r="M245">
        <f t="shared" si="37"/>
        <v>11.134312405999999</v>
      </c>
      <c r="N245" s="9"/>
      <c r="O245" s="22">
        <v>1.0833699999999999</v>
      </c>
      <c r="P245" s="22">
        <v>181.001</v>
      </c>
      <c r="Q245" s="22">
        <v>-1.6867099999999999E-2</v>
      </c>
      <c r="R245" s="22">
        <v>235</v>
      </c>
      <c r="S245" s="22">
        <v>1.0827599999999999</v>
      </c>
      <c r="T245">
        <f t="shared" si="38"/>
        <v>16.867100000000001</v>
      </c>
      <c r="U245">
        <f t="shared" si="39"/>
        <v>18.273310126999998</v>
      </c>
      <c r="X245" s="9"/>
      <c r="Y245" s="22">
        <v>0.64666699999999999</v>
      </c>
      <c r="Z245" s="22">
        <v>237.15799999999999</v>
      </c>
      <c r="AA245" s="22">
        <v>-1.72333E-2</v>
      </c>
      <c r="AB245" s="22">
        <v>235</v>
      </c>
      <c r="AC245" s="22">
        <v>0.64605699999999999</v>
      </c>
      <c r="AD245">
        <f t="shared" si="40"/>
        <v>17.2333</v>
      </c>
      <c r="AE245">
        <f t="shared" si="41"/>
        <v>11.144206411099999</v>
      </c>
      <c r="AF245" s="9"/>
      <c r="AG245" s="22">
        <v>1.0833699999999999</v>
      </c>
      <c r="AH245" s="22">
        <v>367.82799999999997</v>
      </c>
      <c r="AI245" s="22">
        <v>-1.6870099999999999E-2</v>
      </c>
      <c r="AJ245" s="22">
        <v>235</v>
      </c>
      <c r="AK245" s="22">
        <v>1.08307</v>
      </c>
      <c r="AL245">
        <f t="shared" si="42"/>
        <v>16.870100000000001</v>
      </c>
      <c r="AM245">
        <f t="shared" si="43"/>
        <v>18.276560236999998</v>
      </c>
      <c r="AP245" s="9"/>
      <c r="AQ245" s="22">
        <v>0.64666699999999999</v>
      </c>
      <c r="AR245" s="22">
        <v>445.709</v>
      </c>
      <c r="AS245" s="22">
        <v>-1.7224099999999999E-2</v>
      </c>
      <c r="AT245" s="22">
        <v>235</v>
      </c>
      <c r="AU245" s="22">
        <v>0.64593500000000004</v>
      </c>
      <c r="AV245">
        <f t="shared" si="44"/>
        <v>17.2241</v>
      </c>
      <c r="AW245">
        <f t="shared" si="45"/>
        <v>11.1382570747</v>
      </c>
      <c r="AX245" s="9"/>
      <c r="AY245" s="22">
        <v>1.0833699999999999</v>
      </c>
      <c r="AZ245" s="22">
        <v>496.72300000000001</v>
      </c>
      <c r="BA245" s="22">
        <v>-1.6888400000000001E-2</v>
      </c>
      <c r="BB245" s="22">
        <v>235</v>
      </c>
      <c r="BC245" s="22">
        <v>1.08185</v>
      </c>
      <c r="BD245">
        <f t="shared" si="46"/>
        <v>16.888400000000001</v>
      </c>
      <c r="BE245">
        <f t="shared" si="47"/>
        <v>18.296385908000001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132</v>
      </c>
      <c r="I246" s="22">
        <v>-1.7224099999999999E-2</v>
      </c>
      <c r="J246" s="22">
        <v>236</v>
      </c>
      <c r="K246" s="22">
        <v>0.640656</v>
      </c>
      <c r="L246">
        <f t="shared" si="36"/>
        <v>17.2241</v>
      </c>
      <c r="M246">
        <f t="shared" si="37"/>
        <v>11.051533731199999</v>
      </c>
      <c r="N246" s="9"/>
      <c r="O246" s="22">
        <v>1.0884100000000001</v>
      </c>
      <c r="P246" s="22">
        <v>181.102</v>
      </c>
      <c r="Q246" s="22">
        <v>-1.6867099999999999E-2</v>
      </c>
      <c r="R246" s="22">
        <v>236</v>
      </c>
      <c r="S246" s="22">
        <v>1.08765</v>
      </c>
      <c r="T246">
        <f t="shared" si="38"/>
        <v>16.867100000000001</v>
      </c>
      <c r="U246">
        <f t="shared" si="39"/>
        <v>18.358320311000003</v>
      </c>
      <c r="X246" s="9"/>
      <c r="Y246" s="22">
        <v>0.64163199999999998</v>
      </c>
      <c r="Z246" s="22">
        <v>237.25899999999999</v>
      </c>
      <c r="AA246" s="22">
        <v>-1.72333E-2</v>
      </c>
      <c r="AB246" s="22">
        <v>236</v>
      </c>
      <c r="AC246" s="22">
        <v>0.64090000000000003</v>
      </c>
      <c r="AD246">
        <f t="shared" si="40"/>
        <v>17.2333</v>
      </c>
      <c r="AE246">
        <f t="shared" si="41"/>
        <v>11.057436745599999</v>
      </c>
      <c r="AF246" s="9"/>
      <c r="AG246" s="22">
        <v>1.0884100000000001</v>
      </c>
      <c r="AH246" s="22">
        <v>367.92899999999997</v>
      </c>
      <c r="AI246" s="22">
        <v>-1.6867099999999999E-2</v>
      </c>
      <c r="AJ246" s="22">
        <v>236</v>
      </c>
      <c r="AK246" s="22">
        <v>1.08765</v>
      </c>
      <c r="AL246">
        <f t="shared" si="42"/>
        <v>16.867100000000001</v>
      </c>
      <c r="AM246">
        <f t="shared" si="43"/>
        <v>18.358320311000003</v>
      </c>
      <c r="AP246" s="9"/>
      <c r="AQ246" s="22">
        <v>0.64163199999999998</v>
      </c>
      <c r="AR246" s="22">
        <v>445.81</v>
      </c>
      <c r="AS246" s="22">
        <v>-1.7230200000000001E-2</v>
      </c>
      <c r="AT246" s="22">
        <v>236</v>
      </c>
      <c r="AU246" s="22">
        <v>0.64083900000000005</v>
      </c>
      <c r="AV246">
        <f t="shared" si="44"/>
        <v>17.2302</v>
      </c>
      <c r="AW246">
        <f t="shared" si="45"/>
        <v>11.055447686399999</v>
      </c>
      <c r="AX246" s="9"/>
      <c r="AY246" s="22">
        <v>1.0884100000000001</v>
      </c>
      <c r="AZ246" s="22">
        <v>496.82400000000001</v>
      </c>
      <c r="BA246" s="22">
        <v>-1.6882299999999999E-2</v>
      </c>
      <c r="BB246" s="22">
        <v>236</v>
      </c>
      <c r="BC246" s="22">
        <v>1.08734</v>
      </c>
      <c r="BD246">
        <f t="shared" si="46"/>
        <v>16.882300000000001</v>
      </c>
      <c r="BE246">
        <f t="shared" si="47"/>
        <v>18.374864143000003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132.101</v>
      </c>
      <c r="I247" s="22">
        <v>-1.72211E-2</v>
      </c>
      <c r="J247" s="22">
        <v>237</v>
      </c>
      <c r="K247" s="22">
        <v>0.63577300000000003</v>
      </c>
      <c r="L247">
        <f t="shared" si="36"/>
        <v>17.2211</v>
      </c>
      <c r="M247">
        <f t="shared" si="37"/>
        <v>10.962900596699999</v>
      </c>
      <c r="N247" s="9"/>
      <c r="O247" s="22">
        <v>1.09344</v>
      </c>
      <c r="P247" s="22">
        <v>181.202</v>
      </c>
      <c r="Q247" s="22">
        <v>-1.6864000000000001E-2</v>
      </c>
      <c r="R247" s="22">
        <v>237</v>
      </c>
      <c r="S247" s="22">
        <v>1.09283</v>
      </c>
      <c r="T247">
        <f t="shared" si="38"/>
        <v>16.864000000000001</v>
      </c>
      <c r="U247">
        <f t="shared" si="39"/>
        <v>18.43977216</v>
      </c>
      <c r="X247" s="9"/>
      <c r="Y247" s="22">
        <v>0.63659699999999997</v>
      </c>
      <c r="Z247" s="22">
        <v>237.35900000000001</v>
      </c>
      <c r="AA247" s="22">
        <v>-1.7242400000000001E-2</v>
      </c>
      <c r="AB247" s="22">
        <v>237</v>
      </c>
      <c r="AC247" s="22">
        <v>0.63583400000000001</v>
      </c>
      <c r="AD247">
        <f t="shared" si="40"/>
        <v>17.2424</v>
      </c>
      <c r="AE247">
        <f t="shared" si="41"/>
        <v>10.9764601128</v>
      </c>
      <c r="AF247" s="9"/>
      <c r="AG247" s="22">
        <v>1.09344</v>
      </c>
      <c r="AH247" s="22">
        <v>368.03</v>
      </c>
      <c r="AI247" s="22">
        <v>-1.6857899999999999E-2</v>
      </c>
      <c r="AJ247" s="22">
        <v>237</v>
      </c>
      <c r="AK247" s="22">
        <v>1.09253</v>
      </c>
      <c r="AL247">
        <f t="shared" si="42"/>
        <v>16.857899999999997</v>
      </c>
      <c r="AM247">
        <f t="shared" si="43"/>
        <v>18.433102175999995</v>
      </c>
      <c r="AP247" s="9"/>
      <c r="AQ247" s="22">
        <v>0.63659699999999997</v>
      </c>
      <c r="AR247" s="22">
        <v>445.911</v>
      </c>
      <c r="AS247" s="22">
        <v>-1.72333E-2</v>
      </c>
      <c r="AT247" s="22">
        <v>237</v>
      </c>
      <c r="AU247" s="22">
        <v>0.63586399999999998</v>
      </c>
      <c r="AV247">
        <f t="shared" si="44"/>
        <v>17.2333</v>
      </c>
      <c r="AW247">
        <f t="shared" si="45"/>
        <v>10.9706670801</v>
      </c>
      <c r="AX247" s="9"/>
      <c r="AY247" s="22">
        <v>1.09344</v>
      </c>
      <c r="AZ247" s="22">
        <v>496.92500000000001</v>
      </c>
      <c r="BA247" s="22">
        <v>-1.6876200000000001E-2</v>
      </c>
      <c r="BB247" s="22">
        <v>237</v>
      </c>
      <c r="BC247" s="22">
        <v>1.09253</v>
      </c>
      <c r="BD247">
        <f t="shared" si="46"/>
        <v>16.876200000000001</v>
      </c>
      <c r="BE247">
        <f t="shared" si="47"/>
        <v>18.453112128000001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132.20099999999999</v>
      </c>
      <c r="I248" s="22">
        <v>-1.72211E-2</v>
      </c>
      <c r="J248" s="22">
        <v>238</v>
      </c>
      <c r="K248" s="22">
        <v>0.630768</v>
      </c>
      <c r="L248">
        <f t="shared" si="36"/>
        <v>17.2211</v>
      </c>
      <c r="M248">
        <f t="shared" si="37"/>
        <v>10.876175137100001</v>
      </c>
      <c r="N248" s="9"/>
      <c r="O248" s="22">
        <v>1.0984799999999999</v>
      </c>
      <c r="P248" s="22">
        <v>181.303</v>
      </c>
      <c r="Q248" s="22">
        <v>-1.6854899999999999E-2</v>
      </c>
      <c r="R248" s="22">
        <v>238</v>
      </c>
      <c r="S248" s="22">
        <v>1.09802</v>
      </c>
      <c r="T248">
        <f t="shared" si="38"/>
        <v>16.854900000000001</v>
      </c>
      <c r="U248">
        <f t="shared" si="39"/>
        <v>18.514770551999998</v>
      </c>
      <c r="X248" s="9"/>
      <c r="Y248" s="22">
        <v>0.63156100000000004</v>
      </c>
      <c r="Z248" s="22">
        <v>237.46</v>
      </c>
      <c r="AA248" s="22">
        <v>-1.72485E-2</v>
      </c>
      <c r="AB248" s="22">
        <v>238</v>
      </c>
      <c r="AC248" s="22">
        <v>0.63095100000000004</v>
      </c>
      <c r="AD248">
        <f t="shared" si="40"/>
        <v>17.2485</v>
      </c>
      <c r="AE248">
        <f t="shared" si="41"/>
        <v>10.8934799085</v>
      </c>
      <c r="AF248" s="9"/>
      <c r="AG248" s="22">
        <v>1.0984799999999999</v>
      </c>
      <c r="AH248" s="22">
        <v>368.13</v>
      </c>
      <c r="AI248" s="22">
        <v>-1.6854899999999999E-2</v>
      </c>
      <c r="AJ248" s="22">
        <v>238</v>
      </c>
      <c r="AK248" s="22">
        <v>1.09741</v>
      </c>
      <c r="AL248">
        <f t="shared" si="42"/>
        <v>16.854900000000001</v>
      </c>
      <c r="AM248">
        <f t="shared" si="43"/>
        <v>18.514770551999998</v>
      </c>
      <c r="AP248" s="9"/>
      <c r="AQ248" s="22">
        <v>0.63156100000000004</v>
      </c>
      <c r="AR248" s="22">
        <v>446.01100000000002</v>
      </c>
      <c r="AS248" s="22">
        <v>-1.72333E-2</v>
      </c>
      <c r="AT248" s="22">
        <v>238</v>
      </c>
      <c r="AU248" s="22">
        <v>0.63092000000000004</v>
      </c>
      <c r="AV248">
        <f t="shared" si="44"/>
        <v>17.2333</v>
      </c>
      <c r="AW248">
        <f t="shared" si="45"/>
        <v>10.8838801813</v>
      </c>
      <c r="AX248" s="9"/>
      <c r="AY248" s="22">
        <v>1.0984799999999999</v>
      </c>
      <c r="AZ248" s="22">
        <v>497.02499999999998</v>
      </c>
      <c r="BA248" s="22">
        <v>-1.6867099999999999E-2</v>
      </c>
      <c r="BB248" s="22">
        <v>238</v>
      </c>
      <c r="BC248" s="22">
        <v>1.09711</v>
      </c>
      <c r="BD248">
        <f t="shared" si="46"/>
        <v>16.867100000000001</v>
      </c>
      <c r="BE248">
        <f t="shared" si="47"/>
        <v>18.528172007999999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132.30199999999999</v>
      </c>
      <c r="I249" s="22">
        <v>-1.72211E-2</v>
      </c>
      <c r="J249" s="22">
        <v>239</v>
      </c>
      <c r="K249" s="22">
        <v>0.62582400000000005</v>
      </c>
      <c r="L249">
        <f t="shared" si="36"/>
        <v>17.2211</v>
      </c>
      <c r="M249">
        <f t="shared" si="37"/>
        <v>10.789466898600001</v>
      </c>
      <c r="N249" s="9"/>
      <c r="O249" s="22">
        <v>1.1035200000000001</v>
      </c>
      <c r="P249" s="22">
        <v>181.404</v>
      </c>
      <c r="Q249" s="22">
        <v>-1.6854899999999999E-2</v>
      </c>
      <c r="R249" s="22">
        <v>239</v>
      </c>
      <c r="S249" s="22">
        <v>1.1026</v>
      </c>
      <c r="T249">
        <f t="shared" si="38"/>
        <v>16.854900000000001</v>
      </c>
      <c r="U249">
        <f t="shared" si="39"/>
        <v>18.599719248000003</v>
      </c>
      <c r="X249" s="9"/>
      <c r="Y249" s="22">
        <v>0.62652600000000003</v>
      </c>
      <c r="Z249" s="22">
        <v>237.56100000000001</v>
      </c>
      <c r="AA249" s="22">
        <v>-1.72485E-2</v>
      </c>
      <c r="AB249" s="22">
        <v>239</v>
      </c>
      <c r="AC249" s="22">
        <v>0.62582400000000005</v>
      </c>
      <c r="AD249">
        <f t="shared" si="40"/>
        <v>17.2485</v>
      </c>
      <c r="AE249">
        <f t="shared" si="41"/>
        <v>10.806633711</v>
      </c>
      <c r="AF249" s="9"/>
      <c r="AG249" s="22">
        <v>1.1035200000000001</v>
      </c>
      <c r="AH249" s="22">
        <v>368.23099999999999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0.62652600000000003</v>
      </c>
      <c r="AR249" s="22">
        <v>446.11200000000002</v>
      </c>
      <c r="AS249" s="22">
        <v>-1.7239399999999998E-2</v>
      </c>
      <c r="AT249" s="22">
        <v>239</v>
      </c>
      <c r="AU249" s="22">
        <v>0.62573199999999995</v>
      </c>
      <c r="AV249">
        <f t="shared" si="44"/>
        <v>17.2394</v>
      </c>
      <c r="AW249">
        <f t="shared" si="45"/>
        <v>10.8009323244</v>
      </c>
      <c r="AX249" s="9"/>
      <c r="AY249" s="22">
        <v>1.1035200000000001</v>
      </c>
      <c r="AZ249" s="22">
        <v>497.12599999999998</v>
      </c>
      <c r="BA249" s="22">
        <v>-1.6864000000000001E-2</v>
      </c>
      <c r="BB249" s="22">
        <v>239</v>
      </c>
      <c r="BC249" s="22">
        <v>1.1026</v>
      </c>
      <c r="BD249">
        <f t="shared" si="46"/>
        <v>16.864000000000001</v>
      </c>
      <c r="BE249">
        <f t="shared" si="47"/>
        <v>18.609761280000001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132.40299999999999</v>
      </c>
      <c r="I250" s="22">
        <v>-1.7227200000000002E-2</v>
      </c>
      <c r="J250" s="22">
        <v>240</v>
      </c>
      <c r="K250" s="22">
        <v>0.62072799999999995</v>
      </c>
      <c r="L250">
        <f t="shared" si="36"/>
        <v>17.2272</v>
      </c>
      <c r="M250">
        <f t="shared" si="37"/>
        <v>10.706532528</v>
      </c>
      <c r="N250" s="9"/>
      <c r="O250" s="22">
        <v>1.1085499999999999</v>
      </c>
      <c r="P250" s="22">
        <v>181.505</v>
      </c>
      <c r="Q250" s="22">
        <v>-1.68518E-2</v>
      </c>
      <c r="R250" s="22">
        <v>240</v>
      </c>
      <c r="S250" s="22">
        <v>1.10687</v>
      </c>
      <c r="T250">
        <f t="shared" si="38"/>
        <v>16.851800000000001</v>
      </c>
      <c r="U250">
        <f t="shared" si="39"/>
        <v>18.68106289</v>
      </c>
      <c r="X250" s="9"/>
      <c r="Y250" s="22">
        <v>0.62148999999999999</v>
      </c>
      <c r="Z250" s="22">
        <v>237.661</v>
      </c>
      <c r="AA250" s="22">
        <v>-1.7251599999999999E-2</v>
      </c>
      <c r="AB250" s="22">
        <v>240</v>
      </c>
      <c r="AC250" s="22">
        <v>0.62081900000000001</v>
      </c>
      <c r="AD250">
        <f t="shared" si="40"/>
        <v>17.2516</v>
      </c>
      <c r="AE250">
        <f t="shared" si="41"/>
        <v>10.721696884</v>
      </c>
      <c r="AF250" s="9"/>
      <c r="AG250" s="22">
        <v>1.1085499999999999</v>
      </c>
      <c r="AH250" s="22">
        <v>368.33199999999999</v>
      </c>
      <c r="AI250" s="22">
        <v>-1.6848800000000001E-2</v>
      </c>
      <c r="AJ250" s="22">
        <v>240</v>
      </c>
      <c r="AK250" s="22">
        <v>1.10687</v>
      </c>
      <c r="AL250">
        <f t="shared" si="42"/>
        <v>16.848800000000001</v>
      </c>
      <c r="AM250">
        <f t="shared" si="43"/>
        <v>18.677737239999999</v>
      </c>
      <c r="AP250" s="9"/>
      <c r="AQ250" s="22">
        <v>0.62148999999999999</v>
      </c>
      <c r="AR250" s="22">
        <v>446.21300000000002</v>
      </c>
      <c r="AS250" s="22">
        <v>-1.7239399999999998E-2</v>
      </c>
      <c r="AT250" s="22">
        <v>240</v>
      </c>
      <c r="AU250" s="22">
        <v>0.62066699999999997</v>
      </c>
      <c r="AV250">
        <f t="shared" si="44"/>
        <v>17.2394</v>
      </c>
      <c r="AW250">
        <f t="shared" si="45"/>
        <v>10.714114706</v>
      </c>
      <c r="AX250" s="9"/>
      <c r="AY250" s="22">
        <v>1.1085499999999999</v>
      </c>
      <c r="AZ250" s="22">
        <v>497.22699999999998</v>
      </c>
      <c r="BA250" s="22">
        <v>-1.6864000000000001E-2</v>
      </c>
      <c r="BB250" s="22">
        <v>240</v>
      </c>
      <c r="BC250" s="22">
        <v>1.1077900000000001</v>
      </c>
      <c r="BD250">
        <f t="shared" si="46"/>
        <v>16.864000000000001</v>
      </c>
      <c r="BE250">
        <f t="shared" si="47"/>
        <v>18.694587200000001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132.50299999999999</v>
      </c>
      <c r="I251" s="22">
        <v>-1.72363E-2</v>
      </c>
      <c r="J251" s="22">
        <v>241</v>
      </c>
      <c r="K251" s="22">
        <v>0.61566200000000004</v>
      </c>
      <c r="L251">
        <f t="shared" si="36"/>
        <v>17.2363</v>
      </c>
      <c r="M251">
        <f t="shared" si="37"/>
        <v>10.6254033165</v>
      </c>
      <c r="N251" s="9"/>
      <c r="O251" s="22">
        <v>1.1135900000000001</v>
      </c>
      <c r="P251" s="22">
        <v>181.60499999999999</v>
      </c>
      <c r="Q251" s="22">
        <v>-1.6842699999999999E-2</v>
      </c>
      <c r="R251" s="22">
        <v>241</v>
      </c>
      <c r="S251" s="22">
        <v>1.1123700000000001</v>
      </c>
      <c r="T251">
        <f t="shared" si="38"/>
        <v>16.842699999999997</v>
      </c>
      <c r="U251">
        <f t="shared" si="39"/>
        <v>18.755862293</v>
      </c>
      <c r="X251" s="9"/>
      <c r="Y251" s="22">
        <v>0.61645499999999998</v>
      </c>
      <c r="Z251" s="22">
        <v>237.762</v>
      </c>
      <c r="AA251" s="22">
        <v>-1.7257700000000001E-2</v>
      </c>
      <c r="AB251" s="22">
        <v>241</v>
      </c>
      <c r="AC251" s="22">
        <v>0.61541699999999999</v>
      </c>
      <c r="AD251">
        <f t="shared" si="40"/>
        <v>17.2577</v>
      </c>
      <c r="AE251">
        <f t="shared" si="41"/>
        <v>10.638595453499999</v>
      </c>
      <c r="AF251" s="9"/>
      <c r="AG251" s="22">
        <v>1.1135900000000001</v>
      </c>
      <c r="AH251" s="22">
        <v>368.43200000000002</v>
      </c>
      <c r="AI251" s="22">
        <v>-1.68396E-2</v>
      </c>
      <c r="AJ251" s="22">
        <v>241</v>
      </c>
      <c r="AK251" s="22">
        <v>1.1129800000000001</v>
      </c>
      <c r="AL251">
        <f t="shared" si="42"/>
        <v>16.839600000000001</v>
      </c>
      <c r="AM251">
        <f t="shared" si="43"/>
        <v>18.752410164</v>
      </c>
      <c r="AP251" s="9"/>
      <c r="AQ251" s="22">
        <v>0.61645499999999998</v>
      </c>
      <c r="AR251" s="22">
        <v>446.31400000000002</v>
      </c>
      <c r="AS251" s="22">
        <v>-1.72455E-2</v>
      </c>
      <c r="AT251" s="22">
        <v>241</v>
      </c>
      <c r="AU251" s="22">
        <v>0.61556999999999995</v>
      </c>
      <c r="AV251">
        <f t="shared" si="44"/>
        <v>17.2455</v>
      </c>
      <c r="AW251">
        <f t="shared" si="45"/>
        <v>10.631074702499999</v>
      </c>
      <c r="AX251" s="9"/>
      <c r="AY251" s="22">
        <v>1.1135900000000001</v>
      </c>
      <c r="AZ251" s="22">
        <v>497.327</v>
      </c>
      <c r="BA251" s="22">
        <v>-1.6854899999999999E-2</v>
      </c>
      <c r="BB251" s="22">
        <v>241</v>
      </c>
      <c r="BC251" s="22">
        <v>1.11267</v>
      </c>
      <c r="BD251">
        <f t="shared" si="46"/>
        <v>16.854900000000001</v>
      </c>
      <c r="BE251">
        <f t="shared" si="47"/>
        <v>18.769448091000001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132.60400000000001</v>
      </c>
      <c r="I252" s="22">
        <v>-1.72363E-2</v>
      </c>
      <c r="J252" s="22">
        <v>242</v>
      </c>
      <c r="K252" s="22">
        <v>0.61074799999999996</v>
      </c>
      <c r="L252">
        <f t="shared" si="36"/>
        <v>17.2363</v>
      </c>
      <c r="M252">
        <f t="shared" si="37"/>
        <v>10.538618545999999</v>
      </c>
      <c r="N252" s="9"/>
      <c r="O252" s="22">
        <v>1.1186199999999999</v>
      </c>
      <c r="P252" s="22">
        <v>181.70599999999999</v>
      </c>
      <c r="Q252" s="22">
        <v>-1.6836500000000001E-2</v>
      </c>
      <c r="R252" s="22">
        <v>242</v>
      </c>
      <c r="S252" s="22">
        <v>1.1172500000000001</v>
      </c>
      <c r="T252">
        <f t="shared" si="38"/>
        <v>16.836500000000001</v>
      </c>
      <c r="U252">
        <f t="shared" si="39"/>
        <v>18.833645629999999</v>
      </c>
      <c r="X252" s="9"/>
      <c r="Y252" s="22">
        <v>0.61141999999999996</v>
      </c>
      <c r="Z252" s="22">
        <v>237.863</v>
      </c>
      <c r="AA252" s="22">
        <v>-1.7257700000000001E-2</v>
      </c>
      <c r="AB252" s="22">
        <v>242</v>
      </c>
      <c r="AC252" s="22">
        <v>0.61074799999999996</v>
      </c>
      <c r="AD252">
        <f t="shared" si="40"/>
        <v>17.2577</v>
      </c>
      <c r="AE252">
        <f t="shared" si="41"/>
        <v>10.551702934</v>
      </c>
      <c r="AF252" s="9"/>
      <c r="AG252" s="22">
        <v>1.1186199999999999</v>
      </c>
      <c r="AH252" s="22">
        <v>368.53300000000002</v>
      </c>
      <c r="AI252" s="22">
        <v>-1.6836500000000001E-2</v>
      </c>
      <c r="AJ252" s="22">
        <v>242</v>
      </c>
      <c r="AK252" s="22">
        <v>1.11755</v>
      </c>
      <c r="AL252">
        <f t="shared" si="42"/>
        <v>16.836500000000001</v>
      </c>
      <c r="AM252">
        <f t="shared" si="43"/>
        <v>18.833645629999999</v>
      </c>
      <c r="AP252" s="9"/>
      <c r="AQ252" s="22">
        <v>0.61141999999999996</v>
      </c>
      <c r="AR252" s="22">
        <v>446.41399999999999</v>
      </c>
      <c r="AS252" s="22">
        <v>-1.7251599999999999E-2</v>
      </c>
      <c r="AT252" s="22">
        <v>242</v>
      </c>
      <c r="AU252" s="22">
        <v>0.61056500000000002</v>
      </c>
      <c r="AV252">
        <f t="shared" si="44"/>
        <v>17.2516</v>
      </c>
      <c r="AW252">
        <f t="shared" si="45"/>
        <v>10.547973272</v>
      </c>
      <c r="AX252" s="9"/>
      <c r="AY252" s="22">
        <v>1.1186199999999999</v>
      </c>
      <c r="AZ252" s="22">
        <v>497.428</v>
      </c>
      <c r="BA252" s="22">
        <v>-1.68518E-2</v>
      </c>
      <c r="BB252" s="22">
        <v>242</v>
      </c>
      <c r="BC252" s="22">
        <v>1.1178600000000001</v>
      </c>
      <c r="BD252">
        <f t="shared" si="46"/>
        <v>16.851800000000001</v>
      </c>
      <c r="BE252">
        <f t="shared" si="47"/>
        <v>18.850760516000001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132.70500000000001</v>
      </c>
      <c r="I253" s="22">
        <v>-1.7242400000000001E-2</v>
      </c>
      <c r="J253" s="22">
        <v>243</v>
      </c>
      <c r="K253" s="22">
        <v>0.60562099999999996</v>
      </c>
      <c r="L253">
        <f t="shared" si="36"/>
        <v>17.2424</v>
      </c>
      <c r="M253">
        <f t="shared" si="37"/>
        <v>10.455515481600001</v>
      </c>
      <c r="N253" s="9"/>
      <c r="O253" s="22">
        <v>1.1236600000000001</v>
      </c>
      <c r="P253" s="22">
        <v>181.80699999999999</v>
      </c>
      <c r="Q253" s="22">
        <v>-1.6833500000000001E-2</v>
      </c>
      <c r="R253" s="22">
        <v>243</v>
      </c>
      <c r="S253" s="22">
        <v>1.1224400000000001</v>
      </c>
      <c r="T253">
        <f t="shared" si="38"/>
        <v>16.833500000000001</v>
      </c>
      <c r="U253">
        <f t="shared" si="39"/>
        <v>18.915130610000002</v>
      </c>
      <c r="X253" s="9"/>
      <c r="Y253" s="22">
        <v>0.60638400000000003</v>
      </c>
      <c r="Z253" s="22">
        <v>237.964</v>
      </c>
      <c r="AA253" s="22">
        <v>-1.72607E-2</v>
      </c>
      <c r="AB253" s="22">
        <v>243</v>
      </c>
      <c r="AC253" s="22">
        <v>0.60565199999999997</v>
      </c>
      <c r="AD253">
        <f t="shared" si="40"/>
        <v>17.2607</v>
      </c>
      <c r="AE253">
        <f t="shared" si="41"/>
        <v>10.4666123088</v>
      </c>
      <c r="AF253" s="9"/>
      <c r="AG253" s="22">
        <v>1.1236600000000001</v>
      </c>
      <c r="AH253" s="22">
        <v>368.63400000000001</v>
      </c>
      <c r="AI253" s="22">
        <v>-1.6833500000000001E-2</v>
      </c>
      <c r="AJ253" s="22">
        <v>243</v>
      </c>
      <c r="AK253" s="22">
        <v>1.1230500000000001</v>
      </c>
      <c r="AL253">
        <f t="shared" si="42"/>
        <v>16.833500000000001</v>
      </c>
      <c r="AM253">
        <f t="shared" si="43"/>
        <v>18.915130610000002</v>
      </c>
      <c r="AP253" s="9"/>
      <c r="AQ253" s="22">
        <v>0.60638400000000003</v>
      </c>
      <c r="AR253" s="22">
        <v>446.51499999999999</v>
      </c>
      <c r="AS253" s="22">
        <v>-1.7251599999999999E-2</v>
      </c>
      <c r="AT253" s="22">
        <v>243</v>
      </c>
      <c r="AU253" s="22">
        <v>0.60531599999999997</v>
      </c>
      <c r="AV253">
        <f t="shared" si="44"/>
        <v>17.2516</v>
      </c>
      <c r="AW253">
        <f t="shared" si="45"/>
        <v>10.461094214400001</v>
      </c>
      <c r="AX253" s="9"/>
      <c r="AY253" s="22">
        <v>1.1236600000000001</v>
      </c>
      <c r="AZ253" s="22">
        <v>497.529</v>
      </c>
      <c r="BA253" s="22">
        <v>-1.6848800000000001E-2</v>
      </c>
      <c r="BB253" s="22">
        <v>243</v>
      </c>
      <c r="BC253" s="22">
        <v>1.1227400000000001</v>
      </c>
      <c r="BD253">
        <f t="shared" si="46"/>
        <v>16.848800000000001</v>
      </c>
      <c r="BE253">
        <f t="shared" si="47"/>
        <v>18.932322608000003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132.80600000000001</v>
      </c>
      <c r="I254" s="22">
        <v>-1.7242400000000001E-2</v>
      </c>
      <c r="J254" s="22">
        <v>244</v>
      </c>
      <c r="K254" s="22">
        <v>0.60089099999999995</v>
      </c>
      <c r="L254">
        <f t="shared" si="36"/>
        <v>17.2424</v>
      </c>
      <c r="M254">
        <f t="shared" si="37"/>
        <v>10.3686999976</v>
      </c>
      <c r="N254" s="9"/>
      <c r="O254" s="22">
        <v>1.12869</v>
      </c>
      <c r="P254" s="22">
        <v>181.90700000000001</v>
      </c>
      <c r="Q254" s="22">
        <v>-1.6827399999999999E-2</v>
      </c>
      <c r="R254" s="22">
        <v>244</v>
      </c>
      <c r="S254" s="22">
        <v>1.1276200000000001</v>
      </c>
      <c r="T254">
        <f t="shared" si="38"/>
        <v>16.827400000000001</v>
      </c>
      <c r="U254">
        <f t="shared" si="39"/>
        <v>18.992918106000001</v>
      </c>
      <c r="X254" s="9"/>
      <c r="Y254" s="22">
        <v>0.60134900000000002</v>
      </c>
      <c r="Z254" s="22">
        <v>238.06399999999999</v>
      </c>
      <c r="AA254" s="22">
        <v>-1.7263799999999999E-2</v>
      </c>
      <c r="AB254" s="22">
        <v>244</v>
      </c>
      <c r="AC254" s="22">
        <v>0.60064700000000004</v>
      </c>
      <c r="AD254">
        <f t="shared" si="40"/>
        <v>17.2638</v>
      </c>
      <c r="AE254">
        <f t="shared" si="41"/>
        <v>10.3815688662</v>
      </c>
      <c r="AF254" s="9"/>
      <c r="AG254" s="22">
        <v>1.12869</v>
      </c>
      <c r="AH254" s="22">
        <v>368.73399999999998</v>
      </c>
      <c r="AI254" s="22">
        <v>-1.6827399999999999E-2</v>
      </c>
      <c r="AJ254" s="22">
        <v>244</v>
      </c>
      <c r="AK254" s="22">
        <v>1.1279300000000001</v>
      </c>
      <c r="AL254">
        <f t="shared" si="42"/>
        <v>16.827400000000001</v>
      </c>
      <c r="AM254">
        <f t="shared" si="43"/>
        <v>18.992918106000001</v>
      </c>
      <c r="AP254" s="9"/>
      <c r="AQ254" s="22">
        <v>0.60134900000000002</v>
      </c>
      <c r="AR254" s="22">
        <v>446.61599999999999</v>
      </c>
      <c r="AS254" s="22">
        <v>-1.7257700000000001E-2</v>
      </c>
      <c r="AT254" s="22">
        <v>244</v>
      </c>
      <c r="AU254" s="22">
        <v>0.60058599999999995</v>
      </c>
      <c r="AV254">
        <f t="shared" si="44"/>
        <v>17.2577</v>
      </c>
      <c r="AW254">
        <f t="shared" si="45"/>
        <v>10.3779006373</v>
      </c>
      <c r="AX254" s="9"/>
      <c r="AY254" s="22">
        <v>1.12869</v>
      </c>
      <c r="AZ254" s="22">
        <v>497.63</v>
      </c>
      <c r="BA254" s="22">
        <v>-1.6848800000000001E-2</v>
      </c>
      <c r="BB254" s="22">
        <v>244</v>
      </c>
      <c r="BC254" s="22">
        <v>1.1276200000000001</v>
      </c>
      <c r="BD254">
        <f t="shared" si="46"/>
        <v>16.848800000000001</v>
      </c>
      <c r="BE254">
        <f t="shared" si="47"/>
        <v>19.017072072000001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132.90600000000001</v>
      </c>
      <c r="I255" s="22">
        <v>-1.72485E-2</v>
      </c>
      <c r="J255" s="22">
        <v>245</v>
      </c>
      <c r="K255" s="22">
        <v>0.59561200000000003</v>
      </c>
      <c r="L255">
        <f t="shared" si="36"/>
        <v>17.2485</v>
      </c>
      <c r="M255">
        <f t="shared" si="37"/>
        <v>10.2855047805</v>
      </c>
      <c r="N255" s="9"/>
      <c r="O255" s="22">
        <v>1.1337299999999999</v>
      </c>
      <c r="P255" s="22">
        <v>182.00800000000001</v>
      </c>
      <c r="Q255" s="22">
        <v>-1.68243E-2</v>
      </c>
      <c r="R255" s="22">
        <v>245</v>
      </c>
      <c r="S255" s="22">
        <v>1.1331199999999999</v>
      </c>
      <c r="T255">
        <f t="shared" si="38"/>
        <v>16.824300000000001</v>
      </c>
      <c r="U255">
        <f t="shared" si="39"/>
        <v>19.074213639</v>
      </c>
      <c r="X255" s="9"/>
      <c r="Y255" s="22">
        <v>0.59631299999999998</v>
      </c>
      <c r="Z255" s="22">
        <v>238.16499999999999</v>
      </c>
      <c r="AA255" s="22">
        <v>-1.7269900000000001E-2</v>
      </c>
      <c r="AB255" s="22">
        <v>245</v>
      </c>
      <c r="AC255" s="22">
        <v>0.59552000000000005</v>
      </c>
      <c r="AD255">
        <f t="shared" si="40"/>
        <v>17.2699</v>
      </c>
      <c r="AE255">
        <f t="shared" si="41"/>
        <v>10.298265878699999</v>
      </c>
      <c r="AF255" s="9"/>
      <c r="AG255" s="22">
        <v>1.1337299999999999</v>
      </c>
      <c r="AH255" s="22">
        <v>368.83499999999998</v>
      </c>
      <c r="AI255" s="22">
        <v>-1.68243E-2</v>
      </c>
      <c r="AJ255" s="22">
        <v>245</v>
      </c>
      <c r="AK255" s="22">
        <v>1.1334200000000001</v>
      </c>
      <c r="AL255">
        <f t="shared" si="42"/>
        <v>16.824300000000001</v>
      </c>
      <c r="AM255">
        <f t="shared" si="43"/>
        <v>19.074213639</v>
      </c>
      <c r="AP255" s="9"/>
      <c r="AQ255" s="22">
        <v>0.59631299999999998</v>
      </c>
      <c r="AR255" s="22">
        <v>446.71600000000001</v>
      </c>
      <c r="AS255" s="22">
        <v>-1.72607E-2</v>
      </c>
      <c r="AT255" s="22">
        <v>245</v>
      </c>
      <c r="AU255" s="22">
        <v>0.59561200000000003</v>
      </c>
      <c r="AV255">
        <f t="shared" si="44"/>
        <v>17.2607</v>
      </c>
      <c r="AW255">
        <f t="shared" si="45"/>
        <v>10.2927797991</v>
      </c>
      <c r="AX255" s="9"/>
      <c r="AY255" s="22">
        <v>1.1337299999999999</v>
      </c>
      <c r="AZ255" s="22">
        <v>497.73</v>
      </c>
      <c r="BA255" s="22">
        <v>-1.6842699999999999E-2</v>
      </c>
      <c r="BB255" s="22">
        <v>245</v>
      </c>
      <c r="BC255" s="22">
        <v>1.1328100000000001</v>
      </c>
      <c r="BD255">
        <f t="shared" si="46"/>
        <v>16.842699999999997</v>
      </c>
      <c r="BE255">
        <f t="shared" si="47"/>
        <v>19.095074270999994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133.00700000000001</v>
      </c>
      <c r="I256" s="22">
        <v>-1.7251599999999999E-2</v>
      </c>
      <c r="J256" s="22">
        <v>246</v>
      </c>
      <c r="K256" s="22">
        <v>0.59051500000000001</v>
      </c>
      <c r="L256">
        <f t="shared" si="36"/>
        <v>17.2516</v>
      </c>
      <c r="M256">
        <f t="shared" si="37"/>
        <v>10.2004915448</v>
      </c>
      <c r="N256" s="9"/>
      <c r="O256" s="22">
        <v>1.13876</v>
      </c>
      <c r="P256" s="22">
        <v>182.10900000000001</v>
      </c>
      <c r="Q256" s="22">
        <v>-1.68121E-2</v>
      </c>
      <c r="R256" s="22">
        <v>246</v>
      </c>
      <c r="S256" s="22">
        <v>1.1383099999999999</v>
      </c>
      <c r="T256">
        <f t="shared" si="38"/>
        <v>16.812100000000001</v>
      </c>
      <c r="U256">
        <f t="shared" si="39"/>
        <v>19.144946996000002</v>
      </c>
      <c r="X256" s="9"/>
      <c r="Y256" s="22">
        <v>0.59127799999999997</v>
      </c>
      <c r="Z256" s="22">
        <v>238.26599999999999</v>
      </c>
      <c r="AA256" s="22">
        <v>-1.7272900000000001E-2</v>
      </c>
      <c r="AB256" s="22">
        <v>246</v>
      </c>
      <c r="AC256" s="22">
        <v>0.59051500000000001</v>
      </c>
      <c r="AD256">
        <f t="shared" si="40"/>
        <v>17.2729</v>
      </c>
      <c r="AE256">
        <f t="shared" si="41"/>
        <v>10.213085766199999</v>
      </c>
      <c r="AF256" s="9"/>
      <c r="AG256" s="22">
        <v>1.13876</v>
      </c>
      <c r="AH256" s="22">
        <v>368.93599999999998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0.59127799999999997</v>
      </c>
      <c r="AR256" s="22">
        <v>446.81700000000001</v>
      </c>
      <c r="AS256" s="22">
        <v>-1.7263799999999999E-2</v>
      </c>
      <c r="AT256" s="22">
        <v>246</v>
      </c>
      <c r="AU256" s="22">
        <v>0.59054600000000002</v>
      </c>
      <c r="AV256">
        <f t="shared" si="44"/>
        <v>17.2638</v>
      </c>
      <c r="AW256">
        <f t="shared" si="45"/>
        <v>10.2077051364</v>
      </c>
      <c r="AX256" s="9"/>
      <c r="AY256" s="22">
        <v>1.13876</v>
      </c>
      <c r="AZ256" s="22">
        <v>497.83100000000002</v>
      </c>
      <c r="BA256" s="22">
        <v>-1.6836500000000001E-2</v>
      </c>
      <c r="BB256" s="22">
        <v>246</v>
      </c>
      <c r="BC256" s="22">
        <v>1.1373899999999999</v>
      </c>
      <c r="BD256">
        <f t="shared" si="46"/>
        <v>16.836500000000001</v>
      </c>
      <c r="BE256">
        <f t="shared" si="47"/>
        <v>19.172732740000001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133.108</v>
      </c>
      <c r="I257" s="22">
        <v>-1.7254599999999998E-2</v>
      </c>
      <c r="J257" s="22">
        <v>247</v>
      </c>
      <c r="K257" s="22">
        <v>0.58563200000000004</v>
      </c>
      <c r="L257">
        <f t="shared" si="36"/>
        <v>17.2546</v>
      </c>
      <c r="M257">
        <f t="shared" si="37"/>
        <v>10.115388467799999</v>
      </c>
      <c r="N257" s="9"/>
      <c r="O257" s="22">
        <v>1.1437999999999999</v>
      </c>
      <c r="P257" s="22">
        <v>182.209</v>
      </c>
      <c r="Q257" s="22">
        <v>-1.6815199999999999E-2</v>
      </c>
      <c r="R257" s="22">
        <v>247</v>
      </c>
      <c r="S257" s="22">
        <v>1.1431899999999999</v>
      </c>
      <c r="T257">
        <f t="shared" si="38"/>
        <v>16.815199999999997</v>
      </c>
      <c r="U257">
        <f t="shared" si="39"/>
        <v>19.233225759999996</v>
      </c>
      <c r="X257" s="9"/>
      <c r="Y257" s="22">
        <v>0.58624299999999996</v>
      </c>
      <c r="Z257" s="22">
        <v>238.36600000000001</v>
      </c>
      <c r="AA257" s="22">
        <v>-1.7276E-2</v>
      </c>
      <c r="AB257" s="22">
        <v>247</v>
      </c>
      <c r="AC257" s="22">
        <v>0.58550999999999997</v>
      </c>
      <c r="AD257">
        <f t="shared" si="40"/>
        <v>17.276</v>
      </c>
      <c r="AE257">
        <f t="shared" si="41"/>
        <v>10.127934067999998</v>
      </c>
      <c r="AF257" s="9"/>
      <c r="AG257" s="22">
        <v>1.1437999999999999</v>
      </c>
      <c r="AH257" s="22">
        <v>369.03699999999998</v>
      </c>
      <c r="AI257" s="22">
        <v>-1.6815199999999999E-2</v>
      </c>
      <c r="AJ257" s="22">
        <v>247</v>
      </c>
      <c r="AK257" s="22">
        <v>1.1428799999999999</v>
      </c>
      <c r="AL257">
        <f t="shared" si="42"/>
        <v>16.815199999999997</v>
      </c>
      <c r="AM257">
        <f t="shared" si="43"/>
        <v>19.233225759999996</v>
      </c>
      <c r="AP257" s="9"/>
      <c r="AQ257" s="22">
        <v>0.58624299999999996</v>
      </c>
      <c r="AR257" s="22">
        <v>446.91800000000001</v>
      </c>
      <c r="AS257" s="22">
        <v>-1.7266799999999999E-2</v>
      </c>
      <c r="AT257" s="22">
        <v>247</v>
      </c>
      <c r="AU257" s="22">
        <v>0.58550999999999997</v>
      </c>
      <c r="AV257">
        <f t="shared" si="44"/>
        <v>17.2668</v>
      </c>
      <c r="AW257">
        <f t="shared" si="45"/>
        <v>10.1225406324</v>
      </c>
      <c r="AX257" s="9"/>
      <c r="AY257" s="22">
        <v>1.1437999999999999</v>
      </c>
      <c r="AZ257" s="22">
        <v>497.93200000000002</v>
      </c>
      <c r="BA257" s="22">
        <v>-1.6830399999999999E-2</v>
      </c>
      <c r="BB257" s="22">
        <v>247</v>
      </c>
      <c r="BC257" s="22">
        <v>1.1422699999999999</v>
      </c>
      <c r="BD257">
        <f t="shared" si="46"/>
        <v>16.830399999999997</v>
      </c>
      <c r="BE257">
        <f t="shared" si="47"/>
        <v>19.250611519999996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133.208</v>
      </c>
      <c r="I258" s="22">
        <v>-1.7257700000000001E-2</v>
      </c>
      <c r="J258" s="22">
        <v>248</v>
      </c>
      <c r="K258" s="22">
        <v>0.58050500000000005</v>
      </c>
      <c r="L258">
        <f t="shared" si="36"/>
        <v>17.2577</v>
      </c>
      <c r="M258">
        <f t="shared" si="37"/>
        <v>10.0302960439</v>
      </c>
      <c r="N258" s="9"/>
      <c r="O258" s="22">
        <v>1.14883</v>
      </c>
      <c r="P258" s="22">
        <v>182.31</v>
      </c>
      <c r="Q258" s="22">
        <v>-1.6806000000000001E-2</v>
      </c>
      <c r="R258" s="22">
        <v>248</v>
      </c>
      <c r="S258" s="22">
        <v>1.1480699999999999</v>
      </c>
      <c r="T258">
        <f t="shared" si="38"/>
        <v>16.806000000000001</v>
      </c>
      <c r="U258">
        <f t="shared" si="39"/>
        <v>19.307236980000003</v>
      </c>
      <c r="X258" s="9"/>
      <c r="Y258" s="22">
        <v>0.58120700000000003</v>
      </c>
      <c r="Z258" s="22">
        <v>238.46700000000001</v>
      </c>
      <c r="AA258" s="22">
        <v>-1.7279099999999999E-2</v>
      </c>
      <c r="AB258" s="22">
        <v>248</v>
      </c>
      <c r="AC258" s="22">
        <v>0.58044399999999996</v>
      </c>
      <c r="AD258">
        <f t="shared" si="40"/>
        <v>17.2791</v>
      </c>
      <c r="AE258">
        <f t="shared" si="41"/>
        <v>10.0427338737</v>
      </c>
      <c r="AF258" s="9"/>
      <c r="AG258" s="22">
        <v>1.14883</v>
      </c>
      <c r="AH258" s="22">
        <v>369.137</v>
      </c>
      <c r="AI258" s="22">
        <v>-1.68091E-2</v>
      </c>
      <c r="AJ258" s="22">
        <v>248</v>
      </c>
      <c r="AK258" s="22">
        <v>1.1480699999999999</v>
      </c>
      <c r="AL258">
        <f t="shared" si="42"/>
        <v>16.809100000000001</v>
      </c>
      <c r="AM258">
        <f t="shared" si="43"/>
        <v>19.310798353000003</v>
      </c>
      <c r="AP258" s="9"/>
      <c r="AQ258" s="22">
        <v>0.58120700000000003</v>
      </c>
      <c r="AR258" s="22">
        <v>447.01900000000001</v>
      </c>
      <c r="AS258" s="22">
        <v>-1.7269900000000001E-2</v>
      </c>
      <c r="AT258" s="22">
        <v>248</v>
      </c>
      <c r="AU258" s="22">
        <v>0.58038299999999998</v>
      </c>
      <c r="AV258">
        <f t="shared" si="44"/>
        <v>17.2699</v>
      </c>
      <c r="AW258">
        <f t="shared" si="45"/>
        <v>10.037386769300001</v>
      </c>
      <c r="AX258" s="9"/>
      <c r="AY258" s="22">
        <v>1.14883</v>
      </c>
      <c r="AZ258" s="22">
        <v>498.03199999999998</v>
      </c>
      <c r="BA258" s="22">
        <v>-1.6827399999999999E-2</v>
      </c>
      <c r="BB258" s="22">
        <v>248</v>
      </c>
      <c r="BC258" s="22">
        <v>1.14838</v>
      </c>
      <c r="BD258">
        <f t="shared" si="46"/>
        <v>16.827400000000001</v>
      </c>
      <c r="BE258">
        <f t="shared" si="47"/>
        <v>19.331821942000001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133.309</v>
      </c>
      <c r="I259" s="22">
        <v>-1.72607E-2</v>
      </c>
      <c r="J259" s="22">
        <v>249</v>
      </c>
      <c r="K259" s="22">
        <v>0.57547000000000004</v>
      </c>
      <c r="L259">
        <f t="shared" si="36"/>
        <v>17.2607</v>
      </c>
      <c r="M259">
        <f t="shared" si="37"/>
        <v>9.9451320404000008</v>
      </c>
      <c r="N259" s="9"/>
      <c r="O259" s="22">
        <v>1.15387</v>
      </c>
      <c r="P259" s="22">
        <v>182.411</v>
      </c>
      <c r="Q259" s="22">
        <v>-1.6802999999999998E-2</v>
      </c>
      <c r="R259" s="22">
        <v>249</v>
      </c>
      <c r="S259" s="22">
        <v>1.1529499999999999</v>
      </c>
      <c r="T259">
        <f t="shared" si="38"/>
        <v>16.802999999999997</v>
      </c>
      <c r="U259">
        <f t="shared" si="39"/>
        <v>19.388477609999995</v>
      </c>
      <c r="X259" s="9"/>
      <c r="Y259" s="22">
        <v>0.57617200000000002</v>
      </c>
      <c r="Z259" s="22">
        <v>238.56800000000001</v>
      </c>
      <c r="AA259" s="22">
        <v>-1.7285200000000001E-2</v>
      </c>
      <c r="AB259" s="22">
        <v>249</v>
      </c>
      <c r="AC259" s="22">
        <v>0.57540899999999995</v>
      </c>
      <c r="AD259">
        <f t="shared" si="40"/>
        <v>17.2852</v>
      </c>
      <c r="AE259">
        <f t="shared" si="41"/>
        <v>9.9592482544000003</v>
      </c>
      <c r="AF259" s="9"/>
      <c r="AG259" s="22">
        <v>1.15387</v>
      </c>
      <c r="AH259" s="22">
        <v>369.238</v>
      </c>
      <c r="AI259" s="22">
        <v>-1.6806000000000001E-2</v>
      </c>
      <c r="AJ259" s="22">
        <v>249</v>
      </c>
      <c r="AK259" s="22">
        <v>1.15265</v>
      </c>
      <c r="AL259">
        <f t="shared" si="42"/>
        <v>16.806000000000001</v>
      </c>
      <c r="AM259">
        <f t="shared" si="43"/>
        <v>19.391939220000001</v>
      </c>
      <c r="AP259" s="9"/>
      <c r="AQ259" s="22">
        <v>0.57617200000000002</v>
      </c>
      <c r="AR259" s="22">
        <v>447.11900000000003</v>
      </c>
      <c r="AS259" s="22">
        <v>-1.7279099999999999E-2</v>
      </c>
      <c r="AT259" s="22">
        <v>249</v>
      </c>
      <c r="AU259" s="22">
        <v>0.57540899999999995</v>
      </c>
      <c r="AV259">
        <f t="shared" si="44"/>
        <v>17.2791</v>
      </c>
      <c r="AW259">
        <f t="shared" si="45"/>
        <v>9.9557336052000007</v>
      </c>
      <c r="AX259" s="9"/>
      <c r="AY259" s="22">
        <v>1.15387</v>
      </c>
      <c r="AZ259" s="22">
        <v>498.13299999999998</v>
      </c>
      <c r="BA259" s="22">
        <v>-1.68243E-2</v>
      </c>
      <c r="BB259" s="22">
        <v>249</v>
      </c>
      <c r="BC259" s="22">
        <v>1.1535599999999999</v>
      </c>
      <c r="BD259">
        <f t="shared" si="46"/>
        <v>16.824300000000001</v>
      </c>
      <c r="BE259">
        <f t="shared" si="47"/>
        <v>19.413055041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133.41</v>
      </c>
      <c r="I260" s="22">
        <v>-1.7263799999999999E-2</v>
      </c>
      <c r="J260" s="22">
        <v>250</v>
      </c>
      <c r="K260" s="22">
        <v>0.57031299999999996</v>
      </c>
      <c r="L260">
        <f t="shared" si="36"/>
        <v>17.2638</v>
      </c>
      <c r="M260">
        <f t="shared" si="37"/>
        <v>9.8599776767999998</v>
      </c>
      <c r="N260" s="9"/>
      <c r="O260" s="22">
        <v>1.1589100000000001</v>
      </c>
      <c r="P260" s="22">
        <v>182.512</v>
      </c>
      <c r="Q260" s="22">
        <v>-1.6790800000000002E-2</v>
      </c>
      <c r="R260" s="22">
        <v>250</v>
      </c>
      <c r="S260" s="22">
        <v>1.1581399999999999</v>
      </c>
      <c r="T260">
        <f t="shared" si="38"/>
        <v>16.790800000000001</v>
      </c>
      <c r="U260">
        <f t="shared" si="39"/>
        <v>19.459026028000004</v>
      </c>
      <c r="X260" s="9"/>
      <c r="Y260" s="22">
        <v>0.57113599999999998</v>
      </c>
      <c r="Z260" s="22">
        <v>238.66800000000001</v>
      </c>
      <c r="AA260" s="22">
        <v>-1.7282100000000002E-2</v>
      </c>
      <c r="AB260" s="22">
        <v>250</v>
      </c>
      <c r="AC260" s="22">
        <v>0.57040400000000002</v>
      </c>
      <c r="AD260">
        <f t="shared" si="40"/>
        <v>17.282100000000003</v>
      </c>
      <c r="AE260">
        <f t="shared" si="41"/>
        <v>9.8704294656000009</v>
      </c>
      <c r="AF260" s="9"/>
      <c r="AG260" s="22">
        <v>1.1589100000000001</v>
      </c>
      <c r="AH260" s="22">
        <v>369.339</v>
      </c>
      <c r="AI260" s="22">
        <v>-1.67969E-2</v>
      </c>
      <c r="AJ260" s="22">
        <v>250</v>
      </c>
      <c r="AK260" s="22">
        <v>1.15784</v>
      </c>
      <c r="AL260">
        <f t="shared" si="42"/>
        <v>16.796900000000001</v>
      </c>
      <c r="AM260">
        <f t="shared" si="43"/>
        <v>19.466095379000002</v>
      </c>
      <c r="AP260" s="9"/>
      <c r="AQ260" s="22">
        <v>0.57113599999999998</v>
      </c>
      <c r="AR260" s="22">
        <v>447.22</v>
      </c>
      <c r="AS260" s="22">
        <v>-1.7282100000000002E-2</v>
      </c>
      <c r="AT260" s="22">
        <v>250</v>
      </c>
      <c r="AU260" s="22">
        <v>0.57052599999999998</v>
      </c>
      <c r="AV260">
        <f t="shared" si="44"/>
        <v>17.282100000000003</v>
      </c>
      <c r="AW260">
        <f t="shared" si="45"/>
        <v>9.8704294656000009</v>
      </c>
      <c r="AX260" s="9"/>
      <c r="AY260" s="22">
        <v>1.1589100000000001</v>
      </c>
      <c r="AZ260" s="22">
        <v>498.23399999999998</v>
      </c>
      <c r="BA260" s="22">
        <v>-1.6815199999999999E-2</v>
      </c>
      <c r="BB260" s="22">
        <v>250</v>
      </c>
      <c r="BC260" s="22">
        <v>1.15845</v>
      </c>
      <c r="BD260">
        <f t="shared" si="46"/>
        <v>16.815199999999997</v>
      </c>
      <c r="BE260">
        <f t="shared" si="47"/>
        <v>19.487303431999997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133.511</v>
      </c>
      <c r="I261" s="22">
        <v>-1.7266799999999999E-2</v>
      </c>
      <c r="J261" s="22">
        <v>251</v>
      </c>
      <c r="K261" s="22">
        <v>0.56549099999999997</v>
      </c>
      <c r="L261">
        <f t="shared" si="36"/>
        <v>17.2668</v>
      </c>
      <c r="M261">
        <f t="shared" si="37"/>
        <v>9.7747527467999991</v>
      </c>
      <c r="N261" s="9"/>
      <c r="O261" s="22">
        <v>1.16394</v>
      </c>
      <c r="P261" s="22">
        <v>182.61199999999999</v>
      </c>
      <c r="Q261" s="22">
        <v>-1.6790800000000002E-2</v>
      </c>
      <c r="R261" s="22">
        <v>251</v>
      </c>
      <c r="S261" s="22">
        <v>1.1630199999999999</v>
      </c>
      <c r="T261">
        <f t="shared" si="38"/>
        <v>16.790800000000001</v>
      </c>
      <c r="U261">
        <f t="shared" si="39"/>
        <v>19.543483752</v>
      </c>
      <c r="X261" s="9"/>
      <c r="Y261" s="22">
        <v>0.56610099999999997</v>
      </c>
      <c r="Z261" s="22">
        <v>238.76900000000001</v>
      </c>
      <c r="AA261" s="22">
        <v>-1.7291299999999999E-2</v>
      </c>
      <c r="AB261" s="22">
        <v>251</v>
      </c>
      <c r="AC261" s="22">
        <v>0.56515499999999996</v>
      </c>
      <c r="AD261">
        <f t="shared" si="40"/>
        <v>17.2913</v>
      </c>
      <c r="AE261">
        <f t="shared" si="41"/>
        <v>9.7886222212999989</v>
      </c>
      <c r="AF261" s="9"/>
      <c r="AG261" s="22">
        <v>1.16394</v>
      </c>
      <c r="AH261" s="22">
        <v>369.43900000000002</v>
      </c>
      <c r="AI261" s="22">
        <v>-1.67969E-2</v>
      </c>
      <c r="AJ261" s="22">
        <v>251</v>
      </c>
      <c r="AK261" s="22">
        <v>1.16333</v>
      </c>
      <c r="AL261">
        <f t="shared" si="42"/>
        <v>16.796900000000001</v>
      </c>
      <c r="AM261">
        <f t="shared" si="43"/>
        <v>19.550583786000001</v>
      </c>
      <c r="AP261" s="9"/>
      <c r="AQ261" s="22">
        <v>0.56610099999999997</v>
      </c>
      <c r="AR261" s="22">
        <v>447.32100000000003</v>
      </c>
      <c r="AS261" s="22">
        <v>-1.7285200000000001E-2</v>
      </c>
      <c r="AT261" s="22">
        <v>251</v>
      </c>
      <c r="AU261" s="22">
        <v>0.56536900000000001</v>
      </c>
      <c r="AV261">
        <f t="shared" si="44"/>
        <v>17.2852</v>
      </c>
      <c r="AW261">
        <f t="shared" si="45"/>
        <v>9.7851690051999984</v>
      </c>
      <c r="AX261" s="9"/>
      <c r="AY261" s="22">
        <v>1.16394</v>
      </c>
      <c r="AZ261" s="22">
        <v>498.334</v>
      </c>
      <c r="BA261" s="22">
        <v>-1.6806000000000001E-2</v>
      </c>
      <c r="BB261" s="22">
        <v>251</v>
      </c>
      <c r="BC261" s="22">
        <v>1.1630199999999999</v>
      </c>
      <c r="BD261">
        <f t="shared" si="46"/>
        <v>16.806000000000001</v>
      </c>
      <c r="BE261">
        <f t="shared" si="47"/>
        <v>19.561175640000002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133.61099999999999</v>
      </c>
      <c r="I262" s="22">
        <v>-1.7269900000000001E-2</v>
      </c>
      <c r="J262" s="22">
        <v>252</v>
      </c>
      <c r="K262" s="22">
        <v>0.560303</v>
      </c>
      <c r="L262">
        <f t="shared" si="36"/>
        <v>17.2699</v>
      </c>
      <c r="M262">
        <f t="shared" si="37"/>
        <v>9.6895537133999987</v>
      </c>
      <c r="N262" s="9"/>
      <c r="O262" s="22">
        <v>1.1689799999999999</v>
      </c>
      <c r="P262" s="22">
        <v>182.71299999999999</v>
      </c>
      <c r="Q262" s="22">
        <v>-1.67847E-2</v>
      </c>
      <c r="R262" s="22">
        <v>252</v>
      </c>
      <c r="S262" s="22">
        <v>1.16821</v>
      </c>
      <c r="T262">
        <f t="shared" si="38"/>
        <v>16.784700000000001</v>
      </c>
      <c r="U262">
        <f t="shared" si="39"/>
        <v>19.620978605999998</v>
      </c>
      <c r="X262" s="9"/>
      <c r="Y262" s="22">
        <v>0.56106599999999995</v>
      </c>
      <c r="Z262" s="22">
        <v>238.87</v>
      </c>
      <c r="AA262" s="22">
        <v>-1.7297400000000001E-2</v>
      </c>
      <c r="AB262" s="22">
        <v>252</v>
      </c>
      <c r="AC262" s="22">
        <v>0.560303</v>
      </c>
      <c r="AD262">
        <f t="shared" si="40"/>
        <v>17.2974</v>
      </c>
      <c r="AE262">
        <f t="shared" si="41"/>
        <v>9.7049830283999992</v>
      </c>
      <c r="AF262" s="9"/>
      <c r="AG262" s="22">
        <v>1.1689799999999999</v>
      </c>
      <c r="AH262" s="22">
        <v>369.54</v>
      </c>
      <c r="AI262" s="22">
        <v>-1.6787699999999999E-2</v>
      </c>
      <c r="AJ262" s="22">
        <v>252</v>
      </c>
      <c r="AK262" s="22">
        <v>1.16852</v>
      </c>
      <c r="AL262">
        <f t="shared" si="42"/>
        <v>16.787699999999997</v>
      </c>
      <c r="AM262">
        <f t="shared" si="43"/>
        <v>19.624485545999995</v>
      </c>
      <c r="AP262" s="9"/>
      <c r="AQ262" s="22">
        <v>0.56106599999999995</v>
      </c>
      <c r="AR262" s="22">
        <v>447.42099999999999</v>
      </c>
      <c r="AS262" s="22">
        <v>-1.72882E-2</v>
      </c>
      <c r="AT262" s="22">
        <v>252</v>
      </c>
      <c r="AU262" s="22">
        <v>0.56018100000000004</v>
      </c>
      <c r="AV262">
        <f t="shared" si="44"/>
        <v>17.2882</v>
      </c>
      <c r="AW262">
        <f t="shared" si="45"/>
        <v>9.6998212211999988</v>
      </c>
      <c r="AX262" s="9"/>
      <c r="AY262" s="22">
        <v>1.1689799999999999</v>
      </c>
      <c r="AZ262" s="22">
        <v>498.435</v>
      </c>
      <c r="BA262" s="22">
        <v>-1.67969E-2</v>
      </c>
      <c r="BB262" s="22">
        <v>252</v>
      </c>
      <c r="BC262" s="22">
        <v>1.16821</v>
      </c>
      <c r="BD262">
        <f t="shared" si="46"/>
        <v>16.796900000000001</v>
      </c>
      <c r="BE262">
        <f t="shared" si="47"/>
        <v>19.635240161999999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133.71199999999999</v>
      </c>
      <c r="I263" s="22">
        <v>-1.7272900000000001E-2</v>
      </c>
      <c r="J263" s="22">
        <v>253</v>
      </c>
      <c r="K263" s="22">
        <v>0.55523699999999998</v>
      </c>
      <c r="L263">
        <f t="shared" si="36"/>
        <v>17.2729</v>
      </c>
      <c r="M263">
        <f t="shared" si="37"/>
        <v>9.604250587000001</v>
      </c>
      <c r="N263" s="9"/>
      <c r="O263" s="22">
        <v>1.17401</v>
      </c>
      <c r="P263" s="22">
        <v>182.81399999999999</v>
      </c>
      <c r="Q263" s="22">
        <v>-1.6781600000000001E-2</v>
      </c>
      <c r="R263" s="22">
        <v>253</v>
      </c>
      <c r="S263" s="22">
        <v>1.17249</v>
      </c>
      <c r="T263">
        <f t="shared" si="38"/>
        <v>16.781600000000001</v>
      </c>
      <c r="U263">
        <f t="shared" si="39"/>
        <v>19.701766215999999</v>
      </c>
      <c r="X263" s="9"/>
      <c r="Y263" s="22">
        <v>0.55603000000000002</v>
      </c>
      <c r="Z263" s="22">
        <v>238.971</v>
      </c>
      <c r="AA263" s="22">
        <v>-1.7297400000000001E-2</v>
      </c>
      <c r="AB263" s="22">
        <v>253</v>
      </c>
      <c r="AC263" s="22">
        <v>0.55529799999999996</v>
      </c>
      <c r="AD263">
        <f t="shared" si="40"/>
        <v>17.2974</v>
      </c>
      <c r="AE263">
        <f t="shared" si="41"/>
        <v>9.6178733219999994</v>
      </c>
      <c r="AF263" s="9"/>
      <c r="AG263" s="22">
        <v>1.17401</v>
      </c>
      <c r="AH263" s="22">
        <v>369.64100000000002</v>
      </c>
      <c r="AI263" s="22">
        <v>-1.6790800000000002E-2</v>
      </c>
      <c r="AJ263" s="22">
        <v>253</v>
      </c>
      <c r="AK263" s="22">
        <v>1.17371</v>
      </c>
      <c r="AL263">
        <f t="shared" si="42"/>
        <v>16.790800000000001</v>
      </c>
      <c r="AM263">
        <f t="shared" si="43"/>
        <v>19.712567108000002</v>
      </c>
      <c r="AP263" s="9"/>
      <c r="AQ263" s="22">
        <v>0.55603000000000002</v>
      </c>
      <c r="AR263" s="22">
        <v>447.52199999999999</v>
      </c>
      <c r="AS263" s="22">
        <v>-1.7294299999999999E-2</v>
      </c>
      <c r="AT263" s="22">
        <v>253</v>
      </c>
      <c r="AU263" s="22">
        <v>0.55538900000000002</v>
      </c>
      <c r="AV263">
        <f t="shared" si="44"/>
        <v>17.2943</v>
      </c>
      <c r="AW263">
        <f t="shared" si="45"/>
        <v>9.6161496290000006</v>
      </c>
      <c r="AX263" s="9"/>
      <c r="AY263" s="22">
        <v>1.17401</v>
      </c>
      <c r="AZ263" s="22">
        <v>498.536</v>
      </c>
      <c r="BA263" s="22">
        <v>-1.67969E-2</v>
      </c>
      <c r="BB263" s="22">
        <v>253</v>
      </c>
      <c r="BC263" s="22">
        <v>1.1731</v>
      </c>
      <c r="BD263">
        <f t="shared" si="46"/>
        <v>16.796900000000001</v>
      </c>
      <c r="BE263">
        <f t="shared" si="47"/>
        <v>19.719728569000001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133.81299999999999</v>
      </c>
      <c r="I264" s="22">
        <v>-1.7282100000000002E-2</v>
      </c>
      <c r="J264" s="22">
        <v>254</v>
      </c>
      <c r="K264" s="22">
        <v>0.55026200000000003</v>
      </c>
      <c r="L264">
        <f t="shared" si="36"/>
        <v>17.282100000000003</v>
      </c>
      <c r="M264">
        <f t="shared" si="37"/>
        <v>9.5223506895000014</v>
      </c>
      <c r="N264" s="9"/>
      <c r="O264" s="22">
        <v>1.1790499999999999</v>
      </c>
      <c r="P264" s="22">
        <v>182.91399999999999</v>
      </c>
      <c r="Q264" s="22">
        <v>-1.67694E-2</v>
      </c>
      <c r="R264" s="22">
        <v>254</v>
      </c>
      <c r="S264" s="22">
        <v>1.17828</v>
      </c>
      <c r="T264">
        <f t="shared" si="38"/>
        <v>16.769400000000001</v>
      </c>
      <c r="U264">
        <f t="shared" si="39"/>
        <v>19.77196107</v>
      </c>
      <c r="X264" s="9"/>
      <c r="Y264" s="22">
        <v>0.55099500000000001</v>
      </c>
      <c r="Z264" s="22">
        <v>239.071</v>
      </c>
      <c r="AA264" s="22">
        <v>-1.7303499999999999E-2</v>
      </c>
      <c r="AB264" s="22">
        <v>254</v>
      </c>
      <c r="AC264" s="22">
        <v>0.55029300000000003</v>
      </c>
      <c r="AD264">
        <f t="shared" si="40"/>
        <v>17.3035</v>
      </c>
      <c r="AE264">
        <f t="shared" si="41"/>
        <v>9.5341419824999996</v>
      </c>
      <c r="AF264" s="9"/>
      <c r="AG264" s="22">
        <v>1.1790499999999999</v>
      </c>
      <c r="AH264" s="22">
        <v>369.74200000000002</v>
      </c>
      <c r="AI264" s="22">
        <v>-1.67847E-2</v>
      </c>
      <c r="AJ264" s="22">
        <v>254</v>
      </c>
      <c r="AK264" s="22">
        <v>1.17828</v>
      </c>
      <c r="AL264">
        <f t="shared" si="42"/>
        <v>16.784700000000001</v>
      </c>
      <c r="AM264">
        <f t="shared" si="43"/>
        <v>19.790000535000001</v>
      </c>
      <c r="AP264" s="9"/>
      <c r="AQ264" s="22">
        <v>0.55099500000000001</v>
      </c>
      <c r="AR264" s="22">
        <v>447.62299999999999</v>
      </c>
      <c r="AS264" s="22">
        <v>-1.7294299999999999E-2</v>
      </c>
      <c r="AT264" s="22">
        <v>254</v>
      </c>
      <c r="AU264" s="22">
        <v>0.55038500000000001</v>
      </c>
      <c r="AV264">
        <f t="shared" si="44"/>
        <v>17.2943</v>
      </c>
      <c r="AW264">
        <f t="shared" si="45"/>
        <v>9.5290728285000004</v>
      </c>
      <c r="AX264" s="9"/>
      <c r="AY264" s="22">
        <v>1.1790499999999999</v>
      </c>
      <c r="AZ264" s="22">
        <v>498.637</v>
      </c>
      <c r="BA264" s="22">
        <v>-1.6787699999999999E-2</v>
      </c>
      <c r="BB264" s="22">
        <v>254</v>
      </c>
      <c r="BC264" s="22">
        <v>1.17767</v>
      </c>
      <c r="BD264">
        <f t="shared" si="46"/>
        <v>16.787699999999997</v>
      </c>
      <c r="BE264">
        <f t="shared" si="47"/>
        <v>19.793537684999997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133.91300000000001</v>
      </c>
      <c r="I265" s="22">
        <v>-1.7285200000000001E-2</v>
      </c>
      <c r="J265" s="22">
        <v>255</v>
      </c>
      <c r="K265" s="22">
        <v>0.54522700000000002</v>
      </c>
      <c r="L265">
        <f t="shared" si="36"/>
        <v>17.2852</v>
      </c>
      <c r="M265">
        <f t="shared" si="37"/>
        <v>9.4370105068000001</v>
      </c>
      <c r="N265" s="9"/>
      <c r="O265" s="22">
        <v>1.18408</v>
      </c>
      <c r="P265" s="22">
        <v>183.01499999999999</v>
      </c>
      <c r="Q265" s="22">
        <v>-1.6760299999999999E-2</v>
      </c>
      <c r="R265" s="22">
        <v>255</v>
      </c>
      <c r="S265" s="22">
        <v>1.18347</v>
      </c>
      <c r="T265">
        <f t="shared" si="38"/>
        <v>16.760299999999997</v>
      </c>
      <c r="U265">
        <f t="shared" si="39"/>
        <v>19.845536023999998</v>
      </c>
      <c r="X265" s="9"/>
      <c r="Y265" s="22">
        <v>0.54595899999999997</v>
      </c>
      <c r="Z265" s="22">
        <v>239.172</v>
      </c>
      <c r="AA265" s="22">
        <v>-1.7303499999999999E-2</v>
      </c>
      <c r="AB265" s="22">
        <v>255</v>
      </c>
      <c r="AC265" s="22">
        <v>0.54507399999999995</v>
      </c>
      <c r="AD265">
        <f t="shared" si="40"/>
        <v>17.3035</v>
      </c>
      <c r="AE265">
        <f t="shared" si="41"/>
        <v>9.4470015565000001</v>
      </c>
      <c r="AF265" s="9"/>
      <c r="AG265" s="22">
        <v>1.18408</v>
      </c>
      <c r="AH265" s="22">
        <v>369.84199999999998</v>
      </c>
      <c r="AI265" s="22">
        <v>-1.6772499999999999E-2</v>
      </c>
      <c r="AJ265" s="22">
        <v>255</v>
      </c>
      <c r="AK265" s="22">
        <v>1.18286</v>
      </c>
      <c r="AL265">
        <f t="shared" si="42"/>
        <v>16.772500000000001</v>
      </c>
      <c r="AM265">
        <f t="shared" si="43"/>
        <v>19.8599818</v>
      </c>
      <c r="AP265" s="9"/>
      <c r="AQ265" s="22">
        <v>0.54595899999999997</v>
      </c>
      <c r="AR265" s="22">
        <v>447.72399999999999</v>
      </c>
      <c r="AS265" s="22">
        <v>-1.73004E-2</v>
      </c>
      <c r="AT265" s="22">
        <v>255</v>
      </c>
      <c r="AU265" s="22">
        <v>0.54540999999999995</v>
      </c>
      <c r="AV265">
        <f t="shared" si="44"/>
        <v>17.3004</v>
      </c>
      <c r="AW265">
        <f t="shared" si="45"/>
        <v>9.4453090835999998</v>
      </c>
      <c r="AX265" s="9"/>
      <c r="AY265" s="22">
        <v>1.18408</v>
      </c>
      <c r="AZ265" s="22">
        <v>498.73700000000002</v>
      </c>
      <c r="BA265" s="22">
        <v>-1.6787699999999999E-2</v>
      </c>
      <c r="BB265" s="22">
        <v>255</v>
      </c>
      <c r="BC265" s="22">
        <v>1.18347</v>
      </c>
      <c r="BD265">
        <f t="shared" si="46"/>
        <v>16.787699999999997</v>
      </c>
      <c r="BE265">
        <f t="shared" si="47"/>
        <v>19.877979815999996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134.01400000000001</v>
      </c>
      <c r="I266" s="22">
        <v>-1.7291299999999999E-2</v>
      </c>
      <c r="J266" s="22">
        <v>256</v>
      </c>
      <c r="K266" s="22">
        <v>0.54022199999999998</v>
      </c>
      <c r="L266">
        <f t="shared" si="36"/>
        <v>17.2913</v>
      </c>
      <c r="M266">
        <f t="shared" si="37"/>
        <v>9.3532791611999997</v>
      </c>
      <c r="N266" s="9"/>
      <c r="O266" s="22">
        <v>1.18912</v>
      </c>
      <c r="P266" s="22">
        <v>183.11600000000001</v>
      </c>
      <c r="Q266" s="22">
        <v>-1.6760299999999999E-2</v>
      </c>
      <c r="R266" s="22">
        <v>256</v>
      </c>
      <c r="S266" s="22">
        <v>1.18866</v>
      </c>
      <c r="T266">
        <f t="shared" si="38"/>
        <v>16.760299999999997</v>
      </c>
      <c r="U266">
        <f t="shared" si="39"/>
        <v>19.930007935999996</v>
      </c>
      <c r="X266" s="9"/>
      <c r="Y266" s="22">
        <v>0.54092399999999996</v>
      </c>
      <c r="Z266" s="22">
        <v>239.273</v>
      </c>
      <c r="AA266" s="22">
        <v>-1.7306499999999999E-2</v>
      </c>
      <c r="AB266" s="22">
        <v>256</v>
      </c>
      <c r="AC266" s="22">
        <v>0.54022199999999998</v>
      </c>
      <c r="AD266">
        <f t="shared" si="40"/>
        <v>17.3065</v>
      </c>
      <c r="AE266">
        <f t="shared" si="41"/>
        <v>9.3615012059999998</v>
      </c>
      <c r="AF266" s="9"/>
      <c r="AG266" s="22">
        <v>1.18912</v>
      </c>
      <c r="AH266" s="22">
        <v>369.94299999999998</v>
      </c>
      <c r="AI266" s="22">
        <v>-1.6766400000000001E-2</v>
      </c>
      <c r="AJ266" s="22">
        <v>256</v>
      </c>
      <c r="AK266" s="22">
        <v>1.1880500000000001</v>
      </c>
      <c r="AL266">
        <f t="shared" si="42"/>
        <v>16.766400000000001</v>
      </c>
      <c r="AM266">
        <f t="shared" si="43"/>
        <v>19.937261568</v>
      </c>
      <c r="AP266" s="9"/>
      <c r="AQ266" s="22">
        <v>0.54092399999999996</v>
      </c>
      <c r="AR266" s="22">
        <v>447.82400000000001</v>
      </c>
      <c r="AS266" s="22">
        <v>-1.7303499999999999E-2</v>
      </c>
      <c r="AT266" s="22">
        <v>256</v>
      </c>
      <c r="AU266" s="22">
        <v>0.54022199999999998</v>
      </c>
      <c r="AV266">
        <f t="shared" si="44"/>
        <v>17.3035</v>
      </c>
      <c r="AW266">
        <f t="shared" si="45"/>
        <v>9.3598784339999987</v>
      </c>
      <c r="AX266" s="9"/>
      <c r="AY266" s="22">
        <v>1.18912</v>
      </c>
      <c r="AZ266" s="22">
        <v>498.83800000000002</v>
      </c>
      <c r="BA266" s="22">
        <v>-1.6778600000000001E-2</v>
      </c>
      <c r="BB266" s="22">
        <v>256</v>
      </c>
      <c r="BC266" s="22">
        <v>1.18835</v>
      </c>
      <c r="BD266">
        <f t="shared" si="46"/>
        <v>16.778600000000001</v>
      </c>
      <c r="BE266">
        <f t="shared" si="47"/>
        <v>19.951768831999999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134.11500000000001</v>
      </c>
      <c r="I267" s="22">
        <v>-1.7291299999999999E-2</v>
      </c>
      <c r="J267" s="22">
        <v>257</v>
      </c>
      <c r="K267" s="22">
        <v>0.53506500000000001</v>
      </c>
      <c r="L267">
        <f t="shared" si="36"/>
        <v>17.2913</v>
      </c>
      <c r="M267">
        <f t="shared" si="37"/>
        <v>9.2662174656999987</v>
      </c>
      <c r="N267" s="9"/>
      <c r="O267" s="22">
        <v>1.19415</v>
      </c>
      <c r="P267" s="22">
        <v>183.21700000000001</v>
      </c>
      <c r="Q267" s="22">
        <v>-1.6760299999999999E-2</v>
      </c>
      <c r="R267" s="22">
        <v>257</v>
      </c>
      <c r="S267" s="22">
        <v>1.1938500000000001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0.53588899999999995</v>
      </c>
      <c r="Z267" s="22">
        <v>239.37299999999999</v>
      </c>
      <c r="AA267" s="22">
        <v>-1.7309600000000001E-2</v>
      </c>
      <c r="AB267" s="22">
        <v>257</v>
      </c>
      <c r="AC267" s="22">
        <v>0.53518699999999997</v>
      </c>
      <c r="AD267">
        <f t="shared" si="40"/>
        <v>17.3096</v>
      </c>
      <c r="AE267">
        <f t="shared" si="41"/>
        <v>9.2760242343999995</v>
      </c>
      <c r="AF267" s="9"/>
      <c r="AG267" s="22">
        <v>1.19415</v>
      </c>
      <c r="AH267" s="22">
        <v>370.04399999999998</v>
      </c>
      <c r="AI267" s="22">
        <v>-1.6760299999999999E-2</v>
      </c>
      <c r="AJ267" s="22">
        <v>257</v>
      </c>
      <c r="AK267" s="22">
        <v>1.1932400000000001</v>
      </c>
      <c r="AL267">
        <f t="shared" si="42"/>
        <v>16.760299999999997</v>
      </c>
      <c r="AM267">
        <f t="shared" si="43"/>
        <v>20.014312244999999</v>
      </c>
      <c r="AP267" s="9"/>
      <c r="AQ267" s="22">
        <v>0.53588899999999995</v>
      </c>
      <c r="AR267" s="22">
        <v>447.92500000000001</v>
      </c>
      <c r="AS267" s="22">
        <v>-1.7306499999999999E-2</v>
      </c>
      <c r="AT267" s="22">
        <v>257</v>
      </c>
      <c r="AU267" s="22">
        <v>0.53515599999999997</v>
      </c>
      <c r="AV267">
        <f t="shared" si="44"/>
        <v>17.3065</v>
      </c>
      <c r="AW267">
        <f t="shared" si="45"/>
        <v>9.2743629784999992</v>
      </c>
      <c r="AX267" s="9"/>
      <c r="AY267" s="22">
        <v>1.19415</v>
      </c>
      <c r="AZ267" s="22">
        <v>498.93900000000002</v>
      </c>
      <c r="BA267" s="22">
        <v>-1.6778600000000001E-2</v>
      </c>
      <c r="BB267" s="22">
        <v>257</v>
      </c>
      <c r="BC267" s="22">
        <v>1.1926300000000001</v>
      </c>
      <c r="BD267">
        <f t="shared" si="46"/>
        <v>16.778600000000001</v>
      </c>
      <c r="BE267">
        <f t="shared" si="47"/>
        <v>20.036165190000002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134.21600000000001</v>
      </c>
      <c r="I268" s="22">
        <v>-1.7294299999999999E-2</v>
      </c>
      <c r="J268" s="22">
        <v>258</v>
      </c>
      <c r="K268" s="22">
        <v>0.52990700000000002</v>
      </c>
      <c r="L268">
        <f t="shared" ref="L268:L331" si="48">-I268/$F$2*1000</f>
        <v>17.2943</v>
      </c>
      <c r="M268">
        <f t="shared" ref="M268:M331" si="49">L268*G268</f>
        <v>9.1807310378999993</v>
      </c>
      <c r="N268" s="9"/>
      <c r="O268" s="22">
        <v>1.19919</v>
      </c>
      <c r="P268" s="22">
        <v>183.31700000000001</v>
      </c>
      <c r="Q268" s="22">
        <v>-1.6751100000000001E-2</v>
      </c>
      <c r="R268" s="22">
        <v>258</v>
      </c>
      <c r="S268" s="22">
        <v>1.19781</v>
      </c>
      <c r="T268">
        <f t="shared" ref="T268:T331" si="50">-Q268/$F$2*1000</f>
        <v>16.751100000000001</v>
      </c>
      <c r="U268">
        <f t="shared" ref="U268:U331" si="51">T268*O268</f>
        <v>20.087751609000001</v>
      </c>
      <c r="X268" s="9"/>
      <c r="Y268" s="22">
        <v>0.53085300000000002</v>
      </c>
      <c r="Z268" s="22">
        <v>239.47399999999999</v>
      </c>
      <c r="AA268" s="22">
        <v>-1.73157E-2</v>
      </c>
      <c r="AB268" s="22">
        <v>258</v>
      </c>
      <c r="AC268" s="22">
        <v>0.53008999999999995</v>
      </c>
      <c r="AD268">
        <f t="shared" ref="AD268:AD331" si="52">-AA268/$F$2*1000</f>
        <v>17.3157</v>
      </c>
      <c r="AE268">
        <f t="shared" ref="AE268:AE331" si="53">AD268*Y268</f>
        <v>9.1920912921000006</v>
      </c>
      <c r="AF268" s="9"/>
      <c r="AG268" s="22">
        <v>1.19919</v>
      </c>
      <c r="AH268" s="22">
        <v>370.14400000000001</v>
      </c>
      <c r="AI268" s="22">
        <v>-1.67572E-2</v>
      </c>
      <c r="AJ268" s="22">
        <v>258</v>
      </c>
      <c r="AK268" s="22">
        <v>1.1984300000000001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0.53085300000000002</v>
      </c>
      <c r="AR268" s="22">
        <v>448.02600000000001</v>
      </c>
      <c r="AS268" s="22">
        <v>-1.7309600000000001E-2</v>
      </c>
      <c r="AT268" s="22">
        <v>258</v>
      </c>
      <c r="AU268" s="22">
        <v>0.53015100000000004</v>
      </c>
      <c r="AV268">
        <f t="shared" ref="AV268:AV331" si="56">-AS268/$F$2*1000</f>
        <v>17.3096</v>
      </c>
      <c r="AW268">
        <f t="shared" ref="AW268:AW331" si="57">AV268*AQ268</f>
        <v>9.1888530888000002</v>
      </c>
      <c r="AX268" s="9"/>
      <c r="AY268" s="22">
        <v>1.19919</v>
      </c>
      <c r="AZ268" s="22">
        <v>499.03899999999999</v>
      </c>
      <c r="BA268" s="22">
        <v>-1.6775499999999999E-2</v>
      </c>
      <c r="BB268" s="22">
        <v>258</v>
      </c>
      <c r="BC268" s="22">
        <v>1.1984300000000001</v>
      </c>
      <c r="BD268">
        <f t="shared" ref="BD268:BD331" si="58">-BA268/$F$2*1000</f>
        <v>16.775499999999997</v>
      </c>
      <c r="BE268">
        <f t="shared" ref="BE268:BE331" si="59">BD268*AY268</f>
        <v>20.117011844999997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134.316</v>
      </c>
      <c r="I269" s="22">
        <v>-1.7297400000000001E-2</v>
      </c>
      <c r="J269" s="22">
        <v>259</v>
      </c>
      <c r="K269" s="22">
        <v>0.52542100000000003</v>
      </c>
      <c r="L269">
        <f t="shared" si="48"/>
        <v>17.2974</v>
      </c>
      <c r="M269">
        <f t="shared" si="49"/>
        <v>9.0952842732000008</v>
      </c>
      <c r="N269" s="9"/>
      <c r="O269" s="22">
        <v>1.2042200000000001</v>
      </c>
      <c r="P269" s="22">
        <v>183.41800000000001</v>
      </c>
      <c r="Q269" s="22">
        <v>-1.6738900000000001E-2</v>
      </c>
      <c r="R269" s="22">
        <v>259</v>
      </c>
      <c r="S269" s="22">
        <v>1.2033100000000001</v>
      </c>
      <c r="T269">
        <f t="shared" si="50"/>
        <v>16.738900000000001</v>
      </c>
      <c r="U269">
        <f t="shared" si="51"/>
        <v>20.157318158000002</v>
      </c>
      <c r="X269" s="9"/>
      <c r="Y269" s="22">
        <v>0.52581800000000001</v>
      </c>
      <c r="Z269" s="22">
        <v>239.57499999999999</v>
      </c>
      <c r="AA269" s="22">
        <v>-1.7318699999999999E-2</v>
      </c>
      <c r="AB269" s="22">
        <v>259</v>
      </c>
      <c r="AC269" s="22">
        <v>0.52505500000000005</v>
      </c>
      <c r="AD269">
        <f t="shared" si="52"/>
        <v>17.3187</v>
      </c>
      <c r="AE269">
        <f t="shared" si="53"/>
        <v>9.1064841966000003</v>
      </c>
      <c r="AF269" s="9"/>
      <c r="AG269" s="22">
        <v>1.2042200000000001</v>
      </c>
      <c r="AH269" s="22">
        <v>370.245</v>
      </c>
      <c r="AI269" s="22">
        <v>-1.67542E-2</v>
      </c>
      <c r="AJ269" s="22">
        <v>259</v>
      </c>
      <c r="AK269" s="22">
        <v>1.2030000000000001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0.52581800000000001</v>
      </c>
      <c r="AR269" s="22">
        <v>448.12599999999998</v>
      </c>
      <c r="AS269" s="22">
        <v>-1.7312600000000001E-2</v>
      </c>
      <c r="AT269" s="22">
        <v>259</v>
      </c>
      <c r="AU269" s="22">
        <v>0.52508500000000002</v>
      </c>
      <c r="AV269">
        <f t="shared" si="56"/>
        <v>17.3126</v>
      </c>
      <c r="AW269">
        <f t="shared" si="57"/>
        <v>9.1032767068000009</v>
      </c>
      <c r="AX269" s="9"/>
      <c r="AY269" s="22">
        <v>1.2042200000000001</v>
      </c>
      <c r="AZ269" s="22">
        <v>499.14</v>
      </c>
      <c r="BA269" s="22">
        <v>-1.6766400000000001E-2</v>
      </c>
      <c r="BB269" s="22">
        <v>259</v>
      </c>
      <c r="BC269" s="22">
        <v>1.2030000000000001</v>
      </c>
      <c r="BD269">
        <f t="shared" si="58"/>
        <v>16.766400000000001</v>
      </c>
      <c r="BE269">
        <f t="shared" si="59"/>
        <v>20.190434208000003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134.417</v>
      </c>
      <c r="I270" s="22">
        <v>-1.73004E-2</v>
      </c>
      <c r="J270" s="22">
        <v>260</v>
      </c>
      <c r="K270" s="22">
        <v>0.52029400000000003</v>
      </c>
      <c r="L270">
        <f t="shared" si="48"/>
        <v>17.3004</v>
      </c>
      <c r="M270">
        <f t="shared" si="49"/>
        <v>9.0097369127999993</v>
      </c>
      <c r="N270" s="9"/>
      <c r="O270" s="22">
        <v>1.20926</v>
      </c>
      <c r="P270" s="22">
        <v>183.51900000000001</v>
      </c>
      <c r="Q270" s="22">
        <v>-1.6732799999999999E-2</v>
      </c>
      <c r="R270" s="22">
        <v>260</v>
      </c>
      <c r="S270" s="22">
        <v>1.2081900000000001</v>
      </c>
      <c r="T270">
        <f t="shared" si="50"/>
        <v>16.732799999999997</v>
      </c>
      <c r="U270">
        <f t="shared" si="51"/>
        <v>20.234305727999995</v>
      </c>
      <c r="X270" s="9"/>
      <c r="Y270" s="22">
        <v>0.52078199999999997</v>
      </c>
      <c r="Z270" s="22">
        <v>239.67599999999999</v>
      </c>
      <c r="AA270" s="22">
        <v>-1.7324800000000001E-2</v>
      </c>
      <c r="AB270" s="22">
        <v>260</v>
      </c>
      <c r="AC270" s="22">
        <v>0.51998900000000003</v>
      </c>
      <c r="AD270">
        <f t="shared" si="52"/>
        <v>17.3248</v>
      </c>
      <c r="AE270">
        <f t="shared" si="53"/>
        <v>9.0224439935999996</v>
      </c>
      <c r="AF270" s="9"/>
      <c r="AG270" s="22">
        <v>1.20926</v>
      </c>
      <c r="AH270" s="22">
        <v>370.346</v>
      </c>
      <c r="AI270" s="22">
        <v>-1.6751100000000001E-2</v>
      </c>
      <c r="AJ270" s="22">
        <v>260</v>
      </c>
      <c r="AK270" s="22">
        <v>1.2084999999999999</v>
      </c>
      <c r="AL270">
        <f t="shared" si="54"/>
        <v>16.751100000000001</v>
      </c>
      <c r="AM270">
        <f t="shared" si="55"/>
        <v>20.256435186000001</v>
      </c>
      <c r="AP270" s="9"/>
      <c r="AQ270" s="22">
        <v>0.52078199999999997</v>
      </c>
      <c r="AR270" s="22">
        <v>448.22699999999998</v>
      </c>
      <c r="AS270" s="22">
        <v>-1.7312600000000001E-2</v>
      </c>
      <c r="AT270" s="22">
        <v>260</v>
      </c>
      <c r="AU270" s="22">
        <v>0.51995800000000003</v>
      </c>
      <c r="AV270">
        <f t="shared" si="56"/>
        <v>17.3126</v>
      </c>
      <c r="AW270">
        <f t="shared" si="57"/>
        <v>9.0160904531999986</v>
      </c>
      <c r="AX270" s="9"/>
      <c r="AY270" s="22">
        <v>1.20926</v>
      </c>
      <c r="AZ270" s="22">
        <v>499.24099999999999</v>
      </c>
      <c r="BA270" s="22">
        <v>-1.6760299999999999E-2</v>
      </c>
      <c r="BB270" s="22">
        <v>260</v>
      </c>
      <c r="BC270" s="22">
        <v>1.2084999999999999</v>
      </c>
      <c r="BD270">
        <f t="shared" si="58"/>
        <v>16.760299999999997</v>
      </c>
      <c r="BE270">
        <f t="shared" si="59"/>
        <v>20.267560377999995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134.518</v>
      </c>
      <c r="I271" s="22">
        <v>-1.7303499999999999E-2</v>
      </c>
      <c r="J271" s="22">
        <v>261</v>
      </c>
      <c r="K271" s="22">
        <v>0.514984</v>
      </c>
      <c r="L271">
        <f t="shared" si="48"/>
        <v>17.3035</v>
      </c>
      <c r="M271">
        <f t="shared" si="49"/>
        <v>8.9242282144999994</v>
      </c>
      <c r="N271" s="9"/>
      <c r="O271" s="22">
        <v>1.2142900000000001</v>
      </c>
      <c r="P271" s="22">
        <v>183.619</v>
      </c>
      <c r="Q271" s="22">
        <v>-1.6735799999999999E-2</v>
      </c>
      <c r="R271" s="22">
        <v>261</v>
      </c>
      <c r="S271" s="22">
        <v>1.2136800000000001</v>
      </c>
      <c r="T271">
        <f t="shared" si="50"/>
        <v>16.735799999999998</v>
      </c>
      <c r="U271">
        <f t="shared" si="51"/>
        <v>20.322114581999998</v>
      </c>
      <c r="X271" s="9"/>
      <c r="Y271" s="22">
        <v>0.51574699999999996</v>
      </c>
      <c r="Z271" s="22">
        <v>239.77600000000001</v>
      </c>
      <c r="AA271" s="22">
        <v>-1.73309E-2</v>
      </c>
      <c r="AB271" s="22">
        <v>261</v>
      </c>
      <c r="AC271" s="22">
        <v>0.51489300000000005</v>
      </c>
      <c r="AD271">
        <f t="shared" si="52"/>
        <v>17.3309</v>
      </c>
      <c r="AE271">
        <f t="shared" si="53"/>
        <v>8.9383596822999998</v>
      </c>
      <c r="AF271" s="9"/>
      <c r="AG271" s="22">
        <v>1.2142900000000001</v>
      </c>
      <c r="AH271" s="22">
        <v>370.447</v>
      </c>
      <c r="AI271" s="22">
        <v>-1.6741900000000001E-2</v>
      </c>
      <c r="AJ271" s="22">
        <v>261</v>
      </c>
      <c r="AK271" s="22">
        <v>1.2130700000000001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0.51574699999999996</v>
      </c>
      <c r="AR271" s="22">
        <v>448.32799999999997</v>
      </c>
      <c r="AS271" s="22">
        <v>-1.73157E-2</v>
      </c>
      <c r="AT271" s="22">
        <v>261</v>
      </c>
      <c r="AU271" s="22">
        <v>0.51486200000000004</v>
      </c>
      <c r="AV271">
        <f t="shared" si="56"/>
        <v>17.3157</v>
      </c>
      <c r="AW271">
        <f t="shared" si="57"/>
        <v>8.9305203278999983</v>
      </c>
      <c r="AX271" s="9"/>
      <c r="AY271" s="22">
        <v>1.2142900000000001</v>
      </c>
      <c r="AZ271" s="22">
        <v>499.34199999999998</v>
      </c>
      <c r="BA271" s="22">
        <v>-1.6751100000000001E-2</v>
      </c>
      <c r="BB271" s="22">
        <v>261</v>
      </c>
      <c r="BC271" s="22">
        <v>1.2127699999999999</v>
      </c>
      <c r="BD271">
        <f t="shared" si="58"/>
        <v>16.751100000000001</v>
      </c>
      <c r="BE271">
        <f t="shared" si="59"/>
        <v>20.340693219000002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134.61799999999999</v>
      </c>
      <c r="I272" s="22">
        <v>-1.7309600000000001E-2</v>
      </c>
      <c r="J272" s="22">
        <v>262</v>
      </c>
      <c r="K272" s="22">
        <v>0.51007100000000005</v>
      </c>
      <c r="L272">
        <f t="shared" si="48"/>
        <v>17.3096</v>
      </c>
      <c r="M272">
        <f t="shared" si="49"/>
        <v>8.8402204352000009</v>
      </c>
      <c r="N272" s="9"/>
      <c r="O272" s="22">
        <v>1.21933</v>
      </c>
      <c r="P272" s="22">
        <v>183.72</v>
      </c>
      <c r="Q272" s="22">
        <v>-1.6726700000000001E-2</v>
      </c>
      <c r="R272" s="22">
        <v>262</v>
      </c>
      <c r="S272" s="22">
        <v>1.2179599999999999</v>
      </c>
      <c r="T272">
        <f t="shared" si="50"/>
        <v>16.726700000000001</v>
      </c>
      <c r="U272">
        <f t="shared" si="51"/>
        <v>20.395367111000002</v>
      </c>
      <c r="X272" s="9"/>
      <c r="Y272" s="22">
        <v>0.51071200000000005</v>
      </c>
      <c r="Z272" s="22">
        <v>239.87700000000001</v>
      </c>
      <c r="AA272" s="22">
        <v>-1.73309E-2</v>
      </c>
      <c r="AB272" s="22">
        <v>262</v>
      </c>
      <c r="AC272" s="22">
        <v>0.50979600000000003</v>
      </c>
      <c r="AD272">
        <f t="shared" si="52"/>
        <v>17.3309</v>
      </c>
      <c r="AE272">
        <f t="shared" si="53"/>
        <v>8.8510986008000003</v>
      </c>
      <c r="AF272" s="9"/>
      <c r="AG272" s="22">
        <v>1.21933</v>
      </c>
      <c r="AH272" s="22">
        <v>370.54700000000003</v>
      </c>
      <c r="AI272" s="22">
        <v>-1.6738900000000001E-2</v>
      </c>
      <c r="AJ272" s="22">
        <v>262</v>
      </c>
      <c r="AK272" s="22">
        <v>1.2185699999999999</v>
      </c>
      <c r="AL272">
        <f t="shared" si="54"/>
        <v>16.738900000000001</v>
      </c>
      <c r="AM272">
        <f t="shared" si="55"/>
        <v>20.410242937000003</v>
      </c>
      <c r="AP272" s="9"/>
      <c r="AQ272" s="22">
        <v>0.51071200000000005</v>
      </c>
      <c r="AR272" s="22">
        <v>448.428</v>
      </c>
      <c r="AS272" s="22">
        <v>-1.7318699999999999E-2</v>
      </c>
      <c r="AT272" s="22">
        <v>262</v>
      </c>
      <c r="AU272" s="22">
        <v>0.51013200000000003</v>
      </c>
      <c r="AV272">
        <f t="shared" si="56"/>
        <v>17.3187</v>
      </c>
      <c r="AW272">
        <f t="shared" si="57"/>
        <v>8.8448679144</v>
      </c>
      <c r="AX272" s="9"/>
      <c r="AY272" s="22">
        <v>1.21933</v>
      </c>
      <c r="AZ272" s="22">
        <v>499.44200000000001</v>
      </c>
      <c r="BA272" s="22">
        <v>-1.6751100000000001E-2</v>
      </c>
      <c r="BB272" s="22">
        <v>262</v>
      </c>
      <c r="BC272" s="22">
        <v>1.2185699999999999</v>
      </c>
      <c r="BD272">
        <f t="shared" si="58"/>
        <v>16.751100000000001</v>
      </c>
      <c r="BE272">
        <f t="shared" si="59"/>
        <v>20.425118763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134.71899999999999</v>
      </c>
      <c r="I273" s="22">
        <v>-1.7306499999999999E-2</v>
      </c>
      <c r="J273" s="22">
        <v>263</v>
      </c>
      <c r="K273" s="22">
        <v>0.50494399999999995</v>
      </c>
      <c r="L273">
        <f t="shared" si="48"/>
        <v>17.3065</v>
      </c>
      <c r="M273">
        <f t="shared" si="49"/>
        <v>8.7514816940000006</v>
      </c>
      <c r="N273" s="9"/>
      <c r="O273" s="22">
        <v>1.22437</v>
      </c>
      <c r="P273" s="22">
        <v>183.821</v>
      </c>
      <c r="Q273" s="22">
        <v>-1.67175E-2</v>
      </c>
      <c r="R273" s="22">
        <v>263</v>
      </c>
      <c r="S273" s="22">
        <v>1.2237499999999999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0.50567600000000001</v>
      </c>
      <c r="Z273" s="22">
        <v>239.97800000000001</v>
      </c>
      <c r="AA273" s="22">
        <v>-1.7333999999999999E-2</v>
      </c>
      <c r="AB273" s="22">
        <v>263</v>
      </c>
      <c r="AC273" s="22">
        <v>0.50457799999999997</v>
      </c>
      <c r="AD273">
        <f t="shared" si="52"/>
        <v>17.334</v>
      </c>
      <c r="AE273">
        <f t="shared" si="53"/>
        <v>8.7653877839999996</v>
      </c>
      <c r="AF273" s="9"/>
      <c r="AG273" s="22">
        <v>1.22437</v>
      </c>
      <c r="AH273" s="22">
        <v>370.64800000000002</v>
      </c>
      <c r="AI273" s="22">
        <v>-1.67297E-2</v>
      </c>
      <c r="AJ273" s="22">
        <v>263</v>
      </c>
      <c r="AK273" s="22">
        <v>1.2240599999999999</v>
      </c>
      <c r="AL273">
        <f t="shared" si="54"/>
        <v>16.729700000000001</v>
      </c>
      <c r="AM273">
        <f t="shared" si="55"/>
        <v>20.483342789000002</v>
      </c>
      <c r="AP273" s="9"/>
      <c r="AQ273" s="22">
        <v>0.50567600000000001</v>
      </c>
      <c r="AR273" s="22">
        <v>448.529</v>
      </c>
      <c r="AS273" s="22">
        <v>-1.7321799999999998E-2</v>
      </c>
      <c r="AT273" s="22">
        <v>263</v>
      </c>
      <c r="AU273" s="22">
        <v>0.50503500000000001</v>
      </c>
      <c r="AV273">
        <f t="shared" si="56"/>
        <v>17.3218</v>
      </c>
      <c r="AW273">
        <f t="shared" si="57"/>
        <v>8.7592185368000006</v>
      </c>
      <c r="AX273" s="9"/>
      <c r="AY273" s="22">
        <v>1.22437</v>
      </c>
      <c r="AZ273" s="22">
        <v>499.54300000000001</v>
      </c>
      <c r="BA273" s="22">
        <v>-1.6738900000000001E-2</v>
      </c>
      <c r="BB273" s="22">
        <v>263</v>
      </c>
      <c r="BC273" s="22">
        <v>1.2231399999999999</v>
      </c>
      <c r="BD273">
        <f t="shared" si="58"/>
        <v>16.738900000000001</v>
      </c>
      <c r="BE273">
        <f t="shared" si="59"/>
        <v>20.494606993000001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134.82</v>
      </c>
      <c r="I274" s="22">
        <v>-1.73157E-2</v>
      </c>
      <c r="J274" s="22">
        <v>264</v>
      </c>
      <c r="K274" s="22">
        <v>0.49993900000000002</v>
      </c>
      <c r="L274">
        <f t="shared" si="48"/>
        <v>17.3157</v>
      </c>
      <c r="M274">
        <f t="shared" si="49"/>
        <v>8.6689493636999995</v>
      </c>
      <c r="N274" s="9"/>
      <c r="O274" s="22">
        <v>1.2294</v>
      </c>
      <c r="P274" s="22">
        <v>183.922</v>
      </c>
      <c r="Q274" s="22">
        <v>-1.6711400000000001E-2</v>
      </c>
      <c r="R274" s="22">
        <v>264</v>
      </c>
      <c r="S274" s="22">
        <v>1.22803</v>
      </c>
      <c r="T274">
        <f t="shared" si="50"/>
        <v>16.711400000000001</v>
      </c>
      <c r="U274">
        <f t="shared" si="51"/>
        <v>20.544995160000003</v>
      </c>
      <c r="X274" s="9"/>
      <c r="Y274" s="22">
        <v>0.500641</v>
      </c>
      <c r="Z274" s="22">
        <v>240.078</v>
      </c>
      <c r="AA274" s="22">
        <v>-1.7337000000000002E-2</v>
      </c>
      <c r="AB274" s="22">
        <v>264</v>
      </c>
      <c r="AC274" s="22">
        <v>0.49987799999999999</v>
      </c>
      <c r="AD274">
        <f t="shared" si="52"/>
        <v>17.337000000000003</v>
      </c>
      <c r="AE274">
        <f t="shared" si="53"/>
        <v>8.6796130170000012</v>
      </c>
      <c r="AF274" s="9"/>
      <c r="AG274" s="22">
        <v>1.2294</v>
      </c>
      <c r="AH274" s="22">
        <v>370.74900000000002</v>
      </c>
      <c r="AI274" s="22">
        <v>-1.6723600000000002E-2</v>
      </c>
      <c r="AJ274" s="22">
        <v>264</v>
      </c>
      <c r="AK274" s="22">
        <v>1.22864</v>
      </c>
      <c r="AL274">
        <f t="shared" si="54"/>
        <v>16.723600000000001</v>
      </c>
      <c r="AM274">
        <f t="shared" si="55"/>
        <v>20.559993840000001</v>
      </c>
      <c r="AP274" s="9"/>
      <c r="AQ274" s="22">
        <v>0.500641</v>
      </c>
      <c r="AR274" s="22">
        <v>448.63</v>
      </c>
      <c r="AS274" s="22">
        <v>-1.7324800000000001E-2</v>
      </c>
      <c r="AT274" s="22">
        <v>264</v>
      </c>
      <c r="AU274" s="22">
        <v>0.50015299999999996</v>
      </c>
      <c r="AV274">
        <f t="shared" si="56"/>
        <v>17.3248</v>
      </c>
      <c r="AW274">
        <f t="shared" si="57"/>
        <v>8.6735051968000008</v>
      </c>
      <c r="AX274" s="9"/>
      <c r="AY274" s="22">
        <v>1.2294</v>
      </c>
      <c r="AZ274" s="22">
        <v>499.64400000000001</v>
      </c>
      <c r="BA274" s="22">
        <v>-1.6735799999999999E-2</v>
      </c>
      <c r="BB274" s="22">
        <v>264</v>
      </c>
      <c r="BC274" s="22">
        <v>1.22803</v>
      </c>
      <c r="BD274">
        <f t="shared" si="58"/>
        <v>16.735799999999998</v>
      </c>
      <c r="BE274">
        <f t="shared" si="59"/>
        <v>20.574992519999999</v>
      </c>
    </row>
    <row r="275" spans="6:101">
      <c r="F275" s="9"/>
      <c r="G275" s="22">
        <v>0.49560500000000002</v>
      </c>
      <c r="H275" s="22">
        <v>134.91999999999999</v>
      </c>
      <c r="I275" s="22">
        <v>-1.7318699999999999E-2</v>
      </c>
      <c r="J275" s="22">
        <v>265</v>
      </c>
      <c r="K275" s="22">
        <v>0.49487300000000001</v>
      </c>
      <c r="L275">
        <f t="shared" si="48"/>
        <v>17.3187</v>
      </c>
      <c r="M275">
        <f t="shared" si="49"/>
        <v>8.5832343135000002</v>
      </c>
      <c r="N275" s="9"/>
      <c r="O275" s="22">
        <v>1.23444</v>
      </c>
      <c r="P275" s="22">
        <v>184.02199999999999</v>
      </c>
      <c r="Q275" s="22">
        <v>-1.6705299999999999E-2</v>
      </c>
      <c r="R275" s="22">
        <v>265</v>
      </c>
      <c r="S275" s="22">
        <v>1.2335199999999999</v>
      </c>
      <c r="T275">
        <f t="shared" si="50"/>
        <v>16.705299999999998</v>
      </c>
      <c r="U275">
        <f t="shared" si="51"/>
        <v>20.621690531999995</v>
      </c>
      <c r="X275" s="9"/>
      <c r="Y275" s="22">
        <v>0.49560500000000002</v>
      </c>
      <c r="Z275" s="22">
        <v>240.179</v>
      </c>
      <c r="AA275" s="22">
        <v>-1.73431E-2</v>
      </c>
      <c r="AB275" s="22">
        <v>265</v>
      </c>
      <c r="AC275" s="22">
        <v>0.49490400000000001</v>
      </c>
      <c r="AD275">
        <f t="shared" si="52"/>
        <v>17.3431</v>
      </c>
      <c r="AE275">
        <f t="shared" si="53"/>
        <v>8.5953270755000002</v>
      </c>
      <c r="AF275" s="9"/>
      <c r="AG275" s="22">
        <v>1.23444</v>
      </c>
      <c r="AH275" s="22">
        <v>370.84899999999999</v>
      </c>
      <c r="AI275" s="22">
        <v>-1.6720599999999999E-2</v>
      </c>
      <c r="AJ275" s="22">
        <v>265</v>
      </c>
      <c r="AK275" s="22">
        <v>1.23291</v>
      </c>
      <c r="AL275">
        <f t="shared" si="54"/>
        <v>16.720599999999997</v>
      </c>
      <c r="AM275">
        <f t="shared" si="55"/>
        <v>20.640577463999996</v>
      </c>
      <c r="AP275" s="9"/>
      <c r="AQ275" s="22">
        <v>0.49560500000000002</v>
      </c>
      <c r="AR275" s="22">
        <v>448.73099999999999</v>
      </c>
      <c r="AS275" s="22">
        <v>-1.7333999999999999E-2</v>
      </c>
      <c r="AT275" s="22">
        <v>265</v>
      </c>
      <c r="AU275" s="22">
        <v>0.49481199999999997</v>
      </c>
      <c r="AV275">
        <f t="shared" si="56"/>
        <v>17.334</v>
      </c>
      <c r="AW275">
        <f t="shared" si="57"/>
        <v>8.5908170699999999</v>
      </c>
      <c r="AX275" s="9"/>
      <c r="AY275" s="22">
        <v>1.23444</v>
      </c>
      <c r="AZ275" s="22">
        <v>499.74400000000003</v>
      </c>
      <c r="BA275" s="22">
        <v>-1.6732799999999999E-2</v>
      </c>
      <c r="BB275" s="22">
        <v>265</v>
      </c>
      <c r="BC275" s="22">
        <v>1.2325999999999999</v>
      </c>
      <c r="BD275">
        <f t="shared" si="58"/>
        <v>16.732799999999997</v>
      </c>
      <c r="BE275">
        <f t="shared" si="59"/>
        <v>20.655637631999998</v>
      </c>
    </row>
    <row r="276" spans="6:101">
      <c r="F276" s="9"/>
      <c r="G276" s="22">
        <v>0.49057000000000001</v>
      </c>
      <c r="H276" s="22">
        <v>135.02099999999999</v>
      </c>
      <c r="I276" s="22">
        <v>-1.7321799999999998E-2</v>
      </c>
      <c r="J276" s="22">
        <v>266</v>
      </c>
      <c r="K276" s="22">
        <v>0.49005100000000001</v>
      </c>
      <c r="L276">
        <f t="shared" si="48"/>
        <v>17.3218</v>
      </c>
      <c r="M276">
        <f t="shared" si="49"/>
        <v>8.4975554259999999</v>
      </c>
      <c r="N276" s="9"/>
      <c r="O276" s="22">
        <v>1.2394700000000001</v>
      </c>
      <c r="P276" s="22">
        <v>184.12299999999999</v>
      </c>
      <c r="Q276" s="22">
        <v>-1.67023E-2</v>
      </c>
      <c r="R276" s="22">
        <v>266</v>
      </c>
      <c r="S276" s="22">
        <v>1.23932</v>
      </c>
      <c r="T276">
        <f t="shared" si="50"/>
        <v>16.702300000000001</v>
      </c>
      <c r="U276">
        <f t="shared" si="51"/>
        <v>20.701999781000001</v>
      </c>
      <c r="X276" s="9"/>
      <c r="Y276" s="22">
        <v>0.49057000000000001</v>
      </c>
      <c r="Z276" s="22">
        <v>240.28</v>
      </c>
      <c r="AA276" s="22">
        <v>-1.7346199999999999E-2</v>
      </c>
      <c r="AB276" s="22">
        <v>266</v>
      </c>
      <c r="AC276" s="22">
        <v>0.49005100000000001</v>
      </c>
      <c r="AD276">
        <f t="shared" si="52"/>
        <v>17.3462</v>
      </c>
      <c r="AE276">
        <f t="shared" si="53"/>
        <v>8.5095253339999992</v>
      </c>
      <c r="AF276" s="9"/>
      <c r="AG276" s="22">
        <v>1.2394700000000001</v>
      </c>
      <c r="AH276" s="22">
        <v>370.95</v>
      </c>
      <c r="AI276" s="22">
        <v>-1.67145E-2</v>
      </c>
      <c r="AJ276" s="22">
        <v>266</v>
      </c>
      <c r="AK276" s="22">
        <v>1.2390099999999999</v>
      </c>
      <c r="AL276">
        <f t="shared" si="54"/>
        <v>16.714500000000001</v>
      </c>
      <c r="AM276">
        <f t="shared" si="55"/>
        <v>20.717121315000004</v>
      </c>
      <c r="AP276" s="9"/>
      <c r="AQ276" s="22">
        <v>0.49057000000000001</v>
      </c>
      <c r="AR276" s="22">
        <v>448.83100000000002</v>
      </c>
      <c r="AS276" s="22">
        <v>-1.7337000000000002E-2</v>
      </c>
      <c r="AT276" s="22">
        <v>266</v>
      </c>
      <c r="AU276" s="22">
        <v>0.489838</v>
      </c>
      <c r="AV276">
        <f t="shared" si="56"/>
        <v>17.337000000000003</v>
      </c>
      <c r="AW276">
        <f t="shared" si="57"/>
        <v>8.505012090000001</v>
      </c>
      <c r="AX276" s="9"/>
      <c r="AY276" s="22">
        <v>1.2394700000000001</v>
      </c>
      <c r="AZ276" s="22">
        <v>499.84500000000003</v>
      </c>
      <c r="BA276" s="22">
        <v>-1.6720599999999999E-2</v>
      </c>
      <c r="BB276" s="22">
        <v>266</v>
      </c>
      <c r="BC276" s="22">
        <v>1.23871</v>
      </c>
      <c r="BD276">
        <f t="shared" si="58"/>
        <v>16.720599999999997</v>
      </c>
      <c r="BE276">
        <f t="shared" si="59"/>
        <v>20.724682081999998</v>
      </c>
    </row>
    <row r="277" spans="6:101">
      <c r="F277" s="9"/>
      <c r="G277" s="22">
        <v>0.48553499999999999</v>
      </c>
      <c r="H277" s="22">
        <v>135.12200000000001</v>
      </c>
      <c r="I277" s="22">
        <v>-1.73279E-2</v>
      </c>
      <c r="J277" s="22">
        <v>267</v>
      </c>
      <c r="K277" s="22">
        <v>0.48483300000000001</v>
      </c>
      <c r="L277">
        <f t="shared" si="48"/>
        <v>17.3279</v>
      </c>
      <c r="M277">
        <f t="shared" si="49"/>
        <v>8.4133019264999991</v>
      </c>
      <c r="N277" s="9"/>
      <c r="O277" s="22">
        <v>1.24451</v>
      </c>
      <c r="P277" s="22">
        <v>184.22399999999999</v>
      </c>
      <c r="Q277" s="22">
        <v>-1.6693099999999999E-2</v>
      </c>
      <c r="R277" s="22">
        <v>267</v>
      </c>
      <c r="S277" s="22">
        <v>1.2439</v>
      </c>
      <c r="T277">
        <f t="shared" si="50"/>
        <v>16.693099999999998</v>
      </c>
      <c r="U277">
        <f t="shared" si="51"/>
        <v>20.774729880999995</v>
      </c>
      <c r="X277" s="9"/>
      <c r="Y277" s="22">
        <v>0.48553499999999999</v>
      </c>
      <c r="Z277" s="22">
        <v>240.38</v>
      </c>
      <c r="AA277" s="22">
        <v>-1.7346199999999999E-2</v>
      </c>
      <c r="AB277" s="22">
        <v>267</v>
      </c>
      <c r="AC277" s="22">
        <v>0.48480200000000001</v>
      </c>
      <c r="AD277">
        <f t="shared" si="52"/>
        <v>17.3462</v>
      </c>
      <c r="AE277">
        <f t="shared" si="53"/>
        <v>8.4221872169999994</v>
      </c>
      <c r="AF277" s="9"/>
      <c r="AG277" s="22">
        <v>1.24451</v>
      </c>
      <c r="AH277" s="22">
        <v>371.05099999999999</v>
      </c>
      <c r="AI277" s="22">
        <v>-1.6711400000000001E-2</v>
      </c>
      <c r="AJ277" s="22">
        <v>267</v>
      </c>
      <c r="AK277" s="22">
        <v>1.24329</v>
      </c>
      <c r="AL277">
        <f t="shared" si="54"/>
        <v>16.711400000000001</v>
      </c>
      <c r="AM277">
        <f t="shared" si="55"/>
        <v>20.797504414000002</v>
      </c>
      <c r="AP277" s="9"/>
      <c r="AQ277" s="22">
        <v>0.48553499999999999</v>
      </c>
      <c r="AR277" s="22">
        <v>448.93200000000002</v>
      </c>
      <c r="AS277" s="22">
        <v>-1.7340100000000001E-2</v>
      </c>
      <c r="AT277" s="22">
        <v>267</v>
      </c>
      <c r="AU277" s="22">
        <v>0.48477199999999998</v>
      </c>
      <c r="AV277">
        <f t="shared" si="56"/>
        <v>17.3401</v>
      </c>
      <c r="AW277">
        <f t="shared" si="57"/>
        <v>8.4192254534999993</v>
      </c>
      <c r="AX277" s="9"/>
      <c r="AY277" s="22">
        <v>1.24451</v>
      </c>
      <c r="AZ277" s="22">
        <v>499.94600000000003</v>
      </c>
      <c r="BA277" s="22">
        <v>-1.67145E-2</v>
      </c>
      <c r="BB277" s="22">
        <v>267</v>
      </c>
      <c r="BC277" s="22">
        <v>1.24359</v>
      </c>
      <c r="BD277">
        <f t="shared" si="58"/>
        <v>16.714500000000001</v>
      </c>
      <c r="BE277">
        <f t="shared" si="59"/>
        <v>20.801362395000002</v>
      </c>
    </row>
    <row r="278" spans="6:101">
      <c r="F278" s="9"/>
      <c r="G278" s="22">
        <v>0.48049900000000001</v>
      </c>
      <c r="H278" s="22">
        <v>135.22300000000001</v>
      </c>
      <c r="I278" s="22">
        <v>-1.73279E-2</v>
      </c>
      <c r="J278" s="22">
        <v>268</v>
      </c>
      <c r="K278" s="22">
        <v>0.47991899999999998</v>
      </c>
      <c r="L278">
        <f t="shared" si="48"/>
        <v>17.3279</v>
      </c>
      <c r="M278">
        <f t="shared" si="49"/>
        <v>8.3260386221000005</v>
      </c>
      <c r="N278" s="9"/>
      <c r="O278" s="22">
        <v>1.2495400000000001</v>
      </c>
      <c r="P278" s="22">
        <v>184.32400000000001</v>
      </c>
      <c r="Q278" s="22">
        <v>-1.6687E-2</v>
      </c>
      <c r="R278" s="22">
        <v>268</v>
      </c>
      <c r="S278" s="22">
        <v>1.24908</v>
      </c>
      <c r="T278">
        <f t="shared" si="50"/>
        <v>16.687000000000001</v>
      </c>
      <c r="U278">
        <f t="shared" si="51"/>
        <v>20.851073980000002</v>
      </c>
      <c r="X278" s="9"/>
      <c r="Y278" s="22">
        <v>0.48049900000000001</v>
      </c>
      <c r="Z278" s="22">
        <v>240.48099999999999</v>
      </c>
      <c r="AA278" s="22">
        <v>-1.7349199999999999E-2</v>
      </c>
      <c r="AB278" s="22">
        <v>268</v>
      </c>
      <c r="AC278" s="22">
        <v>0.479767</v>
      </c>
      <c r="AD278">
        <f t="shared" si="52"/>
        <v>17.3492</v>
      </c>
      <c r="AE278">
        <f t="shared" si="53"/>
        <v>8.3362732507999997</v>
      </c>
      <c r="AF278" s="9"/>
      <c r="AG278" s="22">
        <v>1.2495400000000001</v>
      </c>
      <c r="AH278" s="22">
        <v>371.15100000000001</v>
      </c>
      <c r="AI278" s="22">
        <v>-1.6705299999999999E-2</v>
      </c>
      <c r="AJ278" s="22">
        <v>268</v>
      </c>
      <c r="AK278" s="22">
        <v>1.24817</v>
      </c>
      <c r="AL278">
        <f t="shared" si="54"/>
        <v>16.705299999999998</v>
      </c>
      <c r="AM278">
        <f t="shared" si="55"/>
        <v>20.873940561999998</v>
      </c>
      <c r="AP278" s="9"/>
      <c r="AQ278" s="22">
        <v>0.48049900000000001</v>
      </c>
      <c r="AR278" s="22">
        <v>449.03300000000002</v>
      </c>
      <c r="AS278" s="22">
        <v>-1.7340100000000001E-2</v>
      </c>
      <c r="AT278" s="22">
        <v>268</v>
      </c>
      <c r="AU278" s="22">
        <v>0.479736</v>
      </c>
      <c r="AV278">
        <f t="shared" si="56"/>
        <v>17.3401</v>
      </c>
      <c r="AW278">
        <f t="shared" si="57"/>
        <v>8.3319007098999993</v>
      </c>
      <c r="AX278" s="9"/>
      <c r="AY278" s="22">
        <v>1.2495400000000001</v>
      </c>
      <c r="AZ278" s="22">
        <v>500.04700000000003</v>
      </c>
      <c r="BA278" s="22">
        <v>-1.6711400000000001E-2</v>
      </c>
      <c r="BB278" s="22">
        <v>268</v>
      </c>
      <c r="BC278" s="22">
        <v>1.24786</v>
      </c>
      <c r="BD278">
        <f t="shared" si="58"/>
        <v>16.711400000000001</v>
      </c>
      <c r="BE278">
        <f t="shared" si="59"/>
        <v>20.881562756000005</v>
      </c>
    </row>
    <row r="279" spans="6:101">
      <c r="F279" s="9"/>
      <c r="G279" s="22">
        <v>0.475464</v>
      </c>
      <c r="H279" s="22">
        <v>135.32300000000001</v>
      </c>
      <c r="I279" s="22">
        <v>-1.73309E-2</v>
      </c>
      <c r="J279" s="22">
        <v>269</v>
      </c>
      <c r="K279" s="22">
        <v>0.47470099999999998</v>
      </c>
      <c r="L279">
        <f t="shared" si="48"/>
        <v>17.3309</v>
      </c>
      <c r="M279">
        <f t="shared" si="49"/>
        <v>8.2402190375999993</v>
      </c>
      <c r="N279" s="9"/>
      <c r="O279" s="22">
        <v>1.25458</v>
      </c>
      <c r="P279" s="22">
        <v>184.42500000000001</v>
      </c>
      <c r="Q279" s="22">
        <v>-1.6680899999999999E-2</v>
      </c>
      <c r="R279" s="22">
        <v>269</v>
      </c>
      <c r="S279" s="22">
        <v>1.25397</v>
      </c>
      <c r="T279">
        <f t="shared" si="50"/>
        <v>16.680899999999998</v>
      </c>
      <c r="U279">
        <f t="shared" si="51"/>
        <v>20.927523521999998</v>
      </c>
      <c r="X279" s="9"/>
      <c r="Y279" s="22">
        <v>0.475464</v>
      </c>
      <c r="Z279" s="22">
        <v>240.58199999999999</v>
      </c>
      <c r="AA279" s="22">
        <v>-1.7355300000000001E-2</v>
      </c>
      <c r="AB279" s="22">
        <v>269</v>
      </c>
      <c r="AC279" s="22">
        <v>0.47470099999999998</v>
      </c>
      <c r="AD279">
        <f t="shared" si="52"/>
        <v>17.3553</v>
      </c>
      <c r="AE279">
        <f t="shared" si="53"/>
        <v>8.2518203591999999</v>
      </c>
      <c r="AF279" s="9"/>
      <c r="AG279" s="22">
        <v>1.25458</v>
      </c>
      <c r="AH279" s="22">
        <v>371.25200000000001</v>
      </c>
      <c r="AI279" s="22">
        <v>-1.6699200000000001E-2</v>
      </c>
      <c r="AJ279" s="22">
        <v>269</v>
      </c>
      <c r="AK279" s="22">
        <v>1.25366</v>
      </c>
      <c r="AL279">
        <f t="shared" si="54"/>
        <v>16.699200000000001</v>
      </c>
      <c r="AM279">
        <f t="shared" si="55"/>
        <v>20.950482336</v>
      </c>
      <c r="AP279" s="9"/>
      <c r="AQ279" s="22">
        <v>0.475464</v>
      </c>
      <c r="AR279" s="22">
        <v>449.13299999999998</v>
      </c>
      <c r="AS279" s="22">
        <v>-1.73431E-2</v>
      </c>
      <c r="AT279" s="22">
        <v>269</v>
      </c>
      <c r="AU279" s="22">
        <v>0.47488399999999997</v>
      </c>
      <c r="AV279">
        <f t="shared" si="56"/>
        <v>17.3431</v>
      </c>
      <c r="AW279">
        <f t="shared" si="57"/>
        <v>8.2460196983999996</v>
      </c>
      <c r="AX279" s="9"/>
      <c r="AY279" s="22">
        <v>1.25458</v>
      </c>
      <c r="AZ279" s="22">
        <v>500.14699999999999</v>
      </c>
      <c r="BA279" s="22">
        <v>-1.6705299999999999E-2</v>
      </c>
      <c r="BB279" s="22">
        <v>269</v>
      </c>
      <c r="BC279" s="22">
        <v>1.25305</v>
      </c>
      <c r="BD279">
        <f t="shared" si="58"/>
        <v>16.705299999999998</v>
      </c>
      <c r="BE279">
        <f t="shared" si="59"/>
        <v>20.958135273999996</v>
      </c>
    </row>
    <row r="280" spans="6:101">
      <c r="F280" s="9"/>
      <c r="G280" s="22">
        <v>0.47042800000000001</v>
      </c>
      <c r="H280" s="22">
        <v>135.42400000000001</v>
      </c>
      <c r="I280" s="22">
        <v>-1.73309E-2</v>
      </c>
      <c r="J280" s="22">
        <v>270</v>
      </c>
      <c r="K280" s="22">
        <v>0.46963500000000002</v>
      </c>
      <c r="L280">
        <f t="shared" si="48"/>
        <v>17.3309</v>
      </c>
      <c r="M280">
        <f t="shared" si="49"/>
        <v>8.1529406251999994</v>
      </c>
      <c r="N280" s="9"/>
      <c r="O280" s="22">
        <v>1.2596099999999999</v>
      </c>
      <c r="P280" s="22">
        <v>184.52600000000001</v>
      </c>
      <c r="Q280" s="22">
        <v>-1.66748E-2</v>
      </c>
      <c r="R280" s="22">
        <v>270</v>
      </c>
      <c r="S280" s="22">
        <v>1.25824</v>
      </c>
      <c r="T280">
        <f t="shared" si="50"/>
        <v>16.674800000000001</v>
      </c>
      <c r="U280">
        <f t="shared" si="51"/>
        <v>21.003744827999999</v>
      </c>
      <c r="X280" s="9"/>
      <c r="Y280" s="22">
        <v>0.47042800000000001</v>
      </c>
      <c r="Z280" s="22">
        <v>240.68299999999999</v>
      </c>
      <c r="AA280" s="22">
        <v>-1.73584E-2</v>
      </c>
      <c r="AB280" s="22">
        <v>270</v>
      </c>
      <c r="AC280" s="22">
        <v>0.46975699999999998</v>
      </c>
      <c r="AD280">
        <f t="shared" si="52"/>
        <v>17.3584</v>
      </c>
      <c r="AE280">
        <f t="shared" si="53"/>
        <v>8.1658773952000008</v>
      </c>
      <c r="AF280" s="9"/>
      <c r="AG280" s="22">
        <v>1.2596099999999999</v>
      </c>
      <c r="AH280" s="22">
        <v>371.35300000000001</v>
      </c>
      <c r="AI280" s="22">
        <v>-1.6687E-2</v>
      </c>
      <c r="AJ280" s="22">
        <v>270</v>
      </c>
      <c r="AK280" s="22">
        <v>1.25885</v>
      </c>
      <c r="AL280">
        <f t="shared" si="54"/>
        <v>16.687000000000001</v>
      </c>
      <c r="AM280">
        <f t="shared" si="55"/>
        <v>21.019112069999998</v>
      </c>
      <c r="AP280" s="9"/>
      <c r="AQ280" s="22">
        <v>0.47042800000000001</v>
      </c>
      <c r="AR280" s="22">
        <v>449.23399999999998</v>
      </c>
      <c r="AS280" s="22">
        <v>-1.7349199999999999E-2</v>
      </c>
      <c r="AT280" s="22">
        <v>270</v>
      </c>
      <c r="AU280" s="22">
        <v>0.46978799999999998</v>
      </c>
      <c r="AV280">
        <f t="shared" si="56"/>
        <v>17.3492</v>
      </c>
      <c r="AW280">
        <f t="shared" si="57"/>
        <v>8.1615494575999996</v>
      </c>
      <c r="AX280" s="9"/>
      <c r="AY280" s="22">
        <v>1.2596099999999999</v>
      </c>
      <c r="AZ280" s="22">
        <v>500.24799999999999</v>
      </c>
      <c r="BA280" s="22">
        <v>-1.6696200000000001E-2</v>
      </c>
      <c r="BB280" s="22">
        <v>270</v>
      </c>
      <c r="BC280" s="22">
        <v>1.2591600000000001</v>
      </c>
      <c r="BD280">
        <f t="shared" si="58"/>
        <v>16.696200000000001</v>
      </c>
      <c r="BE280">
        <f t="shared" si="59"/>
        <v>21.030700482</v>
      </c>
    </row>
    <row r="281" spans="6:101">
      <c r="F281" s="9"/>
      <c r="G281" s="22">
        <v>0.465393</v>
      </c>
      <c r="H281" s="22">
        <v>135.52500000000001</v>
      </c>
      <c r="I281" s="22">
        <v>-1.7337000000000002E-2</v>
      </c>
      <c r="J281" s="22">
        <v>271</v>
      </c>
      <c r="K281" s="22">
        <v>0.46456900000000001</v>
      </c>
      <c r="L281">
        <f t="shared" si="48"/>
        <v>17.337000000000003</v>
      </c>
      <c r="M281">
        <f t="shared" si="49"/>
        <v>8.0685184410000019</v>
      </c>
      <c r="N281" s="9"/>
      <c r="O281" s="22">
        <v>1.2646500000000001</v>
      </c>
      <c r="P281" s="22">
        <v>184.626</v>
      </c>
      <c r="Q281" s="22">
        <v>-1.6668700000000002E-2</v>
      </c>
      <c r="R281" s="22">
        <v>271</v>
      </c>
      <c r="S281" s="22">
        <v>1.26373</v>
      </c>
      <c r="T281">
        <f t="shared" si="50"/>
        <v>16.668700000000001</v>
      </c>
      <c r="U281">
        <f t="shared" si="51"/>
        <v>21.080071455000002</v>
      </c>
      <c r="X281" s="9"/>
      <c r="Y281" s="22">
        <v>0.465393</v>
      </c>
      <c r="Z281" s="22">
        <v>240.78299999999999</v>
      </c>
      <c r="AA281" s="22">
        <v>-1.7361499999999998E-2</v>
      </c>
      <c r="AB281" s="22">
        <v>271</v>
      </c>
      <c r="AC281" s="22">
        <v>0.46469100000000002</v>
      </c>
      <c r="AD281">
        <f t="shared" si="52"/>
        <v>17.361499999999999</v>
      </c>
      <c r="AE281">
        <f t="shared" si="53"/>
        <v>8.0799205695000005</v>
      </c>
      <c r="AF281" s="9"/>
      <c r="AG281" s="22">
        <v>1.2646500000000001</v>
      </c>
      <c r="AH281" s="22">
        <v>371.45400000000001</v>
      </c>
      <c r="AI281" s="22">
        <v>-1.6687E-2</v>
      </c>
      <c r="AJ281" s="22">
        <v>271</v>
      </c>
      <c r="AK281" s="22">
        <v>1.2634300000000001</v>
      </c>
      <c r="AL281">
        <f t="shared" si="54"/>
        <v>16.687000000000001</v>
      </c>
      <c r="AM281">
        <f t="shared" si="55"/>
        <v>21.103214550000001</v>
      </c>
      <c r="AP281" s="9"/>
      <c r="AQ281" s="22">
        <v>0.465393</v>
      </c>
      <c r="AR281" s="22">
        <v>449.33499999999998</v>
      </c>
      <c r="AS281" s="22">
        <v>-1.7352300000000001E-2</v>
      </c>
      <c r="AT281" s="22">
        <v>271</v>
      </c>
      <c r="AU281" s="22">
        <v>0.46462999999999999</v>
      </c>
      <c r="AV281">
        <f t="shared" si="56"/>
        <v>17.3523</v>
      </c>
      <c r="AW281">
        <f t="shared" si="57"/>
        <v>8.0756389539000004</v>
      </c>
      <c r="AX281" s="9"/>
      <c r="AY281" s="22">
        <v>1.2646500000000001</v>
      </c>
      <c r="AZ281" s="22">
        <v>500.34899999999999</v>
      </c>
      <c r="BA281" s="22">
        <v>-1.6696200000000001E-2</v>
      </c>
      <c r="BB281" s="22">
        <v>271</v>
      </c>
      <c r="BC281" s="22">
        <v>1.26434</v>
      </c>
      <c r="BD281">
        <f t="shared" si="58"/>
        <v>16.696200000000001</v>
      </c>
      <c r="BE281">
        <f t="shared" si="59"/>
        <v>21.114849330000002</v>
      </c>
    </row>
    <row r="282" spans="6:101">
      <c r="F282" s="9"/>
      <c r="G282" s="22">
        <v>0.46035799999999999</v>
      </c>
      <c r="H282" s="22">
        <v>135.625</v>
      </c>
      <c r="I282" s="22">
        <v>-1.7337000000000002E-2</v>
      </c>
      <c r="J282" s="22">
        <v>272</v>
      </c>
      <c r="K282" s="22">
        <v>0.45965600000000001</v>
      </c>
      <c r="L282">
        <f t="shared" si="48"/>
        <v>17.337000000000003</v>
      </c>
      <c r="M282">
        <f t="shared" si="49"/>
        <v>7.9812266460000014</v>
      </c>
      <c r="N282" s="9"/>
      <c r="O282" s="22">
        <v>1.2696799999999999</v>
      </c>
      <c r="P282" s="22">
        <v>184.727</v>
      </c>
      <c r="Q282" s="22">
        <v>-1.6656500000000001E-2</v>
      </c>
      <c r="R282" s="22">
        <v>272</v>
      </c>
      <c r="S282" s="22">
        <v>1.2686200000000001</v>
      </c>
      <c r="T282">
        <f t="shared" si="50"/>
        <v>16.656500000000001</v>
      </c>
      <c r="U282">
        <f t="shared" si="51"/>
        <v>21.14842492</v>
      </c>
      <c r="X282" s="9"/>
      <c r="Y282" s="22">
        <v>0.46035799999999999</v>
      </c>
      <c r="Z282" s="22">
        <v>240.88399999999999</v>
      </c>
      <c r="AA282" s="22">
        <v>-1.7364500000000001E-2</v>
      </c>
      <c r="AB282" s="22">
        <v>272</v>
      </c>
      <c r="AC282" s="22">
        <v>0.45971699999999999</v>
      </c>
      <c r="AD282">
        <f t="shared" si="52"/>
        <v>17.364500000000003</v>
      </c>
      <c r="AE282">
        <f t="shared" si="53"/>
        <v>7.9938864910000014</v>
      </c>
      <c r="AF282" s="9"/>
      <c r="AG282" s="22">
        <v>1.2696799999999999</v>
      </c>
      <c r="AH282" s="22">
        <v>371.55399999999997</v>
      </c>
      <c r="AI282" s="22">
        <v>-1.6680899999999999E-2</v>
      </c>
      <c r="AJ282" s="22">
        <v>272</v>
      </c>
      <c r="AK282" s="22">
        <v>1.2692300000000001</v>
      </c>
      <c r="AL282">
        <f t="shared" si="54"/>
        <v>16.680899999999998</v>
      </c>
      <c r="AM282">
        <f t="shared" si="55"/>
        <v>21.179405111999994</v>
      </c>
      <c r="AP282" s="9"/>
      <c r="AQ282" s="22">
        <v>0.46035799999999999</v>
      </c>
      <c r="AR282" s="22">
        <v>449.43599999999998</v>
      </c>
      <c r="AS282" s="22">
        <v>-1.73584E-2</v>
      </c>
      <c r="AT282" s="22">
        <v>272</v>
      </c>
      <c r="AU282" s="22">
        <v>0.45959499999999998</v>
      </c>
      <c r="AV282">
        <f t="shared" si="56"/>
        <v>17.3584</v>
      </c>
      <c r="AW282">
        <f t="shared" si="57"/>
        <v>7.9910783071999996</v>
      </c>
      <c r="AX282" s="9"/>
      <c r="AY282" s="22">
        <v>1.2696799999999999</v>
      </c>
      <c r="AZ282" s="22">
        <v>500.44900000000001</v>
      </c>
      <c r="BA282" s="22">
        <v>-1.6687E-2</v>
      </c>
      <c r="BB282" s="22">
        <v>272</v>
      </c>
      <c r="BC282" s="22">
        <v>1.26892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0.455322</v>
      </c>
      <c r="H283" s="22">
        <v>135.726</v>
      </c>
      <c r="I283" s="22">
        <v>-1.73431E-2</v>
      </c>
      <c r="J283" s="22">
        <v>273</v>
      </c>
      <c r="K283" s="22">
        <v>0.45471200000000001</v>
      </c>
      <c r="L283">
        <f t="shared" si="48"/>
        <v>17.3431</v>
      </c>
      <c r="M283">
        <f t="shared" si="49"/>
        <v>7.8966949782000002</v>
      </c>
      <c r="N283" s="9"/>
      <c r="O283" s="22">
        <v>1.2747200000000001</v>
      </c>
      <c r="P283" s="22">
        <v>184.828</v>
      </c>
      <c r="Q283" s="22">
        <v>-1.6653399999999999E-2</v>
      </c>
      <c r="R283" s="22">
        <v>273</v>
      </c>
      <c r="S283" s="22">
        <v>1.2735000000000001</v>
      </c>
      <c r="T283">
        <f t="shared" si="50"/>
        <v>16.653399999999998</v>
      </c>
      <c r="U283">
        <f t="shared" si="51"/>
        <v>21.228422047999999</v>
      </c>
      <c r="X283" s="9"/>
      <c r="Y283" s="22">
        <v>0.455322</v>
      </c>
      <c r="Z283" s="22">
        <v>240.98500000000001</v>
      </c>
      <c r="AA283" s="22">
        <v>-1.7364500000000001E-2</v>
      </c>
      <c r="AB283" s="22">
        <v>273</v>
      </c>
      <c r="AC283" s="22">
        <v>0.45458999999999999</v>
      </c>
      <c r="AD283">
        <f t="shared" si="52"/>
        <v>17.364500000000003</v>
      </c>
      <c r="AE283">
        <f t="shared" si="53"/>
        <v>7.9064388690000014</v>
      </c>
      <c r="AF283" s="9"/>
      <c r="AG283" s="22">
        <v>1.2747200000000001</v>
      </c>
      <c r="AH283" s="22">
        <v>371.65499999999997</v>
      </c>
      <c r="AI283" s="22">
        <v>-1.6668700000000002E-2</v>
      </c>
      <c r="AJ283" s="22">
        <v>273</v>
      </c>
      <c r="AK283" s="22">
        <v>1.2741100000000001</v>
      </c>
      <c r="AL283">
        <f t="shared" si="54"/>
        <v>16.668700000000001</v>
      </c>
      <c r="AM283">
        <f t="shared" si="55"/>
        <v>21.247925264000003</v>
      </c>
      <c r="AP283" s="9"/>
      <c r="AQ283" s="22">
        <v>0.455322</v>
      </c>
      <c r="AR283" s="22">
        <v>449.536</v>
      </c>
      <c r="AS283" s="22">
        <v>-1.7361499999999998E-2</v>
      </c>
      <c r="AT283" s="22">
        <v>273</v>
      </c>
      <c r="AU283" s="22">
        <v>0.45452900000000002</v>
      </c>
      <c r="AV283">
        <f t="shared" si="56"/>
        <v>17.361499999999999</v>
      </c>
      <c r="AW283">
        <f t="shared" si="57"/>
        <v>7.9050729029999998</v>
      </c>
      <c r="AX283" s="9"/>
      <c r="AY283" s="22">
        <v>1.2747200000000001</v>
      </c>
      <c r="AZ283" s="22">
        <v>500.55</v>
      </c>
      <c r="BA283" s="22">
        <v>-1.6680899999999999E-2</v>
      </c>
      <c r="BB283" s="22">
        <v>273</v>
      </c>
      <c r="BC283" s="22">
        <v>1.2747200000000001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0.45028699999999999</v>
      </c>
      <c r="H284" s="22">
        <v>135.827</v>
      </c>
      <c r="I284" s="22">
        <v>-1.7346199999999999E-2</v>
      </c>
      <c r="J284" s="22">
        <v>274</v>
      </c>
      <c r="K284" s="22">
        <v>0.44940200000000002</v>
      </c>
      <c r="L284">
        <f t="shared" si="48"/>
        <v>17.3462</v>
      </c>
      <c r="M284">
        <f t="shared" si="49"/>
        <v>7.8107683593999999</v>
      </c>
      <c r="N284" s="9"/>
      <c r="O284" s="22">
        <v>1.2797499999999999</v>
      </c>
      <c r="P284" s="22">
        <v>184.929</v>
      </c>
      <c r="Q284" s="22">
        <v>-1.66473E-2</v>
      </c>
      <c r="R284" s="22">
        <v>274</v>
      </c>
      <c r="S284" s="22">
        <v>1.2786900000000001</v>
      </c>
      <c r="T284">
        <f t="shared" si="50"/>
        <v>16.647300000000001</v>
      </c>
      <c r="U284">
        <f t="shared" si="51"/>
        <v>21.304382175000001</v>
      </c>
      <c r="X284" s="9"/>
      <c r="Y284" s="22">
        <v>0.45028699999999999</v>
      </c>
      <c r="Z284" s="22">
        <v>241.08500000000001</v>
      </c>
      <c r="AA284" s="22">
        <v>-1.73706E-2</v>
      </c>
      <c r="AB284" s="22">
        <v>274</v>
      </c>
      <c r="AC284" s="22">
        <v>0.44955400000000001</v>
      </c>
      <c r="AD284">
        <f t="shared" si="52"/>
        <v>17.3706</v>
      </c>
      <c r="AE284">
        <f t="shared" si="53"/>
        <v>7.8217553621999993</v>
      </c>
      <c r="AF284" s="9"/>
      <c r="AG284" s="22">
        <v>1.2797499999999999</v>
      </c>
      <c r="AH284" s="22">
        <v>371.75599999999997</v>
      </c>
      <c r="AI284" s="22">
        <v>-1.6665599999999999E-2</v>
      </c>
      <c r="AJ284" s="22">
        <v>274</v>
      </c>
      <c r="AK284" s="22">
        <v>1.2789900000000001</v>
      </c>
      <c r="AL284">
        <f t="shared" si="54"/>
        <v>16.665599999999998</v>
      </c>
      <c r="AM284">
        <f t="shared" si="55"/>
        <v>21.327801599999997</v>
      </c>
      <c r="AP284" s="9"/>
      <c r="AQ284" s="22">
        <v>0.45028699999999999</v>
      </c>
      <c r="AR284" s="22">
        <v>449.637</v>
      </c>
      <c r="AS284" s="22">
        <v>-1.7361499999999998E-2</v>
      </c>
      <c r="AT284" s="22">
        <v>274</v>
      </c>
      <c r="AU284" s="22">
        <v>0.44952399999999998</v>
      </c>
      <c r="AV284">
        <f t="shared" si="56"/>
        <v>17.361499999999999</v>
      </c>
      <c r="AW284">
        <f t="shared" si="57"/>
        <v>7.8176577504999996</v>
      </c>
      <c r="AX284" s="9"/>
      <c r="AY284" s="22">
        <v>1.2797499999999999</v>
      </c>
      <c r="AZ284" s="22">
        <v>500.65100000000001</v>
      </c>
      <c r="BA284" s="22">
        <v>-1.66748E-2</v>
      </c>
      <c r="BB284" s="22">
        <v>274</v>
      </c>
      <c r="BC284" s="22">
        <v>1.2786900000000001</v>
      </c>
      <c r="BD284">
        <f t="shared" si="58"/>
        <v>16.674800000000001</v>
      </c>
      <c r="BE284">
        <f t="shared" si="59"/>
        <v>21.3395753</v>
      </c>
    </row>
    <row r="285" spans="6:101">
      <c r="F285" s="9"/>
      <c r="G285" s="22">
        <v>0.44525100000000001</v>
      </c>
      <c r="H285" s="22">
        <v>135.928</v>
      </c>
      <c r="I285" s="22">
        <v>-1.7346199999999999E-2</v>
      </c>
      <c r="J285" s="22">
        <v>275</v>
      </c>
      <c r="K285" s="22">
        <v>0.444519</v>
      </c>
      <c r="L285">
        <f t="shared" si="48"/>
        <v>17.3462</v>
      </c>
      <c r="M285">
        <f t="shared" si="49"/>
        <v>7.7234128962000002</v>
      </c>
      <c r="N285" s="9"/>
      <c r="O285" s="22">
        <v>1.2847900000000001</v>
      </c>
      <c r="P285" s="22">
        <v>185.029</v>
      </c>
      <c r="Q285" s="22">
        <v>-1.6638199999999999E-2</v>
      </c>
      <c r="R285" s="22">
        <v>275</v>
      </c>
      <c r="S285" s="22">
        <v>1.2841800000000001</v>
      </c>
      <c r="T285">
        <f t="shared" si="50"/>
        <v>16.638199999999998</v>
      </c>
      <c r="U285">
        <f t="shared" si="51"/>
        <v>21.376592977999998</v>
      </c>
      <c r="X285" s="9"/>
      <c r="Y285" s="22">
        <v>0.44525100000000001</v>
      </c>
      <c r="Z285" s="22">
        <v>241.18600000000001</v>
      </c>
      <c r="AA285" s="22">
        <v>-1.7376699999999998E-2</v>
      </c>
      <c r="AB285" s="22">
        <v>275</v>
      </c>
      <c r="AC285" s="22">
        <v>0.44448900000000002</v>
      </c>
      <c r="AD285">
        <f t="shared" si="52"/>
        <v>17.3767</v>
      </c>
      <c r="AE285">
        <f t="shared" si="53"/>
        <v>7.7369930516999998</v>
      </c>
      <c r="AF285" s="9"/>
      <c r="AG285" s="22">
        <v>1.2847900000000001</v>
      </c>
      <c r="AH285" s="22">
        <v>371.85599999999999</v>
      </c>
      <c r="AI285" s="22">
        <v>-1.6659500000000001E-2</v>
      </c>
      <c r="AJ285" s="22">
        <v>275</v>
      </c>
      <c r="AK285" s="22">
        <v>1.2838700000000001</v>
      </c>
      <c r="AL285">
        <f t="shared" si="54"/>
        <v>16.659500000000001</v>
      </c>
      <c r="AM285">
        <f t="shared" si="55"/>
        <v>21.403959005000004</v>
      </c>
      <c r="AP285" s="9"/>
      <c r="AQ285" s="22">
        <v>0.44525100000000001</v>
      </c>
      <c r="AR285" s="22">
        <v>449.738</v>
      </c>
      <c r="AS285" s="22">
        <v>-1.7364500000000001E-2</v>
      </c>
      <c r="AT285" s="22">
        <v>275</v>
      </c>
      <c r="AU285" s="22">
        <v>0.44467200000000001</v>
      </c>
      <c r="AV285">
        <f t="shared" si="56"/>
        <v>17.364500000000003</v>
      </c>
      <c r="AW285">
        <f t="shared" si="57"/>
        <v>7.7315609895000019</v>
      </c>
      <c r="AX285" s="9"/>
      <c r="AY285" s="22">
        <v>1.2847900000000001</v>
      </c>
      <c r="AZ285" s="22">
        <v>500.75099999999998</v>
      </c>
      <c r="BA285" s="22">
        <v>-1.6668700000000002E-2</v>
      </c>
      <c r="BB285" s="22">
        <v>275</v>
      </c>
      <c r="BC285" s="22">
        <v>1.2838700000000001</v>
      </c>
      <c r="BD285">
        <f t="shared" si="58"/>
        <v>16.668700000000001</v>
      </c>
      <c r="BE285">
        <f t="shared" si="59"/>
        <v>21.415779073000003</v>
      </c>
    </row>
    <row r="286" spans="6:101">
      <c r="F286" s="9"/>
      <c r="G286" s="22">
        <v>0.440216</v>
      </c>
      <c r="H286" s="22">
        <v>136.02799999999999</v>
      </c>
      <c r="I286" s="22">
        <v>-1.7352300000000001E-2</v>
      </c>
      <c r="J286" s="22">
        <v>276</v>
      </c>
      <c r="K286" s="22">
        <v>0.43954500000000002</v>
      </c>
      <c r="L286">
        <f t="shared" si="48"/>
        <v>17.3523</v>
      </c>
      <c r="M286">
        <f t="shared" si="49"/>
        <v>7.6387600967999996</v>
      </c>
      <c r="N286" s="9"/>
      <c r="O286" s="22">
        <v>1.28983</v>
      </c>
      <c r="P286" s="22">
        <v>185.13</v>
      </c>
      <c r="Q286" s="22">
        <v>-1.6638199999999999E-2</v>
      </c>
      <c r="R286" s="22">
        <v>276</v>
      </c>
      <c r="S286" s="22">
        <v>1.2893699999999999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241.28700000000001</v>
      </c>
      <c r="AA286" s="22">
        <v>-1.7379800000000001E-2</v>
      </c>
      <c r="AB286" s="22">
        <v>276</v>
      </c>
      <c r="AC286" s="22">
        <v>0.43933100000000003</v>
      </c>
      <c r="AD286">
        <f t="shared" si="52"/>
        <v>17.379799999999999</v>
      </c>
      <c r="AE286">
        <f t="shared" si="53"/>
        <v>7.6508660368000001</v>
      </c>
      <c r="AF286" s="9"/>
      <c r="AG286" s="22">
        <v>1.28983</v>
      </c>
      <c r="AH286" s="22">
        <v>371.95699999999999</v>
      </c>
      <c r="AI286" s="22">
        <v>-1.6650399999999999E-2</v>
      </c>
      <c r="AJ286" s="22">
        <v>276</v>
      </c>
      <c r="AK286" s="22">
        <v>1.2890600000000001</v>
      </c>
      <c r="AL286">
        <f t="shared" si="54"/>
        <v>16.650399999999998</v>
      </c>
      <c r="AM286">
        <f t="shared" si="55"/>
        <v>21.476185431999998</v>
      </c>
      <c r="AP286" s="9"/>
      <c r="AQ286" s="22">
        <v>0.440216</v>
      </c>
      <c r="AR286" s="22">
        <v>449.83800000000002</v>
      </c>
      <c r="AS286" s="22">
        <v>-1.73676E-2</v>
      </c>
      <c r="AT286" s="22">
        <v>276</v>
      </c>
      <c r="AU286" s="22">
        <v>0.439697</v>
      </c>
      <c r="AV286">
        <f t="shared" si="56"/>
        <v>17.367599999999999</v>
      </c>
      <c r="AW286">
        <f t="shared" si="57"/>
        <v>7.6454954015999999</v>
      </c>
      <c r="AX286" s="9"/>
      <c r="AY286" s="22">
        <v>1.28983</v>
      </c>
      <c r="AZ286" s="22">
        <v>500.85199999999998</v>
      </c>
      <c r="BA286" s="22">
        <v>-1.6668700000000002E-2</v>
      </c>
      <c r="BB286" s="22">
        <v>276</v>
      </c>
      <c r="BC286" s="22">
        <v>1.2890600000000001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0.43518099999999998</v>
      </c>
      <c r="H287" s="22">
        <v>136.12899999999999</v>
      </c>
      <c r="I287" s="22">
        <v>-1.7355300000000001E-2</v>
      </c>
      <c r="J287" s="22">
        <v>277</v>
      </c>
      <c r="K287" s="22">
        <v>0.434479</v>
      </c>
      <c r="L287">
        <f t="shared" si="48"/>
        <v>17.3553</v>
      </c>
      <c r="M287">
        <f t="shared" si="49"/>
        <v>7.5526968092999995</v>
      </c>
      <c r="N287" s="9"/>
      <c r="O287" s="22">
        <v>1.2948599999999999</v>
      </c>
      <c r="P287" s="22">
        <v>185.23099999999999</v>
      </c>
      <c r="Q287" s="22">
        <v>-1.6622899999999999E-2</v>
      </c>
      <c r="R287" s="22">
        <v>277</v>
      </c>
      <c r="S287" s="22">
        <v>1.2939499999999999</v>
      </c>
      <c r="T287">
        <f t="shared" si="50"/>
        <v>16.622899999999998</v>
      </c>
      <c r="U287">
        <f t="shared" si="51"/>
        <v>21.524328293999996</v>
      </c>
      <c r="X287" s="9"/>
      <c r="Y287" s="22">
        <v>0.43518099999999998</v>
      </c>
      <c r="Z287" s="22">
        <v>241.38800000000001</v>
      </c>
      <c r="AA287" s="22">
        <v>-1.7379800000000001E-2</v>
      </c>
      <c r="AB287" s="22">
        <v>277</v>
      </c>
      <c r="AC287" s="22">
        <v>0.43438700000000002</v>
      </c>
      <c r="AD287">
        <f t="shared" si="52"/>
        <v>17.379799999999999</v>
      </c>
      <c r="AE287">
        <f t="shared" si="53"/>
        <v>7.5633587437999994</v>
      </c>
      <c r="AF287" s="9"/>
      <c r="AG287" s="22">
        <v>1.2948599999999999</v>
      </c>
      <c r="AH287" s="22">
        <v>372.05799999999999</v>
      </c>
      <c r="AI287" s="22">
        <v>-1.66473E-2</v>
      </c>
      <c r="AJ287" s="22">
        <v>277</v>
      </c>
      <c r="AK287" s="22">
        <v>1.2945599999999999</v>
      </c>
      <c r="AL287">
        <f t="shared" si="54"/>
        <v>16.647300000000001</v>
      </c>
      <c r="AM287">
        <f t="shared" si="55"/>
        <v>21.555922878000001</v>
      </c>
      <c r="AP287" s="9"/>
      <c r="AQ287" s="22">
        <v>0.43518099999999998</v>
      </c>
      <c r="AR287" s="22">
        <v>449.93900000000002</v>
      </c>
      <c r="AS287" s="22">
        <v>-1.73706E-2</v>
      </c>
      <c r="AT287" s="22">
        <v>277</v>
      </c>
      <c r="AU287" s="22">
        <v>0.43450899999999998</v>
      </c>
      <c r="AV287">
        <f t="shared" si="56"/>
        <v>17.3706</v>
      </c>
      <c r="AW287">
        <f t="shared" si="57"/>
        <v>7.5593550785999994</v>
      </c>
      <c r="AX287" s="9"/>
      <c r="AY287" s="22">
        <v>1.2948599999999999</v>
      </c>
      <c r="AZ287" s="22">
        <v>500.95299999999997</v>
      </c>
      <c r="BA287" s="22">
        <v>-1.6659500000000001E-2</v>
      </c>
      <c r="BB287" s="22">
        <v>277</v>
      </c>
      <c r="BC287" s="22">
        <v>1.2945599999999999</v>
      </c>
      <c r="BD287">
        <f t="shared" si="58"/>
        <v>16.659500000000001</v>
      </c>
      <c r="BE287">
        <f t="shared" si="59"/>
        <v>21.571720169999999</v>
      </c>
    </row>
    <row r="288" spans="6:101">
      <c r="F288" s="9"/>
      <c r="G288" s="22">
        <v>0.430145</v>
      </c>
      <c r="H288" s="22">
        <v>136.22999999999999</v>
      </c>
      <c r="I288" s="22">
        <v>-1.7361499999999998E-2</v>
      </c>
      <c r="J288" s="22">
        <v>278</v>
      </c>
      <c r="K288" s="22">
        <v>0.42938199999999999</v>
      </c>
      <c r="L288">
        <f t="shared" si="48"/>
        <v>17.361499999999999</v>
      </c>
      <c r="M288">
        <f t="shared" si="49"/>
        <v>7.4679624174999999</v>
      </c>
      <c r="N288" s="9"/>
      <c r="O288" s="22">
        <v>1.2999000000000001</v>
      </c>
      <c r="P288" s="22">
        <v>185.33099999999999</v>
      </c>
      <c r="Q288" s="22">
        <v>-1.6613800000000001E-2</v>
      </c>
      <c r="R288" s="22">
        <v>278</v>
      </c>
      <c r="S288" s="22">
        <v>1.2991299999999999</v>
      </c>
      <c r="T288">
        <f t="shared" si="50"/>
        <v>16.613800000000001</v>
      </c>
      <c r="U288">
        <f t="shared" si="51"/>
        <v>21.596278620000003</v>
      </c>
      <c r="X288" s="9"/>
      <c r="Y288" s="22">
        <v>0.430145</v>
      </c>
      <c r="Z288" s="22">
        <v>241.488</v>
      </c>
      <c r="AA288" s="22">
        <v>-1.7385899999999999E-2</v>
      </c>
      <c r="AB288" s="22">
        <v>278</v>
      </c>
      <c r="AC288" s="22">
        <v>0.42947400000000002</v>
      </c>
      <c r="AD288">
        <f t="shared" si="52"/>
        <v>17.385899999999999</v>
      </c>
      <c r="AE288">
        <f t="shared" si="53"/>
        <v>7.4784579554999997</v>
      </c>
      <c r="AF288" s="9"/>
      <c r="AG288" s="22">
        <v>1.2999000000000001</v>
      </c>
      <c r="AH288" s="22">
        <v>372.15899999999999</v>
      </c>
      <c r="AI288" s="22">
        <v>-1.6641199999999998E-2</v>
      </c>
      <c r="AJ288" s="22">
        <v>278</v>
      </c>
      <c r="AK288" s="22">
        <v>1.2988299999999999</v>
      </c>
      <c r="AL288">
        <f t="shared" si="54"/>
        <v>16.641199999999998</v>
      </c>
      <c r="AM288">
        <f t="shared" si="55"/>
        <v>21.631895879999998</v>
      </c>
      <c r="AP288" s="9"/>
      <c r="AQ288" s="22">
        <v>0.430145</v>
      </c>
      <c r="AR288" s="22">
        <v>450.04</v>
      </c>
      <c r="AS288" s="22">
        <v>-1.7376699999999998E-2</v>
      </c>
      <c r="AT288" s="22">
        <v>278</v>
      </c>
      <c r="AU288" s="22">
        <v>0.42959599999999998</v>
      </c>
      <c r="AV288">
        <f t="shared" si="56"/>
        <v>17.3767</v>
      </c>
      <c r="AW288">
        <f t="shared" si="57"/>
        <v>7.4745006214999998</v>
      </c>
      <c r="AX288" s="9"/>
      <c r="AY288" s="22">
        <v>1.2999000000000001</v>
      </c>
      <c r="AZ288" s="22">
        <v>501.05399999999997</v>
      </c>
      <c r="BA288" s="22">
        <v>-1.66473E-2</v>
      </c>
      <c r="BB288" s="22">
        <v>278</v>
      </c>
      <c r="BC288" s="22">
        <v>1.2994399999999999</v>
      </c>
      <c r="BD288">
        <f t="shared" si="58"/>
        <v>16.647300000000001</v>
      </c>
      <c r="BE288">
        <f t="shared" si="59"/>
        <v>21.639825270000003</v>
      </c>
    </row>
    <row r="289" spans="6:57">
      <c r="F289" s="9"/>
      <c r="G289" s="22">
        <v>0.42510999999999999</v>
      </c>
      <c r="H289" s="22">
        <v>136.33000000000001</v>
      </c>
      <c r="I289" s="22">
        <v>-1.7361499999999998E-2</v>
      </c>
      <c r="J289" s="22">
        <v>279</v>
      </c>
      <c r="K289" s="22">
        <v>0.42446899999999999</v>
      </c>
      <c r="L289">
        <f t="shared" si="48"/>
        <v>17.361499999999999</v>
      </c>
      <c r="M289">
        <f t="shared" si="49"/>
        <v>7.3805472649999997</v>
      </c>
      <c r="N289" s="9"/>
      <c r="O289" s="22">
        <v>1.3049299999999999</v>
      </c>
      <c r="P289" s="22">
        <v>185.43199999999999</v>
      </c>
      <c r="Q289" s="22">
        <v>-1.6601600000000001E-2</v>
      </c>
      <c r="R289" s="22">
        <v>279</v>
      </c>
      <c r="S289" s="22">
        <v>1.3037099999999999</v>
      </c>
      <c r="T289">
        <f t="shared" si="50"/>
        <v>16.601600000000001</v>
      </c>
      <c r="U289">
        <f t="shared" si="51"/>
        <v>21.663925888000001</v>
      </c>
      <c r="X289" s="9"/>
      <c r="Y289" s="22">
        <v>0.42510999999999999</v>
      </c>
      <c r="Z289" s="22">
        <v>241.589</v>
      </c>
      <c r="AA289" s="22">
        <v>-1.7385899999999999E-2</v>
      </c>
      <c r="AB289" s="22">
        <v>279</v>
      </c>
      <c r="AC289" s="22">
        <v>0.42446899999999999</v>
      </c>
      <c r="AD289">
        <f t="shared" si="52"/>
        <v>17.385899999999999</v>
      </c>
      <c r="AE289">
        <f t="shared" si="53"/>
        <v>7.3909199489999997</v>
      </c>
      <c r="AF289" s="9"/>
      <c r="AG289" s="22">
        <v>1.3049299999999999</v>
      </c>
      <c r="AH289" s="22">
        <v>372.25900000000001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450.14100000000002</v>
      </c>
      <c r="AS289" s="22">
        <v>-1.7379800000000001E-2</v>
      </c>
      <c r="AT289" s="22">
        <v>279</v>
      </c>
      <c r="AU289" s="22">
        <v>0.42431600000000003</v>
      </c>
      <c r="AV289">
        <f t="shared" si="56"/>
        <v>17.379799999999999</v>
      </c>
      <c r="AW289">
        <f t="shared" si="57"/>
        <v>7.3883267779999997</v>
      </c>
      <c r="AX289" s="9"/>
      <c r="AY289" s="22">
        <v>1.3049299999999999</v>
      </c>
      <c r="AZ289" s="22">
        <v>501.154</v>
      </c>
      <c r="BA289" s="22">
        <v>-1.6641199999999998E-2</v>
      </c>
      <c r="BB289" s="22">
        <v>279</v>
      </c>
      <c r="BC289" s="22">
        <v>1.3043199999999999</v>
      </c>
      <c r="BD289">
        <f t="shared" si="58"/>
        <v>16.641199999999998</v>
      </c>
      <c r="BE289">
        <f t="shared" si="59"/>
        <v>21.715601115999995</v>
      </c>
    </row>
    <row r="290" spans="6:57">
      <c r="F290" s="9"/>
      <c r="G290" s="22">
        <v>0.420074</v>
      </c>
      <c r="H290" s="22">
        <v>136.43100000000001</v>
      </c>
      <c r="I290" s="22">
        <v>-1.7361499999999998E-2</v>
      </c>
      <c r="J290" s="22">
        <v>280</v>
      </c>
      <c r="K290" s="22">
        <v>0.41940300000000003</v>
      </c>
      <c r="L290">
        <f t="shared" si="48"/>
        <v>17.361499999999999</v>
      </c>
      <c r="M290">
        <f t="shared" si="49"/>
        <v>7.2931147510000001</v>
      </c>
      <c r="N290" s="9"/>
      <c r="O290" s="22">
        <v>1.3099700000000001</v>
      </c>
      <c r="P290" s="22">
        <v>185.53299999999999</v>
      </c>
      <c r="Q290" s="22">
        <v>-1.6589400000000001E-2</v>
      </c>
      <c r="R290" s="22">
        <v>280</v>
      </c>
      <c r="S290" s="22">
        <v>1.3089</v>
      </c>
      <c r="T290">
        <f t="shared" si="50"/>
        <v>16.589400000000001</v>
      </c>
      <c r="U290">
        <f t="shared" si="51"/>
        <v>21.731616318000004</v>
      </c>
      <c r="X290" s="9"/>
      <c r="Y290" s="22">
        <v>0.420074</v>
      </c>
      <c r="Z290" s="22">
        <v>241.69</v>
      </c>
      <c r="AA290" s="22">
        <v>-1.7388899999999999E-2</v>
      </c>
      <c r="AB290" s="22">
        <v>280</v>
      </c>
      <c r="AC290" s="22">
        <v>0.41940300000000003</v>
      </c>
      <c r="AD290">
        <f t="shared" si="52"/>
        <v>17.3889</v>
      </c>
      <c r="AE290">
        <f t="shared" si="53"/>
        <v>7.3046247786</v>
      </c>
      <c r="AF290" s="9"/>
      <c r="AG290" s="22">
        <v>1.3099700000000001</v>
      </c>
      <c r="AH290" s="22">
        <v>372.36</v>
      </c>
      <c r="AI290" s="22">
        <v>-1.6629000000000001E-2</v>
      </c>
      <c r="AJ290" s="22">
        <v>280</v>
      </c>
      <c r="AK290" s="22">
        <v>1.3089</v>
      </c>
      <c r="AL290">
        <f t="shared" si="54"/>
        <v>16.629000000000001</v>
      </c>
      <c r="AM290">
        <f t="shared" si="55"/>
        <v>21.783491130000002</v>
      </c>
      <c r="AP290" s="9"/>
      <c r="AQ290" s="22">
        <v>0.420074</v>
      </c>
      <c r="AR290" s="22">
        <v>450.24099999999999</v>
      </c>
      <c r="AS290" s="22">
        <v>-1.7379800000000001E-2</v>
      </c>
      <c r="AT290" s="22">
        <v>280</v>
      </c>
      <c r="AU290" s="22">
        <v>0.41934199999999999</v>
      </c>
      <c r="AV290">
        <f t="shared" si="56"/>
        <v>17.379799999999999</v>
      </c>
      <c r="AW290">
        <f t="shared" si="57"/>
        <v>7.3008021051999998</v>
      </c>
      <c r="AX290" s="9"/>
      <c r="AY290" s="22">
        <v>1.3099700000000001</v>
      </c>
      <c r="AZ290" s="22">
        <v>501.255</v>
      </c>
      <c r="BA290" s="22">
        <v>-1.6641199999999998E-2</v>
      </c>
      <c r="BB290" s="22">
        <v>280</v>
      </c>
      <c r="BC290" s="22">
        <v>1.3089</v>
      </c>
      <c r="BD290">
        <f t="shared" si="58"/>
        <v>16.641199999999998</v>
      </c>
      <c r="BE290">
        <f t="shared" si="59"/>
        <v>21.799472763999997</v>
      </c>
    </row>
    <row r="291" spans="6:57">
      <c r="F291" s="9"/>
      <c r="G291" s="22">
        <v>0.41503899999999999</v>
      </c>
      <c r="H291" s="22">
        <v>136.53200000000001</v>
      </c>
      <c r="I291" s="22">
        <v>-1.7364500000000001E-2</v>
      </c>
      <c r="J291" s="22">
        <v>281</v>
      </c>
      <c r="K291" s="22">
        <v>0.41430699999999998</v>
      </c>
      <c r="L291">
        <f t="shared" si="48"/>
        <v>17.364500000000003</v>
      </c>
      <c r="M291">
        <f t="shared" si="49"/>
        <v>7.2069447155000015</v>
      </c>
      <c r="N291" s="9"/>
      <c r="O291" s="22">
        <v>1.3149999999999999</v>
      </c>
      <c r="P291" s="22">
        <v>185.63399999999999</v>
      </c>
      <c r="Q291" s="22">
        <v>-1.6589400000000001E-2</v>
      </c>
      <c r="R291" s="22">
        <v>281</v>
      </c>
      <c r="S291" s="22">
        <v>1.3143899999999999</v>
      </c>
      <c r="T291">
        <f t="shared" si="50"/>
        <v>16.589400000000001</v>
      </c>
      <c r="U291">
        <f t="shared" si="51"/>
        <v>21.815061</v>
      </c>
      <c r="X291" s="9"/>
      <c r="Y291" s="22">
        <v>0.41503899999999999</v>
      </c>
      <c r="Z291" s="22">
        <v>241.79</v>
      </c>
      <c r="AA291" s="22">
        <v>-1.7392000000000001E-2</v>
      </c>
      <c r="AB291" s="22">
        <v>281</v>
      </c>
      <c r="AC291" s="22">
        <v>0.41436800000000001</v>
      </c>
      <c r="AD291">
        <f t="shared" si="52"/>
        <v>17.391999999999999</v>
      </c>
      <c r="AE291">
        <f t="shared" si="53"/>
        <v>7.2183582879999992</v>
      </c>
      <c r="AF291" s="9"/>
      <c r="AG291" s="22">
        <v>1.3149999999999999</v>
      </c>
      <c r="AH291" s="22">
        <v>372.46100000000001</v>
      </c>
      <c r="AI291" s="22">
        <v>-1.6622899999999999E-2</v>
      </c>
      <c r="AJ291" s="22">
        <v>281</v>
      </c>
      <c r="AK291" s="22">
        <v>1.31409</v>
      </c>
      <c r="AL291">
        <f t="shared" si="54"/>
        <v>16.622899999999998</v>
      </c>
      <c r="AM291">
        <f t="shared" si="55"/>
        <v>21.859113499999996</v>
      </c>
      <c r="AP291" s="9"/>
      <c r="AQ291" s="22">
        <v>0.41503899999999999</v>
      </c>
      <c r="AR291" s="22">
        <v>450.34199999999998</v>
      </c>
      <c r="AS291" s="22">
        <v>-1.7385899999999999E-2</v>
      </c>
      <c r="AT291" s="22">
        <v>281</v>
      </c>
      <c r="AU291" s="22">
        <v>0.414246</v>
      </c>
      <c r="AV291">
        <f t="shared" si="56"/>
        <v>17.385899999999999</v>
      </c>
      <c r="AW291">
        <f t="shared" si="57"/>
        <v>7.2158265501000001</v>
      </c>
      <c r="AX291" s="9"/>
      <c r="AY291" s="22">
        <v>1.3149999999999999</v>
      </c>
      <c r="AZ291" s="22">
        <v>501.35599999999999</v>
      </c>
      <c r="BA291" s="22">
        <v>-1.6629000000000001E-2</v>
      </c>
      <c r="BB291" s="22">
        <v>281</v>
      </c>
      <c r="BC291" s="22">
        <v>1.3137799999999999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136.63300000000001</v>
      </c>
      <c r="I292" s="22">
        <v>-1.73676E-2</v>
      </c>
      <c r="J292" s="22">
        <v>282</v>
      </c>
      <c r="K292" s="22">
        <v>0.409302</v>
      </c>
      <c r="L292">
        <f t="shared" si="48"/>
        <v>17.367599999999999</v>
      </c>
      <c r="M292">
        <f t="shared" si="49"/>
        <v>7.1207854703999995</v>
      </c>
      <c r="N292" s="9"/>
      <c r="O292" s="22">
        <v>1.3200400000000001</v>
      </c>
      <c r="P292" s="22">
        <v>185.73400000000001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241.89099999999999</v>
      </c>
      <c r="AA292" s="22">
        <v>-1.7395000000000001E-2</v>
      </c>
      <c r="AB292" s="22">
        <v>282</v>
      </c>
      <c r="AC292" s="22">
        <v>0.40942400000000001</v>
      </c>
      <c r="AD292">
        <f t="shared" si="52"/>
        <v>17.395</v>
      </c>
      <c r="AE292">
        <f t="shared" si="53"/>
        <v>7.1320195799999997</v>
      </c>
      <c r="AF292" s="9"/>
      <c r="AG292" s="22">
        <v>1.3200400000000001</v>
      </c>
      <c r="AH292" s="22">
        <v>372.56099999999998</v>
      </c>
      <c r="AI292" s="22">
        <v>-1.66199E-2</v>
      </c>
      <c r="AJ292" s="22">
        <v>282</v>
      </c>
      <c r="AK292" s="22">
        <v>1.3186599999999999</v>
      </c>
      <c r="AL292">
        <f t="shared" si="54"/>
        <v>16.619900000000001</v>
      </c>
      <c r="AM292">
        <f t="shared" si="55"/>
        <v>21.938932796000003</v>
      </c>
      <c r="AP292" s="9"/>
      <c r="AQ292" s="22">
        <v>0.41000399999999998</v>
      </c>
      <c r="AR292" s="22">
        <v>450.44299999999998</v>
      </c>
      <c r="AS292" s="22">
        <v>-1.7392000000000001E-2</v>
      </c>
      <c r="AT292" s="22">
        <v>282</v>
      </c>
      <c r="AU292" s="22">
        <v>0.40911900000000001</v>
      </c>
      <c r="AV292">
        <f t="shared" si="56"/>
        <v>17.391999999999999</v>
      </c>
      <c r="AW292">
        <f t="shared" si="57"/>
        <v>7.1307895679999991</v>
      </c>
      <c r="AX292" s="9"/>
      <c r="AY292" s="22">
        <v>1.3200400000000001</v>
      </c>
      <c r="AZ292" s="22">
        <v>501.45600000000002</v>
      </c>
      <c r="BA292" s="22">
        <v>-1.6622899999999999E-2</v>
      </c>
      <c r="BB292" s="22">
        <v>282</v>
      </c>
      <c r="BC292" s="22">
        <v>1.3192699999999999</v>
      </c>
      <c r="BD292">
        <f t="shared" si="58"/>
        <v>16.622899999999998</v>
      </c>
      <c r="BE292">
        <f t="shared" si="59"/>
        <v>21.942892915999998</v>
      </c>
    </row>
    <row r="293" spans="6:57">
      <c r="F293" s="9"/>
      <c r="G293" s="22">
        <v>0.40496799999999999</v>
      </c>
      <c r="H293" s="22">
        <v>136.733</v>
      </c>
      <c r="I293" s="22">
        <v>-1.7373699999999999E-2</v>
      </c>
      <c r="J293" s="22">
        <v>283</v>
      </c>
      <c r="K293" s="22">
        <v>0.404144</v>
      </c>
      <c r="L293">
        <f t="shared" si="48"/>
        <v>17.373699999999999</v>
      </c>
      <c r="M293">
        <f t="shared" si="49"/>
        <v>7.0357925415999993</v>
      </c>
      <c r="N293" s="9"/>
      <c r="O293" s="22">
        <v>1.32507</v>
      </c>
      <c r="P293" s="22">
        <v>185.83500000000001</v>
      </c>
      <c r="Q293" s="22">
        <v>-1.6570999999999999E-2</v>
      </c>
      <c r="R293" s="22">
        <v>283</v>
      </c>
      <c r="S293" s="22">
        <v>1.32385</v>
      </c>
      <c r="T293">
        <f t="shared" si="50"/>
        <v>16.570999999999998</v>
      </c>
      <c r="U293">
        <f t="shared" si="51"/>
        <v>21.957734969999997</v>
      </c>
      <c r="X293" s="9"/>
      <c r="Y293" s="22">
        <v>0.40496799999999999</v>
      </c>
      <c r="Z293" s="22">
        <v>241.99199999999999</v>
      </c>
      <c r="AA293" s="22">
        <v>-1.7401099999999999E-2</v>
      </c>
      <c r="AB293" s="22">
        <v>283</v>
      </c>
      <c r="AC293" s="22">
        <v>0.40438800000000003</v>
      </c>
      <c r="AD293">
        <f t="shared" si="52"/>
        <v>17.4011</v>
      </c>
      <c r="AE293">
        <f t="shared" si="53"/>
        <v>7.0468886648</v>
      </c>
      <c r="AF293" s="9"/>
      <c r="AG293" s="22">
        <v>1.32507</v>
      </c>
      <c r="AH293" s="22">
        <v>372.66199999999998</v>
      </c>
      <c r="AI293" s="22">
        <v>-1.66077E-2</v>
      </c>
      <c r="AJ293" s="22">
        <v>283</v>
      </c>
      <c r="AK293" s="22">
        <v>1.32416</v>
      </c>
      <c r="AL293">
        <f t="shared" si="54"/>
        <v>16.607700000000001</v>
      </c>
      <c r="AM293">
        <f t="shared" si="55"/>
        <v>22.006365039000002</v>
      </c>
      <c r="AP293" s="9"/>
      <c r="AQ293" s="22">
        <v>0.40496799999999999</v>
      </c>
      <c r="AR293" s="22">
        <v>450.54300000000001</v>
      </c>
      <c r="AS293" s="22">
        <v>-1.7392000000000001E-2</v>
      </c>
      <c r="AT293" s="22">
        <v>283</v>
      </c>
      <c r="AU293" s="22">
        <v>0.40448000000000001</v>
      </c>
      <c r="AV293">
        <f t="shared" si="56"/>
        <v>17.391999999999999</v>
      </c>
      <c r="AW293">
        <f t="shared" si="57"/>
        <v>7.0432034559999996</v>
      </c>
      <c r="AX293" s="9"/>
      <c r="AY293" s="22">
        <v>1.32507</v>
      </c>
      <c r="AZ293" s="22">
        <v>501.55700000000002</v>
      </c>
      <c r="BA293" s="22">
        <v>-1.6610699999999999E-2</v>
      </c>
      <c r="BB293" s="22">
        <v>283</v>
      </c>
      <c r="BC293" s="22">
        <v>1.32446</v>
      </c>
      <c r="BD293">
        <f t="shared" si="58"/>
        <v>16.610699999999998</v>
      </c>
      <c r="BE293">
        <f t="shared" si="59"/>
        <v>22.010340248999995</v>
      </c>
    </row>
    <row r="294" spans="6:57">
      <c r="F294" s="9"/>
      <c r="G294" s="22">
        <v>0.39993299999999998</v>
      </c>
      <c r="H294" s="22">
        <v>136.834</v>
      </c>
      <c r="I294" s="22">
        <v>-1.7376699999999998E-2</v>
      </c>
      <c r="J294" s="22">
        <v>284</v>
      </c>
      <c r="K294" s="22">
        <v>0.39935300000000001</v>
      </c>
      <c r="L294">
        <f t="shared" si="48"/>
        <v>17.3767</v>
      </c>
      <c r="M294">
        <f t="shared" si="49"/>
        <v>6.9495157610999998</v>
      </c>
      <c r="N294" s="9"/>
      <c r="O294" s="22">
        <v>1.3301099999999999</v>
      </c>
      <c r="P294" s="22">
        <v>185.93600000000001</v>
      </c>
      <c r="Q294" s="22">
        <v>-1.65649E-2</v>
      </c>
      <c r="R294" s="22">
        <v>284</v>
      </c>
      <c r="S294" s="22">
        <v>1.32965</v>
      </c>
      <c r="T294">
        <f t="shared" si="50"/>
        <v>16.564900000000002</v>
      </c>
      <c r="U294">
        <f t="shared" si="51"/>
        <v>22.033139138999999</v>
      </c>
      <c r="X294" s="9"/>
      <c r="Y294" s="22">
        <v>0.39993299999999998</v>
      </c>
      <c r="Z294" s="22">
        <v>242.09299999999999</v>
      </c>
      <c r="AA294" s="22">
        <v>-1.7404200000000002E-2</v>
      </c>
      <c r="AB294" s="22">
        <v>284</v>
      </c>
      <c r="AC294" s="22">
        <v>0.3992</v>
      </c>
      <c r="AD294">
        <f t="shared" si="52"/>
        <v>17.404200000000003</v>
      </c>
      <c r="AE294">
        <f t="shared" si="53"/>
        <v>6.9605139186000011</v>
      </c>
      <c r="AF294" s="9"/>
      <c r="AG294" s="22">
        <v>1.3301099999999999</v>
      </c>
      <c r="AH294" s="22">
        <v>372.76299999999998</v>
      </c>
      <c r="AI294" s="22">
        <v>-1.6610699999999999E-2</v>
      </c>
      <c r="AJ294" s="22">
        <v>284</v>
      </c>
      <c r="AK294" s="22">
        <v>1.32965</v>
      </c>
      <c r="AL294">
        <f t="shared" si="54"/>
        <v>16.610699999999998</v>
      </c>
      <c r="AM294">
        <f t="shared" si="55"/>
        <v>22.094058176999994</v>
      </c>
      <c r="AP294" s="9"/>
      <c r="AQ294" s="22">
        <v>0.39993299999999998</v>
      </c>
      <c r="AR294" s="22">
        <v>450.64400000000001</v>
      </c>
      <c r="AS294" s="22">
        <v>-1.7395000000000001E-2</v>
      </c>
      <c r="AT294" s="22">
        <v>284</v>
      </c>
      <c r="AU294" s="22">
        <v>0.39932299999999998</v>
      </c>
      <c r="AV294">
        <f t="shared" si="56"/>
        <v>17.395</v>
      </c>
      <c r="AW294">
        <f t="shared" si="57"/>
        <v>6.9568345349999996</v>
      </c>
      <c r="AX294" s="9"/>
      <c r="AY294" s="22">
        <v>1.3301099999999999</v>
      </c>
      <c r="AZ294" s="22">
        <v>501.65800000000002</v>
      </c>
      <c r="BA294" s="22">
        <v>-1.6613800000000001E-2</v>
      </c>
      <c r="BB294" s="22">
        <v>284</v>
      </c>
      <c r="BC294" s="22">
        <v>1.32935</v>
      </c>
      <c r="BD294">
        <f t="shared" si="58"/>
        <v>16.613800000000001</v>
      </c>
      <c r="BE294">
        <f t="shared" si="59"/>
        <v>22.098181518000001</v>
      </c>
    </row>
    <row r="295" spans="6:57">
      <c r="F295" s="9"/>
      <c r="G295" s="22">
        <v>0.394897</v>
      </c>
      <c r="H295" s="22">
        <v>136.935</v>
      </c>
      <c r="I295" s="22">
        <v>-1.7376699999999998E-2</v>
      </c>
      <c r="J295" s="22">
        <v>285</v>
      </c>
      <c r="K295" s="22">
        <v>0.39440900000000001</v>
      </c>
      <c r="L295">
        <f t="shared" si="48"/>
        <v>17.3767</v>
      </c>
      <c r="M295">
        <f t="shared" si="49"/>
        <v>6.8620066999000002</v>
      </c>
      <c r="N295" s="9"/>
      <c r="O295" s="22">
        <v>1.33514</v>
      </c>
      <c r="P295" s="22">
        <v>186.036</v>
      </c>
      <c r="Q295" s="22">
        <v>-1.6549700000000001E-2</v>
      </c>
      <c r="R295" s="22">
        <v>285</v>
      </c>
      <c r="S295" s="22">
        <v>1.33453</v>
      </c>
      <c r="T295">
        <f t="shared" si="50"/>
        <v>16.549700000000001</v>
      </c>
      <c r="U295">
        <f t="shared" si="51"/>
        <v>22.096166458000003</v>
      </c>
      <c r="X295" s="9"/>
      <c r="Y295" s="22">
        <v>0.394897</v>
      </c>
      <c r="Z295" s="22">
        <v>242.19300000000001</v>
      </c>
      <c r="AA295" s="22">
        <v>-1.7407200000000001E-2</v>
      </c>
      <c r="AB295" s="22">
        <v>285</v>
      </c>
      <c r="AC295" s="22">
        <v>0.39425700000000002</v>
      </c>
      <c r="AD295">
        <f t="shared" si="52"/>
        <v>17.4072</v>
      </c>
      <c r="AE295">
        <f t="shared" si="53"/>
        <v>6.8740510584000001</v>
      </c>
      <c r="AF295" s="9"/>
      <c r="AG295" s="22">
        <v>1.33514</v>
      </c>
      <c r="AH295" s="22">
        <v>372.863</v>
      </c>
      <c r="AI295" s="22">
        <v>-1.65924E-2</v>
      </c>
      <c r="AJ295" s="22">
        <v>285</v>
      </c>
      <c r="AK295" s="22">
        <v>1.33423</v>
      </c>
      <c r="AL295">
        <f t="shared" si="54"/>
        <v>16.592400000000001</v>
      </c>
      <c r="AM295">
        <f t="shared" si="55"/>
        <v>22.153176936000001</v>
      </c>
      <c r="AP295" s="9"/>
      <c r="AQ295" s="22">
        <v>0.394897</v>
      </c>
      <c r="AR295" s="22">
        <v>450.745</v>
      </c>
      <c r="AS295" s="22">
        <v>-1.73981E-2</v>
      </c>
      <c r="AT295" s="22">
        <v>285</v>
      </c>
      <c r="AU295" s="22">
        <v>0.394287</v>
      </c>
      <c r="AV295">
        <f t="shared" si="56"/>
        <v>17.398099999999999</v>
      </c>
      <c r="AW295">
        <f t="shared" si="57"/>
        <v>6.8704574956999993</v>
      </c>
      <c r="AX295" s="9"/>
      <c r="AY295" s="22">
        <v>1.33514</v>
      </c>
      <c r="AZ295" s="22">
        <v>501.75900000000001</v>
      </c>
      <c r="BA295" s="22">
        <v>-1.6601600000000001E-2</v>
      </c>
      <c r="BB295" s="22">
        <v>285</v>
      </c>
      <c r="BC295" s="22">
        <v>1.33392</v>
      </c>
      <c r="BD295">
        <f t="shared" si="58"/>
        <v>16.601600000000001</v>
      </c>
      <c r="BE295">
        <f t="shared" si="59"/>
        <v>22.165460224</v>
      </c>
    </row>
    <row r="296" spans="6:57">
      <c r="F296" s="9"/>
      <c r="G296" s="22">
        <v>0.38986199999999999</v>
      </c>
      <c r="H296" s="22">
        <v>137.035</v>
      </c>
      <c r="I296" s="22">
        <v>-1.73828E-2</v>
      </c>
      <c r="J296" s="22">
        <v>286</v>
      </c>
      <c r="K296" s="22">
        <v>0.38916000000000001</v>
      </c>
      <c r="L296">
        <f t="shared" si="48"/>
        <v>17.3828</v>
      </c>
      <c r="M296">
        <f t="shared" si="49"/>
        <v>6.7768931735999995</v>
      </c>
      <c r="N296" s="9"/>
      <c r="O296" s="22">
        <v>1.3401799999999999</v>
      </c>
      <c r="P296" s="22">
        <v>186.137</v>
      </c>
      <c r="Q296" s="22">
        <v>-1.6549700000000001E-2</v>
      </c>
      <c r="R296" s="22">
        <v>286</v>
      </c>
      <c r="S296" s="22">
        <v>1.33972</v>
      </c>
      <c r="T296">
        <f t="shared" si="50"/>
        <v>16.549700000000001</v>
      </c>
      <c r="U296">
        <f t="shared" si="51"/>
        <v>22.179576946000001</v>
      </c>
      <c r="X296" s="9"/>
      <c r="Y296" s="22">
        <v>0.38986199999999999</v>
      </c>
      <c r="Z296" s="22">
        <v>242.29400000000001</v>
      </c>
      <c r="AA296" s="22">
        <v>-1.74103E-2</v>
      </c>
      <c r="AB296" s="22">
        <v>286</v>
      </c>
      <c r="AC296" s="22">
        <v>0.38916000000000001</v>
      </c>
      <c r="AD296">
        <f t="shared" si="52"/>
        <v>17.410299999999999</v>
      </c>
      <c r="AE296">
        <f t="shared" si="53"/>
        <v>6.7876143785999998</v>
      </c>
      <c r="AF296" s="9"/>
      <c r="AG296" s="22">
        <v>1.3401799999999999</v>
      </c>
      <c r="AH296" s="22">
        <v>372.964</v>
      </c>
      <c r="AI296" s="22">
        <v>-1.6589400000000001E-2</v>
      </c>
      <c r="AJ296" s="22">
        <v>286</v>
      </c>
      <c r="AK296" s="22">
        <v>1.3388100000000001</v>
      </c>
      <c r="AL296">
        <f t="shared" si="54"/>
        <v>16.589400000000001</v>
      </c>
      <c r="AM296">
        <f t="shared" si="55"/>
        <v>22.232782092000001</v>
      </c>
      <c r="AP296" s="9"/>
      <c r="AQ296" s="22">
        <v>0.38986199999999999</v>
      </c>
      <c r="AR296" s="22">
        <v>450.84500000000003</v>
      </c>
      <c r="AS296" s="22">
        <v>-1.7401099999999999E-2</v>
      </c>
      <c r="AT296" s="22">
        <v>286</v>
      </c>
      <c r="AU296" s="22">
        <v>0.38912999999999998</v>
      </c>
      <c r="AV296">
        <f t="shared" si="56"/>
        <v>17.4011</v>
      </c>
      <c r="AW296">
        <f t="shared" si="57"/>
        <v>6.7840276481999995</v>
      </c>
      <c r="AX296" s="9"/>
      <c r="AY296" s="22">
        <v>1.3401799999999999</v>
      </c>
      <c r="AZ296" s="22">
        <v>501.85899999999998</v>
      </c>
      <c r="BA296" s="22">
        <v>-1.6598499999999999E-2</v>
      </c>
      <c r="BB296" s="22">
        <v>286</v>
      </c>
      <c r="BC296" s="22">
        <v>1.33911</v>
      </c>
      <c r="BD296">
        <f t="shared" si="58"/>
        <v>16.598499999999998</v>
      </c>
      <c r="BE296">
        <f t="shared" si="59"/>
        <v>22.244977729999995</v>
      </c>
    </row>
    <row r="297" spans="6:57">
      <c r="F297" s="9"/>
      <c r="G297" s="22">
        <v>0.38482699999999997</v>
      </c>
      <c r="H297" s="22">
        <v>137.136</v>
      </c>
      <c r="I297" s="22">
        <v>-1.73828E-2</v>
      </c>
      <c r="J297" s="22">
        <v>287</v>
      </c>
      <c r="K297" s="22">
        <v>0.38415500000000002</v>
      </c>
      <c r="L297">
        <f t="shared" si="48"/>
        <v>17.3828</v>
      </c>
      <c r="M297">
        <f t="shared" si="49"/>
        <v>6.6893707755999996</v>
      </c>
      <c r="N297" s="9"/>
      <c r="O297" s="22">
        <v>1.34521</v>
      </c>
      <c r="P297" s="22">
        <v>186.238</v>
      </c>
      <c r="Q297" s="22">
        <v>-1.6531400000000002E-2</v>
      </c>
      <c r="R297" s="22">
        <v>287</v>
      </c>
      <c r="S297" s="22">
        <v>1.3443000000000001</v>
      </c>
      <c r="T297">
        <f t="shared" si="50"/>
        <v>16.531400000000001</v>
      </c>
      <c r="U297">
        <f t="shared" si="51"/>
        <v>22.238204594000003</v>
      </c>
      <c r="X297" s="9"/>
      <c r="Y297" s="22">
        <v>0.38482699999999997</v>
      </c>
      <c r="Z297" s="22">
        <v>242.39500000000001</v>
      </c>
      <c r="AA297" s="22">
        <v>-1.74103E-2</v>
      </c>
      <c r="AB297" s="22">
        <v>287</v>
      </c>
      <c r="AC297" s="22">
        <v>0.38415500000000002</v>
      </c>
      <c r="AD297">
        <f t="shared" si="52"/>
        <v>17.410299999999999</v>
      </c>
      <c r="AE297">
        <f t="shared" si="53"/>
        <v>6.6999535180999992</v>
      </c>
      <c r="AF297" s="9"/>
      <c r="AG297" s="22">
        <v>1.34521</v>
      </c>
      <c r="AH297" s="22">
        <v>373.065</v>
      </c>
      <c r="AI297" s="22">
        <v>-1.6583299999999999E-2</v>
      </c>
      <c r="AJ297" s="22">
        <v>287</v>
      </c>
      <c r="AK297" s="22">
        <v>1.3446</v>
      </c>
      <c r="AL297">
        <f t="shared" si="54"/>
        <v>16.583299999999998</v>
      </c>
      <c r="AM297">
        <f t="shared" si="55"/>
        <v>22.308020992999996</v>
      </c>
      <c r="AP297" s="9"/>
      <c r="AQ297" s="22">
        <v>0.38482699999999997</v>
      </c>
      <c r="AR297" s="22">
        <v>450.94600000000003</v>
      </c>
      <c r="AS297" s="22">
        <v>-1.7404200000000002E-2</v>
      </c>
      <c r="AT297" s="22">
        <v>287</v>
      </c>
      <c r="AU297" s="22">
        <v>0.38415500000000002</v>
      </c>
      <c r="AV297">
        <f t="shared" si="56"/>
        <v>17.404200000000003</v>
      </c>
      <c r="AW297">
        <f t="shared" si="57"/>
        <v>6.6976060734000011</v>
      </c>
      <c r="AX297" s="9"/>
      <c r="AY297" s="22">
        <v>1.34521</v>
      </c>
      <c r="AZ297" s="22">
        <v>501.96</v>
      </c>
      <c r="BA297" s="22">
        <v>-1.65924E-2</v>
      </c>
      <c r="BB297" s="22">
        <v>287</v>
      </c>
      <c r="BC297" s="22">
        <v>1.3446</v>
      </c>
      <c r="BD297">
        <f t="shared" si="58"/>
        <v>16.592400000000001</v>
      </c>
      <c r="BE297">
        <f t="shared" si="59"/>
        <v>22.320262404000001</v>
      </c>
    </row>
    <row r="298" spans="6:57">
      <c r="F298" s="9"/>
      <c r="G298" s="22">
        <v>0.37979099999999999</v>
      </c>
      <c r="H298" s="22">
        <v>137.23699999999999</v>
      </c>
      <c r="I298" s="22">
        <v>-1.7385899999999999E-2</v>
      </c>
      <c r="J298" s="22">
        <v>288</v>
      </c>
      <c r="K298" s="22">
        <v>0.37912000000000001</v>
      </c>
      <c r="L298">
        <f t="shared" si="48"/>
        <v>17.385899999999999</v>
      </c>
      <c r="M298">
        <f t="shared" si="49"/>
        <v>6.6030083468999994</v>
      </c>
      <c r="N298" s="9"/>
      <c r="O298" s="22">
        <v>1.35025</v>
      </c>
      <c r="P298" s="22">
        <v>186.339</v>
      </c>
      <c r="Q298" s="22">
        <v>-1.65253E-2</v>
      </c>
      <c r="R298" s="22">
        <v>288</v>
      </c>
      <c r="S298" s="22">
        <v>1.3494900000000001</v>
      </c>
      <c r="T298">
        <f t="shared" si="50"/>
        <v>16.525300000000001</v>
      </c>
      <c r="U298">
        <f t="shared" si="51"/>
        <v>22.313286325</v>
      </c>
      <c r="X298" s="9"/>
      <c r="Y298" s="22">
        <v>0.37979099999999999</v>
      </c>
      <c r="Z298" s="22">
        <v>242.495</v>
      </c>
      <c r="AA298" s="22">
        <v>-1.74133E-2</v>
      </c>
      <c r="AB298" s="22">
        <v>288</v>
      </c>
      <c r="AC298" s="22">
        <v>0.37912000000000001</v>
      </c>
      <c r="AD298">
        <f t="shared" si="52"/>
        <v>17.4133</v>
      </c>
      <c r="AE298">
        <f t="shared" si="53"/>
        <v>6.6134146202999995</v>
      </c>
      <c r="AF298" s="9"/>
      <c r="AG298" s="22">
        <v>1.35025</v>
      </c>
      <c r="AH298" s="22">
        <v>373.166</v>
      </c>
      <c r="AI298" s="22">
        <v>-1.6577100000000001E-2</v>
      </c>
      <c r="AJ298" s="22">
        <v>288</v>
      </c>
      <c r="AK298" s="22">
        <v>1.34918</v>
      </c>
      <c r="AL298">
        <f t="shared" si="54"/>
        <v>16.577100000000002</v>
      </c>
      <c r="AM298">
        <f t="shared" si="55"/>
        <v>22.383229275000001</v>
      </c>
      <c r="AP298" s="9"/>
      <c r="AQ298" s="22">
        <v>0.37979099999999999</v>
      </c>
      <c r="AR298" s="22">
        <v>451.04700000000003</v>
      </c>
      <c r="AS298" s="22">
        <v>-1.7404200000000002E-2</v>
      </c>
      <c r="AT298" s="22">
        <v>288</v>
      </c>
      <c r="AU298" s="22">
        <v>0.378998</v>
      </c>
      <c r="AV298">
        <f t="shared" si="56"/>
        <v>17.404200000000003</v>
      </c>
      <c r="AW298">
        <f t="shared" si="57"/>
        <v>6.6099585222000012</v>
      </c>
      <c r="AX298" s="9"/>
      <c r="AY298" s="22">
        <v>1.35025</v>
      </c>
      <c r="AZ298" s="22">
        <v>502.06099999999998</v>
      </c>
      <c r="BA298" s="22">
        <v>-1.6586299999999998E-2</v>
      </c>
      <c r="BB298" s="22">
        <v>288</v>
      </c>
      <c r="BC298" s="22">
        <v>1.34918</v>
      </c>
      <c r="BD298">
        <f t="shared" si="58"/>
        <v>16.586299999999998</v>
      </c>
      <c r="BE298">
        <f t="shared" si="59"/>
        <v>22.395651574999995</v>
      </c>
    </row>
    <row r="299" spans="6:57">
      <c r="F299" s="9"/>
      <c r="G299" s="22">
        <v>0.37475599999999998</v>
      </c>
      <c r="H299" s="22">
        <v>137.33699999999999</v>
      </c>
      <c r="I299" s="22">
        <v>-1.7388899999999999E-2</v>
      </c>
      <c r="J299" s="22">
        <v>289</v>
      </c>
      <c r="K299" s="22">
        <v>0.37402299999999999</v>
      </c>
      <c r="L299">
        <f t="shared" si="48"/>
        <v>17.3889</v>
      </c>
      <c r="M299">
        <f t="shared" si="49"/>
        <v>6.5165946083999993</v>
      </c>
      <c r="N299" s="9"/>
      <c r="O299" s="22">
        <v>1.3552900000000001</v>
      </c>
      <c r="P299" s="22">
        <v>186.43899999999999</v>
      </c>
      <c r="Q299" s="22">
        <v>-1.6516099999999999E-2</v>
      </c>
      <c r="R299" s="22">
        <v>289</v>
      </c>
      <c r="S299" s="22">
        <v>1.35406</v>
      </c>
      <c r="T299">
        <f t="shared" si="50"/>
        <v>16.516099999999998</v>
      </c>
      <c r="U299">
        <f t="shared" si="51"/>
        <v>22.384105168999998</v>
      </c>
      <c r="X299" s="9"/>
      <c r="Y299" s="22">
        <v>0.37475599999999998</v>
      </c>
      <c r="Z299" s="22">
        <v>242.596</v>
      </c>
      <c r="AA299" s="22">
        <v>-1.7419400000000002E-2</v>
      </c>
      <c r="AB299" s="22">
        <v>289</v>
      </c>
      <c r="AC299" s="22">
        <v>0.37402299999999999</v>
      </c>
      <c r="AD299">
        <f t="shared" si="52"/>
        <v>17.419400000000003</v>
      </c>
      <c r="AE299">
        <f t="shared" si="53"/>
        <v>6.5280246664000003</v>
      </c>
      <c r="AF299" s="9"/>
      <c r="AG299" s="22">
        <v>1.3552900000000001</v>
      </c>
      <c r="AH299" s="22">
        <v>373.26600000000002</v>
      </c>
      <c r="AI299" s="22">
        <v>-1.6567999999999999E-2</v>
      </c>
      <c r="AJ299" s="22">
        <v>289</v>
      </c>
      <c r="AK299" s="22">
        <v>1.3549800000000001</v>
      </c>
      <c r="AL299">
        <f t="shared" si="54"/>
        <v>16.567999999999998</v>
      </c>
      <c r="AM299">
        <f t="shared" si="55"/>
        <v>22.454444719999998</v>
      </c>
      <c r="AP299" s="9"/>
      <c r="AQ299" s="22">
        <v>0.37475599999999998</v>
      </c>
      <c r="AR299" s="22">
        <v>451.14800000000002</v>
      </c>
      <c r="AS299" s="22">
        <v>-1.74103E-2</v>
      </c>
      <c r="AT299" s="22">
        <v>289</v>
      </c>
      <c r="AU299" s="22">
        <v>0.37399300000000002</v>
      </c>
      <c r="AV299">
        <f t="shared" si="56"/>
        <v>17.410299999999999</v>
      </c>
      <c r="AW299">
        <f t="shared" si="57"/>
        <v>6.5246143867999997</v>
      </c>
      <c r="AX299" s="9"/>
      <c r="AY299" s="22">
        <v>1.3552900000000001</v>
      </c>
      <c r="AZ299" s="22">
        <v>502.161</v>
      </c>
      <c r="BA299" s="22">
        <v>-1.6570999999999999E-2</v>
      </c>
      <c r="BB299" s="22">
        <v>289</v>
      </c>
      <c r="BC299" s="22">
        <v>1.3537600000000001</v>
      </c>
      <c r="BD299">
        <f t="shared" si="58"/>
        <v>16.570999999999998</v>
      </c>
      <c r="BE299">
        <f t="shared" si="59"/>
        <v>22.458510589999999</v>
      </c>
    </row>
    <row r="300" spans="6:57">
      <c r="F300" s="9"/>
      <c r="G300" s="22">
        <v>0.36971999999999999</v>
      </c>
      <c r="H300" s="22">
        <v>137.43799999999999</v>
      </c>
      <c r="I300" s="22">
        <v>-1.7395000000000001E-2</v>
      </c>
      <c r="J300" s="22">
        <v>290</v>
      </c>
      <c r="K300" s="22">
        <v>0.36901899999999999</v>
      </c>
      <c r="L300">
        <f t="shared" si="48"/>
        <v>17.395</v>
      </c>
      <c r="M300">
        <f t="shared" si="49"/>
        <v>6.4312793999999993</v>
      </c>
      <c r="N300" s="9"/>
      <c r="O300" s="22">
        <v>1.36032</v>
      </c>
      <c r="P300" s="22">
        <v>186.54</v>
      </c>
      <c r="Q300" s="22">
        <v>-1.6503899999999998E-2</v>
      </c>
      <c r="R300" s="22">
        <v>290</v>
      </c>
      <c r="S300" s="22">
        <v>1.3589500000000001</v>
      </c>
      <c r="T300">
        <f t="shared" si="50"/>
        <v>16.503899999999998</v>
      </c>
      <c r="U300">
        <f t="shared" si="51"/>
        <v>22.450585247999996</v>
      </c>
      <c r="X300" s="9"/>
      <c r="Y300" s="22">
        <v>0.36971999999999999</v>
      </c>
      <c r="Z300" s="22">
        <v>242.697</v>
      </c>
      <c r="AA300" s="22">
        <v>-1.74225E-2</v>
      </c>
      <c r="AB300" s="22">
        <v>290</v>
      </c>
      <c r="AC300" s="22">
        <v>0.369232</v>
      </c>
      <c r="AD300">
        <f t="shared" si="52"/>
        <v>17.422499999999999</v>
      </c>
      <c r="AE300">
        <f t="shared" si="53"/>
        <v>6.4414466999999993</v>
      </c>
      <c r="AF300" s="9"/>
      <c r="AG300" s="22">
        <v>1.36032</v>
      </c>
      <c r="AH300" s="22">
        <v>373.36700000000002</v>
      </c>
      <c r="AI300" s="22">
        <v>-1.6561900000000001E-2</v>
      </c>
      <c r="AJ300" s="22">
        <v>290</v>
      </c>
      <c r="AK300" s="22">
        <v>1.3589500000000001</v>
      </c>
      <c r="AL300">
        <f t="shared" si="54"/>
        <v>16.561900000000001</v>
      </c>
      <c r="AM300">
        <f t="shared" si="55"/>
        <v>22.529483808000002</v>
      </c>
      <c r="AP300" s="9"/>
      <c r="AQ300" s="22">
        <v>0.36971999999999999</v>
      </c>
      <c r="AR300" s="22">
        <v>451.24799999999999</v>
      </c>
      <c r="AS300" s="22">
        <v>-1.74103E-2</v>
      </c>
      <c r="AT300" s="22">
        <v>290</v>
      </c>
      <c r="AU300" s="22">
        <v>0.36901899999999999</v>
      </c>
      <c r="AV300">
        <f t="shared" si="56"/>
        <v>17.410299999999999</v>
      </c>
      <c r="AW300">
        <f t="shared" si="57"/>
        <v>6.436936116</v>
      </c>
      <c r="AX300" s="9"/>
      <c r="AY300" s="22">
        <v>1.36032</v>
      </c>
      <c r="AZ300" s="22">
        <v>502.262</v>
      </c>
      <c r="BA300" s="22">
        <v>-1.6567999999999999E-2</v>
      </c>
      <c r="BB300" s="22">
        <v>290</v>
      </c>
      <c r="BC300" s="22">
        <v>1.3595600000000001</v>
      </c>
      <c r="BD300">
        <f t="shared" si="58"/>
        <v>16.567999999999998</v>
      </c>
      <c r="BE300">
        <f t="shared" si="59"/>
        <v>22.537781759999998</v>
      </c>
    </row>
    <row r="301" spans="6:57">
      <c r="F301" s="9"/>
      <c r="G301" s="22">
        <v>0.36468499999999998</v>
      </c>
      <c r="H301" s="22">
        <v>137.53899999999999</v>
      </c>
      <c r="I301" s="22">
        <v>-1.7395000000000001E-2</v>
      </c>
      <c r="J301" s="22">
        <v>291</v>
      </c>
      <c r="K301" s="22">
        <v>0.364014</v>
      </c>
      <c r="L301">
        <f t="shared" si="48"/>
        <v>17.395</v>
      </c>
      <c r="M301">
        <f t="shared" si="49"/>
        <v>6.3436955749999999</v>
      </c>
      <c r="N301" s="9"/>
      <c r="O301" s="22">
        <v>1.3653599999999999</v>
      </c>
      <c r="P301" s="22">
        <v>186.64099999999999</v>
      </c>
      <c r="Q301" s="22">
        <v>-1.6500899999999999E-2</v>
      </c>
      <c r="R301" s="22">
        <v>291</v>
      </c>
      <c r="S301" s="22">
        <v>1.3647499999999999</v>
      </c>
      <c r="T301">
        <f t="shared" si="50"/>
        <v>16.500899999999998</v>
      </c>
      <c r="U301">
        <f t="shared" si="51"/>
        <v>22.529668823999994</v>
      </c>
      <c r="X301" s="9"/>
      <c r="Y301" s="22">
        <v>0.36468499999999998</v>
      </c>
      <c r="Z301" s="22">
        <v>242.797</v>
      </c>
      <c r="AA301" s="22">
        <v>-1.74255E-2</v>
      </c>
      <c r="AB301" s="22">
        <v>291</v>
      </c>
      <c r="AC301" s="22">
        <v>0.36407499999999998</v>
      </c>
      <c r="AD301">
        <f t="shared" si="52"/>
        <v>17.4255</v>
      </c>
      <c r="AE301">
        <f t="shared" si="53"/>
        <v>6.3548184674999995</v>
      </c>
      <c r="AF301" s="9"/>
      <c r="AG301" s="22">
        <v>1.3653599999999999</v>
      </c>
      <c r="AH301" s="22">
        <v>373.46800000000002</v>
      </c>
      <c r="AI301" s="22">
        <v>-1.6558799999999999E-2</v>
      </c>
      <c r="AJ301" s="22">
        <v>291</v>
      </c>
      <c r="AK301" s="22">
        <v>1.3650500000000001</v>
      </c>
      <c r="AL301">
        <f t="shared" si="54"/>
        <v>16.558799999999998</v>
      </c>
      <c r="AM301">
        <f t="shared" si="55"/>
        <v>22.608723167999997</v>
      </c>
      <c r="AP301" s="9"/>
      <c r="AQ301" s="22">
        <v>0.36468499999999998</v>
      </c>
      <c r="AR301" s="22">
        <v>451.34899999999999</v>
      </c>
      <c r="AS301" s="22">
        <v>-1.7416399999999999E-2</v>
      </c>
      <c r="AT301" s="22">
        <v>291</v>
      </c>
      <c r="AU301" s="22">
        <v>0.363983</v>
      </c>
      <c r="AV301">
        <f t="shared" si="56"/>
        <v>17.416399999999999</v>
      </c>
      <c r="AW301">
        <f t="shared" si="57"/>
        <v>6.3514998339999993</v>
      </c>
      <c r="AX301" s="9"/>
      <c r="AY301" s="22">
        <v>1.3653599999999999</v>
      </c>
      <c r="AZ301" s="22">
        <v>502.363</v>
      </c>
      <c r="BA301" s="22">
        <v>-1.6555799999999999E-2</v>
      </c>
      <c r="BB301" s="22">
        <v>291</v>
      </c>
      <c r="BC301" s="22">
        <v>1.3641399999999999</v>
      </c>
      <c r="BD301">
        <f t="shared" si="58"/>
        <v>16.555799999999998</v>
      </c>
      <c r="BE301">
        <f t="shared" si="59"/>
        <v>22.604627087999994</v>
      </c>
    </row>
    <row r="302" spans="6:57">
      <c r="F302" s="9"/>
      <c r="G302" s="22">
        <v>0.35965000000000003</v>
      </c>
      <c r="H302" s="22">
        <v>137.63999999999999</v>
      </c>
      <c r="I302" s="22">
        <v>-1.73981E-2</v>
      </c>
      <c r="J302" s="22">
        <v>292</v>
      </c>
      <c r="K302" s="22">
        <v>0.35894799999999999</v>
      </c>
      <c r="L302">
        <f t="shared" si="48"/>
        <v>17.398099999999999</v>
      </c>
      <c r="M302">
        <f t="shared" si="49"/>
        <v>6.2572266650000001</v>
      </c>
      <c r="N302" s="9"/>
      <c r="O302" s="22">
        <v>1.37039</v>
      </c>
      <c r="P302" s="22">
        <v>186.74100000000001</v>
      </c>
      <c r="Q302" s="22">
        <v>-1.6488599999999999E-2</v>
      </c>
      <c r="R302" s="22">
        <v>292</v>
      </c>
      <c r="S302" s="22">
        <v>1.3684099999999999</v>
      </c>
      <c r="T302">
        <f t="shared" si="50"/>
        <v>16.488599999999998</v>
      </c>
      <c r="U302">
        <f t="shared" si="51"/>
        <v>22.595812553999998</v>
      </c>
      <c r="X302" s="9"/>
      <c r="Y302" s="22">
        <v>0.35965000000000003</v>
      </c>
      <c r="Z302" s="22">
        <v>242.898</v>
      </c>
      <c r="AA302" s="22">
        <v>-1.7428599999999999E-2</v>
      </c>
      <c r="AB302" s="22">
        <v>292</v>
      </c>
      <c r="AC302" s="22">
        <v>0.35916100000000001</v>
      </c>
      <c r="AD302">
        <f t="shared" si="52"/>
        <v>17.428599999999999</v>
      </c>
      <c r="AE302">
        <f t="shared" si="53"/>
        <v>6.2681959900000006</v>
      </c>
      <c r="AF302" s="9"/>
      <c r="AG302" s="22">
        <v>1.37039</v>
      </c>
      <c r="AH302" s="22">
        <v>373.56799999999998</v>
      </c>
      <c r="AI302" s="22">
        <v>-1.6546600000000002E-2</v>
      </c>
      <c r="AJ302" s="22">
        <v>292</v>
      </c>
      <c r="AK302" s="22">
        <v>1.3699300000000001</v>
      </c>
      <c r="AL302">
        <f t="shared" si="54"/>
        <v>16.546600000000002</v>
      </c>
      <c r="AM302">
        <f t="shared" si="55"/>
        <v>22.675295174000002</v>
      </c>
      <c r="AP302" s="9"/>
      <c r="AQ302" s="22">
        <v>0.35965000000000003</v>
      </c>
      <c r="AR302" s="22">
        <v>451.45</v>
      </c>
      <c r="AS302" s="22">
        <v>-1.7419400000000002E-2</v>
      </c>
      <c r="AT302" s="22">
        <v>292</v>
      </c>
      <c r="AU302" s="22">
        <v>0.35891699999999999</v>
      </c>
      <c r="AV302">
        <f t="shared" si="56"/>
        <v>17.419400000000003</v>
      </c>
      <c r="AW302">
        <f t="shared" si="57"/>
        <v>6.2648872100000013</v>
      </c>
      <c r="AX302" s="9"/>
      <c r="AY302" s="22">
        <v>1.37039</v>
      </c>
      <c r="AZ302" s="22">
        <v>502.46300000000002</v>
      </c>
      <c r="BA302" s="22">
        <v>-1.65527E-2</v>
      </c>
      <c r="BB302" s="22">
        <v>292</v>
      </c>
      <c r="BC302" s="22">
        <v>1.3693200000000001</v>
      </c>
      <c r="BD302">
        <f t="shared" si="58"/>
        <v>16.552700000000002</v>
      </c>
      <c r="BE302">
        <f t="shared" si="59"/>
        <v>22.683654553000004</v>
      </c>
    </row>
    <row r="303" spans="6:57">
      <c r="F303" s="9"/>
      <c r="G303" s="22">
        <v>0.35461399999999998</v>
      </c>
      <c r="H303" s="22">
        <v>137.74</v>
      </c>
      <c r="I303" s="22">
        <v>-1.7401099999999999E-2</v>
      </c>
      <c r="J303" s="22">
        <v>293</v>
      </c>
      <c r="K303" s="22">
        <v>0.35406500000000002</v>
      </c>
      <c r="L303">
        <f t="shared" si="48"/>
        <v>17.4011</v>
      </c>
      <c r="M303">
        <f t="shared" si="49"/>
        <v>6.1706736753999998</v>
      </c>
      <c r="N303" s="9"/>
      <c r="O303" s="22">
        <v>1.3754299999999999</v>
      </c>
      <c r="P303" s="22">
        <v>186.84200000000001</v>
      </c>
      <c r="Q303" s="22">
        <v>-1.6479500000000001E-2</v>
      </c>
      <c r="R303" s="22">
        <v>293</v>
      </c>
      <c r="S303" s="22">
        <v>1.3745099999999999</v>
      </c>
      <c r="T303">
        <f t="shared" si="50"/>
        <v>16.479500000000002</v>
      </c>
      <c r="U303">
        <f t="shared" si="51"/>
        <v>22.666398685000001</v>
      </c>
      <c r="X303" s="9"/>
      <c r="Y303" s="22">
        <v>0.35461399999999998</v>
      </c>
      <c r="Z303" s="22">
        <v>242.999</v>
      </c>
      <c r="AA303" s="22">
        <v>-1.7434700000000001E-2</v>
      </c>
      <c r="AB303" s="22">
        <v>293</v>
      </c>
      <c r="AC303" s="22">
        <v>0.35397299999999998</v>
      </c>
      <c r="AD303">
        <f t="shared" si="52"/>
        <v>17.434699999999999</v>
      </c>
      <c r="AE303">
        <f t="shared" si="53"/>
        <v>6.1825887057999998</v>
      </c>
      <c r="AF303" s="9"/>
      <c r="AG303" s="22">
        <v>1.3754299999999999</v>
      </c>
      <c r="AH303" s="22">
        <v>373.66899999999998</v>
      </c>
      <c r="AI303" s="22">
        <v>-1.6534400000000001E-2</v>
      </c>
      <c r="AJ303" s="22">
        <v>293</v>
      </c>
      <c r="AK303" s="22">
        <v>1.3748199999999999</v>
      </c>
      <c r="AL303">
        <f t="shared" si="54"/>
        <v>16.534400000000002</v>
      </c>
      <c r="AM303">
        <f t="shared" si="55"/>
        <v>22.741909792000001</v>
      </c>
      <c r="AP303" s="9"/>
      <c r="AQ303" s="22">
        <v>0.35461399999999998</v>
      </c>
      <c r="AR303" s="22">
        <v>451.55</v>
      </c>
      <c r="AS303" s="22">
        <v>-1.74225E-2</v>
      </c>
      <c r="AT303" s="22">
        <v>293</v>
      </c>
      <c r="AU303" s="22">
        <v>0.35400399999999999</v>
      </c>
      <c r="AV303">
        <f t="shared" si="56"/>
        <v>17.422499999999999</v>
      </c>
      <c r="AW303">
        <f t="shared" si="57"/>
        <v>6.1782624149999998</v>
      </c>
      <c r="AX303" s="9"/>
      <c r="AY303" s="22">
        <v>1.3754299999999999</v>
      </c>
      <c r="AZ303" s="22">
        <v>502.56400000000002</v>
      </c>
      <c r="BA303" s="22">
        <v>-1.6543599999999999E-2</v>
      </c>
      <c r="BB303" s="22">
        <v>293</v>
      </c>
      <c r="BC303" s="22">
        <v>1.3742099999999999</v>
      </c>
      <c r="BD303">
        <f t="shared" si="58"/>
        <v>16.543599999999998</v>
      </c>
      <c r="BE303">
        <f t="shared" si="59"/>
        <v>22.754563747999995</v>
      </c>
    </row>
    <row r="304" spans="6:57">
      <c r="F304" s="9"/>
      <c r="G304" s="22">
        <v>0.34957899999999997</v>
      </c>
      <c r="H304" s="22">
        <v>137.84100000000001</v>
      </c>
      <c r="I304" s="22">
        <v>-1.7404200000000002E-2</v>
      </c>
      <c r="J304" s="22">
        <v>294</v>
      </c>
      <c r="K304" s="22">
        <v>0.34887699999999999</v>
      </c>
      <c r="L304">
        <f t="shared" si="48"/>
        <v>17.404200000000003</v>
      </c>
      <c r="M304">
        <f t="shared" si="49"/>
        <v>6.0841428318000004</v>
      </c>
      <c r="N304" s="9"/>
      <c r="O304" s="22">
        <v>1.38046</v>
      </c>
      <c r="P304" s="22">
        <v>186.94300000000001</v>
      </c>
      <c r="Q304" s="22">
        <v>-1.6464199999999998E-2</v>
      </c>
      <c r="R304" s="22">
        <v>294</v>
      </c>
      <c r="S304" s="22">
        <v>1.38</v>
      </c>
      <c r="T304">
        <f t="shared" si="50"/>
        <v>16.464199999999998</v>
      </c>
      <c r="U304">
        <f t="shared" si="51"/>
        <v>22.728169531999999</v>
      </c>
      <c r="X304" s="9"/>
      <c r="Y304" s="22">
        <v>0.34957899999999997</v>
      </c>
      <c r="Z304" s="22">
        <v>243.1</v>
      </c>
      <c r="AA304" s="22">
        <v>-1.7440799999999999E-2</v>
      </c>
      <c r="AB304" s="22">
        <v>294</v>
      </c>
      <c r="AC304" s="22">
        <v>0.34884599999999999</v>
      </c>
      <c r="AD304">
        <f t="shared" si="52"/>
        <v>17.440799999999999</v>
      </c>
      <c r="AE304">
        <f t="shared" si="53"/>
        <v>6.0969374231999991</v>
      </c>
      <c r="AF304" s="9"/>
      <c r="AG304" s="22">
        <v>1.38046</v>
      </c>
      <c r="AH304" s="22">
        <v>373.77</v>
      </c>
      <c r="AI304" s="22">
        <v>-1.6534400000000001E-2</v>
      </c>
      <c r="AJ304" s="22">
        <v>294</v>
      </c>
      <c r="AK304" s="22">
        <v>1.38</v>
      </c>
      <c r="AL304">
        <f t="shared" si="54"/>
        <v>16.534400000000002</v>
      </c>
      <c r="AM304">
        <f t="shared" si="55"/>
        <v>22.825077824000001</v>
      </c>
      <c r="AP304" s="9"/>
      <c r="AQ304" s="22">
        <v>0.34957899999999997</v>
      </c>
      <c r="AR304" s="22">
        <v>451.65100000000001</v>
      </c>
      <c r="AS304" s="22">
        <v>-1.7428599999999999E-2</v>
      </c>
      <c r="AT304" s="22">
        <v>294</v>
      </c>
      <c r="AU304" s="22">
        <v>0.34896899999999997</v>
      </c>
      <c r="AV304">
        <f t="shared" si="56"/>
        <v>17.428599999999999</v>
      </c>
      <c r="AW304">
        <f t="shared" si="57"/>
        <v>6.0926725593999995</v>
      </c>
      <c r="AX304" s="9"/>
      <c r="AY304" s="22">
        <v>1.38046</v>
      </c>
      <c r="AZ304" s="22">
        <v>502.66500000000002</v>
      </c>
      <c r="BA304" s="22">
        <v>-1.6534400000000001E-2</v>
      </c>
      <c r="BB304" s="22">
        <v>294</v>
      </c>
      <c r="BC304" s="22">
        <v>1.3796999999999999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0.34454299999999999</v>
      </c>
      <c r="H305" s="22">
        <v>137.94200000000001</v>
      </c>
      <c r="I305" s="22">
        <v>-1.74103E-2</v>
      </c>
      <c r="J305" s="22">
        <v>295</v>
      </c>
      <c r="K305" s="22">
        <v>0.34390300000000001</v>
      </c>
      <c r="L305">
        <f t="shared" si="48"/>
        <v>17.410299999999999</v>
      </c>
      <c r="M305">
        <f t="shared" si="49"/>
        <v>5.9985969928999996</v>
      </c>
      <c r="N305" s="9"/>
      <c r="O305" s="22">
        <v>1.3855</v>
      </c>
      <c r="P305" s="22">
        <v>187.04300000000001</v>
      </c>
      <c r="Q305" s="22">
        <v>-1.6461199999999999E-2</v>
      </c>
      <c r="R305" s="22">
        <v>295</v>
      </c>
      <c r="S305" s="22">
        <v>1.38489</v>
      </c>
      <c r="T305">
        <f t="shared" si="50"/>
        <v>16.461199999999998</v>
      </c>
      <c r="U305">
        <f t="shared" si="51"/>
        <v>22.806992599999997</v>
      </c>
      <c r="X305" s="9"/>
      <c r="Y305" s="22">
        <v>0.34454299999999999</v>
      </c>
      <c r="Z305" s="22">
        <v>243.2</v>
      </c>
      <c r="AA305" s="22">
        <v>-1.7440799999999999E-2</v>
      </c>
      <c r="AB305" s="22">
        <v>295</v>
      </c>
      <c r="AC305" s="22">
        <v>0.34390300000000001</v>
      </c>
      <c r="AD305">
        <f t="shared" si="52"/>
        <v>17.440799999999999</v>
      </c>
      <c r="AE305">
        <f t="shared" si="53"/>
        <v>6.0091055543999996</v>
      </c>
      <c r="AF305" s="9"/>
      <c r="AG305" s="22">
        <v>1.3855</v>
      </c>
      <c r="AH305" s="22">
        <v>373.87099999999998</v>
      </c>
      <c r="AI305" s="22">
        <v>-1.6528299999999999E-2</v>
      </c>
      <c r="AJ305" s="22">
        <v>295</v>
      </c>
      <c r="AK305" s="22">
        <v>1.3839699999999999</v>
      </c>
      <c r="AL305">
        <f t="shared" si="54"/>
        <v>16.528299999999998</v>
      </c>
      <c r="AM305">
        <f t="shared" si="55"/>
        <v>22.899959649999996</v>
      </c>
      <c r="AP305" s="9"/>
      <c r="AQ305" s="22">
        <v>0.34454299999999999</v>
      </c>
      <c r="AR305" s="22">
        <v>451.75200000000001</v>
      </c>
      <c r="AS305" s="22">
        <v>-1.7428599999999999E-2</v>
      </c>
      <c r="AT305" s="22">
        <v>295</v>
      </c>
      <c r="AU305" s="22">
        <v>0.34399400000000002</v>
      </c>
      <c r="AV305">
        <f t="shared" si="56"/>
        <v>17.428599999999999</v>
      </c>
      <c r="AW305">
        <f t="shared" si="57"/>
        <v>6.0049021297999996</v>
      </c>
      <c r="AX305" s="9"/>
      <c r="AY305" s="22">
        <v>1.3855</v>
      </c>
      <c r="AZ305" s="22">
        <v>502.76600000000002</v>
      </c>
      <c r="BA305" s="22">
        <v>-1.65253E-2</v>
      </c>
      <c r="BB305" s="22">
        <v>295</v>
      </c>
      <c r="BC305" s="22">
        <v>1.38428</v>
      </c>
      <c r="BD305">
        <f t="shared" si="58"/>
        <v>16.525300000000001</v>
      </c>
      <c r="BE305">
        <f t="shared" si="59"/>
        <v>22.895803150000003</v>
      </c>
    </row>
    <row r="306" spans="6:57">
      <c r="F306" s="9"/>
      <c r="G306" s="22">
        <v>0.33950799999999998</v>
      </c>
      <c r="H306" s="22">
        <v>138.042</v>
      </c>
      <c r="I306" s="22">
        <v>-1.74133E-2</v>
      </c>
      <c r="J306" s="22">
        <v>296</v>
      </c>
      <c r="K306" s="22">
        <v>0.338837</v>
      </c>
      <c r="L306">
        <f t="shared" si="48"/>
        <v>17.4133</v>
      </c>
      <c r="M306">
        <f t="shared" si="49"/>
        <v>5.9119546563999998</v>
      </c>
      <c r="N306" s="9"/>
      <c r="O306" s="22">
        <v>1.39053</v>
      </c>
      <c r="P306" s="22">
        <v>187.14400000000001</v>
      </c>
      <c r="Q306" s="22">
        <v>-1.6448999999999998E-2</v>
      </c>
      <c r="R306" s="22">
        <v>296</v>
      </c>
      <c r="S306" s="22">
        <v>1.39008</v>
      </c>
      <c r="T306">
        <f t="shared" si="50"/>
        <v>16.448999999999998</v>
      </c>
      <c r="U306">
        <f t="shared" si="51"/>
        <v>22.872827969999999</v>
      </c>
      <c r="X306" s="9"/>
      <c r="Y306" s="22">
        <v>0.33950799999999998</v>
      </c>
      <c r="Z306" s="22">
        <v>243.30099999999999</v>
      </c>
      <c r="AA306" s="22">
        <v>-1.7443799999999999E-2</v>
      </c>
      <c r="AB306" s="22">
        <v>296</v>
      </c>
      <c r="AC306" s="22">
        <v>0.33877600000000002</v>
      </c>
      <c r="AD306">
        <f t="shared" si="52"/>
        <v>17.4438</v>
      </c>
      <c r="AE306">
        <f t="shared" si="53"/>
        <v>5.922309650399999</v>
      </c>
      <c r="AF306" s="9"/>
      <c r="AG306" s="22">
        <v>1.39053</v>
      </c>
      <c r="AH306" s="22">
        <v>373.971</v>
      </c>
      <c r="AI306" s="22">
        <v>-1.6522200000000001E-2</v>
      </c>
      <c r="AJ306" s="22">
        <v>296</v>
      </c>
      <c r="AK306" s="22">
        <v>1.38916</v>
      </c>
      <c r="AL306">
        <f t="shared" si="54"/>
        <v>16.522200000000002</v>
      </c>
      <c r="AM306">
        <f t="shared" si="55"/>
        <v>22.974614766000002</v>
      </c>
      <c r="AP306" s="9"/>
      <c r="AQ306" s="22">
        <v>0.33950799999999998</v>
      </c>
      <c r="AR306" s="22">
        <v>451.85300000000001</v>
      </c>
      <c r="AS306" s="22">
        <v>-1.7431599999999998E-2</v>
      </c>
      <c r="AT306" s="22">
        <v>296</v>
      </c>
      <c r="AU306" s="22">
        <v>0.33871499999999999</v>
      </c>
      <c r="AV306">
        <f t="shared" si="56"/>
        <v>17.4316</v>
      </c>
      <c r="AW306">
        <f t="shared" si="57"/>
        <v>5.9181676527999993</v>
      </c>
      <c r="AX306" s="9"/>
      <c r="AY306" s="22">
        <v>1.39053</v>
      </c>
      <c r="AZ306" s="22">
        <v>502.86599999999999</v>
      </c>
      <c r="BA306" s="22">
        <v>-1.6522200000000001E-2</v>
      </c>
      <c r="BB306" s="22">
        <v>296</v>
      </c>
      <c r="BC306" s="22">
        <v>1.3897699999999999</v>
      </c>
      <c r="BD306">
        <f t="shared" si="58"/>
        <v>16.522200000000002</v>
      </c>
      <c r="BE306">
        <f t="shared" si="59"/>
        <v>22.974614766000002</v>
      </c>
    </row>
    <row r="307" spans="6:57">
      <c r="F307" s="9"/>
      <c r="G307" s="22">
        <v>0.33447300000000002</v>
      </c>
      <c r="H307" s="22">
        <v>138.143</v>
      </c>
      <c r="I307" s="22">
        <v>-1.7416399999999999E-2</v>
      </c>
      <c r="J307" s="22">
        <v>297</v>
      </c>
      <c r="K307" s="22">
        <v>0.33383200000000002</v>
      </c>
      <c r="L307">
        <f t="shared" si="48"/>
        <v>17.416399999999999</v>
      </c>
      <c r="M307">
        <f t="shared" si="49"/>
        <v>5.8253155572000006</v>
      </c>
      <c r="N307" s="9"/>
      <c r="O307" s="22">
        <v>1.39557</v>
      </c>
      <c r="P307" s="22">
        <v>187.245</v>
      </c>
      <c r="Q307" s="22">
        <v>-1.6436800000000001E-2</v>
      </c>
      <c r="R307" s="22">
        <v>297</v>
      </c>
      <c r="S307" s="22">
        <v>1.3946499999999999</v>
      </c>
      <c r="T307">
        <f t="shared" si="50"/>
        <v>16.436800000000002</v>
      </c>
      <c r="U307">
        <f t="shared" si="51"/>
        <v>22.938704976</v>
      </c>
      <c r="X307" s="9"/>
      <c r="Y307" s="22">
        <v>0.33447300000000002</v>
      </c>
      <c r="Z307" s="22">
        <v>243.40199999999999</v>
      </c>
      <c r="AA307" s="22">
        <v>-1.745E-2</v>
      </c>
      <c r="AB307" s="22">
        <v>297</v>
      </c>
      <c r="AC307" s="22">
        <v>0.33386199999999999</v>
      </c>
      <c r="AD307">
        <f t="shared" si="52"/>
        <v>17.45</v>
      </c>
      <c r="AE307">
        <f t="shared" si="53"/>
        <v>5.8365538500000005</v>
      </c>
      <c r="AF307" s="9"/>
      <c r="AG307" s="22">
        <v>1.39557</v>
      </c>
      <c r="AH307" s="22">
        <v>374.072</v>
      </c>
      <c r="AI307" s="22">
        <v>-1.651E-2</v>
      </c>
      <c r="AJ307" s="22">
        <v>297</v>
      </c>
      <c r="AK307" s="22">
        <v>1.39374</v>
      </c>
      <c r="AL307">
        <f t="shared" si="54"/>
        <v>16.510000000000002</v>
      </c>
      <c r="AM307">
        <f t="shared" si="55"/>
        <v>23.040860700000003</v>
      </c>
      <c r="AP307" s="9"/>
      <c r="AQ307" s="22">
        <v>0.33447300000000002</v>
      </c>
      <c r="AR307" s="22">
        <v>451.95299999999997</v>
      </c>
      <c r="AS307" s="22">
        <v>-1.7434700000000001E-2</v>
      </c>
      <c r="AT307" s="22">
        <v>297</v>
      </c>
      <c r="AU307" s="22">
        <v>0.33383200000000002</v>
      </c>
      <c r="AV307">
        <f t="shared" si="56"/>
        <v>17.434699999999999</v>
      </c>
      <c r="AW307">
        <f t="shared" si="57"/>
        <v>5.8314364131000005</v>
      </c>
      <c r="AX307" s="9"/>
      <c r="AY307" s="22">
        <v>1.39557</v>
      </c>
      <c r="AZ307" s="22">
        <v>502.96699999999998</v>
      </c>
      <c r="BA307" s="22">
        <v>-1.6513099999999999E-2</v>
      </c>
      <c r="BB307" s="22">
        <v>297</v>
      </c>
      <c r="BC307" s="22">
        <v>1.3946499999999999</v>
      </c>
      <c r="BD307">
        <f t="shared" si="58"/>
        <v>16.513099999999998</v>
      </c>
      <c r="BE307">
        <f t="shared" si="59"/>
        <v>23.045186966999996</v>
      </c>
    </row>
    <row r="308" spans="6:57">
      <c r="F308" s="9"/>
      <c r="G308" s="22">
        <v>0.32943699999999998</v>
      </c>
      <c r="H308" s="22">
        <v>138.244</v>
      </c>
      <c r="I308" s="22">
        <v>-1.74225E-2</v>
      </c>
      <c r="J308" s="22">
        <v>298</v>
      </c>
      <c r="K308" s="22">
        <v>0.32864399999999999</v>
      </c>
      <c r="L308">
        <f t="shared" si="48"/>
        <v>17.422499999999999</v>
      </c>
      <c r="M308">
        <f t="shared" si="49"/>
        <v>5.7396161324999992</v>
      </c>
      <c r="N308" s="9"/>
      <c r="O308" s="22">
        <v>1.4006000000000001</v>
      </c>
      <c r="P308" s="22">
        <v>187.346</v>
      </c>
      <c r="Q308" s="22">
        <v>-1.6430699999999999E-2</v>
      </c>
      <c r="R308" s="22">
        <v>298</v>
      </c>
      <c r="S308" s="22">
        <v>1.40015</v>
      </c>
      <c r="T308">
        <f t="shared" si="50"/>
        <v>16.430699999999998</v>
      </c>
      <c r="U308">
        <f t="shared" si="51"/>
        <v>23.012838419999998</v>
      </c>
      <c r="X308" s="9"/>
      <c r="Y308" s="22">
        <v>0.32943699999999998</v>
      </c>
      <c r="Z308" s="22">
        <v>243.50200000000001</v>
      </c>
      <c r="AA308" s="22">
        <v>-1.7453E-2</v>
      </c>
      <c r="AB308" s="22">
        <v>298</v>
      </c>
      <c r="AC308" s="22">
        <v>0.32894899999999999</v>
      </c>
      <c r="AD308">
        <f t="shared" si="52"/>
        <v>17.452999999999999</v>
      </c>
      <c r="AE308">
        <f t="shared" si="53"/>
        <v>5.7496639609999995</v>
      </c>
      <c r="AF308" s="9"/>
      <c r="AG308" s="22">
        <v>1.4006000000000001</v>
      </c>
      <c r="AH308" s="22">
        <v>374.173</v>
      </c>
      <c r="AI308" s="22">
        <v>-1.6507000000000001E-2</v>
      </c>
      <c r="AJ308" s="22">
        <v>298</v>
      </c>
      <c r="AK308" s="22">
        <v>1.39984</v>
      </c>
      <c r="AL308">
        <f t="shared" si="54"/>
        <v>16.507000000000001</v>
      </c>
      <c r="AM308">
        <f t="shared" si="55"/>
        <v>23.119704200000005</v>
      </c>
      <c r="AP308" s="9"/>
      <c r="AQ308" s="22">
        <v>0.32943699999999998</v>
      </c>
      <c r="AR308" s="22">
        <v>452.05399999999997</v>
      </c>
      <c r="AS308" s="22">
        <v>-1.7440799999999999E-2</v>
      </c>
      <c r="AT308" s="22">
        <v>298</v>
      </c>
      <c r="AU308" s="22">
        <v>0.32867400000000002</v>
      </c>
      <c r="AV308">
        <f t="shared" si="56"/>
        <v>17.440799999999999</v>
      </c>
      <c r="AW308">
        <f t="shared" si="57"/>
        <v>5.7456448295999998</v>
      </c>
      <c r="AX308" s="9"/>
      <c r="AY308" s="22">
        <v>1.4006000000000001</v>
      </c>
      <c r="AZ308" s="22">
        <v>503.06799999999998</v>
      </c>
      <c r="BA308" s="22">
        <v>-1.6507000000000001E-2</v>
      </c>
      <c r="BB308" s="22">
        <v>298</v>
      </c>
      <c r="BC308" s="22">
        <v>1.39984</v>
      </c>
      <c r="BD308">
        <f t="shared" si="58"/>
        <v>16.507000000000001</v>
      </c>
      <c r="BE308">
        <f t="shared" si="59"/>
        <v>23.119704200000005</v>
      </c>
    </row>
    <row r="309" spans="6:57">
      <c r="F309" s="9"/>
      <c r="G309" s="22">
        <v>0.32440200000000002</v>
      </c>
      <c r="H309" s="22">
        <v>138.345</v>
      </c>
      <c r="I309" s="22">
        <v>-1.74255E-2</v>
      </c>
      <c r="J309" s="22">
        <v>299</v>
      </c>
      <c r="K309" s="22">
        <v>0.323822</v>
      </c>
      <c r="L309">
        <f t="shared" si="48"/>
        <v>17.4255</v>
      </c>
      <c r="M309">
        <f t="shared" si="49"/>
        <v>5.6528670510000003</v>
      </c>
      <c r="N309" s="9"/>
      <c r="O309" s="22">
        <v>1.40564</v>
      </c>
      <c r="P309" s="22">
        <v>187.446</v>
      </c>
      <c r="Q309" s="22">
        <v>-1.64154E-2</v>
      </c>
      <c r="R309" s="22">
        <v>299</v>
      </c>
      <c r="S309" s="22">
        <v>1.40564</v>
      </c>
      <c r="T309">
        <f t="shared" si="50"/>
        <v>16.415400000000002</v>
      </c>
      <c r="U309">
        <f t="shared" si="51"/>
        <v>23.074142856000002</v>
      </c>
      <c r="X309" s="9"/>
      <c r="Y309" s="22">
        <v>0.32440200000000002</v>
      </c>
      <c r="Z309" s="22">
        <v>243.60300000000001</v>
      </c>
      <c r="AA309" s="22">
        <v>-1.7453E-2</v>
      </c>
      <c r="AB309" s="22">
        <v>299</v>
      </c>
      <c r="AC309" s="22">
        <v>0.32376100000000002</v>
      </c>
      <c r="AD309">
        <f t="shared" si="52"/>
        <v>17.452999999999999</v>
      </c>
      <c r="AE309">
        <f t="shared" si="53"/>
        <v>5.6617881060000004</v>
      </c>
      <c r="AF309" s="9"/>
      <c r="AG309" s="22">
        <v>1.40564</v>
      </c>
      <c r="AH309" s="22">
        <v>374.27300000000002</v>
      </c>
      <c r="AI309" s="22">
        <v>-1.64978E-2</v>
      </c>
      <c r="AJ309" s="22">
        <v>299</v>
      </c>
      <c r="AK309" s="22">
        <v>1.40503</v>
      </c>
      <c r="AL309">
        <f t="shared" si="54"/>
        <v>16.497800000000002</v>
      </c>
      <c r="AM309">
        <f t="shared" si="55"/>
        <v>23.189967592000002</v>
      </c>
      <c r="AP309" s="9"/>
      <c r="AQ309" s="22">
        <v>0.32440200000000002</v>
      </c>
      <c r="AR309" s="22">
        <v>452.15499999999997</v>
      </c>
      <c r="AS309" s="22">
        <v>-1.7446900000000001E-2</v>
      </c>
      <c r="AT309" s="22">
        <v>299</v>
      </c>
      <c r="AU309" s="22">
        <v>0.323822</v>
      </c>
      <c r="AV309">
        <f t="shared" si="56"/>
        <v>17.446900000000003</v>
      </c>
      <c r="AW309">
        <f t="shared" si="57"/>
        <v>5.6598092538000015</v>
      </c>
      <c r="AX309" s="9"/>
      <c r="AY309" s="22">
        <v>1.40564</v>
      </c>
      <c r="AZ309" s="22">
        <v>503.16800000000001</v>
      </c>
      <c r="BA309" s="22">
        <v>-1.6500899999999999E-2</v>
      </c>
      <c r="BB309" s="22">
        <v>299</v>
      </c>
      <c r="BC309" s="22">
        <v>1.40503</v>
      </c>
      <c r="BD309">
        <f t="shared" si="58"/>
        <v>16.500899999999998</v>
      </c>
      <c r="BE309">
        <f t="shared" si="59"/>
        <v>23.194325075999998</v>
      </c>
    </row>
    <row r="310" spans="6:57">
      <c r="F310" s="9"/>
      <c r="G310" s="22">
        <v>0.31936599999999998</v>
      </c>
      <c r="H310" s="22">
        <v>138.44499999999999</v>
      </c>
      <c r="I310" s="22">
        <v>-1.7431599999999998E-2</v>
      </c>
      <c r="J310" s="22">
        <v>300</v>
      </c>
      <c r="K310" s="22">
        <v>0.31881700000000002</v>
      </c>
      <c r="L310">
        <f t="shared" si="48"/>
        <v>17.4316</v>
      </c>
      <c r="M310">
        <f t="shared" si="49"/>
        <v>5.5670603655999997</v>
      </c>
      <c r="N310" s="9"/>
      <c r="O310" s="22">
        <v>1.4106799999999999</v>
      </c>
      <c r="P310" s="22">
        <v>187.547</v>
      </c>
      <c r="Q310" s="22">
        <v>-1.64032E-2</v>
      </c>
      <c r="R310" s="22">
        <v>300</v>
      </c>
      <c r="S310" s="22">
        <v>1.40991</v>
      </c>
      <c r="T310">
        <f t="shared" si="50"/>
        <v>16.403199999999998</v>
      </c>
      <c r="U310">
        <f t="shared" si="51"/>
        <v>23.139666175999995</v>
      </c>
      <c r="X310" s="9"/>
      <c r="Y310" s="22">
        <v>0.31936599999999998</v>
      </c>
      <c r="Z310" s="22">
        <v>243.70400000000001</v>
      </c>
      <c r="AA310" s="22">
        <v>-1.7459100000000002E-2</v>
      </c>
      <c r="AB310" s="22">
        <v>300</v>
      </c>
      <c r="AC310" s="22">
        <v>0.31863399999999997</v>
      </c>
      <c r="AD310">
        <f t="shared" si="52"/>
        <v>17.459100000000003</v>
      </c>
      <c r="AE310">
        <f t="shared" si="53"/>
        <v>5.5758429306000004</v>
      </c>
      <c r="AF310" s="9"/>
      <c r="AG310" s="22">
        <v>1.4106799999999999</v>
      </c>
      <c r="AH310" s="22">
        <v>374.37400000000002</v>
      </c>
      <c r="AI310" s="22">
        <v>-1.6488599999999999E-2</v>
      </c>
      <c r="AJ310" s="22">
        <v>300</v>
      </c>
      <c r="AK310" s="22">
        <v>1.40991</v>
      </c>
      <c r="AL310">
        <f t="shared" si="54"/>
        <v>16.488599999999998</v>
      </c>
      <c r="AM310">
        <f t="shared" si="55"/>
        <v>23.260138247999997</v>
      </c>
      <c r="AP310" s="9"/>
      <c r="AQ310" s="22">
        <v>0.31936599999999998</v>
      </c>
      <c r="AR310" s="22">
        <v>452.255</v>
      </c>
      <c r="AS310" s="22">
        <v>-1.745E-2</v>
      </c>
      <c r="AT310" s="22">
        <v>300</v>
      </c>
      <c r="AU310" s="22">
        <v>0.31875599999999998</v>
      </c>
      <c r="AV310">
        <f t="shared" si="56"/>
        <v>17.45</v>
      </c>
      <c r="AW310">
        <f t="shared" si="57"/>
        <v>5.5729366999999996</v>
      </c>
      <c r="AX310" s="9"/>
      <c r="AY310" s="22">
        <v>1.4106799999999999</v>
      </c>
      <c r="AZ310" s="22">
        <v>503.26900000000001</v>
      </c>
      <c r="BA310" s="22">
        <v>-1.6488599999999999E-2</v>
      </c>
      <c r="BB310" s="22">
        <v>300</v>
      </c>
      <c r="BC310" s="22">
        <v>1.41052</v>
      </c>
      <c r="BD310">
        <f t="shared" si="58"/>
        <v>16.488599999999998</v>
      </c>
      <c r="BE310">
        <f t="shared" si="59"/>
        <v>23.260138247999997</v>
      </c>
    </row>
    <row r="311" spans="6:57">
      <c r="F311" s="9"/>
      <c r="G311" s="22">
        <v>0.31433100000000003</v>
      </c>
      <c r="H311" s="22">
        <v>138.54599999999999</v>
      </c>
      <c r="I311" s="22">
        <v>-1.74377E-2</v>
      </c>
      <c r="J311" s="22">
        <v>301</v>
      </c>
      <c r="K311" s="22">
        <v>0.31372100000000003</v>
      </c>
      <c r="L311">
        <f t="shared" si="48"/>
        <v>17.4377</v>
      </c>
      <c r="M311">
        <f t="shared" si="49"/>
        <v>5.4812096787</v>
      </c>
      <c r="N311" s="9"/>
      <c r="O311" s="22">
        <v>1.41571</v>
      </c>
      <c r="P311" s="22">
        <v>187.648</v>
      </c>
      <c r="Q311" s="22">
        <v>-1.6393999999999999E-2</v>
      </c>
      <c r="R311" s="22">
        <v>301</v>
      </c>
      <c r="S311" s="22">
        <v>1.41479</v>
      </c>
      <c r="T311">
        <f t="shared" si="50"/>
        <v>16.393999999999998</v>
      </c>
      <c r="U311">
        <f t="shared" si="51"/>
        <v>23.209149739999997</v>
      </c>
      <c r="X311" s="9"/>
      <c r="Y311" s="22">
        <v>0.31433100000000003</v>
      </c>
      <c r="Z311" s="22">
        <v>243.80500000000001</v>
      </c>
      <c r="AA311" s="22">
        <v>-1.7462200000000001E-2</v>
      </c>
      <c r="AB311" s="22">
        <v>301</v>
      </c>
      <c r="AC311" s="22">
        <v>0.31369000000000002</v>
      </c>
      <c r="AD311">
        <f t="shared" si="52"/>
        <v>17.462199999999999</v>
      </c>
      <c r="AE311">
        <f t="shared" si="53"/>
        <v>5.4889107882000001</v>
      </c>
      <c r="AF311" s="9"/>
      <c r="AG311" s="22">
        <v>1.41571</v>
      </c>
      <c r="AH311" s="22">
        <v>374.47500000000002</v>
      </c>
      <c r="AI311" s="22">
        <v>-1.6482500000000001E-2</v>
      </c>
      <c r="AJ311" s="22">
        <v>301</v>
      </c>
      <c r="AK311" s="22">
        <v>1.41479</v>
      </c>
      <c r="AL311">
        <f t="shared" si="54"/>
        <v>16.482500000000002</v>
      </c>
      <c r="AM311">
        <f t="shared" si="55"/>
        <v>23.334440075000003</v>
      </c>
      <c r="AP311" s="9"/>
      <c r="AQ311" s="22">
        <v>0.31433100000000003</v>
      </c>
      <c r="AR311" s="22">
        <v>452.35599999999999</v>
      </c>
      <c r="AS311" s="22">
        <v>-1.7453E-2</v>
      </c>
      <c r="AT311" s="22">
        <v>301</v>
      </c>
      <c r="AU311" s="22">
        <v>0.31372100000000003</v>
      </c>
      <c r="AV311">
        <f t="shared" si="56"/>
        <v>17.452999999999999</v>
      </c>
      <c r="AW311">
        <f t="shared" si="57"/>
        <v>5.4860189430000004</v>
      </c>
      <c r="AX311" s="9"/>
      <c r="AY311" s="22">
        <v>1.41571</v>
      </c>
      <c r="AZ311" s="22">
        <v>503.37</v>
      </c>
      <c r="BA311" s="22">
        <v>-1.64856E-2</v>
      </c>
      <c r="BB311" s="22">
        <v>301</v>
      </c>
      <c r="BC311" s="22">
        <v>1.41449</v>
      </c>
      <c r="BD311">
        <f t="shared" si="58"/>
        <v>16.485599999999998</v>
      </c>
      <c r="BE311">
        <f t="shared" si="59"/>
        <v>23.338828775999996</v>
      </c>
    </row>
    <row r="312" spans="6:57">
      <c r="F312" s="9"/>
      <c r="G312" s="22">
        <v>0.30929600000000002</v>
      </c>
      <c r="H312" s="22">
        <v>138.64699999999999</v>
      </c>
      <c r="I312" s="22">
        <v>-1.7440799999999999E-2</v>
      </c>
      <c r="J312" s="22">
        <v>302</v>
      </c>
      <c r="K312" s="22">
        <v>0.308533</v>
      </c>
      <c r="L312">
        <f t="shared" si="48"/>
        <v>17.440799999999999</v>
      </c>
      <c r="M312">
        <f t="shared" si="49"/>
        <v>5.3943696768000002</v>
      </c>
      <c r="N312" s="9"/>
      <c r="O312" s="22">
        <v>1.42075</v>
      </c>
      <c r="P312" s="22">
        <v>187.74799999999999</v>
      </c>
      <c r="Q312" s="22">
        <v>-1.6381799999999998E-2</v>
      </c>
      <c r="R312" s="22">
        <v>302</v>
      </c>
      <c r="S312" s="22">
        <v>1.41998</v>
      </c>
      <c r="T312">
        <f t="shared" si="50"/>
        <v>16.381799999999998</v>
      </c>
      <c r="U312">
        <f t="shared" si="51"/>
        <v>23.274442349999998</v>
      </c>
      <c r="X312" s="9"/>
      <c r="Y312" s="22">
        <v>0.30929600000000002</v>
      </c>
      <c r="Z312" s="22">
        <v>243.905</v>
      </c>
      <c r="AA312" s="22">
        <v>-1.74652E-2</v>
      </c>
      <c r="AB312" s="22">
        <v>302</v>
      </c>
      <c r="AC312" s="22">
        <v>0.30862400000000001</v>
      </c>
      <c r="AD312">
        <f t="shared" si="52"/>
        <v>17.465199999999999</v>
      </c>
      <c r="AE312">
        <f t="shared" si="53"/>
        <v>5.4019164992000004</v>
      </c>
      <c r="AF312" s="9"/>
      <c r="AG312" s="22">
        <v>1.42075</v>
      </c>
      <c r="AH312" s="22">
        <v>374.57600000000002</v>
      </c>
      <c r="AI312" s="22">
        <v>-1.6473399999999999E-2</v>
      </c>
      <c r="AJ312" s="22">
        <v>302</v>
      </c>
      <c r="AK312" s="22">
        <v>1.4196800000000001</v>
      </c>
      <c r="AL312">
        <f t="shared" si="54"/>
        <v>16.473399999999998</v>
      </c>
      <c r="AM312">
        <f t="shared" si="55"/>
        <v>23.404583049999996</v>
      </c>
      <c r="AP312" s="9"/>
      <c r="AQ312" s="22">
        <v>0.30929600000000002</v>
      </c>
      <c r="AR312" s="22">
        <v>452.45699999999999</v>
      </c>
      <c r="AS312" s="22">
        <v>-1.7456099999999999E-2</v>
      </c>
      <c r="AT312" s="22">
        <v>302</v>
      </c>
      <c r="AU312" s="22">
        <v>0.30868499999999999</v>
      </c>
      <c r="AV312">
        <f t="shared" si="56"/>
        <v>17.456099999999999</v>
      </c>
      <c r="AW312">
        <f t="shared" si="57"/>
        <v>5.3991019056000003</v>
      </c>
      <c r="AX312" s="9"/>
      <c r="AY312" s="22">
        <v>1.42075</v>
      </c>
      <c r="AZ312" s="22">
        <v>503.471</v>
      </c>
      <c r="BA312" s="22">
        <v>-1.6476399999999999E-2</v>
      </c>
      <c r="BB312" s="22">
        <v>302</v>
      </c>
      <c r="BC312" s="22">
        <v>1.41998</v>
      </c>
      <c r="BD312">
        <f t="shared" si="58"/>
        <v>16.476399999999998</v>
      </c>
      <c r="BE312">
        <f t="shared" si="59"/>
        <v>23.408845299999996</v>
      </c>
    </row>
    <row r="313" spans="6:57">
      <c r="F313" s="9"/>
      <c r="G313" s="22">
        <v>0.30425999999999997</v>
      </c>
      <c r="H313" s="22">
        <v>138.74700000000001</v>
      </c>
      <c r="I313" s="22">
        <v>-1.7443799999999999E-2</v>
      </c>
      <c r="J313" s="22">
        <v>303</v>
      </c>
      <c r="K313" s="22">
        <v>0.30352800000000002</v>
      </c>
      <c r="L313">
        <f t="shared" si="48"/>
        <v>17.4438</v>
      </c>
      <c r="M313">
        <f t="shared" si="49"/>
        <v>5.3074505879999991</v>
      </c>
      <c r="N313" s="9"/>
      <c r="O313" s="22">
        <v>1.42578</v>
      </c>
      <c r="P313" s="22">
        <v>187.84899999999999</v>
      </c>
      <c r="Q313" s="22">
        <v>-1.6366599999999999E-2</v>
      </c>
      <c r="R313" s="22">
        <v>303</v>
      </c>
      <c r="S313" s="22">
        <v>1.4248700000000001</v>
      </c>
      <c r="T313">
        <f t="shared" si="50"/>
        <v>16.366599999999998</v>
      </c>
      <c r="U313">
        <f t="shared" si="51"/>
        <v>23.335170947999998</v>
      </c>
      <c r="X313" s="9"/>
      <c r="Y313" s="22">
        <v>0.30425999999999997</v>
      </c>
      <c r="Z313" s="22">
        <v>244.006</v>
      </c>
      <c r="AA313" s="22">
        <v>-1.7468299999999999E-2</v>
      </c>
      <c r="AB313" s="22">
        <v>303</v>
      </c>
      <c r="AC313" s="22">
        <v>0.30340600000000001</v>
      </c>
      <c r="AD313">
        <f t="shared" si="52"/>
        <v>17.468299999999999</v>
      </c>
      <c r="AE313">
        <f t="shared" si="53"/>
        <v>5.3149049579999996</v>
      </c>
      <c r="AF313" s="9"/>
      <c r="AG313" s="22">
        <v>1.42578</v>
      </c>
      <c r="AH313" s="22">
        <v>374.67599999999999</v>
      </c>
      <c r="AI313" s="22">
        <v>-1.6467300000000001E-2</v>
      </c>
      <c r="AJ313" s="22">
        <v>303</v>
      </c>
      <c r="AK313" s="22">
        <v>1.42456</v>
      </c>
      <c r="AL313">
        <f t="shared" si="54"/>
        <v>16.467300000000002</v>
      </c>
      <c r="AM313">
        <f t="shared" si="55"/>
        <v>23.478746994000002</v>
      </c>
      <c r="AP313" s="9"/>
      <c r="AQ313" s="22">
        <v>0.30425999999999997</v>
      </c>
      <c r="AR313" s="22">
        <v>452.55700000000002</v>
      </c>
      <c r="AS313" s="22">
        <v>-1.7456099999999999E-2</v>
      </c>
      <c r="AT313" s="22">
        <v>303</v>
      </c>
      <c r="AU313" s="22">
        <v>0.30346699999999999</v>
      </c>
      <c r="AV313">
        <f t="shared" si="56"/>
        <v>17.456099999999999</v>
      </c>
      <c r="AW313">
        <f t="shared" si="57"/>
        <v>5.3111929859999991</v>
      </c>
      <c r="AX313" s="9"/>
      <c r="AY313" s="22">
        <v>1.42578</v>
      </c>
      <c r="AZ313" s="22">
        <v>503.57100000000003</v>
      </c>
      <c r="BA313" s="22">
        <v>-1.6473399999999999E-2</v>
      </c>
      <c r="BB313" s="22">
        <v>303</v>
      </c>
      <c r="BC313" s="22">
        <v>1.4248700000000001</v>
      </c>
      <c r="BD313">
        <f t="shared" si="58"/>
        <v>16.473399999999998</v>
      </c>
      <c r="BE313">
        <f t="shared" si="59"/>
        <v>23.487444252</v>
      </c>
    </row>
    <row r="314" spans="6:57">
      <c r="F314" s="9"/>
      <c r="G314" s="22">
        <v>0.29922500000000002</v>
      </c>
      <c r="H314" s="22">
        <v>138.84800000000001</v>
      </c>
      <c r="I314" s="22">
        <v>-1.7446900000000001E-2</v>
      </c>
      <c r="J314" s="22">
        <v>304</v>
      </c>
      <c r="K314" s="22">
        <v>0.29861500000000002</v>
      </c>
      <c r="L314">
        <f t="shared" si="48"/>
        <v>17.446900000000003</v>
      </c>
      <c r="M314">
        <f t="shared" si="49"/>
        <v>5.2205486525000016</v>
      </c>
      <c r="N314" s="9"/>
      <c r="O314" s="22">
        <v>1.43082</v>
      </c>
      <c r="P314" s="22">
        <v>187.95</v>
      </c>
      <c r="Q314" s="22">
        <v>-1.6351299999999999E-2</v>
      </c>
      <c r="R314" s="22">
        <v>304</v>
      </c>
      <c r="S314" s="22">
        <v>1.43005</v>
      </c>
      <c r="T314">
        <f t="shared" si="50"/>
        <v>16.351299999999998</v>
      </c>
      <c r="U314">
        <f t="shared" si="51"/>
        <v>23.395767065999998</v>
      </c>
      <c r="X314" s="9"/>
      <c r="Y314" s="22">
        <v>0.29922500000000002</v>
      </c>
      <c r="Z314" s="22">
        <v>244.107</v>
      </c>
      <c r="AA314" s="22">
        <v>-1.7471299999999999E-2</v>
      </c>
      <c r="AB314" s="22">
        <v>304</v>
      </c>
      <c r="AC314" s="22">
        <v>0.29852299999999998</v>
      </c>
      <c r="AD314">
        <f t="shared" si="52"/>
        <v>17.471299999999999</v>
      </c>
      <c r="AE314">
        <f t="shared" si="53"/>
        <v>5.2278497425000001</v>
      </c>
      <c r="AF314" s="9"/>
      <c r="AG314" s="22">
        <v>1.43082</v>
      </c>
      <c r="AH314" s="22">
        <v>374.77699999999999</v>
      </c>
      <c r="AI314" s="22">
        <v>-1.64551E-2</v>
      </c>
      <c r="AJ314" s="22">
        <v>304</v>
      </c>
      <c r="AK314" s="22">
        <v>1.43066</v>
      </c>
      <c r="AL314">
        <f t="shared" si="54"/>
        <v>16.455100000000002</v>
      </c>
      <c r="AM314">
        <f t="shared" si="55"/>
        <v>23.544286182</v>
      </c>
      <c r="AP314" s="9"/>
      <c r="AQ314" s="22">
        <v>0.29922500000000002</v>
      </c>
      <c r="AR314" s="22">
        <v>452.65800000000002</v>
      </c>
      <c r="AS314" s="22">
        <v>-1.7462200000000001E-2</v>
      </c>
      <c r="AT314" s="22">
        <v>304</v>
      </c>
      <c r="AU314" s="22">
        <v>0.29870600000000003</v>
      </c>
      <c r="AV314">
        <f t="shared" si="56"/>
        <v>17.462199999999999</v>
      </c>
      <c r="AW314">
        <f t="shared" si="57"/>
        <v>5.2251267950000004</v>
      </c>
      <c r="AX314" s="9"/>
      <c r="AY314" s="22">
        <v>1.43082</v>
      </c>
      <c r="AZ314" s="22">
        <v>503.67200000000003</v>
      </c>
      <c r="BA314" s="22">
        <v>-1.64581E-2</v>
      </c>
      <c r="BB314" s="22">
        <v>304</v>
      </c>
      <c r="BC314" s="22">
        <v>1.43005</v>
      </c>
      <c r="BD314">
        <f t="shared" si="58"/>
        <v>16.458099999999998</v>
      </c>
      <c r="BE314">
        <f t="shared" si="59"/>
        <v>23.548578641999995</v>
      </c>
    </row>
    <row r="315" spans="6:57">
      <c r="F315" s="9"/>
      <c r="G315" s="22">
        <v>0.29418899999999998</v>
      </c>
      <c r="H315" s="22">
        <v>138.94900000000001</v>
      </c>
      <c r="I315" s="22">
        <v>-1.7446900000000001E-2</v>
      </c>
      <c r="J315" s="22">
        <v>305</v>
      </c>
      <c r="K315" s="22">
        <v>0.293213</v>
      </c>
      <c r="L315">
        <f t="shared" si="48"/>
        <v>17.446900000000003</v>
      </c>
      <c r="M315">
        <f t="shared" si="49"/>
        <v>5.1326860641000005</v>
      </c>
      <c r="N315" s="9"/>
      <c r="O315" s="22">
        <v>1.4358500000000001</v>
      </c>
      <c r="P315" s="22">
        <v>188.05099999999999</v>
      </c>
      <c r="Q315" s="22">
        <v>-1.6345200000000001E-2</v>
      </c>
      <c r="R315" s="22">
        <v>305</v>
      </c>
      <c r="S315" s="22">
        <v>1.4349400000000001</v>
      </c>
      <c r="T315">
        <f t="shared" si="50"/>
        <v>16.345200000000002</v>
      </c>
      <c r="U315">
        <f t="shared" si="51"/>
        <v>23.469255420000003</v>
      </c>
      <c r="X315" s="9"/>
      <c r="Y315" s="22">
        <v>0.29418899999999998</v>
      </c>
      <c r="Z315" s="22">
        <v>244.20699999999999</v>
      </c>
      <c r="AA315" s="22">
        <v>-1.7477400000000001E-2</v>
      </c>
      <c r="AB315" s="22">
        <v>305</v>
      </c>
      <c r="AC315" s="22">
        <v>0.29357899999999998</v>
      </c>
      <c r="AD315">
        <f t="shared" si="52"/>
        <v>17.477399999999999</v>
      </c>
      <c r="AE315">
        <f t="shared" si="53"/>
        <v>5.1416588285999998</v>
      </c>
      <c r="AF315" s="9"/>
      <c r="AG315" s="22">
        <v>1.4358500000000001</v>
      </c>
      <c r="AH315" s="22">
        <v>374.87799999999999</v>
      </c>
      <c r="AI315" s="22">
        <v>-1.6448999999999998E-2</v>
      </c>
      <c r="AJ315" s="22">
        <v>305</v>
      </c>
      <c r="AK315" s="22">
        <v>1.4352400000000001</v>
      </c>
      <c r="AL315">
        <f t="shared" si="54"/>
        <v>16.448999999999998</v>
      </c>
      <c r="AM315">
        <f t="shared" si="55"/>
        <v>23.618296649999998</v>
      </c>
      <c r="AP315" s="9"/>
      <c r="AQ315" s="22">
        <v>0.29418899999999998</v>
      </c>
      <c r="AR315" s="22">
        <v>452.75900000000001</v>
      </c>
      <c r="AS315" s="22">
        <v>-1.74652E-2</v>
      </c>
      <c r="AT315" s="22">
        <v>305</v>
      </c>
      <c r="AU315" s="22">
        <v>0.29336499999999999</v>
      </c>
      <c r="AV315">
        <f t="shared" si="56"/>
        <v>17.465199999999999</v>
      </c>
      <c r="AW315">
        <f t="shared" si="57"/>
        <v>5.1380697227999992</v>
      </c>
      <c r="AX315" s="9"/>
      <c r="AY315" s="22">
        <v>1.4358500000000001</v>
      </c>
      <c r="AZ315" s="22">
        <v>503.77300000000002</v>
      </c>
      <c r="BA315" s="22">
        <v>-1.6452000000000001E-2</v>
      </c>
      <c r="BB315" s="22">
        <v>305</v>
      </c>
      <c r="BC315" s="22">
        <v>1.4352400000000001</v>
      </c>
      <c r="BD315">
        <f t="shared" si="58"/>
        <v>16.452000000000002</v>
      </c>
      <c r="BE315">
        <f t="shared" si="59"/>
        <v>23.622604200000005</v>
      </c>
    </row>
    <row r="316" spans="6:57">
      <c r="F316" s="9"/>
      <c r="G316" s="22">
        <v>0.28915400000000002</v>
      </c>
      <c r="H316" s="22">
        <v>139.05000000000001</v>
      </c>
      <c r="I316" s="22">
        <v>-1.7453E-2</v>
      </c>
      <c r="J316" s="22">
        <v>306</v>
      </c>
      <c r="K316" s="22">
        <v>0.288574</v>
      </c>
      <c r="L316">
        <f t="shared" si="48"/>
        <v>17.452999999999999</v>
      </c>
      <c r="M316">
        <f t="shared" si="49"/>
        <v>5.0466047620000003</v>
      </c>
      <c r="N316" s="9"/>
      <c r="O316" s="22">
        <v>1.44089</v>
      </c>
      <c r="P316" s="22">
        <v>188.15100000000001</v>
      </c>
      <c r="Q316" s="22">
        <v>-1.6336099999999999E-2</v>
      </c>
      <c r="R316" s="22">
        <v>306</v>
      </c>
      <c r="S316" s="22">
        <v>1.4401200000000001</v>
      </c>
      <c r="T316">
        <f t="shared" si="50"/>
        <v>16.336099999999998</v>
      </c>
      <c r="U316">
        <f t="shared" si="51"/>
        <v>23.538523128999998</v>
      </c>
      <c r="X316" s="9"/>
      <c r="Y316" s="22">
        <v>0.28915400000000002</v>
      </c>
      <c r="Z316" s="22">
        <v>244.30799999999999</v>
      </c>
      <c r="AA316" s="22">
        <v>-1.74805E-2</v>
      </c>
      <c r="AB316" s="22">
        <v>306</v>
      </c>
      <c r="AC316" s="22">
        <v>0.28839100000000001</v>
      </c>
      <c r="AD316">
        <f t="shared" si="52"/>
        <v>17.480499999999999</v>
      </c>
      <c r="AE316">
        <f t="shared" si="53"/>
        <v>5.0545564970000001</v>
      </c>
      <c r="AF316" s="9"/>
      <c r="AG316" s="22">
        <v>1.44089</v>
      </c>
      <c r="AH316" s="22">
        <v>374.97800000000001</v>
      </c>
      <c r="AI316" s="22">
        <v>-1.6436800000000001E-2</v>
      </c>
      <c r="AJ316" s="22">
        <v>306</v>
      </c>
      <c r="AK316" s="22">
        <v>1.4401200000000001</v>
      </c>
      <c r="AL316">
        <f t="shared" si="54"/>
        <v>16.436800000000002</v>
      </c>
      <c r="AM316">
        <f t="shared" si="55"/>
        <v>23.683620752000003</v>
      </c>
      <c r="AP316" s="9"/>
      <c r="AQ316" s="22">
        <v>0.28915400000000002</v>
      </c>
      <c r="AR316" s="22">
        <v>452.86</v>
      </c>
      <c r="AS316" s="22">
        <v>-1.74652E-2</v>
      </c>
      <c r="AT316" s="22">
        <v>306</v>
      </c>
      <c r="AU316" s="22">
        <v>0.28832999999999998</v>
      </c>
      <c r="AV316">
        <f t="shared" si="56"/>
        <v>17.465199999999999</v>
      </c>
      <c r="AW316">
        <f t="shared" si="57"/>
        <v>5.0501324408000006</v>
      </c>
      <c r="AX316" s="9"/>
      <c r="AY316" s="22">
        <v>1.44089</v>
      </c>
      <c r="AZ316" s="22">
        <v>503.87299999999999</v>
      </c>
      <c r="BA316" s="22">
        <v>-1.6439800000000001E-2</v>
      </c>
      <c r="BB316" s="22">
        <v>306</v>
      </c>
      <c r="BC316" s="22">
        <v>1.4407300000000001</v>
      </c>
      <c r="BD316">
        <f t="shared" si="58"/>
        <v>16.439800000000002</v>
      </c>
      <c r="BE316">
        <f t="shared" si="59"/>
        <v>23.687943422000004</v>
      </c>
    </row>
    <row r="317" spans="6:57">
      <c r="F317" s="9"/>
      <c r="G317" s="22">
        <v>0.28411900000000001</v>
      </c>
      <c r="H317" s="22">
        <v>139.15</v>
      </c>
      <c r="I317" s="22">
        <v>-1.7459100000000002E-2</v>
      </c>
      <c r="J317" s="22">
        <v>307</v>
      </c>
      <c r="K317" s="22">
        <v>0.28353899999999999</v>
      </c>
      <c r="L317">
        <f t="shared" si="48"/>
        <v>17.459100000000003</v>
      </c>
      <c r="M317">
        <f t="shared" si="49"/>
        <v>4.9604620329000007</v>
      </c>
      <c r="N317" s="9"/>
      <c r="O317" s="22">
        <v>1.4459200000000001</v>
      </c>
      <c r="P317" s="22">
        <v>188.25200000000001</v>
      </c>
      <c r="Q317" s="22">
        <v>-1.63208E-2</v>
      </c>
      <c r="R317" s="22">
        <v>307</v>
      </c>
      <c r="S317" s="22">
        <v>1.4456199999999999</v>
      </c>
      <c r="T317">
        <f t="shared" si="50"/>
        <v>16.320799999999998</v>
      </c>
      <c r="U317">
        <f t="shared" si="51"/>
        <v>23.598571136</v>
      </c>
      <c r="X317" s="9"/>
      <c r="Y317" s="22">
        <v>0.28411900000000001</v>
      </c>
      <c r="Z317" s="22">
        <v>244.40899999999999</v>
      </c>
      <c r="AA317" s="22">
        <v>-1.7483499999999999E-2</v>
      </c>
      <c r="AB317" s="22">
        <v>307</v>
      </c>
      <c r="AC317" s="22">
        <v>0.283447</v>
      </c>
      <c r="AD317">
        <f t="shared" si="52"/>
        <v>17.483499999999999</v>
      </c>
      <c r="AE317">
        <f t="shared" si="53"/>
        <v>4.9673945364999996</v>
      </c>
      <c r="AF317" s="9"/>
      <c r="AG317" s="22">
        <v>1.4459200000000001</v>
      </c>
      <c r="AH317" s="22">
        <v>375.07900000000001</v>
      </c>
      <c r="AI317" s="22">
        <v>-1.6427600000000001E-2</v>
      </c>
      <c r="AJ317" s="22">
        <v>307</v>
      </c>
      <c r="AK317" s="22">
        <v>1.4447000000000001</v>
      </c>
      <c r="AL317">
        <f t="shared" si="54"/>
        <v>16.427600000000002</v>
      </c>
      <c r="AM317">
        <f t="shared" si="55"/>
        <v>23.752995392000003</v>
      </c>
      <c r="AP317" s="9"/>
      <c r="AQ317" s="22">
        <v>0.28411900000000001</v>
      </c>
      <c r="AR317" s="22">
        <v>452.96</v>
      </c>
      <c r="AS317" s="22">
        <v>-1.7471299999999999E-2</v>
      </c>
      <c r="AT317" s="22">
        <v>307</v>
      </c>
      <c r="AU317" s="22">
        <v>0.28353899999999999</v>
      </c>
      <c r="AV317">
        <f t="shared" si="56"/>
        <v>17.471299999999999</v>
      </c>
      <c r="AW317">
        <f t="shared" si="57"/>
        <v>4.9639282846999997</v>
      </c>
      <c r="AX317" s="9"/>
      <c r="AY317" s="22">
        <v>1.4459200000000001</v>
      </c>
      <c r="AZ317" s="22">
        <v>503.97399999999999</v>
      </c>
      <c r="BA317" s="22">
        <v>-1.6430699999999999E-2</v>
      </c>
      <c r="BB317" s="22">
        <v>307</v>
      </c>
      <c r="BC317" s="22">
        <v>1.4443999999999999</v>
      </c>
      <c r="BD317">
        <f t="shared" si="58"/>
        <v>16.430699999999998</v>
      </c>
      <c r="BE317">
        <f t="shared" si="59"/>
        <v>23.757477743999999</v>
      </c>
    </row>
    <row r="318" spans="6:57">
      <c r="F318" s="9"/>
      <c r="G318" s="22">
        <v>0.27908300000000003</v>
      </c>
      <c r="H318" s="22">
        <v>139.251</v>
      </c>
      <c r="I318" s="22">
        <v>-1.7462200000000001E-2</v>
      </c>
      <c r="J318" s="22">
        <v>308</v>
      </c>
      <c r="K318" s="22">
        <v>0.27835100000000002</v>
      </c>
      <c r="L318">
        <f t="shared" si="48"/>
        <v>17.462199999999999</v>
      </c>
      <c r="M318">
        <f t="shared" si="49"/>
        <v>4.8734031625999998</v>
      </c>
      <c r="N318" s="9"/>
      <c r="O318" s="22">
        <v>1.45096</v>
      </c>
      <c r="P318" s="22">
        <v>188.35300000000001</v>
      </c>
      <c r="Q318" s="22">
        <v>-1.6296399999999999E-2</v>
      </c>
      <c r="R318" s="22">
        <v>308</v>
      </c>
      <c r="S318" s="22">
        <v>1.4501999999999999</v>
      </c>
      <c r="T318">
        <f t="shared" si="50"/>
        <v>16.296399999999998</v>
      </c>
      <c r="U318">
        <f t="shared" si="51"/>
        <v>23.645424543999997</v>
      </c>
      <c r="X318" s="9"/>
      <c r="Y318" s="22">
        <v>0.27908300000000003</v>
      </c>
      <c r="Z318" s="22">
        <v>244.51</v>
      </c>
      <c r="AA318" s="22">
        <v>-1.7483499999999999E-2</v>
      </c>
      <c r="AB318" s="22">
        <v>308</v>
      </c>
      <c r="AC318" s="22">
        <v>0.27844200000000002</v>
      </c>
      <c r="AD318">
        <f t="shared" si="52"/>
        <v>17.483499999999999</v>
      </c>
      <c r="AE318">
        <f t="shared" si="53"/>
        <v>4.8793476304999999</v>
      </c>
      <c r="AF318" s="9"/>
      <c r="AG318" s="22">
        <v>1.45096</v>
      </c>
      <c r="AH318" s="22">
        <v>375.18</v>
      </c>
      <c r="AI318" s="22">
        <v>-1.64154E-2</v>
      </c>
      <c r="AJ318" s="22">
        <v>308</v>
      </c>
      <c r="AK318" s="22">
        <v>1.4498899999999999</v>
      </c>
      <c r="AL318">
        <f t="shared" si="54"/>
        <v>16.415400000000002</v>
      </c>
      <c r="AM318">
        <f t="shared" si="55"/>
        <v>23.818088784000004</v>
      </c>
      <c r="AP318" s="9"/>
      <c r="AQ318" s="22">
        <v>0.27908300000000003</v>
      </c>
      <c r="AR318" s="22">
        <v>453.06099999999998</v>
      </c>
      <c r="AS318" s="22">
        <v>-1.7474400000000001E-2</v>
      </c>
      <c r="AT318" s="22">
        <v>308</v>
      </c>
      <c r="AU318" s="22">
        <v>0.27838099999999999</v>
      </c>
      <c r="AV318">
        <f t="shared" si="56"/>
        <v>17.474400000000003</v>
      </c>
      <c r="AW318">
        <f t="shared" si="57"/>
        <v>4.8768079752000011</v>
      </c>
      <c r="AX318" s="9"/>
      <c r="AY318" s="22">
        <v>1.45096</v>
      </c>
      <c r="AZ318" s="22">
        <v>504.07499999999999</v>
      </c>
      <c r="BA318" s="22">
        <v>-1.6424600000000001E-2</v>
      </c>
      <c r="BB318" s="22">
        <v>308</v>
      </c>
      <c r="BC318" s="22">
        <v>1.4498899999999999</v>
      </c>
      <c r="BD318">
        <f t="shared" si="58"/>
        <v>16.424600000000002</v>
      </c>
      <c r="BE318">
        <f t="shared" si="59"/>
        <v>23.831437616000002</v>
      </c>
    </row>
    <row r="319" spans="6:57">
      <c r="F319" s="9"/>
      <c r="G319" s="22">
        <v>0.27404800000000001</v>
      </c>
      <c r="H319" s="22">
        <v>139.352</v>
      </c>
      <c r="I319" s="22">
        <v>-1.74652E-2</v>
      </c>
      <c r="J319" s="22">
        <v>309</v>
      </c>
      <c r="K319" s="22">
        <v>0.27346799999999999</v>
      </c>
      <c r="L319">
        <f t="shared" si="48"/>
        <v>17.465199999999999</v>
      </c>
      <c r="M319">
        <f t="shared" si="49"/>
        <v>4.7863031296000003</v>
      </c>
      <c r="N319" s="9"/>
      <c r="O319" s="22">
        <v>1.4559899999999999</v>
      </c>
      <c r="P319" s="22">
        <v>188.453</v>
      </c>
      <c r="Q319" s="22">
        <v>-1.6290300000000001E-2</v>
      </c>
      <c r="R319" s="22">
        <v>309</v>
      </c>
      <c r="S319" s="22">
        <v>1.4550799999999999</v>
      </c>
      <c r="T319">
        <f t="shared" si="50"/>
        <v>16.290300000000002</v>
      </c>
      <c r="U319">
        <f t="shared" si="51"/>
        <v>23.718513897000001</v>
      </c>
      <c r="X319" s="9"/>
      <c r="Y319" s="22">
        <v>0.27404800000000001</v>
      </c>
      <c r="Z319" s="22">
        <v>244.61</v>
      </c>
      <c r="AA319" s="22">
        <v>-1.7486600000000001E-2</v>
      </c>
      <c r="AB319" s="22">
        <v>309</v>
      </c>
      <c r="AC319" s="22">
        <v>0.27349899999999999</v>
      </c>
      <c r="AD319">
        <f t="shared" si="52"/>
        <v>17.486600000000003</v>
      </c>
      <c r="AE319">
        <f t="shared" si="53"/>
        <v>4.7921677568000014</v>
      </c>
      <c r="AF319" s="9"/>
      <c r="AG319" s="22">
        <v>1.4559899999999999</v>
      </c>
      <c r="AH319" s="22">
        <v>375.28</v>
      </c>
      <c r="AI319" s="22">
        <v>-1.64032E-2</v>
      </c>
      <c r="AJ319" s="22">
        <v>309</v>
      </c>
      <c r="AK319" s="22">
        <v>1.4553799999999999</v>
      </c>
      <c r="AL319">
        <f t="shared" si="54"/>
        <v>16.403199999999998</v>
      </c>
      <c r="AM319">
        <f t="shared" si="55"/>
        <v>23.882895167999997</v>
      </c>
      <c r="AP319" s="9"/>
      <c r="AQ319" s="22">
        <v>0.27404800000000001</v>
      </c>
      <c r="AR319" s="22">
        <v>453.16199999999998</v>
      </c>
      <c r="AS319" s="22">
        <v>-1.74805E-2</v>
      </c>
      <c r="AT319" s="22">
        <v>309</v>
      </c>
      <c r="AU319" s="22">
        <v>0.27340700000000001</v>
      </c>
      <c r="AV319">
        <f t="shared" si="56"/>
        <v>17.480499999999999</v>
      </c>
      <c r="AW319">
        <f t="shared" si="57"/>
        <v>4.7904960640000001</v>
      </c>
      <c r="AX319" s="9"/>
      <c r="AY319" s="22">
        <v>1.4559899999999999</v>
      </c>
      <c r="AZ319" s="22">
        <v>504.17599999999999</v>
      </c>
      <c r="BA319" s="22">
        <v>-1.6409300000000002E-2</v>
      </c>
      <c r="BB319" s="22">
        <v>309</v>
      </c>
      <c r="BC319" s="22">
        <v>1.4556899999999999</v>
      </c>
      <c r="BD319">
        <f t="shared" si="58"/>
        <v>16.409300000000002</v>
      </c>
      <c r="BE319">
        <f t="shared" si="59"/>
        <v>23.891776707000002</v>
      </c>
    </row>
    <row r="320" spans="6:57">
      <c r="F320" s="9"/>
      <c r="G320" s="22">
        <v>0.26901199999999997</v>
      </c>
      <c r="H320" s="22">
        <v>139.452</v>
      </c>
      <c r="I320" s="22">
        <v>-1.7468299999999999E-2</v>
      </c>
      <c r="J320" s="22">
        <v>310</v>
      </c>
      <c r="K320" s="22">
        <v>0.26831100000000002</v>
      </c>
      <c r="L320">
        <f t="shared" si="48"/>
        <v>17.468299999999999</v>
      </c>
      <c r="M320">
        <f t="shared" si="49"/>
        <v>4.6991823195999993</v>
      </c>
      <c r="N320" s="9"/>
      <c r="O320" s="22">
        <v>1.4610300000000001</v>
      </c>
      <c r="P320" s="22">
        <v>188.554</v>
      </c>
      <c r="Q320" s="22">
        <v>-1.6275000000000001E-2</v>
      </c>
      <c r="R320" s="22">
        <v>310</v>
      </c>
      <c r="S320" s="22">
        <v>1.4599599999999999</v>
      </c>
      <c r="T320">
        <f t="shared" si="50"/>
        <v>16.275000000000002</v>
      </c>
      <c r="U320">
        <f t="shared" si="51"/>
        <v>23.778263250000006</v>
      </c>
      <c r="X320" s="9"/>
      <c r="Y320" s="22">
        <v>0.26901199999999997</v>
      </c>
      <c r="Z320" s="22">
        <v>244.71100000000001</v>
      </c>
      <c r="AA320" s="22">
        <v>-1.74927E-2</v>
      </c>
      <c r="AB320" s="22">
        <v>310</v>
      </c>
      <c r="AC320" s="22">
        <v>0.26840199999999997</v>
      </c>
      <c r="AD320">
        <f t="shared" si="52"/>
        <v>17.492699999999999</v>
      </c>
      <c r="AE320">
        <f t="shared" si="53"/>
        <v>4.7057462123999994</v>
      </c>
      <c r="AF320" s="9"/>
      <c r="AG320" s="22">
        <v>1.4610300000000001</v>
      </c>
      <c r="AH320" s="22">
        <v>375.38099999999997</v>
      </c>
      <c r="AI320" s="22">
        <v>-1.6397100000000001E-2</v>
      </c>
      <c r="AJ320" s="22">
        <v>310</v>
      </c>
      <c r="AK320" s="22">
        <v>1.46088</v>
      </c>
      <c r="AL320">
        <f t="shared" si="54"/>
        <v>16.397100000000002</v>
      </c>
      <c r="AM320">
        <f t="shared" si="55"/>
        <v>23.956655013000002</v>
      </c>
      <c r="AP320" s="9"/>
      <c r="AQ320" s="22">
        <v>0.26901199999999997</v>
      </c>
      <c r="AR320" s="22">
        <v>453.262</v>
      </c>
      <c r="AS320" s="22">
        <v>-1.74805E-2</v>
      </c>
      <c r="AT320" s="22">
        <v>310</v>
      </c>
      <c r="AU320" s="22">
        <v>0.26828000000000002</v>
      </c>
      <c r="AV320">
        <f t="shared" si="56"/>
        <v>17.480499999999999</v>
      </c>
      <c r="AW320">
        <f t="shared" si="57"/>
        <v>4.7024642659999989</v>
      </c>
      <c r="AX320" s="9"/>
      <c r="AY320" s="22">
        <v>1.4610300000000001</v>
      </c>
      <c r="AZ320" s="22">
        <v>504.27600000000001</v>
      </c>
      <c r="BA320" s="22">
        <v>-1.64032E-2</v>
      </c>
      <c r="BB320" s="22">
        <v>310</v>
      </c>
      <c r="BC320" s="22">
        <v>1.46027</v>
      </c>
      <c r="BD320">
        <f t="shared" si="58"/>
        <v>16.403199999999998</v>
      </c>
      <c r="BE320">
        <f t="shared" si="59"/>
        <v>23.965567296</v>
      </c>
    </row>
    <row r="321" spans="6:57">
      <c r="F321" s="9"/>
      <c r="G321" s="22">
        <v>0.26397700000000002</v>
      </c>
      <c r="H321" s="22">
        <v>139.553</v>
      </c>
      <c r="I321" s="22">
        <v>-1.7471299999999999E-2</v>
      </c>
      <c r="J321" s="22">
        <v>311</v>
      </c>
      <c r="K321" s="22">
        <v>0.26324500000000001</v>
      </c>
      <c r="L321">
        <f t="shared" si="48"/>
        <v>17.471299999999999</v>
      </c>
      <c r="M321">
        <f t="shared" si="49"/>
        <v>4.6120213601</v>
      </c>
      <c r="N321" s="9"/>
      <c r="O321" s="22">
        <v>1.4660599999999999</v>
      </c>
      <c r="P321" s="22">
        <v>188.655</v>
      </c>
      <c r="Q321" s="22">
        <v>-1.6253699999999999E-2</v>
      </c>
      <c r="R321" s="22">
        <v>311</v>
      </c>
      <c r="S321" s="22">
        <v>1.4648399999999999</v>
      </c>
      <c r="T321">
        <f t="shared" si="50"/>
        <v>16.253699999999998</v>
      </c>
      <c r="U321">
        <f t="shared" si="51"/>
        <v>23.828899421999996</v>
      </c>
      <c r="X321" s="9"/>
      <c r="Y321" s="22">
        <v>0.26397700000000002</v>
      </c>
      <c r="Z321" s="22">
        <v>244.81200000000001</v>
      </c>
      <c r="AA321" s="22">
        <v>-1.74927E-2</v>
      </c>
      <c r="AB321" s="22">
        <v>311</v>
      </c>
      <c r="AC321" s="22">
        <v>0.26327499999999998</v>
      </c>
      <c r="AD321">
        <f t="shared" si="52"/>
        <v>17.492699999999999</v>
      </c>
      <c r="AE321">
        <f t="shared" si="53"/>
        <v>4.6176704679</v>
      </c>
      <c r="AF321" s="9"/>
      <c r="AG321" s="22">
        <v>1.4660599999999999</v>
      </c>
      <c r="AH321" s="22">
        <v>375.48200000000003</v>
      </c>
      <c r="AI321" s="22">
        <v>-1.6384900000000001E-2</v>
      </c>
      <c r="AJ321" s="22">
        <v>311</v>
      </c>
      <c r="AK321" s="22">
        <v>1.46515</v>
      </c>
      <c r="AL321">
        <f t="shared" si="54"/>
        <v>16.384900000000002</v>
      </c>
      <c r="AM321">
        <f t="shared" si="55"/>
        <v>24.021246494</v>
      </c>
      <c r="AP321" s="9"/>
      <c r="AQ321" s="22">
        <v>0.26397700000000002</v>
      </c>
      <c r="AR321" s="22">
        <v>453.363</v>
      </c>
      <c r="AS321" s="22">
        <v>-1.7486600000000001E-2</v>
      </c>
      <c r="AT321" s="22">
        <v>311</v>
      </c>
      <c r="AU321" s="22">
        <v>0.26327499999999998</v>
      </c>
      <c r="AV321">
        <f t="shared" si="56"/>
        <v>17.486600000000003</v>
      </c>
      <c r="AW321">
        <f t="shared" si="57"/>
        <v>4.6160602082000013</v>
      </c>
      <c r="AX321" s="9"/>
      <c r="AY321" s="22">
        <v>1.4660599999999999</v>
      </c>
      <c r="AZ321" s="22">
        <v>504.37700000000001</v>
      </c>
      <c r="BA321" s="22">
        <v>-1.63879E-2</v>
      </c>
      <c r="BB321" s="22">
        <v>311</v>
      </c>
      <c r="BC321" s="22">
        <v>1.4648399999999999</v>
      </c>
      <c r="BD321">
        <f t="shared" si="58"/>
        <v>16.387900000000002</v>
      </c>
      <c r="BE321">
        <f t="shared" si="59"/>
        <v>24.025644674000002</v>
      </c>
    </row>
    <row r="322" spans="6:57">
      <c r="F322" s="9"/>
      <c r="G322" s="22">
        <v>0.25894200000000001</v>
      </c>
      <c r="H322" s="22">
        <v>139.654</v>
      </c>
      <c r="I322" s="22">
        <v>-1.7474400000000001E-2</v>
      </c>
      <c r="J322" s="22">
        <v>312</v>
      </c>
      <c r="K322" s="22">
        <v>0.25824000000000003</v>
      </c>
      <c r="L322">
        <f t="shared" si="48"/>
        <v>17.474400000000003</v>
      </c>
      <c r="M322">
        <f t="shared" si="49"/>
        <v>4.5248560848000006</v>
      </c>
      <c r="N322" s="9"/>
      <c r="O322" s="22">
        <v>1.4711000000000001</v>
      </c>
      <c r="P322" s="22">
        <v>188.755</v>
      </c>
      <c r="Q322" s="22">
        <v>-1.6235400000000001E-2</v>
      </c>
      <c r="R322" s="22">
        <v>312</v>
      </c>
      <c r="S322" s="22">
        <v>1.46973</v>
      </c>
      <c r="T322">
        <f t="shared" si="50"/>
        <v>16.235400000000002</v>
      </c>
      <c r="U322">
        <f t="shared" si="51"/>
        <v>23.883896940000003</v>
      </c>
      <c r="X322" s="9"/>
      <c r="Y322" s="22">
        <v>0.25894200000000001</v>
      </c>
      <c r="Z322" s="22">
        <v>244.91200000000001</v>
      </c>
      <c r="AA322" s="22">
        <v>-1.7498799999999998E-2</v>
      </c>
      <c r="AB322" s="22">
        <v>312</v>
      </c>
      <c r="AC322" s="22">
        <v>0.25827</v>
      </c>
      <c r="AD322">
        <f t="shared" si="52"/>
        <v>17.498799999999999</v>
      </c>
      <c r="AE322">
        <f t="shared" si="53"/>
        <v>4.5311742696000001</v>
      </c>
      <c r="AF322" s="9"/>
      <c r="AG322" s="22">
        <v>1.4711000000000001</v>
      </c>
      <c r="AH322" s="22">
        <v>375.58300000000003</v>
      </c>
      <c r="AI322" s="22">
        <v>-1.63757E-2</v>
      </c>
      <c r="AJ322" s="22">
        <v>312</v>
      </c>
      <c r="AK322" s="22">
        <v>1.47034</v>
      </c>
      <c r="AL322">
        <f t="shared" si="54"/>
        <v>16.375699999999998</v>
      </c>
      <c r="AM322">
        <f t="shared" si="55"/>
        <v>24.090292269999999</v>
      </c>
      <c r="AP322" s="9"/>
      <c r="AQ322" s="22">
        <v>0.25894200000000001</v>
      </c>
      <c r="AR322" s="22">
        <v>453.464</v>
      </c>
      <c r="AS322" s="22">
        <v>-1.7486600000000001E-2</v>
      </c>
      <c r="AT322" s="22">
        <v>312</v>
      </c>
      <c r="AU322" s="22">
        <v>0.25808700000000001</v>
      </c>
      <c r="AV322">
        <f t="shared" si="56"/>
        <v>17.486600000000003</v>
      </c>
      <c r="AW322">
        <f t="shared" si="57"/>
        <v>4.5280151772000012</v>
      </c>
      <c r="AX322" s="9"/>
      <c r="AY322" s="22">
        <v>1.4711000000000001</v>
      </c>
      <c r="AZ322" s="22">
        <v>504.47800000000001</v>
      </c>
      <c r="BA322" s="22">
        <v>-1.6381799999999998E-2</v>
      </c>
      <c r="BB322" s="22">
        <v>312</v>
      </c>
      <c r="BC322" s="22">
        <v>1.4706399999999999</v>
      </c>
      <c r="BD322">
        <f t="shared" si="58"/>
        <v>16.381799999999998</v>
      </c>
      <c r="BE322">
        <f t="shared" si="59"/>
        <v>24.099265979999998</v>
      </c>
    </row>
    <row r="323" spans="6:57">
      <c r="F323" s="9"/>
      <c r="G323" s="22">
        <v>0.25390600000000002</v>
      </c>
      <c r="H323" s="22">
        <v>139.75399999999999</v>
      </c>
      <c r="I323" s="22">
        <v>-1.7477400000000001E-2</v>
      </c>
      <c r="J323" s="22">
        <v>313</v>
      </c>
      <c r="K323" s="22">
        <v>0.25323499999999999</v>
      </c>
      <c r="L323">
        <f t="shared" si="48"/>
        <v>17.477399999999999</v>
      </c>
      <c r="M323">
        <f t="shared" si="49"/>
        <v>4.4376167243999998</v>
      </c>
      <c r="N323" s="9"/>
      <c r="O323" s="22">
        <v>1.47614</v>
      </c>
      <c r="P323" s="22">
        <v>188.85599999999999</v>
      </c>
      <c r="Q323" s="22">
        <v>-1.6213999999999999E-2</v>
      </c>
      <c r="R323" s="22">
        <v>313</v>
      </c>
      <c r="S323" s="22">
        <v>1.47522</v>
      </c>
      <c r="T323">
        <f t="shared" si="50"/>
        <v>16.213999999999999</v>
      </c>
      <c r="U323">
        <f t="shared" si="51"/>
        <v>23.934133959999997</v>
      </c>
      <c r="X323" s="9"/>
      <c r="Y323" s="22">
        <v>0.25390600000000002</v>
      </c>
      <c r="Z323" s="22">
        <v>245.01300000000001</v>
      </c>
      <c r="AA323" s="22">
        <v>-1.7501800000000001E-2</v>
      </c>
      <c r="AB323" s="22">
        <v>313</v>
      </c>
      <c r="AC323" s="22">
        <v>0.25320399999999998</v>
      </c>
      <c r="AD323">
        <f t="shared" si="52"/>
        <v>17.501800000000003</v>
      </c>
      <c r="AE323">
        <f t="shared" si="53"/>
        <v>4.4438120308000011</v>
      </c>
      <c r="AF323" s="9"/>
      <c r="AG323" s="22">
        <v>1.47614</v>
      </c>
      <c r="AH323" s="22">
        <v>375.68299999999999</v>
      </c>
      <c r="AI323" s="22">
        <v>-1.6366599999999999E-2</v>
      </c>
      <c r="AJ323" s="22">
        <v>313</v>
      </c>
      <c r="AK323" s="22">
        <v>1.47522</v>
      </c>
      <c r="AL323">
        <f t="shared" si="54"/>
        <v>16.366599999999998</v>
      </c>
      <c r="AM323">
        <f t="shared" si="55"/>
        <v>24.159392923999999</v>
      </c>
      <c r="AP323" s="9"/>
      <c r="AQ323" s="22">
        <v>0.25390600000000002</v>
      </c>
      <c r="AR323" s="22">
        <v>453.565</v>
      </c>
      <c r="AS323" s="22">
        <v>-1.7495699999999999E-2</v>
      </c>
      <c r="AT323" s="22">
        <v>313</v>
      </c>
      <c r="AU323" s="22">
        <v>0.25326500000000002</v>
      </c>
      <c r="AV323">
        <f t="shared" si="56"/>
        <v>17.495699999999999</v>
      </c>
      <c r="AW323">
        <f t="shared" si="57"/>
        <v>4.4422632042000005</v>
      </c>
      <c r="AX323" s="9"/>
      <c r="AY323" s="22">
        <v>1.47614</v>
      </c>
      <c r="AZ323" s="22">
        <v>504.57799999999997</v>
      </c>
      <c r="BA323" s="22">
        <v>-1.6369600000000002E-2</v>
      </c>
      <c r="BB323" s="22">
        <v>313</v>
      </c>
      <c r="BC323" s="22">
        <v>1.4749099999999999</v>
      </c>
      <c r="BD323">
        <f t="shared" si="58"/>
        <v>16.369600000000002</v>
      </c>
      <c r="BE323">
        <f t="shared" si="59"/>
        <v>24.163821344000002</v>
      </c>
    </row>
    <row r="324" spans="6:57">
      <c r="F324" s="9"/>
      <c r="G324" s="22">
        <v>0.24887100000000001</v>
      </c>
      <c r="H324" s="22">
        <v>139.85499999999999</v>
      </c>
      <c r="I324" s="22">
        <v>-1.7477400000000001E-2</v>
      </c>
      <c r="J324" s="22">
        <v>314</v>
      </c>
      <c r="K324" s="22">
        <v>0.248199</v>
      </c>
      <c r="L324">
        <f t="shared" si="48"/>
        <v>17.477399999999999</v>
      </c>
      <c r="M324">
        <f t="shared" si="49"/>
        <v>4.3496180153999999</v>
      </c>
      <c r="N324" s="9"/>
      <c r="O324" s="22">
        <v>1.4811700000000001</v>
      </c>
      <c r="P324" s="22">
        <v>188.95699999999999</v>
      </c>
      <c r="Q324" s="22">
        <v>-1.6189599999999998E-2</v>
      </c>
      <c r="R324" s="22">
        <v>314</v>
      </c>
      <c r="S324" s="22">
        <v>1.48041</v>
      </c>
      <c r="T324">
        <f t="shared" si="50"/>
        <v>16.189599999999999</v>
      </c>
      <c r="U324">
        <f t="shared" si="51"/>
        <v>23.979549832</v>
      </c>
      <c r="X324" s="9"/>
      <c r="Y324" s="22">
        <v>0.24887100000000001</v>
      </c>
      <c r="Z324" s="22">
        <v>245.114</v>
      </c>
      <c r="AA324" s="22">
        <v>-1.75049E-2</v>
      </c>
      <c r="AB324" s="22">
        <v>314</v>
      </c>
      <c r="AC324" s="22">
        <v>0.24829100000000001</v>
      </c>
      <c r="AD324">
        <f t="shared" si="52"/>
        <v>17.504899999999999</v>
      </c>
      <c r="AE324">
        <f t="shared" si="53"/>
        <v>4.3564619678999996</v>
      </c>
      <c r="AF324" s="9"/>
      <c r="AG324" s="22">
        <v>1.4811700000000001</v>
      </c>
      <c r="AH324" s="22">
        <v>375.78399999999999</v>
      </c>
      <c r="AI324" s="22">
        <v>-1.6351299999999999E-2</v>
      </c>
      <c r="AJ324" s="22">
        <v>314</v>
      </c>
      <c r="AK324" s="22">
        <v>1.48041</v>
      </c>
      <c r="AL324">
        <f t="shared" si="54"/>
        <v>16.351299999999998</v>
      </c>
      <c r="AM324">
        <f t="shared" si="55"/>
        <v>24.219055020999999</v>
      </c>
      <c r="AP324" s="9"/>
      <c r="AQ324" s="22">
        <v>0.24887100000000001</v>
      </c>
      <c r="AR324" s="22">
        <v>453.66500000000002</v>
      </c>
      <c r="AS324" s="22">
        <v>-1.7498799999999998E-2</v>
      </c>
      <c r="AT324" s="22">
        <v>314</v>
      </c>
      <c r="AU324" s="22">
        <v>0.24826000000000001</v>
      </c>
      <c r="AV324">
        <f t="shared" si="56"/>
        <v>17.498799999999999</v>
      </c>
      <c r="AW324">
        <f t="shared" si="57"/>
        <v>4.3549438548000001</v>
      </c>
      <c r="AX324" s="9"/>
      <c r="AY324" s="22">
        <v>1.4811700000000001</v>
      </c>
      <c r="AZ324" s="22">
        <v>504.67899999999997</v>
      </c>
      <c r="BA324" s="22">
        <v>-1.63635E-2</v>
      </c>
      <c r="BB324" s="22">
        <v>314</v>
      </c>
      <c r="BC324" s="22">
        <v>1.48102</v>
      </c>
      <c r="BD324">
        <f t="shared" si="58"/>
        <v>16.363499999999998</v>
      </c>
      <c r="BE324">
        <f t="shared" si="59"/>
        <v>24.237125294999998</v>
      </c>
    </row>
    <row r="325" spans="6:57">
      <c r="F325" s="9"/>
      <c r="G325" s="22">
        <v>0.243835</v>
      </c>
      <c r="H325" s="22">
        <v>139.95599999999999</v>
      </c>
      <c r="I325" s="22">
        <v>-1.7483499999999999E-2</v>
      </c>
      <c r="J325" s="22">
        <v>315</v>
      </c>
      <c r="K325" s="22">
        <v>0.24343899999999999</v>
      </c>
      <c r="L325">
        <f t="shared" si="48"/>
        <v>17.483499999999999</v>
      </c>
      <c r="M325">
        <f t="shared" si="49"/>
        <v>4.2630892224999997</v>
      </c>
      <c r="N325" s="9"/>
      <c r="O325" s="22">
        <v>1.48621</v>
      </c>
      <c r="P325" s="22">
        <v>189.05799999999999</v>
      </c>
      <c r="Q325" s="22">
        <v>-1.61713E-2</v>
      </c>
      <c r="R325" s="22">
        <v>315</v>
      </c>
      <c r="S325" s="22">
        <v>1.48529</v>
      </c>
      <c r="T325">
        <f t="shared" si="50"/>
        <v>16.171299999999999</v>
      </c>
      <c r="U325">
        <f t="shared" si="51"/>
        <v>24.033947772999998</v>
      </c>
      <c r="X325" s="9"/>
      <c r="Y325" s="22">
        <v>0.243835</v>
      </c>
      <c r="Z325" s="22">
        <v>245.214</v>
      </c>
      <c r="AA325" s="22">
        <v>-1.75079E-2</v>
      </c>
      <c r="AB325" s="22">
        <v>315</v>
      </c>
      <c r="AC325" s="22">
        <v>0.24310300000000001</v>
      </c>
      <c r="AD325">
        <f t="shared" si="52"/>
        <v>17.507899999999999</v>
      </c>
      <c r="AE325">
        <f t="shared" si="53"/>
        <v>4.2690387964999994</v>
      </c>
      <c r="AF325" s="9"/>
      <c r="AG325" s="22">
        <v>1.48621</v>
      </c>
      <c r="AH325" s="22">
        <v>375.88499999999999</v>
      </c>
      <c r="AI325" s="22">
        <v>-1.6336099999999999E-2</v>
      </c>
      <c r="AJ325" s="22">
        <v>315</v>
      </c>
      <c r="AK325" s="22">
        <v>1.4856</v>
      </c>
      <c r="AL325">
        <f t="shared" si="54"/>
        <v>16.336099999999998</v>
      </c>
      <c r="AM325">
        <f t="shared" si="55"/>
        <v>24.278875180999997</v>
      </c>
      <c r="AP325" s="9"/>
      <c r="AQ325" s="22">
        <v>0.243835</v>
      </c>
      <c r="AR325" s="22">
        <v>453.76600000000002</v>
      </c>
      <c r="AS325" s="22">
        <v>-1.7501800000000001E-2</v>
      </c>
      <c r="AT325" s="22">
        <v>315</v>
      </c>
      <c r="AU325" s="22">
        <v>0.24313399999999999</v>
      </c>
      <c r="AV325">
        <f t="shared" si="56"/>
        <v>17.501800000000003</v>
      </c>
      <c r="AW325">
        <f t="shared" si="57"/>
        <v>4.2675514030000006</v>
      </c>
      <c r="AX325" s="9"/>
      <c r="AY325" s="22">
        <v>1.48621</v>
      </c>
      <c r="AZ325" s="22">
        <v>504.78</v>
      </c>
      <c r="BA325" s="22">
        <v>-1.6345200000000001E-2</v>
      </c>
      <c r="BB325" s="22">
        <v>315</v>
      </c>
      <c r="BC325" s="22">
        <v>1.48529</v>
      </c>
      <c r="BD325">
        <f t="shared" si="58"/>
        <v>16.345200000000002</v>
      </c>
      <c r="BE325">
        <f t="shared" si="59"/>
        <v>24.292399692000004</v>
      </c>
    </row>
    <row r="326" spans="6:57">
      <c r="F326" s="9"/>
      <c r="G326" s="22">
        <v>0.23880000000000001</v>
      </c>
      <c r="H326" s="22">
        <v>140.05699999999999</v>
      </c>
      <c r="I326" s="22">
        <v>-1.74927E-2</v>
      </c>
      <c r="J326" s="22">
        <v>316</v>
      </c>
      <c r="K326" s="22">
        <v>0.23821999999999999</v>
      </c>
      <c r="L326">
        <f t="shared" si="48"/>
        <v>17.492699999999999</v>
      </c>
      <c r="M326">
        <f t="shared" si="49"/>
        <v>4.1772567599999997</v>
      </c>
      <c r="N326" s="9"/>
      <c r="O326" s="22">
        <v>1.4912399999999999</v>
      </c>
      <c r="P326" s="22">
        <v>189.15799999999999</v>
      </c>
      <c r="Q326" s="22">
        <v>-1.61438E-2</v>
      </c>
      <c r="R326" s="22">
        <v>316</v>
      </c>
      <c r="S326" s="22">
        <v>1.49048</v>
      </c>
      <c r="T326">
        <f t="shared" si="50"/>
        <v>16.143799999999999</v>
      </c>
      <c r="U326">
        <f t="shared" si="51"/>
        <v>24.074280311999996</v>
      </c>
      <c r="X326" s="9"/>
      <c r="Y326" s="22">
        <v>0.23880000000000001</v>
      </c>
      <c r="Z326" s="22">
        <v>245.315</v>
      </c>
      <c r="AA326" s="22">
        <v>-1.7510999999999999E-2</v>
      </c>
      <c r="AB326" s="22">
        <v>316</v>
      </c>
      <c r="AC326" s="22">
        <v>0.238312</v>
      </c>
      <c r="AD326">
        <f t="shared" si="52"/>
        <v>17.510999999999999</v>
      </c>
      <c r="AE326">
        <f t="shared" si="53"/>
        <v>4.1816268000000001</v>
      </c>
      <c r="AF326" s="9"/>
      <c r="AG326" s="22">
        <v>1.4912399999999999</v>
      </c>
      <c r="AH326" s="22">
        <v>375.98500000000001</v>
      </c>
      <c r="AI326" s="22">
        <v>-1.6333E-2</v>
      </c>
      <c r="AJ326" s="22">
        <v>316</v>
      </c>
      <c r="AK326" s="22">
        <v>1.49109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453.86700000000002</v>
      </c>
      <c r="AS326" s="22">
        <v>-1.7501800000000001E-2</v>
      </c>
      <c r="AT326" s="22">
        <v>316</v>
      </c>
      <c r="AU326" s="22">
        <v>0.23815900000000001</v>
      </c>
      <c r="AV326">
        <f t="shared" si="56"/>
        <v>17.501800000000003</v>
      </c>
      <c r="AW326">
        <f t="shared" si="57"/>
        <v>4.179429840000001</v>
      </c>
      <c r="AX326" s="9"/>
      <c r="AY326" s="22">
        <v>1.4912399999999999</v>
      </c>
      <c r="AZ326" s="22">
        <v>504.88</v>
      </c>
      <c r="BA326" s="22">
        <v>-1.6342200000000001E-2</v>
      </c>
      <c r="BB326" s="22">
        <v>316</v>
      </c>
      <c r="BC326" s="22">
        <v>1.49017</v>
      </c>
      <c r="BD326">
        <f t="shared" si="58"/>
        <v>16.342200000000002</v>
      </c>
      <c r="BE326">
        <f t="shared" si="59"/>
        <v>24.370142328</v>
      </c>
    </row>
    <row r="327" spans="6:57">
      <c r="F327" s="9"/>
      <c r="G327" s="22">
        <v>0.233765</v>
      </c>
      <c r="H327" s="22">
        <v>140.15700000000001</v>
      </c>
      <c r="I327" s="22">
        <v>-1.7495699999999999E-2</v>
      </c>
      <c r="J327" s="22">
        <v>317</v>
      </c>
      <c r="K327" s="22">
        <v>0.23294100000000001</v>
      </c>
      <c r="L327">
        <f t="shared" si="48"/>
        <v>17.495699999999999</v>
      </c>
      <c r="M327">
        <f t="shared" si="49"/>
        <v>4.0898823105000002</v>
      </c>
      <c r="N327" s="9"/>
      <c r="O327" s="22">
        <v>1.4962800000000001</v>
      </c>
      <c r="P327" s="22">
        <v>189.25899999999999</v>
      </c>
      <c r="Q327" s="22">
        <v>-1.6125500000000001E-2</v>
      </c>
      <c r="R327" s="22">
        <v>317</v>
      </c>
      <c r="S327" s="22">
        <v>1.4956700000000001</v>
      </c>
      <c r="T327">
        <f t="shared" si="50"/>
        <v>16.125500000000002</v>
      </c>
      <c r="U327">
        <f t="shared" si="51"/>
        <v>24.128263140000005</v>
      </c>
      <c r="X327" s="9"/>
      <c r="Y327" s="22">
        <v>0.233765</v>
      </c>
      <c r="Z327" s="22">
        <v>245.416</v>
      </c>
      <c r="AA327" s="22">
        <v>-1.7513999999999998E-2</v>
      </c>
      <c r="AB327" s="22">
        <v>317</v>
      </c>
      <c r="AC327" s="22">
        <v>0.23303199999999999</v>
      </c>
      <c r="AD327">
        <f t="shared" si="52"/>
        <v>17.513999999999999</v>
      </c>
      <c r="AE327">
        <f t="shared" si="53"/>
        <v>4.0941602100000001</v>
      </c>
      <c r="AF327" s="9"/>
      <c r="AG327" s="22">
        <v>1.4962800000000001</v>
      </c>
      <c r="AH327" s="22">
        <v>376.08600000000001</v>
      </c>
      <c r="AI327" s="22">
        <v>-1.6314700000000001E-2</v>
      </c>
      <c r="AJ327" s="22">
        <v>317</v>
      </c>
      <c r="AK327" s="22">
        <v>1.4950600000000001</v>
      </c>
      <c r="AL327">
        <f t="shared" si="54"/>
        <v>16.314700000000002</v>
      </c>
      <c r="AM327">
        <f t="shared" si="55"/>
        <v>24.411359316000002</v>
      </c>
      <c r="AP327" s="9"/>
      <c r="AQ327" s="22">
        <v>0.233765</v>
      </c>
      <c r="AR327" s="22">
        <v>453.96699999999998</v>
      </c>
      <c r="AS327" s="22">
        <v>-1.75079E-2</v>
      </c>
      <c r="AT327" s="22">
        <v>317</v>
      </c>
      <c r="AU327" s="22">
        <v>0.23321500000000001</v>
      </c>
      <c r="AV327">
        <f t="shared" si="56"/>
        <v>17.507899999999999</v>
      </c>
      <c r="AW327">
        <f t="shared" si="57"/>
        <v>4.0927342434999998</v>
      </c>
      <c r="AX327" s="9"/>
      <c r="AY327" s="22">
        <v>1.4962800000000001</v>
      </c>
      <c r="AZ327" s="22">
        <v>504.98099999999999</v>
      </c>
      <c r="BA327" s="22">
        <v>-1.6323899999999999E-2</v>
      </c>
      <c r="BB327" s="22">
        <v>317</v>
      </c>
      <c r="BC327" s="22">
        <v>1.4956700000000001</v>
      </c>
      <c r="BD327">
        <f t="shared" si="58"/>
        <v>16.323899999999998</v>
      </c>
      <c r="BE327">
        <f t="shared" si="59"/>
        <v>24.425125091999998</v>
      </c>
    </row>
    <row r="328" spans="6:57">
      <c r="F328" s="9"/>
      <c r="G328" s="22">
        <v>0.22872899999999999</v>
      </c>
      <c r="H328" s="22">
        <v>140.25800000000001</v>
      </c>
      <c r="I328" s="22">
        <v>-1.7495699999999999E-2</v>
      </c>
      <c r="J328" s="22">
        <v>318</v>
      </c>
      <c r="K328" s="22">
        <v>0.22772200000000001</v>
      </c>
      <c r="L328">
        <f t="shared" si="48"/>
        <v>17.495699999999999</v>
      </c>
      <c r="M328">
        <f t="shared" si="49"/>
        <v>4.0017739653</v>
      </c>
      <c r="N328" s="9"/>
      <c r="O328" s="22">
        <v>1.5013099999999999</v>
      </c>
      <c r="P328" s="22">
        <v>189.36</v>
      </c>
      <c r="Q328" s="22">
        <v>-1.6091899999999999E-2</v>
      </c>
      <c r="R328" s="22">
        <v>318</v>
      </c>
      <c r="S328" s="22">
        <v>1.50024</v>
      </c>
      <c r="T328">
        <f t="shared" si="50"/>
        <v>16.091899999999999</v>
      </c>
      <c r="U328">
        <f t="shared" si="51"/>
        <v>24.158930388999998</v>
      </c>
      <c r="X328" s="9"/>
      <c r="Y328" s="22">
        <v>0.22872899999999999</v>
      </c>
      <c r="Z328" s="22">
        <v>245.517</v>
      </c>
      <c r="AA328" s="22">
        <v>-1.7517100000000001E-2</v>
      </c>
      <c r="AB328" s="22">
        <v>318</v>
      </c>
      <c r="AC328" s="22">
        <v>0.22805800000000001</v>
      </c>
      <c r="AD328">
        <f t="shared" si="52"/>
        <v>17.517099999999999</v>
      </c>
      <c r="AE328">
        <f t="shared" si="53"/>
        <v>4.0066687658999998</v>
      </c>
      <c r="AF328" s="9"/>
      <c r="AG328" s="22">
        <v>1.5013099999999999</v>
      </c>
      <c r="AH328" s="22">
        <v>376.18700000000001</v>
      </c>
      <c r="AI328" s="22">
        <v>-1.6302500000000001E-2</v>
      </c>
      <c r="AJ328" s="22">
        <v>318</v>
      </c>
      <c r="AK328" s="22">
        <v>1.5005500000000001</v>
      </c>
      <c r="AL328">
        <f t="shared" si="54"/>
        <v>16.302500000000002</v>
      </c>
      <c r="AM328">
        <f t="shared" si="55"/>
        <v>24.475106275000002</v>
      </c>
      <c r="AP328" s="9"/>
      <c r="AQ328" s="22">
        <v>0.22872899999999999</v>
      </c>
      <c r="AR328" s="22">
        <v>454.06799999999998</v>
      </c>
      <c r="AS328" s="22">
        <v>-1.75079E-2</v>
      </c>
      <c r="AT328" s="22">
        <v>318</v>
      </c>
      <c r="AU328" s="22">
        <v>0.22784399999999999</v>
      </c>
      <c r="AV328">
        <f t="shared" si="56"/>
        <v>17.507899999999999</v>
      </c>
      <c r="AW328">
        <f t="shared" si="57"/>
        <v>4.0045644591</v>
      </c>
      <c r="AX328" s="9"/>
      <c r="AY328" s="22">
        <v>1.5013099999999999</v>
      </c>
      <c r="AZ328" s="22">
        <v>505.08199999999999</v>
      </c>
      <c r="BA328" s="22">
        <v>-1.6317700000000001E-2</v>
      </c>
      <c r="BB328" s="22">
        <v>318</v>
      </c>
      <c r="BC328" s="22">
        <v>1.50024</v>
      </c>
      <c r="BD328">
        <f t="shared" si="58"/>
        <v>16.317700000000002</v>
      </c>
      <c r="BE328">
        <f t="shared" si="59"/>
        <v>24.497926187000001</v>
      </c>
    </row>
    <row r="329" spans="6:57">
      <c r="F329" s="9"/>
      <c r="G329" s="22">
        <v>0.223694</v>
      </c>
      <c r="H329" s="22">
        <v>140.35900000000001</v>
      </c>
      <c r="I329" s="22">
        <v>-1.7498799999999998E-2</v>
      </c>
      <c r="J329" s="22">
        <v>319</v>
      </c>
      <c r="K329" s="22">
        <v>0.223297</v>
      </c>
      <c r="L329">
        <f t="shared" si="48"/>
        <v>17.498799999999999</v>
      </c>
      <c r="M329">
        <f t="shared" si="49"/>
        <v>3.9143765671999997</v>
      </c>
      <c r="N329" s="9"/>
      <c r="O329" s="22">
        <v>1.5063500000000001</v>
      </c>
      <c r="P329" s="22">
        <v>189.46</v>
      </c>
      <c r="Q329" s="22">
        <v>-1.6076699999999999E-2</v>
      </c>
      <c r="R329" s="22">
        <v>319</v>
      </c>
      <c r="S329" s="22">
        <v>1.5051300000000001</v>
      </c>
      <c r="T329">
        <f t="shared" si="50"/>
        <v>16.076699999999999</v>
      </c>
      <c r="U329">
        <f t="shared" si="51"/>
        <v>24.217137045000001</v>
      </c>
      <c r="X329" s="9"/>
      <c r="Y329" s="22">
        <v>0.223694</v>
      </c>
      <c r="Z329" s="22">
        <v>245.61699999999999</v>
      </c>
      <c r="AA329" s="22">
        <v>-1.75201E-2</v>
      </c>
      <c r="AB329" s="22">
        <v>319</v>
      </c>
      <c r="AC329" s="22">
        <v>0.22293099999999999</v>
      </c>
      <c r="AD329">
        <f t="shared" si="52"/>
        <v>17.520099999999999</v>
      </c>
      <c r="AE329">
        <f t="shared" si="53"/>
        <v>3.9191412494</v>
      </c>
      <c r="AF329" s="9"/>
      <c r="AG329" s="22">
        <v>1.5063500000000001</v>
      </c>
      <c r="AH329" s="22">
        <v>376.28800000000001</v>
      </c>
      <c r="AI329" s="22">
        <v>-1.6287200000000002E-2</v>
      </c>
      <c r="AJ329" s="22">
        <v>319</v>
      </c>
      <c r="AK329" s="22">
        <v>1.5057400000000001</v>
      </c>
      <c r="AL329">
        <f t="shared" si="54"/>
        <v>16.287200000000002</v>
      </c>
      <c r="AM329">
        <f t="shared" si="55"/>
        <v>24.534223720000004</v>
      </c>
      <c r="AP329" s="9"/>
      <c r="AQ329" s="22">
        <v>0.223694</v>
      </c>
      <c r="AR329" s="22">
        <v>454.16899999999998</v>
      </c>
      <c r="AS329" s="22">
        <v>-1.7517100000000001E-2</v>
      </c>
      <c r="AT329" s="22">
        <v>319</v>
      </c>
      <c r="AU329" s="22">
        <v>0.22280900000000001</v>
      </c>
      <c r="AV329">
        <f t="shared" si="56"/>
        <v>17.517099999999999</v>
      </c>
      <c r="AW329">
        <f t="shared" si="57"/>
        <v>3.9184701673999998</v>
      </c>
      <c r="AX329" s="9"/>
      <c r="AY329" s="22">
        <v>1.5063500000000001</v>
      </c>
      <c r="AZ329" s="22">
        <v>505.18299999999999</v>
      </c>
      <c r="BA329" s="22">
        <v>-1.6296399999999999E-2</v>
      </c>
      <c r="BB329" s="22">
        <v>319</v>
      </c>
      <c r="BC329" s="22">
        <v>1.50543</v>
      </c>
      <c r="BD329">
        <f t="shared" si="58"/>
        <v>16.296399999999998</v>
      </c>
      <c r="BE329">
        <f t="shared" si="59"/>
        <v>24.548082139999998</v>
      </c>
    </row>
    <row r="330" spans="6:57">
      <c r="F330" s="9"/>
      <c r="G330" s="22">
        <v>0.21865799999999999</v>
      </c>
      <c r="H330" s="22">
        <v>140.459</v>
      </c>
      <c r="I330" s="22">
        <v>-1.7501800000000001E-2</v>
      </c>
      <c r="J330" s="22">
        <v>320</v>
      </c>
      <c r="K330" s="22">
        <v>0.218109</v>
      </c>
      <c r="L330">
        <f t="shared" si="48"/>
        <v>17.501800000000003</v>
      </c>
      <c r="M330">
        <f t="shared" si="49"/>
        <v>3.8269085844000004</v>
      </c>
      <c r="N330" s="9"/>
      <c r="O330" s="22">
        <v>1.5113799999999999</v>
      </c>
      <c r="P330" s="22">
        <v>189.56100000000001</v>
      </c>
      <c r="Q330" s="22">
        <v>-1.60339E-2</v>
      </c>
      <c r="R330" s="22">
        <v>320</v>
      </c>
      <c r="S330" s="22">
        <v>1.5106200000000001</v>
      </c>
      <c r="T330">
        <f t="shared" si="50"/>
        <v>16.033899999999999</v>
      </c>
      <c r="U330">
        <f t="shared" si="51"/>
        <v>24.233315781999998</v>
      </c>
      <c r="X330" s="9"/>
      <c r="Y330" s="22">
        <v>0.21865799999999999</v>
      </c>
      <c r="Z330" s="22">
        <v>245.71799999999999</v>
      </c>
      <c r="AA330" s="22">
        <v>-1.7529300000000001E-2</v>
      </c>
      <c r="AB330" s="22">
        <v>320</v>
      </c>
      <c r="AC330" s="22">
        <v>0.218079</v>
      </c>
      <c r="AD330">
        <f t="shared" si="52"/>
        <v>17.529300000000003</v>
      </c>
      <c r="AE330">
        <f t="shared" si="53"/>
        <v>3.8329216794000005</v>
      </c>
      <c r="AF330" s="9"/>
      <c r="AG330" s="22">
        <v>1.5113799999999999</v>
      </c>
      <c r="AH330" s="22">
        <v>376.38799999999998</v>
      </c>
      <c r="AI330" s="22">
        <v>-1.6268899999999999E-2</v>
      </c>
      <c r="AJ330" s="22">
        <v>320</v>
      </c>
      <c r="AK330" s="22">
        <v>1.5106200000000001</v>
      </c>
      <c r="AL330">
        <f t="shared" si="54"/>
        <v>16.268899999999999</v>
      </c>
      <c r="AM330">
        <f t="shared" si="55"/>
        <v>24.588490081999996</v>
      </c>
      <c r="AP330" s="9"/>
      <c r="AQ330" s="22">
        <v>0.21865799999999999</v>
      </c>
      <c r="AR330" s="22">
        <v>454.27</v>
      </c>
      <c r="AS330" s="22">
        <v>-1.7517100000000001E-2</v>
      </c>
      <c r="AT330" s="22">
        <v>320</v>
      </c>
      <c r="AU330" s="22">
        <v>0.21795700000000001</v>
      </c>
      <c r="AV330">
        <f t="shared" si="56"/>
        <v>17.517099999999999</v>
      </c>
      <c r="AW330">
        <f t="shared" si="57"/>
        <v>3.8302540517999999</v>
      </c>
      <c r="AX330" s="9"/>
      <c r="AY330" s="22">
        <v>1.5113799999999999</v>
      </c>
      <c r="AZ330" s="22">
        <v>505.28300000000002</v>
      </c>
      <c r="BA330" s="22">
        <v>-1.6284199999999999E-2</v>
      </c>
      <c r="BB330" s="22">
        <v>320</v>
      </c>
      <c r="BC330" s="22">
        <v>1.5106200000000001</v>
      </c>
      <c r="BD330">
        <f t="shared" si="58"/>
        <v>16.284199999999998</v>
      </c>
      <c r="BE330">
        <f t="shared" si="59"/>
        <v>24.611614195999998</v>
      </c>
    </row>
    <row r="331" spans="6:57">
      <c r="F331" s="9"/>
      <c r="G331" s="22">
        <v>0.21362300000000001</v>
      </c>
      <c r="H331" s="22">
        <v>140.56</v>
      </c>
      <c r="I331" s="22">
        <v>-1.75079E-2</v>
      </c>
      <c r="J331" s="22">
        <v>321</v>
      </c>
      <c r="K331" s="22">
        <v>0.212982</v>
      </c>
      <c r="L331">
        <f t="shared" si="48"/>
        <v>17.507899999999999</v>
      </c>
      <c r="M331">
        <f t="shared" si="49"/>
        <v>3.7400901216999998</v>
      </c>
      <c r="N331" s="9"/>
      <c r="O331" s="22">
        <v>1.5164200000000001</v>
      </c>
      <c r="P331" s="22">
        <v>189.66200000000001</v>
      </c>
      <c r="Q331" s="22">
        <v>-1.5994299999999999E-2</v>
      </c>
      <c r="R331" s="22">
        <v>321</v>
      </c>
      <c r="S331" s="22">
        <v>1.5155000000000001</v>
      </c>
      <c r="T331">
        <f t="shared" si="50"/>
        <v>15.994299999999999</v>
      </c>
      <c r="U331">
        <f t="shared" si="51"/>
        <v>24.254076405999999</v>
      </c>
      <c r="X331" s="9"/>
      <c r="Y331" s="22">
        <v>0.21362300000000001</v>
      </c>
      <c r="Z331" s="22">
        <v>245.81899999999999</v>
      </c>
      <c r="AA331" s="22">
        <v>-1.7532300000000001E-2</v>
      </c>
      <c r="AB331" s="22">
        <v>321</v>
      </c>
      <c r="AC331" s="22">
        <v>0.212982</v>
      </c>
      <c r="AD331">
        <f t="shared" si="52"/>
        <v>17.532299999999999</v>
      </c>
      <c r="AE331">
        <f t="shared" si="53"/>
        <v>3.7453025228999999</v>
      </c>
      <c r="AF331" s="9"/>
      <c r="AG331" s="22">
        <v>1.5164200000000001</v>
      </c>
      <c r="AH331" s="22">
        <v>376.48899999999998</v>
      </c>
      <c r="AI331" s="22">
        <v>-1.6253699999999999E-2</v>
      </c>
      <c r="AJ331" s="22">
        <v>321</v>
      </c>
      <c r="AK331" s="22">
        <v>1.5155000000000001</v>
      </c>
      <c r="AL331">
        <f t="shared" si="54"/>
        <v>16.253699999999998</v>
      </c>
      <c r="AM331">
        <f t="shared" si="55"/>
        <v>24.647435754</v>
      </c>
      <c r="AP331" s="9"/>
      <c r="AQ331" s="22">
        <v>0.21362300000000001</v>
      </c>
      <c r="AR331" s="22">
        <v>454.37</v>
      </c>
      <c r="AS331" s="22">
        <v>-1.75201E-2</v>
      </c>
      <c r="AT331" s="22">
        <v>321</v>
      </c>
      <c r="AU331" s="22">
        <v>0.212952</v>
      </c>
      <c r="AV331">
        <f t="shared" si="56"/>
        <v>17.520099999999999</v>
      </c>
      <c r="AW331">
        <f t="shared" si="57"/>
        <v>3.7426963223</v>
      </c>
      <c r="AX331" s="9"/>
      <c r="AY331" s="22">
        <v>1.5164200000000001</v>
      </c>
      <c r="AZ331" s="22">
        <v>505.38400000000001</v>
      </c>
      <c r="BA331" s="22">
        <v>-1.6259800000000001E-2</v>
      </c>
      <c r="BB331" s="22">
        <v>321</v>
      </c>
      <c r="BC331" s="22">
        <v>1.5155000000000001</v>
      </c>
      <c r="BD331">
        <f t="shared" si="58"/>
        <v>16.259800000000002</v>
      </c>
      <c r="BE331">
        <f t="shared" si="59"/>
        <v>24.656685916000004</v>
      </c>
    </row>
    <row r="332" spans="6:57">
      <c r="F332" s="9"/>
      <c r="G332" s="22">
        <v>0.208588</v>
      </c>
      <c r="H332" s="22">
        <v>140.661</v>
      </c>
      <c r="I332" s="22">
        <v>-1.7510999999999999E-2</v>
      </c>
      <c r="J332" s="22">
        <v>322</v>
      </c>
      <c r="K332" s="22">
        <v>0.20809900000000001</v>
      </c>
      <c r="L332">
        <f t="shared" ref="L332:L394" si="60">-I332/$F$2*1000</f>
        <v>17.510999999999999</v>
      </c>
      <c r="M332">
        <f t="shared" ref="M332:M394" si="61">L332*G332</f>
        <v>3.6525844679999997</v>
      </c>
      <c r="N332" s="9"/>
      <c r="O332" s="22">
        <v>1.52145</v>
      </c>
      <c r="P332" s="22">
        <v>189.76300000000001</v>
      </c>
      <c r="Q332" s="22">
        <v>-1.5960700000000001E-2</v>
      </c>
      <c r="R332" s="22">
        <v>322</v>
      </c>
      <c r="S332" s="22">
        <v>1.5203899999999999</v>
      </c>
      <c r="T332">
        <f t="shared" ref="T332:T394" si="62">-Q332/$F$2*1000</f>
        <v>15.960700000000001</v>
      </c>
      <c r="U332">
        <f t="shared" ref="U332:U394" si="63">T332*O332</f>
        <v>24.283407015000002</v>
      </c>
      <c r="X332" s="9"/>
      <c r="Y332" s="22">
        <v>0.208588</v>
      </c>
      <c r="Z332" s="22">
        <v>245.91900000000001</v>
      </c>
      <c r="AA332" s="22">
        <v>-1.75354E-2</v>
      </c>
      <c r="AB332" s="22">
        <v>322</v>
      </c>
      <c r="AC332" s="22">
        <v>0.20785500000000001</v>
      </c>
      <c r="AD332">
        <f t="shared" ref="AD332:AD394" si="64">-AA332/$F$2*1000</f>
        <v>17.535399999999999</v>
      </c>
      <c r="AE332">
        <f t="shared" ref="AE332:AE394" si="65">AD332*Y332</f>
        <v>3.6576740151999996</v>
      </c>
      <c r="AF332" s="9"/>
      <c r="AG332" s="22">
        <v>1.52145</v>
      </c>
      <c r="AH332" s="22">
        <v>376.59</v>
      </c>
      <c r="AI332" s="22">
        <v>-1.6241499999999999E-2</v>
      </c>
      <c r="AJ332" s="22">
        <v>322</v>
      </c>
      <c r="AK332" s="22">
        <v>1.5203899999999999</v>
      </c>
      <c r="AL332">
        <f t="shared" ref="AL332:AL394" si="66">-AI332/$F$2*1000</f>
        <v>16.241499999999998</v>
      </c>
      <c r="AM332">
        <f t="shared" ref="AM332:AM394" si="67">AL332*AG332</f>
        <v>24.710630174999999</v>
      </c>
      <c r="AP332" s="9"/>
      <c r="AQ332" s="22">
        <v>0.208588</v>
      </c>
      <c r="AR332" s="22">
        <v>454.471</v>
      </c>
      <c r="AS332" s="22">
        <v>-1.7526199999999999E-2</v>
      </c>
      <c r="AT332" s="22">
        <v>322</v>
      </c>
      <c r="AU332" s="22">
        <v>0.208008</v>
      </c>
      <c r="AV332">
        <f t="shared" ref="AV332:AV394" si="68">-AS332/$F$2*1000</f>
        <v>17.526199999999999</v>
      </c>
      <c r="AW332">
        <f t="shared" ref="AW332:AW394" si="69">AV332*AQ332</f>
        <v>3.6557550055999997</v>
      </c>
      <c r="AX332" s="9"/>
      <c r="AY332" s="22">
        <v>1.52145</v>
      </c>
      <c r="AZ332" s="22">
        <v>505.48500000000001</v>
      </c>
      <c r="BA332" s="22">
        <v>-1.6256699999999999E-2</v>
      </c>
      <c r="BB332" s="22">
        <v>322</v>
      </c>
      <c r="BC332" s="22">
        <v>1.5200800000000001</v>
      </c>
      <c r="BD332">
        <f t="shared" ref="BD332:BD394" si="70">-BA332/$F$2*1000</f>
        <v>16.256699999999999</v>
      </c>
      <c r="BE332">
        <f t="shared" ref="BE332:BE394" si="71">BD332*AY332</f>
        <v>24.733756214999996</v>
      </c>
    </row>
    <row r="333" spans="6:57">
      <c r="F333" s="9"/>
      <c r="G333" s="22">
        <v>0.20355200000000001</v>
      </c>
      <c r="H333" s="22">
        <v>140.762</v>
      </c>
      <c r="I333" s="22">
        <v>-1.7510999999999999E-2</v>
      </c>
      <c r="J333" s="22">
        <v>323</v>
      </c>
      <c r="K333" s="22">
        <v>0.20282</v>
      </c>
      <c r="L333">
        <f t="shared" si="60"/>
        <v>17.510999999999999</v>
      </c>
      <c r="M333">
        <f t="shared" si="61"/>
        <v>3.5643990720000001</v>
      </c>
      <c r="N333" s="9"/>
      <c r="O333" s="22">
        <v>1.5264899999999999</v>
      </c>
      <c r="P333" s="22">
        <v>189.863</v>
      </c>
      <c r="Q333" s="22">
        <v>-1.5918000000000002E-2</v>
      </c>
      <c r="R333" s="22">
        <v>323</v>
      </c>
      <c r="S333" s="22">
        <v>1.5258799999999999</v>
      </c>
      <c r="T333">
        <f t="shared" si="62"/>
        <v>15.918000000000001</v>
      </c>
      <c r="U333">
        <f t="shared" si="63"/>
        <v>24.298667819999999</v>
      </c>
      <c r="X333" s="9"/>
      <c r="Y333" s="22">
        <v>0.20355200000000001</v>
      </c>
      <c r="Z333" s="22">
        <v>246.02</v>
      </c>
      <c r="AA333" s="22">
        <v>-1.75354E-2</v>
      </c>
      <c r="AB333" s="22">
        <v>323</v>
      </c>
      <c r="AC333" s="22">
        <v>0.20291100000000001</v>
      </c>
      <c r="AD333">
        <f t="shared" si="64"/>
        <v>17.535399999999999</v>
      </c>
      <c r="AE333">
        <f t="shared" si="65"/>
        <v>3.5693657407999999</v>
      </c>
      <c r="AF333" s="9"/>
      <c r="AG333" s="22">
        <v>1.5264899999999999</v>
      </c>
      <c r="AH333" s="22">
        <v>376.69</v>
      </c>
      <c r="AI333" s="22">
        <v>-1.6216999999999999E-2</v>
      </c>
      <c r="AJ333" s="22">
        <v>323</v>
      </c>
      <c r="AK333" s="22">
        <v>1.5255700000000001</v>
      </c>
      <c r="AL333">
        <f t="shared" si="66"/>
        <v>16.216999999999999</v>
      </c>
      <c r="AM333">
        <f t="shared" si="67"/>
        <v>24.755088329999996</v>
      </c>
      <c r="AP333" s="9"/>
      <c r="AQ333" s="22">
        <v>0.20355200000000001</v>
      </c>
      <c r="AR333" s="22">
        <v>454.572</v>
      </c>
      <c r="AS333" s="22">
        <v>-1.7529300000000001E-2</v>
      </c>
      <c r="AT333" s="22">
        <v>323</v>
      </c>
      <c r="AU333" s="22">
        <v>0.20300299999999999</v>
      </c>
      <c r="AV333">
        <f t="shared" si="68"/>
        <v>17.529300000000003</v>
      </c>
      <c r="AW333">
        <f t="shared" si="69"/>
        <v>3.5681240736000008</v>
      </c>
      <c r="AX333" s="9"/>
      <c r="AY333" s="22">
        <v>1.5264899999999999</v>
      </c>
      <c r="AZ333" s="22">
        <v>505.58499999999998</v>
      </c>
      <c r="BA333" s="22">
        <v>-1.6229199999999999E-2</v>
      </c>
      <c r="BB333" s="22">
        <v>323</v>
      </c>
      <c r="BC333" s="22">
        <v>1.5255700000000001</v>
      </c>
      <c r="BD333">
        <f t="shared" si="70"/>
        <v>16.229199999999999</v>
      </c>
      <c r="BE333">
        <f t="shared" si="71"/>
        <v>24.773711507999998</v>
      </c>
    </row>
    <row r="334" spans="6:57">
      <c r="F334" s="9"/>
      <c r="G334" s="22">
        <v>0.198517</v>
      </c>
      <c r="H334" s="22">
        <v>140.86199999999999</v>
      </c>
      <c r="I334" s="22">
        <v>-1.7513999999999998E-2</v>
      </c>
      <c r="J334" s="22">
        <v>324</v>
      </c>
      <c r="K334" s="22">
        <v>0.197906</v>
      </c>
      <c r="L334">
        <f t="shared" si="60"/>
        <v>17.513999999999999</v>
      </c>
      <c r="M334">
        <f t="shared" si="61"/>
        <v>3.4768267379999998</v>
      </c>
      <c r="N334" s="9"/>
      <c r="O334" s="22">
        <v>1.53152</v>
      </c>
      <c r="P334" s="22">
        <v>189.964</v>
      </c>
      <c r="Q334" s="22">
        <v>-1.5875199999999999E-2</v>
      </c>
      <c r="R334" s="22">
        <v>324</v>
      </c>
      <c r="S334" s="22">
        <v>1.5304599999999999</v>
      </c>
      <c r="T334">
        <f t="shared" si="62"/>
        <v>15.8752</v>
      </c>
      <c r="U334">
        <f t="shared" si="63"/>
        <v>24.313186303999998</v>
      </c>
      <c r="X334" s="9"/>
      <c r="Y334" s="22">
        <v>0.198517</v>
      </c>
      <c r="Z334" s="22">
        <v>246.12100000000001</v>
      </c>
      <c r="AA334" s="22">
        <v>-1.7541500000000002E-2</v>
      </c>
      <c r="AB334" s="22">
        <v>324</v>
      </c>
      <c r="AC334" s="22">
        <v>0.197937</v>
      </c>
      <c r="AD334">
        <f t="shared" si="64"/>
        <v>17.541500000000003</v>
      </c>
      <c r="AE334">
        <f t="shared" si="65"/>
        <v>3.4822859555000005</v>
      </c>
      <c r="AF334" s="9"/>
      <c r="AG334" s="22">
        <v>1.53152</v>
      </c>
      <c r="AH334" s="22">
        <v>376.791</v>
      </c>
      <c r="AI334" s="22">
        <v>-1.61987E-2</v>
      </c>
      <c r="AJ334" s="22">
        <v>324</v>
      </c>
      <c r="AK334" s="22">
        <v>1.5304599999999999</v>
      </c>
      <c r="AL334">
        <f t="shared" si="66"/>
        <v>16.198699999999999</v>
      </c>
      <c r="AM334">
        <f t="shared" si="67"/>
        <v>24.808633023999999</v>
      </c>
      <c r="AP334" s="9"/>
      <c r="AQ334" s="22">
        <v>0.198517</v>
      </c>
      <c r="AR334" s="22">
        <v>454.67200000000003</v>
      </c>
      <c r="AS334" s="22">
        <v>-1.7529300000000001E-2</v>
      </c>
      <c r="AT334" s="22">
        <v>324</v>
      </c>
      <c r="AU334" s="22">
        <v>0.19802900000000001</v>
      </c>
      <c r="AV334">
        <f t="shared" si="68"/>
        <v>17.529300000000003</v>
      </c>
      <c r="AW334">
        <f t="shared" si="69"/>
        <v>3.4798640481000005</v>
      </c>
      <c r="AX334" s="9"/>
      <c r="AY334" s="22">
        <v>1.53152</v>
      </c>
      <c r="AZ334" s="22">
        <v>505.68599999999998</v>
      </c>
      <c r="BA334" s="22">
        <v>-1.6216999999999999E-2</v>
      </c>
      <c r="BB334" s="22">
        <v>324</v>
      </c>
      <c r="BC334" s="22">
        <v>1.5307599999999999</v>
      </c>
      <c r="BD334">
        <f t="shared" si="70"/>
        <v>16.216999999999999</v>
      </c>
      <c r="BE334">
        <f t="shared" si="71"/>
        <v>24.836659839999999</v>
      </c>
    </row>
    <row r="335" spans="6:57">
      <c r="F335" s="9"/>
      <c r="G335" s="22">
        <v>0.19348099999999999</v>
      </c>
      <c r="H335" s="22">
        <v>140.96299999999999</v>
      </c>
      <c r="I335" s="22">
        <v>-1.75201E-2</v>
      </c>
      <c r="J335" s="22">
        <v>325</v>
      </c>
      <c r="K335" s="22">
        <v>0.192749</v>
      </c>
      <c r="L335">
        <f t="shared" si="60"/>
        <v>17.520099999999999</v>
      </c>
      <c r="M335">
        <f t="shared" si="61"/>
        <v>3.3898064680999997</v>
      </c>
      <c r="N335" s="9"/>
      <c r="O335" s="22">
        <v>1.5365599999999999</v>
      </c>
      <c r="P335" s="22">
        <v>190.065</v>
      </c>
      <c r="Q335" s="22">
        <v>-1.5835599999999998E-2</v>
      </c>
      <c r="R335" s="22">
        <v>325</v>
      </c>
      <c r="S335" s="22">
        <v>1.5359499999999999</v>
      </c>
      <c r="T335">
        <f t="shared" si="62"/>
        <v>15.835599999999998</v>
      </c>
      <c r="U335">
        <f t="shared" si="63"/>
        <v>24.332349535999995</v>
      </c>
      <c r="X335" s="9"/>
      <c r="Y335" s="22">
        <v>0.19348099999999999</v>
      </c>
      <c r="Z335" s="22">
        <v>246.22200000000001</v>
      </c>
      <c r="AA335" s="22">
        <v>-1.75446E-2</v>
      </c>
      <c r="AB335" s="22">
        <v>325</v>
      </c>
      <c r="AC335" s="22">
        <v>0.192749</v>
      </c>
      <c r="AD335">
        <f t="shared" si="64"/>
        <v>17.544599999999999</v>
      </c>
      <c r="AE335">
        <f t="shared" si="65"/>
        <v>3.3945467525999997</v>
      </c>
      <c r="AF335" s="9"/>
      <c r="AG335" s="22">
        <v>1.5365599999999999</v>
      </c>
      <c r="AH335" s="22">
        <v>376.892</v>
      </c>
      <c r="AI335" s="22">
        <v>-1.6180400000000001E-2</v>
      </c>
      <c r="AJ335" s="22">
        <v>325</v>
      </c>
      <c r="AK335" s="22">
        <v>1.5362499999999999</v>
      </c>
      <c r="AL335">
        <f t="shared" si="66"/>
        <v>16.180400000000002</v>
      </c>
      <c r="AM335">
        <f t="shared" si="67"/>
        <v>24.862155424000001</v>
      </c>
      <c r="AP335" s="9"/>
      <c r="AQ335" s="22">
        <v>0.19348099999999999</v>
      </c>
      <c r="AR335" s="22">
        <v>454.77300000000002</v>
      </c>
      <c r="AS335" s="22">
        <v>-1.75354E-2</v>
      </c>
      <c r="AT335" s="22">
        <v>325</v>
      </c>
      <c r="AU335" s="22">
        <v>0.193054</v>
      </c>
      <c r="AV335">
        <f t="shared" si="68"/>
        <v>17.535399999999999</v>
      </c>
      <c r="AW335">
        <f t="shared" si="69"/>
        <v>3.3927667273999997</v>
      </c>
      <c r="AX335" s="9"/>
      <c r="AY335" s="22">
        <v>1.5365599999999999</v>
      </c>
      <c r="AZ335" s="22">
        <v>505.78699999999998</v>
      </c>
      <c r="BA335" s="22">
        <v>-1.61957E-2</v>
      </c>
      <c r="BB335" s="22">
        <v>325</v>
      </c>
      <c r="BC335" s="22">
        <v>1.5356399999999999</v>
      </c>
      <c r="BD335">
        <f t="shared" si="70"/>
        <v>16.195699999999999</v>
      </c>
      <c r="BE335">
        <f t="shared" si="71"/>
        <v>24.885664791999996</v>
      </c>
    </row>
    <row r="336" spans="6:57">
      <c r="F336" s="9"/>
      <c r="G336" s="22">
        <v>0.188446</v>
      </c>
      <c r="H336" s="22">
        <v>141.06399999999999</v>
      </c>
      <c r="I336" s="22">
        <v>-1.75201E-2</v>
      </c>
      <c r="J336" s="22">
        <v>326</v>
      </c>
      <c r="K336" s="22">
        <v>0.18795799999999999</v>
      </c>
      <c r="L336">
        <f t="shared" si="60"/>
        <v>17.520099999999999</v>
      </c>
      <c r="M336">
        <f t="shared" si="61"/>
        <v>3.3015927646000001</v>
      </c>
      <c r="N336" s="9"/>
      <c r="O336" s="22">
        <v>1.5416000000000001</v>
      </c>
      <c r="P336" s="22">
        <v>190.16499999999999</v>
      </c>
      <c r="Q336" s="22">
        <v>-1.5795900000000002E-2</v>
      </c>
      <c r="R336" s="22">
        <v>326</v>
      </c>
      <c r="S336" s="22">
        <v>1.54053</v>
      </c>
      <c r="T336">
        <f t="shared" si="62"/>
        <v>15.795900000000001</v>
      </c>
      <c r="U336">
        <f t="shared" si="63"/>
        <v>24.350959440000004</v>
      </c>
      <c r="X336" s="9"/>
      <c r="Y336" s="22">
        <v>0.188446</v>
      </c>
      <c r="Z336" s="22">
        <v>246.322</v>
      </c>
      <c r="AA336" s="22">
        <v>-1.75446E-2</v>
      </c>
      <c r="AB336" s="22">
        <v>326</v>
      </c>
      <c r="AC336" s="22">
        <v>0.18759200000000001</v>
      </c>
      <c r="AD336">
        <f t="shared" si="64"/>
        <v>17.544599999999999</v>
      </c>
      <c r="AE336">
        <f t="shared" si="65"/>
        <v>3.3062096915999999</v>
      </c>
      <c r="AF336" s="9"/>
      <c r="AG336" s="22">
        <v>1.5416000000000001</v>
      </c>
      <c r="AH336" s="22">
        <v>376.99299999999999</v>
      </c>
      <c r="AI336" s="22">
        <v>-1.6159099999999999E-2</v>
      </c>
      <c r="AJ336" s="22">
        <v>326</v>
      </c>
      <c r="AK336" s="22">
        <v>1.5408299999999999</v>
      </c>
      <c r="AL336">
        <f t="shared" si="66"/>
        <v>16.159099999999999</v>
      </c>
      <c r="AM336">
        <f t="shared" si="67"/>
        <v>24.910868560000001</v>
      </c>
      <c r="AP336" s="9"/>
      <c r="AQ336" s="22">
        <v>0.188446</v>
      </c>
      <c r="AR336" s="22">
        <v>454.87400000000002</v>
      </c>
      <c r="AS336" s="22">
        <v>-1.7538499999999999E-2</v>
      </c>
      <c r="AT336" s="22">
        <v>326</v>
      </c>
      <c r="AU336" s="22">
        <v>0.18765299999999999</v>
      </c>
      <c r="AV336">
        <f t="shared" si="68"/>
        <v>17.538499999999999</v>
      </c>
      <c r="AW336">
        <f t="shared" si="69"/>
        <v>3.305060171</v>
      </c>
      <c r="AX336" s="9"/>
      <c r="AY336" s="22">
        <v>1.5416000000000001</v>
      </c>
      <c r="AZ336" s="22">
        <v>505.88799999999998</v>
      </c>
      <c r="BA336" s="22">
        <v>-1.6180400000000001E-2</v>
      </c>
      <c r="BB336" s="22">
        <v>326</v>
      </c>
      <c r="BC336" s="22">
        <v>1.54053</v>
      </c>
      <c r="BD336">
        <f t="shared" si="70"/>
        <v>16.180400000000002</v>
      </c>
      <c r="BE336">
        <f t="shared" si="71"/>
        <v>24.943704640000004</v>
      </c>
    </row>
    <row r="337" spans="6:57">
      <c r="F337" s="9"/>
      <c r="G337" s="22">
        <v>0.18341099999999999</v>
      </c>
      <c r="H337" s="22">
        <v>141.16399999999999</v>
      </c>
      <c r="I337" s="22">
        <v>-1.7526199999999999E-2</v>
      </c>
      <c r="J337" s="22">
        <v>327</v>
      </c>
      <c r="K337" s="22">
        <v>0.18276999999999999</v>
      </c>
      <c r="L337">
        <f t="shared" si="60"/>
        <v>17.526199999999999</v>
      </c>
      <c r="M337">
        <f t="shared" si="61"/>
        <v>3.2144978681999996</v>
      </c>
      <c r="N337" s="9"/>
      <c r="O337" s="22">
        <v>1.5466299999999999</v>
      </c>
      <c r="P337" s="22">
        <v>190.26599999999999</v>
      </c>
      <c r="Q337" s="22">
        <v>-1.5753199999999998E-2</v>
      </c>
      <c r="R337" s="22">
        <v>327</v>
      </c>
      <c r="S337" s="22">
        <v>1.54541</v>
      </c>
      <c r="T337">
        <f t="shared" si="62"/>
        <v>15.753199999999998</v>
      </c>
      <c r="U337">
        <f t="shared" si="63"/>
        <v>24.364371715999997</v>
      </c>
      <c r="X337" s="9"/>
      <c r="Y337" s="22">
        <v>0.18341099999999999</v>
      </c>
      <c r="Z337" s="22">
        <v>246.423</v>
      </c>
      <c r="AA337" s="22">
        <v>-1.7550699999999999E-2</v>
      </c>
      <c r="AB337" s="22">
        <v>327</v>
      </c>
      <c r="AC337" s="22">
        <v>0.18307499999999999</v>
      </c>
      <c r="AD337">
        <f t="shared" si="64"/>
        <v>17.550699999999999</v>
      </c>
      <c r="AE337">
        <f t="shared" si="65"/>
        <v>3.2189914376999997</v>
      </c>
      <c r="AF337" s="9"/>
      <c r="AG337" s="22">
        <v>1.5466299999999999</v>
      </c>
      <c r="AH337" s="22">
        <v>377.09300000000002</v>
      </c>
      <c r="AI337" s="22">
        <v>-1.6137700000000001E-2</v>
      </c>
      <c r="AJ337" s="22">
        <v>327</v>
      </c>
      <c r="AK337" s="22">
        <v>1.54572</v>
      </c>
      <c r="AL337">
        <f t="shared" si="66"/>
        <v>16.137700000000002</v>
      </c>
      <c r="AM337">
        <f t="shared" si="67"/>
        <v>24.959050951000002</v>
      </c>
      <c r="AP337" s="9"/>
      <c r="AQ337" s="22">
        <v>0.18341099999999999</v>
      </c>
      <c r="AR337" s="22">
        <v>454.97399999999999</v>
      </c>
      <c r="AS337" s="22">
        <v>-1.7538499999999999E-2</v>
      </c>
      <c r="AT337" s="22">
        <v>327</v>
      </c>
      <c r="AU337" s="22">
        <v>0.182587</v>
      </c>
      <c r="AV337">
        <f t="shared" si="68"/>
        <v>17.538499999999999</v>
      </c>
      <c r="AW337">
        <f t="shared" si="69"/>
        <v>3.2167538234999995</v>
      </c>
      <c r="AX337" s="9"/>
      <c r="AY337" s="22">
        <v>1.5466299999999999</v>
      </c>
      <c r="AZ337" s="22">
        <v>505.988</v>
      </c>
      <c r="BA337" s="22">
        <v>-1.6165200000000001E-2</v>
      </c>
      <c r="BB337" s="22">
        <v>327</v>
      </c>
      <c r="BC337" s="22">
        <v>1.54633</v>
      </c>
      <c r="BD337">
        <f t="shared" si="70"/>
        <v>16.165200000000002</v>
      </c>
      <c r="BE337">
        <f t="shared" si="71"/>
        <v>25.001583276000002</v>
      </c>
    </row>
    <row r="338" spans="6:57">
      <c r="F338" s="9"/>
      <c r="G338" s="22">
        <v>0.17837500000000001</v>
      </c>
      <c r="H338" s="22">
        <v>141.26499999999999</v>
      </c>
      <c r="I338" s="22">
        <v>-1.7532300000000001E-2</v>
      </c>
      <c r="J338" s="22">
        <v>328</v>
      </c>
      <c r="K338" s="22">
        <v>0.177643</v>
      </c>
      <c r="L338">
        <f t="shared" si="60"/>
        <v>17.532299999999999</v>
      </c>
      <c r="M338">
        <f t="shared" si="61"/>
        <v>3.1273240124999999</v>
      </c>
      <c r="N338" s="9"/>
      <c r="O338" s="22">
        <v>1.5516700000000001</v>
      </c>
      <c r="P338" s="22">
        <v>190.36699999999999</v>
      </c>
      <c r="Q338" s="22">
        <v>-1.5704300000000001E-2</v>
      </c>
      <c r="R338" s="22">
        <v>328</v>
      </c>
      <c r="S338" s="22">
        <v>1.5506</v>
      </c>
      <c r="T338">
        <f t="shared" si="62"/>
        <v>15.704300000000002</v>
      </c>
      <c r="U338">
        <f t="shared" si="63"/>
        <v>24.367891181000005</v>
      </c>
      <c r="X338" s="9"/>
      <c r="Y338" s="22">
        <v>0.17837500000000001</v>
      </c>
      <c r="Z338" s="22">
        <v>246.524</v>
      </c>
      <c r="AA338" s="22">
        <v>-1.7550699999999999E-2</v>
      </c>
      <c r="AB338" s="22">
        <v>328</v>
      </c>
      <c r="AC338" s="22">
        <v>0.177734</v>
      </c>
      <c r="AD338">
        <f t="shared" si="64"/>
        <v>17.550699999999999</v>
      </c>
      <c r="AE338">
        <f t="shared" si="65"/>
        <v>3.1306061124999998</v>
      </c>
      <c r="AF338" s="9"/>
      <c r="AG338" s="22">
        <v>1.5516700000000001</v>
      </c>
      <c r="AH338" s="22">
        <v>377.19400000000002</v>
      </c>
      <c r="AI338" s="22">
        <v>-1.6107199999999999E-2</v>
      </c>
      <c r="AJ338" s="22">
        <v>328</v>
      </c>
      <c r="AK338" s="22">
        <v>1.5508999999999999</v>
      </c>
      <c r="AL338">
        <f t="shared" si="66"/>
        <v>16.107199999999999</v>
      </c>
      <c r="AM338">
        <f t="shared" si="67"/>
        <v>24.993059024000001</v>
      </c>
      <c r="AP338" s="9"/>
      <c r="AQ338" s="22">
        <v>0.17837500000000001</v>
      </c>
      <c r="AR338" s="22">
        <v>455.07499999999999</v>
      </c>
      <c r="AS338" s="22">
        <v>-1.75446E-2</v>
      </c>
      <c r="AT338" s="22">
        <v>328</v>
      </c>
      <c r="AU338" s="22">
        <v>0.17776500000000001</v>
      </c>
      <c r="AV338">
        <f t="shared" si="68"/>
        <v>17.544599999999999</v>
      </c>
      <c r="AW338">
        <f t="shared" si="69"/>
        <v>3.1295180249999999</v>
      </c>
      <c r="AX338" s="9"/>
      <c r="AY338" s="22">
        <v>1.5516700000000001</v>
      </c>
      <c r="AZ338" s="22">
        <v>506.089</v>
      </c>
      <c r="BA338" s="22">
        <v>-1.6137700000000001E-2</v>
      </c>
      <c r="BB338" s="22">
        <v>328</v>
      </c>
      <c r="BC338" s="22">
        <v>1.55121</v>
      </c>
      <c r="BD338">
        <f t="shared" si="70"/>
        <v>16.137700000000002</v>
      </c>
      <c r="BE338">
        <f t="shared" si="71"/>
        <v>25.040384959000004</v>
      </c>
    </row>
    <row r="339" spans="6:57">
      <c r="F339" s="9"/>
      <c r="G339" s="22">
        <v>0.17333999999999999</v>
      </c>
      <c r="H339" s="22">
        <v>141.36600000000001</v>
      </c>
      <c r="I339" s="22">
        <v>-1.75354E-2</v>
      </c>
      <c r="J339" s="22">
        <v>329</v>
      </c>
      <c r="K339" s="22">
        <v>0.17272899999999999</v>
      </c>
      <c r="L339">
        <f t="shared" si="60"/>
        <v>17.535399999999999</v>
      </c>
      <c r="M339">
        <f t="shared" si="61"/>
        <v>3.0395862359999999</v>
      </c>
      <c r="N339" s="9"/>
      <c r="O339" s="22">
        <v>1.5567</v>
      </c>
      <c r="P339" s="22">
        <v>190.46799999999999</v>
      </c>
      <c r="Q339" s="22">
        <v>-1.5646400000000001E-2</v>
      </c>
      <c r="R339" s="22">
        <v>329</v>
      </c>
      <c r="S339" s="22">
        <v>1.55609</v>
      </c>
      <c r="T339">
        <f t="shared" si="62"/>
        <v>15.646400000000002</v>
      </c>
      <c r="U339">
        <f t="shared" si="63"/>
        <v>24.356750880000003</v>
      </c>
      <c r="X339" s="9"/>
      <c r="Y339" s="22">
        <v>0.17333999999999999</v>
      </c>
      <c r="Z339" s="22">
        <v>246.624</v>
      </c>
      <c r="AA339" s="22">
        <v>-1.7556800000000001E-2</v>
      </c>
      <c r="AB339" s="22">
        <v>329</v>
      </c>
      <c r="AC339" s="22">
        <v>0.17276</v>
      </c>
      <c r="AD339">
        <f t="shared" si="64"/>
        <v>17.556800000000003</v>
      </c>
      <c r="AE339">
        <f t="shared" si="65"/>
        <v>3.0432957120000004</v>
      </c>
      <c r="AF339" s="9"/>
      <c r="AG339" s="22">
        <v>1.5567</v>
      </c>
      <c r="AH339" s="22">
        <v>377.29500000000002</v>
      </c>
      <c r="AI339" s="22">
        <v>-1.60889E-2</v>
      </c>
      <c r="AJ339" s="22">
        <v>329</v>
      </c>
      <c r="AK339" s="22">
        <v>1.5564</v>
      </c>
      <c r="AL339">
        <f t="shared" si="66"/>
        <v>16.088899999999999</v>
      </c>
      <c r="AM339">
        <f t="shared" si="67"/>
        <v>25.04559063</v>
      </c>
      <c r="AP339" s="9"/>
      <c r="AQ339" s="22">
        <v>0.17333999999999999</v>
      </c>
      <c r="AR339" s="22">
        <v>455.17599999999999</v>
      </c>
      <c r="AS339" s="22">
        <v>-1.75476E-2</v>
      </c>
      <c r="AT339" s="22">
        <v>329</v>
      </c>
      <c r="AU339" s="22">
        <v>0.17266799999999999</v>
      </c>
      <c r="AV339">
        <f t="shared" si="68"/>
        <v>17.547599999999999</v>
      </c>
      <c r="AW339">
        <f t="shared" si="69"/>
        <v>3.0417009839999998</v>
      </c>
      <c r="AX339" s="9"/>
      <c r="AY339" s="22">
        <v>1.5567</v>
      </c>
      <c r="AZ339" s="22">
        <v>506.19</v>
      </c>
      <c r="BA339" s="22">
        <v>-1.6119399999999999E-2</v>
      </c>
      <c r="BB339" s="22">
        <v>329</v>
      </c>
      <c r="BC339" s="22">
        <v>1.55609</v>
      </c>
      <c r="BD339">
        <f t="shared" si="70"/>
        <v>16.119399999999999</v>
      </c>
      <c r="BE339">
        <f t="shared" si="71"/>
        <v>25.093069979999999</v>
      </c>
    </row>
    <row r="340" spans="6:57">
      <c r="F340" s="9"/>
      <c r="G340" s="22">
        <v>0.16830400000000001</v>
      </c>
      <c r="H340" s="22">
        <v>141.46700000000001</v>
      </c>
      <c r="I340" s="22">
        <v>-1.75354E-2</v>
      </c>
      <c r="J340" s="22">
        <v>330</v>
      </c>
      <c r="K340" s="22">
        <v>0.167603</v>
      </c>
      <c r="L340">
        <f t="shared" si="60"/>
        <v>17.535399999999999</v>
      </c>
      <c r="M340">
        <f t="shared" si="61"/>
        <v>2.9512779616000002</v>
      </c>
      <c r="N340" s="9"/>
      <c r="O340" s="22">
        <v>1.5617399999999999</v>
      </c>
      <c r="P340" s="22">
        <v>190.56800000000001</v>
      </c>
      <c r="Q340" s="22">
        <v>-1.5588400000000001E-2</v>
      </c>
      <c r="R340" s="22">
        <v>330</v>
      </c>
      <c r="S340" s="22">
        <v>1.56158</v>
      </c>
      <c r="T340">
        <f t="shared" si="62"/>
        <v>15.5884</v>
      </c>
      <c r="U340">
        <f t="shared" si="63"/>
        <v>24.345027815999998</v>
      </c>
      <c r="X340" s="9"/>
      <c r="Y340" s="22">
        <v>0.16830400000000001</v>
      </c>
      <c r="Z340" s="22">
        <v>246.72499999999999</v>
      </c>
      <c r="AA340" s="22">
        <v>-1.75598E-2</v>
      </c>
      <c r="AB340" s="22">
        <v>330</v>
      </c>
      <c r="AC340" s="22">
        <v>0.167603</v>
      </c>
      <c r="AD340">
        <f t="shared" si="64"/>
        <v>17.559799999999999</v>
      </c>
      <c r="AE340">
        <f t="shared" si="65"/>
        <v>2.9553845792</v>
      </c>
      <c r="AF340" s="9"/>
      <c r="AG340" s="22">
        <v>1.5617399999999999</v>
      </c>
      <c r="AH340" s="22">
        <v>377.39499999999998</v>
      </c>
      <c r="AI340" s="22">
        <v>-1.60614E-2</v>
      </c>
      <c r="AJ340" s="22">
        <v>330</v>
      </c>
      <c r="AK340" s="22">
        <v>1.56097</v>
      </c>
      <c r="AL340">
        <f t="shared" si="66"/>
        <v>16.061399999999999</v>
      </c>
      <c r="AM340">
        <f t="shared" si="67"/>
        <v>25.083730835999997</v>
      </c>
      <c r="AP340" s="9"/>
      <c r="AQ340" s="22">
        <v>0.16830400000000001</v>
      </c>
      <c r="AR340" s="22">
        <v>455.27699999999999</v>
      </c>
      <c r="AS340" s="22">
        <v>-1.75476E-2</v>
      </c>
      <c r="AT340" s="22">
        <v>330</v>
      </c>
      <c r="AU340" s="22">
        <v>0.16769400000000001</v>
      </c>
      <c r="AV340">
        <f t="shared" si="68"/>
        <v>17.547599999999999</v>
      </c>
      <c r="AW340">
        <f t="shared" si="69"/>
        <v>2.9533312704000001</v>
      </c>
      <c r="AX340" s="9"/>
      <c r="AY340" s="22">
        <v>1.5617399999999999</v>
      </c>
      <c r="AZ340" s="22">
        <v>506.29</v>
      </c>
      <c r="BA340" s="22">
        <v>-1.6091899999999999E-2</v>
      </c>
      <c r="BB340" s="22">
        <v>330</v>
      </c>
      <c r="BC340" s="22">
        <v>1.56128</v>
      </c>
      <c r="BD340">
        <f t="shared" si="70"/>
        <v>16.091899999999999</v>
      </c>
      <c r="BE340">
        <f t="shared" si="71"/>
        <v>25.131363905999997</v>
      </c>
    </row>
    <row r="341" spans="6:57">
      <c r="F341" s="9"/>
      <c r="G341" s="22">
        <v>0.163269</v>
      </c>
      <c r="H341" s="22">
        <v>141.56700000000001</v>
      </c>
      <c r="I341" s="22">
        <v>-1.75354E-2</v>
      </c>
      <c r="J341" s="22">
        <v>331</v>
      </c>
      <c r="K341" s="22">
        <v>0.16253699999999999</v>
      </c>
      <c r="L341">
        <f t="shared" si="60"/>
        <v>17.535399999999999</v>
      </c>
      <c r="M341">
        <f t="shared" si="61"/>
        <v>2.8629872225999997</v>
      </c>
      <c r="N341" s="9"/>
      <c r="O341" s="22">
        <v>1.56677</v>
      </c>
      <c r="P341" s="22">
        <v>190.66900000000001</v>
      </c>
      <c r="Q341" s="22">
        <v>-1.5527300000000001E-2</v>
      </c>
      <c r="R341" s="22">
        <v>331</v>
      </c>
      <c r="S341" s="22">
        <v>1.56586</v>
      </c>
      <c r="T341">
        <f t="shared" si="62"/>
        <v>15.5273</v>
      </c>
      <c r="U341">
        <f t="shared" si="63"/>
        <v>24.327707821000001</v>
      </c>
      <c r="X341" s="9"/>
      <c r="Y341" s="22">
        <v>0.163269</v>
      </c>
      <c r="Z341" s="22">
        <v>246.82599999999999</v>
      </c>
      <c r="AA341" s="22">
        <v>-1.7562899999999999E-2</v>
      </c>
      <c r="AB341" s="22">
        <v>331</v>
      </c>
      <c r="AC341" s="22">
        <v>0.162659</v>
      </c>
      <c r="AD341">
        <f t="shared" si="64"/>
        <v>17.562899999999999</v>
      </c>
      <c r="AE341">
        <f t="shared" si="65"/>
        <v>2.8674771200999998</v>
      </c>
      <c r="AF341" s="9"/>
      <c r="AG341" s="22">
        <v>1.56677</v>
      </c>
      <c r="AH341" s="22">
        <v>377.49599999999998</v>
      </c>
      <c r="AI341" s="22">
        <v>-1.6036999999999999E-2</v>
      </c>
      <c r="AJ341" s="22">
        <v>331</v>
      </c>
      <c r="AK341" s="22">
        <v>1.56494</v>
      </c>
      <c r="AL341">
        <f t="shared" si="66"/>
        <v>16.036999999999999</v>
      </c>
      <c r="AM341">
        <f t="shared" si="67"/>
        <v>25.126290489999999</v>
      </c>
      <c r="AP341" s="9"/>
      <c r="AQ341" s="22">
        <v>0.163269</v>
      </c>
      <c r="AR341" s="22">
        <v>455.37700000000001</v>
      </c>
      <c r="AS341" s="22">
        <v>-1.7553699999999998E-2</v>
      </c>
      <c r="AT341" s="22">
        <v>331</v>
      </c>
      <c r="AU341" s="22">
        <v>0.16275000000000001</v>
      </c>
      <c r="AV341">
        <f t="shared" si="68"/>
        <v>17.553699999999999</v>
      </c>
      <c r="AW341">
        <f t="shared" si="69"/>
        <v>2.8659750452999999</v>
      </c>
      <c r="AX341" s="9"/>
      <c r="AY341" s="22">
        <v>1.56677</v>
      </c>
      <c r="AZ341" s="22">
        <v>506.39100000000002</v>
      </c>
      <c r="BA341" s="22">
        <v>-1.6064499999999999E-2</v>
      </c>
      <c r="BB341" s="22">
        <v>331</v>
      </c>
      <c r="BC341" s="22">
        <v>1.56586</v>
      </c>
      <c r="BD341">
        <f t="shared" si="70"/>
        <v>16.064499999999999</v>
      </c>
      <c r="BE341">
        <f t="shared" si="71"/>
        <v>25.169376664999998</v>
      </c>
    </row>
    <row r="342" spans="6:57">
      <c r="F342" s="9"/>
      <c r="G342" s="22">
        <v>0.15823400000000001</v>
      </c>
      <c r="H342" s="22">
        <v>141.66800000000001</v>
      </c>
      <c r="I342" s="22">
        <v>-1.7541500000000002E-2</v>
      </c>
      <c r="J342" s="22">
        <v>332</v>
      </c>
      <c r="K342" s="22">
        <v>0.15768399999999999</v>
      </c>
      <c r="L342">
        <f t="shared" si="60"/>
        <v>17.541500000000003</v>
      </c>
      <c r="M342">
        <f t="shared" si="61"/>
        <v>2.7756617110000006</v>
      </c>
      <c r="N342" s="9"/>
      <c r="O342" s="22">
        <v>1.5718099999999999</v>
      </c>
      <c r="P342" s="22">
        <v>190.77</v>
      </c>
      <c r="Q342" s="22">
        <v>-1.5478499999999999E-2</v>
      </c>
      <c r="R342" s="22">
        <v>332</v>
      </c>
      <c r="S342" s="22">
        <v>1.57074</v>
      </c>
      <c r="T342">
        <f t="shared" si="62"/>
        <v>15.478499999999999</v>
      </c>
      <c r="U342">
        <f t="shared" si="63"/>
        <v>24.329261084999995</v>
      </c>
      <c r="X342" s="9"/>
      <c r="Y342" s="22">
        <v>0.15823400000000001</v>
      </c>
      <c r="Z342" s="22">
        <v>246.92699999999999</v>
      </c>
      <c r="AA342" s="22">
        <v>-1.7565899999999999E-2</v>
      </c>
      <c r="AB342" s="22">
        <v>332</v>
      </c>
      <c r="AC342" s="22">
        <v>0.15762300000000001</v>
      </c>
      <c r="AD342">
        <f t="shared" si="64"/>
        <v>17.565899999999999</v>
      </c>
      <c r="AE342">
        <f t="shared" si="65"/>
        <v>2.7795226206000003</v>
      </c>
      <c r="AF342" s="9"/>
      <c r="AG342" s="22">
        <v>1.5718099999999999</v>
      </c>
      <c r="AH342" s="22">
        <v>377.59699999999998</v>
      </c>
      <c r="AI342" s="22">
        <v>-1.60065E-2</v>
      </c>
      <c r="AJ342" s="22">
        <v>332</v>
      </c>
      <c r="AK342" s="22">
        <v>1.57104</v>
      </c>
      <c r="AL342">
        <f t="shared" si="66"/>
        <v>16.006499999999999</v>
      </c>
      <c r="AM342">
        <f t="shared" si="67"/>
        <v>25.159176764999998</v>
      </c>
      <c r="AP342" s="9"/>
      <c r="AQ342" s="22">
        <v>0.15823400000000001</v>
      </c>
      <c r="AR342" s="22">
        <v>455.47800000000001</v>
      </c>
      <c r="AS342" s="22">
        <v>-1.7556800000000001E-2</v>
      </c>
      <c r="AT342" s="22">
        <v>332</v>
      </c>
      <c r="AU342" s="22">
        <v>0.15762300000000001</v>
      </c>
      <c r="AV342">
        <f t="shared" si="68"/>
        <v>17.556800000000003</v>
      </c>
      <c r="AW342">
        <f t="shared" si="69"/>
        <v>2.7780826912000007</v>
      </c>
      <c r="AX342" s="9"/>
      <c r="AY342" s="22">
        <v>1.5718099999999999</v>
      </c>
      <c r="AZ342" s="22">
        <v>506.49200000000002</v>
      </c>
      <c r="BA342" s="22">
        <v>-1.6030900000000001E-2</v>
      </c>
      <c r="BB342" s="22">
        <v>332</v>
      </c>
      <c r="BC342" s="22">
        <v>1.57074</v>
      </c>
      <c r="BD342">
        <f t="shared" si="70"/>
        <v>16.030899999999999</v>
      </c>
      <c r="BE342">
        <f t="shared" si="71"/>
        <v>25.197528928999997</v>
      </c>
    </row>
    <row r="343" spans="6:57">
      <c r="F343" s="9"/>
      <c r="G343" s="22">
        <v>0.153198</v>
      </c>
      <c r="H343" s="22">
        <v>141.76900000000001</v>
      </c>
      <c r="I343" s="22">
        <v>-1.75446E-2</v>
      </c>
      <c r="J343" s="22">
        <v>333</v>
      </c>
      <c r="K343" s="22">
        <v>0.15273999999999999</v>
      </c>
      <c r="L343">
        <f t="shared" si="60"/>
        <v>17.544599999999999</v>
      </c>
      <c r="M343">
        <f t="shared" si="61"/>
        <v>2.6877976308</v>
      </c>
      <c r="N343" s="9"/>
      <c r="O343" s="22">
        <v>1.57684</v>
      </c>
      <c r="P343" s="22">
        <v>190.87</v>
      </c>
      <c r="Q343" s="22">
        <v>-1.5444899999999999E-2</v>
      </c>
      <c r="R343" s="22">
        <v>333</v>
      </c>
      <c r="S343" s="22">
        <v>1.5765400000000001</v>
      </c>
      <c r="T343">
        <f t="shared" si="62"/>
        <v>15.444899999999999</v>
      </c>
      <c r="U343">
        <f t="shared" si="63"/>
        <v>24.354136115999999</v>
      </c>
      <c r="X343" s="9"/>
      <c r="Y343" s="22">
        <v>0.153198</v>
      </c>
      <c r="Z343" s="22">
        <v>247.02699999999999</v>
      </c>
      <c r="AA343" s="22">
        <v>-1.7569000000000001E-2</v>
      </c>
      <c r="AB343" s="22">
        <v>333</v>
      </c>
      <c r="AC343" s="22">
        <v>0.15267900000000001</v>
      </c>
      <c r="AD343">
        <f t="shared" si="64"/>
        <v>17.569000000000003</v>
      </c>
      <c r="AE343">
        <f t="shared" si="65"/>
        <v>2.6915356620000006</v>
      </c>
      <c r="AF343" s="9"/>
      <c r="AG343" s="22">
        <v>1.57684</v>
      </c>
      <c r="AH343" s="22">
        <v>377.697</v>
      </c>
      <c r="AI343" s="22">
        <v>-1.5972900000000002E-2</v>
      </c>
      <c r="AJ343" s="22">
        <v>333</v>
      </c>
      <c r="AK343" s="22">
        <v>1.57562</v>
      </c>
      <c r="AL343">
        <f t="shared" si="66"/>
        <v>15.972900000000001</v>
      </c>
      <c r="AM343">
        <f t="shared" si="67"/>
        <v>25.186707636000001</v>
      </c>
      <c r="AP343" s="9"/>
      <c r="AQ343" s="22">
        <v>0.153198</v>
      </c>
      <c r="AR343" s="22">
        <v>455.57900000000001</v>
      </c>
      <c r="AS343" s="22">
        <v>-1.75598E-2</v>
      </c>
      <c r="AT343" s="22">
        <v>333</v>
      </c>
      <c r="AU343" s="22">
        <v>0.152618</v>
      </c>
      <c r="AV343">
        <f t="shared" si="68"/>
        <v>17.559799999999999</v>
      </c>
      <c r="AW343">
        <f t="shared" si="69"/>
        <v>2.6901262403999997</v>
      </c>
      <c r="AX343" s="9"/>
      <c r="AY343" s="22">
        <v>1.57684</v>
      </c>
      <c r="AZ343" s="22">
        <v>506.59300000000002</v>
      </c>
      <c r="BA343" s="22">
        <v>-1.60065E-2</v>
      </c>
      <c r="BB343" s="22">
        <v>333</v>
      </c>
      <c r="BC343" s="22">
        <v>1.57623</v>
      </c>
      <c r="BD343">
        <f t="shared" si="70"/>
        <v>16.006499999999999</v>
      </c>
      <c r="BE343">
        <f t="shared" si="71"/>
        <v>25.239689459999997</v>
      </c>
    </row>
    <row r="344" spans="6:57">
      <c r="F344" s="9"/>
      <c r="G344" s="22">
        <v>0.14816299999999999</v>
      </c>
      <c r="H344" s="22">
        <v>141.869</v>
      </c>
      <c r="I344" s="22">
        <v>-1.75446E-2</v>
      </c>
      <c r="J344" s="22">
        <v>334</v>
      </c>
      <c r="K344" s="22">
        <v>0.14749100000000001</v>
      </c>
      <c r="L344">
        <f t="shared" si="60"/>
        <v>17.544599999999999</v>
      </c>
      <c r="M344">
        <f t="shared" si="61"/>
        <v>2.5994605697999997</v>
      </c>
      <c r="N344" s="9"/>
      <c r="O344" s="22">
        <v>1.58188</v>
      </c>
      <c r="P344" s="22">
        <v>190.971</v>
      </c>
      <c r="Q344" s="22">
        <v>-1.53717E-2</v>
      </c>
      <c r="R344" s="22">
        <v>334</v>
      </c>
      <c r="S344" s="22">
        <v>1.5811200000000001</v>
      </c>
      <c r="T344">
        <f t="shared" si="62"/>
        <v>15.371700000000001</v>
      </c>
      <c r="U344">
        <f t="shared" si="63"/>
        <v>24.316184796000002</v>
      </c>
      <c r="X344" s="9"/>
      <c r="Y344" s="22">
        <v>0.14816299999999999</v>
      </c>
      <c r="Z344" s="22">
        <v>247.12799999999999</v>
      </c>
      <c r="AA344" s="22">
        <v>-1.7572000000000001E-2</v>
      </c>
      <c r="AB344" s="22">
        <v>334</v>
      </c>
      <c r="AC344" s="22">
        <v>0.14755199999999999</v>
      </c>
      <c r="AD344">
        <f t="shared" si="64"/>
        <v>17.571999999999999</v>
      </c>
      <c r="AE344">
        <f t="shared" si="65"/>
        <v>2.6035202359999996</v>
      </c>
      <c r="AF344" s="9"/>
      <c r="AG344" s="22">
        <v>1.58188</v>
      </c>
      <c r="AH344" s="22">
        <v>377.798</v>
      </c>
      <c r="AI344" s="22">
        <v>-1.5945399999999998E-2</v>
      </c>
      <c r="AJ344" s="22">
        <v>334</v>
      </c>
      <c r="AK344" s="22">
        <v>1.5811200000000001</v>
      </c>
      <c r="AL344">
        <f t="shared" si="66"/>
        <v>15.945399999999999</v>
      </c>
      <c r="AM344">
        <f t="shared" si="67"/>
        <v>25.223709351999997</v>
      </c>
      <c r="AP344" s="9"/>
      <c r="AQ344" s="22">
        <v>0.14816299999999999</v>
      </c>
      <c r="AR344" s="22">
        <v>455.67899999999997</v>
      </c>
      <c r="AS344" s="22">
        <v>-1.7562899999999999E-2</v>
      </c>
      <c r="AT344" s="22">
        <v>334</v>
      </c>
      <c r="AU344" s="22">
        <v>0.14779700000000001</v>
      </c>
      <c r="AV344">
        <f t="shared" si="68"/>
        <v>17.562899999999999</v>
      </c>
      <c r="AW344">
        <f t="shared" si="69"/>
        <v>2.6021719526999996</v>
      </c>
      <c r="AX344" s="9"/>
      <c r="AY344" s="22">
        <v>1.58188</v>
      </c>
      <c r="AZ344" s="22">
        <v>506.69299999999998</v>
      </c>
      <c r="BA344" s="22">
        <v>-1.59668E-2</v>
      </c>
      <c r="BB344" s="22">
        <v>334</v>
      </c>
      <c r="BC344" s="22">
        <v>1.58142</v>
      </c>
      <c r="BD344">
        <f t="shared" si="70"/>
        <v>15.966799999999999</v>
      </c>
      <c r="BE344">
        <f t="shared" si="71"/>
        <v>25.257561583999998</v>
      </c>
    </row>
    <row r="345" spans="6:57">
      <c r="F345" s="9"/>
      <c r="G345" s="22">
        <v>0.143127</v>
      </c>
      <c r="H345" s="22">
        <v>141.97</v>
      </c>
      <c r="I345" s="22">
        <v>-1.7550699999999999E-2</v>
      </c>
      <c r="J345" s="22">
        <v>335</v>
      </c>
      <c r="K345" s="22">
        <v>0.142426</v>
      </c>
      <c r="L345">
        <f t="shared" si="60"/>
        <v>17.550699999999999</v>
      </c>
      <c r="M345">
        <f t="shared" si="61"/>
        <v>2.5119790388999998</v>
      </c>
      <c r="N345" s="9"/>
      <c r="O345" s="22">
        <v>1.58691</v>
      </c>
      <c r="P345" s="22">
        <v>191.072</v>
      </c>
      <c r="Q345" s="22">
        <v>-1.5286299999999999E-2</v>
      </c>
      <c r="R345" s="22">
        <v>335</v>
      </c>
      <c r="S345" s="22">
        <v>1.5863</v>
      </c>
      <c r="T345">
        <f t="shared" si="62"/>
        <v>15.286299999999999</v>
      </c>
      <c r="U345">
        <f t="shared" si="63"/>
        <v>24.257982332999998</v>
      </c>
      <c r="X345" s="9"/>
      <c r="Y345" s="22">
        <v>0.143127</v>
      </c>
      <c r="Z345" s="22">
        <v>247.22900000000001</v>
      </c>
      <c r="AA345" s="22">
        <v>-1.7578099999999999E-2</v>
      </c>
      <c r="AB345" s="22">
        <v>335</v>
      </c>
      <c r="AC345" s="22">
        <v>0.14260900000000001</v>
      </c>
      <c r="AD345">
        <f t="shared" si="64"/>
        <v>17.578099999999999</v>
      </c>
      <c r="AE345">
        <f t="shared" si="65"/>
        <v>2.5159007186999998</v>
      </c>
      <c r="AF345" s="9"/>
      <c r="AG345" s="22">
        <v>1.58691</v>
      </c>
      <c r="AH345" s="22">
        <v>377.899</v>
      </c>
      <c r="AI345" s="22">
        <v>-1.5908800000000001E-2</v>
      </c>
      <c r="AJ345" s="22">
        <v>335</v>
      </c>
      <c r="AK345" s="22">
        <v>1.5860000000000001</v>
      </c>
      <c r="AL345">
        <f t="shared" si="66"/>
        <v>15.908800000000001</v>
      </c>
      <c r="AM345">
        <f t="shared" si="67"/>
        <v>25.245833808000004</v>
      </c>
      <c r="AP345" s="9"/>
      <c r="AQ345" s="22">
        <v>0.143127</v>
      </c>
      <c r="AR345" s="22">
        <v>455.78</v>
      </c>
      <c r="AS345" s="22">
        <v>-1.7569000000000001E-2</v>
      </c>
      <c r="AT345" s="22">
        <v>335</v>
      </c>
      <c r="AU345" s="22">
        <v>0.14254800000000001</v>
      </c>
      <c r="AV345">
        <f t="shared" si="68"/>
        <v>17.569000000000003</v>
      </c>
      <c r="AW345">
        <f t="shared" si="69"/>
        <v>2.5145982630000003</v>
      </c>
      <c r="AX345" s="9"/>
      <c r="AY345" s="22">
        <v>1.58691</v>
      </c>
      <c r="AZ345" s="22">
        <v>506.79399999999998</v>
      </c>
      <c r="BA345" s="22">
        <v>-1.59393E-2</v>
      </c>
      <c r="BB345" s="22">
        <v>335</v>
      </c>
      <c r="BC345" s="22">
        <v>1.58569</v>
      </c>
      <c r="BD345">
        <f t="shared" si="70"/>
        <v>15.939299999999999</v>
      </c>
      <c r="BE345">
        <f t="shared" si="71"/>
        <v>25.294234563</v>
      </c>
    </row>
    <row r="346" spans="6:57">
      <c r="F346" s="9"/>
      <c r="G346" s="22">
        <v>0.13809199999999999</v>
      </c>
      <c r="H346" s="22">
        <v>142.071</v>
      </c>
      <c r="I346" s="22">
        <v>-1.7556800000000001E-2</v>
      </c>
      <c r="J346" s="22">
        <v>336</v>
      </c>
      <c r="K346" s="22">
        <v>0.13766500000000001</v>
      </c>
      <c r="L346">
        <f t="shared" si="60"/>
        <v>17.556800000000003</v>
      </c>
      <c r="M346">
        <f t="shared" si="61"/>
        <v>2.4244536256000004</v>
      </c>
      <c r="N346" s="9"/>
      <c r="O346" s="22">
        <v>1.59195</v>
      </c>
      <c r="P346" s="22">
        <v>191.172</v>
      </c>
      <c r="Q346" s="22">
        <v>-1.5219099999999999E-2</v>
      </c>
      <c r="R346" s="22">
        <v>336</v>
      </c>
      <c r="S346" s="22">
        <v>1.5908800000000001</v>
      </c>
      <c r="T346">
        <f t="shared" si="62"/>
        <v>15.219099999999999</v>
      </c>
      <c r="U346">
        <f t="shared" si="63"/>
        <v>24.228046244999998</v>
      </c>
      <c r="X346" s="9"/>
      <c r="Y346" s="22">
        <v>0.13809199999999999</v>
      </c>
      <c r="Z346" s="22">
        <v>247.32900000000001</v>
      </c>
      <c r="AA346" s="22">
        <v>-1.7584200000000001E-2</v>
      </c>
      <c r="AB346" s="22">
        <v>336</v>
      </c>
      <c r="AC346" s="22">
        <v>0.13745099999999999</v>
      </c>
      <c r="AD346">
        <f t="shared" si="64"/>
        <v>17.584200000000003</v>
      </c>
      <c r="AE346">
        <f t="shared" si="65"/>
        <v>2.4282373464000004</v>
      </c>
      <c r="AF346" s="9"/>
      <c r="AG346" s="22">
        <v>1.59195</v>
      </c>
      <c r="AH346" s="22">
        <v>378</v>
      </c>
      <c r="AI346" s="22">
        <v>-1.5862999999999999E-2</v>
      </c>
      <c r="AJ346" s="22">
        <v>336</v>
      </c>
      <c r="AK346" s="22">
        <v>1.5908800000000001</v>
      </c>
      <c r="AL346">
        <f t="shared" si="66"/>
        <v>15.862999999999998</v>
      </c>
      <c r="AM346">
        <f t="shared" si="67"/>
        <v>25.253102849999998</v>
      </c>
      <c r="AP346" s="9"/>
      <c r="AQ346" s="22">
        <v>0.13809199999999999</v>
      </c>
      <c r="AR346" s="22">
        <v>455.88099999999997</v>
      </c>
      <c r="AS346" s="22">
        <v>-1.7572000000000001E-2</v>
      </c>
      <c r="AT346" s="22">
        <v>336</v>
      </c>
      <c r="AU346" s="22">
        <v>0.137512</v>
      </c>
      <c r="AV346">
        <f t="shared" si="68"/>
        <v>17.571999999999999</v>
      </c>
      <c r="AW346">
        <f t="shared" si="69"/>
        <v>2.4265526239999997</v>
      </c>
      <c r="AX346" s="9"/>
      <c r="AY346" s="22">
        <v>1.59195</v>
      </c>
      <c r="AZ346" s="22">
        <v>506.89499999999998</v>
      </c>
      <c r="BA346" s="22">
        <v>-1.58966E-2</v>
      </c>
      <c r="BB346" s="22">
        <v>336</v>
      </c>
      <c r="BC346" s="22">
        <v>1.5908800000000001</v>
      </c>
      <c r="BD346">
        <f t="shared" si="70"/>
        <v>15.896600000000001</v>
      </c>
      <c r="BE346">
        <f t="shared" si="71"/>
        <v>25.306592370000001</v>
      </c>
    </row>
    <row r="347" spans="6:57">
      <c r="F347" s="9"/>
      <c r="G347" s="22">
        <v>0.13305700000000001</v>
      </c>
      <c r="H347" s="22">
        <v>142.17099999999999</v>
      </c>
      <c r="I347" s="22">
        <v>-1.7556800000000001E-2</v>
      </c>
      <c r="J347" s="22">
        <v>337</v>
      </c>
      <c r="K347" s="22">
        <v>0.132355</v>
      </c>
      <c r="L347">
        <f t="shared" si="60"/>
        <v>17.556800000000003</v>
      </c>
      <c r="M347">
        <f t="shared" si="61"/>
        <v>2.3360551376000007</v>
      </c>
      <c r="N347" s="9"/>
      <c r="O347" s="22">
        <v>1.5969800000000001</v>
      </c>
      <c r="P347" s="22">
        <v>191.273</v>
      </c>
      <c r="Q347" s="22">
        <v>-1.51398E-2</v>
      </c>
      <c r="R347" s="22">
        <v>337</v>
      </c>
      <c r="S347" s="22">
        <v>1.5960700000000001</v>
      </c>
      <c r="T347">
        <f t="shared" si="62"/>
        <v>15.139799999999999</v>
      </c>
      <c r="U347">
        <f t="shared" si="63"/>
        <v>24.177957803999998</v>
      </c>
      <c r="X347" s="9"/>
      <c r="Y347" s="22">
        <v>0.13305700000000001</v>
      </c>
      <c r="Z347" s="22">
        <v>247.43</v>
      </c>
      <c r="AA347" s="22">
        <v>-1.7584200000000001E-2</v>
      </c>
      <c r="AB347" s="22">
        <v>337</v>
      </c>
      <c r="AC347" s="22">
        <v>0.13241600000000001</v>
      </c>
      <c r="AD347">
        <f t="shared" si="64"/>
        <v>17.584200000000003</v>
      </c>
      <c r="AE347">
        <f t="shared" si="65"/>
        <v>2.3397008994000004</v>
      </c>
      <c r="AF347" s="9"/>
      <c r="AG347" s="22">
        <v>1.5969800000000001</v>
      </c>
      <c r="AH347" s="22">
        <v>378.1</v>
      </c>
      <c r="AI347" s="22">
        <v>-1.5823400000000001E-2</v>
      </c>
      <c r="AJ347" s="22">
        <v>337</v>
      </c>
      <c r="AK347" s="22">
        <v>1.5960700000000001</v>
      </c>
      <c r="AL347">
        <f t="shared" si="66"/>
        <v>15.823400000000001</v>
      </c>
      <c r="AM347">
        <f t="shared" si="67"/>
        <v>25.269653332000004</v>
      </c>
      <c r="AP347" s="9"/>
      <c r="AQ347" s="22">
        <v>0.13305700000000001</v>
      </c>
      <c r="AR347" s="22">
        <v>455.98200000000003</v>
      </c>
      <c r="AS347" s="22">
        <v>-1.7578099999999999E-2</v>
      </c>
      <c r="AT347" s="22">
        <v>337</v>
      </c>
      <c r="AU347" s="22">
        <v>0.13241600000000001</v>
      </c>
      <c r="AV347">
        <f t="shared" si="68"/>
        <v>17.578099999999999</v>
      </c>
      <c r="AW347">
        <f t="shared" si="69"/>
        <v>2.3388892516999999</v>
      </c>
      <c r="AX347" s="9"/>
      <c r="AY347" s="22">
        <v>1.5969800000000001</v>
      </c>
      <c r="AZ347" s="22">
        <v>506.995</v>
      </c>
      <c r="BA347" s="22">
        <v>-1.58569E-2</v>
      </c>
      <c r="BB347" s="22">
        <v>337</v>
      </c>
      <c r="BC347" s="22">
        <v>1.5957600000000001</v>
      </c>
      <c r="BD347">
        <f t="shared" si="70"/>
        <v>15.8569</v>
      </c>
      <c r="BE347">
        <f t="shared" si="71"/>
        <v>25.323152162</v>
      </c>
    </row>
    <row r="348" spans="6:57">
      <c r="F348" s="9"/>
      <c r="G348" s="22">
        <v>0.128021</v>
      </c>
      <c r="H348" s="22">
        <v>142.27199999999999</v>
      </c>
      <c r="I348" s="22">
        <v>-1.7562899999999999E-2</v>
      </c>
      <c r="J348" s="22">
        <v>338</v>
      </c>
      <c r="K348" s="22">
        <v>0.127411</v>
      </c>
      <c r="L348">
        <f t="shared" si="60"/>
        <v>17.562899999999999</v>
      </c>
      <c r="M348">
        <f t="shared" si="61"/>
        <v>2.2484200208999998</v>
      </c>
      <c r="N348" s="9"/>
      <c r="O348" s="22">
        <v>1.60202</v>
      </c>
      <c r="P348" s="22">
        <v>191.374</v>
      </c>
      <c r="Q348" s="22">
        <v>-1.50574E-2</v>
      </c>
      <c r="R348" s="22">
        <v>338</v>
      </c>
      <c r="S348" s="22">
        <v>1.6015600000000001</v>
      </c>
      <c r="T348">
        <f t="shared" si="62"/>
        <v>15.057399999999999</v>
      </c>
      <c r="U348">
        <f t="shared" si="63"/>
        <v>24.122255947999999</v>
      </c>
      <c r="X348" s="9"/>
      <c r="Y348" s="22">
        <v>0.128021</v>
      </c>
      <c r="Z348" s="22">
        <v>247.53100000000001</v>
      </c>
      <c r="AA348" s="22">
        <v>-1.75873E-2</v>
      </c>
      <c r="AB348" s="22">
        <v>338</v>
      </c>
      <c r="AC348" s="22">
        <v>0.12737999999999999</v>
      </c>
      <c r="AD348">
        <f t="shared" si="64"/>
        <v>17.587299999999999</v>
      </c>
      <c r="AE348">
        <f t="shared" si="65"/>
        <v>2.2515437332999997</v>
      </c>
      <c r="AF348" s="9"/>
      <c r="AG348" s="22">
        <v>1.60202</v>
      </c>
      <c r="AH348" s="22">
        <v>378.20100000000002</v>
      </c>
      <c r="AI348" s="22">
        <v>-1.5777599999999999E-2</v>
      </c>
      <c r="AJ348" s="22">
        <v>338</v>
      </c>
      <c r="AK348" s="22">
        <v>1.6012599999999999</v>
      </c>
      <c r="AL348">
        <f t="shared" si="66"/>
        <v>15.7776</v>
      </c>
      <c r="AM348">
        <f t="shared" si="67"/>
        <v>25.276030752</v>
      </c>
      <c r="AP348" s="9"/>
      <c r="AQ348" s="22">
        <v>0.128021</v>
      </c>
      <c r="AR348" s="22">
        <v>456.08199999999999</v>
      </c>
      <c r="AS348" s="22">
        <v>-1.7578099999999999E-2</v>
      </c>
      <c r="AT348" s="22">
        <v>338</v>
      </c>
      <c r="AU348" s="22">
        <v>0.12762499999999999</v>
      </c>
      <c r="AV348">
        <f t="shared" si="68"/>
        <v>17.578099999999999</v>
      </c>
      <c r="AW348">
        <f t="shared" si="69"/>
        <v>2.2503659401</v>
      </c>
      <c r="AX348" s="9"/>
      <c r="AY348" s="22">
        <v>1.60202</v>
      </c>
      <c r="AZ348" s="22">
        <v>507.096</v>
      </c>
      <c r="BA348" s="22">
        <v>-1.5820299999999999E-2</v>
      </c>
      <c r="BB348" s="22">
        <v>338</v>
      </c>
      <c r="BC348" s="22">
        <v>1.6018699999999999</v>
      </c>
      <c r="BD348">
        <f t="shared" si="70"/>
        <v>15.8203</v>
      </c>
      <c r="BE348">
        <f t="shared" si="71"/>
        <v>25.344437006</v>
      </c>
    </row>
    <row r="349" spans="6:57">
      <c r="F349" s="9"/>
      <c r="G349" s="22">
        <v>0.122986</v>
      </c>
      <c r="H349" s="22">
        <v>142.37299999999999</v>
      </c>
      <c r="I349" s="22">
        <v>-1.7565899999999999E-2</v>
      </c>
      <c r="J349" s="22">
        <v>339</v>
      </c>
      <c r="K349" s="22">
        <v>0.122375</v>
      </c>
      <c r="L349">
        <f t="shared" si="60"/>
        <v>17.565899999999999</v>
      </c>
      <c r="M349">
        <f t="shared" si="61"/>
        <v>2.1603597774000001</v>
      </c>
      <c r="N349" s="9"/>
      <c r="O349" s="22">
        <v>1.6070599999999999</v>
      </c>
      <c r="P349" s="22">
        <v>191.47499999999999</v>
      </c>
      <c r="Q349" s="22">
        <v>-1.4959699999999999E-2</v>
      </c>
      <c r="R349" s="22">
        <v>339</v>
      </c>
      <c r="S349" s="22">
        <v>1.6058300000000001</v>
      </c>
      <c r="T349">
        <f t="shared" si="62"/>
        <v>14.9597</v>
      </c>
      <c r="U349">
        <f t="shared" si="63"/>
        <v>24.041135481999998</v>
      </c>
      <c r="X349" s="9"/>
      <c r="Y349" s="22">
        <v>0.122986</v>
      </c>
      <c r="Z349" s="22">
        <v>247.631</v>
      </c>
      <c r="AA349" s="22">
        <v>-1.75873E-2</v>
      </c>
      <c r="AB349" s="22">
        <v>339</v>
      </c>
      <c r="AC349" s="22">
        <v>0.12246700000000001</v>
      </c>
      <c r="AD349">
        <f t="shared" si="64"/>
        <v>17.587299999999999</v>
      </c>
      <c r="AE349">
        <f t="shared" si="65"/>
        <v>2.1629916778</v>
      </c>
      <c r="AF349" s="9"/>
      <c r="AG349" s="22">
        <v>1.6070599999999999</v>
      </c>
      <c r="AH349" s="22">
        <v>378.30200000000002</v>
      </c>
      <c r="AI349" s="22">
        <v>-1.5731800000000001E-2</v>
      </c>
      <c r="AJ349" s="22">
        <v>339</v>
      </c>
      <c r="AK349" s="22">
        <v>1.6064499999999999</v>
      </c>
      <c r="AL349">
        <f t="shared" si="66"/>
        <v>15.7318</v>
      </c>
      <c r="AM349">
        <f t="shared" si="67"/>
        <v>25.281946507999997</v>
      </c>
      <c r="AP349" s="9"/>
      <c r="AQ349" s="22">
        <v>0.122986</v>
      </c>
      <c r="AR349" s="22">
        <v>456.18299999999999</v>
      </c>
      <c r="AS349" s="22">
        <v>-1.7581200000000002E-2</v>
      </c>
      <c r="AT349" s="22">
        <v>339</v>
      </c>
      <c r="AU349" s="22">
        <v>0.122406</v>
      </c>
      <c r="AV349">
        <f t="shared" si="68"/>
        <v>17.581200000000003</v>
      </c>
      <c r="AW349">
        <f t="shared" si="69"/>
        <v>2.1622414632000004</v>
      </c>
      <c r="AX349" s="9"/>
      <c r="AY349" s="22">
        <v>1.6070599999999999</v>
      </c>
      <c r="AZ349" s="22">
        <v>507.197</v>
      </c>
      <c r="BA349" s="22">
        <v>-1.57745E-2</v>
      </c>
      <c r="BB349" s="22">
        <v>339</v>
      </c>
      <c r="BC349" s="22">
        <v>1.6061399999999999</v>
      </c>
      <c r="BD349">
        <f t="shared" si="70"/>
        <v>15.7745</v>
      </c>
      <c r="BE349">
        <f t="shared" si="71"/>
        <v>25.35056797</v>
      </c>
    </row>
    <row r="350" spans="6:57">
      <c r="F350" s="9"/>
      <c r="G350" s="22">
        <v>0.11795</v>
      </c>
      <c r="H350" s="22">
        <v>142.47399999999999</v>
      </c>
      <c r="I350" s="22">
        <v>-1.7572000000000001E-2</v>
      </c>
      <c r="J350" s="22">
        <v>340</v>
      </c>
      <c r="K350" s="22">
        <v>0.117371</v>
      </c>
      <c r="L350">
        <f t="shared" si="60"/>
        <v>17.571999999999999</v>
      </c>
      <c r="M350">
        <f t="shared" si="61"/>
        <v>2.0726173999999999</v>
      </c>
      <c r="N350" s="9"/>
      <c r="O350" s="22">
        <v>1.61209</v>
      </c>
      <c r="P350" s="22">
        <v>191.57499999999999</v>
      </c>
      <c r="Q350" s="22">
        <v>-1.4849899999999999E-2</v>
      </c>
      <c r="R350" s="22">
        <v>340</v>
      </c>
      <c r="S350" s="22">
        <v>1.6110199999999999</v>
      </c>
      <c r="T350">
        <f t="shared" si="62"/>
        <v>14.8499</v>
      </c>
      <c r="U350">
        <f t="shared" si="63"/>
        <v>23.939375291000001</v>
      </c>
      <c r="X350" s="9"/>
      <c r="Y350" s="22">
        <v>0.11795</v>
      </c>
      <c r="Z350" s="22">
        <v>247.732</v>
      </c>
      <c r="AA350" s="22">
        <v>-1.7593399999999999E-2</v>
      </c>
      <c r="AB350" s="22">
        <v>340</v>
      </c>
      <c r="AC350" s="22">
        <v>0.11734</v>
      </c>
      <c r="AD350">
        <f t="shared" si="64"/>
        <v>17.593399999999999</v>
      </c>
      <c r="AE350">
        <f t="shared" si="65"/>
        <v>2.0751415299999998</v>
      </c>
      <c r="AF350" s="9"/>
      <c r="AG350" s="22">
        <v>1.61209</v>
      </c>
      <c r="AH350" s="22">
        <v>378.40199999999999</v>
      </c>
      <c r="AI350" s="22">
        <v>-1.5682999999999999E-2</v>
      </c>
      <c r="AJ350" s="22">
        <v>340</v>
      </c>
      <c r="AK350" s="22">
        <v>1.6113299999999999</v>
      </c>
      <c r="AL350">
        <f t="shared" si="66"/>
        <v>15.683</v>
      </c>
      <c r="AM350">
        <f t="shared" si="67"/>
        <v>25.282407469999999</v>
      </c>
      <c r="AP350" s="9"/>
      <c r="AQ350" s="22">
        <v>0.11795</v>
      </c>
      <c r="AR350" s="22">
        <v>456.28399999999999</v>
      </c>
      <c r="AS350" s="22">
        <v>-1.7584200000000001E-2</v>
      </c>
      <c r="AT350" s="22">
        <v>340</v>
      </c>
      <c r="AU350" s="22">
        <v>0.11727899999999999</v>
      </c>
      <c r="AV350">
        <f t="shared" si="68"/>
        <v>17.584200000000003</v>
      </c>
      <c r="AW350">
        <f t="shared" si="69"/>
        <v>2.0740563900000004</v>
      </c>
      <c r="AX350" s="9"/>
      <c r="AY350" s="22">
        <v>1.61209</v>
      </c>
      <c r="AZ350" s="22">
        <v>507.29700000000003</v>
      </c>
      <c r="BA350" s="22">
        <v>-1.5722699999999999E-2</v>
      </c>
      <c r="BB350" s="22">
        <v>340</v>
      </c>
      <c r="BC350" s="22">
        <v>1.6113299999999999</v>
      </c>
      <c r="BD350">
        <f t="shared" si="70"/>
        <v>15.7227</v>
      </c>
      <c r="BE350">
        <f t="shared" si="71"/>
        <v>25.346407443</v>
      </c>
    </row>
    <row r="351" spans="6:57">
      <c r="F351" s="9"/>
      <c r="G351" s="22">
        <v>0.112915</v>
      </c>
      <c r="H351" s="22">
        <v>142.57400000000001</v>
      </c>
      <c r="I351" s="22">
        <v>-1.75751E-2</v>
      </c>
      <c r="J351" s="22">
        <v>341</v>
      </c>
      <c r="K351" s="22">
        <v>0.11203</v>
      </c>
      <c r="L351">
        <f t="shared" si="60"/>
        <v>17.575099999999999</v>
      </c>
      <c r="M351">
        <f t="shared" si="61"/>
        <v>1.9844924165</v>
      </c>
      <c r="N351" s="9"/>
      <c r="O351" s="22">
        <v>1.61713</v>
      </c>
      <c r="P351" s="22">
        <v>191.67599999999999</v>
      </c>
      <c r="Q351" s="22">
        <v>-1.4742999999999999E-2</v>
      </c>
      <c r="R351" s="22">
        <v>341</v>
      </c>
      <c r="S351" s="22">
        <v>1.6168199999999999</v>
      </c>
      <c r="T351">
        <f t="shared" si="62"/>
        <v>14.742999999999999</v>
      </c>
      <c r="U351">
        <f t="shared" si="63"/>
        <v>23.841347589999998</v>
      </c>
      <c r="X351" s="9"/>
      <c r="Y351" s="22">
        <v>0.112915</v>
      </c>
      <c r="Z351" s="22">
        <v>247.833</v>
      </c>
      <c r="AA351" s="22">
        <v>-1.7596400000000002E-2</v>
      </c>
      <c r="AB351" s="22">
        <v>341</v>
      </c>
      <c r="AC351" s="22">
        <v>0.112274</v>
      </c>
      <c r="AD351">
        <f t="shared" si="64"/>
        <v>17.596400000000003</v>
      </c>
      <c r="AE351">
        <f t="shared" si="65"/>
        <v>1.9868975060000003</v>
      </c>
      <c r="AF351" s="9"/>
      <c r="AG351" s="22">
        <v>1.61713</v>
      </c>
      <c r="AH351" s="22">
        <v>378.50299999999999</v>
      </c>
      <c r="AI351" s="22">
        <v>-1.56189E-2</v>
      </c>
      <c r="AJ351" s="22">
        <v>341</v>
      </c>
      <c r="AK351" s="22">
        <v>1.61652</v>
      </c>
      <c r="AL351">
        <f t="shared" si="66"/>
        <v>15.6189</v>
      </c>
      <c r="AM351">
        <f t="shared" si="67"/>
        <v>25.257791757</v>
      </c>
      <c r="AP351" s="9"/>
      <c r="AQ351" s="22">
        <v>0.112915</v>
      </c>
      <c r="AR351" s="22">
        <v>456.38400000000001</v>
      </c>
      <c r="AS351" s="22">
        <v>-1.75903E-2</v>
      </c>
      <c r="AT351" s="22">
        <v>341</v>
      </c>
      <c r="AU351" s="22">
        <v>0.112335</v>
      </c>
      <c r="AV351">
        <f t="shared" si="68"/>
        <v>17.590299999999999</v>
      </c>
      <c r="AW351">
        <f t="shared" si="69"/>
        <v>1.9862087245</v>
      </c>
      <c r="AX351" s="9"/>
      <c r="AY351" s="22">
        <v>1.61713</v>
      </c>
      <c r="AZ351" s="22">
        <v>507.39800000000002</v>
      </c>
      <c r="BA351" s="22">
        <v>-1.56799E-2</v>
      </c>
      <c r="BB351" s="22">
        <v>341</v>
      </c>
      <c r="BC351" s="22">
        <v>1.61591</v>
      </c>
      <c r="BD351">
        <f t="shared" si="70"/>
        <v>15.6799</v>
      </c>
      <c r="BE351">
        <f t="shared" si="71"/>
        <v>25.356436686999999</v>
      </c>
    </row>
    <row r="352" spans="6:57">
      <c r="F352" s="9"/>
      <c r="G352" s="22">
        <v>0.10788</v>
      </c>
      <c r="H352" s="22">
        <v>142.67500000000001</v>
      </c>
      <c r="I352" s="22">
        <v>-1.7581200000000002E-2</v>
      </c>
      <c r="J352" s="22">
        <v>342</v>
      </c>
      <c r="K352" s="22">
        <v>0.107117</v>
      </c>
      <c r="L352">
        <f t="shared" si="60"/>
        <v>17.581200000000003</v>
      </c>
      <c r="M352">
        <f t="shared" si="61"/>
        <v>1.8966598560000003</v>
      </c>
      <c r="N352" s="9"/>
      <c r="O352" s="22">
        <v>1.62216</v>
      </c>
      <c r="P352" s="22">
        <v>191.77699999999999</v>
      </c>
      <c r="Q352" s="22">
        <v>-1.4611799999999999E-2</v>
      </c>
      <c r="R352" s="22">
        <v>342</v>
      </c>
      <c r="S352" s="22">
        <v>1.6214</v>
      </c>
      <c r="T352">
        <f t="shared" si="62"/>
        <v>14.611799999999999</v>
      </c>
      <c r="U352">
        <f t="shared" si="63"/>
        <v>23.702677487999999</v>
      </c>
      <c r="X352" s="9"/>
      <c r="Y352" s="22">
        <v>0.10788</v>
      </c>
      <c r="Z352" s="22">
        <v>247.934</v>
      </c>
      <c r="AA352" s="22">
        <v>-1.7596400000000002E-2</v>
      </c>
      <c r="AB352" s="22">
        <v>342</v>
      </c>
      <c r="AC352" s="22">
        <v>0.107269</v>
      </c>
      <c r="AD352">
        <f t="shared" si="64"/>
        <v>17.596400000000003</v>
      </c>
      <c r="AE352">
        <f t="shared" si="65"/>
        <v>1.8982996320000003</v>
      </c>
      <c r="AF352" s="9"/>
      <c r="AG352" s="22">
        <v>1.62216</v>
      </c>
      <c r="AH352" s="22">
        <v>378.60399999999998</v>
      </c>
      <c r="AI352" s="22">
        <v>-1.5573099999999999E-2</v>
      </c>
      <c r="AJ352" s="22">
        <v>342</v>
      </c>
      <c r="AK352" s="22">
        <v>1.62079</v>
      </c>
      <c r="AL352">
        <f t="shared" si="66"/>
        <v>15.5731</v>
      </c>
      <c r="AM352">
        <f t="shared" si="67"/>
        <v>25.262059896</v>
      </c>
      <c r="AP352" s="9"/>
      <c r="AQ352" s="22">
        <v>0.10788</v>
      </c>
      <c r="AR352" s="22">
        <v>456.48500000000001</v>
      </c>
      <c r="AS352" s="22">
        <v>-1.75903E-2</v>
      </c>
      <c r="AT352" s="22">
        <v>342</v>
      </c>
      <c r="AU352" s="22">
        <v>0.10732999999999999</v>
      </c>
      <c r="AV352">
        <f t="shared" si="68"/>
        <v>17.590299999999999</v>
      </c>
      <c r="AW352">
        <f t="shared" si="69"/>
        <v>1.8976415639999999</v>
      </c>
      <c r="AX352" s="9"/>
      <c r="AY352" s="22">
        <v>1.62216</v>
      </c>
      <c r="AZ352" s="22">
        <v>507.49900000000002</v>
      </c>
      <c r="BA352" s="22">
        <v>-1.5631099999999998E-2</v>
      </c>
      <c r="BB352" s="22">
        <v>342</v>
      </c>
      <c r="BC352" s="22">
        <v>1.6210899999999999</v>
      </c>
      <c r="BD352">
        <f t="shared" si="70"/>
        <v>15.631099999999998</v>
      </c>
      <c r="BE352">
        <f t="shared" si="71"/>
        <v>25.356145175999998</v>
      </c>
    </row>
    <row r="353" spans="6:57">
      <c r="F353" s="9"/>
      <c r="G353" s="22">
        <v>0.102844</v>
      </c>
      <c r="H353" s="22">
        <v>142.77600000000001</v>
      </c>
      <c r="I353" s="22">
        <v>-1.7584200000000001E-2</v>
      </c>
      <c r="J353" s="22">
        <v>343</v>
      </c>
      <c r="K353" s="22">
        <v>0.102356</v>
      </c>
      <c r="L353">
        <f t="shared" si="60"/>
        <v>17.584200000000003</v>
      </c>
      <c r="M353">
        <f t="shared" si="61"/>
        <v>1.8084294648000003</v>
      </c>
      <c r="N353" s="9"/>
      <c r="O353" s="22">
        <v>1.6272</v>
      </c>
      <c r="P353" s="22">
        <v>191.87700000000001</v>
      </c>
      <c r="Q353" s="22">
        <v>-1.4483599999999999E-2</v>
      </c>
      <c r="R353" s="22">
        <v>343</v>
      </c>
      <c r="S353" s="22">
        <v>1.6262799999999999</v>
      </c>
      <c r="T353">
        <f t="shared" si="62"/>
        <v>14.483599999999999</v>
      </c>
      <c r="U353">
        <f t="shared" si="63"/>
        <v>23.567713919999999</v>
      </c>
      <c r="X353" s="9"/>
      <c r="Y353" s="22">
        <v>0.102844</v>
      </c>
      <c r="Z353" s="22">
        <v>248.03399999999999</v>
      </c>
      <c r="AA353" s="22">
        <v>-1.76025E-2</v>
      </c>
      <c r="AB353" s="22">
        <v>343</v>
      </c>
      <c r="AC353" s="22">
        <v>0.102386</v>
      </c>
      <c r="AD353">
        <f t="shared" si="64"/>
        <v>17.602499999999999</v>
      </c>
      <c r="AE353">
        <f t="shared" si="65"/>
        <v>1.81031151</v>
      </c>
      <c r="AF353" s="9"/>
      <c r="AG353" s="22">
        <v>1.6272</v>
      </c>
      <c r="AH353" s="22">
        <v>378.70499999999998</v>
      </c>
      <c r="AI353" s="22">
        <v>-1.54999E-2</v>
      </c>
      <c r="AJ353" s="22">
        <v>343</v>
      </c>
      <c r="AK353" s="22">
        <v>1.62659</v>
      </c>
      <c r="AL353">
        <f t="shared" si="66"/>
        <v>15.4999</v>
      </c>
      <c r="AM353">
        <f t="shared" si="67"/>
        <v>25.22143728</v>
      </c>
      <c r="AP353" s="9"/>
      <c r="AQ353" s="22">
        <v>0.102844</v>
      </c>
      <c r="AR353" s="22">
        <v>456.58600000000001</v>
      </c>
      <c r="AS353" s="22">
        <v>-1.7593399999999999E-2</v>
      </c>
      <c r="AT353" s="22">
        <v>343</v>
      </c>
      <c r="AU353" s="22">
        <v>0.102051</v>
      </c>
      <c r="AV353">
        <f t="shared" si="68"/>
        <v>17.593399999999999</v>
      </c>
      <c r="AW353">
        <f t="shared" si="69"/>
        <v>1.8093756296000001</v>
      </c>
      <c r="AX353" s="9"/>
      <c r="AY353" s="22">
        <v>1.6272</v>
      </c>
      <c r="AZ353" s="22">
        <v>507.6</v>
      </c>
      <c r="BA353" s="22">
        <v>-1.55762E-2</v>
      </c>
      <c r="BB353" s="22">
        <v>343</v>
      </c>
      <c r="BC353" s="22">
        <v>1.6262799999999999</v>
      </c>
      <c r="BD353">
        <f t="shared" si="70"/>
        <v>15.5762</v>
      </c>
      <c r="BE353">
        <f t="shared" si="71"/>
        <v>25.34559264</v>
      </c>
    </row>
    <row r="354" spans="6:57">
      <c r="F354" s="9"/>
      <c r="G354" s="22">
        <v>9.7808800000000001E-2</v>
      </c>
      <c r="H354" s="22">
        <v>142.876</v>
      </c>
      <c r="I354" s="22">
        <v>-1.75873E-2</v>
      </c>
      <c r="J354" s="22">
        <v>344</v>
      </c>
      <c r="K354" s="22">
        <v>9.7198499999999993E-2</v>
      </c>
      <c r="L354">
        <f t="shared" si="60"/>
        <v>17.587299999999999</v>
      </c>
      <c r="M354">
        <f t="shared" si="61"/>
        <v>1.7201927082399999</v>
      </c>
      <c r="N354" s="9"/>
      <c r="O354" s="22">
        <v>1.6322300000000001</v>
      </c>
      <c r="P354" s="22">
        <v>191.97800000000001</v>
      </c>
      <c r="Q354" s="22">
        <v>-1.43433E-2</v>
      </c>
      <c r="R354" s="22">
        <v>344</v>
      </c>
      <c r="S354" s="22">
        <v>1.63147</v>
      </c>
      <c r="T354">
        <f t="shared" si="62"/>
        <v>14.343299999999999</v>
      </c>
      <c r="U354">
        <f t="shared" si="63"/>
        <v>23.411564558999999</v>
      </c>
      <c r="X354" s="9"/>
      <c r="Y354" s="22">
        <v>9.7808800000000001E-2</v>
      </c>
      <c r="Z354" s="22">
        <v>248.13499999999999</v>
      </c>
      <c r="AA354" s="22">
        <v>-1.7605599999999999E-2</v>
      </c>
      <c r="AB354" s="22">
        <v>344</v>
      </c>
      <c r="AC354" s="22">
        <v>9.7106899999999996E-2</v>
      </c>
      <c r="AD354">
        <f t="shared" si="64"/>
        <v>17.605599999999999</v>
      </c>
      <c r="AE354">
        <f t="shared" si="65"/>
        <v>1.7219826092799999</v>
      </c>
      <c r="AF354" s="9"/>
      <c r="AG354" s="22">
        <v>1.6322300000000001</v>
      </c>
      <c r="AH354" s="22">
        <v>378.80500000000001</v>
      </c>
      <c r="AI354" s="22">
        <v>-1.54266E-2</v>
      </c>
      <c r="AJ354" s="22">
        <v>344</v>
      </c>
      <c r="AK354" s="22">
        <v>1.63086</v>
      </c>
      <c r="AL354">
        <f t="shared" si="66"/>
        <v>15.426600000000001</v>
      </c>
      <c r="AM354">
        <f t="shared" si="67"/>
        <v>25.179759318000002</v>
      </c>
      <c r="AP354" s="9"/>
      <c r="AQ354" s="22">
        <v>9.7808800000000001E-2</v>
      </c>
      <c r="AR354" s="22">
        <v>456.68700000000001</v>
      </c>
      <c r="AS354" s="22">
        <v>-1.7599500000000001E-2</v>
      </c>
      <c r="AT354" s="22">
        <v>344</v>
      </c>
      <c r="AU354" s="22">
        <v>9.7168000000000004E-2</v>
      </c>
      <c r="AV354">
        <f t="shared" si="68"/>
        <v>17.599499999999999</v>
      </c>
      <c r="AW354">
        <f t="shared" si="69"/>
        <v>1.7213859755999998</v>
      </c>
      <c r="AX354" s="9"/>
      <c r="AY354" s="22">
        <v>1.6322300000000001</v>
      </c>
      <c r="AZ354" s="22">
        <v>507.7</v>
      </c>
      <c r="BA354" s="22">
        <v>-1.55029E-2</v>
      </c>
      <c r="BB354" s="22">
        <v>344</v>
      </c>
      <c r="BC354" s="22">
        <v>1.6317699999999999</v>
      </c>
      <c r="BD354">
        <f t="shared" si="70"/>
        <v>15.5029</v>
      </c>
      <c r="BE354">
        <f t="shared" si="71"/>
        <v>25.304298467000002</v>
      </c>
    </row>
    <row r="355" spans="6:57">
      <c r="F355" s="9"/>
      <c r="G355" s="22">
        <v>9.2773400000000006E-2</v>
      </c>
      <c r="H355" s="22">
        <v>142.977</v>
      </c>
      <c r="I355" s="22">
        <v>-1.75903E-2</v>
      </c>
      <c r="J355" s="22">
        <v>345</v>
      </c>
      <c r="K355" s="22">
        <v>9.2193600000000001E-2</v>
      </c>
      <c r="L355">
        <f t="shared" si="60"/>
        <v>17.590299999999999</v>
      </c>
      <c r="M355">
        <f t="shared" si="61"/>
        <v>1.63191193802</v>
      </c>
      <c r="N355" s="9"/>
      <c r="O355" s="22">
        <v>1.63727</v>
      </c>
      <c r="P355" s="22">
        <v>192.07900000000001</v>
      </c>
      <c r="Q355" s="22">
        <v>-1.41663E-2</v>
      </c>
      <c r="R355" s="22">
        <v>345</v>
      </c>
      <c r="S355" s="22">
        <v>1.63666</v>
      </c>
      <c r="T355">
        <f t="shared" si="62"/>
        <v>14.1663</v>
      </c>
      <c r="U355">
        <f t="shared" si="63"/>
        <v>23.194058000999998</v>
      </c>
      <c r="X355" s="9"/>
      <c r="Y355" s="22">
        <v>9.2773400000000006E-2</v>
      </c>
      <c r="Z355" s="22">
        <v>248.23599999999999</v>
      </c>
      <c r="AA355" s="22">
        <v>-1.7605599999999999E-2</v>
      </c>
      <c r="AB355" s="22">
        <v>345</v>
      </c>
      <c r="AC355" s="22">
        <v>9.2254600000000006E-2</v>
      </c>
      <c r="AD355">
        <f t="shared" si="64"/>
        <v>17.605599999999999</v>
      </c>
      <c r="AE355">
        <f t="shared" si="65"/>
        <v>1.6333313710399999</v>
      </c>
      <c r="AF355" s="9"/>
      <c r="AG355" s="22">
        <v>1.63727</v>
      </c>
      <c r="AH355" s="22">
        <v>378.90600000000001</v>
      </c>
      <c r="AI355" s="22">
        <v>-1.5362499999999999E-2</v>
      </c>
      <c r="AJ355" s="22">
        <v>345</v>
      </c>
      <c r="AK355" s="22">
        <v>1.63666</v>
      </c>
      <c r="AL355">
        <f t="shared" si="66"/>
        <v>15.362499999999999</v>
      </c>
      <c r="AM355">
        <f t="shared" si="67"/>
        <v>25.152560374999997</v>
      </c>
      <c r="AP355" s="9"/>
      <c r="AQ355" s="22">
        <v>9.2773400000000006E-2</v>
      </c>
      <c r="AR355" s="22">
        <v>456.78699999999998</v>
      </c>
      <c r="AS355" s="22">
        <v>-1.7599500000000001E-2</v>
      </c>
      <c r="AT355" s="22">
        <v>345</v>
      </c>
      <c r="AU355" s="22">
        <v>9.2071500000000001E-2</v>
      </c>
      <c r="AV355">
        <f t="shared" si="68"/>
        <v>17.599499999999999</v>
      </c>
      <c r="AW355">
        <f t="shared" si="69"/>
        <v>1.6327654533</v>
      </c>
      <c r="AX355" s="9"/>
      <c r="AY355" s="22">
        <v>1.63727</v>
      </c>
      <c r="AZ355" s="22">
        <v>507.80099999999999</v>
      </c>
      <c r="BA355" s="22">
        <v>-1.5438800000000001E-2</v>
      </c>
      <c r="BB355" s="22">
        <v>345</v>
      </c>
      <c r="BC355" s="22">
        <v>1.63605</v>
      </c>
      <c r="BD355">
        <f t="shared" si="70"/>
        <v>15.438800000000001</v>
      </c>
      <c r="BE355">
        <f t="shared" si="71"/>
        <v>25.277484076</v>
      </c>
    </row>
    <row r="356" spans="6:57">
      <c r="F356" s="9"/>
      <c r="G356" s="22">
        <v>8.7737999999999997E-2</v>
      </c>
      <c r="H356" s="22">
        <v>143.078</v>
      </c>
      <c r="I356" s="22">
        <v>-1.7596400000000002E-2</v>
      </c>
      <c r="J356" s="22">
        <v>346</v>
      </c>
      <c r="K356" s="22">
        <v>8.7249800000000002E-2</v>
      </c>
      <c r="L356">
        <f t="shared" si="60"/>
        <v>17.596400000000003</v>
      </c>
      <c r="M356">
        <f t="shared" si="61"/>
        <v>1.5438729432000002</v>
      </c>
      <c r="N356" s="9"/>
      <c r="O356" s="22">
        <v>1.6423000000000001</v>
      </c>
      <c r="P356" s="22">
        <v>192.18</v>
      </c>
      <c r="Q356" s="22">
        <v>-1.39618E-2</v>
      </c>
      <c r="R356" s="22">
        <v>346</v>
      </c>
      <c r="S356" s="22">
        <v>1.64215</v>
      </c>
      <c r="T356">
        <f t="shared" si="62"/>
        <v>13.9618</v>
      </c>
      <c r="U356">
        <f t="shared" si="63"/>
        <v>22.92946414</v>
      </c>
      <c r="X356" s="9"/>
      <c r="Y356" s="22">
        <v>8.7737999999999997E-2</v>
      </c>
      <c r="Z356" s="22">
        <v>248.33600000000001</v>
      </c>
      <c r="AA356" s="22">
        <v>-1.7611700000000001E-2</v>
      </c>
      <c r="AB356" s="22">
        <v>346</v>
      </c>
      <c r="AC356" s="22">
        <v>8.7249800000000002E-2</v>
      </c>
      <c r="AD356">
        <f t="shared" si="64"/>
        <v>17.611700000000003</v>
      </c>
      <c r="AE356">
        <f t="shared" si="65"/>
        <v>1.5452153346000002</v>
      </c>
      <c r="AF356" s="9"/>
      <c r="AG356" s="22">
        <v>1.6423000000000001</v>
      </c>
      <c r="AH356" s="22">
        <v>379.00700000000001</v>
      </c>
      <c r="AI356" s="22">
        <v>-1.5286299999999999E-2</v>
      </c>
      <c r="AJ356" s="22">
        <v>346</v>
      </c>
      <c r="AK356" s="22">
        <v>1.64154</v>
      </c>
      <c r="AL356">
        <f t="shared" si="66"/>
        <v>15.286299999999999</v>
      </c>
      <c r="AM356">
        <f t="shared" si="67"/>
        <v>25.104690489999999</v>
      </c>
      <c r="AP356" s="9"/>
      <c r="AQ356" s="22">
        <v>8.7737999999999997E-2</v>
      </c>
      <c r="AR356" s="22">
        <v>456.88799999999998</v>
      </c>
      <c r="AS356" s="22">
        <v>-1.7605599999999999E-2</v>
      </c>
      <c r="AT356" s="22">
        <v>346</v>
      </c>
      <c r="AU356" s="22">
        <v>8.7005600000000002E-2</v>
      </c>
      <c r="AV356">
        <f t="shared" si="68"/>
        <v>17.605599999999999</v>
      </c>
      <c r="AW356">
        <f t="shared" si="69"/>
        <v>1.5446801327999999</v>
      </c>
      <c r="AX356" s="9"/>
      <c r="AY356" s="22">
        <v>1.6423000000000001</v>
      </c>
      <c r="AZ356" s="22">
        <v>507.90199999999999</v>
      </c>
      <c r="BA356" s="22">
        <v>-1.53656E-2</v>
      </c>
      <c r="BB356" s="22">
        <v>346</v>
      </c>
      <c r="BC356" s="22">
        <v>1.64124</v>
      </c>
      <c r="BD356">
        <f t="shared" si="70"/>
        <v>15.365600000000001</v>
      </c>
      <c r="BE356">
        <f t="shared" si="71"/>
        <v>25.234924880000001</v>
      </c>
    </row>
    <row r="357" spans="6:57">
      <c r="F357" s="9"/>
      <c r="G357" s="22">
        <v>8.2702600000000001E-2</v>
      </c>
      <c r="H357" s="22">
        <v>143.179</v>
      </c>
      <c r="I357" s="22">
        <v>-1.7599500000000001E-2</v>
      </c>
      <c r="J357" s="22">
        <v>347</v>
      </c>
      <c r="K357" s="22">
        <v>8.2031300000000001E-2</v>
      </c>
      <c r="L357">
        <f t="shared" si="60"/>
        <v>17.599499999999999</v>
      </c>
      <c r="M357">
        <f t="shared" si="61"/>
        <v>1.4555244086999999</v>
      </c>
      <c r="N357" s="9"/>
      <c r="O357" s="22">
        <v>1.64734</v>
      </c>
      <c r="P357" s="22">
        <v>192.28</v>
      </c>
      <c r="Q357" s="22">
        <v>-1.37299E-2</v>
      </c>
      <c r="R357" s="22">
        <v>347</v>
      </c>
      <c r="S357" s="22">
        <v>1.64642</v>
      </c>
      <c r="T357">
        <f t="shared" si="62"/>
        <v>13.729899999999999</v>
      </c>
      <c r="U357">
        <f t="shared" si="63"/>
        <v>22.617813465999998</v>
      </c>
      <c r="X357" s="9"/>
      <c r="Y357" s="22">
        <v>8.2702600000000001E-2</v>
      </c>
      <c r="Z357" s="22">
        <v>248.43700000000001</v>
      </c>
      <c r="AA357" s="22">
        <v>-1.7617799999999999E-2</v>
      </c>
      <c r="AB357" s="22">
        <v>347</v>
      </c>
      <c r="AC357" s="22">
        <v>8.2122799999999996E-2</v>
      </c>
      <c r="AD357">
        <f t="shared" si="64"/>
        <v>17.617799999999999</v>
      </c>
      <c r="AE357">
        <f t="shared" si="65"/>
        <v>1.4570378662799999</v>
      </c>
      <c r="AF357" s="9"/>
      <c r="AG357" s="22">
        <v>1.64734</v>
      </c>
      <c r="AH357" s="22">
        <v>379.10700000000003</v>
      </c>
      <c r="AI357" s="22">
        <v>-1.52161E-2</v>
      </c>
      <c r="AJ357" s="22">
        <v>347</v>
      </c>
      <c r="AK357" s="22">
        <v>1.64642</v>
      </c>
      <c r="AL357">
        <f t="shared" si="66"/>
        <v>15.216099999999999</v>
      </c>
      <c r="AM357">
        <f t="shared" si="67"/>
        <v>25.066090173999999</v>
      </c>
      <c r="AP357" s="9"/>
      <c r="AQ357" s="22">
        <v>8.2702600000000001E-2</v>
      </c>
      <c r="AR357" s="22">
        <v>456.98899999999998</v>
      </c>
      <c r="AS357" s="22">
        <v>-1.7608599999999999E-2</v>
      </c>
      <c r="AT357" s="22">
        <v>347</v>
      </c>
      <c r="AU357" s="22">
        <v>8.2061800000000004E-2</v>
      </c>
      <c r="AV357">
        <f t="shared" si="68"/>
        <v>17.608599999999999</v>
      </c>
      <c r="AW357">
        <f t="shared" si="69"/>
        <v>1.45627700236</v>
      </c>
      <c r="AX357" s="9"/>
      <c r="AY357" s="22">
        <v>1.64734</v>
      </c>
      <c r="AZ357" s="22">
        <v>508.00200000000001</v>
      </c>
      <c r="BA357" s="22">
        <v>-1.52893E-2</v>
      </c>
      <c r="BB357" s="22">
        <v>347</v>
      </c>
      <c r="BC357" s="22">
        <v>1.64642</v>
      </c>
      <c r="BD357">
        <f t="shared" si="70"/>
        <v>15.289300000000001</v>
      </c>
      <c r="BE357">
        <f t="shared" si="71"/>
        <v>25.186675462</v>
      </c>
    </row>
    <row r="358" spans="6:57">
      <c r="F358" s="9"/>
      <c r="G358" s="22">
        <v>7.7667200000000006E-2</v>
      </c>
      <c r="H358" s="22">
        <v>143.279</v>
      </c>
      <c r="I358" s="22">
        <v>-1.76025E-2</v>
      </c>
      <c r="J358" s="22">
        <v>348</v>
      </c>
      <c r="K358" s="22">
        <v>7.7148400000000006E-2</v>
      </c>
      <c r="L358">
        <f t="shared" si="60"/>
        <v>17.602499999999999</v>
      </c>
      <c r="M358">
        <f t="shared" si="61"/>
        <v>1.3671368880000001</v>
      </c>
      <c r="N358" s="9"/>
      <c r="O358" s="22">
        <v>1.6523699999999999</v>
      </c>
      <c r="P358" s="22">
        <v>192.381</v>
      </c>
      <c r="Q358" s="22">
        <v>-1.34644E-2</v>
      </c>
      <c r="R358" s="22">
        <v>348</v>
      </c>
      <c r="S358" s="22">
        <v>1.651</v>
      </c>
      <c r="T358">
        <f t="shared" si="62"/>
        <v>13.464399999999999</v>
      </c>
      <c r="U358">
        <f t="shared" si="63"/>
        <v>22.248170627999997</v>
      </c>
      <c r="X358" s="9"/>
      <c r="Y358" s="22">
        <v>7.7667200000000006E-2</v>
      </c>
      <c r="Z358" s="22">
        <v>248.53800000000001</v>
      </c>
      <c r="AA358" s="22">
        <v>-1.7620799999999999E-2</v>
      </c>
      <c r="AB358" s="22">
        <v>348</v>
      </c>
      <c r="AC358" s="22">
        <v>7.7026399999999995E-2</v>
      </c>
      <c r="AD358">
        <f t="shared" si="64"/>
        <v>17.620799999999999</v>
      </c>
      <c r="AE358">
        <f t="shared" si="65"/>
        <v>1.3685581977600001</v>
      </c>
      <c r="AF358" s="9"/>
      <c r="AG358" s="22">
        <v>1.6523699999999999</v>
      </c>
      <c r="AH358" s="22">
        <v>379.20800000000003</v>
      </c>
      <c r="AI358" s="22">
        <v>-1.5118400000000001E-2</v>
      </c>
      <c r="AJ358" s="22">
        <v>348</v>
      </c>
      <c r="AK358" s="22">
        <v>1.65161</v>
      </c>
      <c r="AL358">
        <f t="shared" si="66"/>
        <v>15.118400000000001</v>
      </c>
      <c r="AM358">
        <f t="shared" si="67"/>
        <v>24.981190607999999</v>
      </c>
      <c r="AP358" s="9"/>
      <c r="AQ358" s="22">
        <v>7.7667200000000006E-2</v>
      </c>
      <c r="AR358" s="22">
        <v>457.089</v>
      </c>
      <c r="AS358" s="22">
        <v>-1.7608599999999999E-2</v>
      </c>
      <c r="AT358" s="22">
        <v>348</v>
      </c>
      <c r="AU358" s="22">
        <v>7.6904299999999995E-2</v>
      </c>
      <c r="AV358">
        <f t="shared" si="68"/>
        <v>17.608599999999999</v>
      </c>
      <c r="AW358">
        <f t="shared" si="69"/>
        <v>1.36761065792</v>
      </c>
      <c r="AX358" s="9"/>
      <c r="AY358" s="22">
        <v>1.6523699999999999</v>
      </c>
      <c r="AZ358" s="22">
        <v>508.10300000000001</v>
      </c>
      <c r="BA358" s="22">
        <v>-1.5197799999999999E-2</v>
      </c>
      <c r="BB358" s="22">
        <v>348</v>
      </c>
      <c r="BC358" s="22">
        <v>1.6513100000000001</v>
      </c>
      <c r="BD358">
        <f t="shared" si="70"/>
        <v>15.197799999999999</v>
      </c>
      <c r="BE358">
        <f t="shared" si="71"/>
        <v>25.112388785999997</v>
      </c>
    </row>
    <row r="359" spans="6:57">
      <c r="F359" s="9"/>
      <c r="G359" s="22">
        <v>7.2631799999999996E-2</v>
      </c>
      <c r="H359" s="22">
        <v>143.38</v>
      </c>
      <c r="I359" s="22">
        <v>-1.7605599999999999E-2</v>
      </c>
      <c r="J359" s="22">
        <v>349</v>
      </c>
      <c r="K359" s="22">
        <v>7.1929900000000005E-2</v>
      </c>
      <c r="L359">
        <f t="shared" si="60"/>
        <v>17.605599999999999</v>
      </c>
      <c r="M359">
        <f t="shared" si="61"/>
        <v>1.2787264180799998</v>
      </c>
      <c r="N359" s="9"/>
      <c r="O359" s="22">
        <v>1.65741</v>
      </c>
      <c r="P359" s="22">
        <v>192.482</v>
      </c>
      <c r="Q359" s="22">
        <v>-1.32111E-2</v>
      </c>
      <c r="R359" s="22">
        <v>349</v>
      </c>
      <c r="S359" s="22">
        <v>1.65649</v>
      </c>
      <c r="T359">
        <f t="shared" si="62"/>
        <v>13.2111</v>
      </c>
      <c r="U359">
        <f t="shared" si="63"/>
        <v>21.896209251000002</v>
      </c>
      <c r="X359" s="9"/>
      <c r="Y359" s="22">
        <v>7.2631799999999996E-2</v>
      </c>
      <c r="Z359" s="22">
        <v>248.63900000000001</v>
      </c>
      <c r="AA359" s="22">
        <v>-1.7623900000000001E-2</v>
      </c>
      <c r="AB359" s="22">
        <v>349</v>
      </c>
      <c r="AC359" s="22">
        <v>7.2082499999999994E-2</v>
      </c>
      <c r="AD359">
        <f t="shared" si="64"/>
        <v>17.623900000000003</v>
      </c>
      <c r="AE359">
        <f t="shared" si="65"/>
        <v>1.2800555800200002</v>
      </c>
      <c r="AF359" s="9"/>
      <c r="AG359" s="22">
        <v>1.65741</v>
      </c>
      <c r="AH359" s="22">
        <v>379.30900000000003</v>
      </c>
      <c r="AI359" s="22">
        <v>-1.50238E-2</v>
      </c>
      <c r="AJ359" s="22">
        <v>349</v>
      </c>
      <c r="AK359" s="22">
        <v>1.6568000000000001</v>
      </c>
      <c r="AL359">
        <f t="shared" si="66"/>
        <v>15.0238</v>
      </c>
      <c r="AM359">
        <f t="shared" si="67"/>
        <v>24.900596358000001</v>
      </c>
      <c r="AP359" s="9"/>
      <c r="AQ359" s="22">
        <v>7.2631799999999996E-2</v>
      </c>
      <c r="AR359" s="22">
        <v>457.19</v>
      </c>
      <c r="AS359" s="22">
        <v>-1.7608599999999999E-2</v>
      </c>
      <c r="AT359" s="22">
        <v>349</v>
      </c>
      <c r="AU359" s="22">
        <v>7.1990999999999999E-2</v>
      </c>
      <c r="AV359">
        <f t="shared" si="68"/>
        <v>17.608599999999999</v>
      </c>
      <c r="AW359">
        <f t="shared" si="69"/>
        <v>1.2789443134799998</v>
      </c>
      <c r="AX359" s="9"/>
      <c r="AY359" s="22">
        <v>1.65741</v>
      </c>
      <c r="AZ359" s="22">
        <v>508.20400000000001</v>
      </c>
      <c r="BA359" s="22">
        <v>-1.51031E-2</v>
      </c>
      <c r="BB359" s="22">
        <v>349</v>
      </c>
      <c r="BC359" s="22">
        <v>1.65588</v>
      </c>
      <c r="BD359">
        <f t="shared" si="70"/>
        <v>15.1031</v>
      </c>
      <c r="BE359">
        <f t="shared" si="71"/>
        <v>25.032028970999999</v>
      </c>
    </row>
    <row r="360" spans="6:57">
      <c r="F360" s="9"/>
      <c r="G360" s="22">
        <v>6.7596400000000001E-2</v>
      </c>
      <c r="H360" s="22">
        <v>143.48099999999999</v>
      </c>
      <c r="I360" s="22">
        <v>-1.7608599999999999E-2</v>
      </c>
      <c r="J360" s="22">
        <v>350</v>
      </c>
      <c r="K360" s="22">
        <v>6.7077600000000001E-2</v>
      </c>
      <c r="L360">
        <f t="shared" si="60"/>
        <v>17.608599999999999</v>
      </c>
      <c r="M360">
        <f t="shared" si="61"/>
        <v>1.1902779690400001</v>
      </c>
      <c r="N360" s="9"/>
      <c r="O360" s="22">
        <v>1.66245</v>
      </c>
      <c r="P360" s="22">
        <v>192.58199999999999</v>
      </c>
      <c r="Q360" s="22">
        <v>-1.29395E-2</v>
      </c>
      <c r="R360" s="22">
        <v>350</v>
      </c>
      <c r="S360" s="22">
        <v>1.6613800000000001</v>
      </c>
      <c r="T360">
        <f t="shared" si="62"/>
        <v>12.939499999999999</v>
      </c>
      <c r="U360">
        <f t="shared" si="63"/>
        <v>21.511271774999997</v>
      </c>
      <c r="X360" s="9"/>
      <c r="Y360" s="22">
        <v>6.7596400000000001E-2</v>
      </c>
      <c r="Z360" s="22">
        <v>248.739</v>
      </c>
      <c r="AA360" s="22">
        <v>-1.7627E-2</v>
      </c>
      <c r="AB360" s="22">
        <v>350</v>
      </c>
      <c r="AC360" s="22">
        <v>6.6986100000000007E-2</v>
      </c>
      <c r="AD360">
        <f t="shared" si="64"/>
        <v>17.626999999999999</v>
      </c>
      <c r="AE360">
        <f t="shared" si="65"/>
        <v>1.1915217428</v>
      </c>
      <c r="AF360" s="9"/>
      <c r="AG360" s="22">
        <v>1.66245</v>
      </c>
      <c r="AH360" s="22">
        <v>379.41</v>
      </c>
      <c r="AI360" s="22">
        <v>-1.49109E-2</v>
      </c>
      <c r="AJ360" s="22">
        <v>350</v>
      </c>
      <c r="AK360" s="22">
        <v>1.66168</v>
      </c>
      <c r="AL360">
        <f t="shared" si="66"/>
        <v>14.9109</v>
      </c>
      <c r="AM360">
        <f t="shared" si="67"/>
        <v>24.788625705000001</v>
      </c>
      <c r="AP360" s="9"/>
      <c r="AQ360" s="22">
        <v>6.7596400000000001E-2</v>
      </c>
      <c r="AR360" s="22">
        <v>457.291</v>
      </c>
      <c r="AS360" s="22">
        <v>-1.76147E-2</v>
      </c>
      <c r="AT360" s="22">
        <v>350</v>
      </c>
      <c r="AU360" s="22">
        <v>6.6894499999999996E-2</v>
      </c>
      <c r="AV360">
        <f t="shared" si="68"/>
        <v>17.614699999999999</v>
      </c>
      <c r="AW360">
        <f t="shared" si="69"/>
        <v>1.1906903070799999</v>
      </c>
      <c r="AX360" s="9"/>
      <c r="AY360" s="22">
        <v>1.66245</v>
      </c>
      <c r="AZ360" s="22">
        <v>508.30500000000001</v>
      </c>
      <c r="BA360" s="22">
        <v>-1.50177E-2</v>
      </c>
      <c r="BB360" s="22">
        <v>350</v>
      </c>
      <c r="BC360" s="22">
        <v>1.66168</v>
      </c>
      <c r="BD360">
        <f t="shared" si="70"/>
        <v>15.0177</v>
      </c>
      <c r="BE360">
        <f t="shared" si="71"/>
        <v>24.966175364999998</v>
      </c>
    </row>
    <row r="361" spans="6:57">
      <c r="F361" s="9"/>
      <c r="G361" s="22">
        <v>6.2561000000000005E-2</v>
      </c>
      <c r="H361" s="22">
        <v>143.58099999999999</v>
      </c>
      <c r="I361" s="22">
        <v>-1.7611700000000001E-2</v>
      </c>
      <c r="J361" s="22">
        <v>351</v>
      </c>
      <c r="K361" s="22">
        <v>6.1920200000000002E-2</v>
      </c>
      <c r="L361">
        <f t="shared" si="60"/>
        <v>17.611700000000003</v>
      </c>
      <c r="M361">
        <f t="shared" si="61"/>
        <v>1.1018055637000002</v>
      </c>
      <c r="N361" s="9"/>
      <c r="O361" s="22">
        <v>1.6674800000000001</v>
      </c>
      <c r="P361" s="22">
        <v>192.68299999999999</v>
      </c>
      <c r="Q361" s="22">
        <v>-1.25702E-2</v>
      </c>
      <c r="R361" s="22">
        <v>351</v>
      </c>
      <c r="S361" s="22">
        <v>1.6662600000000001</v>
      </c>
      <c r="T361">
        <f t="shared" si="62"/>
        <v>12.5702</v>
      </c>
      <c r="U361">
        <f t="shared" si="63"/>
        <v>20.960557096000002</v>
      </c>
      <c r="X361" s="9"/>
      <c r="Y361" s="22">
        <v>6.2561000000000005E-2</v>
      </c>
      <c r="Z361" s="22">
        <v>248.84</v>
      </c>
      <c r="AA361" s="22">
        <v>-1.7627E-2</v>
      </c>
      <c r="AB361" s="22">
        <v>351</v>
      </c>
      <c r="AC361" s="22">
        <v>6.2011700000000003E-2</v>
      </c>
      <c r="AD361">
        <f t="shared" si="64"/>
        <v>17.626999999999999</v>
      </c>
      <c r="AE361">
        <f t="shared" si="65"/>
        <v>1.1027627470000001</v>
      </c>
      <c r="AF361" s="9"/>
      <c r="AG361" s="22">
        <v>1.6674800000000001</v>
      </c>
      <c r="AH361" s="22">
        <v>379.51</v>
      </c>
      <c r="AI361" s="22">
        <v>-1.48071E-2</v>
      </c>
      <c r="AJ361" s="22">
        <v>351</v>
      </c>
      <c r="AK361" s="22">
        <v>1.66656</v>
      </c>
      <c r="AL361">
        <f t="shared" si="66"/>
        <v>14.8071</v>
      </c>
      <c r="AM361">
        <f t="shared" si="67"/>
        <v>24.690543108</v>
      </c>
      <c r="AP361" s="9"/>
      <c r="AQ361" s="22">
        <v>6.2561000000000005E-2</v>
      </c>
      <c r="AR361" s="22">
        <v>457.39100000000002</v>
      </c>
      <c r="AS361" s="22">
        <v>-1.7617799999999999E-2</v>
      </c>
      <c r="AT361" s="22">
        <v>351</v>
      </c>
      <c r="AU361" s="22">
        <v>6.21033E-2</v>
      </c>
      <c r="AV361">
        <f t="shared" si="68"/>
        <v>17.617799999999999</v>
      </c>
      <c r="AW361">
        <f t="shared" si="69"/>
        <v>1.1021871858000001</v>
      </c>
      <c r="AX361" s="9"/>
      <c r="AY361" s="22">
        <v>1.6674800000000001</v>
      </c>
      <c r="AZ361" s="22">
        <v>508.40499999999997</v>
      </c>
      <c r="BA361" s="22">
        <v>-1.4917E-2</v>
      </c>
      <c r="BB361" s="22">
        <v>351</v>
      </c>
      <c r="BC361" s="22">
        <v>1.66656</v>
      </c>
      <c r="BD361">
        <f t="shared" si="70"/>
        <v>14.917</v>
      </c>
      <c r="BE361">
        <f t="shared" si="71"/>
        <v>24.873799160000001</v>
      </c>
    </row>
    <row r="362" spans="6:57">
      <c r="F362" s="9"/>
      <c r="G362" s="22">
        <v>5.7525600000000003E-2</v>
      </c>
      <c r="H362" s="22">
        <v>143.68199999999999</v>
      </c>
      <c r="I362" s="22">
        <v>-1.7611700000000001E-2</v>
      </c>
      <c r="J362" s="22">
        <v>352</v>
      </c>
      <c r="K362" s="22">
        <v>5.6915300000000002E-2</v>
      </c>
      <c r="L362">
        <f t="shared" si="60"/>
        <v>17.611700000000003</v>
      </c>
      <c r="M362">
        <f t="shared" si="61"/>
        <v>1.0131236095200002</v>
      </c>
      <c r="N362" s="9"/>
      <c r="O362" s="22">
        <v>1.67252</v>
      </c>
      <c r="P362" s="22">
        <v>192.78399999999999</v>
      </c>
      <c r="Q362" s="22">
        <v>-1.2234500000000001E-2</v>
      </c>
      <c r="R362" s="22">
        <v>352</v>
      </c>
      <c r="S362" s="22">
        <v>1.6717500000000001</v>
      </c>
      <c r="T362">
        <f t="shared" si="62"/>
        <v>12.234500000000001</v>
      </c>
      <c r="U362">
        <f t="shared" si="63"/>
        <v>20.462445940000002</v>
      </c>
      <c r="X362" s="9"/>
      <c r="Y362" s="22">
        <v>5.7525600000000003E-2</v>
      </c>
      <c r="Z362" s="22">
        <v>248.941</v>
      </c>
      <c r="AA362" s="22">
        <v>-1.763E-2</v>
      </c>
      <c r="AB362" s="22">
        <v>352</v>
      </c>
      <c r="AC362" s="22">
        <v>5.7067899999999998E-2</v>
      </c>
      <c r="AD362">
        <f t="shared" si="64"/>
        <v>17.63</v>
      </c>
      <c r="AE362">
        <f t="shared" si="65"/>
        <v>1.014176328</v>
      </c>
      <c r="AF362" s="9"/>
      <c r="AG362" s="22">
        <v>1.67252</v>
      </c>
      <c r="AH362" s="22">
        <v>379.61099999999999</v>
      </c>
      <c r="AI362" s="22">
        <v>-1.46759E-2</v>
      </c>
      <c r="AJ362" s="22">
        <v>352</v>
      </c>
      <c r="AK362" s="22">
        <v>1.6711400000000001</v>
      </c>
      <c r="AL362">
        <f t="shared" si="66"/>
        <v>14.6759</v>
      </c>
      <c r="AM362">
        <f t="shared" si="67"/>
        <v>24.545736268000002</v>
      </c>
      <c r="AP362" s="9"/>
      <c r="AQ362" s="22">
        <v>5.7525600000000003E-2</v>
      </c>
      <c r="AR362" s="22">
        <v>457.49200000000002</v>
      </c>
      <c r="AS362" s="22">
        <v>-1.7623900000000001E-2</v>
      </c>
      <c r="AT362" s="22">
        <v>352</v>
      </c>
      <c r="AU362" s="22">
        <v>5.7159399999999999E-2</v>
      </c>
      <c r="AV362">
        <f t="shared" si="68"/>
        <v>17.623900000000003</v>
      </c>
      <c r="AW362">
        <f t="shared" si="69"/>
        <v>1.0138254218400002</v>
      </c>
      <c r="AX362" s="9"/>
      <c r="AY362" s="22">
        <v>1.67252</v>
      </c>
      <c r="AZ362" s="22">
        <v>508.50599999999997</v>
      </c>
      <c r="BA362" s="22">
        <v>-1.47888E-2</v>
      </c>
      <c r="BB362" s="22">
        <v>352</v>
      </c>
      <c r="BC362" s="22">
        <v>1.6714500000000001</v>
      </c>
      <c r="BD362">
        <f t="shared" si="70"/>
        <v>14.7888</v>
      </c>
      <c r="BE362">
        <f t="shared" si="71"/>
        <v>24.734563776000002</v>
      </c>
    </row>
    <row r="363" spans="6:57">
      <c r="F363" s="9"/>
      <c r="G363" s="22">
        <v>5.2490200000000001E-2</v>
      </c>
      <c r="H363" s="22">
        <v>143.78299999999999</v>
      </c>
      <c r="I363" s="22">
        <v>-1.7620799999999999E-2</v>
      </c>
      <c r="J363" s="22">
        <v>353</v>
      </c>
      <c r="K363" s="22">
        <v>5.1849399999999997E-2</v>
      </c>
      <c r="L363">
        <f t="shared" si="60"/>
        <v>17.620799999999999</v>
      </c>
      <c r="M363">
        <f t="shared" si="61"/>
        <v>0.92491931616</v>
      </c>
      <c r="N363" s="9"/>
      <c r="O363" s="22">
        <v>1.6775500000000001</v>
      </c>
      <c r="P363" s="22">
        <v>192.88499999999999</v>
      </c>
      <c r="Q363" s="22">
        <v>-1.18896E-2</v>
      </c>
      <c r="R363" s="22">
        <v>353</v>
      </c>
      <c r="S363" s="22">
        <v>1.6769400000000001</v>
      </c>
      <c r="T363">
        <f t="shared" si="62"/>
        <v>11.8896</v>
      </c>
      <c r="U363">
        <f t="shared" si="63"/>
        <v>19.945398480000001</v>
      </c>
      <c r="X363" s="9"/>
      <c r="Y363" s="22">
        <v>5.2490200000000001E-2</v>
      </c>
      <c r="Z363" s="22">
        <v>249.041</v>
      </c>
      <c r="AA363" s="22">
        <v>-1.7633099999999999E-2</v>
      </c>
      <c r="AB363" s="22">
        <v>353</v>
      </c>
      <c r="AC363" s="22">
        <v>5.2093500000000001E-2</v>
      </c>
      <c r="AD363">
        <f t="shared" si="64"/>
        <v>17.633099999999999</v>
      </c>
      <c r="AE363">
        <f t="shared" si="65"/>
        <v>0.92556494561999991</v>
      </c>
      <c r="AF363" s="9"/>
      <c r="AG363" s="22">
        <v>1.6775500000000001</v>
      </c>
      <c r="AH363" s="22">
        <v>379.71199999999999</v>
      </c>
      <c r="AI363" s="22">
        <v>-1.45416E-2</v>
      </c>
      <c r="AJ363" s="22">
        <v>353</v>
      </c>
      <c r="AK363" s="22">
        <v>1.6763300000000001</v>
      </c>
      <c r="AL363">
        <f t="shared" si="66"/>
        <v>14.541600000000001</v>
      </c>
      <c r="AM363">
        <f t="shared" si="67"/>
        <v>24.394261080000003</v>
      </c>
      <c r="AP363" s="9"/>
      <c r="AQ363" s="22">
        <v>5.2490200000000001E-2</v>
      </c>
      <c r="AR363" s="22">
        <v>457.59300000000002</v>
      </c>
      <c r="AS363" s="22">
        <v>-1.7623900000000001E-2</v>
      </c>
      <c r="AT363" s="22">
        <v>353</v>
      </c>
      <c r="AU363" s="22">
        <v>5.1940899999999998E-2</v>
      </c>
      <c r="AV363">
        <f t="shared" si="68"/>
        <v>17.623900000000003</v>
      </c>
      <c r="AW363">
        <f t="shared" si="69"/>
        <v>0.92508203578000014</v>
      </c>
      <c r="AX363" s="9"/>
      <c r="AY363" s="22">
        <v>1.6775500000000001</v>
      </c>
      <c r="AZ363" s="22">
        <v>508.60700000000003</v>
      </c>
      <c r="BA363" s="22">
        <v>-1.46759E-2</v>
      </c>
      <c r="BB363" s="22">
        <v>353</v>
      </c>
      <c r="BC363" s="22">
        <v>1.6766399999999999</v>
      </c>
      <c r="BD363">
        <f t="shared" si="70"/>
        <v>14.6759</v>
      </c>
      <c r="BE363">
        <f t="shared" si="71"/>
        <v>24.619556045000003</v>
      </c>
    </row>
    <row r="364" spans="6:57">
      <c r="F364" s="9"/>
      <c r="G364" s="22">
        <v>4.7454799999999998E-2</v>
      </c>
      <c r="H364" s="22">
        <v>143.88399999999999</v>
      </c>
      <c r="I364" s="22">
        <v>-1.7620799999999999E-2</v>
      </c>
      <c r="J364" s="22">
        <v>354</v>
      </c>
      <c r="K364" s="22">
        <v>4.7341899999999999E-2</v>
      </c>
      <c r="L364">
        <f t="shared" si="60"/>
        <v>17.620799999999999</v>
      </c>
      <c r="M364">
        <f t="shared" si="61"/>
        <v>0.83619153983999994</v>
      </c>
      <c r="N364" s="9"/>
      <c r="O364" s="22">
        <v>1.68259</v>
      </c>
      <c r="P364" s="22">
        <v>192.98500000000001</v>
      </c>
      <c r="Q364" s="22">
        <v>-1.15082E-2</v>
      </c>
      <c r="R364" s="22">
        <v>354</v>
      </c>
      <c r="S364" s="22">
        <v>1.6824300000000001</v>
      </c>
      <c r="T364">
        <f t="shared" si="62"/>
        <v>11.5082</v>
      </c>
      <c r="U364">
        <f t="shared" si="63"/>
        <v>19.363582237999999</v>
      </c>
      <c r="X364" s="9"/>
      <c r="Y364" s="22">
        <v>4.7454799999999998E-2</v>
      </c>
      <c r="Z364" s="22">
        <v>249.142</v>
      </c>
      <c r="AA364" s="22">
        <v>-1.76422E-2</v>
      </c>
      <c r="AB364" s="22">
        <v>354</v>
      </c>
      <c r="AC364" s="22">
        <v>4.7476200000000003E-2</v>
      </c>
      <c r="AD364">
        <f t="shared" si="64"/>
        <v>17.642199999999999</v>
      </c>
      <c r="AE364">
        <f t="shared" si="65"/>
        <v>0.83720707255999993</v>
      </c>
      <c r="AF364" s="9"/>
      <c r="AG364" s="22">
        <v>1.68259</v>
      </c>
      <c r="AH364" s="22">
        <v>379.81200000000001</v>
      </c>
      <c r="AI364" s="22">
        <v>-1.4389000000000001E-2</v>
      </c>
      <c r="AJ364" s="22">
        <v>354</v>
      </c>
      <c r="AK364" s="22">
        <v>1.6821299999999999</v>
      </c>
      <c r="AL364">
        <f t="shared" si="66"/>
        <v>14.389000000000001</v>
      </c>
      <c r="AM364">
        <f t="shared" si="67"/>
        <v>24.210787510000003</v>
      </c>
      <c r="AP364" s="9"/>
      <c r="AQ364" s="22">
        <v>4.7454799999999998E-2</v>
      </c>
      <c r="AR364" s="22">
        <v>457.69400000000002</v>
      </c>
      <c r="AS364" s="22">
        <v>-1.763E-2</v>
      </c>
      <c r="AT364" s="22">
        <v>354</v>
      </c>
      <c r="AU364" s="22">
        <v>4.7357200000000002E-2</v>
      </c>
      <c r="AV364">
        <f t="shared" si="68"/>
        <v>17.63</v>
      </c>
      <c r="AW364">
        <f t="shared" si="69"/>
        <v>0.83662812399999997</v>
      </c>
      <c r="AX364" s="9"/>
      <c r="AY364" s="22">
        <v>1.68259</v>
      </c>
      <c r="AZ364" s="22">
        <v>508.70699999999999</v>
      </c>
      <c r="BA364" s="22">
        <v>-1.45294E-2</v>
      </c>
      <c r="BB364" s="22">
        <v>354</v>
      </c>
      <c r="BC364" s="22">
        <v>1.6821299999999999</v>
      </c>
      <c r="BD364">
        <f t="shared" si="70"/>
        <v>14.529399999999999</v>
      </c>
      <c r="BE364">
        <f t="shared" si="71"/>
        <v>24.447023145999999</v>
      </c>
    </row>
    <row r="365" spans="6:57">
      <c r="F365" s="9"/>
      <c r="G365" s="22">
        <v>4.2419400000000003E-2</v>
      </c>
      <c r="H365" s="22">
        <v>143.98400000000001</v>
      </c>
      <c r="I365" s="22">
        <v>-1.7620799999999999E-2</v>
      </c>
      <c r="J365" s="22">
        <v>355</v>
      </c>
      <c r="K365" s="22">
        <v>4.2263799999999997E-2</v>
      </c>
      <c r="L365">
        <f t="shared" si="60"/>
        <v>17.620799999999999</v>
      </c>
      <c r="M365">
        <f t="shared" si="61"/>
        <v>0.74746376351999999</v>
      </c>
      <c r="N365" s="9"/>
      <c r="O365" s="22">
        <v>1.6876199999999999</v>
      </c>
      <c r="P365" s="22">
        <v>193.08600000000001</v>
      </c>
      <c r="Q365" s="22">
        <v>-1.10931E-2</v>
      </c>
      <c r="R365" s="22">
        <v>355</v>
      </c>
      <c r="S365" s="22">
        <v>1.6867099999999999</v>
      </c>
      <c r="T365">
        <f t="shared" si="62"/>
        <v>11.0931</v>
      </c>
      <c r="U365">
        <f t="shared" si="63"/>
        <v>18.720937421999999</v>
      </c>
      <c r="X365" s="9"/>
      <c r="Y365" s="22">
        <v>4.2419400000000003E-2</v>
      </c>
      <c r="Z365" s="22">
        <v>249.24299999999999</v>
      </c>
      <c r="AA365" s="22">
        <v>-1.7645299999999999E-2</v>
      </c>
      <c r="AB365" s="22">
        <v>355</v>
      </c>
      <c r="AC365" s="22">
        <v>4.2391999999999999E-2</v>
      </c>
      <c r="AD365">
        <f t="shared" si="64"/>
        <v>17.645299999999999</v>
      </c>
      <c r="AE365">
        <f t="shared" si="65"/>
        <v>0.74850303882000002</v>
      </c>
      <c r="AF365" s="9"/>
      <c r="AG365" s="22">
        <v>1.6876199999999999</v>
      </c>
      <c r="AH365" s="22">
        <v>379.91300000000001</v>
      </c>
      <c r="AI365" s="22">
        <v>-1.42548E-2</v>
      </c>
      <c r="AJ365" s="22">
        <v>355</v>
      </c>
      <c r="AK365" s="22">
        <v>1.6873199999999999</v>
      </c>
      <c r="AL365">
        <f t="shared" si="66"/>
        <v>14.254799999999999</v>
      </c>
      <c r="AM365">
        <f t="shared" si="67"/>
        <v>24.056685575999996</v>
      </c>
      <c r="AP365" s="9"/>
      <c r="AQ365" s="22">
        <v>4.2419400000000003E-2</v>
      </c>
      <c r="AR365" s="22">
        <v>457.79399999999998</v>
      </c>
      <c r="AS365" s="22">
        <v>-1.7636099999999998E-2</v>
      </c>
      <c r="AT365" s="22">
        <v>355</v>
      </c>
      <c r="AU365" s="22">
        <v>4.20349E-2</v>
      </c>
      <c r="AV365">
        <f t="shared" si="68"/>
        <v>17.636099999999999</v>
      </c>
      <c r="AW365">
        <f t="shared" si="69"/>
        <v>0.74811278034000006</v>
      </c>
      <c r="AX365" s="9"/>
      <c r="AY365" s="22">
        <v>1.6876199999999999</v>
      </c>
      <c r="AZ365" s="22">
        <v>508.80799999999999</v>
      </c>
      <c r="BA365" s="22">
        <v>-1.4379899999999999E-2</v>
      </c>
      <c r="BB365" s="22">
        <v>355</v>
      </c>
      <c r="BC365" s="22">
        <v>1.6870099999999999</v>
      </c>
      <c r="BD365">
        <f t="shared" si="70"/>
        <v>14.379899999999999</v>
      </c>
      <c r="BE365">
        <f t="shared" si="71"/>
        <v>24.267806837999998</v>
      </c>
    </row>
    <row r="366" spans="6:57">
      <c r="F366" s="9"/>
      <c r="G366" s="22">
        <v>3.7384000000000001E-2</v>
      </c>
      <c r="H366" s="22">
        <v>144.08500000000001</v>
      </c>
      <c r="I366" s="22">
        <v>-1.7627E-2</v>
      </c>
      <c r="J366" s="22">
        <v>356</v>
      </c>
      <c r="K366" s="22">
        <v>3.6981199999999999E-2</v>
      </c>
      <c r="L366">
        <f t="shared" si="60"/>
        <v>17.626999999999999</v>
      </c>
      <c r="M366">
        <f t="shared" si="61"/>
        <v>0.65896776800000001</v>
      </c>
      <c r="N366" s="9"/>
      <c r="O366" s="22">
        <v>1.6926600000000001</v>
      </c>
      <c r="P366" s="22">
        <v>193.18700000000001</v>
      </c>
      <c r="Q366" s="22">
        <v>-1.0659800000000001E-2</v>
      </c>
      <c r="R366" s="22">
        <v>356</v>
      </c>
      <c r="S366" s="22">
        <v>1.6912799999999999</v>
      </c>
      <c r="T366">
        <f t="shared" si="62"/>
        <v>10.659800000000001</v>
      </c>
      <c r="U366">
        <f t="shared" si="63"/>
        <v>18.043417068</v>
      </c>
      <c r="X366" s="9"/>
      <c r="Y366" s="22">
        <v>3.7384000000000001E-2</v>
      </c>
      <c r="Z366" s="22">
        <v>249.34399999999999</v>
      </c>
      <c r="AA366" s="22">
        <v>-1.7648299999999999E-2</v>
      </c>
      <c r="AB366" s="22">
        <v>356</v>
      </c>
      <c r="AC366" s="22">
        <v>3.72742E-2</v>
      </c>
      <c r="AD366">
        <f t="shared" si="64"/>
        <v>17.648299999999999</v>
      </c>
      <c r="AE366">
        <f t="shared" si="65"/>
        <v>0.65976404719999993</v>
      </c>
      <c r="AF366" s="9"/>
      <c r="AG366" s="22">
        <v>1.6926600000000001</v>
      </c>
      <c r="AH366" s="22">
        <v>380.01400000000001</v>
      </c>
      <c r="AI366" s="22">
        <v>-1.4071699999999999E-2</v>
      </c>
      <c r="AJ366" s="22">
        <v>356</v>
      </c>
      <c r="AK366" s="22">
        <v>1.6921999999999999</v>
      </c>
      <c r="AL366">
        <f t="shared" si="66"/>
        <v>14.0717</v>
      </c>
      <c r="AM366">
        <f t="shared" si="67"/>
        <v>23.818603721999999</v>
      </c>
      <c r="AP366" s="9"/>
      <c r="AQ366" s="22">
        <v>3.7384000000000001E-2</v>
      </c>
      <c r="AR366" s="22">
        <v>457.89499999999998</v>
      </c>
      <c r="AS366" s="22">
        <v>-1.7639200000000001E-2</v>
      </c>
      <c r="AT366" s="22">
        <v>356</v>
      </c>
      <c r="AU366" s="22">
        <v>3.7258899999999998E-2</v>
      </c>
      <c r="AV366">
        <f t="shared" si="68"/>
        <v>17.639200000000002</v>
      </c>
      <c r="AW366">
        <f t="shared" si="69"/>
        <v>0.65942385280000015</v>
      </c>
      <c r="AX366" s="9"/>
      <c r="AY366" s="22">
        <v>1.6926600000000001</v>
      </c>
      <c r="AZ366" s="22">
        <v>508.90899999999999</v>
      </c>
      <c r="BA366" s="22">
        <v>-1.4224199999999999E-2</v>
      </c>
      <c r="BB366" s="22">
        <v>356</v>
      </c>
      <c r="BC366" s="22">
        <v>1.6924999999999999</v>
      </c>
      <c r="BD366">
        <f t="shared" si="70"/>
        <v>14.2242</v>
      </c>
      <c r="BE366">
        <f t="shared" si="71"/>
        <v>24.076734372000001</v>
      </c>
    </row>
    <row r="367" spans="6:57">
      <c r="F367" s="9"/>
      <c r="G367" s="22">
        <v>3.2348599999999998E-2</v>
      </c>
      <c r="H367" s="22">
        <v>144.18600000000001</v>
      </c>
      <c r="I367" s="22">
        <v>-1.763E-2</v>
      </c>
      <c r="J367" s="22">
        <v>357</v>
      </c>
      <c r="K367" s="22">
        <v>3.2290600000000003E-2</v>
      </c>
      <c r="L367">
        <f t="shared" si="60"/>
        <v>17.63</v>
      </c>
      <c r="M367">
        <f t="shared" si="61"/>
        <v>0.57030581799999991</v>
      </c>
      <c r="N367" s="9"/>
      <c r="O367" s="22">
        <v>1.6976899999999999</v>
      </c>
      <c r="P367" s="22">
        <v>193.28700000000001</v>
      </c>
      <c r="Q367" s="22">
        <v>-1.0195900000000001E-2</v>
      </c>
      <c r="R367" s="22">
        <v>357</v>
      </c>
      <c r="S367" s="22">
        <v>1.6976899999999999</v>
      </c>
      <c r="T367">
        <f t="shared" si="62"/>
        <v>10.1959</v>
      </c>
      <c r="U367">
        <f t="shared" si="63"/>
        <v>17.309477470999997</v>
      </c>
      <c r="X367" s="9"/>
      <c r="Y367" s="22">
        <v>3.2348599999999998E-2</v>
      </c>
      <c r="Z367" s="22">
        <v>249.44399999999999</v>
      </c>
      <c r="AA367" s="22">
        <v>-1.7648299999999999E-2</v>
      </c>
      <c r="AB367" s="22">
        <v>357</v>
      </c>
      <c r="AC367" s="22">
        <v>3.21899E-2</v>
      </c>
      <c r="AD367">
        <f t="shared" si="64"/>
        <v>17.648299999999999</v>
      </c>
      <c r="AE367">
        <f t="shared" si="65"/>
        <v>0.57089779737999991</v>
      </c>
      <c r="AF367" s="9"/>
      <c r="AG367" s="22">
        <v>1.6976899999999999</v>
      </c>
      <c r="AH367" s="22">
        <v>380.11399999999998</v>
      </c>
      <c r="AI367" s="22">
        <v>-1.38733E-2</v>
      </c>
      <c r="AJ367" s="22">
        <v>357</v>
      </c>
      <c r="AK367" s="22">
        <v>1.6970799999999999</v>
      </c>
      <c r="AL367">
        <f t="shared" si="66"/>
        <v>13.8733</v>
      </c>
      <c r="AM367">
        <f t="shared" si="67"/>
        <v>23.552562677000001</v>
      </c>
      <c r="AP367" s="9"/>
      <c r="AQ367" s="22">
        <v>3.2348599999999998E-2</v>
      </c>
      <c r="AR367" s="22">
        <v>457.99599999999998</v>
      </c>
      <c r="AS367" s="22">
        <v>-1.76422E-2</v>
      </c>
      <c r="AT367" s="22">
        <v>357</v>
      </c>
      <c r="AU367" s="22">
        <v>3.2315099999999999E-2</v>
      </c>
      <c r="AV367">
        <f t="shared" si="68"/>
        <v>17.642199999999999</v>
      </c>
      <c r="AW367">
        <f t="shared" si="69"/>
        <v>0.57070047091999998</v>
      </c>
      <c r="AX367" s="9"/>
      <c r="AY367" s="22">
        <v>1.6976899999999999</v>
      </c>
      <c r="AZ367" s="22">
        <v>509.01</v>
      </c>
      <c r="BA367" s="22">
        <v>-1.4041100000000001E-2</v>
      </c>
      <c r="BB367" s="22">
        <v>357</v>
      </c>
      <c r="BC367" s="22">
        <v>1.69739</v>
      </c>
      <c r="BD367">
        <f t="shared" si="70"/>
        <v>14.0411</v>
      </c>
      <c r="BE367">
        <f t="shared" si="71"/>
        <v>23.837435059000001</v>
      </c>
    </row>
    <row r="368" spans="6:57">
      <c r="F368" s="9"/>
      <c r="G368" s="22">
        <v>2.7313199999999999E-2</v>
      </c>
      <c r="H368" s="22">
        <v>144.286</v>
      </c>
      <c r="I368" s="22">
        <v>-1.7633099999999999E-2</v>
      </c>
      <c r="J368" s="22">
        <v>358</v>
      </c>
      <c r="K368" s="22">
        <v>2.71729E-2</v>
      </c>
      <c r="L368">
        <f t="shared" si="60"/>
        <v>17.633099999999999</v>
      </c>
      <c r="M368">
        <f t="shared" si="61"/>
        <v>0.48161638691999997</v>
      </c>
      <c r="N368" s="9"/>
      <c r="O368" s="22">
        <v>1.7027300000000001</v>
      </c>
      <c r="P368" s="22">
        <v>193.38800000000001</v>
      </c>
      <c r="Q368" s="22">
        <v>-9.7442599999999994E-3</v>
      </c>
      <c r="R368" s="22">
        <v>358</v>
      </c>
      <c r="S368" s="22">
        <v>1.70197</v>
      </c>
      <c r="T368">
        <f t="shared" si="62"/>
        <v>9.7442599999999988</v>
      </c>
      <c r="U368">
        <f t="shared" si="63"/>
        <v>16.591843829799998</v>
      </c>
      <c r="X368" s="9"/>
      <c r="Y368" s="22">
        <v>2.7313199999999999E-2</v>
      </c>
      <c r="Z368" s="22">
        <v>249.54499999999999</v>
      </c>
      <c r="AA368" s="22">
        <v>-1.7651400000000001E-2</v>
      </c>
      <c r="AB368" s="22">
        <v>358</v>
      </c>
      <c r="AC368" s="22">
        <v>2.6989699999999998E-2</v>
      </c>
      <c r="AD368">
        <f t="shared" si="64"/>
        <v>17.651400000000002</v>
      </c>
      <c r="AE368">
        <f t="shared" si="65"/>
        <v>0.48211621848000008</v>
      </c>
      <c r="AF368" s="9"/>
      <c r="AG368" s="22">
        <v>1.7027300000000001</v>
      </c>
      <c r="AH368" s="22">
        <v>380.21499999999997</v>
      </c>
      <c r="AI368" s="22">
        <v>-1.3671900000000001E-2</v>
      </c>
      <c r="AJ368" s="22">
        <v>358</v>
      </c>
      <c r="AK368" s="22">
        <v>1.70197</v>
      </c>
      <c r="AL368">
        <f t="shared" si="66"/>
        <v>13.671900000000001</v>
      </c>
      <c r="AM368">
        <f t="shared" si="67"/>
        <v>23.279554287000003</v>
      </c>
      <c r="AP368" s="9"/>
      <c r="AQ368" s="22">
        <v>2.7313199999999999E-2</v>
      </c>
      <c r="AR368" s="22">
        <v>458.096</v>
      </c>
      <c r="AS368" s="22">
        <v>-1.76422E-2</v>
      </c>
      <c r="AT368" s="22">
        <v>358</v>
      </c>
      <c r="AU368" s="22">
        <v>2.7191199999999999E-2</v>
      </c>
      <c r="AV368">
        <f t="shared" si="68"/>
        <v>17.642199999999999</v>
      </c>
      <c r="AW368">
        <f t="shared" si="69"/>
        <v>0.48186493703999994</v>
      </c>
      <c r="AX368" s="9"/>
      <c r="AY368" s="22">
        <v>1.7027300000000001</v>
      </c>
      <c r="AZ368" s="22">
        <v>509.11</v>
      </c>
      <c r="BA368" s="22">
        <v>-1.3854999999999999E-2</v>
      </c>
      <c r="BB368" s="22">
        <v>358</v>
      </c>
      <c r="BC368" s="22">
        <v>1.70166</v>
      </c>
      <c r="BD368">
        <f t="shared" si="70"/>
        <v>13.854999999999999</v>
      </c>
      <c r="BE368">
        <f t="shared" si="71"/>
        <v>23.591324149999998</v>
      </c>
    </row>
    <row r="369" spans="6:57">
      <c r="F369" s="9"/>
      <c r="G369" s="22">
        <v>2.22778E-2</v>
      </c>
      <c r="H369" s="22">
        <v>144.387</v>
      </c>
      <c r="I369" s="22">
        <v>-1.7636099999999998E-2</v>
      </c>
      <c r="J369" s="22">
        <v>359</v>
      </c>
      <c r="K369" s="22">
        <v>2.2067300000000001E-2</v>
      </c>
      <c r="L369">
        <f t="shared" si="60"/>
        <v>17.636099999999999</v>
      </c>
      <c r="M369">
        <f t="shared" si="61"/>
        <v>0.39289350857999999</v>
      </c>
      <c r="N369" s="9"/>
      <c r="O369" s="22">
        <v>1.7077599999999999</v>
      </c>
      <c r="P369" s="22">
        <v>193.489</v>
      </c>
      <c r="Q369" s="22">
        <v>-9.1979999999999996E-3</v>
      </c>
      <c r="R369" s="22">
        <v>359</v>
      </c>
      <c r="S369" s="22">
        <v>1.7071499999999999</v>
      </c>
      <c r="T369">
        <f t="shared" si="62"/>
        <v>9.1980000000000004</v>
      </c>
      <c r="U369">
        <f t="shared" si="63"/>
        <v>15.707976480000001</v>
      </c>
      <c r="X369" s="9"/>
      <c r="Y369" s="22">
        <v>2.22778E-2</v>
      </c>
      <c r="Z369" s="22">
        <v>249.64599999999999</v>
      </c>
      <c r="AA369" s="22">
        <v>-1.7654400000000001E-2</v>
      </c>
      <c r="AB369" s="22">
        <v>359</v>
      </c>
      <c r="AC369" s="22">
        <v>2.2039799999999998E-2</v>
      </c>
      <c r="AD369">
        <f t="shared" si="64"/>
        <v>17.654399999999999</v>
      </c>
      <c r="AE369">
        <f t="shared" si="65"/>
        <v>0.39330119231999999</v>
      </c>
      <c r="AF369" s="9"/>
      <c r="AG369" s="22">
        <v>1.7077599999999999</v>
      </c>
      <c r="AH369" s="22">
        <v>380.31599999999997</v>
      </c>
      <c r="AI369" s="22">
        <v>-1.3443E-2</v>
      </c>
      <c r="AJ369" s="22">
        <v>359</v>
      </c>
      <c r="AK369" s="22">
        <v>1.7065399999999999</v>
      </c>
      <c r="AL369">
        <f t="shared" si="66"/>
        <v>13.443</v>
      </c>
      <c r="AM369">
        <f t="shared" si="67"/>
        <v>22.957417679999999</v>
      </c>
      <c r="AP369" s="9"/>
      <c r="AQ369" s="22">
        <v>2.22778E-2</v>
      </c>
      <c r="AR369" s="22">
        <v>458.197</v>
      </c>
      <c r="AS369" s="22">
        <v>-1.7648299999999999E-2</v>
      </c>
      <c r="AT369" s="22">
        <v>359</v>
      </c>
      <c r="AU369" s="22">
        <v>2.2042800000000001E-2</v>
      </c>
      <c r="AV369">
        <f t="shared" si="68"/>
        <v>17.648299999999999</v>
      </c>
      <c r="AW369">
        <f t="shared" si="69"/>
        <v>0.39316529773999997</v>
      </c>
      <c r="AX369" s="9"/>
      <c r="AY369" s="22">
        <v>1.7077599999999999</v>
      </c>
      <c r="AZ369" s="22">
        <v>509.21100000000001</v>
      </c>
      <c r="BA369" s="22">
        <v>-1.36353E-2</v>
      </c>
      <c r="BB369" s="22">
        <v>359</v>
      </c>
      <c r="BC369" s="22">
        <v>1.70685</v>
      </c>
      <c r="BD369">
        <f t="shared" si="70"/>
        <v>13.635299999999999</v>
      </c>
      <c r="BE369">
        <f t="shared" si="71"/>
        <v>23.285819927999999</v>
      </c>
    </row>
    <row r="370" spans="6:57">
      <c r="F370" s="9"/>
      <c r="G370" s="22">
        <v>1.7242400000000001E-2</v>
      </c>
      <c r="H370" s="22">
        <v>144.488</v>
      </c>
      <c r="I370" s="22">
        <v>-1.7636099999999998E-2</v>
      </c>
      <c r="J370" s="22">
        <v>360</v>
      </c>
      <c r="K370" s="22">
        <v>1.7086799999999999E-2</v>
      </c>
      <c r="L370">
        <f t="shared" si="60"/>
        <v>17.636099999999999</v>
      </c>
      <c r="M370">
        <f t="shared" si="61"/>
        <v>0.30408869063999999</v>
      </c>
      <c r="N370" s="9"/>
      <c r="O370" s="22">
        <v>1.7128000000000001</v>
      </c>
      <c r="P370" s="22">
        <v>193.589</v>
      </c>
      <c r="Q370" s="22">
        <v>-8.6669899999999994E-3</v>
      </c>
      <c r="R370" s="22">
        <v>360</v>
      </c>
      <c r="S370" s="22">
        <v>1.71234</v>
      </c>
      <c r="T370">
        <f t="shared" si="62"/>
        <v>8.6669900000000002</v>
      </c>
      <c r="U370">
        <f t="shared" si="63"/>
        <v>14.844820472</v>
      </c>
      <c r="X370" s="9"/>
      <c r="Y370" s="22">
        <v>1.7242400000000001E-2</v>
      </c>
      <c r="Z370" s="22">
        <v>249.74600000000001</v>
      </c>
      <c r="AA370" s="22">
        <v>-1.76575E-2</v>
      </c>
      <c r="AB370" s="22">
        <v>360</v>
      </c>
      <c r="AC370" s="22">
        <v>1.70563E-2</v>
      </c>
      <c r="AD370">
        <f t="shared" si="64"/>
        <v>17.657499999999999</v>
      </c>
      <c r="AE370">
        <f t="shared" si="65"/>
        <v>0.30445767800000001</v>
      </c>
      <c r="AF370" s="9"/>
      <c r="AG370" s="22">
        <v>1.7128000000000001</v>
      </c>
      <c r="AH370" s="22">
        <v>380.41699999999997</v>
      </c>
      <c r="AI370" s="22">
        <v>-1.32233E-2</v>
      </c>
      <c r="AJ370" s="22">
        <v>360</v>
      </c>
      <c r="AK370" s="22">
        <v>1.71204</v>
      </c>
      <c r="AL370">
        <f t="shared" si="66"/>
        <v>13.2233</v>
      </c>
      <c r="AM370">
        <f t="shared" si="67"/>
        <v>22.648868240000002</v>
      </c>
      <c r="AP370" s="9"/>
      <c r="AQ370" s="22">
        <v>1.7242400000000001E-2</v>
      </c>
      <c r="AR370" s="22">
        <v>458.298</v>
      </c>
      <c r="AS370" s="22">
        <v>-1.7651400000000001E-2</v>
      </c>
      <c r="AT370" s="22">
        <v>360</v>
      </c>
      <c r="AU370" s="22">
        <v>1.7059299999999999E-2</v>
      </c>
      <c r="AV370">
        <f t="shared" si="68"/>
        <v>17.651400000000002</v>
      </c>
      <c r="AW370">
        <f t="shared" si="69"/>
        <v>0.30435249936000008</v>
      </c>
      <c r="AX370" s="9"/>
      <c r="AY370" s="22">
        <v>1.7128000000000001</v>
      </c>
      <c r="AZ370" s="22">
        <v>509.31200000000001</v>
      </c>
      <c r="BA370" s="22">
        <v>-1.3418599999999999E-2</v>
      </c>
      <c r="BB370" s="22">
        <v>360</v>
      </c>
      <c r="BC370" s="22">
        <v>1.71234</v>
      </c>
      <c r="BD370">
        <f t="shared" si="70"/>
        <v>13.4186</v>
      </c>
      <c r="BE370">
        <f t="shared" si="71"/>
        <v>22.983378080000001</v>
      </c>
    </row>
    <row r="371" spans="6:57">
      <c r="F371" s="9"/>
      <c r="G371" s="22">
        <v>1.2207000000000001E-2</v>
      </c>
      <c r="H371" s="22">
        <v>144.58799999999999</v>
      </c>
      <c r="I371" s="22">
        <v>-1.7639200000000001E-2</v>
      </c>
      <c r="J371" s="22">
        <v>361</v>
      </c>
      <c r="K371" s="22">
        <v>1.20056E-2</v>
      </c>
      <c r="L371">
        <f t="shared" si="60"/>
        <v>17.639200000000002</v>
      </c>
      <c r="M371">
        <f t="shared" si="61"/>
        <v>0.21532171440000006</v>
      </c>
      <c r="N371" s="9"/>
      <c r="O371" s="22">
        <v>1.71783</v>
      </c>
      <c r="P371" s="22">
        <v>193.69</v>
      </c>
      <c r="Q371" s="22">
        <v>-8.0963100000000007E-3</v>
      </c>
      <c r="R371" s="22">
        <v>361</v>
      </c>
      <c r="S371" s="22">
        <v>1.71661</v>
      </c>
      <c r="T371">
        <f t="shared" si="62"/>
        <v>8.0963100000000008</v>
      </c>
      <c r="U371">
        <f t="shared" si="63"/>
        <v>13.908084207300002</v>
      </c>
      <c r="X371" s="9"/>
      <c r="Y371" s="22">
        <v>1.2207000000000001E-2</v>
      </c>
      <c r="Z371" s="22">
        <v>249.84700000000001</v>
      </c>
      <c r="AA371" s="22">
        <v>-1.7663600000000002E-2</v>
      </c>
      <c r="AB371" s="22">
        <v>361</v>
      </c>
      <c r="AC371" s="22">
        <v>1.2200900000000001E-2</v>
      </c>
      <c r="AD371">
        <f t="shared" si="64"/>
        <v>17.663600000000002</v>
      </c>
      <c r="AE371">
        <f t="shared" si="65"/>
        <v>0.21561956520000006</v>
      </c>
      <c r="AF371" s="9"/>
      <c r="AG371" s="22">
        <v>1.71783</v>
      </c>
      <c r="AH371" s="22">
        <v>380.517</v>
      </c>
      <c r="AI371" s="22">
        <v>-1.29272E-2</v>
      </c>
      <c r="AJ371" s="22">
        <v>361</v>
      </c>
      <c r="AK371" s="22">
        <v>1.71692</v>
      </c>
      <c r="AL371">
        <f t="shared" si="66"/>
        <v>12.927199999999999</v>
      </c>
      <c r="AM371">
        <f t="shared" si="67"/>
        <v>22.206731975999997</v>
      </c>
      <c r="AP371" s="9"/>
      <c r="AQ371" s="22">
        <v>1.2207000000000001E-2</v>
      </c>
      <c r="AR371" s="22">
        <v>458.399</v>
      </c>
      <c r="AS371" s="22">
        <v>-1.7654400000000001E-2</v>
      </c>
      <c r="AT371" s="22">
        <v>361</v>
      </c>
      <c r="AU371" s="22">
        <v>1.20941E-2</v>
      </c>
      <c r="AV371">
        <f t="shared" si="68"/>
        <v>17.654399999999999</v>
      </c>
      <c r="AW371">
        <f t="shared" si="69"/>
        <v>0.21550726079999999</v>
      </c>
      <c r="AX371" s="9"/>
      <c r="AY371" s="22">
        <v>1.71783</v>
      </c>
      <c r="AZ371" s="22">
        <v>509.41199999999998</v>
      </c>
      <c r="BA371" s="22">
        <v>-1.31653E-2</v>
      </c>
      <c r="BB371" s="22">
        <v>361</v>
      </c>
      <c r="BC371" s="22">
        <v>1.71692</v>
      </c>
      <c r="BD371">
        <f t="shared" si="70"/>
        <v>13.1653</v>
      </c>
      <c r="BE371">
        <f t="shared" si="71"/>
        <v>22.615747298999999</v>
      </c>
    </row>
    <row r="372" spans="6:57">
      <c r="F372" s="9"/>
      <c r="G372" s="22">
        <v>7.17163E-3</v>
      </c>
      <c r="H372" s="22">
        <v>144.68899999999999</v>
      </c>
      <c r="I372" s="22">
        <v>-1.7645299999999999E-2</v>
      </c>
      <c r="J372" s="22">
        <v>362</v>
      </c>
      <c r="K372" s="22">
        <v>6.9732700000000002E-3</v>
      </c>
      <c r="L372">
        <f t="shared" si="60"/>
        <v>17.645299999999999</v>
      </c>
      <c r="M372">
        <f t="shared" si="61"/>
        <v>0.12654556283899998</v>
      </c>
      <c r="N372" s="9"/>
      <c r="O372" s="22">
        <v>1.7228699999999999</v>
      </c>
      <c r="P372" s="22">
        <v>193.791</v>
      </c>
      <c r="Q372" s="22">
        <v>-7.4096700000000001E-3</v>
      </c>
      <c r="R372" s="22">
        <v>362</v>
      </c>
      <c r="S372" s="22">
        <v>1.72241</v>
      </c>
      <c r="T372">
        <f t="shared" si="62"/>
        <v>7.4096700000000002</v>
      </c>
      <c r="U372">
        <f t="shared" si="63"/>
        <v>12.7658981529</v>
      </c>
      <c r="X372" s="9"/>
      <c r="Y372" s="22">
        <v>7.17163E-3</v>
      </c>
      <c r="Z372" s="22">
        <v>249.94800000000001</v>
      </c>
      <c r="AA372" s="22">
        <v>-1.7663600000000002E-2</v>
      </c>
      <c r="AB372" s="22">
        <v>362</v>
      </c>
      <c r="AC372" s="22">
        <v>6.8817100000000001E-3</v>
      </c>
      <c r="AD372">
        <f t="shared" si="64"/>
        <v>17.663600000000002</v>
      </c>
      <c r="AE372">
        <f t="shared" si="65"/>
        <v>0.12667680366800002</v>
      </c>
      <c r="AF372" s="9"/>
      <c r="AG372" s="22">
        <v>1.7228699999999999</v>
      </c>
      <c r="AH372" s="22">
        <v>380.61799999999999</v>
      </c>
      <c r="AI372" s="22">
        <v>-1.26068E-2</v>
      </c>
      <c r="AJ372" s="22">
        <v>362</v>
      </c>
      <c r="AK372" s="22">
        <v>1.72211</v>
      </c>
      <c r="AL372">
        <f t="shared" si="66"/>
        <v>12.6068</v>
      </c>
      <c r="AM372">
        <f t="shared" si="67"/>
        <v>21.719877515999997</v>
      </c>
      <c r="AP372" s="9"/>
      <c r="AQ372" s="22">
        <v>7.17163E-3</v>
      </c>
      <c r="AR372" s="22">
        <v>458.49900000000002</v>
      </c>
      <c r="AS372" s="22">
        <v>-1.7654400000000001E-2</v>
      </c>
      <c r="AT372" s="22">
        <v>362</v>
      </c>
      <c r="AU372" s="22">
        <v>6.9763200000000003E-3</v>
      </c>
      <c r="AV372">
        <f t="shared" si="68"/>
        <v>17.654399999999999</v>
      </c>
      <c r="AW372">
        <f t="shared" si="69"/>
        <v>0.12661082467199999</v>
      </c>
      <c r="AX372" s="9"/>
      <c r="AY372" s="22">
        <v>1.7228699999999999</v>
      </c>
      <c r="AZ372" s="22">
        <v>509.51299999999998</v>
      </c>
      <c r="BA372" s="22">
        <v>-1.28784E-2</v>
      </c>
      <c r="BB372" s="22">
        <v>362</v>
      </c>
      <c r="BC372" s="22">
        <v>1.7218</v>
      </c>
      <c r="BD372">
        <f t="shared" si="70"/>
        <v>12.878399999999999</v>
      </c>
      <c r="BE372">
        <f t="shared" si="71"/>
        <v>22.187809007999999</v>
      </c>
    </row>
    <row r="373" spans="6:57">
      <c r="F373" s="9"/>
      <c r="G373" s="22">
        <v>2.1362299999999998E-3</v>
      </c>
      <c r="H373" s="22">
        <v>144.79</v>
      </c>
      <c r="I373" s="22">
        <v>-1.7648299999999999E-2</v>
      </c>
      <c r="J373" s="22">
        <v>363</v>
      </c>
      <c r="K373" s="22">
        <v>1.9866900000000002E-3</v>
      </c>
      <c r="L373">
        <f t="shared" si="60"/>
        <v>17.648299999999999</v>
      </c>
      <c r="M373">
        <f t="shared" si="61"/>
        <v>3.7700827908999993E-2</v>
      </c>
      <c r="N373" s="9"/>
      <c r="O373" s="22">
        <v>1.7279100000000001</v>
      </c>
      <c r="P373" s="22">
        <v>193.892</v>
      </c>
      <c r="Q373" s="22">
        <v>-6.7138700000000003E-3</v>
      </c>
      <c r="R373" s="22">
        <v>363</v>
      </c>
      <c r="S373" s="22">
        <v>1.7276</v>
      </c>
      <c r="T373">
        <f t="shared" si="62"/>
        <v>6.71387</v>
      </c>
      <c r="U373">
        <f t="shared" si="63"/>
        <v>11.6009631117</v>
      </c>
      <c r="X373" s="9"/>
      <c r="Y373" s="22">
        <v>2.1362299999999998E-3</v>
      </c>
      <c r="Z373" s="22">
        <v>250.048</v>
      </c>
      <c r="AA373" s="22">
        <v>-1.76697E-2</v>
      </c>
      <c r="AB373" s="22">
        <v>363</v>
      </c>
      <c r="AC373" s="22">
        <v>1.95313E-3</v>
      </c>
      <c r="AD373">
        <f t="shared" si="64"/>
        <v>17.669699999999999</v>
      </c>
      <c r="AE373">
        <f t="shared" si="65"/>
        <v>3.7746543230999997E-2</v>
      </c>
      <c r="AF373" s="9"/>
      <c r="AG373" s="22">
        <v>1.7279100000000001</v>
      </c>
      <c r="AH373" s="22">
        <v>380.71899999999999</v>
      </c>
      <c r="AI373" s="22">
        <v>-1.2268100000000001E-2</v>
      </c>
      <c r="AJ373" s="22">
        <v>363</v>
      </c>
      <c r="AK373" s="22">
        <v>1.72729</v>
      </c>
      <c r="AL373">
        <f t="shared" si="66"/>
        <v>12.2681</v>
      </c>
      <c r="AM373">
        <f t="shared" si="67"/>
        <v>21.198172671000002</v>
      </c>
      <c r="AP373" s="9"/>
      <c r="AQ373" s="22">
        <v>2.1362299999999998E-3</v>
      </c>
      <c r="AR373" s="22">
        <v>458.6</v>
      </c>
      <c r="AS373" s="22">
        <v>-1.76575E-2</v>
      </c>
      <c r="AT373" s="22">
        <v>363</v>
      </c>
      <c r="AU373" s="22">
        <v>1.828E-3</v>
      </c>
      <c r="AV373">
        <f t="shared" si="68"/>
        <v>17.657499999999999</v>
      </c>
      <c r="AW373">
        <f t="shared" si="69"/>
        <v>3.7720481224999991E-2</v>
      </c>
      <c r="AX373" s="9"/>
      <c r="AY373" s="22">
        <v>1.7279100000000001</v>
      </c>
      <c r="AZ373" s="22">
        <v>509.61399999999998</v>
      </c>
      <c r="BA373" s="22">
        <v>-1.2554900000000001E-2</v>
      </c>
      <c r="BB373" s="22">
        <v>363</v>
      </c>
      <c r="BC373" s="22">
        <v>1.7276</v>
      </c>
      <c r="BD373">
        <f t="shared" si="70"/>
        <v>12.5549</v>
      </c>
      <c r="BE373">
        <f t="shared" si="71"/>
        <v>21.693737259000002</v>
      </c>
    </row>
    <row r="374" spans="6:57">
      <c r="F374" s="9"/>
      <c r="G374" s="22">
        <v>-2.89917E-3</v>
      </c>
      <c r="H374" s="22">
        <v>144.89099999999999</v>
      </c>
      <c r="I374" s="22">
        <v>-1.7654400000000001E-2</v>
      </c>
      <c r="J374" s="22">
        <v>364</v>
      </c>
      <c r="K374" s="22">
        <v>-3.1799300000000001E-3</v>
      </c>
      <c r="L374">
        <f t="shared" si="60"/>
        <v>17.654399999999999</v>
      </c>
      <c r="M374">
        <f t="shared" si="61"/>
        <v>-5.1183106847999996E-2</v>
      </c>
      <c r="N374" s="9"/>
      <c r="O374" s="22">
        <v>1.7329399999999999</v>
      </c>
      <c r="P374" s="22">
        <v>193.99199999999999</v>
      </c>
      <c r="Q374" s="22">
        <v>-6.0699500000000002E-3</v>
      </c>
      <c r="R374" s="22">
        <v>364</v>
      </c>
      <c r="S374" s="22">
        <v>1.7321800000000001</v>
      </c>
      <c r="T374">
        <f t="shared" si="62"/>
        <v>6.0699500000000004</v>
      </c>
      <c r="U374">
        <f t="shared" si="63"/>
        <v>10.518859153000001</v>
      </c>
      <c r="X374" s="9"/>
      <c r="Y374" s="22">
        <v>-2.89917E-3</v>
      </c>
      <c r="Z374" s="22">
        <v>250.149</v>
      </c>
      <c r="AA374" s="22">
        <v>-1.7675799999999998E-2</v>
      </c>
      <c r="AB374" s="22">
        <v>364</v>
      </c>
      <c r="AC374" s="22">
        <v>-3.14636E-3</v>
      </c>
      <c r="AD374">
        <f t="shared" si="64"/>
        <v>17.675799999999999</v>
      </c>
      <c r="AE374">
        <f t="shared" si="65"/>
        <v>-5.1245149085999996E-2</v>
      </c>
      <c r="AF374" s="9"/>
      <c r="AG374" s="22">
        <v>1.7329399999999999</v>
      </c>
      <c r="AH374" s="22">
        <v>380.81900000000002</v>
      </c>
      <c r="AI374" s="22">
        <v>-1.18713E-2</v>
      </c>
      <c r="AJ374" s="22">
        <v>364</v>
      </c>
      <c r="AK374" s="22">
        <v>1.7321800000000001</v>
      </c>
      <c r="AL374">
        <f t="shared" si="66"/>
        <v>11.8713</v>
      </c>
      <c r="AM374">
        <f t="shared" si="67"/>
        <v>20.572250621999999</v>
      </c>
      <c r="AP374" s="9"/>
      <c r="AQ374" s="22">
        <v>-2.89917E-3</v>
      </c>
      <c r="AR374" s="22">
        <v>458.70100000000002</v>
      </c>
      <c r="AS374" s="22">
        <v>-1.7663600000000002E-2</v>
      </c>
      <c r="AT374" s="22">
        <v>364</v>
      </c>
      <c r="AU374" s="22">
        <v>-3.0151399999999999E-3</v>
      </c>
      <c r="AV374">
        <f t="shared" si="68"/>
        <v>17.663600000000002</v>
      </c>
      <c r="AW374">
        <f t="shared" si="69"/>
        <v>-5.1209779212000005E-2</v>
      </c>
      <c r="AX374" s="9"/>
      <c r="AY374" s="22">
        <v>1.7329399999999999</v>
      </c>
      <c r="AZ374" s="22">
        <v>509.714</v>
      </c>
      <c r="BA374" s="22">
        <v>-1.2185700000000001E-2</v>
      </c>
      <c r="BB374" s="22">
        <v>364</v>
      </c>
      <c r="BC374" s="22">
        <v>1.7315700000000001</v>
      </c>
      <c r="BD374">
        <f t="shared" si="70"/>
        <v>12.185700000000001</v>
      </c>
      <c r="BE374">
        <f t="shared" si="71"/>
        <v>21.117086958000002</v>
      </c>
    </row>
    <row r="375" spans="6:57">
      <c r="F375" s="9"/>
      <c r="G375" s="22">
        <v>-7.9345700000000002E-3</v>
      </c>
      <c r="H375" s="22">
        <v>144.99100000000001</v>
      </c>
      <c r="I375" s="22">
        <v>-1.76575E-2</v>
      </c>
      <c r="J375" s="22">
        <v>365</v>
      </c>
      <c r="K375" s="22">
        <v>-8.1146199999999995E-3</v>
      </c>
      <c r="L375">
        <f t="shared" si="60"/>
        <v>17.657499999999999</v>
      </c>
      <c r="M375">
        <f t="shared" si="61"/>
        <v>-0.140104669775</v>
      </c>
      <c r="N375" s="9"/>
      <c r="O375" s="22">
        <v>1.7379800000000001</v>
      </c>
      <c r="P375" s="22">
        <v>194.09299999999999</v>
      </c>
      <c r="Q375" s="22">
        <v>-5.4199199999999999E-3</v>
      </c>
      <c r="R375" s="22">
        <v>365</v>
      </c>
      <c r="S375" s="22">
        <v>1.73767</v>
      </c>
      <c r="T375">
        <f t="shared" si="62"/>
        <v>5.4199200000000003</v>
      </c>
      <c r="U375">
        <f t="shared" si="63"/>
        <v>9.4197125616000008</v>
      </c>
      <c r="X375" s="9"/>
      <c r="Y375" s="22">
        <v>-7.9345700000000002E-3</v>
      </c>
      <c r="Z375" s="22">
        <v>250.25</v>
      </c>
      <c r="AA375" s="22">
        <v>-1.7678800000000001E-2</v>
      </c>
      <c r="AB375" s="22">
        <v>365</v>
      </c>
      <c r="AC375" s="22">
        <v>-8.1695599999999993E-3</v>
      </c>
      <c r="AD375">
        <f t="shared" si="64"/>
        <v>17.678800000000003</v>
      </c>
      <c r="AE375">
        <f t="shared" si="65"/>
        <v>-0.14027367611600003</v>
      </c>
      <c r="AF375" s="9"/>
      <c r="AG375" s="22">
        <v>1.7379800000000001</v>
      </c>
      <c r="AH375" s="22">
        <v>380.92</v>
      </c>
      <c r="AI375" s="22">
        <v>-1.1416600000000001E-2</v>
      </c>
      <c r="AJ375" s="22">
        <v>365</v>
      </c>
      <c r="AK375" s="22">
        <v>1.73767</v>
      </c>
      <c r="AL375">
        <f t="shared" si="66"/>
        <v>11.416600000000001</v>
      </c>
      <c r="AM375">
        <f t="shared" si="67"/>
        <v>19.841822468000004</v>
      </c>
      <c r="AP375" s="9"/>
      <c r="AQ375" s="22">
        <v>-7.9345700000000002E-3</v>
      </c>
      <c r="AR375" s="22">
        <v>458.80099999999999</v>
      </c>
      <c r="AS375" s="22">
        <v>-1.7666600000000001E-2</v>
      </c>
      <c r="AT375" s="22">
        <v>365</v>
      </c>
      <c r="AU375" s="22">
        <v>-8.13293E-3</v>
      </c>
      <c r="AV375">
        <f t="shared" si="68"/>
        <v>17.666600000000003</v>
      </c>
      <c r="AW375">
        <f t="shared" si="69"/>
        <v>-0.14017687436200002</v>
      </c>
      <c r="AX375" s="9"/>
      <c r="AY375" s="22">
        <v>1.7379800000000001</v>
      </c>
      <c r="AZ375" s="22">
        <v>509.815</v>
      </c>
      <c r="BA375" s="22">
        <v>-1.18073E-2</v>
      </c>
      <c r="BB375" s="22">
        <v>365</v>
      </c>
      <c r="BC375" s="22">
        <v>1.73706</v>
      </c>
      <c r="BD375">
        <f t="shared" si="70"/>
        <v>11.8073</v>
      </c>
      <c r="BE375">
        <f t="shared" si="71"/>
        <v>20.520851254</v>
      </c>
    </row>
    <row r="376" spans="6:57">
      <c r="F376" s="9"/>
      <c r="G376" s="22">
        <v>-1.2970000000000001E-2</v>
      </c>
      <c r="H376" s="22">
        <v>145.09200000000001</v>
      </c>
      <c r="I376" s="22">
        <v>-1.76575E-2</v>
      </c>
      <c r="J376" s="22">
        <v>366</v>
      </c>
      <c r="K376" s="22">
        <v>-1.32538E-2</v>
      </c>
      <c r="L376">
        <f t="shared" si="60"/>
        <v>17.657499999999999</v>
      </c>
      <c r="M376">
        <f t="shared" si="61"/>
        <v>-0.22901777500000001</v>
      </c>
      <c r="N376" s="9"/>
      <c r="O376" s="22">
        <v>1.7430099999999999</v>
      </c>
      <c r="P376" s="22">
        <v>194.19399999999999</v>
      </c>
      <c r="Q376" s="22">
        <v>-4.7058100000000004E-3</v>
      </c>
      <c r="R376" s="22">
        <v>366</v>
      </c>
      <c r="S376" s="22">
        <v>1.7422500000000001</v>
      </c>
      <c r="T376">
        <f t="shared" si="62"/>
        <v>4.7058100000000005</v>
      </c>
      <c r="U376">
        <f t="shared" si="63"/>
        <v>8.2022738881000006</v>
      </c>
      <c r="X376" s="9"/>
      <c r="Y376" s="22">
        <v>-1.2970000000000001E-2</v>
      </c>
      <c r="Z376" s="22">
        <v>250.351</v>
      </c>
      <c r="AA376" s="22">
        <v>-1.76819E-2</v>
      </c>
      <c r="AB376" s="22">
        <v>366</v>
      </c>
      <c r="AC376" s="22">
        <v>-1.3207999999999999E-2</v>
      </c>
      <c r="AD376">
        <f t="shared" si="64"/>
        <v>17.681899999999999</v>
      </c>
      <c r="AE376">
        <f t="shared" si="65"/>
        <v>-0.22933424299999999</v>
      </c>
      <c r="AF376" s="9"/>
      <c r="AG376" s="22">
        <v>1.7430099999999999</v>
      </c>
      <c r="AH376" s="22">
        <v>381.02100000000002</v>
      </c>
      <c r="AI376" s="22">
        <v>-1.09009E-2</v>
      </c>
      <c r="AJ376" s="22">
        <v>366</v>
      </c>
      <c r="AK376" s="22">
        <v>1.74194</v>
      </c>
      <c r="AL376">
        <f t="shared" si="66"/>
        <v>10.9009</v>
      </c>
      <c r="AM376">
        <f t="shared" si="67"/>
        <v>19.000377708999999</v>
      </c>
      <c r="AP376" s="9"/>
      <c r="AQ376" s="22">
        <v>-1.2970000000000001E-2</v>
      </c>
      <c r="AR376" s="22">
        <v>458.90199999999999</v>
      </c>
      <c r="AS376" s="22">
        <v>-1.76697E-2</v>
      </c>
      <c r="AT376" s="22">
        <v>366</v>
      </c>
      <c r="AU376" s="22">
        <v>-1.31927E-2</v>
      </c>
      <c r="AV376">
        <f t="shared" si="68"/>
        <v>17.669699999999999</v>
      </c>
      <c r="AW376">
        <f t="shared" si="69"/>
        <v>-0.22917600899999999</v>
      </c>
      <c r="AX376" s="9"/>
      <c r="AY376" s="22">
        <v>1.7430099999999999</v>
      </c>
      <c r="AZ376" s="22">
        <v>509.916</v>
      </c>
      <c r="BA376" s="22">
        <v>-1.13159E-2</v>
      </c>
      <c r="BB376" s="22">
        <v>366</v>
      </c>
      <c r="BC376" s="22">
        <v>1.74194</v>
      </c>
      <c r="BD376">
        <f t="shared" si="70"/>
        <v>11.315900000000001</v>
      </c>
      <c r="BE376">
        <f t="shared" si="71"/>
        <v>19.723726859000003</v>
      </c>
    </row>
    <row r="377" spans="6:57">
      <c r="F377" s="9"/>
      <c r="G377" s="22">
        <v>-1.8005400000000001E-2</v>
      </c>
      <c r="H377" s="22">
        <v>145.19300000000001</v>
      </c>
      <c r="I377" s="22">
        <v>-1.7660499999999999E-2</v>
      </c>
      <c r="J377" s="22">
        <v>367</v>
      </c>
      <c r="K377" s="22">
        <v>-1.8277000000000002E-2</v>
      </c>
      <c r="L377">
        <f t="shared" si="60"/>
        <v>17.660499999999999</v>
      </c>
      <c r="M377">
        <f t="shared" si="61"/>
        <v>-0.31798436670000002</v>
      </c>
      <c r="N377" s="9"/>
      <c r="O377" s="22">
        <v>1.7480500000000001</v>
      </c>
      <c r="P377" s="22">
        <v>194.29400000000001</v>
      </c>
      <c r="Q377" s="22">
        <v>-3.9559900000000004E-3</v>
      </c>
      <c r="R377" s="22">
        <v>367</v>
      </c>
      <c r="S377" s="22">
        <v>1.7474400000000001</v>
      </c>
      <c r="T377">
        <f t="shared" si="62"/>
        <v>3.9559900000000003</v>
      </c>
      <c r="U377">
        <f t="shared" si="63"/>
        <v>6.9152683195000009</v>
      </c>
      <c r="X377" s="9"/>
      <c r="Y377" s="22">
        <v>-1.8005400000000001E-2</v>
      </c>
      <c r="Z377" s="22">
        <v>250.45099999999999</v>
      </c>
      <c r="AA377" s="22">
        <v>-1.76849E-2</v>
      </c>
      <c r="AB377" s="22">
        <v>367</v>
      </c>
      <c r="AC377" s="22">
        <v>-1.8194599999999998E-2</v>
      </c>
      <c r="AD377">
        <f t="shared" si="64"/>
        <v>17.684899999999999</v>
      </c>
      <c r="AE377">
        <f t="shared" si="65"/>
        <v>-0.31842369846000002</v>
      </c>
      <c r="AF377" s="9"/>
      <c r="AG377" s="22">
        <v>1.7480500000000001</v>
      </c>
      <c r="AH377" s="22">
        <v>381.12200000000001</v>
      </c>
      <c r="AI377" s="22">
        <v>-1.03088E-2</v>
      </c>
      <c r="AJ377" s="22">
        <v>367</v>
      </c>
      <c r="AK377" s="22">
        <v>1.7471300000000001</v>
      </c>
      <c r="AL377">
        <f t="shared" si="66"/>
        <v>10.3088</v>
      </c>
      <c r="AM377">
        <f t="shared" si="67"/>
        <v>18.020297840000001</v>
      </c>
      <c r="AP377" s="9"/>
      <c r="AQ377" s="22">
        <v>-1.8005400000000001E-2</v>
      </c>
      <c r="AR377" s="22">
        <v>459.00299999999999</v>
      </c>
      <c r="AS377" s="22">
        <v>-1.76727E-2</v>
      </c>
      <c r="AT377" s="22">
        <v>367</v>
      </c>
      <c r="AU377" s="22">
        <v>-1.8273899999999999E-2</v>
      </c>
      <c r="AV377">
        <f t="shared" si="68"/>
        <v>17.672699999999999</v>
      </c>
      <c r="AW377">
        <f t="shared" si="69"/>
        <v>-0.31820403258000002</v>
      </c>
      <c r="AX377" s="9"/>
      <c r="AY377" s="22">
        <v>1.7480500000000001</v>
      </c>
      <c r="AZ377" s="22">
        <v>510.017</v>
      </c>
      <c r="BA377" s="22">
        <v>-1.0754400000000001E-2</v>
      </c>
      <c r="BB377" s="22">
        <v>367</v>
      </c>
      <c r="BC377" s="22">
        <v>1.7477400000000001</v>
      </c>
      <c r="BD377">
        <f t="shared" si="70"/>
        <v>10.7544</v>
      </c>
      <c r="BE377">
        <f t="shared" si="71"/>
        <v>18.799228920000001</v>
      </c>
    </row>
    <row r="378" spans="6:57">
      <c r="F378" s="9"/>
      <c r="G378" s="22">
        <v>-2.30408E-2</v>
      </c>
      <c r="H378" s="22">
        <v>145.29300000000001</v>
      </c>
      <c r="I378" s="22">
        <v>-1.7663600000000002E-2</v>
      </c>
      <c r="J378" s="22">
        <v>368</v>
      </c>
      <c r="K378" s="22">
        <v>-2.3251299999999999E-2</v>
      </c>
      <c r="L378">
        <f t="shared" si="60"/>
        <v>17.663600000000002</v>
      </c>
      <c r="M378">
        <f t="shared" si="61"/>
        <v>-0.40698347488000008</v>
      </c>
      <c r="N378" s="9"/>
      <c r="O378" s="22">
        <v>1.75308</v>
      </c>
      <c r="P378" s="22">
        <v>194.39500000000001</v>
      </c>
      <c r="Q378" s="22">
        <v>-3.20068E-3</v>
      </c>
      <c r="R378" s="22">
        <v>368</v>
      </c>
      <c r="S378" s="22">
        <v>1.7523200000000001</v>
      </c>
      <c r="T378">
        <f t="shared" si="62"/>
        <v>3.2006800000000002</v>
      </c>
      <c r="U378">
        <f t="shared" si="63"/>
        <v>5.6110480944000001</v>
      </c>
      <c r="X378" s="9"/>
      <c r="Y378" s="22">
        <v>-2.30408E-2</v>
      </c>
      <c r="Z378" s="22">
        <v>250.55199999999999</v>
      </c>
      <c r="AA378" s="22">
        <v>-1.76849E-2</v>
      </c>
      <c r="AB378" s="22">
        <v>368</v>
      </c>
      <c r="AC378" s="22">
        <v>-2.3605299999999999E-2</v>
      </c>
      <c r="AD378">
        <f t="shared" si="64"/>
        <v>17.684899999999999</v>
      </c>
      <c r="AE378">
        <f t="shared" si="65"/>
        <v>-0.40747424391999998</v>
      </c>
      <c r="AF378" s="9"/>
      <c r="AG378" s="22">
        <v>1.75308</v>
      </c>
      <c r="AH378" s="22">
        <v>381.22199999999998</v>
      </c>
      <c r="AI378" s="22">
        <v>-9.5489500000000005E-3</v>
      </c>
      <c r="AJ378" s="22">
        <v>368</v>
      </c>
      <c r="AK378" s="22">
        <v>1.7520100000000001</v>
      </c>
      <c r="AL378">
        <f t="shared" si="66"/>
        <v>9.5489500000000014</v>
      </c>
      <c r="AM378">
        <f t="shared" si="67"/>
        <v>16.740073266000003</v>
      </c>
      <c r="AP378" s="9"/>
      <c r="AQ378" s="22">
        <v>-2.30408E-2</v>
      </c>
      <c r="AR378" s="22">
        <v>459.10399999999998</v>
      </c>
      <c r="AS378" s="22">
        <v>-1.76727E-2</v>
      </c>
      <c r="AT378" s="22">
        <v>368</v>
      </c>
      <c r="AU378" s="22">
        <v>-2.33826E-2</v>
      </c>
      <c r="AV378">
        <f t="shared" si="68"/>
        <v>17.672699999999999</v>
      </c>
      <c r="AW378">
        <f t="shared" si="69"/>
        <v>-0.40719314615999996</v>
      </c>
      <c r="AX378" s="9"/>
      <c r="AY378" s="22">
        <v>1.75308</v>
      </c>
      <c r="AZ378" s="22">
        <v>510.11700000000002</v>
      </c>
      <c r="BA378" s="22">
        <v>-1.0104399999999999E-2</v>
      </c>
      <c r="BB378" s="22">
        <v>368</v>
      </c>
      <c r="BC378" s="22">
        <v>1.7517100000000001</v>
      </c>
      <c r="BD378">
        <f t="shared" si="70"/>
        <v>10.1044</v>
      </c>
      <c r="BE378">
        <f t="shared" si="71"/>
        <v>17.713821551999999</v>
      </c>
    </row>
    <row r="379" spans="6:57">
      <c r="F379" s="9"/>
      <c r="G379" s="22">
        <v>-2.8076199999999999E-2</v>
      </c>
      <c r="H379" s="22">
        <v>145.39400000000001</v>
      </c>
      <c r="I379" s="22">
        <v>-1.7666600000000001E-2</v>
      </c>
      <c r="J379" s="22">
        <v>369</v>
      </c>
      <c r="K379" s="22">
        <v>-2.8430199999999999E-2</v>
      </c>
      <c r="L379">
        <f t="shared" si="60"/>
        <v>17.666600000000003</v>
      </c>
      <c r="M379">
        <f t="shared" si="61"/>
        <v>-0.49601099492000006</v>
      </c>
      <c r="N379" s="9"/>
      <c r="O379" s="22">
        <v>1.7581199999999999</v>
      </c>
      <c r="P379" s="22">
        <v>194.49600000000001</v>
      </c>
      <c r="Q379" s="22">
        <v>-2.4227900000000002E-3</v>
      </c>
      <c r="R379" s="22">
        <v>369</v>
      </c>
      <c r="S379" s="22">
        <v>1.7575099999999999</v>
      </c>
      <c r="T379">
        <f t="shared" si="62"/>
        <v>2.42279</v>
      </c>
      <c r="U379">
        <f t="shared" si="63"/>
        <v>4.2595555547999995</v>
      </c>
      <c r="X379" s="9"/>
      <c r="Y379" s="22">
        <v>-2.8076199999999999E-2</v>
      </c>
      <c r="Z379" s="22">
        <v>250.65299999999999</v>
      </c>
      <c r="AA379" s="22">
        <v>-1.7687999999999999E-2</v>
      </c>
      <c r="AB379" s="22">
        <v>369</v>
      </c>
      <c r="AC379" s="22">
        <v>-2.83752E-2</v>
      </c>
      <c r="AD379">
        <f t="shared" si="64"/>
        <v>17.687999999999999</v>
      </c>
      <c r="AE379">
        <f t="shared" si="65"/>
        <v>-0.49661182559999995</v>
      </c>
      <c r="AF379" s="9"/>
      <c r="AG379" s="22">
        <v>1.7581199999999999</v>
      </c>
      <c r="AH379" s="22">
        <v>381.32299999999998</v>
      </c>
      <c r="AI379" s="22">
        <v>-8.6120599999999995E-3</v>
      </c>
      <c r="AJ379" s="22">
        <v>369</v>
      </c>
      <c r="AK379" s="22">
        <v>1.7575099999999999</v>
      </c>
      <c r="AL379">
        <f t="shared" si="66"/>
        <v>8.6120599999999996</v>
      </c>
      <c r="AM379">
        <f t="shared" si="67"/>
        <v>15.141034927199998</v>
      </c>
      <c r="AP379" s="9"/>
      <c r="AQ379" s="22">
        <v>-2.8076199999999999E-2</v>
      </c>
      <c r="AR379" s="22">
        <v>459.20400000000001</v>
      </c>
      <c r="AS379" s="22">
        <v>-1.76727E-2</v>
      </c>
      <c r="AT379" s="22">
        <v>369</v>
      </c>
      <c r="AU379" s="22">
        <v>-2.8491200000000001E-2</v>
      </c>
      <c r="AV379">
        <f t="shared" si="68"/>
        <v>17.672699999999999</v>
      </c>
      <c r="AW379">
        <f t="shared" si="69"/>
        <v>-0.49618225973999996</v>
      </c>
      <c r="AX379" s="9"/>
      <c r="AY379" s="22">
        <v>1.7581199999999999</v>
      </c>
      <c r="AZ379" s="22">
        <v>510.21800000000002</v>
      </c>
      <c r="BA379" s="22">
        <v>-9.2895500000000006E-3</v>
      </c>
      <c r="BB379" s="22">
        <v>369</v>
      </c>
      <c r="BC379" s="22">
        <v>1.7568999999999999</v>
      </c>
      <c r="BD379">
        <f t="shared" si="70"/>
        <v>9.2895500000000002</v>
      </c>
      <c r="BE379">
        <f t="shared" si="71"/>
        <v>16.332143645999999</v>
      </c>
    </row>
    <row r="380" spans="6:57">
      <c r="F380" s="9"/>
      <c r="G380" s="22">
        <v>-3.3111599999999998E-2</v>
      </c>
      <c r="H380" s="22">
        <v>145.495</v>
      </c>
      <c r="I380" s="22">
        <v>-1.7666600000000001E-2</v>
      </c>
      <c r="J380" s="22">
        <v>370</v>
      </c>
      <c r="K380" s="22">
        <v>-3.3474700000000003E-2</v>
      </c>
      <c r="L380">
        <f t="shared" si="60"/>
        <v>17.666600000000003</v>
      </c>
      <c r="M380">
        <f t="shared" si="61"/>
        <v>-0.58496939256000002</v>
      </c>
      <c r="N380" s="9"/>
      <c r="O380" s="22">
        <v>1.76315</v>
      </c>
      <c r="P380" s="22">
        <v>194.59700000000001</v>
      </c>
      <c r="Q380" s="22">
        <v>-1.6952499999999999E-3</v>
      </c>
      <c r="R380" s="22">
        <v>370</v>
      </c>
      <c r="S380" s="22">
        <v>1.7626999999999999</v>
      </c>
      <c r="T380">
        <f t="shared" si="62"/>
        <v>1.6952499999999999</v>
      </c>
      <c r="U380">
        <f t="shared" si="63"/>
        <v>2.9889800374999997</v>
      </c>
      <c r="X380" s="9"/>
      <c r="Y380" s="22">
        <v>-3.3111599999999998E-2</v>
      </c>
      <c r="Z380" s="22">
        <v>250.75299999999999</v>
      </c>
      <c r="AA380" s="22">
        <v>-1.7690999999999998E-2</v>
      </c>
      <c r="AB380" s="22">
        <v>370</v>
      </c>
      <c r="AC380" s="22">
        <v>-3.32977E-2</v>
      </c>
      <c r="AD380">
        <f t="shared" si="64"/>
        <v>17.690999999999999</v>
      </c>
      <c r="AE380">
        <f t="shared" si="65"/>
        <v>-0.5857773155999999</v>
      </c>
      <c r="AF380" s="9"/>
      <c r="AG380" s="22">
        <v>1.76315</v>
      </c>
      <c r="AH380" s="22">
        <v>381.42399999999998</v>
      </c>
      <c r="AI380" s="22">
        <v>-7.3822000000000002E-3</v>
      </c>
      <c r="AJ380" s="22">
        <v>370</v>
      </c>
      <c r="AK380" s="22">
        <v>1.7623899999999999</v>
      </c>
      <c r="AL380">
        <f t="shared" si="66"/>
        <v>7.3822000000000001</v>
      </c>
      <c r="AM380">
        <f t="shared" si="67"/>
        <v>13.01592593</v>
      </c>
      <c r="AP380" s="9"/>
      <c r="AQ380" s="22">
        <v>-3.3111599999999998E-2</v>
      </c>
      <c r="AR380" s="22">
        <v>459.30500000000001</v>
      </c>
      <c r="AS380" s="22">
        <v>-1.7678800000000001E-2</v>
      </c>
      <c r="AT380" s="22">
        <v>370</v>
      </c>
      <c r="AU380" s="22">
        <v>-3.33923E-2</v>
      </c>
      <c r="AV380">
        <f t="shared" si="68"/>
        <v>17.678800000000003</v>
      </c>
      <c r="AW380">
        <f t="shared" si="69"/>
        <v>-0.58537335408000002</v>
      </c>
      <c r="AX380" s="9"/>
      <c r="AY380" s="22">
        <v>1.76315</v>
      </c>
      <c r="AZ380" s="22">
        <v>510.31900000000002</v>
      </c>
      <c r="BA380" s="22">
        <v>-8.2916299999999995E-3</v>
      </c>
      <c r="BB380" s="22">
        <v>370</v>
      </c>
      <c r="BC380" s="22">
        <v>1.7617799999999999</v>
      </c>
      <c r="BD380">
        <f t="shared" si="70"/>
        <v>8.2916299999999996</v>
      </c>
      <c r="BE380">
        <f t="shared" si="71"/>
        <v>14.6193874345</v>
      </c>
    </row>
    <row r="381" spans="6:57">
      <c r="F381" s="9"/>
      <c r="G381" s="22">
        <v>-3.8147E-2</v>
      </c>
      <c r="H381" s="22">
        <v>145.596</v>
      </c>
      <c r="I381" s="22">
        <v>-1.76697E-2</v>
      </c>
      <c r="J381" s="22">
        <v>371</v>
      </c>
      <c r="K381" s="22">
        <v>-3.8525400000000001E-2</v>
      </c>
      <c r="L381">
        <f t="shared" si="60"/>
        <v>17.669699999999999</v>
      </c>
      <c r="M381">
        <f t="shared" si="61"/>
        <v>-0.67404604589999995</v>
      </c>
      <c r="N381" s="9"/>
      <c r="O381" s="22">
        <v>1.7681899999999999</v>
      </c>
      <c r="P381" s="22">
        <v>194.697</v>
      </c>
      <c r="Q381" s="22">
        <v>-9.5336900000000003E-4</v>
      </c>
      <c r="R381" s="22">
        <v>371</v>
      </c>
      <c r="S381" s="22">
        <v>1.7672699999999999</v>
      </c>
      <c r="T381">
        <f t="shared" si="62"/>
        <v>0.95336900000000002</v>
      </c>
      <c r="U381">
        <f t="shared" si="63"/>
        <v>1.6857375321099999</v>
      </c>
      <c r="X381" s="9"/>
      <c r="Y381" s="22">
        <v>-3.8147E-2</v>
      </c>
      <c r="Z381" s="22">
        <v>250.85400000000001</v>
      </c>
      <c r="AA381" s="22">
        <v>-1.7690999999999998E-2</v>
      </c>
      <c r="AB381" s="22">
        <v>371</v>
      </c>
      <c r="AC381" s="22">
        <v>-3.8531500000000003E-2</v>
      </c>
      <c r="AD381">
        <f t="shared" si="64"/>
        <v>17.690999999999999</v>
      </c>
      <c r="AE381">
        <f t="shared" si="65"/>
        <v>-0.67485857699999996</v>
      </c>
      <c r="AF381" s="9"/>
      <c r="AG381" s="22">
        <v>1.7681899999999999</v>
      </c>
      <c r="AH381" s="22">
        <v>381.524</v>
      </c>
      <c r="AI381" s="22">
        <v>-5.7495100000000002E-3</v>
      </c>
      <c r="AJ381" s="22">
        <v>371</v>
      </c>
      <c r="AK381" s="22">
        <v>1.7672699999999999</v>
      </c>
      <c r="AL381">
        <f t="shared" si="66"/>
        <v>5.7495099999999999</v>
      </c>
      <c r="AM381">
        <f t="shared" si="67"/>
        <v>10.1662260869</v>
      </c>
      <c r="AP381" s="9"/>
      <c r="AQ381" s="22">
        <v>-3.8147E-2</v>
      </c>
      <c r="AR381" s="22">
        <v>459.40600000000001</v>
      </c>
      <c r="AS381" s="22">
        <v>-1.76819E-2</v>
      </c>
      <c r="AT381" s="22">
        <v>371</v>
      </c>
      <c r="AU381" s="22">
        <v>-3.8436900000000003E-2</v>
      </c>
      <c r="AV381">
        <f t="shared" si="68"/>
        <v>17.681899999999999</v>
      </c>
      <c r="AW381">
        <f t="shared" si="69"/>
        <v>-0.67451143930000002</v>
      </c>
      <c r="AX381" s="9"/>
      <c r="AY381" s="22">
        <v>1.7681899999999999</v>
      </c>
      <c r="AZ381" s="22">
        <v>510.41899999999998</v>
      </c>
      <c r="BA381" s="22">
        <v>-6.9458000000000002E-3</v>
      </c>
      <c r="BB381" s="22">
        <v>371</v>
      </c>
      <c r="BC381" s="22">
        <v>1.7675799999999999</v>
      </c>
      <c r="BD381">
        <f t="shared" si="70"/>
        <v>6.9458000000000002</v>
      </c>
      <c r="BE381">
        <f t="shared" si="71"/>
        <v>12.281494102</v>
      </c>
    </row>
    <row r="382" spans="6:57">
      <c r="F382" s="9"/>
      <c r="G382" s="22">
        <v>-4.3182400000000003E-2</v>
      </c>
      <c r="H382" s="22">
        <v>145.696</v>
      </c>
      <c r="I382" s="22">
        <v>-1.76727E-2</v>
      </c>
      <c r="J382" s="22">
        <v>372</v>
      </c>
      <c r="K382" s="22">
        <v>-4.3524199999999999E-2</v>
      </c>
      <c r="L382">
        <f t="shared" si="60"/>
        <v>17.672699999999999</v>
      </c>
      <c r="M382">
        <f t="shared" si="61"/>
        <v>-0.76314960048000002</v>
      </c>
      <c r="N382" s="9"/>
      <c r="O382" s="22">
        <v>1.77322</v>
      </c>
      <c r="P382" s="22">
        <v>194.798</v>
      </c>
      <c r="Q382" s="22">
        <v>-1.9470199999999999E-4</v>
      </c>
      <c r="R382" s="22">
        <v>372</v>
      </c>
      <c r="S382" s="22">
        <v>1.7730699999999999</v>
      </c>
      <c r="T382">
        <f t="shared" si="62"/>
        <v>0.19470199999999999</v>
      </c>
      <c r="U382">
        <f t="shared" si="63"/>
        <v>0.34524948043999998</v>
      </c>
      <c r="X382" s="9"/>
      <c r="Y382" s="22">
        <v>-4.3182400000000003E-2</v>
      </c>
      <c r="Z382" s="22">
        <v>250.95500000000001</v>
      </c>
      <c r="AA382" s="22">
        <v>-1.7694100000000001E-2</v>
      </c>
      <c r="AB382" s="22">
        <v>372</v>
      </c>
      <c r="AC382" s="22">
        <v>-4.3557699999999998E-2</v>
      </c>
      <c r="AD382">
        <f t="shared" si="64"/>
        <v>17.694100000000002</v>
      </c>
      <c r="AE382">
        <f t="shared" si="65"/>
        <v>-0.76407370384000017</v>
      </c>
      <c r="AF382" s="9"/>
      <c r="AG382" s="22">
        <v>1.77322</v>
      </c>
      <c r="AH382" s="22">
        <v>381.625</v>
      </c>
      <c r="AI382" s="22">
        <v>-3.1515499999999999E-3</v>
      </c>
      <c r="AJ382" s="22">
        <v>372</v>
      </c>
      <c r="AK382" s="22">
        <v>1.77277</v>
      </c>
      <c r="AL382">
        <f t="shared" si="66"/>
        <v>3.1515499999999999</v>
      </c>
      <c r="AM382">
        <f t="shared" si="67"/>
        <v>5.5883914909999994</v>
      </c>
      <c r="AP382" s="9"/>
      <c r="AQ382" s="22">
        <v>-4.3182400000000003E-2</v>
      </c>
      <c r="AR382" s="22">
        <v>459.50599999999997</v>
      </c>
      <c r="AS382" s="22">
        <v>-1.76819E-2</v>
      </c>
      <c r="AT382" s="22">
        <v>372</v>
      </c>
      <c r="AU382" s="22">
        <v>-4.33563E-2</v>
      </c>
      <c r="AV382">
        <f t="shared" si="68"/>
        <v>17.681899999999999</v>
      </c>
      <c r="AW382">
        <f t="shared" si="69"/>
        <v>-0.76354687856000003</v>
      </c>
      <c r="AX382" s="9"/>
      <c r="AY382" s="22">
        <v>1.77322</v>
      </c>
      <c r="AZ382" s="22">
        <v>510.52</v>
      </c>
      <c r="BA382" s="22">
        <v>-4.9865700000000001E-3</v>
      </c>
      <c r="BB382" s="22">
        <v>372</v>
      </c>
      <c r="BC382" s="22">
        <v>1.7724599999999999</v>
      </c>
      <c r="BD382">
        <f t="shared" si="70"/>
        <v>4.9865700000000004</v>
      </c>
      <c r="BE382">
        <f t="shared" si="71"/>
        <v>8.8422856554000013</v>
      </c>
    </row>
    <row r="383" spans="6:57">
      <c r="F383" s="9"/>
      <c r="G383" s="22">
        <v>-4.8217799999999998E-2</v>
      </c>
      <c r="H383" s="22">
        <v>145.797</v>
      </c>
      <c r="I383" s="22">
        <v>-1.7675799999999998E-2</v>
      </c>
      <c r="J383" s="22">
        <v>373</v>
      </c>
      <c r="K383" s="22">
        <v>-4.8492399999999998E-2</v>
      </c>
      <c r="L383">
        <f t="shared" si="60"/>
        <v>17.675799999999999</v>
      </c>
      <c r="M383">
        <f t="shared" si="61"/>
        <v>-0.85228818923999994</v>
      </c>
      <c r="N383" s="9"/>
      <c r="O383" s="22">
        <v>1.77826</v>
      </c>
      <c r="P383" s="22">
        <v>194.899</v>
      </c>
      <c r="Q383" s="22">
        <v>5.9082000000000004E-4</v>
      </c>
      <c r="R383" s="22">
        <v>373</v>
      </c>
      <c r="S383" s="22">
        <v>1.7773399999999999</v>
      </c>
      <c r="T383">
        <f t="shared" si="62"/>
        <v>-0.59082000000000001</v>
      </c>
      <c r="U383">
        <f t="shared" si="63"/>
        <v>-1.0506315732</v>
      </c>
      <c r="X383" s="9"/>
      <c r="Y383" s="22">
        <v>-4.8217799999999998E-2</v>
      </c>
      <c r="Z383" s="22">
        <v>251.05600000000001</v>
      </c>
      <c r="AA383" s="22">
        <v>-1.76971E-2</v>
      </c>
      <c r="AB383" s="22">
        <v>373</v>
      </c>
      <c r="AC383" s="22">
        <v>-4.87152E-2</v>
      </c>
      <c r="AD383">
        <f t="shared" si="64"/>
        <v>17.697099999999999</v>
      </c>
      <c r="AE383">
        <f t="shared" si="65"/>
        <v>-0.85331522837999996</v>
      </c>
      <c r="AF383" s="9"/>
      <c r="AG383" s="22">
        <v>1.77826</v>
      </c>
      <c r="AH383" s="22">
        <v>381.726</v>
      </c>
      <c r="AI383" s="22">
        <v>1.2234500000000001E-3</v>
      </c>
      <c r="AJ383" s="22">
        <v>373</v>
      </c>
      <c r="AK383" s="22">
        <v>1.7773399999999999</v>
      </c>
      <c r="AL383">
        <f t="shared" si="66"/>
        <v>-1.2234500000000001</v>
      </c>
      <c r="AM383">
        <f t="shared" si="67"/>
        <v>-2.1756121970000004</v>
      </c>
      <c r="AP383" s="9"/>
      <c r="AQ383" s="22">
        <v>-4.8217799999999998E-2</v>
      </c>
      <c r="AR383" s="22">
        <v>459.60700000000003</v>
      </c>
      <c r="AS383" s="22">
        <v>-1.7687999999999999E-2</v>
      </c>
      <c r="AT383" s="22">
        <v>373</v>
      </c>
      <c r="AU383" s="22">
        <v>-4.8507700000000001E-2</v>
      </c>
      <c r="AV383">
        <f t="shared" si="68"/>
        <v>17.687999999999999</v>
      </c>
      <c r="AW383">
        <f t="shared" si="69"/>
        <v>-0.85287644639999993</v>
      </c>
      <c r="AX383" s="9"/>
      <c r="AY383" s="22">
        <v>1.77826</v>
      </c>
      <c r="AZ383" s="22">
        <v>510.62099999999998</v>
      </c>
      <c r="BA383" s="22">
        <v>-1.82709E-3</v>
      </c>
      <c r="BB383" s="22">
        <v>373</v>
      </c>
      <c r="BC383" s="22">
        <v>1.77704</v>
      </c>
      <c r="BD383">
        <f t="shared" si="70"/>
        <v>1.8270899999999999</v>
      </c>
      <c r="BE383">
        <f t="shared" si="71"/>
        <v>3.2490410633999995</v>
      </c>
    </row>
    <row r="384" spans="6:57">
      <c r="F384" s="9"/>
      <c r="G384" s="22">
        <v>-5.3253200000000001E-2</v>
      </c>
      <c r="H384" s="22">
        <v>145.898</v>
      </c>
      <c r="I384" s="22">
        <v>-1.7678800000000001E-2</v>
      </c>
      <c r="J384" s="22">
        <v>374</v>
      </c>
      <c r="K384" s="22">
        <v>-5.3955099999999999E-2</v>
      </c>
      <c r="L384">
        <f t="shared" si="60"/>
        <v>17.678800000000003</v>
      </c>
      <c r="M384">
        <f t="shared" si="61"/>
        <v>-0.94145267216000017</v>
      </c>
      <c r="N384" s="9"/>
      <c r="O384" s="22">
        <v>1.78329</v>
      </c>
      <c r="P384" s="22">
        <v>194.999</v>
      </c>
      <c r="Q384" s="22">
        <v>1.4276099999999999E-3</v>
      </c>
      <c r="R384" s="22">
        <v>374</v>
      </c>
      <c r="S384" s="22">
        <v>1.7831399999999999</v>
      </c>
      <c r="T384">
        <f t="shared" si="62"/>
        <v>-1.42761</v>
      </c>
      <c r="U384">
        <f t="shared" si="63"/>
        <v>-2.5458426369000002</v>
      </c>
      <c r="X384" s="9"/>
      <c r="Y384" s="22">
        <v>-5.3253200000000001E-2</v>
      </c>
      <c r="Z384" s="22">
        <v>251.15600000000001</v>
      </c>
      <c r="AA384" s="22">
        <v>-1.76971E-2</v>
      </c>
      <c r="AB384" s="22">
        <v>374</v>
      </c>
      <c r="AC384" s="22">
        <v>-5.3832999999999999E-2</v>
      </c>
      <c r="AD384">
        <f t="shared" si="64"/>
        <v>17.697099999999999</v>
      </c>
      <c r="AE384">
        <f t="shared" si="65"/>
        <v>-0.94242720571999994</v>
      </c>
      <c r="AF384" s="9"/>
      <c r="AG384" s="22">
        <v>1.78329</v>
      </c>
      <c r="AH384" s="22">
        <v>381.827</v>
      </c>
      <c r="AI384" s="22">
        <v>9.0209999999999995E-3</v>
      </c>
      <c r="AJ384" s="22">
        <v>374</v>
      </c>
      <c r="AK384" s="22">
        <v>1.78223</v>
      </c>
      <c r="AL384">
        <f t="shared" si="66"/>
        <v>-9.020999999999999</v>
      </c>
      <c r="AM384">
        <f t="shared" si="67"/>
        <v>-16.08705909</v>
      </c>
      <c r="AP384" s="9"/>
      <c r="AQ384" s="22">
        <v>-5.3253200000000001E-2</v>
      </c>
      <c r="AR384" s="22">
        <v>459.70800000000003</v>
      </c>
      <c r="AS384" s="22">
        <v>-1.7690999999999998E-2</v>
      </c>
      <c r="AT384" s="22">
        <v>374</v>
      </c>
      <c r="AU384" s="22">
        <v>-5.3832999999999999E-2</v>
      </c>
      <c r="AV384">
        <f t="shared" si="68"/>
        <v>17.690999999999999</v>
      </c>
      <c r="AW384">
        <f t="shared" si="69"/>
        <v>-0.9421023611999999</v>
      </c>
      <c r="AX384" s="9"/>
      <c r="AY384" s="22">
        <v>1.78329</v>
      </c>
      <c r="AZ384" s="22">
        <v>510.72199999999998</v>
      </c>
      <c r="BA384" s="22">
        <v>3.9083900000000003E-3</v>
      </c>
      <c r="BB384" s="22">
        <v>374</v>
      </c>
      <c r="BC384" s="22">
        <v>1.7831399999999999</v>
      </c>
      <c r="BD384">
        <f t="shared" si="70"/>
        <v>-3.9083900000000003</v>
      </c>
      <c r="BE384">
        <f t="shared" si="71"/>
        <v>-6.9697928031000007</v>
      </c>
    </row>
    <row r="385" spans="6:57">
      <c r="F385" s="9"/>
      <c r="G385" s="22">
        <v>-5.8288600000000003E-2</v>
      </c>
      <c r="H385" s="22">
        <v>145.99799999999999</v>
      </c>
      <c r="I385" s="22">
        <v>-1.7678800000000001E-2</v>
      </c>
      <c r="J385" s="22">
        <v>375</v>
      </c>
      <c r="K385" s="22">
        <v>-5.8959999999999999E-2</v>
      </c>
      <c r="L385">
        <f t="shared" si="60"/>
        <v>17.678800000000003</v>
      </c>
      <c r="M385">
        <f t="shared" si="61"/>
        <v>-1.0304725016800003</v>
      </c>
      <c r="N385" s="9"/>
      <c r="O385" s="22">
        <v>1.78833</v>
      </c>
      <c r="P385" s="22">
        <v>195.1</v>
      </c>
      <c r="Q385" s="22">
        <v>2.3098799999999998E-3</v>
      </c>
      <c r="R385" s="22">
        <v>375</v>
      </c>
      <c r="S385" s="22">
        <v>1.78772</v>
      </c>
      <c r="T385">
        <f t="shared" si="62"/>
        <v>-2.3098799999999997</v>
      </c>
      <c r="U385">
        <f t="shared" si="63"/>
        <v>-4.1308277003999994</v>
      </c>
      <c r="X385" s="9"/>
      <c r="Y385" s="22">
        <v>-5.8288600000000003E-2</v>
      </c>
      <c r="Z385" s="22">
        <v>251.25700000000001</v>
      </c>
      <c r="AA385" s="22">
        <v>-1.7703199999999999E-2</v>
      </c>
      <c r="AB385" s="22">
        <v>375</v>
      </c>
      <c r="AC385" s="22">
        <v>-5.90515E-2</v>
      </c>
      <c r="AD385">
        <f t="shared" si="64"/>
        <v>17.703199999999999</v>
      </c>
      <c r="AE385">
        <f t="shared" si="65"/>
        <v>-1.0318947435199999</v>
      </c>
      <c r="AF385" s="9"/>
      <c r="AG385" s="22">
        <v>1.78833</v>
      </c>
      <c r="AH385" s="22">
        <v>381.92700000000002</v>
      </c>
      <c r="AI385" s="22">
        <v>1.8725599999999998E-2</v>
      </c>
      <c r="AJ385" s="22">
        <v>375</v>
      </c>
      <c r="AK385" s="22">
        <v>1.78711</v>
      </c>
      <c r="AL385">
        <f t="shared" si="66"/>
        <v>-18.7256</v>
      </c>
      <c r="AM385">
        <f t="shared" si="67"/>
        <v>-33.487552248</v>
      </c>
      <c r="AP385" s="9"/>
      <c r="AQ385" s="22">
        <v>-5.8288600000000003E-2</v>
      </c>
      <c r="AR385" s="22">
        <v>459.80799999999999</v>
      </c>
      <c r="AS385" s="22">
        <v>-1.76971E-2</v>
      </c>
      <c r="AT385" s="22">
        <v>375</v>
      </c>
      <c r="AU385" s="22">
        <v>-5.87769E-2</v>
      </c>
      <c r="AV385">
        <f t="shared" si="68"/>
        <v>17.697099999999999</v>
      </c>
      <c r="AW385">
        <f t="shared" si="69"/>
        <v>-1.03153918306</v>
      </c>
      <c r="AX385" s="9"/>
      <c r="AY385" s="22">
        <v>1.78833</v>
      </c>
      <c r="AZ385" s="22">
        <v>510.822</v>
      </c>
      <c r="BA385" s="22">
        <v>1.3632200000000001E-2</v>
      </c>
      <c r="BB385" s="22">
        <v>375</v>
      </c>
      <c r="BC385" s="22">
        <v>1.78772</v>
      </c>
      <c r="BD385">
        <f t="shared" si="70"/>
        <v>-13.632200000000001</v>
      </c>
      <c r="BE385">
        <f t="shared" si="71"/>
        <v>-24.378872226000002</v>
      </c>
    </row>
    <row r="386" spans="6:57">
      <c r="F386" s="9"/>
      <c r="G386" s="22">
        <v>-6.3324000000000005E-2</v>
      </c>
      <c r="H386" s="22">
        <v>146.09899999999999</v>
      </c>
      <c r="I386" s="22">
        <v>-1.76819E-2</v>
      </c>
      <c r="J386" s="22">
        <v>376</v>
      </c>
      <c r="K386" s="22">
        <v>-6.3751199999999994E-2</v>
      </c>
      <c r="L386">
        <f t="shared" si="60"/>
        <v>17.681899999999999</v>
      </c>
      <c r="M386">
        <f t="shared" si="61"/>
        <v>-1.1196886356</v>
      </c>
      <c r="N386" s="9"/>
      <c r="O386" s="22">
        <v>1.7933699999999999</v>
      </c>
      <c r="P386" s="22">
        <v>195.20099999999999</v>
      </c>
      <c r="Q386" s="22">
        <v>3.2064799999999998E-3</v>
      </c>
      <c r="R386" s="22">
        <v>376</v>
      </c>
      <c r="S386" s="22">
        <v>1.7923</v>
      </c>
      <c r="T386">
        <f t="shared" si="62"/>
        <v>-3.20648</v>
      </c>
      <c r="U386">
        <f t="shared" si="63"/>
        <v>-5.7504050375999993</v>
      </c>
      <c r="X386" s="9"/>
      <c r="Y386" s="22">
        <v>-6.3324000000000005E-2</v>
      </c>
      <c r="Z386" s="22">
        <v>251.358</v>
      </c>
      <c r="AA386" s="22">
        <v>-1.7703199999999999E-2</v>
      </c>
      <c r="AB386" s="22">
        <v>376</v>
      </c>
      <c r="AC386" s="22">
        <v>-6.3812300000000002E-2</v>
      </c>
      <c r="AD386">
        <f t="shared" si="64"/>
        <v>17.703199999999999</v>
      </c>
      <c r="AE386">
        <f t="shared" si="65"/>
        <v>-1.1210374368</v>
      </c>
      <c r="AF386" s="9"/>
      <c r="AG386" s="22">
        <v>1.7933699999999999</v>
      </c>
      <c r="AH386" s="22">
        <v>382.02800000000002</v>
      </c>
      <c r="AI386" s="22">
        <v>2.92053E-2</v>
      </c>
      <c r="AJ386" s="22">
        <v>376</v>
      </c>
      <c r="AK386" s="22">
        <v>1.7926</v>
      </c>
      <c r="AL386">
        <f t="shared" si="66"/>
        <v>-29.205300000000001</v>
      </c>
      <c r="AM386">
        <f t="shared" si="67"/>
        <v>-52.375908860999999</v>
      </c>
      <c r="AP386" s="9"/>
      <c r="AQ386" s="22">
        <v>-6.3324000000000005E-2</v>
      </c>
      <c r="AR386" s="22">
        <v>459.90899999999999</v>
      </c>
      <c r="AS386" s="22">
        <v>-1.7700199999999999E-2</v>
      </c>
      <c r="AT386" s="22">
        <v>376</v>
      </c>
      <c r="AU386" s="22">
        <v>-6.3873299999999994E-2</v>
      </c>
      <c r="AV386">
        <f t="shared" si="68"/>
        <v>17.700199999999999</v>
      </c>
      <c r="AW386">
        <f t="shared" si="69"/>
        <v>-1.1208474648</v>
      </c>
      <c r="AX386" s="9"/>
      <c r="AY386" s="22">
        <v>1.7933699999999999</v>
      </c>
      <c r="AZ386" s="22">
        <v>510.923</v>
      </c>
      <c r="BA386" s="22">
        <v>2.4914599999999999E-2</v>
      </c>
      <c r="BB386" s="22">
        <v>376</v>
      </c>
      <c r="BC386" s="22">
        <v>1.7923</v>
      </c>
      <c r="BD386">
        <f t="shared" si="70"/>
        <v>-24.9146</v>
      </c>
      <c r="BE386">
        <f t="shared" si="71"/>
        <v>-44.681096201999999</v>
      </c>
    </row>
    <row r="387" spans="6:57">
      <c r="F387" s="9"/>
      <c r="G387" s="22">
        <v>-6.8359400000000001E-2</v>
      </c>
      <c r="H387" s="22">
        <v>146.19999999999999</v>
      </c>
      <c r="I387" s="22">
        <v>-1.76849E-2</v>
      </c>
      <c r="J387" s="22">
        <v>377</v>
      </c>
      <c r="K387" s="22">
        <v>-6.9122299999999998E-2</v>
      </c>
      <c r="L387">
        <f t="shared" si="60"/>
        <v>17.684899999999999</v>
      </c>
      <c r="M387">
        <f t="shared" si="61"/>
        <v>-1.2089291530599999</v>
      </c>
      <c r="N387" s="9"/>
      <c r="O387" s="22">
        <v>1.7984</v>
      </c>
      <c r="P387" s="22">
        <v>195.30199999999999</v>
      </c>
      <c r="Q387" s="22">
        <v>4.0432699999999999E-3</v>
      </c>
      <c r="R387" s="22">
        <v>377</v>
      </c>
      <c r="S387" s="22">
        <v>1.79779</v>
      </c>
      <c r="T387">
        <f t="shared" si="62"/>
        <v>-4.0432699999999997</v>
      </c>
      <c r="U387">
        <f t="shared" si="63"/>
        <v>-7.271416767999999</v>
      </c>
      <c r="X387" s="9"/>
      <c r="Y387" s="22">
        <v>-6.8359400000000001E-2</v>
      </c>
      <c r="Z387" s="22">
        <v>251.458</v>
      </c>
      <c r="AA387" s="22">
        <v>-1.7706300000000001E-2</v>
      </c>
      <c r="AB387" s="22">
        <v>377</v>
      </c>
      <c r="AC387" s="22">
        <v>-6.8908700000000003E-2</v>
      </c>
      <c r="AD387">
        <f t="shared" si="64"/>
        <v>17.706300000000002</v>
      </c>
      <c r="AE387">
        <f t="shared" si="65"/>
        <v>-1.2103920442200002</v>
      </c>
      <c r="AF387" s="9"/>
      <c r="AG387" s="22">
        <v>1.7984</v>
      </c>
      <c r="AH387" s="22">
        <v>382.12900000000002</v>
      </c>
      <c r="AI387" s="22">
        <v>4.0728800000000003E-2</v>
      </c>
      <c r="AJ387" s="22">
        <v>377</v>
      </c>
      <c r="AK387" s="22">
        <v>1.7981</v>
      </c>
      <c r="AL387">
        <f t="shared" si="66"/>
        <v>-40.7288</v>
      </c>
      <c r="AM387">
        <f t="shared" si="67"/>
        <v>-73.246673920000006</v>
      </c>
      <c r="AP387" s="9"/>
      <c r="AQ387" s="22">
        <v>-6.8359400000000001E-2</v>
      </c>
      <c r="AR387" s="22">
        <v>460.01</v>
      </c>
      <c r="AS387" s="22">
        <v>-1.7700199999999999E-2</v>
      </c>
      <c r="AT387" s="22">
        <v>377</v>
      </c>
      <c r="AU387" s="22">
        <v>-6.8847699999999998E-2</v>
      </c>
      <c r="AV387">
        <f t="shared" si="68"/>
        <v>17.700199999999999</v>
      </c>
      <c r="AW387">
        <f t="shared" si="69"/>
        <v>-1.2099750518799999</v>
      </c>
      <c r="AX387" s="9"/>
      <c r="AY387" s="22">
        <v>1.7984</v>
      </c>
      <c r="AZ387" s="22">
        <v>511.024</v>
      </c>
      <c r="BA387" s="22">
        <v>3.69781E-2</v>
      </c>
      <c r="BB387" s="22">
        <v>377</v>
      </c>
      <c r="BC387" s="22">
        <v>1.79688</v>
      </c>
      <c r="BD387">
        <f t="shared" si="70"/>
        <v>-36.978099999999998</v>
      </c>
      <c r="BE387">
        <f t="shared" si="71"/>
        <v>-66.501415039999998</v>
      </c>
    </row>
    <row r="388" spans="6:57">
      <c r="F388" s="9"/>
      <c r="G388" s="22">
        <v>-7.3394799999999996E-2</v>
      </c>
      <c r="H388" s="22">
        <v>146.30000000000001</v>
      </c>
      <c r="I388" s="22">
        <v>-1.76849E-2</v>
      </c>
      <c r="J388" s="22">
        <v>378</v>
      </c>
      <c r="K388" s="22">
        <v>-7.3883099999999993E-2</v>
      </c>
      <c r="L388">
        <f t="shared" si="60"/>
        <v>17.684899999999999</v>
      </c>
      <c r="M388">
        <f t="shared" si="61"/>
        <v>-1.2979796985199998</v>
      </c>
      <c r="N388" s="9"/>
      <c r="O388" s="22">
        <v>1.8034399999999999</v>
      </c>
      <c r="P388" s="22">
        <v>195.40199999999999</v>
      </c>
      <c r="Q388" s="22">
        <v>4.7418199999999999E-3</v>
      </c>
      <c r="R388" s="22">
        <v>378</v>
      </c>
      <c r="S388" s="22">
        <v>1.80237</v>
      </c>
      <c r="T388">
        <f t="shared" si="62"/>
        <v>-4.7418199999999997</v>
      </c>
      <c r="U388">
        <f t="shared" si="63"/>
        <v>-8.5515878607999998</v>
      </c>
      <c r="X388" s="9"/>
      <c r="Y388" s="22">
        <v>-7.3394799999999996E-2</v>
      </c>
      <c r="Z388" s="22">
        <v>251.559</v>
      </c>
      <c r="AA388" s="22">
        <v>-1.77124E-2</v>
      </c>
      <c r="AB388" s="22">
        <v>378</v>
      </c>
      <c r="AC388" s="22">
        <v>-7.3913599999999996E-2</v>
      </c>
      <c r="AD388">
        <f t="shared" si="64"/>
        <v>17.712399999999999</v>
      </c>
      <c r="AE388">
        <f t="shared" si="65"/>
        <v>-1.2999980555199999</v>
      </c>
      <c r="AF388" s="9"/>
      <c r="AG388" s="22">
        <v>1.8034399999999999</v>
      </c>
      <c r="AH388" s="22">
        <v>382.22899999999998</v>
      </c>
      <c r="AI388" s="22">
        <v>5.2600099999999997E-2</v>
      </c>
      <c r="AJ388" s="22">
        <v>378</v>
      </c>
      <c r="AK388" s="22">
        <v>1.80267</v>
      </c>
      <c r="AL388">
        <f t="shared" si="66"/>
        <v>-52.600099999999998</v>
      </c>
      <c r="AM388">
        <f t="shared" si="67"/>
        <v>-94.86112434399999</v>
      </c>
      <c r="AP388" s="9"/>
      <c r="AQ388" s="22">
        <v>-7.3394799999999996E-2</v>
      </c>
      <c r="AR388" s="22">
        <v>460.11099999999999</v>
      </c>
      <c r="AS388" s="22">
        <v>-1.7703199999999999E-2</v>
      </c>
      <c r="AT388" s="22">
        <v>378</v>
      </c>
      <c r="AU388" s="22">
        <v>-7.3974600000000001E-2</v>
      </c>
      <c r="AV388">
        <f t="shared" si="68"/>
        <v>17.703199999999999</v>
      </c>
      <c r="AW388">
        <f t="shared" si="69"/>
        <v>-1.2993228233599998</v>
      </c>
      <c r="AX388" s="9"/>
      <c r="AY388" s="22">
        <v>1.8034399999999999</v>
      </c>
      <c r="AZ388" s="22">
        <v>511.12400000000002</v>
      </c>
      <c r="BA388" s="22">
        <v>4.9774199999999998E-2</v>
      </c>
      <c r="BB388" s="22">
        <v>378</v>
      </c>
      <c r="BC388" s="22">
        <v>1.80237</v>
      </c>
      <c r="BD388">
        <f t="shared" si="70"/>
        <v>-49.7742</v>
      </c>
      <c r="BE388">
        <f t="shared" si="71"/>
        <v>-89.764783248000001</v>
      </c>
    </row>
    <row r="389" spans="6:57">
      <c r="F389" s="9"/>
      <c r="G389" s="22">
        <v>-7.8430200000000005E-2</v>
      </c>
      <c r="H389" s="22">
        <v>146.40100000000001</v>
      </c>
      <c r="I389" s="22">
        <v>-1.76849E-2</v>
      </c>
      <c r="J389" s="22">
        <v>379</v>
      </c>
      <c r="K389" s="22">
        <v>-7.8918500000000003E-2</v>
      </c>
      <c r="L389">
        <f t="shared" si="60"/>
        <v>17.684899999999999</v>
      </c>
      <c r="M389">
        <f t="shared" si="61"/>
        <v>-1.38703024398</v>
      </c>
      <c r="N389" s="9"/>
      <c r="O389" s="22">
        <v>1.80847</v>
      </c>
      <c r="P389" s="22">
        <v>195.50299999999999</v>
      </c>
      <c r="Q389" s="22">
        <v>5.65491E-3</v>
      </c>
      <c r="R389" s="22">
        <v>379</v>
      </c>
      <c r="S389" s="22">
        <v>1.8075600000000001</v>
      </c>
      <c r="T389">
        <f t="shared" si="62"/>
        <v>-5.6549100000000001</v>
      </c>
      <c r="U389">
        <f t="shared" si="63"/>
        <v>-10.2267350877</v>
      </c>
      <c r="X389" s="9"/>
      <c r="Y389" s="22">
        <v>-7.8430200000000005E-2</v>
      </c>
      <c r="Z389" s="22">
        <v>251.66</v>
      </c>
      <c r="AA389" s="22">
        <v>-1.7715499999999999E-2</v>
      </c>
      <c r="AB389" s="22">
        <v>379</v>
      </c>
      <c r="AC389" s="22">
        <v>-7.8918500000000003E-2</v>
      </c>
      <c r="AD389">
        <f t="shared" si="64"/>
        <v>17.715499999999999</v>
      </c>
      <c r="AE389">
        <f t="shared" si="65"/>
        <v>-1.3894302081000001</v>
      </c>
      <c r="AF389" s="9"/>
      <c r="AG389" s="22">
        <v>1.80847</v>
      </c>
      <c r="AH389" s="22">
        <v>382.33</v>
      </c>
      <c r="AI389" s="22">
        <v>6.47644E-2</v>
      </c>
      <c r="AJ389" s="22">
        <v>379</v>
      </c>
      <c r="AK389" s="22">
        <v>1.8075600000000001</v>
      </c>
      <c r="AL389">
        <f t="shared" si="66"/>
        <v>-64.764399999999995</v>
      </c>
      <c r="AM389">
        <f t="shared" si="67"/>
        <v>-117.12447446799999</v>
      </c>
      <c r="AP389" s="9"/>
      <c r="AQ389" s="22">
        <v>-7.8430200000000005E-2</v>
      </c>
      <c r="AR389" s="22">
        <v>460.21100000000001</v>
      </c>
      <c r="AS389" s="22">
        <v>-1.7703199999999999E-2</v>
      </c>
      <c r="AT389" s="22">
        <v>379</v>
      </c>
      <c r="AU389" s="22">
        <v>-7.9009999999999997E-2</v>
      </c>
      <c r="AV389">
        <f t="shared" si="68"/>
        <v>17.703199999999999</v>
      </c>
      <c r="AW389">
        <f t="shared" si="69"/>
        <v>-1.38846551664</v>
      </c>
      <c r="AX389" s="9"/>
      <c r="AY389" s="22">
        <v>1.80847</v>
      </c>
      <c r="AZ389" s="22">
        <v>511.22500000000002</v>
      </c>
      <c r="BA389" s="22">
        <v>6.30463E-2</v>
      </c>
      <c r="BB389" s="22">
        <v>379</v>
      </c>
      <c r="BC389" s="22">
        <v>1.8075600000000001</v>
      </c>
      <c r="BD389">
        <f t="shared" si="70"/>
        <v>-63.046300000000002</v>
      </c>
      <c r="BE389">
        <f t="shared" si="71"/>
        <v>-114.017342161</v>
      </c>
    </row>
    <row r="390" spans="6:57">
      <c r="F390" s="9"/>
      <c r="G390" s="22">
        <v>-8.3465600000000001E-2</v>
      </c>
      <c r="H390" s="22">
        <v>146.50200000000001</v>
      </c>
      <c r="I390" s="22">
        <v>-1.7687999999999999E-2</v>
      </c>
      <c r="J390" s="22">
        <v>380</v>
      </c>
      <c r="K390" s="22">
        <v>-8.4075899999999995E-2</v>
      </c>
      <c r="L390">
        <f t="shared" si="60"/>
        <v>17.687999999999999</v>
      </c>
      <c r="M390">
        <f t="shared" si="61"/>
        <v>-1.4763395328</v>
      </c>
      <c r="N390" s="9"/>
      <c r="O390" s="22">
        <v>1.81351</v>
      </c>
      <c r="P390" s="22">
        <v>195.60400000000001</v>
      </c>
      <c r="Q390" s="22">
        <v>6.09131E-3</v>
      </c>
      <c r="R390" s="22">
        <v>380</v>
      </c>
      <c r="S390" s="22">
        <v>1.8130500000000001</v>
      </c>
      <c r="T390">
        <f t="shared" si="62"/>
        <v>-6.09131</v>
      </c>
      <c r="U390">
        <f t="shared" si="63"/>
        <v>-11.0466515981</v>
      </c>
      <c r="X390" s="9"/>
      <c r="Y390" s="22">
        <v>-8.3465600000000001E-2</v>
      </c>
      <c r="Z390" s="22">
        <v>251.76</v>
      </c>
      <c r="AA390" s="22">
        <v>-1.7721600000000001E-2</v>
      </c>
      <c r="AB390" s="22">
        <v>380</v>
      </c>
      <c r="AC390" s="22">
        <v>-8.3923300000000006E-2</v>
      </c>
      <c r="AD390">
        <f t="shared" si="64"/>
        <v>17.721600000000002</v>
      </c>
      <c r="AE390">
        <f t="shared" si="65"/>
        <v>-1.4791439769600001</v>
      </c>
      <c r="AF390" s="9"/>
      <c r="AG390" s="22">
        <v>1.81351</v>
      </c>
      <c r="AH390" s="22">
        <v>382.43099999999998</v>
      </c>
      <c r="AI390" s="22">
        <v>7.6904299999999995E-2</v>
      </c>
      <c r="AJ390" s="22">
        <v>380</v>
      </c>
      <c r="AK390" s="22">
        <v>1.8124400000000001</v>
      </c>
      <c r="AL390">
        <f t="shared" si="66"/>
        <v>-76.904299999999992</v>
      </c>
      <c r="AM390">
        <f t="shared" si="67"/>
        <v>-139.46671709299997</v>
      </c>
      <c r="AP390" s="9"/>
      <c r="AQ390" s="22">
        <v>-8.3465600000000001E-2</v>
      </c>
      <c r="AR390" s="22">
        <v>460.31200000000001</v>
      </c>
      <c r="AS390" s="22">
        <v>-1.7706300000000001E-2</v>
      </c>
      <c r="AT390" s="22">
        <v>380</v>
      </c>
      <c r="AU390" s="22">
        <v>-8.3984400000000001E-2</v>
      </c>
      <c r="AV390">
        <f t="shared" si="68"/>
        <v>17.706300000000002</v>
      </c>
      <c r="AW390">
        <f t="shared" si="69"/>
        <v>-1.4778669532800002</v>
      </c>
      <c r="AX390" s="9"/>
      <c r="AY390" s="22">
        <v>1.81351</v>
      </c>
      <c r="AZ390" s="22">
        <v>511.32600000000002</v>
      </c>
      <c r="BA390" s="22">
        <v>7.6995800000000003E-2</v>
      </c>
      <c r="BB390" s="22">
        <v>380</v>
      </c>
      <c r="BC390" s="22">
        <v>1.8130500000000001</v>
      </c>
      <c r="BD390">
        <f t="shared" si="70"/>
        <v>-76.995800000000003</v>
      </c>
      <c r="BE390">
        <f t="shared" si="71"/>
        <v>-139.632653258</v>
      </c>
    </row>
    <row r="391" spans="6:57">
      <c r="F391" s="9"/>
      <c r="G391" s="22">
        <v>-8.8500999999999996E-2</v>
      </c>
      <c r="H391" s="22">
        <v>146.60300000000001</v>
      </c>
      <c r="I391" s="22">
        <v>-1.7690999999999998E-2</v>
      </c>
      <c r="J391" s="22">
        <v>381</v>
      </c>
      <c r="K391" s="22">
        <v>-8.8989299999999993E-2</v>
      </c>
      <c r="L391">
        <f t="shared" si="60"/>
        <v>17.690999999999999</v>
      </c>
      <c r="M391">
        <f t="shared" si="61"/>
        <v>-1.5656711909999999</v>
      </c>
      <c r="N391" s="9"/>
      <c r="O391" s="22">
        <v>1.81854</v>
      </c>
      <c r="P391" s="22">
        <v>195.70400000000001</v>
      </c>
      <c r="Q391" s="22">
        <v>6.8023700000000003E-3</v>
      </c>
      <c r="R391" s="22">
        <v>381</v>
      </c>
      <c r="S391" s="22">
        <v>1.81793</v>
      </c>
      <c r="T391">
        <f t="shared" si="62"/>
        <v>-6.8023700000000007</v>
      </c>
      <c r="U391">
        <f t="shared" si="63"/>
        <v>-12.370381939800001</v>
      </c>
      <c r="X391" s="9"/>
      <c r="Y391" s="22">
        <v>-8.8500999999999996E-2</v>
      </c>
      <c r="Z391" s="22">
        <v>251.86099999999999</v>
      </c>
      <c r="AA391" s="22">
        <v>-1.7727699999999999E-2</v>
      </c>
      <c r="AB391" s="22">
        <v>381</v>
      </c>
      <c r="AC391" s="22">
        <v>-8.8806200000000002E-2</v>
      </c>
      <c r="AD391">
        <f t="shared" si="64"/>
        <v>17.727699999999999</v>
      </c>
      <c r="AE391">
        <f t="shared" si="65"/>
        <v>-1.5689191776999998</v>
      </c>
      <c r="AF391" s="9"/>
      <c r="AG391" s="22">
        <v>1.81854</v>
      </c>
      <c r="AH391" s="22">
        <v>382.53100000000001</v>
      </c>
      <c r="AI391" s="22">
        <v>9.0362499999999998E-2</v>
      </c>
      <c r="AJ391" s="22">
        <v>381</v>
      </c>
      <c r="AK391" s="22">
        <v>1.8182400000000001</v>
      </c>
      <c r="AL391">
        <f t="shared" si="66"/>
        <v>-90.362499999999997</v>
      </c>
      <c r="AM391">
        <f t="shared" si="67"/>
        <v>-164.32782075</v>
      </c>
      <c r="AP391" s="9"/>
      <c r="AQ391" s="22">
        <v>-8.8500999999999996E-2</v>
      </c>
      <c r="AR391" s="22">
        <v>460.41300000000001</v>
      </c>
      <c r="AS391" s="22">
        <v>-1.7706300000000001E-2</v>
      </c>
      <c r="AT391" s="22">
        <v>381</v>
      </c>
      <c r="AU391" s="22">
        <v>-8.8989299999999993E-2</v>
      </c>
      <c r="AV391">
        <f t="shared" si="68"/>
        <v>17.706300000000002</v>
      </c>
      <c r="AW391">
        <f t="shared" si="69"/>
        <v>-1.5670252563000002</v>
      </c>
      <c r="AX391" s="9"/>
      <c r="AY391" s="22">
        <v>1.81854</v>
      </c>
      <c r="AZ391" s="22">
        <v>511.42700000000002</v>
      </c>
      <c r="BA391" s="22">
        <v>9.1156000000000001E-2</v>
      </c>
      <c r="BB391" s="22">
        <v>381</v>
      </c>
      <c r="BC391" s="22">
        <v>1.8176300000000001</v>
      </c>
      <c r="BD391">
        <f t="shared" si="70"/>
        <v>-91.156000000000006</v>
      </c>
      <c r="BE391">
        <f t="shared" si="71"/>
        <v>-165.77083224</v>
      </c>
    </row>
    <row r="392" spans="6:57">
      <c r="F392" s="9"/>
      <c r="G392" s="22">
        <v>-9.3536400000000006E-2</v>
      </c>
      <c r="H392" s="22">
        <v>146.703</v>
      </c>
      <c r="I392" s="22">
        <v>-1.7690999999999998E-2</v>
      </c>
      <c r="J392" s="22">
        <v>382</v>
      </c>
      <c r="K392" s="22">
        <v>-9.4024700000000003E-2</v>
      </c>
      <c r="L392">
        <f t="shared" si="60"/>
        <v>17.690999999999999</v>
      </c>
      <c r="M392">
        <f t="shared" si="61"/>
        <v>-1.6547524523999999</v>
      </c>
      <c r="N392" s="9"/>
      <c r="O392" s="22">
        <v>1.82358</v>
      </c>
      <c r="P392" s="22">
        <v>195.80500000000001</v>
      </c>
      <c r="Q392" s="22">
        <v>7.6049799999999999E-3</v>
      </c>
      <c r="R392" s="22">
        <v>382</v>
      </c>
      <c r="S392" s="22">
        <v>1.8225100000000001</v>
      </c>
      <c r="T392">
        <f t="shared" si="62"/>
        <v>-7.6049800000000003</v>
      </c>
      <c r="U392">
        <f t="shared" si="63"/>
        <v>-13.868289428400001</v>
      </c>
      <c r="X392" s="9"/>
      <c r="Y392" s="22">
        <v>-9.3536400000000006E-2</v>
      </c>
      <c r="Z392" s="22">
        <v>251.96199999999999</v>
      </c>
      <c r="AA392" s="22">
        <v>-1.7730699999999999E-2</v>
      </c>
      <c r="AB392" s="22">
        <v>382</v>
      </c>
      <c r="AC392" s="22">
        <v>-9.4177200000000003E-2</v>
      </c>
      <c r="AD392">
        <f t="shared" si="64"/>
        <v>17.730699999999999</v>
      </c>
      <c r="AE392">
        <f t="shared" si="65"/>
        <v>-1.65846584748</v>
      </c>
      <c r="AF392" s="9"/>
      <c r="AG392" s="22">
        <v>1.82358</v>
      </c>
      <c r="AH392" s="22">
        <v>382.63200000000001</v>
      </c>
      <c r="AI392" s="22">
        <v>0.103851</v>
      </c>
      <c r="AJ392" s="22">
        <v>382</v>
      </c>
      <c r="AK392" s="22">
        <v>1.8234300000000001</v>
      </c>
      <c r="AL392">
        <f t="shared" si="66"/>
        <v>-103.851</v>
      </c>
      <c r="AM392">
        <f t="shared" si="67"/>
        <v>-189.38060658000001</v>
      </c>
      <c r="AP392" s="9"/>
      <c r="AQ392" s="22">
        <v>-9.3536400000000006E-2</v>
      </c>
      <c r="AR392" s="22">
        <v>460.51299999999998</v>
      </c>
      <c r="AS392" s="22">
        <v>-1.77094E-2</v>
      </c>
      <c r="AT392" s="22">
        <v>382</v>
      </c>
      <c r="AU392" s="22">
        <v>-9.4085699999999994E-2</v>
      </c>
      <c r="AV392">
        <f t="shared" si="68"/>
        <v>17.709399999999999</v>
      </c>
      <c r="AW392">
        <f t="shared" si="69"/>
        <v>-1.65647352216</v>
      </c>
      <c r="AX392" s="9"/>
      <c r="AY392" s="22">
        <v>1.82358</v>
      </c>
      <c r="AZ392" s="22">
        <v>511.52699999999999</v>
      </c>
      <c r="BA392" s="22">
        <v>0.105682</v>
      </c>
      <c r="BB392" s="22">
        <v>382</v>
      </c>
      <c r="BC392" s="22">
        <v>1.8222</v>
      </c>
      <c r="BD392">
        <f t="shared" si="70"/>
        <v>-105.682</v>
      </c>
      <c r="BE392">
        <f t="shared" si="71"/>
        <v>-192.71958155999999</v>
      </c>
    </row>
    <row r="393" spans="6:57">
      <c r="F393" s="9"/>
      <c r="G393" s="22">
        <v>-9.8571800000000001E-2</v>
      </c>
      <c r="H393" s="22">
        <v>146.804</v>
      </c>
      <c r="I393" s="22">
        <v>-1.7700199999999999E-2</v>
      </c>
      <c r="J393" s="22">
        <v>383</v>
      </c>
      <c r="K393" s="22">
        <v>-9.9090600000000001E-2</v>
      </c>
      <c r="L393">
        <f t="shared" si="60"/>
        <v>17.700199999999999</v>
      </c>
      <c r="M393">
        <f t="shared" si="61"/>
        <v>-1.74474057436</v>
      </c>
      <c r="N393" s="9"/>
      <c r="O393" s="22">
        <v>1.8286100000000001</v>
      </c>
      <c r="P393" s="22">
        <v>195.90600000000001</v>
      </c>
      <c r="Q393" s="22">
        <v>8.22144E-3</v>
      </c>
      <c r="R393" s="22">
        <v>383</v>
      </c>
      <c r="S393" s="22">
        <v>1.8277000000000001</v>
      </c>
      <c r="T393">
        <f t="shared" si="62"/>
        <v>-8.2214399999999994</v>
      </c>
      <c r="U393">
        <f t="shared" si="63"/>
        <v>-15.033807398399999</v>
      </c>
      <c r="X393" s="9"/>
      <c r="Y393" s="22">
        <v>-9.8571800000000001E-2</v>
      </c>
      <c r="Z393" s="22">
        <v>252.06299999999999</v>
      </c>
      <c r="AA393" s="22">
        <v>-1.7733800000000001E-2</v>
      </c>
      <c r="AB393" s="22">
        <v>383</v>
      </c>
      <c r="AC393" s="22">
        <v>-9.9182099999999995E-2</v>
      </c>
      <c r="AD393">
        <f t="shared" si="64"/>
        <v>17.733800000000002</v>
      </c>
      <c r="AE393">
        <f t="shared" si="65"/>
        <v>-1.7480525868400003</v>
      </c>
      <c r="AF393" s="9"/>
      <c r="AG393" s="22">
        <v>1.8286100000000001</v>
      </c>
      <c r="AH393" s="22">
        <v>382.733</v>
      </c>
      <c r="AI393" s="22">
        <v>0.11785900000000001</v>
      </c>
      <c r="AJ393" s="22">
        <v>383</v>
      </c>
      <c r="AK393" s="22">
        <v>1.8280000000000001</v>
      </c>
      <c r="AL393">
        <f t="shared" si="66"/>
        <v>-117.85900000000001</v>
      </c>
      <c r="AM393">
        <f t="shared" si="67"/>
        <v>-215.51814599000002</v>
      </c>
      <c r="AP393" s="9"/>
      <c r="AQ393" s="22">
        <v>-9.8571800000000001E-2</v>
      </c>
      <c r="AR393" s="22">
        <v>460.61399999999998</v>
      </c>
      <c r="AS393" s="22">
        <v>-1.7718500000000002E-2</v>
      </c>
      <c r="AT393" s="22">
        <v>383</v>
      </c>
      <c r="AU393" s="22">
        <v>-9.8999000000000004E-2</v>
      </c>
      <c r="AV393">
        <f t="shared" si="68"/>
        <v>17.718500000000002</v>
      </c>
      <c r="AW393">
        <f t="shared" si="69"/>
        <v>-1.7465444383000002</v>
      </c>
      <c r="AX393" s="9"/>
      <c r="AY393" s="22">
        <v>1.8286100000000001</v>
      </c>
      <c r="AZ393" s="22">
        <v>511.62799999999999</v>
      </c>
      <c r="BA393" s="22">
        <v>0.120911</v>
      </c>
      <c r="BB393" s="22">
        <v>383</v>
      </c>
      <c r="BC393" s="22">
        <v>1.8280000000000001</v>
      </c>
      <c r="BD393">
        <f t="shared" si="70"/>
        <v>-120.911</v>
      </c>
      <c r="BE393">
        <f t="shared" si="71"/>
        <v>-221.09906371000002</v>
      </c>
    </row>
    <row r="394" spans="6:57">
      <c r="F394" s="9"/>
      <c r="G394" s="22">
        <v>-0.103607</v>
      </c>
      <c r="H394" s="22">
        <v>146.905</v>
      </c>
      <c r="I394" s="22">
        <v>-1.7703199999999999E-2</v>
      </c>
      <c r="J394" s="22">
        <v>384</v>
      </c>
      <c r="K394" s="22">
        <v>-0.104126</v>
      </c>
      <c r="L394">
        <f t="shared" si="60"/>
        <v>17.703199999999999</v>
      </c>
      <c r="M394">
        <f t="shared" si="61"/>
        <v>-1.8341754424000001</v>
      </c>
      <c r="N394" s="9"/>
      <c r="O394" s="22">
        <v>1.83365</v>
      </c>
      <c r="P394" s="22">
        <v>196.006</v>
      </c>
      <c r="Q394" s="22">
        <v>9.0270999999999997E-3</v>
      </c>
      <c r="R394" s="22">
        <v>384</v>
      </c>
      <c r="S394" s="22">
        <v>1.8325800000000001</v>
      </c>
      <c r="T394">
        <f t="shared" si="62"/>
        <v>-9.027099999999999</v>
      </c>
      <c r="U394">
        <f t="shared" si="63"/>
        <v>-16.552541914999999</v>
      </c>
      <c r="X394" s="9"/>
      <c r="Y394" s="22">
        <v>-0.103607</v>
      </c>
      <c r="Z394" s="22">
        <v>252.16300000000001</v>
      </c>
      <c r="AA394" s="22">
        <v>-1.77368E-2</v>
      </c>
      <c r="AB394" s="22">
        <v>384</v>
      </c>
      <c r="AC394" s="22">
        <v>-0.10409499999999999</v>
      </c>
      <c r="AD394">
        <f t="shared" si="64"/>
        <v>17.736799999999999</v>
      </c>
      <c r="AE394">
        <f t="shared" si="65"/>
        <v>-1.8376566375999999</v>
      </c>
      <c r="AF394" s="9"/>
      <c r="AG394" s="22">
        <v>1.83365</v>
      </c>
      <c r="AH394" s="22">
        <v>382.834</v>
      </c>
      <c r="AI394" s="22">
        <v>0.131439</v>
      </c>
      <c r="AJ394" s="22">
        <v>384</v>
      </c>
      <c r="AK394" s="22">
        <v>1.8331900000000001</v>
      </c>
      <c r="AL394">
        <f t="shared" si="66"/>
        <v>-131.43899999999999</v>
      </c>
      <c r="AM394">
        <f t="shared" si="67"/>
        <v>-241.01312234999997</v>
      </c>
      <c r="AP394" s="9"/>
      <c r="AQ394" s="22">
        <v>-0.103607</v>
      </c>
      <c r="AR394" s="22">
        <v>460.71499999999997</v>
      </c>
      <c r="AS394" s="22">
        <v>-1.7721600000000001E-2</v>
      </c>
      <c r="AT394" s="22">
        <v>384</v>
      </c>
      <c r="AU394" s="22">
        <v>-0.104034</v>
      </c>
      <c r="AV394">
        <f t="shared" si="68"/>
        <v>17.721600000000002</v>
      </c>
      <c r="AW394">
        <f t="shared" si="69"/>
        <v>-1.8360818112000004</v>
      </c>
      <c r="AX394" s="9"/>
      <c r="AY394" s="22">
        <v>1.83365</v>
      </c>
      <c r="AZ394" s="22">
        <v>511.72899999999998</v>
      </c>
      <c r="BA394" s="22">
        <v>0.13687099999999999</v>
      </c>
      <c r="BB394" s="22">
        <v>384</v>
      </c>
      <c r="BC394" s="22">
        <v>1.8325800000000001</v>
      </c>
      <c r="BD394">
        <f t="shared" si="70"/>
        <v>-136.87099999999998</v>
      </c>
      <c r="BE394">
        <f t="shared" si="71"/>
        <v>-250.97350914999996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1.8201210176349221</v>
      </c>
      <c r="C3">
        <f ca="1">INDEX(INDIRECT(A3&amp;"!B11"):INDIRECT(A3&amp;"!B21"),MATCH(E3,INDIRECT(A3&amp;"!D11"):INDIRECT(A3&amp;"!D21"),0))</f>
        <v>18.055191249776914</v>
      </c>
      <c r="D3">
        <f ca="1">INDEX(INDIRECT(A3&amp;"!C11"):INDIRECT(A3&amp;"!C21"),MATCH(E3,INDIRECT(A3&amp;"!D11"):INDIRECT(A3&amp;"!D21"),0))</f>
        <v>0.81546621812044406</v>
      </c>
      <c r="E3">
        <f t="shared" ref="E3" ca="1" si="0">MAX(INDIRECT(A3&amp; "!D11"),INDIRECT(A3 &amp; "!D13"),INDIRECT(A3 &amp; "!D15"),INDIRECT(A3 &amp; "!D17"),INDIRECT(A3 &amp; "!D19"),INDIRECT(A3 &amp; "!D21"))</f>
        <v>26.798367108000004</v>
      </c>
      <c r="G3">
        <f ca="1">INDEX(INDIRECT(A3&amp;"!A12"):INDIRECT(A3&amp;"!A22"),MATCH(J3,INDIRECT(A3&amp;"!D12"):INDIRECT(A3&amp;"!D22"),0))</f>
        <v>1.8033348802614917</v>
      </c>
      <c r="H3">
        <f ca="1">INDEX(INDIRECT(A3&amp;"!B12"):INDIRECT(A3&amp;"!B22"),MATCH(J3,INDIRECT(A3&amp;"!D12"):INDIRECT(A3&amp;"!D22"),0))</f>
        <v>18.063652989433823</v>
      </c>
      <c r="I3">
        <f ca="1">INDEX(INDIRECT(A3&amp;"!C12"):INDIRECT(A3&amp;"!C22"),MATCH(J3,INDIRECT(A3&amp;"!D12"):INDIRECT(A3&amp;"!D22"),0))</f>
        <v>0.81667768799360563</v>
      </c>
      <c r="J3">
        <f t="shared" ref="J3" ca="1" si="1">MAX(INDIRECT(A3&amp; "!D12"),INDIRECT(A3 &amp; "!D14"),INDIRECT(A3 &amp; "!D16"),INDIRECT(A3 &amp; "!D18"),INDIRECT(A3 &amp; "!D20"),,INDIRECT(A3 &amp; "!D22"))</f>
        <v>26.603125009999999</v>
      </c>
      <c r="L3">
        <f ca="1">INDEX(INDIRECT(A3&amp;"!E11"):INDIRECT(A3&amp;"!E21"),MATCH(E3,INDIRECT(A3&amp;"!D11"):INDIRECT(A3&amp;"!D21"),0))</f>
        <v>0.72855968131625493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1.777662555312693</v>
      </c>
      <c r="C4">
        <f ca="1">INDEX(INDIRECT(A4&amp;"!B11"):INDIRECT(A4&amp;"!B21"),MATCH(E4,INDIRECT(A4&amp;"!D11"):INDIRECT(A4&amp;"!D21"),0))</f>
        <v>17.659802390597836</v>
      </c>
      <c r="D4">
        <f ca="1">INDEX(INDIRECT(A4&amp;"!C11"):INDIRECT(A4&amp;"!C21"),MATCH(E4,INDIRECT(A4&amp;"!D11"):INDIRECT(A4&amp;"!D21"),0))</f>
        <v>0.80601925584950163</v>
      </c>
      <c r="E4">
        <f t="shared" ref="E4" ca="1" si="2">MAX(INDIRECT(A4&amp; "!D11"),INDIRECT(A4 &amp; "!D13"),INDIRECT(A4 &amp; "!D15"),INDIRECT(A4 &amp; "!D17"),INDIRECT(A4 &amp; "!D19"),INDIRECT(A4 &amp; "!D21"))</f>
        <v>25.303499074000001</v>
      </c>
      <c r="G4">
        <f ca="1">INDEX(INDIRECT(A4&amp;"!A12"):INDIRECT(A4&amp;"!A22"),MATCH(J4,INDIRECT(A4&amp;"!D12"):INDIRECT(A4&amp;"!D22"),0))</f>
        <v>1.778983211204642</v>
      </c>
      <c r="H4">
        <f ca="1">INDEX(INDIRECT(A4&amp;"!B12"):INDIRECT(A4&amp;"!B22"),MATCH(J4,INDIRECT(A4&amp;"!D12"):INDIRECT(A4&amp;"!D22"),0))</f>
        <v>17.651767021369309</v>
      </c>
      <c r="I4">
        <f ca="1">INDEX(INDIRECT(A4&amp;"!C12"):INDIRECT(A4&amp;"!C22"),MATCH(J4,INDIRECT(A4&amp;"!D12"):INDIRECT(A4&amp;"!D22"),0))</f>
        <v>0.80747332877288869</v>
      </c>
      <c r="J4">
        <f t="shared" ref="J4" ca="1" si="3">MAX(INDIRECT(A4&amp; "!D12"),INDIRECT(A4 &amp; "!D14"),INDIRECT(A4 &amp; "!D16"),INDIRECT(A4 &amp; "!D18"),INDIRECT(A4 &amp; "!D20"),,INDIRECT(A4 &amp; "!D22"))</f>
        <v>25.356436686999999</v>
      </c>
      <c r="L4">
        <f ca="1">INDEX(INDIRECT(A4&amp;"!E11"):INDIRECT(A4&amp;"!E21"),MATCH(E4,INDIRECT(A4&amp;"!D11"):INDIRECT(A4&amp;"!D21"),0))</f>
        <v>0.20877386540332793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20230112T090000</vt:lpstr>
      <vt:lpstr>20230112t210000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2023-01-12T10:22:21Z</dcterms:modified>
</cp:coreProperties>
</file>