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2"/>
  </bookViews>
  <sheets>
    <sheet name="NEW" sheetId="64" r:id="rId1"/>
    <sheet name="20230104T210000" sheetId="66" r:id="rId2"/>
    <sheet name="Sheet2" sheetId="63" r:id="rId3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6" l="1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/>
  <c r="BD104" i="66"/>
  <c r="BE104" i="66"/>
  <c r="BD105" i="66"/>
  <c r="BE105" i="66"/>
  <c r="BD106" i="66"/>
  <c r="BE106" i="66"/>
  <c r="BD107" i="66"/>
  <c r="BE107" i="66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/>
  <c r="BD114" i="66"/>
  <c r="BE114" i="66"/>
  <c r="BD115" i="66"/>
  <c r="BE115" i="66"/>
  <c r="BD116" i="66"/>
  <c r="BE116" i="66"/>
  <c r="BD117" i="66"/>
  <c r="BE117" i="66"/>
  <c r="BD118" i="66"/>
  <c r="BE118" i="66"/>
  <c r="BD119" i="66"/>
  <c r="BE119" i="66"/>
  <c r="BD120" i="66"/>
  <c r="BE120" i="66"/>
  <c r="BD121" i="66"/>
  <c r="BE121" i="66"/>
  <c r="BD122" i="66"/>
  <c r="BE122" i="66"/>
  <c r="BD123" i="66"/>
  <c r="BE123" i="66"/>
  <c r="BD124" i="66"/>
  <c r="BE124" i="66"/>
  <c r="BD125" i="66"/>
  <c r="BE125" i="66"/>
  <c r="BD126" i="66"/>
  <c r="BE126" i="66"/>
  <c r="BD127" i="66"/>
  <c r="BE127" i="66"/>
  <c r="BD128" i="66"/>
  <c r="BE128" i="66"/>
  <c r="BD129" i="66"/>
  <c r="BE129" i="66"/>
  <c r="BD130" i="66"/>
  <c r="BE130" i="66"/>
  <c r="BD131" i="66"/>
  <c r="BE131" i="66"/>
  <c r="BD132" i="66"/>
  <c r="BE132" i="66"/>
  <c r="BD133" i="66"/>
  <c r="BE133" i="66"/>
  <c r="BD134" i="66"/>
  <c r="BE134" i="66"/>
  <c r="BD135" i="66"/>
  <c r="BE135" i="66"/>
  <c r="BD136" i="66"/>
  <c r="BE136" i="66"/>
  <c r="BD137" i="66"/>
  <c r="BE137" i="66"/>
  <c r="BD138" i="66"/>
  <c r="BE138" i="66"/>
  <c r="BD139" i="66"/>
  <c r="BE139" i="66"/>
  <c r="BD140" i="66"/>
  <c r="BE140" i="66"/>
  <c r="BD141" i="66"/>
  <c r="BE141" i="66"/>
  <c r="BD142" i="66"/>
  <c r="BE142" i="66"/>
  <c r="BD143" i="66"/>
  <c r="BE143" i="66"/>
  <c r="BD144" i="66"/>
  <c r="BE144" i="66"/>
  <c r="BD145" i="66"/>
  <c r="BE145" i="66"/>
  <c r="BD146" i="66"/>
  <c r="BE146" i="66"/>
  <c r="BD147" i="66"/>
  <c r="BE147" i="66"/>
  <c r="BD148" i="66"/>
  <c r="BE148" i="66"/>
  <c r="BD149" i="66"/>
  <c r="BE149" i="66"/>
  <c r="BD150" i="66"/>
  <c r="BE150" i="66"/>
  <c r="BD151" i="66"/>
  <c r="BE151" i="66"/>
  <c r="BD152" i="66"/>
  <c r="BE152" i="66"/>
  <c r="BD153" i="66"/>
  <c r="BE153" i="66"/>
  <c r="BD154" i="66"/>
  <c r="BE154" i="66"/>
  <c r="BD155" i="66"/>
  <c r="BE155" i="66"/>
  <c r="BD156" i="66"/>
  <c r="BE156" i="66"/>
  <c r="BD157" i="66"/>
  <c r="BE157" i="66"/>
  <c r="BD158" i="66"/>
  <c r="BE158" i="66"/>
  <c r="BD159" i="66"/>
  <c r="BE159" i="66"/>
  <c r="BD160" i="66"/>
  <c r="BE160" i="66"/>
  <c r="BD161" i="66"/>
  <c r="BE161" i="66"/>
  <c r="BD162" i="66"/>
  <c r="BE162" i="66"/>
  <c r="BD163" i="66"/>
  <c r="BE163" i="66"/>
  <c r="BD164" i="66"/>
  <c r="BE164" i="66"/>
  <c r="BD165" i="66"/>
  <c r="BE165" i="66"/>
  <c r="BD166" i="66"/>
  <c r="BE166" i="66"/>
  <c r="BD167" i="66"/>
  <c r="BE167" i="66"/>
  <c r="BD168" i="66"/>
  <c r="BE168" i="66"/>
  <c r="BD169" i="66"/>
  <c r="BE169" i="66"/>
  <c r="BD170" i="66"/>
  <c r="BE170" i="66"/>
  <c r="BD171" i="66"/>
  <c r="BE171" i="66"/>
  <c r="BD172" i="66"/>
  <c r="BE172" i="66"/>
  <c r="BD173" i="66"/>
  <c r="BE173" i="66"/>
  <c r="BD174" i="66"/>
  <c r="BE174" i="66"/>
  <c r="BD175" i="66"/>
  <c r="BE175" i="66"/>
  <c r="BD176" i="66"/>
  <c r="BE176" i="66"/>
  <c r="BD177" i="66"/>
  <c r="BE177" i="66"/>
  <c r="BD178" i="66"/>
  <c r="BE178" i="66"/>
  <c r="BD179" i="66"/>
  <c r="BE179" i="66"/>
  <c r="BD180" i="66"/>
  <c r="BE180" i="66"/>
  <c r="BD181" i="66"/>
  <c r="BE181" i="66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/>
  <c r="BD240" i="66"/>
  <c r="BE240" i="66"/>
  <c r="BD241" i="66"/>
  <c r="BE241" i="66"/>
  <c r="BD242" i="66"/>
  <c r="BE242" i="66"/>
  <c r="BD243" i="66"/>
  <c r="BE243" i="66"/>
  <c r="BD244" i="66"/>
  <c r="BE244" i="66"/>
  <c r="BD245" i="66"/>
  <c r="BE245" i="66"/>
  <c r="BD246" i="66"/>
  <c r="BE246" i="66"/>
  <c r="BD247" i="66"/>
  <c r="BE247" i="66"/>
  <c r="BD248" i="66"/>
  <c r="BE248" i="66"/>
  <c r="BD249" i="66"/>
  <c r="BE249" i="66"/>
  <c r="BD250" i="66"/>
  <c r="BE250" i="66"/>
  <c r="BD251" i="66"/>
  <c r="BE251" i="66"/>
  <c r="BD252" i="66"/>
  <c r="BE252" i="66"/>
  <c r="BD253" i="66"/>
  <c r="BE253" i="66"/>
  <c r="BD254" i="66"/>
  <c r="BE254" i="66"/>
  <c r="BD255" i="66"/>
  <c r="BE255" i="66"/>
  <c r="BD256" i="66"/>
  <c r="BE256" i="66"/>
  <c r="BD257" i="66"/>
  <c r="BE257" i="66"/>
  <c r="BD258" i="66"/>
  <c r="BE258" i="66"/>
  <c r="BD259" i="66"/>
  <c r="BE259" i="66"/>
  <c r="BD260" i="66"/>
  <c r="BE260" i="66"/>
  <c r="BD261" i="66"/>
  <c r="BE261" i="66"/>
  <c r="BD262" i="66"/>
  <c r="BE262" i="66"/>
  <c r="BD263" i="66"/>
  <c r="BE263" i="66"/>
  <c r="BD264" i="66"/>
  <c r="BE264" i="66"/>
  <c r="BD265" i="66"/>
  <c r="BE265" i="66"/>
  <c r="BD266" i="66"/>
  <c r="BE266" i="66"/>
  <c r="BD267" i="66"/>
  <c r="BE267" i="66"/>
  <c r="BD268" i="66"/>
  <c r="BE268" i="66"/>
  <c r="BD269" i="66"/>
  <c r="BE269" i="66"/>
  <c r="BD270" i="66"/>
  <c r="BE270" i="66"/>
  <c r="BD271" i="66"/>
  <c r="BE271" i="66"/>
  <c r="BD272" i="66"/>
  <c r="BE272" i="66"/>
  <c r="BD273" i="66"/>
  <c r="BE273" i="66"/>
  <c r="BD274" i="66"/>
  <c r="BE274" i="66"/>
  <c r="BD275" i="66"/>
  <c r="BE275" i="66"/>
  <c r="BD276" i="66"/>
  <c r="BE276" i="66"/>
  <c r="BD277" i="66"/>
  <c r="BE277" i="66"/>
  <c r="BD278" i="66"/>
  <c r="BE278" i="66"/>
  <c r="BD279" i="66"/>
  <c r="BE279" i="66"/>
  <c r="BD280" i="66"/>
  <c r="BE280" i="66"/>
  <c r="BD281" i="66"/>
  <c r="BE281" i="66"/>
  <c r="BD282" i="66"/>
  <c r="BE282" i="66"/>
  <c r="BD283" i="66"/>
  <c r="BE283" i="66"/>
  <c r="BD284" i="66"/>
  <c r="BE284" i="66"/>
  <c r="BD285" i="66"/>
  <c r="BE285" i="66"/>
  <c r="BD286" i="66"/>
  <c r="BE286" i="66"/>
  <c r="BD287" i="66"/>
  <c r="BE287" i="66"/>
  <c r="BD288" i="66"/>
  <c r="BE288" i="66"/>
  <c r="BD289" i="66"/>
  <c r="BE289" i="66"/>
  <c r="BD290" i="66"/>
  <c r="BE290" i="66"/>
  <c r="BD291" i="66"/>
  <c r="BE291" i="66"/>
  <c r="BD292" i="66"/>
  <c r="BE292" i="66"/>
  <c r="BD293" i="66"/>
  <c r="BE293" i="66"/>
  <c r="BD294" i="66"/>
  <c r="BE294" i="66"/>
  <c r="BD295" i="66"/>
  <c r="BE295" i="66"/>
  <c r="BD296" i="66"/>
  <c r="BE296" i="66"/>
  <c r="BD297" i="66"/>
  <c r="BE297" i="66"/>
  <c r="BD298" i="66"/>
  <c r="BE298" i="66"/>
  <c r="BD299" i="66"/>
  <c r="BE299" i="66"/>
  <c r="BD300" i="66"/>
  <c r="BE300" i="66"/>
  <c r="BD301" i="66"/>
  <c r="BE301" i="66"/>
  <c r="BD302" i="66"/>
  <c r="BE302" i="66"/>
  <c r="BD303" i="66"/>
  <c r="BE303" i="66"/>
  <c r="BD304" i="66"/>
  <c r="BE304" i="66"/>
  <c r="BD305" i="66"/>
  <c r="BE305" i="66"/>
  <c r="BD306" i="66"/>
  <c r="BE306" i="66"/>
  <c r="BD307" i="66"/>
  <c r="BE307" i="66"/>
  <c r="BD308" i="66"/>
  <c r="BE308" i="66"/>
  <c r="BD309" i="66"/>
  <c r="BE309" i="66"/>
  <c r="BD310" i="66"/>
  <c r="BE310" i="66"/>
  <c r="BD311" i="66"/>
  <c r="BE311" i="66"/>
  <c r="BD312" i="66"/>
  <c r="BE312" i="66"/>
  <c r="BD313" i="66"/>
  <c r="BE313" i="66"/>
  <c r="BD314" i="66"/>
  <c r="BE314" i="66"/>
  <c r="BD315" i="66"/>
  <c r="BE315" i="66"/>
  <c r="BD316" i="66"/>
  <c r="BE316" i="66"/>
  <c r="BD317" i="66"/>
  <c r="BE317" i="66"/>
  <c r="BD318" i="66"/>
  <c r="BE318" i="66"/>
  <c r="BD319" i="66"/>
  <c r="BE319" i="66"/>
  <c r="BD320" i="66"/>
  <c r="BE320" i="66"/>
  <c r="BD321" i="66"/>
  <c r="BE321" i="66"/>
  <c r="BD322" i="66"/>
  <c r="BE322" i="66"/>
  <c r="BD323" i="66"/>
  <c r="BE323" i="66"/>
  <c r="BD324" i="66"/>
  <c r="BE324" i="66"/>
  <c r="BD325" i="66"/>
  <c r="BE325" i="66"/>
  <c r="BD326" i="66"/>
  <c r="BE326" i="66"/>
  <c r="BD327" i="66"/>
  <c r="BE327" i="66"/>
  <c r="BD328" i="66"/>
  <c r="BE328" i="66"/>
  <c r="BD329" i="66"/>
  <c r="BE329" i="66"/>
  <c r="BD330" i="66"/>
  <c r="BE330" i="66"/>
  <c r="BD331" i="66"/>
  <c r="BE331" i="66"/>
  <c r="BD332" i="66"/>
  <c r="BE332" i="66"/>
  <c r="BD333" i="66"/>
  <c r="BE333" i="66"/>
  <c r="BD334" i="66"/>
  <c r="BE334" i="66"/>
  <c r="BD335" i="66"/>
  <c r="BE335" i="66"/>
  <c r="BD336" i="66"/>
  <c r="BE336" i="66"/>
  <c r="BD337" i="66"/>
  <c r="BE337" i="66"/>
  <c r="BD338" i="66"/>
  <c r="BE338" i="66"/>
  <c r="BD339" i="66"/>
  <c r="BE339" i="66"/>
  <c r="BD340" i="66"/>
  <c r="BE340" i="66"/>
  <c r="BD341" i="66"/>
  <c r="BE341" i="66"/>
  <c r="BD342" i="66"/>
  <c r="BE342" i="66"/>
  <c r="BD343" i="66"/>
  <c r="BE343" i="66"/>
  <c r="BD344" i="66"/>
  <c r="BE344" i="66"/>
  <c r="BD345" i="66"/>
  <c r="BE345" i="66"/>
  <c r="BD346" i="66"/>
  <c r="BE346" i="66"/>
  <c r="BD347" i="66"/>
  <c r="BE347" i="66"/>
  <c r="BD348" i="66"/>
  <c r="BE348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 s="1"/>
  <c r="AV220" i="66"/>
  <c r="AW220" i="66"/>
  <c r="AV221" i="66"/>
  <c r="AW221" i="66"/>
  <c r="AV222" i="66"/>
  <c r="AW222" i="66"/>
  <c r="AV223" i="66"/>
  <c r="AW223" i="66"/>
  <c r="AV224" i="66"/>
  <c r="AW224" i="66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 s="1"/>
  <c r="AL214" i="66"/>
  <c r="AM214" i="66"/>
  <c r="AL215" i="66"/>
  <c r="AM215" i="66"/>
  <c r="AL216" i="66"/>
  <c r="AM216" i="66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 s="1"/>
  <c r="AD186" i="66"/>
  <c r="AE186" i="66" s="1"/>
  <c r="AD187" i="66"/>
  <c r="AE187" i="66" s="1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/>
  <c r="AD259" i="66"/>
  <c r="AE259" i="66"/>
  <c r="AD260" i="66"/>
  <c r="AE260" i="66"/>
  <c r="AD261" i="66"/>
  <c r="AE261" i="66"/>
  <c r="AD262" i="66"/>
  <c r="AE262" i="66"/>
  <c r="AD263" i="66"/>
  <c r="AE263" i="66"/>
  <c r="AD264" i="66"/>
  <c r="AE264" i="66"/>
  <c r="AD265" i="66"/>
  <c r="AE265" i="66"/>
  <c r="AD266" i="66"/>
  <c r="AE266" i="66"/>
  <c r="AD267" i="66"/>
  <c r="AE267" i="66"/>
  <c r="AD268" i="66"/>
  <c r="AE268" i="66"/>
  <c r="AD269" i="66"/>
  <c r="AE269" i="66"/>
  <c r="AD270" i="66"/>
  <c r="AE270" i="66"/>
  <c r="AD271" i="66"/>
  <c r="AE271" i="66"/>
  <c r="AD272" i="66"/>
  <c r="AE272" i="66"/>
  <c r="AD273" i="66"/>
  <c r="AE273" i="66"/>
  <c r="AD274" i="66"/>
  <c r="AE274" i="66"/>
  <c r="AD275" i="66"/>
  <c r="AE275" i="66"/>
  <c r="AD276" i="66"/>
  <c r="AE276" i="66"/>
  <c r="AD277" i="66"/>
  <c r="AE277" i="66"/>
  <c r="AD278" i="66"/>
  <c r="AE278" i="66"/>
  <c r="AD279" i="66"/>
  <c r="AE279" i="66"/>
  <c r="AD280" i="66"/>
  <c r="AE280" i="66"/>
  <c r="AD281" i="66"/>
  <c r="AE281" i="66"/>
  <c r="AD282" i="66"/>
  <c r="AE282" i="66"/>
  <c r="AD283" i="66"/>
  <c r="AE283" i="66"/>
  <c r="AD284" i="66"/>
  <c r="AE284" i="66"/>
  <c r="AD285" i="66"/>
  <c r="AE285" i="66"/>
  <c r="AD286" i="66"/>
  <c r="AE286" i="66"/>
  <c r="AD287" i="66"/>
  <c r="AE287" i="66"/>
  <c r="AD288" i="66"/>
  <c r="AE288" i="66"/>
  <c r="AD289" i="66"/>
  <c r="AE289" i="66"/>
  <c r="AD290" i="66"/>
  <c r="AE290" i="66"/>
  <c r="AD291" i="66"/>
  <c r="AE291" i="66"/>
  <c r="AD292" i="66"/>
  <c r="AE292" i="66"/>
  <c r="AD293" i="66"/>
  <c r="AE293" i="66"/>
  <c r="AD294" i="66"/>
  <c r="AE294" i="66"/>
  <c r="AD295" i="66"/>
  <c r="AE295" i="66"/>
  <c r="AD296" i="66"/>
  <c r="AE296" i="66"/>
  <c r="AD297" i="66"/>
  <c r="AE297" i="66"/>
  <c r="AD298" i="66"/>
  <c r="AE298" i="66"/>
  <c r="AD299" i="66"/>
  <c r="AE299" i="66"/>
  <c r="AD300" i="66"/>
  <c r="AE300" i="66"/>
  <c r="AD301" i="66"/>
  <c r="AE301" i="66"/>
  <c r="AD302" i="66"/>
  <c r="AE302" i="66"/>
  <c r="AD303" i="66"/>
  <c r="AE303" i="66"/>
  <c r="AD304" i="66"/>
  <c r="AE304" i="66"/>
  <c r="AD305" i="66"/>
  <c r="AE305" i="66"/>
  <c r="AD306" i="66"/>
  <c r="AE306" i="66"/>
  <c r="AD307" i="66"/>
  <c r="AE307" i="66"/>
  <c r="AD308" i="66"/>
  <c r="AE308" i="66"/>
  <c r="AD309" i="66"/>
  <c r="AE309" i="66"/>
  <c r="AD310" i="66"/>
  <c r="AE310" i="66"/>
  <c r="AD311" i="66"/>
  <c r="AE311" i="66"/>
  <c r="AD312" i="66"/>
  <c r="AE312" i="66"/>
  <c r="AD313" i="66"/>
  <c r="AE313" i="66"/>
  <c r="AD314" i="66"/>
  <c r="AE314" i="66"/>
  <c r="AD315" i="66"/>
  <c r="AE315" i="66"/>
  <c r="AD316" i="66"/>
  <c r="AE316" i="66"/>
  <c r="AD317" i="66"/>
  <c r="AE317" i="66"/>
  <c r="AD318" i="66"/>
  <c r="AE318" i="66"/>
  <c r="AD319" i="66"/>
  <c r="AE319" i="66"/>
  <c r="AD320" i="66"/>
  <c r="AE320" i="66"/>
  <c r="AD321" i="66"/>
  <c r="AE321" i="66"/>
  <c r="AD322" i="66"/>
  <c r="AE322" i="66"/>
  <c r="AD323" i="66"/>
  <c r="AE323" i="66"/>
  <c r="AD324" i="66"/>
  <c r="AE324" i="66"/>
  <c r="AD325" i="66"/>
  <c r="AE325" i="66"/>
  <c r="AD326" i="66"/>
  <c r="AE326" i="66"/>
  <c r="AD327" i="66"/>
  <c r="AE327" i="66"/>
  <c r="AD328" i="66"/>
  <c r="AE328" i="66"/>
  <c r="AD329" i="66"/>
  <c r="AE329" i="66"/>
  <c r="AD330" i="66"/>
  <c r="AE330" i="66"/>
  <c r="AD331" i="66"/>
  <c r="AE331" i="66"/>
  <c r="AD332" i="66"/>
  <c r="AE332" i="66"/>
  <c r="AD333" i="66"/>
  <c r="AE333" i="66"/>
  <c r="AD334" i="66"/>
  <c r="AE334" i="66"/>
  <c r="AD335" i="66"/>
  <c r="AE335" i="66"/>
  <c r="AD336" i="66"/>
  <c r="AE336" i="66"/>
  <c r="AD337" i="66"/>
  <c r="AE337" i="66"/>
  <c r="AD338" i="66"/>
  <c r="AE338" i="66"/>
  <c r="AD339" i="66"/>
  <c r="AE339" i="66"/>
  <c r="AD340" i="66"/>
  <c r="AE340" i="66"/>
  <c r="AD341" i="66"/>
  <c r="AE341" i="66"/>
  <c r="AD342" i="66"/>
  <c r="AE342" i="66"/>
  <c r="AD343" i="66"/>
  <c r="AE343" i="66"/>
  <c r="AD344" i="66"/>
  <c r="AE344" i="66"/>
  <c r="AD345" i="66"/>
  <c r="AE345" i="66"/>
  <c r="AD346" i="66"/>
  <c r="AE346" i="66"/>
  <c r="AD347" i="66"/>
  <c r="AE347" i="66"/>
  <c r="AD348" i="66"/>
  <c r="AE348" i="66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/>
  <c r="T231" i="66"/>
  <c r="U231" i="66"/>
  <c r="T232" i="66"/>
  <c r="U232" i="66"/>
  <c r="T233" i="66"/>
  <c r="U233" i="66"/>
  <c r="T234" i="66"/>
  <c r="U234" i="66"/>
  <c r="T235" i="66"/>
  <c r="U235" i="66"/>
  <c r="T236" i="66"/>
  <c r="U236" i="66"/>
  <c r="T237" i="66"/>
  <c r="U237" i="66"/>
  <c r="T238" i="66"/>
  <c r="U238" i="66"/>
  <c r="T239" i="66"/>
  <c r="U239" i="66"/>
  <c r="T240" i="66"/>
  <c r="U240" i="66" s="1"/>
  <c r="T241" i="66"/>
  <c r="U241" i="66"/>
  <c r="T242" i="66"/>
  <c r="U242" i="66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/>
  <c r="L220" i="66"/>
  <c r="M220" i="66"/>
  <c r="L221" i="66"/>
  <c r="M221" i="66"/>
  <c r="L222" i="66"/>
  <c r="M222" i="66"/>
  <c r="L223" i="66"/>
  <c r="M223" i="66"/>
  <c r="L224" i="66"/>
  <c r="M224" i="66"/>
  <c r="L225" i="66"/>
  <c r="M225" i="66"/>
  <c r="L226" i="66"/>
  <c r="M226" i="66"/>
  <c r="L227" i="66"/>
  <c r="M227" i="66" s="1"/>
  <c r="L228" i="66"/>
  <c r="M228" i="66"/>
  <c r="L229" i="66"/>
  <c r="M229" i="66"/>
  <c r="L230" i="66"/>
  <c r="M230" i="66"/>
  <c r="L231" i="66"/>
  <c r="M231" i="66"/>
  <c r="L232" i="66"/>
  <c r="M232" i="66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AE9" i="66" s="1"/>
  <c r="AE7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L7" i="66"/>
  <c r="K7" i="66" s="1"/>
  <c r="FG6" i="66"/>
  <c r="EY6" i="66"/>
  <c r="EX6" i="66"/>
  <c r="EP6" i="66"/>
  <c r="EH6" i="66"/>
  <c r="EG6" i="66"/>
  <c r="DX6" i="66"/>
  <c r="DP6" i="66"/>
  <c r="DO6" i="66"/>
  <c r="DF6" i="66"/>
  <c r="CX6" i="66"/>
  <c r="CW6" i="66"/>
  <c r="CN6" i="66"/>
  <c r="CF6" i="66"/>
  <c r="CE6" i="66"/>
  <c r="BV6" i="66"/>
  <c r="BN6" i="66"/>
  <c r="BM6" i="66"/>
  <c r="BD6" i="66"/>
  <c r="AV6" i="66"/>
  <c r="AU6" i="66" s="1"/>
  <c r="AL6" i="66"/>
  <c r="AD6" i="66"/>
  <c r="AC6" i="66"/>
  <c r="T6" i="66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AE5" i="66"/>
  <c r="FD4" i="66"/>
  <c r="FF4" i="66" s="1"/>
  <c r="EV4" i="66"/>
  <c r="EX4" i="66" s="1"/>
  <c r="EO4" i="66"/>
  <c r="EM4" i="66"/>
  <c r="EE4" i="66"/>
  <c r="EG4" i="66" s="1"/>
  <c r="DW4" i="66"/>
  <c r="DU4" i="66"/>
  <c r="DM4" i="66"/>
  <c r="DO4" i="66" s="1"/>
  <c r="DE4" i="66"/>
  <c r="DC4" i="66"/>
  <c r="CU4" i="66"/>
  <c r="CW4" i="66" s="1"/>
  <c r="CM4" i="66"/>
  <c r="CK4" i="66"/>
  <c r="CC4" i="66"/>
  <c r="CE4" i="66" s="1"/>
  <c r="BU4" i="66"/>
  <c r="BS4" i="66"/>
  <c r="BK4" i="66"/>
  <c r="BM4" i="66" s="1"/>
  <c r="AS4" i="66"/>
  <c r="AU4" i="66" s="1"/>
  <c r="AI4" i="66"/>
  <c r="AK4" i="66" s="1"/>
  <c r="Q4" i="66"/>
  <c r="S4" i="66" s="1"/>
  <c r="I4" i="66"/>
  <c r="K4" i="66" s="1"/>
  <c r="FH3" i="66"/>
  <c r="FF3" i="66"/>
  <c r="FD3" i="66"/>
  <c r="FD6" i="66" s="1"/>
  <c r="EZ3" i="66"/>
  <c r="EV3" i="66"/>
  <c r="EQ3" i="66"/>
  <c r="EO3" i="66"/>
  <c r="EM3" i="66"/>
  <c r="EM6" i="66" s="1"/>
  <c r="EI3" i="66"/>
  <c r="EE3" i="66"/>
  <c r="DY3" i="66"/>
  <c r="DW3" i="66"/>
  <c r="DU3" i="66"/>
  <c r="DU6" i="66" s="1"/>
  <c r="DQ3" i="66"/>
  <c r="DM3" i="66"/>
  <c r="DG3" i="66"/>
  <c r="DE3" i="66"/>
  <c r="DC3" i="66"/>
  <c r="DC6" i="66" s="1"/>
  <c r="A22" i="66" s="1"/>
  <c r="CY3" i="66"/>
  <c r="CU3" i="66"/>
  <c r="CO3" i="66"/>
  <c r="CM3" i="66"/>
  <c r="CK3" i="66"/>
  <c r="CK6" i="66" s="1"/>
  <c r="A20" i="66" s="1"/>
  <c r="CG3" i="66"/>
  <c r="CC3" i="66"/>
  <c r="BW3" i="66"/>
  <c r="BU3" i="66"/>
  <c r="BS3" i="66"/>
  <c r="BS6" i="66" s="1"/>
  <c r="A18" i="66" s="1"/>
  <c r="BO3" i="66"/>
  <c r="BK3" i="66"/>
  <c r="BA3" i="66"/>
  <c r="BC3" i="66" s="1"/>
  <c r="AS3" i="66"/>
  <c r="AI3" i="66"/>
  <c r="AK3" i="66" s="1"/>
  <c r="AE3" i="66"/>
  <c r="Q3" i="66"/>
  <c r="I3" i="66"/>
  <c r="BA4" i="66" l="1"/>
  <c r="BC4" i="66" s="1"/>
  <c r="BA6" i="66" s="1"/>
  <c r="A16" i="66" s="1"/>
  <c r="BE9" i="66"/>
  <c r="AY4" i="66"/>
  <c r="AW9" i="66"/>
  <c r="AQ2" i="66"/>
  <c r="AM9" i="66"/>
  <c r="AG4" i="66"/>
  <c r="Y2" i="66"/>
  <c r="AA3" i="66"/>
  <c r="AA4" i="66"/>
  <c r="AC4" i="66" s="1"/>
  <c r="U9" i="66"/>
  <c r="S3" i="66"/>
  <c r="O4" i="66" s="1"/>
  <c r="M9" i="66"/>
  <c r="G2" i="66"/>
  <c r="M5" i="66"/>
  <c r="K3" i="66"/>
  <c r="I6" i="66" s="1"/>
  <c r="AC3" i="66"/>
  <c r="AU3" i="66"/>
  <c r="AS6" i="66" s="1"/>
  <c r="BM3" i="66"/>
  <c r="BK6" i="66" s="1"/>
  <c r="CE3" i="66"/>
  <c r="CC6" i="66" s="1"/>
  <c r="CW3" i="66"/>
  <c r="CU6" i="66" s="1"/>
  <c r="DO3" i="66"/>
  <c r="DM6" i="66" s="1"/>
  <c r="DP4" i="66" s="1"/>
  <c r="DP2" i="66" s="1"/>
  <c r="DM9" i="66" s="1"/>
  <c r="E23" i="66" s="1"/>
  <c r="EG3" i="66"/>
  <c r="EE6" i="66" s="1"/>
  <c r="EH4" i="66" s="1"/>
  <c r="EH2" i="66" s="1"/>
  <c r="EE9" i="66" s="1"/>
  <c r="E25" i="66" s="1"/>
  <c r="EX3" i="66"/>
  <c r="EV6" i="66" s="1"/>
  <c r="EY4" i="66" s="1"/>
  <c r="EY2" i="66" s="1"/>
  <c r="EV9" i="66" s="1"/>
  <c r="AI6" i="66"/>
  <c r="A14" i="66" s="1"/>
  <c r="G4" i="66"/>
  <c r="Y4" i="66"/>
  <c r="L9" i="66"/>
  <c r="B11" i="66" s="1"/>
  <c r="S6" i="66"/>
  <c r="O2" i="66" s="1"/>
  <c r="AD9" i="66"/>
  <c r="B13" i="66" s="1"/>
  <c r="AK6" i="66"/>
  <c r="AG2" i="66" s="1"/>
  <c r="AV9" i="66"/>
  <c r="B15" i="66" s="1"/>
  <c r="BC6" i="66"/>
  <c r="AY2" i="66" s="1"/>
  <c r="BN9" i="66"/>
  <c r="B17" i="66" s="1"/>
  <c r="BU6" i="66"/>
  <c r="BV9" i="66" s="1"/>
  <c r="CF9" i="66"/>
  <c r="B19" i="66" s="1"/>
  <c r="CM6" i="66"/>
  <c r="CN9" i="66" s="1"/>
  <c r="CX9" i="66"/>
  <c r="B21" i="66" s="1"/>
  <c r="DE6" i="66"/>
  <c r="DF9" i="66" s="1"/>
  <c r="DP9" i="66"/>
  <c r="DW6" i="66"/>
  <c r="DX9" i="66" s="1"/>
  <c r="DX4" i="66" s="1"/>
  <c r="DX2" i="66" s="1"/>
  <c r="EH9" i="66"/>
  <c r="EO6" i="66"/>
  <c r="EP9" i="66" s="1"/>
  <c r="EP4" i="66" s="1"/>
  <c r="EP2" i="66" s="1"/>
  <c r="EY9" i="66"/>
  <c r="FF6" i="66"/>
  <c r="FG9" i="66" s="1"/>
  <c r="FG4" i="66" s="1"/>
  <c r="FG2" i="66" s="1"/>
  <c r="BE7" i="66" l="1"/>
  <c r="BE5" i="66"/>
  <c r="BE3" i="66"/>
  <c r="AW7" i="66"/>
  <c r="AW5" i="66"/>
  <c r="AW3" i="66"/>
  <c r="AQ4" i="66"/>
  <c r="AM7" i="66"/>
  <c r="AM3" i="66"/>
  <c r="AM5" i="66"/>
  <c r="AA6" i="66"/>
  <c r="U7" i="66"/>
  <c r="U5" i="66"/>
  <c r="U3" i="66"/>
  <c r="Q6" i="66"/>
  <c r="A12" i="66" s="1"/>
  <c r="M7" i="66"/>
  <c r="M3" i="66"/>
  <c r="A21" i="66"/>
  <c r="CX4" i="66"/>
  <c r="A17" i="66"/>
  <c r="BN4" i="66"/>
  <c r="A13" i="66"/>
  <c r="AD4" i="66"/>
  <c r="B22" i="66"/>
  <c r="DF4" i="66"/>
  <c r="B20" i="66"/>
  <c r="CN4" i="66"/>
  <c r="B18" i="66"/>
  <c r="BV4" i="66"/>
  <c r="A19" i="66"/>
  <c r="CF4" i="66"/>
  <c r="CF2" i="66" s="1"/>
  <c r="A15" i="66"/>
  <c r="AV4" i="66"/>
  <c r="A11" i="66"/>
  <c r="L4" i="66"/>
  <c r="BD9" i="66"/>
  <c r="B16" i="66" s="1"/>
  <c r="AL9" i="66"/>
  <c r="B14" i="66" s="1"/>
  <c r="T9" i="66"/>
  <c r="B12" i="66" s="1"/>
  <c r="BD4" i="66" l="1"/>
  <c r="AL4" i="66"/>
  <c r="AL2" i="66" s="1"/>
  <c r="D14" i="66" s="1"/>
  <c r="T4" i="66"/>
  <c r="C14" i="66"/>
  <c r="C16" i="66"/>
  <c r="BD2" i="66"/>
  <c r="D16" i="66" s="1"/>
  <c r="C11" i="66"/>
  <c r="L2" i="66"/>
  <c r="C15" i="66"/>
  <c r="AV2" i="66"/>
  <c r="D19" i="66"/>
  <c r="CC9" i="66"/>
  <c r="E19" i="66" s="1"/>
  <c r="C18" i="66"/>
  <c r="BV2" i="66"/>
  <c r="D18" i="66" s="1"/>
  <c r="C20" i="66"/>
  <c r="CN2" i="66"/>
  <c r="D20" i="66" s="1"/>
  <c r="C22" i="66"/>
  <c r="DF2" i="66"/>
  <c r="D22" i="66" s="1"/>
  <c r="C13" i="66"/>
  <c r="AD2" i="66"/>
  <c r="C17" i="66"/>
  <c r="C19" i="66"/>
  <c r="BN2" i="66"/>
  <c r="C21" i="66"/>
  <c r="CX2" i="66"/>
  <c r="C12" i="66"/>
  <c r="T2" i="66"/>
  <c r="D12" i="66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D13" i="66" l="1"/>
  <c r="AA9" i="66"/>
  <c r="E13" i="66" s="1"/>
  <c r="D15" i="66"/>
  <c r="AS9" i="66"/>
  <c r="E15" i="66" s="1"/>
  <c r="D11" i="66"/>
  <c r="I9" i="66"/>
  <c r="E11" i="66" s="1"/>
  <c r="D21" i="66"/>
  <c r="CU9" i="66"/>
  <c r="E21" i="66" s="1"/>
  <c r="D17" i="66"/>
  <c r="BK9" i="66"/>
  <c r="E17" i="66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FG11" i="64" l="1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L9" i="64"/>
  <c r="B11" i="64" s="1"/>
  <c r="A2" i="63" a="1"/>
  <c r="AG4" i="64" l="1"/>
  <c r="O4" i="64"/>
  <c r="K3" i="64"/>
  <c r="G4" i="64" s="1"/>
  <c r="AY4" i="64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EY4" i="64" l="1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/>
  <c r="D2" i="63"/>
  <c r="G3" i="63"/>
  <c r="I3" i="63"/>
  <c r="I2" i="63"/>
  <c r="B3" i="63"/>
  <c r="D3" i="63"/>
  <c r="C2" i="63"/>
  <c r="L2" i="63"/>
  <c r="H3" i="63"/>
  <c r="H2" i="63"/>
  <c r="G2" i="63"/>
  <c r="L3" i="63"/>
  <c r="C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<sst xmlns="http://schemas.openxmlformats.org/spreadsheetml/2006/main" count="826" uniqueCount="46">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</sst>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-0.1234567901234568</v>
      </c>
      <c r="L3" s="27" t="s">
        <v>16</v>
      </c>
      <c r="M3" s="11">
        <f>M9</f>
        <v>-0.14998765432098768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9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9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9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9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9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9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9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9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9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9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9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33" t="s">
        <v>18</v>
      </c>
      <c r="R5" s="33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33" t="s">
        <v>18</v>
      </c>
      <c r="AJ5" s="33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33" t="s">
        <v>18</v>
      </c>
      <c r="BB5" s="33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3" t="s">
        <v>18</v>
      </c>
      <c r="BT5" s="33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3" t="s">
        <v>18</v>
      </c>
      <c r="CL5" s="33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3" t="s">
        <v>18</v>
      </c>
      <c r="DD5" s="33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3" t="s">
        <v>18</v>
      </c>
      <c r="DV5" s="3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3" t="s">
        <v>18</v>
      </c>
      <c r="EN5" s="3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3" t="s">
        <v>18</v>
      </c>
      <c r="FE5" s="3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32" t="e">
        <f>(Q3-Q4)/(S3-S4)*(-S4)+Q4</f>
        <v>#N/A</v>
      </c>
      <c r="R6" s="32"/>
      <c r="S6" s="13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32" t="e">
        <f>(AI3-AI4)/(AK3-AK4)*(-AK4)+AI4</f>
        <v>#N/A</v>
      </c>
      <c r="AJ6" s="32"/>
      <c r="AK6" s="13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32" t="e">
        <f>(BA3-BA4)/(BC3-BC4)*(-BC4)+BA4</f>
        <v>#N/A</v>
      </c>
      <c r="BB6" s="32"/>
      <c r="BC6" s="13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2" t="e">
        <f>(BS3-BS4)/(BU3-BU4)*(-BU4)+BS4</f>
        <v>#N/A</v>
      </c>
      <c r="BT6" s="32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2" t="e">
        <f>(CK3-CK4)/(CM3-CM4)*(-CM4)+CK4</f>
        <v>#N/A</v>
      </c>
      <c r="CL6" s="32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2" t="e">
        <f>(DC3-DC4)/(DE3-DE4)*(-DE4)+DC4</f>
        <v>#N/A</v>
      </c>
      <c r="DD6" s="32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2" t="e">
        <f>(DU3-DU4)/(DW3-DW4)*(-DW4)+DU4</f>
        <v>#N/A</v>
      </c>
      <c r="DV6" s="3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2" t="e">
        <f>(EM3-EM4)/(EO3-EO4)*(-EO4)+EM4</f>
        <v>#N/A</v>
      </c>
      <c r="EN6" s="3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2" t="e">
        <f>(FD3-FD4)/(FF3-FF4)*(-FF4)+FD4</f>
        <v>#N/A</v>
      </c>
      <c r="FE6" s="3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-0.14998765432098768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-0.38969336957654316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-0.38751161820123453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-0.38597431540617277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-0.1234567901234568</v>
      </c>
      <c r="M11">
        <f>L11*G11</f>
        <v>-0.14998765432098768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4.1059382716049377</v>
      </c>
      <c r="U11">
        <f>T11*O11</f>
        <v>-0.38969336957654316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48"/>
  <sheetViews>
    <sheetView topLeftCell="AU1" workbookViewId="0">
      <selection activeCell="BD11" sqref="BD11:BE34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8169.7140000013369</v>
      </c>
      <c r="H2" s="2"/>
      <c r="I2" s="6" t="s">
        <v>12</v>
      </c>
      <c r="J2" s="2"/>
      <c r="K2" s="7" t="s">
        <v>13</v>
      </c>
      <c r="L2" s="3">
        <f>L4*I6*L9/100*100</f>
        <v>20.296785829629631</v>
      </c>
      <c r="M2" s="8" t="s">
        <v>14</v>
      </c>
      <c r="N2" s="9"/>
      <c r="O2" s="2">
        <f>ABS(S7-S6)/ABS(T7-T6)*1000</f>
        <v>1330.072258064446</v>
      </c>
      <c r="P2" s="2"/>
      <c r="Q2" s="6" t="s">
        <v>15</v>
      </c>
      <c r="R2" s="2"/>
      <c r="S2" s="7" t="s">
        <v>13</v>
      </c>
      <c r="T2" s="3">
        <f>T4*Q6*T9/100*100</f>
        <v>19.824837253086422</v>
      </c>
      <c r="U2" s="8" t="s">
        <v>14</v>
      </c>
      <c r="X2" s="9"/>
      <c r="Y2" s="2">
        <f>ABS(AC7-AC6)/ABS(AD7-AD6)*1000</f>
        <v>1337.2316129031544</v>
      </c>
      <c r="Z2" s="2"/>
      <c r="AA2" s="6" t="s">
        <v>12</v>
      </c>
      <c r="AB2" s="2"/>
      <c r="AC2" s="7" t="s">
        <v>13</v>
      </c>
      <c r="AD2" s="3">
        <f>AD4*AA6*AD9/100*100</f>
        <v>20.566581234567899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664.17344262298616</v>
      </c>
      <c r="AR2" s="2"/>
      <c r="AS2" s="6" t="s">
        <v>12</v>
      </c>
      <c r="AT2" s="2"/>
      <c r="AU2" s="7" t="s">
        <v>13</v>
      </c>
      <c r="AV2" s="3">
        <f>AV4*AS6*AV9/100*100</f>
        <v>20.576962380246911</v>
      </c>
      <c r="AW2" s="8" t="s">
        <v>14</v>
      </c>
      <c r="AX2" s="9"/>
      <c r="AY2" s="2">
        <f>ABS(BC7-BC6)/ABS(BD7-BD6)*1000</f>
        <v>445.48344782609468</v>
      </c>
      <c r="AZ2" s="2"/>
      <c r="BA2" s="6" t="s">
        <v>15</v>
      </c>
      <c r="BB2" s="2"/>
      <c r="BC2" s="7" t="s">
        <v>13</v>
      </c>
      <c r="BD2" s="3">
        <f>BD4*BA6*BD9/100*100</f>
        <v>19.93335499506173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1.56921</v>
      </c>
      <c r="J3" s="2"/>
      <c r="K3" s="10">
        <f>INDEX(L11:L1056,MATCH(I3,K11:K1056,0))</f>
        <v>-1.7771728395061728</v>
      </c>
      <c r="L3" s="31" t="s">
        <v>16</v>
      </c>
      <c r="M3" s="11">
        <f>M9</f>
        <v>20.296785829629631</v>
      </c>
      <c r="N3" s="9"/>
      <c r="O3" s="2" t="s">
        <v>44</v>
      </c>
      <c r="P3" s="2"/>
      <c r="Q3" s="2">
        <f>INDEX(S11:S1056,MATCH(0,T11:T1056,-1))</f>
        <v>1.58142</v>
      </c>
      <c r="R3" s="2"/>
      <c r="S3" s="10">
        <f>INDEX(T11:T1056,MATCH(Q3,S11:S1056,0))</f>
        <v>1.1950839506172839</v>
      </c>
      <c r="T3" s="31" t="s">
        <v>16</v>
      </c>
      <c r="U3" s="11">
        <f>U9</f>
        <v>19.824837253086422</v>
      </c>
      <c r="X3" s="9"/>
      <c r="Y3" s="2" t="s">
        <v>44</v>
      </c>
      <c r="Z3" s="2"/>
      <c r="AA3" s="2">
        <f>INDEX(AC11:AC856,MATCH(0,AD11:AD856,1))</f>
        <v>1.5890500000000001</v>
      </c>
      <c r="AB3" s="2"/>
      <c r="AC3" s="10">
        <f>INDEX(AD11:AD1056,MATCH(AA3,AC11:AC1056,0))</f>
        <v>-0.30397037037037039</v>
      </c>
      <c r="AD3" s="31" t="s">
        <v>16</v>
      </c>
      <c r="AE3" s="11">
        <f>AE9</f>
        <v>20.566581234567899</v>
      </c>
      <c r="AF3" s="9"/>
      <c r="AG3" s="2" t="s">
        <v>44</v>
      </c>
      <c r="AH3" s="2"/>
      <c r="AI3" s="2">
        <f>INDEX(AK11:AK1056,MATCH(0,AL11:AL1056,-1))</f>
        <v>1.58081</v>
      </c>
      <c r="AJ3" s="2"/>
      <c r="AK3" s="10">
        <f>INDEX(AL11:AL1056,MATCH(AI3,AK11:AK1056,0))</f>
        <v>1.6814814814814814</v>
      </c>
      <c r="AL3" s="31" t="s">
        <v>16</v>
      </c>
      <c r="AM3" s="11">
        <f>AM9</f>
        <v>19.822203828395065</v>
      </c>
      <c r="AP3" s="9"/>
      <c r="AQ3" s="2" t="s">
        <v>44</v>
      </c>
      <c r="AR3" s="2"/>
      <c r="AS3" s="2">
        <f>INDEX(AU11:AU856,MATCH(0,AV11:AV856,1))</f>
        <v>1.5893600000000001</v>
      </c>
      <c r="AT3" s="2"/>
      <c r="AU3" s="10">
        <f>INDEX(AV11:AV1056,MATCH(AS3,AU11:AU1056,0))</f>
        <v>-1.0466395061728393</v>
      </c>
      <c r="AV3" s="31" t="s">
        <v>16</v>
      </c>
      <c r="AW3" s="11">
        <f>AW9</f>
        <v>20.576962380246911</v>
      </c>
      <c r="AX3" s="9"/>
      <c r="AY3" s="2" t="s">
        <v>44</v>
      </c>
      <c r="AZ3" s="2"/>
      <c r="BA3" s="2">
        <f>INDEX(BC11:BC1056,MATCH(0,BD11:BD1056,-1))</f>
        <v>1.5802</v>
      </c>
      <c r="BB3" s="2"/>
      <c r="BC3" s="10">
        <f>INDEX(BD11:BD1056,MATCH(BA3,BC11:BC1056,0))</f>
        <v>0.90045679012345681</v>
      </c>
      <c r="BD3" s="31" t="s">
        <v>16</v>
      </c>
      <c r="BE3" s="11">
        <f>BE9</f>
        <v>19.933354995061727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1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1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1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1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1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1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1.8782541431220745</v>
      </c>
      <c r="H4" s="2"/>
      <c r="I4" s="2">
        <f>INDEX(K11:K1000,1+MATCH(0,L11:L856,1))</f>
        <v>1.56403</v>
      </c>
      <c r="J4" s="2"/>
      <c r="K4" s="10">
        <f>INDEX(L11:L1056,MATCH(I4,K11:K1056,0))</f>
        <v>0.98070740740740747</v>
      </c>
      <c r="L4" s="30">
        <f>M3/(I6*L9)</f>
        <v>0.74930236930313865</v>
      </c>
      <c r="M4" s="8" t="s">
        <v>17</v>
      </c>
      <c r="N4" s="9"/>
      <c r="O4" s="2">
        <f>ABS(Q3-Q4)/ABS(S3-S4)*1000</f>
        <v>2.4015575076450197</v>
      </c>
      <c r="P4" s="2"/>
      <c r="Q4" s="2">
        <f>INDEX(S11:S856,1+MATCH(0,T11:T856,-1))</f>
        <v>1.5866100000000001</v>
      </c>
      <c r="R4" s="2"/>
      <c r="S4" s="10">
        <f>INDEX(T11:T856,MATCH(Q4,S11:S856,0))</f>
        <v>-0.96601358024691353</v>
      </c>
      <c r="T4" s="30">
        <f>U3/(Q6*T9)</f>
        <v>0.72468867649533986</v>
      </c>
      <c r="U4" s="8" t="s">
        <v>17</v>
      </c>
      <c r="X4" s="9"/>
      <c r="Y4" s="2">
        <f>ABS(AA3-AA4)/ABS(AC3-AC4)*1000</f>
        <v>2.4331431422887251</v>
      </c>
      <c r="Z4" s="2"/>
      <c r="AA4" s="2">
        <f>INDEX(AC11:AC1000,1+MATCH(0,AD11:AD856,1))</f>
        <v>1.5835600000000001</v>
      </c>
      <c r="AB4" s="2"/>
      <c r="AC4" s="10">
        <f>INDEX(AD11:AD1056,MATCH(AA4,AC11:AC1056,0))</f>
        <v>1.9523703703703703</v>
      </c>
      <c r="AD4" s="30">
        <f>AE3/(AA6*AD9)</f>
        <v>0.74881719986341289</v>
      </c>
      <c r="AE4" s="8" t="s">
        <v>17</v>
      </c>
      <c r="AF4" s="9"/>
      <c r="AG4" s="2">
        <f>ABS(AI3-AI4)/ABS(AK3-AK4)*1000</f>
        <v>2.3495371793481854</v>
      </c>
      <c r="AH4" s="2"/>
      <c r="AI4" s="2">
        <f>INDEX(AK11:AK856,1+MATCH(0,AL11:AL856,-1))</f>
        <v>1.5860000000000001</v>
      </c>
      <c r="AJ4" s="2"/>
      <c r="AK4" s="10">
        <f>INDEX(AL11:AL856,MATCH(AI4,AK11:AK856,0))</f>
        <v>-0.52746419753086415</v>
      </c>
      <c r="AL4" s="30" t="e">
        <f>AM3/(AI6*AL9)</f>
        <v>#DIV/0!</v>
      </c>
      <c r="AM4" s="8" t="s">
        <v>17</v>
      </c>
      <c r="AP4" s="9"/>
      <c r="AQ4" s="2">
        <f>ABS(AS3-AS4)/ABS(AU3-AU4)*1000</f>
        <v>2.2931435265922544</v>
      </c>
      <c r="AR4" s="2"/>
      <c r="AS4" s="2">
        <f>INDEX(AU11:AU1000,1+MATCH(0,AV11:AV856,1))</f>
        <v>1.58386</v>
      </c>
      <c r="AT4" s="2"/>
      <c r="AU4" s="10">
        <f>INDEX(AV11:AV1056,MATCH(AS4,AU11:AU1056,0))</f>
        <v>1.3518148148148148</v>
      </c>
      <c r="AV4" s="30">
        <f>AW3/(AS6*AV9)</f>
        <v>0.74823465848102988</v>
      </c>
      <c r="AW4" s="8" t="s">
        <v>17</v>
      </c>
      <c r="AX4" s="9"/>
      <c r="AY4" s="2">
        <f>ABS(BA3-BA4)/ABS(BC3-BC4)*1000</f>
        <v>2.4073342247581491</v>
      </c>
      <c r="AZ4" s="2"/>
      <c r="BA4" s="2">
        <f>INDEX(BC11:BC856,1+MATCH(0,BD11:BD856,-1))</f>
        <v>1.58569</v>
      </c>
      <c r="BB4" s="2"/>
      <c r="BC4" s="10">
        <f>INDEX(BD11:BD856,MATCH(BA4,BC11:BC856,0))</f>
        <v>-1.380074074074074</v>
      </c>
      <c r="BD4" s="30">
        <f>BE3/(BA6*BD9)</f>
        <v>0.72918269458953422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14.942345679012346</v>
      </c>
      <c r="N5" s="9"/>
      <c r="O5" s="2"/>
      <c r="P5" s="2"/>
      <c r="Q5" s="33" t="s">
        <v>18</v>
      </c>
      <c r="R5" s="33"/>
      <c r="S5" s="7" t="s">
        <v>19</v>
      </c>
      <c r="T5" s="6" t="s">
        <v>21</v>
      </c>
      <c r="U5" s="12">
        <f>INDEX(T11:T1056,MATCH(U9,U11:U1056,0))</f>
        <v>14.682345679012347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14.919753086419753</v>
      </c>
      <c r="AF5" s="9"/>
      <c r="AG5" s="2"/>
      <c r="AH5" s="2"/>
      <c r="AI5" s="33" t="s">
        <v>18</v>
      </c>
      <c r="AJ5" s="33"/>
      <c r="AK5" s="7" t="s">
        <v>19</v>
      </c>
      <c r="AL5" s="6" t="s">
        <v>21</v>
      </c>
      <c r="AM5" s="12">
        <f>INDEX(AL11:AL1056,MATCH(AM9,AM11:AM1056,0))</f>
        <v>14.625802469135802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14.927283950617284</v>
      </c>
      <c r="AX5" s="9"/>
      <c r="AY5" s="2"/>
      <c r="AZ5" s="2"/>
      <c r="BA5" s="33" t="s">
        <v>18</v>
      </c>
      <c r="BB5" s="33"/>
      <c r="BC5" s="7" t="s">
        <v>19</v>
      </c>
      <c r="BD5" s="6" t="s">
        <v>21</v>
      </c>
      <c r="BE5" s="12">
        <f>INDEX(BD11:BD1056,MATCH(BE9,BE11:BE1056,0))</f>
        <v>14.818024691358024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3" t="s">
        <v>18</v>
      </c>
      <c r="BT5" s="33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3" t="s">
        <v>18</v>
      </c>
      <c r="CL5" s="33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3" t="s">
        <v>18</v>
      </c>
      <c r="DD5" s="33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3" t="s">
        <v>18</v>
      </c>
      <c r="DV5" s="3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3" t="s">
        <v>18</v>
      </c>
      <c r="EN5" s="3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3" t="s">
        <v>18</v>
      </c>
      <c r="FE5" s="3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1.5658720177511536</v>
      </c>
      <c r="J6" s="30"/>
      <c r="K6" s="13">
        <f>INDEX(K11:K1056,MATCH(L6,L11:L1056,0))</f>
        <v>1.3726800000000001E-2</v>
      </c>
      <c r="L6" s="10">
        <f>INDEX(L11:L1056,MATCH(0,K11:K1056,-1))</f>
        <v>17.297037037037036</v>
      </c>
      <c r="M6" s="8" t="s">
        <v>22</v>
      </c>
      <c r="N6" s="9"/>
      <c r="O6" s="2"/>
      <c r="P6" s="2"/>
      <c r="Q6" s="32">
        <f>(Q3-Q4)/(S3-S4)*(-S4)+Q4</f>
        <v>1.584290062833871</v>
      </c>
      <c r="R6" s="32"/>
      <c r="S6" s="13">
        <f>INDEX(S11:S1056,MATCH(T6,T11:T1056,0))</f>
        <v>-1.9570899999999999E-2</v>
      </c>
      <c r="T6" s="10">
        <f>INDEX(T11:T1056,MATCH(0,S11:S1056,1))</f>
        <v>17.281975308641975</v>
      </c>
      <c r="U6" s="8" t="s">
        <v>22</v>
      </c>
      <c r="X6" s="9"/>
      <c r="Y6" s="2"/>
      <c r="Z6" s="2"/>
      <c r="AA6" s="30">
        <f>(AA3-AA4)/(AC3-AC4)*(-AC4)+AA4</f>
        <v>1.5883103965778744</v>
      </c>
      <c r="AB6" s="30"/>
      <c r="AC6" s="13">
        <f>INDEX(AC11:AC1056,MATCH(AD6,AD11:AD1056,0))</f>
        <v>3.6376999999999998E-3</v>
      </c>
      <c r="AD6" s="10">
        <f>INDEX(AD11:AD1056,MATCH(0,AC11:AC1056,-1))</f>
        <v>17.289506172839506</v>
      </c>
      <c r="AE6" s="8" t="s">
        <v>22</v>
      </c>
      <c r="AF6" s="9"/>
      <c r="AG6" s="2"/>
      <c r="AH6" s="2"/>
      <c r="AI6" s="32">
        <f>(AI3-AI4)/(AK3-AK4)*(-AK4)+AI4</f>
        <v>1.5847607032571263</v>
      </c>
      <c r="AJ6" s="32"/>
      <c r="AK6" s="13">
        <f>INDEX(AK11:AK1056,MATCH(AL6,AL11:AL1056,0))</f>
        <v>-2.9739399999999999E-2</v>
      </c>
      <c r="AL6" s="10">
        <f>INDEX(AL11:AL1056,MATCH(0,AK11:AK1056,1))</f>
        <v>17.278271604938272</v>
      </c>
      <c r="AM6" s="8" t="s">
        <v>22</v>
      </c>
      <c r="AP6" s="9"/>
      <c r="AQ6" s="2"/>
      <c r="AR6" s="2"/>
      <c r="AS6" s="30">
        <f>(AS3-AS4)/(AU3-AU4)*(-AU4)+AS4</f>
        <v>1.5869599053917443</v>
      </c>
      <c r="AT6" s="30"/>
      <c r="AU6" s="13">
        <f>INDEX(AU11:AU1056,MATCH(AV6,AV11:AV1056,0))</f>
        <v>1.37909E-2</v>
      </c>
      <c r="AV6" s="10">
        <f>INDEX(AV11:AV1056,MATCH(0,AU11:AU1056,-1))</f>
        <v>17.308395061728394</v>
      </c>
      <c r="AW6" s="8" t="s">
        <v>22</v>
      </c>
      <c r="AX6" s="9"/>
      <c r="AY6" s="2"/>
      <c r="AZ6" s="2"/>
      <c r="BA6" s="32">
        <f>(BA3-BA4)/(BC3-BC4)*(-BC4)+BA4</f>
        <v>1.5823677004487802</v>
      </c>
      <c r="BB6" s="32"/>
      <c r="BC6" s="13">
        <f>INDEX(BC11:BC1056,MATCH(BD6,BD11:BD1056,0))</f>
        <v>-4.4830299999999998E-3</v>
      </c>
      <c r="BD6" s="10">
        <f>INDEX(BD11:BD1056,MATCH(0,BC11:BC1056,1))</f>
        <v>17.285802469135803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2" t="e">
        <f>(BS3-BS4)/(BU3-BU4)*(-BU4)+BS4</f>
        <v>#N/A</v>
      </c>
      <c r="BT6" s="32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2" t="e">
        <f>(CK3-CK4)/(CM3-CM4)*(-CM4)+CK4</f>
        <v>#N/A</v>
      </c>
      <c r="CL6" s="32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2" t="e">
        <f>(DC3-DC4)/(DE3-DE4)*(-DE4)+DC4</f>
        <v>#N/A</v>
      </c>
      <c r="DD6" s="32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2" t="e">
        <f>(DU3-DU4)/(DW3-DW4)*(-DW4)+DU4</f>
        <v>#N/A</v>
      </c>
      <c r="DV6" s="3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2" t="e">
        <f>(EM3-EM4)/(EO3-EO4)*(-EO4)+EM4</f>
        <v>#N/A</v>
      </c>
      <c r="EN6" s="3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2" t="e">
        <f>(FD3-FD4)/(FF3-FF4)*(-FF4)+FD4</f>
        <v>#N/A</v>
      </c>
      <c r="FE6" s="3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4.3985000000000003E-2</v>
      </c>
      <c r="L7" s="10">
        <f>INDEX(L11:L856,1+MATCH(0,K11:K856,-1))</f>
        <v>17.293333333333333</v>
      </c>
      <c r="M7" s="12">
        <f>INDEX(K11:K1056,MATCH(M9,M11:M1056,0))</f>
        <v>1.3565100000000001</v>
      </c>
      <c r="N7" s="9"/>
      <c r="O7" s="2"/>
      <c r="P7" s="2"/>
      <c r="Q7" s="2"/>
      <c r="R7" s="2"/>
      <c r="S7" s="13">
        <f>INDEX(S11:S1056,MATCH(T7,T11:T1056,0))</f>
        <v>-2.4661300000000001E-2</v>
      </c>
      <c r="T7" s="10">
        <f>INDEX(T11:T1056,1+MATCH(0,S11:S1056,1))</f>
        <v>17.285802469135803</v>
      </c>
      <c r="U7" s="12">
        <f>INDEX(S11:S1056,MATCH(U9,U11:U1056,0))</f>
        <v>1.34918</v>
      </c>
      <c r="X7" s="9"/>
      <c r="Y7" s="2"/>
      <c r="Z7" s="2"/>
      <c r="AA7" s="2"/>
      <c r="AB7" s="2"/>
      <c r="AC7" s="13">
        <f>INDEX(AC11:AC856,MATCH(AD7,AD11:AD856,1))</f>
        <v>-1.4801E-3</v>
      </c>
      <c r="AD7" s="10">
        <f>INDEX(AD11:AD856,1+MATCH(0,AC11:AC856,-1))</f>
        <v>17.293333333333333</v>
      </c>
      <c r="AE7" s="12">
        <f>INDEX(AC11:AC1056,MATCH(AE9,AE11:AE1056,0))</f>
        <v>1.3775599999999999</v>
      </c>
      <c r="AF7" s="9"/>
      <c r="AG7" s="2"/>
      <c r="AH7" s="2"/>
      <c r="AI7" s="2"/>
      <c r="AJ7" s="2"/>
      <c r="AK7" s="13">
        <f>INDEX(AK11:AK1056,MATCH(AL7,AL11:AL1056,0))</f>
        <v>-2.9739399999999999E-2</v>
      </c>
      <c r="AL7" s="10">
        <f>INDEX(AL11:AL1056,1+MATCH(0,AK11:AK1056,1))</f>
        <v>17.278271604938272</v>
      </c>
      <c r="AM7" s="12">
        <f>INDEX(AK11:AK1056,MATCH(AM9,AM11:AM1056,0))</f>
        <v>1.3543700000000001</v>
      </c>
      <c r="AP7" s="9"/>
      <c r="AQ7" s="2"/>
      <c r="AR7" s="2"/>
      <c r="AS7" s="2"/>
      <c r="AT7" s="2"/>
      <c r="AU7" s="13">
        <f>INDEX(AU11:AU856,MATCH(AV7,AV11:AV856,1))</f>
        <v>1.8792699999999999E-2</v>
      </c>
      <c r="AV7" s="10">
        <f>INDEX(AV11:AV856,1+MATCH(0,AU11:AU856,-1))</f>
        <v>17.300864197530863</v>
      </c>
      <c r="AW7" s="12">
        <f>INDEX(AU11:AU1056,MATCH(AW9,AW11:AW1056,0))</f>
        <v>1.3769499999999999</v>
      </c>
      <c r="AX7" s="9"/>
      <c r="AY7" s="2"/>
      <c r="AZ7" s="2"/>
      <c r="BA7" s="2"/>
      <c r="BB7" s="2"/>
      <c r="BC7" s="13">
        <f>INDEX(BC11:BC1056,MATCH(BD7,BD11:BD1056,0))</f>
        <v>5.7678199999999997E-4</v>
      </c>
      <c r="BD7" s="10">
        <f>INDEX(BD11:BD1056,1+MATCH(0,BC11:BC1056,1))</f>
        <v>17.274444444444445</v>
      </c>
      <c r="BE7" s="12">
        <f>INDEX(BC11:BC1056,MATCH(BE9,BE11:BE1056,0))</f>
        <v>1.34399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2.3252379982955214</v>
      </c>
      <c r="J9" s="2"/>
      <c r="K9" s="2"/>
      <c r="L9" s="3">
        <f>(L6-L7)/(K6-K7)*(-K7)+L7</f>
        <v>17.298717242733343</v>
      </c>
      <c r="M9" s="16">
        <f>MAX(M11:M1056)</f>
        <v>20.296785829629631</v>
      </c>
      <c r="N9" s="9"/>
      <c r="O9" s="2"/>
      <c r="P9" s="2"/>
      <c r="Q9" s="2"/>
      <c r="R9" s="2"/>
      <c r="S9" s="2"/>
      <c r="T9" s="3">
        <f>(T6-T7)/(S6-S7)*(-S7)+T7</f>
        <v>17.267261145647193</v>
      </c>
      <c r="U9" s="16">
        <f>MAX(U11:U1056)</f>
        <v>19.824837253086422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17.292226494409007</v>
      </c>
      <c r="AE9" s="16">
        <f>MAX(AE11:AE1056)</f>
        <v>20.566581234567899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19.822203828395065</v>
      </c>
      <c r="AP9" s="9"/>
      <c r="AQ9" s="2"/>
      <c r="AR9" s="2"/>
      <c r="AS9" s="15">
        <f>(MAX(AV2,BD2)-MIN(AV2,BD2))/MAX(AV2,BD2)%</f>
        <v>3.1278056172324984</v>
      </c>
      <c r="AT9" s="2"/>
      <c r="AU9" s="2"/>
      <c r="AV9" s="3">
        <f>(AV6-AV7)/(AU6-AU7)*(-AU7)+AV7</f>
        <v>17.329159065699308</v>
      </c>
      <c r="AW9" s="16">
        <f>MAX(AW11:AW1056)</f>
        <v>20.576962380246911</v>
      </c>
      <c r="AX9" s="9"/>
      <c r="AY9" s="2"/>
      <c r="AZ9" s="2"/>
      <c r="BA9" s="2"/>
      <c r="BB9" s="2"/>
      <c r="BC9" s="2"/>
      <c r="BD9" s="3">
        <f>(BD6-BD7)/(BC6-BC7)*(-BC7)+BD7</f>
        <v>17.275739177173158</v>
      </c>
      <c r="BE9" s="16">
        <f>MAX(BE11:BE1056)</f>
        <v>19.933354995061727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1.5658720177511536</v>
      </c>
      <c r="B11" s="19">
        <f>IFERROR(L9,0)</f>
        <v>17.298717242733343</v>
      </c>
      <c r="C11" s="20">
        <f>IFERROR(L4,0)</f>
        <v>0.74930236930313865</v>
      </c>
      <c r="D11" s="21">
        <f>IFERROR(L2,0)</f>
        <v>20.296785829629631</v>
      </c>
      <c r="E11" s="21">
        <f>IFERROR(I9,0)</f>
        <v>2.3252379982955214</v>
      </c>
      <c r="F11" s="9"/>
      <c r="G11" s="22">
        <v>1.595</v>
      </c>
      <c r="H11" s="22">
        <v>5.0453900000000003</v>
      </c>
      <c r="I11" s="22">
        <v>2.0159900000000001E-2</v>
      </c>
      <c r="J11" s="22">
        <v>1</v>
      </c>
      <c r="K11" s="22">
        <v>1.5942400000000001</v>
      </c>
      <c r="L11">
        <f>-I11/$F$2*1000</f>
        <v>-24.888765432098765</v>
      </c>
      <c r="M11">
        <f>L11*G11</f>
        <v>-39.697580864197526</v>
      </c>
      <c r="N11" s="9"/>
      <c r="O11" s="22">
        <v>-9.49097E-2</v>
      </c>
      <c r="P11" s="22">
        <v>8.4617400000000007</v>
      </c>
      <c r="Q11" s="22">
        <v>-1.40381E-2</v>
      </c>
      <c r="R11" s="22">
        <v>1</v>
      </c>
      <c r="S11" s="22">
        <v>-9.5306399999999999E-2</v>
      </c>
      <c r="T11">
        <f>-Q11/$F$2*1000</f>
        <v>17.330987654320985</v>
      </c>
      <c r="U11">
        <f>T11*O11</f>
        <v>-1.6448788389753084</v>
      </c>
      <c r="V11" s="23"/>
      <c r="W11" s="24"/>
      <c r="X11" s="9"/>
      <c r="Y11" s="22">
        <v>1.595</v>
      </c>
      <c r="Z11" s="22">
        <v>13.5616</v>
      </c>
      <c r="AA11" s="22">
        <v>2.7594E-3</v>
      </c>
      <c r="AB11" s="22">
        <v>1</v>
      </c>
      <c r="AC11" s="22">
        <v>1.5936300000000001</v>
      </c>
      <c r="AD11">
        <f>-AA11/$F$2*1000</f>
        <v>-3.4066666666666663</v>
      </c>
      <c r="AE11">
        <f>AD11*Y11</f>
        <v>-5.4336333333333329</v>
      </c>
      <c r="AF11" s="9"/>
      <c r="AG11" s="22">
        <v>-9.49097E-2</v>
      </c>
      <c r="AH11" s="22">
        <v>16.977900000000002</v>
      </c>
      <c r="AI11" s="22">
        <v>-1.40381E-2</v>
      </c>
      <c r="AJ11" s="22">
        <v>1</v>
      </c>
      <c r="AK11" s="22">
        <v>-9.5336900000000002E-2</v>
      </c>
      <c r="AL11">
        <f>-AI11/$F$2*1000</f>
        <v>17.330987654320985</v>
      </c>
      <c r="AM11">
        <f>AL11*AG11</f>
        <v>-1.6448788389753084</v>
      </c>
      <c r="AP11" s="9"/>
      <c r="AQ11" s="22">
        <v>1.595</v>
      </c>
      <c r="AR11" s="22">
        <v>22.155799999999999</v>
      </c>
      <c r="AS11" s="22">
        <v>3.6163300000000001E-3</v>
      </c>
      <c r="AT11" s="22">
        <v>1</v>
      </c>
      <c r="AU11" s="22">
        <v>1.5942400000000001</v>
      </c>
      <c r="AV11">
        <f>-AS11/$F$2*1000</f>
        <v>-4.4646049382716049</v>
      </c>
      <c r="AW11">
        <f>AV11*AQ11</f>
        <v>-7.1210448765432099</v>
      </c>
      <c r="AX11" s="9"/>
      <c r="AY11" s="22">
        <v>-9.49097E-2</v>
      </c>
      <c r="AZ11" s="22">
        <v>25.572199999999999</v>
      </c>
      <c r="BA11" s="22">
        <v>-1.40228E-2</v>
      </c>
      <c r="BB11" s="22">
        <v>1</v>
      </c>
      <c r="BC11" s="22">
        <v>-9.5367400000000005E-2</v>
      </c>
      <c r="BD11">
        <f>-BA11/$F$2*1000</f>
        <v>17.312098765432097</v>
      </c>
      <c r="BE11">
        <f>BD11*AY11</f>
        <v>-1.6430861001975308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1.584290062833871</v>
      </c>
      <c r="B12" s="19">
        <f>IFERROR(T9,0)</f>
        <v>17.267261145647193</v>
      </c>
      <c r="C12" s="20">
        <f>IFERROR(T4,0)</f>
        <v>0.72468867649533986</v>
      </c>
      <c r="D12" s="21">
        <f>IFERROR(T2,0)</f>
        <v>19.824837253086422</v>
      </c>
      <c r="E12" s="21"/>
      <c r="F12" s="9"/>
      <c r="G12" s="22">
        <v>1.5899700000000001</v>
      </c>
      <c r="H12" s="22">
        <v>5.0554600000000001</v>
      </c>
      <c r="I12" s="22">
        <v>1.54266E-2</v>
      </c>
      <c r="J12" s="22">
        <v>2</v>
      </c>
      <c r="K12" s="22">
        <v>1.5893600000000001</v>
      </c>
      <c r="L12">
        <f t="shared" ref="L12:L75" si="0">-I12/$F$2*1000</f>
        <v>-19.045185185185186</v>
      </c>
      <c r="M12">
        <f t="shared" ref="M12:M75" si="1">L12*G12</f>
        <v>-30.281273088888891</v>
      </c>
      <c r="N12" s="9"/>
      <c r="O12" s="22">
        <v>-8.9874300000000004E-2</v>
      </c>
      <c r="P12" s="22">
        <v>8.4718099999999996</v>
      </c>
      <c r="Q12" s="22">
        <v>-1.4031999999999999E-2</v>
      </c>
      <c r="R12" s="22">
        <v>2</v>
      </c>
      <c r="S12" s="22">
        <v>-9.0362499999999998E-2</v>
      </c>
      <c r="T12">
        <f t="shared" ref="T12:T75" si="2">-Q12/$F$2*1000</f>
        <v>17.323456790123455</v>
      </c>
      <c r="U12">
        <f t="shared" ref="U12:U75" si="3">T12*O12</f>
        <v>-1.5569335525925925</v>
      </c>
      <c r="V12" s="23"/>
      <c r="W12" s="24"/>
      <c r="X12" s="9"/>
      <c r="Y12" s="22">
        <v>1.5899700000000001</v>
      </c>
      <c r="Z12" s="22">
        <v>13.5717</v>
      </c>
      <c r="AA12" s="22">
        <v>2.46216E-4</v>
      </c>
      <c r="AB12" s="22">
        <v>2</v>
      </c>
      <c r="AC12" s="22">
        <v>1.5890500000000001</v>
      </c>
      <c r="AD12">
        <f t="shared" ref="AD12:AD75" si="4">-AA12/$F$2*1000</f>
        <v>-0.30397037037037039</v>
      </c>
      <c r="AE12">
        <f t="shared" ref="AE12:AE75" si="5">AD12*Y12</f>
        <v>-0.48330376977777784</v>
      </c>
      <c r="AF12" s="9"/>
      <c r="AG12" s="22">
        <v>-8.9874300000000004E-2</v>
      </c>
      <c r="AH12" s="22">
        <v>16.988</v>
      </c>
      <c r="AI12" s="22">
        <v>-1.4041100000000001E-2</v>
      </c>
      <c r="AJ12" s="22">
        <v>2</v>
      </c>
      <c r="AK12" s="22">
        <v>-9.0331999999999996E-2</v>
      </c>
      <c r="AL12">
        <f t="shared" ref="AL12:AL75" si="6">-AI12/$F$2*1000</f>
        <v>17.334691358024692</v>
      </c>
      <c r="AM12">
        <f t="shared" ref="AM12:AM75" si="7">AL12*AG12</f>
        <v>-1.5579432515185185</v>
      </c>
      <c r="AP12" s="9"/>
      <c r="AQ12" s="22">
        <v>1.5899700000000001</v>
      </c>
      <c r="AR12" s="22">
        <v>22.165900000000001</v>
      </c>
      <c r="AS12" s="22">
        <v>8.4777799999999999E-4</v>
      </c>
      <c r="AT12" s="22">
        <v>2</v>
      </c>
      <c r="AU12" s="22">
        <v>1.5893600000000001</v>
      </c>
      <c r="AV12">
        <f t="shared" ref="AV12:AV75" si="8">-AS12/$F$2*1000</f>
        <v>-1.0466395061728393</v>
      </c>
      <c r="AW12">
        <f t="shared" ref="AW12:AW75" si="9">AV12*AQ12</f>
        <v>-1.6641254156296295</v>
      </c>
      <c r="AX12" s="9"/>
      <c r="AY12" s="22">
        <v>-8.9874300000000004E-2</v>
      </c>
      <c r="AZ12" s="22">
        <v>25.5822</v>
      </c>
      <c r="BA12" s="22">
        <v>-1.40167E-2</v>
      </c>
      <c r="BB12" s="22">
        <v>2</v>
      </c>
      <c r="BC12" s="22">
        <v>-9.0331999999999996E-2</v>
      </c>
      <c r="BD12">
        <f t="shared" ref="BD12:BD75" si="10">-BA12/$F$2*1000</f>
        <v>17.304567901234567</v>
      </c>
      <c r="BE12">
        <f t="shared" ref="BE12:BE75" si="11">BD12*AY12</f>
        <v>-1.5552359269259259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1.5883103965778744</v>
      </c>
      <c r="B13" s="19">
        <f>IFERROR(AD9,0)</f>
        <v>17.292226494409007</v>
      </c>
      <c r="C13" s="20">
        <f>IFERROR(AD4,0)</f>
        <v>0.74881719986341289</v>
      </c>
      <c r="D13" s="21">
        <f>IFERROR(AD2,0)</f>
        <v>20.566581234567899</v>
      </c>
      <c r="E13" s="21">
        <f>IFERROR(AA9,0)</f>
        <v>0</v>
      </c>
      <c r="F13" s="9"/>
      <c r="G13" s="22">
        <v>1.5849299999999999</v>
      </c>
      <c r="H13" s="22">
        <v>5.0655299999999999</v>
      </c>
      <c r="I13" s="22">
        <v>1.10901E-2</v>
      </c>
      <c r="J13" s="22">
        <v>3</v>
      </c>
      <c r="K13" s="22">
        <v>1.58386</v>
      </c>
      <c r="L13">
        <f t="shared" si="0"/>
        <v>-13.691481481481482</v>
      </c>
      <c r="M13">
        <f t="shared" si="1"/>
        <v>-21.700039744444446</v>
      </c>
      <c r="N13" s="9"/>
      <c r="O13" s="22">
        <v>-8.4838899999999995E-2</v>
      </c>
      <c r="P13" s="22">
        <v>8.4818800000000003</v>
      </c>
      <c r="Q13" s="22">
        <v>-1.4025900000000001E-2</v>
      </c>
      <c r="R13" s="22">
        <v>3</v>
      </c>
      <c r="S13" s="22">
        <v>-8.5388199999999997E-2</v>
      </c>
      <c r="T13">
        <f t="shared" si="2"/>
        <v>17.315925925925924</v>
      </c>
      <c r="U13">
        <f t="shared" si="3"/>
        <v>-1.4690641080370368</v>
      </c>
      <c r="V13" s="23"/>
      <c r="W13" s="24"/>
      <c r="X13" s="9"/>
      <c r="Y13" s="22">
        <v>1.5849299999999999</v>
      </c>
      <c r="Z13" s="22">
        <v>13.5817</v>
      </c>
      <c r="AA13" s="22">
        <v>-1.58142E-3</v>
      </c>
      <c r="AB13" s="22">
        <v>3</v>
      </c>
      <c r="AC13" s="22">
        <v>1.5835600000000001</v>
      </c>
      <c r="AD13">
        <f t="shared" si="4"/>
        <v>1.9523703703703703</v>
      </c>
      <c r="AE13">
        <f t="shared" si="5"/>
        <v>3.0943703711111108</v>
      </c>
      <c r="AF13" s="9"/>
      <c r="AG13" s="22">
        <v>-8.4838899999999995E-2</v>
      </c>
      <c r="AH13" s="22">
        <v>16.998100000000001</v>
      </c>
      <c r="AI13" s="22">
        <v>-1.40442E-2</v>
      </c>
      <c r="AJ13" s="22">
        <v>3</v>
      </c>
      <c r="AK13" s="22">
        <v>-8.52966E-2</v>
      </c>
      <c r="AL13">
        <f t="shared" si="6"/>
        <v>17.338518518518516</v>
      </c>
      <c r="AM13">
        <f t="shared" si="7"/>
        <v>-1.4709808387407404</v>
      </c>
      <c r="AP13" s="9"/>
      <c r="AQ13" s="22">
        <v>1.5849299999999999</v>
      </c>
      <c r="AR13" s="22">
        <v>22.175999999999998</v>
      </c>
      <c r="AS13" s="22">
        <v>-1.09497E-3</v>
      </c>
      <c r="AT13" s="22">
        <v>3</v>
      </c>
      <c r="AU13" s="22">
        <v>1.58386</v>
      </c>
      <c r="AV13">
        <f t="shared" si="8"/>
        <v>1.3518148148148148</v>
      </c>
      <c r="AW13">
        <f t="shared" si="9"/>
        <v>2.1425318544444445</v>
      </c>
      <c r="AX13" s="9"/>
      <c r="AY13" s="22">
        <v>-8.4838899999999995E-2</v>
      </c>
      <c r="AZ13" s="22">
        <v>25.592300000000002</v>
      </c>
      <c r="BA13" s="22">
        <v>-1.40076E-2</v>
      </c>
      <c r="BB13" s="22">
        <v>3</v>
      </c>
      <c r="BC13" s="22">
        <v>-8.52966E-2</v>
      </c>
      <c r="BD13">
        <f t="shared" si="10"/>
        <v>17.293333333333333</v>
      </c>
      <c r="BE13">
        <f t="shared" si="11"/>
        <v>-1.4671473773333332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1.5847607032571263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1.5799000000000001</v>
      </c>
      <c r="H14" s="22">
        <v>5.0756100000000002</v>
      </c>
      <c r="I14" s="22">
        <v>7.2845499999999999E-3</v>
      </c>
      <c r="J14" s="22">
        <v>4</v>
      </c>
      <c r="K14" s="22">
        <v>1.57928</v>
      </c>
      <c r="L14">
        <f t="shared" si="0"/>
        <v>-8.9932716049382702</v>
      </c>
      <c r="M14">
        <f t="shared" si="1"/>
        <v>-14.208469808641974</v>
      </c>
      <c r="N14" s="9"/>
      <c r="O14" s="22">
        <v>-7.9803499999999999E-2</v>
      </c>
      <c r="P14" s="22">
        <v>8.4919499999999992</v>
      </c>
      <c r="Q14" s="22">
        <v>-1.4025900000000001E-2</v>
      </c>
      <c r="R14" s="22">
        <v>4</v>
      </c>
      <c r="S14" s="22">
        <v>-8.0261200000000005E-2</v>
      </c>
      <c r="T14">
        <f t="shared" si="2"/>
        <v>17.315925925925924</v>
      </c>
      <c r="U14">
        <f t="shared" si="3"/>
        <v>-1.3818714946296295</v>
      </c>
      <c r="V14" s="23"/>
      <c r="W14" s="24"/>
      <c r="X14" s="9"/>
      <c r="Y14" s="22">
        <v>1.5799000000000001</v>
      </c>
      <c r="Z14" s="22">
        <v>13.591799999999999</v>
      </c>
      <c r="AA14" s="22">
        <v>-3.0596899999999999E-3</v>
      </c>
      <c r="AB14" s="22">
        <v>4</v>
      </c>
      <c r="AC14" s="22">
        <v>1.57867</v>
      </c>
      <c r="AD14">
        <f t="shared" si="4"/>
        <v>3.7773950617283947</v>
      </c>
      <c r="AE14">
        <f t="shared" si="5"/>
        <v>5.9679064580246912</v>
      </c>
      <c r="AF14" s="9"/>
      <c r="AG14" s="22">
        <v>-7.9803499999999999E-2</v>
      </c>
      <c r="AH14" s="22">
        <v>17.008199999999999</v>
      </c>
      <c r="AI14" s="22">
        <v>-1.4035000000000001E-2</v>
      </c>
      <c r="AJ14" s="22">
        <v>4</v>
      </c>
      <c r="AK14" s="22">
        <v>-8.0261200000000005E-2</v>
      </c>
      <c r="AL14">
        <f t="shared" si="6"/>
        <v>17.327160493827162</v>
      </c>
      <c r="AM14">
        <f t="shared" si="7"/>
        <v>-1.3827680524691359</v>
      </c>
      <c r="AP14" s="9"/>
      <c r="AQ14" s="22">
        <v>1.5799000000000001</v>
      </c>
      <c r="AR14" s="22">
        <v>22.186</v>
      </c>
      <c r="AS14" s="22">
        <v>-2.72186E-3</v>
      </c>
      <c r="AT14" s="22">
        <v>4</v>
      </c>
      <c r="AU14" s="22">
        <v>1.5783700000000001</v>
      </c>
      <c r="AV14">
        <f t="shared" si="8"/>
        <v>3.3603209876543207</v>
      </c>
      <c r="AW14">
        <f t="shared" si="9"/>
        <v>5.3089711283950614</v>
      </c>
      <c r="AX14" s="9"/>
      <c r="AY14" s="22">
        <v>-7.9803499999999999E-2</v>
      </c>
      <c r="AZ14" s="22">
        <v>25.602399999999999</v>
      </c>
      <c r="BA14" s="22">
        <v>-1.40137E-2</v>
      </c>
      <c r="BB14" s="22">
        <v>4</v>
      </c>
      <c r="BC14" s="22">
        <v>-8.0291699999999994E-2</v>
      </c>
      <c r="BD14">
        <f t="shared" si="10"/>
        <v>17.300864197530863</v>
      </c>
      <c r="BE14">
        <f t="shared" si="11"/>
        <v>-1.3806695159876543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1.5869599053917443</v>
      </c>
      <c r="B15" s="19">
        <f>IFERROR(AV9,0)</f>
        <v>17.329159065699308</v>
      </c>
      <c r="C15" s="20">
        <f>IFERROR(AV4,0)</f>
        <v>0.74823465848102988</v>
      </c>
      <c r="D15" s="21">
        <f>IFERROR(AV2,0)</f>
        <v>20.576962380246911</v>
      </c>
      <c r="E15" s="21">
        <f>IFERROR(AS9,0)</f>
        <v>3.1278056172324984</v>
      </c>
      <c r="F15" s="9"/>
      <c r="G15" s="22">
        <v>1.5748599999999999</v>
      </c>
      <c r="H15" s="22">
        <v>5.08568</v>
      </c>
      <c r="I15" s="22">
        <v>4.0435799999999997E-3</v>
      </c>
      <c r="J15" s="22">
        <v>5</v>
      </c>
      <c r="K15" s="22">
        <v>1.5741000000000001</v>
      </c>
      <c r="L15">
        <f t="shared" si="0"/>
        <v>-4.9920740740740737</v>
      </c>
      <c r="M15">
        <f t="shared" si="1"/>
        <v>-7.8618177762962951</v>
      </c>
      <c r="N15" s="9"/>
      <c r="O15" s="22">
        <v>-7.4768100000000004E-2</v>
      </c>
      <c r="P15" s="22">
        <v>8.5020199999999999</v>
      </c>
      <c r="Q15" s="22">
        <v>-1.4019800000000001E-2</v>
      </c>
      <c r="R15" s="22">
        <v>5</v>
      </c>
      <c r="S15" s="22">
        <v>-7.5195300000000007E-2</v>
      </c>
      <c r="T15">
        <f t="shared" si="2"/>
        <v>17.308395061728394</v>
      </c>
      <c r="U15">
        <f t="shared" si="3"/>
        <v>-1.2941158128148147</v>
      </c>
      <c r="V15" s="23"/>
      <c r="W15" s="24"/>
      <c r="X15" s="9"/>
      <c r="Y15" s="22">
        <v>1.5748599999999999</v>
      </c>
      <c r="Z15" s="22">
        <v>13.601900000000001</v>
      </c>
      <c r="AA15" s="22">
        <v>-4.0753200000000003E-3</v>
      </c>
      <c r="AB15" s="22">
        <v>5</v>
      </c>
      <c r="AC15" s="22">
        <v>1.57379</v>
      </c>
      <c r="AD15">
        <f t="shared" si="4"/>
        <v>5.0312592592592598</v>
      </c>
      <c r="AE15">
        <f t="shared" si="5"/>
        <v>7.9235289570370373</v>
      </c>
      <c r="AF15" s="9"/>
      <c r="AG15" s="22">
        <v>-7.4768100000000004E-2</v>
      </c>
      <c r="AH15" s="22">
        <v>17.0182</v>
      </c>
      <c r="AI15" s="22">
        <v>-1.4025900000000001E-2</v>
      </c>
      <c r="AJ15" s="22">
        <v>5</v>
      </c>
      <c r="AK15" s="22">
        <v>-7.5195300000000007E-2</v>
      </c>
      <c r="AL15">
        <f t="shared" si="6"/>
        <v>17.315925925925924</v>
      </c>
      <c r="AM15">
        <f t="shared" si="7"/>
        <v>-1.2946788812222221</v>
      </c>
      <c r="AP15" s="9"/>
      <c r="AQ15" s="22">
        <v>1.5748599999999999</v>
      </c>
      <c r="AR15" s="22">
        <v>22.196100000000001</v>
      </c>
      <c r="AS15" s="22">
        <v>-3.9382899999999997E-3</v>
      </c>
      <c r="AT15" s="22">
        <v>5</v>
      </c>
      <c r="AU15" s="22">
        <v>1.5741000000000001</v>
      </c>
      <c r="AV15">
        <f t="shared" si="8"/>
        <v>4.8620864197530853</v>
      </c>
      <c r="AW15">
        <f t="shared" si="9"/>
        <v>7.6571054190123435</v>
      </c>
      <c r="AX15" s="9"/>
      <c r="AY15" s="22">
        <v>-7.4768100000000004E-2</v>
      </c>
      <c r="AZ15" s="22">
        <v>25.612400000000001</v>
      </c>
      <c r="BA15" s="22">
        <v>-1.40167E-2</v>
      </c>
      <c r="BB15" s="22">
        <v>5</v>
      </c>
      <c r="BC15" s="22">
        <v>-7.5225799999999995E-2</v>
      </c>
      <c r="BD15">
        <f t="shared" si="10"/>
        <v>17.304567901234567</v>
      </c>
      <c r="BE15">
        <f t="shared" si="11"/>
        <v>-1.2938296632962962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1.5823677004487802</v>
      </c>
      <c r="B16" s="19">
        <f>IFERROR(BD9,0)</f>
        <v>17.275739177173158</v>
      </c>
      <c r="C16" s="20">
        <f>IFERROR(BD4,0)</f>
        <v>0.72918269458953422</v>
      </c>
      <c r="D16" s="21">
        <f>IFERROR(BD2,0)</f>
        <v>19.93335499506173</v>
      </c>
      <c r="E16" s="21"/>
      <c r="F16" s="9"/>
      <c r="G16" s="22">
        <v>1.56982</v>
      </c>
      <c r="H16" s="22">
        <v>5.0957499999999998</v>
      </c>
      <c r="I16" s="22">
        <v>1.43951E-3</v>
      </c>
      <c r="J16" s="22">
        <v>6</v>
      </c>
      <c r="K16" s="22">
        <v>1.56921</v>
      </c>
      <c r="L16">
        <f t="shared" si="0"/>
        <v>-1.7771728395061728</v>
      </c>
      <c r="M16">
        <f t="shared" si="1"/>
        <v>-2.7898414669135803</v>
      </c>
      <c r="N16" s="9"/>
      <c r="O16" s="22">
        <v>-6.9732699999999995E-2</v>
      </c>
      <c r="P16" s="22">
        <v>8.5121000000000002</v>
      </c>
      <c r="Q16" s="22">
        <v>-1.4019800000000001E-2</v>
      </c>
      <c r="R16" s="22">
        <v>6</v>
      </c>
      <c r="S16" s="22">
        <v>-7.0220900000000003E-2</v>
      </c>
      <c r="T16">
        <f t="shared" si="2"/>
        <v>17.308395061728394</v>
      </c>
      <c r="U16">
        <f t="shared" si="3"/>
        <v>-1.2069611203209876</v>
      </c>
      <c r="V16" s="23"/>
      <c r="W16" s="24"/>
      <c r="X16" s="9"/>
      <c r="Y16" s="22">
        <v>1.56982</v>
      </c>
      <c r="Z16" s="22">
        <v>13.612</v>
      </c>
      <c r="AA16" s="22">
        <v>-5.0323499999999997E-3</v>
      </c>
      <c r="AB16" s="22">
        <v>6</v>
      </c>
      <c r="AC16" s="22">
        <v>1.56982</v>
      </c>
      <c r="AD16">
        <f t="shared" si="4"/>
        <v>6.2127777777777773</v>
      </c>
      <c r="AE16">
        <f t="shared" si="5"/>
        <v>9.7529428111111098</v>
      </c>
      <c r="AF16" s="9"/>
      <c r="AG16" s="22">
        <v>-6.9732699999999995E-2</v>
      </c>
      <c r="AH16" s="22">
        <v>17.028300000000002</v>
      </c>
      <c r="AI16" s="22">
        <v>-1.4019800000000001E-2</v>
      </c>
      <c r="AJ16" s="22">
        <v>6</v>
      </c>
      <c r="AK16" s="22">
        <v>-7.0220900000000003E-2</v>
      </c>
      <c r="AL16">
        <f t="shared" si="6"/>
        <v>17.308395061728394</v>
      </c>
      <c r="AM16">
        <f t="shared" si="7"/>
        <v>-1.2069611203209876</v>
      </c>
      <c r="AP16" s="9"/>
      <c r="AQ16" s="22">
        <v>1.56982</v>
      </c>
      <c r="AR16" s="22">
        <v>22.206199999999999</v>
      </c>
      <c r="AS16" s="22">
        <v>-4.8379499999999997E-3</v>
      </c>
      <c r="AT16" s="22">
        <v>6</v>
      </c>
      <c r="AU16" s="22">
        <v>1.56891</v>
      </c>
      <c r="AV16">
        <f t="shared" si="8"/>
        <v>5.9727777777777771</v>
      </c>
      <c r="AW16">
        <f t="shared" si="9"/>
        <v>9.3761860111111108</v>
      </c>
      <c r="AX16" s="9"/>
      <c r="AY16" s="22">
        <v>-6.9732699999999995E-2</v>
      </c>
      <c r="AZ16" s="22">
        <v>25.622499999999999</v>
      </c>
      <c r="BA16" s="22">
        <v>-1.4019800000000001E-2</v>
      </c>
      <c r="BB16" s="22">
        <v>6</v>
      </c>
      <c r="BC16" s="22">
        <v>-7.0159899999999997E-2</v>
      </c>
      <c r="BD16">
        <f t="shared" si="10"/>
        <v>17.308395061728394</v>
      </c>
      <c r="BE16">
        <f t="shared" si="11"/>
        <v>-1.2069611203209876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1.5647899999999999</v>
      </c>
      <c r="H17" s="22">
        <v>5.1058199999999996</v>
      </c>
      <c r="I17" s="22">
        <v>-7.9437300000000002E-4</v>
      </c>
      <c r="J17" s="22">
        <v>7</v>
      </c>
      <c r="K17" s="22">
        <v>1.56403</v>
      </c>
      <c r="L17">
        <f t="shared" si="0"/>
        <v>0.98070740740740747</v>
      </c>
      <c r="M17">
        <f t="shared" si="1"/>
        <v>1.5346011440370371</v>
      </c>
      <c r="N17" s="9"/>
      <c r="O17" s="22">
        <v>-6.4697299999999999E-2</v>
      </c>
      <c r="P17" s="22">
        <v>8.5221699999999991</v>
      </c>
      <c r="Q17" s="22">
        <v>-1.40167E-2</v>
      </c>
      <c r="R17" s="22">
        <v>7</v>
      </c>
      <c r="S17" s="22">
        <v>-6.5155000000000005E-2</v>
      </c>
      <c r="T17">
        <f t="shared" si="2"/>
        <v>17.304567901234567</v>
      </c>
      <c r="U17">
        <f t="shared" si="3"/>
        <v>-1.119558820876543</v>
      </c>
      <c r="V17" s="23"/>
      <c r="W17" s="24"/>
      <c r="X17" s="9"/>
      <c r="Y17" s="22">
        <v>1.5647899999999999</v>
      </c>
      <c r="Z17" s="22">
        <v>13.622</v>
      </c>
      <c r="AA17" s="22">
        <v>-5.7586699999999996E-3</v>
      </c>
      <c r="AB17" s="22">
        <v>7</v>
      </c>
      <c r="AC17" s="22">
        <v>1.56403</v>
      </c>
      <c r="AD17">
        <f t="shared" si="4"/>
        <v>7.1094691358024686</v>
      </c>
      <c r="AE17">
        <f t="shared" si="5"/>
        <v>11.124826209012344</v>
      </c>
      <c r="AF17" s="9"/>
      <c r="AG17" s="22">
        <v>-6.4697299999999999E-2</v>
      </c>
      <c r="AH17" s="22">
        <v>17.038399999999999</v>
      </c>
      <c r="AI17" s="22">
        <v>-1.40167E-2</v>
      </c>
      <c r="AJ17" s="22">
        <v>7</v>
      </c>
      <c r="AK17" s="22">
        <v>-6.5124500000000002E-2</v>
      </c>
      <c r="AL17">
        <f t="shared" si="6"/>
        <v>17.304567901234567</v>
      </c>
      <c r="AM17">
        <f t="shared" si="7"/>
        <v>-1.119558820876543</v>
      </c>
      <c r="AP17" s="9"/>
      <c r="AQ17" s="22">
        <v>1.5647899999999999</v>
      </c>
      <c r="AR17" s="22">
        <v>22.216200000000001</v>
      </c>
      <c r="AS17" s="22">
        <v>-5.6579600000000001E-3</v>
      </c>
      <c r="AT17" s="22">
        <v>7</v>
      </c>
      <c r="AU17" s="22">
        <v>1.56372</v>
      </c>
      <c r="AV17">
        <f t="shared" si="8"/>
        <v>6.9851358024691352</v>
      </c>
      <c r="AW17">
        <f t="shared" si="9"/>
        <v>10.930270652345678</v>
      </c>
      <c r="AX17" s="9"/>
      <c r="AY17" s="22">
        <v>-6.4697299999999999E-2</v>
      </c>
      <c r="AZ17" s="22">
        <v>25.6326</v>
      </c>
      <c r="BA17" s="22">
        <v>-1.40167E-2</v>
      </c>
      <c r="BB17" s="22">
        <v>7</v>
      </c>
      <c r="BC17" s="22">
        <v>-6.5093999999999999E-2</v>
      </c>
      <c r="BD17">
        <f t="shared" si="10"/>
        <v>17.304567901234567</v>
      </c>
      <c r="BE17">
        <f t="shared" si="11"/>
        <v>-1.119558820876543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1.55975</v>
      </c>
      <c r="H18" s="22">
        <v>5.1158900000000003</v>
      </c>
      <c r="I18" s="22">
        <v>-2.3730499999999998E-3</v>
      </c>
      <c r="J18" s="22">
        <v>8</v>
      </c>
      <c r="K18" s="22">
        <v>1.55884</v>
      </c>
      <c r="L18">
        <f t="shared" si="0"/>
        <v>2.9296913580246908</v>
      </c>
      <c r="M18">
        <f t="shared" si="1"/>
        <v>4.5695860956790115</v>
      </c>
      <c r="N18" s="9"/>
      <c r="O18" s="22">
        <v>-5.9661899999999997E-2</v>
      </c>
      <c r="P18" s="22">
        <v>8.5322399999999998</v>
      </c>
      <c r="Q18" s="22">
        <v>-1.40167E-2</v>
      </c>
      <c r="R18" s="22">
        <v>8</v>
      </c>
      <c r="S18" s="22">
        <v>-6.0150099999999998E-2</v>
      </c>
      <c r="T18">
        <f t="shared" si="2"/>
        <v>17.304567901234567</v>
      </c>
      <c r="U18">
        <f t="shared" si="3"/>
        <v>-1.0324233996666665</v>
      </c>
      <c r="V18" s="23"/>
      <c r="W18" s="24"/>
      <c r="X18" s="9"/>
      <c r="Y18" s="22">
        <v>1.55975</v>
      </c>
      <c r="Z18" s="22">
        <v>13.632099999999999</v>
      </c>
      <c r="AA18" s="22">
        <v>-6.3720699999999996E-3</v>
      </c>
      <c r="AB18" s="22">
        <v>8</v>
      </c>
      <c r="AC18" s="22">
        <v>1.55945</v>
      </c>
      <c r="AD18">
        <f t="shared" si="4"/>
        <v>7.8667530864197523</v>
      </c>
      <c r="AE18">
        <f t="shared" si="5"/>
        <v>12.270168126543208</v>
      </c>
      <c r="AF18" s="9"/>
      <c r="AG18" s="22">
        <v>-5.9661899999999997E-2</v>
      </c>
      <c r="AH18" s="22">
        <v>17.048400000000001</v>
      </c>
      <c r="AI18" s="22">
        <v>-1.40106E-2</v>
      </c>
      <c r="AJ18" s="22">
        <v>8</v>
      </c>
      <c r="AK18" s="22">
        <v>-6.0180699999999997E-2</v>
      </c>
      <c r="AL18">
        <f t="shared" si="6"/>
        <v>17.297037037037036</v>
      </c>
      <c r="AM18">
        <f t="shared" si="7"/>
        <v>-1.031974094</v>
      </c>
      <c r="AP18" s="9"/>
      <c r="AQ18" s="22">
        <v>1.55975</v>
      </c>
      <c r="AR18" s="22">
        <v>22.226299999999998</v>
      </c>
      <c r="AS18" s="22">
        <v>-6.2316899999999998E-3</v>
      </c>
      <c r="AT18" s="22">
        <v>8</v>
      </c>
      <c r="AU18" s="22">
        <v>1.55823</v>
      </c>
      <c r="AV18">
        <f t="shared" si="8"/>
        <v>7.6934444444444434</v>
      </c>
      <c r="AW18">
        <f t="shared" si="9"/>
        <v>11.99984997222222</v>
      </c>
      <c r="AX18" s="9"/>
      <c r="AY18" s="22">
        <v>-5.9661899999999997E-2</v>
      </c>
      <c r="AZ18" s="22">
        <v>25.642700000000001</v>
      </c>
      <c r="BA18" s="22">
        <v>-1.40228E-2</v>
      </c>
      <c r="BB18" s="22">
        <v>8</v>
      </c>
      <c r="BC18" s="22">
        <v>-6.0150099999999998E-2</v>
      </c>
      <c r="BD18">
        <f t="shared" si="10"/>
        <v>17.312098765432097</v>
      </c>
      <c r="BE18">
        <f t="shared" si="11"/>
        <v>-1.0328727053333331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1.5547200000000001</v>
      </c>
      <c r="H19" s="22">
        <v>5.1259600000000001</v>
      </c>
      <c r="I19" s="22">
        <v>-3.58582E-3</v>
      </c>
      <c r="J19" s="22">
        <v>9</v>
      </c>
      <c r="K19" s="22">
        <v>1.5533399999999999</v>
      </c>
      <c r="L19">
        <f t="shared" si="0"/>
        <v>4.4269382716049384</v>
      </c>
      <c r="M19">
        <f t="shared" si="1"/>
        <v>6.8826494696296301</v>
      </c>
      <c r="N19" s="9"/>
      <c r="O19" s="22">
        <v>-5.4626500000000001E-2</v>
      </c>
      <c r="P19" s="22">
        <v>8.5423100000000005</v>
      </c>
      <c r="Q19" s="22">
        <v>-1.4019800000000001E-2</v>
      </c>
      <c r="R19" s="22">
        <v>9</v>
      </c>
      <c r="S19" s="22">
        <v>-5.50842E-2</v>
      </c>
      <c r="T19">
        <f t="shared" si="2"/>
        <v>17.308395061728394</v>
      </c>
      <c r="U19">
        <f t="shared" si="3"/>
        <v>-0.94549704283950609</v>
      </c>
      <c r="V19" s="23"/>
      <c r="W19" s="24"/>
      <c r="X19" s="9"/>
      <c r="Y19" s="22">
        <v>1.5547200000000001</v>
      </c>
      <c r="Z19" s="22">
        <v>13.642200000000001</v>
      </c>
      <c r="AA19" s="22">
        <v>-6.8908700000000003E-3</v>
      </c>
      <c r="AB19" s="22">
        <v>9</v>
      </c>
      <c r="AC19" s="22">
        <v>1.55365</v>
      </c>
      <c r="AD19">
        <f t="shared" si="4"/>
        <v>8.5072469135802482</v>
      </c>
      <c r="AE19">
        <f t="shared" si="5"/>
        <v>13.226386921481485</v>
      </c>
      <c r="AF19" s="9"/>
      <c r="AG19" s="22">
        <v>-5.4626500000000001E-2</v>
      </c>
      <c r="AH19" s="22">
        <v>17.058499999999999</v>
      </c>
      <c r="AI19" s="22">
        <v>-1.40045E-2</v>
      </c>
      <c r="AJ19" s="22">
        <v>9</v>
      </c>
      <c r="AK19" s="22">
        <v>-5.5023200000000001E-2</v>
      </c>
      <c r="AL19">
        <f t="shared" si="6"/>
        <v>17.289506172839506</v>
      </c>
      <c r="AM19">
        <f t="shared" si="7"/>
        <v>-0.94446520895061725</v>
      </c>
      <c r="AP19" s="9"/>
      <c r="AQ19" s="22">
        <v>1.5547200000000001</v>
      </c>
      <c r="AR19" s="22">
        <v>22.2364</v>
      </c>
      <c r="AS19" s="22">
        <v>-6.8115199999999997E-3</v>
      </c>
      <c r="AT19" s="22">
        <v>9</v>
      </c>
      <c r="AU19" s="22">
        <v>1.55457</v>
      </c>
      <c r="AV19">
        <f t="shared" si="8"/>
        <v>8.409283950617283</v>
      </c>
      <c r="AW19">
        <f t="shared" si="9"/>
        <v>13.074081943703703</v>
      </c>
      <c r="AX19" s="9"/>
      <c r="AY19" s="22">
        <v>-5.4626500000000001E-2</v>
      </c>
      <c r="AZ19" s="22">
        <v>25.652699999999999</v>
      </c>
      <c r="BA19" s="22">
        <v>-1.4019800000000001E-2</v>
      </c>
      <c r="BB19" s="22">
        <v>9</v>
      </c>
      <c r="BC19" s="22">
        <v>-5.50842E-2</v>
      </c>
      <c r="BD19">
        <f t="shared" si="10"/>
        <v>17.308395061728394</v>
      </c>
      <c r="BE19">
        <f t="shared" si="11"/>
        <v>-0.94549704283950609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1.5496799999999999</v>
      </c>
      <c r="H20" s="22">
        <v>5.1360299999999999</v>
      </c>
      <c r="I20" s="22">
        <v>-4.6212800000000002E-3</v>
      </c>
      <c r="J20" s="22">
        <v>10</v>
      </c>
      <c r="K20" s="22">
        <v>1.54877</v>
      </c>
      <c r="L20">
        <f t="shared" si="0"/>
        <v>5.7052839506172841</v>
      </c>
      <c r="M20">
        <f t="shared" si="1"/>
        <v>8.8413644325925933</v>
      </c>
      <c r="N20" s="9"/>
      <c r="O20" s="22">
        <v>-4.9591099999999999E-2</v>
      </c>
      <c r="P20" s="22">
        <v>8.5523799999999994</v>
      </c>
      <c r="Q20" s="22">
        <v>-1.40167E-2</v>
      </c>
      <c r="R20" s="22">
        <v>10</v>
      </c>
      <c r="S20" s="22">
        <v>-5.0018300000000002E-2</v>
      </c>
      <c r="T20">
        <f t="shared" si="2"/>
        <v>17.304567901234567</v>
      </c>
      <c r="U20">
        <f t="shared" si="3"/>
        <v>-0.85815255724691353</v>
      </c>
      <c r="V20" s="23"/>
      <c r="W20" s="24"/>
      <c r="X20" s="9"/>
      <c r="Y20" s="22">
        <v>1.5496799999999999</v>
      </c>
      <c r="Z20" s="22">
        <v>13.652200000000001</v>
      </c>
      <c r="AA20" s="22">
        <v>-7.3364299999999997E-3</v>
      </c>
      <c r="AB20" s="22">
        <v>10</v>
      </c>
      <c r="AC20" s="22">
        <v>1.5484599999999999</v>
      </c>
      <c r="AD20">
        <f t="shared" si="4"/>
        <v>9.0573209876543199</v>
      </c>
      <c r="AE20">
        <f t="shared" si="5"/>
        <v>14.035949188148146</v>
      </c>
      <c r="AF20" s="9"/>
      <c r="AG20" s="22">
        <v>-4.9591099999999999E-2</v>
      </c>
      <c r="AH20" s="22">
        <v>17.0686</v>
      </c>
      <c r="AI20" s="22">
        <v>-1.40076E-2</v>
      </c>
      <c r="AJ20" s="22">
        <v>10</v>
      </c>
      <c r="AK20" s="22">
        <v>-5.00793E-2</v>
      </c>
      <c r="AL20">
        <f t="shared" si="6"/>
        <v>17.293333333333333</v>
      </c>
      <c r="AM20">
        <f t="shared" si="7"/>
        <v>-0.85759542266666666</v>
      </c>
      <c r="AP20" s="9"/>
      <c r="AQ20" s="22">
        <v>1.5496799999999999</v>
      </c>
      <c r="AR20" s="22">
        <v>22.246500000000001</v>
      </c>
      <c r="AS20" s="22">
        <v>-7.2723400000000004E-3</v>
      </c>
      <c r="AT20" s="22">
        <v>10</v>
      </c>
      <c r="AU20" s="22">
        <v>1.5490699999999999</v>
      </c>
      <c r="AV20">
        <f t="shared" si="8"/>
        <v>8.9781975308641968</v>
      </c>
      <c r="AW20">
        <f t="shared" si="9"/>
        <v>13.913333149629628</v>
      </c>
      <c r="AX20" s="9"/>
      <c r="AY20" s="22">
        <v>-4.9591099999999999E-2</v>
      </c>
      <c r="AZ20" s="22">
        <v>25.662800000000001</v>
      </c>
      <c r="BA20" s="22">
        <v>-1.4019800000000001E-2</v>
      </c>
      <c r="BB20" s="22">
        <v>10</v>
      </c>
      <c r="BC20" s="22">
        <v>-5.00793E-2</v>
      </c>
      <c r="BD20">
        <f t="shared" si="10"/>
        <v>17.308395061728394</v>
      </c>
      <c r="BE20">
        <f t="shared" si="11"/>
        <v>-0.85834235034567896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1.5446500000000001</v>
      </c>
      <c r="H21" s="22">
        <v>5.1460999999999997</v>
      </c>
      <c r="I21" s="22">
        <v>-5.4046600000000004E-3</v>
      </c>
      <c r="J21" s="22">
        <v>11</v>
      </c>
      <c r="K21" s="22">
        <v>1.54358</v>
      </c>
      <c r="L21">
        <f t="shared" si="0"/>
        <v>6.6724197530864195</v>
      </c>
      <c r="M21">
        <f t="shared" si="1"/>
        <v>10.306553171604939</v>
      </c>
      <c r="N21" s="9"/>
      <c r="O21" s="22">
        <v>-4.4555699999999997E-2</v>
      </c>
      <c r="P21" s="22">
        <v>8.5624500000000001</v>
      </c>
      <c r="Q21" s="22">
        <v>-1.40167E-2</v>
      </c>
      <c r="R21" s="22">
        <v>11</v>
      </c>
      <c r="S21" s="22">
        <v>-4.4934099999999998E-2</v>
      </c>
      <c r="T21">
        <f t="shared" si="2"/>
        <v>17.304567901234567</v>
      </c>
      <c r="U21">
        <f t="shared" si="3"/>
        <v>-0.77101713603703692</v>
      </c>
      <c r="V21" s="23"/>
      <c r="W21" s="24"/>
      <c r="X21" s="9"/>
      <c r="Y21" s="22">
        <v>1.5446500000000001</v>
      </c>
      <c r="Z21" s="22">
        <v>13.6623</v>
      </c>
      <c r="AA21" s="22">
        <v>-7.7209499999999999E-3</v>
      </c>
      <c r="AB21" s="22">
        <v>11</v>
      </c>
      <c r="AC21" s="22">
        <v>1.5438799999999999</v>
      </c>
      <c r="AD21">
        <f t="shared" si="4"/>
        <v>9.5320370370370373</v>
      </c>
      <c r="AE21">
        <f t="shared" si="5"/>
        <v>14.72366100925926</v>
      </c>
      <c r="AF21" s="9"/>
      <c r="AG21" s="22">
        <v>-4.4555699999999997E-2</v>
      </c>
      <c r="AH21" s="22">
        <v>17.078700000000001</v>
      </c>
      <c r="AI21" s="22">
        <v>-1.40076E-2</v>
      </c>
      <c r="AJ21" s="22">
        <v>11</v>
      </c>
      <c r="AK21" s="22">
        <v>-4.4854699999999997E-2</v>
      </c>
      <c r="AL21">
        <f t="shared" si="6"/>
        <v>17.293333333333333</v>
      </c>
      <c r="AM21">
        <f t="shared" si="7"/>
        <v>-0.7705165719999999</v>
      </c>
      <c r="AP21" s="9"/>
      <c r="AQ21" s="22">
        <v>1.5446500000000001</v>
      </c>
      <c r="AR21" s="22">
        <v>22.256499999999999</v>
      </c>
      <c r="AS21" s="22">
        <v>-7.6721200000000002E-3</v>
      </c>
      <c r="AT21" s="22">
        <v>11</v>
      </c>
      <c r="AU21" s="22">
        <v>1.54419</v>
      </c>
      <c r="AV21">
        <f t="shared" si="8"/>
        <v>9.4717530864197528</v>
      </c>
      <c r="AW21">
        <f t="shared" si="9"/>
        <v>14.630543404938273</v>
      </c>
      <c r="AX21" s="9"/>
      <c r="AY21" s="22">
        <v>-4.4555699999999997E-2</v>
      </c>
      <c r="AZ21" s="22">
        <v>25.672899999999998</v>
      </c>
      <c r="BA21" s="22">
        <v>-1.40228E-2</v>
      </c>
      <c r="BB21" s="22">
        <v>11</v>
      </c>
      <c r="BC21" s="22">
        <v>-4.4906599999999998E-2</v>
      </c>
      <c r="BD21">
        <f t="shared" si="10"/>
        <v>17.312098765432097</v>
      </c>
      <c r="BE21">
        <f t="shared" si="11"/>
        <v>-0.77135267896296278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1.5396099999999999</v>
      </c>
      <c r="H22" s="22">
        <v>5.1561700000000004</v>
      </c>
      <c r="I22" s="22">
        <v>-6.0516399999999996E-3</v>
      </c>
      <c r="J22" s="22">
        <v>12</v>
      </c>
      <c r="K22" s="22">
        <v>1.5383899999999999</v>
      </c>
      <c r="L22">
        <f t="shared" si="0"/>
        <v>7.4711604938271599</v>
      </c>
      <c r="M22">
        <f t="shared" si="1"/>
        <v>11.502673407901232</v>
      </c>
      <c r="N22" s="9"/>
      <c r="O22" s="22">
        <v>-3.9520300000000001E-2</v>
      </c>
      <c r="P22" s="22">
        <v>8.5725200000000008</v>
      </c>
      <c r="Q22" s="22">
        <v>-1.40137E-2</v>
      </c>
      <c r="R22" s="22">
        <v>12</v>
      </c>
      <c r="S22" s="22">
        <v>-3.9816299999999999E-2</v>
      </c>
      <c r="T22">
        <f t="shared" si="2"/>
        <v>17.300864197530863</v>
      </c>
      <c r="U22">
        <f t="shared" si="3"/>
        <v>-0.68373534334567898</v>
      </c>
      <c r="V22" s="23"/>
      <c r="W22" s="24"/>
      <c r="X22" s="9"/>
      <c r="Y22" s="22">
        <v>1.5396099999999999</v>
      </c>
      <c r="Z22" s="22">
        <v>13.6724</v>
      </c>
      <c r="AA22" s="22">
        <v>-8.0963100000000007E-3</v>
      </c>
      <c r="AB22" s="22">
        <v>12</v>
      </c>
      <c r="AC22" s="22">
        <v>1.5383899999999999</v>
      </c>
      <c r="AD22">
        <f t="shared" si="4"/>
        <v>9.9954444444444448</v>
      </c>
      <c r="AE22">
        <f t="shared" si="5"/>
        <v>15.389086221111111</v>
      </c>
      <c r="AF22" s="9"/>
      <c r="AG22" s="22">
        <v>-3.9520300000000001E-2</v>
      </c>
      <c r="AH22" s="22">
        <v>17.088699999999999</v>
      </c>
      <c r="AI22" s="22">
        <v>-1.40137E-2</v>
      </c>
      <c r="AJ22" s="22">
        <v>12</v>
      </c>
      <c r="AK22" s="22">
        <v>-3.9868199999999999E-2</v>
      </c>
      <c r="AL22">
        <f t="shared" si="6"/>
        <v>17.300864197530863</v>
      </c>
      <c r="AM22">
        <f t="shared" si="7"/>
        <v>-0.68373534334567898</v>
      </c>
      <c r="AP22" s="9"/>
      <c r="AQ22" s="22">
        <v>1.5396099999999999</v>
      </c>
      <c r="AR22" s="22">
        <v>22.2666</v>
      </c>
      <c r="AS22" s="22">
        <v>-8.0413800000000007E-3</v>
      </c>
      <c r="AT22" s="22">
        <v>12</v>
      </c>
      <c r="AU22" s="22">
        <v>1.5389999999999999</v>
      </c>
      <c r="AV22">
        <f t="shared" si="8"/>
        <v>9.9276296296296298</v>
      </c>
      <c r="AW22">
        <f t="shared" si="9"/>
        <v>15.284677854074074</v>
      </c>
      <c r="AX22" s="9"/>
      <c r="AY22" s="22">
        <v>-3.9520300000000001E-2</v>
      </c>
      <c r="AZ22" s="22">
        <v>25.6829</v>
      </c>
      <c r="BA22" s="22">
        <v>-1.4019800000000001E-2</v>
      </c>
      <c r="BB22" s="22">
        <v>12</v>
      </c>
      <c r="BC22" s="22">
        <v>-3.9810199999999997E-2</v>
      </c>
      <c r="BD22">
        <f t="shared" si="10"/>
        <v>17.308395061728394</v>
      </c>
      <c r="BE22">
        <f t="shared" si="11"/>
        <v>-0.68403296535802471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1.5345800000000001</v>
      </c>
      <c r="H23" s="22">
        <v>5.1662400000000002</v>
      </c>
      <c r="I23" s="22">
        <v>-6.5856899999999999E-3</v>
      </c>
      <c r="J23" s="22">
        <v>13</v>
      </c>
      <c r="K23" s="22">
        <v>1.5335099999999999</v>
      </c>
      <c r="L23">
        <f t="shared" si="0"/>
        <v>8.1304814814814819</v>
      </c>
      <c r="M23">
        <f t="shared" si="1"/>
        <v>12.476874271851853</v>
      </c>
      <c r="N23" s="9"/>
      <c r="O23" s="22">
        <v>-3.4484899999999999E-2</v>
      </c>
      <c r="P23" s="22">
        <v>8.5825899999999997</v>
      </c>
      <c r="Q23" s="22">
        <v>-1.40167E-2</v>
      </c>
      <c r="R23" s="22">
        <v>13</v>
      </c>
      <c r="S23" s="22">
        <v>-3.4777799999999998E-2</v>
      </c>
      <c r="T23">
        <f t="shared" si="2"/>
        <v>17.304567901234567</v>
      </c>
      <c r="U23">
        <f t="shared" si="3"/>
        <v>-0.59674629361728393</v>
      </c>
      <c r="V23" s="23"/>
      <c r="W23" s="24"/>
      <c r="X23" s="9"/>
      <c r="Y23" s="22">
        <v>1.5345800000000001</v>
      </c>
      <c r="Z23" s="22">
        <v>13.682399999999999</v>
      </c>
      <c r="AA23" s="22">
        <v>-8.4075899999999995E-3</v>
      </c>
      <c r="AB23" s="22">
        <v>13</v>
      </c>
      <c r="AC23" s="22">
        <v>1.5338099999999999</v>
      </c>
      <c r="AD23">
        <f t="shared" si="4"/>
        <v>10.37974074074074</v>
      </c>
      <c r="AE23">
        <f t="shared" si="5"/>
        <v>15.928542545925925</v>
      </c>
      <c r="AF23" s="9"/>
      <c r="AG23" s="22">
        <v>-3.4484899999999999E-2</v>
      </c>
      <c r="AH23" s="22">
        <v>17.098800000000001</v>
      </c>
      <c r="AI23" s="22">
        <v>-1.40076E-2</v>
      </c>
      <c r="AJ23" s="22">
        <v>13</v>
      </c>
      <c r="AK23" s="22">
        <v>-3.4719800000000002E-2</v>
      </c>
      <c r="AL23">
        <f t="shared" si="6"/>
        <v>17.293333333333333</v>
      </c>
      <c r="AM23">
        <f t="shared" si="7"/>
        <v>-0.5963588706666666</v>
      </c>
      <c r="AP23" s="9"/>
      <c r="AQ23" s="22">
        <v>1.5345800000000001</v>
      </c>
      <c r="AR23" s="22">
        <v>22.276700000000002</v>
      </c>
      <c r="AS23" s="22">
        <v>-8.3618200000000007E-3</v>
      </c>
      <c r="AT23" s="22">
        <v>13</v>
      </c>
      <c r="AU23" s="22">
        <v>1.5328999999999999</v>
      </c>
      <c r="AV23">
        <f t="shared" si="8"/>
        <v>10.323234567901235</v>
      </c>
      <c r="AW23">
        <f t="shared" si="9"/>
        <v>15.841829303209877</v>
      </c>
      <c r="AX23" s="9"/>
      <c r="AY23" s="22">
        <v>-3.4484899999999999E-2</v>
      </c>
      <c r="AZ23" s="22">
        <v>25.693000000000001</v>
      </c>
      <c r="BA23" s="22">
        <v>-1.40228E-2</v>
      </c>
      <c r="BB23" s="22">
        <v>13</v>
      </c>
      <c r="BC23" s="22">
        <v>-3.4765600000000001E-2</v>
      </c>
      <c r="BD23">
        <f t="shared" si="10"/>
        <v>17.312098765432097</v>
      </c>
      <c r="BE23">
        <f t="shared" si="11"/>
        <v>-0.59700599471604932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1.5295399999999999</v>
      </c>
      <c r="H24" s="22">
        <v>5.1763199999999996</v>
      </c>
      <c r="I24" s="22">
        <v>-7.0892300000000002E-3</v>
      </c>
      <c r="J24" s="22">
        <v>14</v>
      </c>
      <c r="K24" s="22">
        <v>1.5286299999999999</v>
      </c>
      <c r="L24">
        <f t="shared" si="0"/>
        <v>8.7521358024691356</v>
      </c>
      <c r="M24">
        <f t="shared" si="1"/>
        <v>13.386741795308641</v>
      </c>
      <c r="N24" s="9"/>
      <c r="O24" s="22">
        <v>-2.94495E-2</v>
      </c>
      <c r="P24" s="22">
        <v>8.5926600000000004</v>
      </c>
      <c r="Q24" s="22">
        <v>-1.40137E-2</v>
      </c>
      <c r="R24" s="22">
        <v>14</v>
      </c>
      <c r="S24" s="22">
        <v>-2.9699699999999999E-2</v>
      </c>
      <c r="T24">
        <f t="shared" si="2"/>
        <v>17.300864197530863</v>
      </c>
      <c r="U24">
        <f t="shared" si="3"/>
        <v>-0.50950180018518521</v>
      </c>
      <c r="V24" s="23"/>
      <c r="W24" s="24"/>
      <c r="X24" s="9"/>
      <c r="Y24" s="22">
        <v>1.5295399999999999</v>
      </c>
      <c r="Z24" s="22">
        <v>13.692500000000001</v>
      </c>
      <c r="AA24" s="22">
        <v>-8.6853E-3</v>
      </c>
      <c r="AB24" s="22">
        <v>14</v>
      </c>
      <c r="AC24" s="22">
        <v>1.5286299999999999</v>
      </c>
      <c r="AD24">
        <f t="shared" si="4"/>
        <v>10.722592592592592</v>
      </c>
      <c r="AE24">
        <f t="shared" si="5"/>
        <v>16.400634274074072</v>
      </c>
      <c r="AF24" s="9"/>
      <c r="AG24" s="22">
        <v>-2.94495E-2</v>
      </c>
      <c r="AH24" s="22">
        <v>17.108899999999998</v>
      </c>
      <c r="AI24" s="22">
        <v>-1.39954E-2</v>
      </c>
      <c r="AJ24" s="22">
        <v>14</v>
      </c>
      <c r="AK24" s="22">
        <v>-2.9739399999999999E-2</v>
      </c>
      <c r="AL24">
        <f t="shared" si="6"/>
        <v>17.278271604938272</v>
      </c>
      <c r="AM24">
        <f t="shared" si="7"/>
        <v>-0.50883645962962964</v>
      </c>
      <c r="AP24" s="9"/>
      <c r="AQ24" s="22">
        <v>1.5295399999999999</v>
      </c>
      <c r="AR24" s="22">
        <v>22.2867</v>
      </c>
      <c r="AS24" s="22">
        <v>-8.6456299999999996E-3</v>
      </c>
      <c r="AT24" s="22">
        <v>14</v>
      </c>
      <c r="AU24" s="22">
        <v>1.5292399999999999</v>
      </c>
      <c r="AV24">
        <f t="shared" si="8"/>
        <v>10.673617283950616</v>
      </c>
      <c r="AW24">
        <f t="shared" si="9"/>
        <v>16.325724580493823</v>
      </c>
      <c r="AX24" s="9"/>
      <c r="AY24" s="22">
        <v>-2.94495E-2</v>
      </c>
      <c r="AZ24" s="22">
        <v>25.703099999999999</v>
      </c>
      <c r="BA24" s="22">
        <v>-1.4019800000000001E-2</v>
      </c>
      <c r="BB24" s="22">
        <v>14</v>
      </c>
      <c r="BC24" s="22">
        <v>-2.9718000000000001E-2</v>
      </c>
      <c r="BD24">
        <f t="shared" si="10"/>
        <v>17.308395061728394</v>
      </c>
      <c r="BE24">
        <f t="shared" si="11"/>
        <v>-0.50972358037037035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1.52451</v>
      </c>
      <c r="H25" s="22">
        <v>5.1863900000000003</v>
      </c>
      <c r="I25" s="22">
        <v>-7.4798599999999996E-3</v>
      </c>
      <c r="J25" s="22">
        <v>15</v>
      </c>
      <c r="K25" s="22">
        <v>1.5237400000000001</v>
      </c>
      <c r="L25">
        <f t="shared" si="0"/>
        <v>9.2343950617283941</v>
      </c>
      <c r="M25">
        <f t="shared" si="1"/>
        <v>14.077927615555554</v>
      </c>
      <c r="N25" s="9"/>
      <c r="O25" s="22">
        <v>-2.4414100000000001E-2</v>
      </c>
      <c r="P25" s="22">
        <v>8.6027299999999993</v>
      </c>
      <c r="Q25" s="22">
        <v>-1.40015E-2</v>
      </c>
      <c r="R25" s="22">
        <v>15</v>
      </c>
      <c r="S25" s="22">
        <v>-2.4661300000000001E-2</v>
      </c>
      <c r="T25">
        <f t="shared" si="2"/>
        <v>17.285802469135803</v>
      </c>
      <c r="U25">
        <f t="shared" si="3"/>
        <v>-0.42201731006172843</v>
      </c>
      <c r="V25" s="23"/>
      <c r="W25" s="24"/>
      <c r="X25" s="9"/>
      <c r="Y25" s="22">
        <v>1.52451</v>
      </c>
      <c r="Z25" s="22">
        <v>13.7026</v>
      </c>
      <c r="AA25" s="22">
        <v>-8.9538599999999993E-3</v>
      </c>
      <c r="AB25" s="22">
        <v>15</v>
      </c>
      <c r="AC25" s="22">
        <v>1.5234399999999999</v>
      </c>
      <c r="AD25">
        <f t="shared" si="4"/>
        <v>11.054148148148146</v>
      </c>
      <c r="AE25">
        <f t="shared" si="5"/>
        <v>16.852159393333331</v>
      </c>
      <c r="AF25" s="9"/>
      <c r="AG25" s="22">
        <v>-2.4414100000000001E-2</v>
      </c>
      <c r="AH25" s="22">
        <v>17.1189</v>
      </c>
      <c r="AI25" s="22">
        <v>-1.39893E-2</v>
      </c>
      <c r="AJ25" s="22">
        <v>15</v>
      </c>
      <c r="AK25" s="22">
        <v>-2.4700900000000001E-2</v>
      </c>
      <c r="AL25">
        <f t="shared" si="6"/>
        <v>17.270740740740738</v>
      </c>
      <c r="AM25">
        <f t="shared" si="7"/>
        <v>-0.4216495915185185</v>
      </c>
      <c r="AP25" s="9"/>
      <c r="AQ25" s="22">
        <v>1.52451</v>
      </c>
      <c r="AR25" s="22">
        <v>22.296800000000001</v>
      </c>
      <c r="AS25" s="22">
        <v>-8.9172399999999999E-3</v>
      </c>
      <c r="AT25" s="22">
        <v>15</v>
      </c>
      <c r="AU25" s="22">
        <v>1.5237400000000001</v>
      </c>
      <c r="AV25">
        <f t="shared" si="8"/>
        <v>11.008938271604938</v>
      </c>
      <c r="AW25">
        <f t="shared" si="9"/>
        <v>16.783236484444444</v>
      </c>
      <c r="AX25" s="9"/>
      <c r="AY25" s="22">
        <v>-2.4414100000000001E-2</v>
      </c>
      <c r="AZ25" s="22">
        <v>25.713200000000001</v>
      </c>
      <c r="BA25" s="22">
        <v>-1.40167E-2</v>
      </c>
      <c r="BB25" s="22">
        <v>15</v>
      </c>
      <c r="BC25" s="22">
        <v>-2.4667399999999999E-2</v>
      </c>
      <c r="BD25">
        <f t="shared" si="10"/>
        <v>17.304567901234567</v>
      </c>
      <c r="BE25">
        <f t="shared" si="11"/>
        <v>-0.42247545119753083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1.5194700000000001</v>
      </c>
      <c r="H26" s="22">
        <v>5.1964600000000001</v>
      </c>
      <c r="I26" s="22">
        <v>-7.8918500000000006E-3</v>
      </c>
      <c r="J26" s="22">
        <v>16</v>
      </c>
      <c r="K26" s="22">
        <v>1.5182500000000001</v>
      </c>
      <c r="L26">
        <f t="shared" si="0"/>
        <v>9.7430246913580234</v>
      </c>
      <c r="M26">
        <f t="shared" si="1"/>
        <v>14.804233727777778</v>
      </c>
      <c r="N26" s="9"/>
      <c r="O26" s="22">
        <v>-1.9378699999999999E-2</v>
      </c>
      <c r="P26" s="22">
        <v>8.6128099999999996</v>
      </c>
      <c r="Q26" s="22">
        <v>-1.3998399999999999E-2</v>
      </c>
      <c r="R26" s="22">
        <v>16</v>
      </c>
      <c r="S26" s="22">
        <v>-1.9570899999999999E-2</v>
      </c>
      <c r="T26">
        <f t="shared" si="2"/>
        <v>17.281975308641975</v>
      </c>
      <c r="U26">
        <f t="shared" si="3"/>
        <v>-0.33490221491358024</v>
      </c>
      <c r="V26" s="23"/>
      <c r="W26" s="24"/>
      <c r="X26" s="9"/>
      <c r="Y26" s="22">
        <v>1.5194700000000001</v>
      </c>
      <c r="Z26" s="22">
        <v>13.7127</v>
      </c>
      <c r="AA26" s="22">
        <v>-9.2071500000000008E-3</v>
      </c>
      <c r="AB26" s="22">
        <v>16</v>
      </c>
      <c r="AC26" s="22">
        <v>1.5188600000000001</v>
      </c>
      <c r="AD26">
        <f t="shared" si="4"/>
        <v>11.366851851851852</v>
      </c>
      <c r="AE26">
        <f t="shared" si="5"/>
        <v>17.271590383333333</v>
      </c>
      <c r="AF26" s="9"/>
      <c r="AG26" s="22">
        <v>-1.9378699999999999E-2</v>
      </c>
      <c r="AH26" s="22">
        <v>17.129000000000001</v>
      </c>
      <c r="AI26" s="22">
        <v>-1.3986200000000001E-2</v>
      </c>
      <c r="AJ26" s="22">
        <v>16</v>
      </c>
      <c r="AK26" s="22">
        <v>-1.9555699999999999E-2</v>
      </c>
      <c r="AL26">
        <f t="shared" si="6"/>
        <v>17.266913580246914</v>
      </c>
      <c r="AM26">
        <f t="shared" si="7"/>
        <v>-0.33461033819753083</v>
      </c>
      <c r="AP26" s="9"/>
      <c r="AQ26" s="22">
        <v>1.5194700000000001</v>
      </c>
      <c r="AR26" s="22">
        <v>22.306899999999999</v>
      </c>
      <c r="AS26" s="22">
        <v>-9.1552700000000001E-3</v>
      </c>
      <c r="AT26" s="22">
        <v>16</v>
      </c>
      <c r="AU26" s="22">
        <v>1.5185500000000001</v>
      </c>
      <c r="AV26">
        <f t="shared" si="8"/>
        <v>11.302802469135802</v>
      </c>
      <c r="AW26">
        <f t="shared" si="9"/>
        <v>17.174269267777778</v>
      </c>
      <c r="AX26" s="9"/>
      <c r="AY26" s="22">
        <v>-1.9378699999999999E-2</v>
      </c>
      <c r="AZ26" s="22">
        <v>25.723199999999999</v>
      </c>
      <c r="BA26" s="22">
        <v>-1.40137E-2</v>
      </c>
      <c r="BB26" s="22">
        <v>16</v>
      </c>
      <c r="BC26" s="22">
        <v>-1.9665499999999999E-2</v>
      </c>
      <c r="BD26">
        <f t="shared" si="10"/>
        <v>17.300864197530863</v>
      </c>
      <c r="BE26">
        <f t="shared" si="11"/>
        <v>-0.33526825702469132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1.5144299999999999</v>
      </c>
      <c r="H27" s="22">
        <v>5.2065299999999999</v>
      </c>
      <c r="I27" s="22">
        <v>-8.2366899999999996E-3</v>
      </c>
      <c r="J27" s="22">
        <v>17</v>
      </c>
      <c r="K27" s="22">
        <v>1.5136700000000001</v>
      </c>
      <c r="L27">
        <f t="shared" si="0"/>
        <v>10.168753086419752</v>
      </c>
      <c r="M27">
        <f t="shared" si="1"/>
        <v>15.399864736666665</v>
      </c>
      <c r="N27" s="9"/>
      <c r="O27" s="22">
        <v>-1.43433E-2</v>
      </c>
      <c r="P27" s="22">
        <v>8.6228800000000003</v>
      </c>
      <c r="Q27" s="22">
        <v>-1.3998399999999999E-2</v>
      </c>
      <c r="R27" s="22">
        <v>17</v>
      </c>
      <c r="S27" s="22">
        <v>-1.45813E-2</v>
      </c>
      <c r="T27">
        <f t="shared" si="2"/>
        <v>17.281975308641975</v>
      </c>
      <c r="U27">
        <f t="shared" si="3"/>
        <v>-0.24788055644444443</v>
      </c>
      <c r="X27" s="9"/>
      <c r="Y27" s="22">
        <v>1.5144299999999999</v>
      </c>
      <c r="Z27" s="22">
        <v>13.7227</v>
      </c>
      <c r="AA27" s="22">
        <v>-9.41467E-3</v>
      </c>
      <c r="AB27" s="22">
        <v>17</v>
      </c>
      <c r="AC27" s="22">
        <v>1.5136700000000001</v>
      </c>
      <c r="AD27">
        <f t="shared" si="4"/>
        <v>11.623049382716047</v>
      </c>
      <c r="AE27">
        <f t="shared" si="5"/>
        <v>17.602294676666663</v>
      </c>
      <c r="AF27" s="9"/>
      <c r="AG27" s="22">
        <v>-1.43433E-2</v>
      </c>
      <c r="AH27" s="22">
        <v>17.139099999999999</v>
      </c>
      <c r="AI27" s="22">
        <v>-1.39893E-2</v>
      </c>
      <c r="AJ27" s="22">
        <v>17</v>
      </c>
      <c r="AK27" s="22">
        <v>-1.4584400000000001E-2</v>
      </c>
      <c r="AL27">
        <f t="shared" si="6"/>
        <v>17.270740740740738</v>
      </c>
      <c r="AM27">
        <f t="shared" si="7"/>
        <v>-0.24771941566666664</v>
      </c>
      <c r="AP27" s="9"/>
      <c r="AQ27" s="22">
        <v>1.5144299999999999</v>
      </c>
      <c r="AR27" s="22">
        <v>22.3169</v>
      </c>
      <c r="AS27" s="22">
        <v>-9.3719500000000004E-3</v>
      </c>
      <c r="AT27" s="22">
        <v>17</v>
      </c>
      <c r="AU27" s="22">
        <v>1.5130600000000001</v>
      </c>
      <c r="AV27">
        <f t="shared" si="8"/>
        <v>11.570308641975307</v>
      </c>
      <c r="AW27">
        <f t="shared" si="9"/>
        <v>17.522422516666666</v>
      </c>
      <c r="AX27" s="9"/>
      <c r="AY27" s="22">
        <v>-1.43433E-2</v>
      </c>
      <c r="AZ27" s="22">
        <v>25.7333</v>
      </c>
      <c r="BA27" s="22">
        <v>-1.40076E-2</v>
      </c>
      <c r="BB27" s="22">
        <v>17</v>
      </c>
      <c r="BC27" s="22">
        <v>-1.45874E-2</v>
      </c>
      <c r="BD27">
        <f t="shared" si="10"/>
        <v>17.293333333333333</v>
      </c>
      <c r="BE27">
        <f t="shared" si="11"/>
        <v>-0.24804346799999999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1.5094000000000001</v>
      </c>
      <c r="H28" s="22">
        <v>5.2165999999999997</v>
      </c>
      <c r="I28" s="22">
        <v>-8.5266100000000004E-3</v>
      </c>
      <c r="J28" s="22">
        <v>18</v>
      </c>
      <c r="K28" s="22">
        <v>1.50848</v>
      </c>
      <c r="L28">
        <f t="shared" si="0"/>
        <v>10.52667901234568</v>
      </c>
      <c r="M28">
        <f t="shared" si="1"/>
        <v>15.888969301234569</v>
      </c>
      <c r="N28" s="9"/>
      <c r="O28" s="22">
        <v>-9.3078599999999994E-3</v>
      </c>
      <c r="P28" s="22">
        <v>8.6329499999999992</v>
      </c>
      <c r="Q28" s="22">
        <v>-1.3998399999999999E-2</v>
      </c>
      <c r="R28" s="22">
        <v>18</v>
      </c>
      <c r="S28" s="22">
        <v>-9.4451899999999991E-3</v>
      </c>
      <c r="T28">
        <f t="shared" si="2"/>
        <v>17.281975308641975</v>
      </c>
      <c r="U28">
        <f t="shared" si="3"/>
        <v>-0.16085820669629627</v>
      </c>
      <c r="X28" s="9"/>
      <c r="Y28" s="22">
        <v>1.5094000000000001</v>
      </c>
      <c r="Z28" s="22">
        <v>13.732799999999999</v>
      </c>
      <c r="AA28" s="22">
        <v>-9.6252400000000002E-3</v>
      </c>
      <c r="AB28" s="22">
        <v>18</v>
      </c>
      <c r="AC28" s="22">
        <v>1.50848</v>
      </c>
      <c r="AD28">
        <f t="shared" si="4"/>
        <v>11.883012345679012</v>
      </c>
      <c r="AE28">
        <f t="shared" si="5"/>
        <v>17.936218834567899</v>
      </c>
      <c r="AF28" s="9"/>
      <c r="AG28" s="22">
        <v>-9.3078599999999994E-3</v>
      </c>
      <c r="AH28" s="22">
        <v>17.1492</v>
      </c>
      <c r="AI28" s="22">
        <v>-1.3992299999999999E-2</v>
      </c>
      <c r="AJ28" s="22">
        <v>18</v>
      </c>
      <c r="AK28" s="22">
        <v>-9.5764200000000004E-3</v>
      </c>
      <c r="AL28">
        <f t="shared" si="6"/>
        <v>17.274444444444445</v>
      </c>
      <c r="AM28">
        <f t="shared" si="7"/>
        <v>-0.16078811046666666</v>
      </c>
      <c r="AP28" s="9"/>
      <c r="AQ28" s="22">
        <v>1.5094000000000001</v>
      </c>
      <c r="AR28" s="22">
        <v>22.327000000000002</v>
      </c>
      <c r="AS28" s="22">
        <v>-9.5794699999999997E-3</v>
      </c>
      <c r="AT28" s="22">
        <v>18</v>
      </c>
      <c r="AU28" s="22">
        <v>1.5087900000000001</v>
      </c>
      <c r="AV28">
        <f t="shared" si="8"/>
        <v>11.826506172839505</v>
      </c>
      <c r="AW28">
        <f t="shared" si="9"/>
        <v>17.850928417283949</v>
      </c>
      <c r="AX28" s="9"/>
      <c r="AY28" s="22">
        <v>-9.3078599999999994E-3</v>
      </c>
      <c r="AZ28" s="22">
        <v>25.743400000000001</v>
      </c>
      <c r="BA28" s="22">
        <v>-1.40076E-2</v>
      </c>
      <c r="BB28" s="22">
        <v>18</v>
      </c>
      <c r="BC28" s="22">
        <v>-9.5458999999999995E-3</v>
      </c>
      <c r="BD28">
        <f t="shared" si="10"/>
        <v>17.293333333333333</v>
      </c>
      <c r="BE28">
        <f t="shared" si="11"/>
        <v>-0.16096392559999997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1.5043599999999999</v>
      </c>
      <c r="H29" s="22">
        <v>5.2266700000000004</v>
      </c>
      <c r="I29" s="22">
        <v>-8.7982200000000007E-3</v>
      </c>
      <c r="J29" s="22">
        <v>19</v>
      </c>
      <c r="K29" s="22">
        <v>1.5033000000000001</v>
      </c>
      <c r="L29">
        <f t="shared" si="0"/>
        <v>10.862</v>
      </c>
      <c r="M29">
        <f t="shared" si="1"/>
        <v>16.34035832</v>
      </c>
      <c r="N29" s="9"/>
      <c r="O29" s="22">
        <v>-4.2724599999999996E-3</v>
      </c>
      <c r="P29" s="22">
        <v>8.6430199999999999</v>
      </c>
      <c r="Q29" s="22">
        <v>-1.3998399999999999E-2</v>
      </c>
      <c r="R29" s="22">
        <v>19</v>
      </c>
      <c r="S29" s="22">
        <v>-4.5837400000000002E-3</v>
      </c>
      <c r="T29">
        <f t="shared" si="2"/>
        <v>17.281975308641975</v>
      </c>
      <c r="U29">
        <f t="shared" si="3"/>
        <v>-7.3836548227160487E-2</v>
      </c>
      <c r="X29" s="9"/>
      <c r="Y29" s="22">
        <v>1.5043599999999999</v>
      </c>
      <c r="Z29" s="22">
        <v>13.742900000000001</v>
      </c>
      <c r="AA29" s="22">
        <v>-9.8052999999999994E-3</v>
      </c>
      <c r="AB29" s="22">
        <v>19</v>
      </c>
      <c r="AC29" s="22">
        <v>1.5036</v>
      </c>
      <c r="AD29">
        <f t="shared" si="4"/>
        <v>12.105308641975306</v>
      </c>
      <c r="AE29">
        <f t="shared" si="5"/>
        <v>18.21074210864197</v>
      </c>
      <c r="AF29" s="9"/>
      <c r="AG29" s="22">
        <v>-4.2724599999999996E-3</v>
      </c>
      <c r="AH29" s="22">
        <v>17.159199999999998</v>
      </c>
      <c r="AI29" s="22">
        <v>-1.39954E-2</v>
      </c>
      <c r="AJ29" s="22">
        <v>19</v>
      </c>
      <c r="AK29" s="22">
        <v>-4.4860799999999999E-3</v>
      </c>
      <c r="AL29">
        <f t="shared" si="6"/>
        <v>17.278271604938272</v>
      </c>
      <c r="AM29">
        <f t="shared" si="7"/>
        <v>-7.3820724301234569E-2</v>
      </c>
      <c r="AP29" s="9"/>
      <c r="AQ29" s="22">
        <v>1.5043599999999999</v>
      </c>
      <c r="AR29" s="22">
        <v>22.3371</v>
      </c>
      <c r="AS29" s="22">
        <v>-9.7534200000000005E-3</v>
      </c>
      <c r="AT29" s="22">
        <v>19</v>
      </c>
      <c r="AU29" s="22">
        <v>1.50299</v>
      </c>
      <c r="AV29">
        <f t="shared" si="8"/>
        <v>12.041259259259258</v>
      </c>
      <c r="AW29">
        <f t="shared" si="9"/>
        <v>18.114388779259254</v>
      </c>
      <c r="AX29" s="9"/>
      <c r="AY29" s="22">
        <v>-4.2724599999999996E-3</v>
      </c>
      <c r="AZ29" s="22">
        <v>25.753399999999999</v>
      </c>
      <c r="BA29" s="22">
        <v>-1.40015E-2</v>
      </c>
      <c r="BB29" s="22">
        <v>19</v>
      </c>
      <c r="BC29" s="22">
        <v>-4.4830299999999998E-3</v>
      </c>
      <c r="BD29">
        <f t="shared" si="10"/>
        <v>17.285802469135803</v>
      </c>
      <c r="BE29">
        <f t="shared" si="11"/>
        <v>-7.3852899617283946E-2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1.4993300000000001</v>
      </c>
      <c r="H30" s="22">
        <v>5.2367400000000002</v>
      </c>
      <c r="I30" s="22">
        <v>-9.0301500000000007E-3</v>
      </c>
      <c r="J30" s="22">
        <v>20</v>
      </c>
      <c r="K30" s="22">
        <v>1.4987200000000001</v>
      </c>
      <c r="L30">
        <f t="shared" si="0"/>
        <v>11.148333333333333</v>
      </c>
      <c r="M30">
        <f t="shared" si="1"/>
        <v>16.715030616666667</v>
      </c>
      <c r="N30" s="9"/>
      <c r="O30" s="22">
        <v>7.6293900000000002E-4</v>
      </c>
      <c r="P30" s="22">
        <v>8.6530900000000006</v>
      </c>
      <c r="Q30" s="22">
        <v>-1.40015E-2</v>
      </c>
      <c r="R30" s="22">
        <v>20</v>
      </c>
      <c r="S30" s="22">
        <v>5.7373000000000005E-4</v>
      </c>
      <c r="T30">
        <f t="shared" si="2"/>
        <v>17.285802469135803</v>
      </c>
      <c r="U30">
        <f t="shared" si="3"/>
        <v>1.318801285E-2</v>
      </c>
      <c r="X30" s="9"/>
      <c r="Y30" s="22">
        <v>1.4993300000000001</v>
      </c>
      <c r="Z30" s="22">
        <v>13.7529</v>
      </c>
      <c r="AA30" s="22">
        <v>-9.9700899999999992E-3</v>
      </c>
      <c r="AB30" s="22">
        <v>20</v>
      </c>
      <c r="AC30" s="22">
        <v>1.4987200000000001</v>
      </c>
      <c r="AD30">
        <f t="shared" si="4"/>
        <v>12.308753086419753</v>
      </c>
      <c r="AE30">
        <f t="shared" si="5"/>
        <v>18.454882765061729</v>
      </c>
      <c r="AF30" s="9"/>
      <c r="AG30" s="22">
        <v>7.6293900000000002E-4</v>
      </c>
      <c r="AH30" s="22">
        <v>17.1693</v>
      </c>
      <c r="AI30" s="22">
        <v>-1.39954E-2</v>
      </c>
      <c r="AJ30" s="22">
        <v>20</v>
      </c>
      <c r="AK30" s="22">
        <v>5.9814500000000001E-4</v>
      </c>
      <c r="AL30">
        <f t="shared" si="6"/>
        <v>17.278271604938272</v>
      </c>
      <c r="AM30">
        <f t="shared" si="7"/>
        <v>1.318226726E-2</v>
      </c>
      <c r="AP30" s="9"/>
      <c r="AQ30" s="22">
        <v>1.4993300000000001</v>
      </c>
      <c r="AR30" s="22">
        <v>22.347200000000001</v>
      </c>
      <c r="AS30" s="22">
        <v>-9.91211E-3</v>
      </c>
      <c r="AT30" s="22">
        <v>20</v>
      </c>
      <c r="AU30" s="22">
        <v>1.4987200000000001</v>
      </c>
      <c r="AV30">
        <f t="shared" si="8"/>
        <v>12.237172839506172</v>
      </c>
      <c r="AW30">
        <f t="shared" si="9"/>
        <v>18.347560353456789</v>
      </c>
      <c r="AX30" s="9"/>
      <c r="AY30" s="22">
        <v>7.6293900000000002E-4</v>
      </c>
      <c r="AZ30" s="22">
        <v>25.763500000000001</v>
      </c>
      <c r="BA30" s="22">
        <v>-1.3992299999999999E-2</v>
      </c>
      <c r="BB30" s="22">
        <v>20</v>
      </c>
      <c r="BC30" s="22">
        <v>5.7678199999999997E-4</v>
      </c>
      <c r="BD30">
        <f t="shared" si="10"/>
        <v>17.274444444444445</v>
      </c>
      <c r="BE30">
        <f t="shared" si="11"/>
        <v>1.317934737E-2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1.4942899999999999</v>
      </c>
      <c r="H31" s="22">
        <v>5.24681</v>
      </c>
      <c r="I31" s="22">
        <v>-9.2407199999999991E-3</v>
      </c>
      <c r="J31" s="22">
        <v>21</v>
      </c>
      <c r="K31" s="22">
        <v>1.4932300000000001</v>
      </c>
      <c r="L31">
        <f t="shared" si="0"/>
        <v>11.408296296296294</v>
      </c>
      <c r="M31">
        <f t="shared" si="1"/>
        <v>17.047303072592587</v>
      </c>
      <c r="N31" s="9"/>
      <c r="O31" s="22">
        <v>5.7983399999999999E-3</v>
      </c>
      <c r="P31" s="22">
        <v>8.6631599999999995</v>
      </c>
      <c r="Q31" s="22">
        <v>-1.39954E-2</v>
      </c>
      <c r="R31" s="22">
        <v>21</v>
      </c>
      <c r="S31" s="22">
        <v>5.6518599999999999E-3</v>
      </c>
      <c r="T31">
        <f t="shared" si="2"/>
        <v>17.278271604938272</v>
      </c>
      <c r="U31">
        <f t="shared" si="3"/>
        <v>0.10018529337777778</v>
      </c>
      <c r="X31" s="9"/>
      <c r="Y31" s="22">
        <v>1.4942899999999999</v>
      </c>
      <c r="Z31" s="22">
        <v>13.763</v>
      </c>
      <c r="AA31" s="22">
        <v>-1.01105E-2</v>
      </c>
      <c r="AB31" s="22">
        <v>21</v>
      </c>
      <c r="AC31" s="22">
        <v>1.49353</v>
      </c>
      <c r="AD31">
        <f t="shared" si="4"/>
        <v>12.482098765432099</v>
      </c>
      <c r="AE31">
        <f t="shared" si="5"/>
        <v>18.651875364197529</v>
      </c>
      <c r="AF31" s="9"/>
      <c r="AG31" s="22">
        <v>5.7983399999999999E-3</v>
      </c>
      <c r="AH31" s="22">
        <v>17.179400000000001</v>
      </c>
      <c r="AI31" s="22">
        <v>-1.3998399999999999E-2</v>
      </c>
      <c r="AJ31" s="22">
        <v>21</v>
      </c>
      <c r="AK31" s="22">
        <v>5.5450400000000002E-3</v>
      </c>
      <c r="AL31">
        <f t="shared" si="6"/>
        <v>17.281975308641975</v>
      </c>
      <c r="AM31">
        <f t="shared" si="7"/>
        <v>0.1002067687111111</v>
      </c>
      <c r="AP31" s="9"/>
      <c r="AQ31" s="22">
        <v>1.4942899999999999</v>
      </c>
      <c r="AR31" s="22">
        <v>22.357199999999999</v>
      </c>
      <c r="AS31" s="22">
        <v>-1.0086100000000001E-2</v>
      </c>
      <c r="AT31" s="22">
        <v>21</v>
      </c>
      <c r="AU31" s="22">
        <v>1.49353</v>
      </c>
      <c r="AV31">
        <f t="shared" si="8"/>
        <v>12.451975308641975</v>
      </c>
      <c r="AW31">
        <f t="shared" si="9"/>
        <v>18.606862183950614</v>
      </c>
      <c r="AX31" s="9"/>
      <c r="AY31" s="22">
        <v>5.7983399999999999E-3</v>
      </c>
      <c r="AZ31" s="22">
        <v>25.773599999999998</v>
      </c>
      <c r="BA31" s="22">
        <v>-1.3992299999999999E-2</v>
      </c>
      <c r="BB31" s="22">
        <v>21</v>
      </c>
      <c r="BC31" s="22">
        <v>5.6487999999999998E-3</v>
      </c>
      <c r="BD31">
        <f t="shared" si="10"/>
        <v>17.274444444444445</v>
      </c>
      <c r="BE31">
        <f t="shared" si="11"/>
        <v>0.10016310220000001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1.48926</v>
      </c>
      <c r="H32" s="22">
        <v>5.2568799999999998</v>
      </c>
      <c r="I32" s="22">
        <v>-9.4665500000000007E-3</v>
      </c>
      <c r="J32" s="22">
        <v>22</v>
      </c>
      <c r="K32" s="22">
        <v>1.48773</v>
      </c>
      <c r="L32">
        <f t="shared" si="0"/>
        <v>11.687098765432099</v>
      </c>
      <c r="M32">
        <f t="shared" si="1"/>
        <v>17.405128707407407</v>
      </c>
      <c r="N32" s="9"/>
      <c r="O32" s="22">
        <v>1.08337E-2</v>
      </c>
      <c r="P32" s="22">
        <v>8.6732300000000002</v>
      </c>
      <c r="Q32" s="22">
        <v>-1.39954E-2</v>
      </c>
      <c r="R32" s="22">
        <v>22</v>
      </c>
      <c r="S32" s="22">
        <v>1.0675E-2</v>
      </c>
      <c r="T32">
        <f t="shared" si="2"/>
        <v>17.278271604938272</v>
      </c>
      <c r="U32">
        <f t="shared" si="3"/>
        <v>0.18718761108641976</v>
      </c>
      <c r="X32" s="9"/>
      <c r="Y32" s="22">
        <v>1.48926</v>
      </c>
      <c r="Z32" s="22">
        <v>13.773099999999999</v>
      </c>
      <c r="AA32" s="22">
        <v>-1.02661E-2</v>
      </c>
      <c r="AB32" s="22">
        <v>22</v>
      </c>
      <c r="AC32" s="22">
        <v>1.48834</v>
      </c>
      <c r="AD32">
        <f t="shared" si="4"/>
        <v>12.674197530864197</v>
      </c>
      <c r="AE32">
        <f t="shared" si="5"/>
        <v>18.875175414814812</v>
      </c>
      <c r="AF32" s="9"/>
      <c r="AG32" s="22">
        <v>1.08337E-2</v>
      </c>
      <c r="AH32" s="22">
        <v>17.189399999999999</v>
      </c>
      <c r="AI32" s="22">
        <v>-1.40045E-2</v>
      </c>
      <c r="AJ32" s="22">
        <v>22</v>
      </c>
      <c r="AK32" s="22">
        <v>1.0644499999999999E-2</v>
      </c>
      <c r="AL32">
        <f t="shared" si="6"/>
        <v>17.289506172839506</v>
      </c>
      <c r="AM32">
        <f t="shared" si="7"/>
        <v>0.18730932302469136</v>
      </c>
      <c r="AP32" s="9"/>
      <c r="AQ32" s="22">
        <v>1.48926</v>
      </c>
      <c r="AR32" s="22">
        <v>22.3673</v>
      </c>
      <c r="AS32" s="22">
        <v>-1.02264E-2</v>
      </c>
      <c r="AT32" s="22">
        <v>22</v>
      </c>
      <c r="AU32" s="22">
        <v>1.48834</v>
      </c>
      <c r="AV32">
        <f t="shared" si="8"/>
        <v>12.625185185185185</v>
      </c>
      <c r="AW32">
        <f t="shared" si="9"/>
        <v>18.802183288888887</v>
      </c>
      <c r="AX32" s="9"/>
      <c r="AY32" s="22">
        <v>1.08337E-2</v>
      </c>
      <c r="AZ32" s="22">
        <v>25.7837</v>
      </c>
      <c r="BA32" s="22">
        <v>-1.39893E-2</v>
      </c>
      <c r="BB32" s="22">
        <v>22</v>
      </c>
      <c r="BC32" s="22">
        <v>1.0659800000000001E-2</v>
      </c>
      <c r="BD32">
        <f t="shared" si="10"/>
        <v>17.270740740740738</v>
      </c>
      <c r="BE32">
        <f t="shared" si="11"/>
        <v>0.18710602396296294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1.4842200000000001</v>
      </c>
      <c r="H33" s="22">
        <v>5.2669499999999996</v>
      </c>
      <c r="I33" s="22">
        <v>-9.6557599999999993E-3</v>
      </c>
      <c r="J33" s="22">
        <v>23</v>
      </c>
      <c r="K33" s="22">
        <v>1.48376</v>
      </c>
      <c r="L33">
        <f t="shared" si="0"/>
        <v>11.92069135802469</v>
      </c>
      <c r="M33">
        <f t="shared" si="1"/>
        <v>17.692928527407407</v>
      </c>
      <c r="N33" s="9"/>
      <c r="O33" s="22">
        <v>1.5869100000000001E-2</v>
      </c>
      <c r="P33" s="22">
        <v>8.6832999999999991</v>
      </c>
      <c r="Q33" s="22">
        <v>-1.3998399999999999E-2</v>
      </c>
      <c r="R33" s="22">
        <v>23</v>
      </c>
      <c r="S33" s="22">
        <v>1.5698199999999999E-2</v>
      </c>
      <c r="T33">
        <f t="shared" si="2"/>
        <v>17.281975308641975</v>
      </c>
      <c r="U33">
        <f t="shared" si="3"/>
        <v>0.27424939437037038</v>
      </c>
      <c r="X33" s="9"/>
      <c r="Y33" s="22">
        <v>1.4842200000000001</v>
      </c>
      <c r="Z33" s="22">
        <v>13.783200000000001</v>
      </c>
      <c r="AA33" s="22">
        <v>-1.0412599999999999E-2</v>
      </c>
      <c r="AB33" s="22">
        <v>23</v>
      </c>
      <c r="AC33" s="22">
        <v>1.48315</v>
      </c>
      <c r="AD33">
        <f t="shared" si="4"/>
        <v>12.855061728395061</v>
      </c>
      <c r="AE33">
        <f t="shared" si="5"/>
        <v>19.079739718518518</v>
      </c>
      <c r="AF33" s="9"/>
      <c r="AG33" s="22">
        <v>1.5869100000000001E-2</v>
      </c>
      <c r="AH33" s="22">
        <v>17.1995</v>
      </c>
      <c r="AI33" s="22">
        <v>-1.40015E-2</v>
      </c>
      <c r="AJ33" s="22">
        <v>23</v>
      </c>
      <c r="AK33" s="22">
        <v>1.5710399999999999E-2</v>
      </c>
      <c r="AL33">
        <f t="shared" si="6"/>
        <v>17.285802469135803</v>
      </c>
      <c r="AM33">
        <f t="shared" si="7"/>
        <v>0.27431012796296295</v>
      </c>
      <c r="AP33" s="9"/>
      <c r="AQ33" s="22">
        <v>1.4842200000000001</v>
      </c>
      <c r="AR33" s="22">
        <v>22.377400000000002</v>
      </c>
      <c r="AS33" s="22">
        <v>-1.0357699999999999E-2</v>
      </c>
      <c r="AT33" s="22">
        <v>23</v>
      </c>
      <c r="AU33" s="22">
        <v>1.48376</v>
      </c>
      <c r="AV33">
        <f t="shared" si="8"/>
        <v>12.787283950617283</v>
      </c>
      <c r="AW33">
        <f t="shared" si="9"/>
        <v>18.979142585185183</v>
      </c>
      <c r="AX33" s="9"/>
      <c r="AY33" s="22">
        <v>1.5869100000000001E-2</v>
      </c>
      <c r="AZ33" s="22">
        <v>25.793700000000001</v>
      </c>
      <c r="BA33" s="22">
        <v>-1.3986200000000001E-2</v>
      </c>
      <c r="BB33" s="22">
        <v>23</v>
      </c>
      <c r="BC33" s="22">
        <v>1.5737899999999999E-2</v>
      </c>
      <c r="BD33">
        <f t="shared" si="10"/>
        <v>17.266913580246914</v>
      </c>
      <c r="BE33">
        <f t="shared" si="11"/>
        <v>0.27401037829629632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1.47919</v>
      </c>
      <c r="H34" s="22">
        <v>5.2770299999999999</v>
      </c>
      <c r="I34" s="22">
        <v>-9.8297100000000002E-3</v>
      </c>
      <c r="J34" s="22">
        <v>24</v>
      </c>
      <c r="K34" s="22">
        <v>1.47827</v>
      </c>
      <c r="L34">
        <f t="shared" si="0"/>
        <v>12.135444444444444</v>
      </c>
      <c r="M34">
        <f t="shared" si="1"/>
        <v>17.950628067777778</v>
      </c>
      <c r="N34" s="9"/>
      <c r="O34" s="22">
        <v>2.0904499999999999E-2</v>
      </c>
      <c r="P34" s="22">
        <v>8.6933699999999998</v>
      </c>
      <c r="Q34" s="22">
        <v>-1.39954E-2</v>
      </c>
      <c r="R34" s="22">
        <v>24</v>
      </c>
      <c r="S34" s="22">
        <v>2.0782499999999999E-2</v>
      </c>
      <c r="T34">
        <f t="shared" si="2"/>
        <v>17.278271604938272</v>
      </c>
      <c r="U34">
        <f t="shared" si="3"/>
        <v>0.3611936287654321</v>
      </c>
      <c r="X34" s="9"/>
      <c r="Y34" s="22">
        <v>1.47919</v>
      </c>
      <c r="Z34" s="22">
        <v>13.793200000000001</v>
      </c>
      <c r="AA34" s="22">
        <v>-1.0549899999999999E-2</v>
      </c>
      <c r="AB34" s="22">
        <v>24</v>
      </c>
      <c r="AC34" s="22">
        <v>1.47827</v>
      </c>
      <c r="AD34">
        <f t="shared" si="4"/>
        <v>13.024567901234567</v>
      </c>
      <c r="AE34">
        <f t="shared" si="5"/>
        <v>19.265810593827158</v>
      </c>
      <c r="AF34" s="9"/>
      <c r="AG34" s="22">
        <v>2.0904499999999999E-2</v>
      </c>
      <c r="AH34" s="22">
        <v>17.209599999999998</v>
      </c>
      <c r="AI34" s="22">
        <v>-1.3998399999999999E-2</v>
      </c>
      <c r="AJ34" s="22">
        <v>24</v>
      </c>
      <c r="AK34" s="22">
        <v>2.0761100000000001E-2</v>
      </c>
      <c r="AL34">
        <f t="shared" si="6"/>
        <v>17.281975308641975</v>
      </c>
      <c r="AM34">
        <f t="shared" si="7"/>
        <v>0.36127105283950617</v>
      </c>
      <c r="AP34" s="9"/>
      <c r="AQ34" s="22">
        <v>1.47919</v>
      </c>
      <c r="AR34" s="22">
        <v>22.3874</v>
      </c>
      <c r="AS34" s="22">
        <v>-1.0501099999999999E-2</v>
      </c>
      <c r="AT34" s="22">
        <v>24</v>
      </c>
      <c r="AU34" s="22">
        <v>1.47797</v>
      </c>
      <c r="AV34">
        <f t="shared" si="8"/>
        <v>12.96432098765432</v>
      </c>
      <c r="AW34">
        <f t="shared" si="9"/>
        <v>19.176693961728393</v>
      </c>
      <c r="AX34" s="9"/>
      <c r="AY34" s="22">
        <v>2.0904499999999999E-2</v>
      </c>
      <c r="AZ34" s="22">
        <v>25.803799999999999</v>
      </c>
      <c r="BA34" s="22">
        <v>-1.3986200000000001E-2</v>
      </c>
      <c r="BB34" s="22">
        <v>24</v>
      </c>
      <c r="BC34" s="22">
        <v>2.0770299999999998E-2</v>
      </c>
      <c r="BD34">
        <f t="shared" si="10"/>
        <v>17.266913580246914</v>
      </c>
      <c r="BE34">
        <f t="shared" si="11"/>
        <v>0.36095619493827164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1.4741500000000001</v>
      </c>
      <c r="H35" s="22">
        <v>5.2870999999999997</v>
      </c>
      <c r="I35" s="22">
        <v>-9.9945099999999999E-3</v>
      </c>
      <c r="J35" s="22">
        <v>25</v>
      </c>
      <c r="K35" s="22">
        <v>1.47339</v>
      </c>
      <c r="L35">
        <f t="shared" si="0"/>
        <v>12.338901234567901</v>
      </c>
      <c r="M35">
        <f t="shared" si="1"/>
        <v>18.189391254938272</v>
      </c>
      <c r="N35" s="9"/>
      <c r="O35" s="22">
        <v>2.5939899999999998E-2</v>
      </c>
      <c r="P35" s="22">
        <v>8.7034400000000005</v>
      </c>
      <c r="Q35" s="22">
        <v>-1.40045E-2</v>
      </c>
      <c r="R35" s="22">
        <v>25</v>
      </c>
      <c r="S35" s="22">
        <v>2.5778200000000001E-2</v>
      </c>
      <c r="T35">
        <f t="shared" si="2"/>
        <v>17.289506172839506</v>
      </c>
      <c r="U35">
        <f t="shared" si="3"/>
        <v>0.44848806117283946</v>
      </c>
      <c r="X35" s="9"/>
      <c r="Y35" s="22">
        <v>1.4741500000000001</v>
      </c>
      <c r="Z35" s="22">
        <v>13.8033</v>
      </c>
      <c r="AA35" s="22">
        <v>-1.0678099999999999E-2</v>
      </c>
      <c r="AB35" s="22">
        <v>25</v>
      </c>
      <c r="AC35" s="22">
        <v>1.47339</v>
      </c>
      <c r="AD35">
        <f t="shared" si="4"/>
        <v>13.182839506172838</v>
      </c>
      <c r="AE35">
        <f t="shared" si="5"/>
        <v>19.433482858024689</v>
      </c>
      <c r="AF35" s="9"/>
      <c r="AG35" s="22">
        <v>2.5939899999999998E-2</v>
      </c>
      <c r="AH35" s="22">
        <v>17.2197</v>
      </c>
      <c r="AI35" s="22">
        <v>-1.3992299999999999E-2</v>
      </c>
      <c r="AJ35" s="22">
        <v>25</v>
      </c>
      <c r="AK35" s="22">
        <v>2.5833100000000001E-2</v>
      </c>
      <c r="AL35">
        <f t="shared" si="6"/>
        <v>17.274444444444445</v>
      </c>
      <c r="AM35">
        <f t="shared" si="7"/>
        <v>0.4480973614444444</v>
      </c>
      <c r="AP35" s="9"/>
      <c r="AQ35" s="22">
        <v>1.4741500000000001</v>
      </c>
      <c r="AR35" s="22">
        <v>22.397500000000001</v>
      </c>
      <c r="AS35" s="22">
        <v>-1.06201E-2</v>
      </c>
      <c r="AT35" s="22">
        <v>25</v>
      </c>
      <c r="AU35" s="22">
        <v>1.4736899999999999</v>
      </c>
      <c r="AV35">
        <f t="shared" si="8"/>
        <v>13.111234567901235</v>
      </c>
      <c r="AW35">
        <f t="shared" si="9"/>
        <v>19.327926438271607</v>
      </c>
      <c r="AX35" s="9"/>
      <c r="AY35" s="22">
        <v>2.5939899999999998E-2</v>
      </c>
      <c r="AZ35" s="22">
        <v>25.8139</v>
      </c>
      <c r="BA35" s="22">
        <v>-1.3983199999999999E-2</v>
      </c>
      <c r="BB35" s="22">
        <v>25</v>
      </c>
      <c r="BC35" s="22">
        <v>2.5830100000000002E-2</v>
      </c>
      <c r="BD35">
        <f t="shared" si="10"/>
        <v>17.263209876543208</v>
      </c>
      <c r="BE35">
        <f t="shared" si="11"/>
        <v>0.4478059378765431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1.46912</v>
      </c>
      <c r="H36" s="22">
        <v>5.2971700000000004</v>
      </c>
      <c r="I36" s="22">
        <v>-1.01563E-2</v>
      </c>
      <c r="J36" s="22">
        <v>26</v>
      </c>
      <c r="K36" s="22">
        <v>1.4681999999999999</v>
      </c>
      <c r="L36">
        <f t="shared" si="0"/>
        <v>12.538641975308641</v>
      </c>
      <c r="M36">
        <f t="shared" si="1"/>
        <v>18.420769698765429</v>
      </c>
      <c r="N36" s="9"/>
      <c r="O36" s="22">
        <v>3.0975300000000001E-2</v>
      </c>
      <c r="P36" s="22">
        <v>8.7135200000000008</v>
      </c>
      <c r="Q36" s="22">
        <v>-1.40015E-2</v>
      </c>
      <c r="R36" s="22">
        <v>26</v>
      </c>
      <c r="S36" s="22">
        <v>3.08411E-2</v>
      </c>
      <c r="T36">
        <f t="shared" si="2"/>
        <v>17.285802469135803</v>
      </c>
      <c r="U36">
        <f t="shared" si="3"/>
        <v>0.53543291722222219</v>
      </c>
      <c r="X36" s="9"/>
      <c r="Y36" s="22">
        <v>1.46912</v>
      </c>
      <c r="Z36" s="22">
        <v>13.8134</v>
      </c>
      <c r="AA36" s="22">
        <v>-1.0791E-2</v>
      </c>
      <c r="AB36" s="22">
        <v>26</v>
      </c>
      <c r="AC36" s="22">
        <v>1.4688099999999999</v>
      </c>
      <c r="AD36">
        <f t="shared" si="4"/>
        <v>13.322222222222221</v>
      </c>
      <c r="AE36">
        <f t="shared" si="5"/>
        <v>19.571943111111111</v>
      </c>
      <c r="AF36" s="9"/>
      <c r="AG36" s="22">
        <v>3.0975300000000001E-2</v>
      </c>
      <c r="AH36" s="22">
        <v>17.229700000000001</v>
      </c>
      <c r="AI36" s="22">
        <v>-1.3992299999999999E-2</v>
      </c>
      <c r="AJ36" s="22">
        <v>26</v>
      </c>
      <c r="AK36" s="22">
        <v>3.08563E-2</v>
      </c>
      <c r="AL36">
        <f t="shared" si="6"/>
        <v>17.274444444444445</v>
      </c>
      <c r="AM36">
        <f t="shared" si="7"/>
        <v>0.535081099</v>
      </c>
      <c r="AP36" s="9"/>
      <c r="AQ36" s="22">
        <v>1.46912</v>
      </c>
      <c r="AR36" s="22">
        <v>22.407599999999999</v>
      </c>
      <c r="AS36" s="22">
        <v>-1.07239E-2</v>
      </c>
      <c r="AT36" s="22">
        <v>26</v>
      </c>
      <c r="AU36" s="22">
        <v>1.4679</v>
      </c>
      <c r="AV36">
        <f t="shared" si="8"/>
        <v>13.239382716049382</v>
      </c>
      <c r="AW36">
        <f t="shared" si="9"/>
        <v>19.450241935802467</v>
      </c>
      <c r="AX36" s="9"/>
      <c r="AY36" s="22">
        <v>3.0975300000000001E-2</v>
      </c>
      <c r="AZ36" s="22">
        <v>25.823899999999998</v>
      </c>
      <c r="BA36" s="22">
        <v>-1.3977099999999999E-2</v>
      </c>
      <c r="BB36" s="22">
        <v>26</v>
      </c>
      <c r="BC36" s="22">
        <v>3.0953999999999999E-2</v>
      </c>
      <c r="BD36">
        <f t="shared" si="10"/>
        <v>17.255679012345677</v>
      </c>
      <c r="BE36">
        <f t="shared" si="11"/>
        <v>0.53449983411111102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1.46408</v>
      </c>
      <c r="H37" s="22">
        <v>5.3072400000000002</v>
      </c>
      <c r="I37" s="22">
        <v>-1.02997E-2</v>
      </c>
      <c r="J37" s="22">
        <v>27</v>
      </c>
      <c r="K37" s="22">
        <v>1.4636199999999999</v>
      </c>
      <c r="L37">
        <f t="shared" si="0"/>
        <v>12.715679012345678</v>
      </c>
      <c r="M37">
        <f t="shared" si="1"/>
        <v>18.61677132839506</v>
      </c>
      <c r="N37" s="9"/>
      <c r="O37" s="22">
        <v>3.60107E-2</v>
      </c>
      <c r="P37" s="22">
        <v>8.7235899999999997</v>
      </c>
      <c r="Q37" s="22">
        <v>-1.3992299999999999E-2</v>
      </c>
      <c r="R37" s="22">
        <v>27</v>
      </c>
      <c r="S37" s="22">
        <v>3.6001600000000002E-2</v>
      </c>
      <c r="T37">
        <f t="shared" si="2"/>
        <v>17.274444444444445</v>
      </c>
      <c r="U37">
        <f t="shared" si="3"/>
        <v>0.62206483655555556</v>
      </c>
      <c r="X37" s="9"/>
      <c r="Y37" s="22">
        <v>1.46408</v>
      </c>
      <c r="Z37" s="22">
        <v>13.823399999999999</v>
      </c>
      <c r="AA37" s="22">
        <v>-1.0897799999999999E-2</v>
      </c>
      <c r="AB37" s="22">
        <v>27</v>
      </c>
      <c r="AC37" s="22">
        <v>1.4636199999999999</v>
      </c>
      <c r="AD37">
        <f t="shared" si="4"/>
        <v>13.454074074074072</v>
      </c>
      <c r="AE37">
        <f t="shared" si="5"/>
        <v>19.697840770370366</v>
      </c>
      <c r="AF37" s="9"/>
      <c r="AG37" s="22">
        <v>3.60107E-2</v>
      </c>
      <c r="AH37" s="22">
        <v>17.239799999999999</v>
      </c>
      <c r="AI37" s="22">
        <v>-1.39954E-2</v>
      </c>
      <c r="AJ37" s="22">
        <v>27</v>
      </c>
      <c r="AK37" s="22">
        <v>3.5888700000000003E-2</v>
      </c>
      <c r="AL37">
        <f t="shared" si="6"/>
        <v>17.278271604938272</v>
      </c>
      <c r="AM37">
        <f t="shared" si="7"/>
        <v>0.62220265528395058</v>
      </c>
      <c r="AP37" s="9"/>
      <c r="AQ37" s="22">
        <v>1.46408</v>
      </c>
      <c r="AR37" s="22">
        <v>22.4177</v>
      </c>
      <c r="AS37" s="22">
        <v>-1.08307E-2</v>
      </c>
      <c r="AT37" s="22">
        <v>27</v>
      </c>
      <c r="AU37" s="22">
        <v>1.4630099999999999</v>
      </c>
      <c r="AV37">
        <f t="shared" si="8"/>
        <v>13.371234567901235</v>
      </c>
      <c r="AW37">
        <f t="shared" si="9"/>
        <v>19.576557106172839</v>
      </c>
      <c r="AX37" s="9"/>
      <c r="AY37" s="22">
        <v>3.60107E-2</v>
      </c>
      <c r="AZ37" s="22">
        <v>25.834</v>
      </c>
      <c r="BA37" s="22">
        <v>-1.39709E-2</v>
      </c>
      <c r="BB37" s="22">
        <v>27</v>
      </c>
      <c r="BC37" s="22">
        <v>3.5903900000000002E-2</v>
      </c>
      <c r="BD37">
        <f t="shared" si="10"/>
        <v>17.248024691358022</v>
      </c>
      <c r="BE37">
        <f t="shared" si="11"/>
        <v>0.62111344275308633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1.45905</v>
      </c>
      <c r="H38" s="22">
        <v>5.31731</v>
      </c>
      <c r="I38" s="22">
        <v>-1.0437E-2</v>
      </c>
      <c r="J38" s="22">
        <v>28</v>
      </c>
      <c r="K38" s="22">
        <v>1.4581299999999999</v>
      </c>
      <c r="L38">
        <f t="shared" si="0"/>
        <v>12.885185185185184</v>
      </c>
      <c r="M38">
        <f t="shared" si="1"/>
        <v>18.800129444444444</v>
      </c>
      <c r="N38" s="9"/>
      <c r="O38" s="22">
        <v>4.1046100000000002E-2</v>
      </c>
      <c r="P38" s="22">
        <v>8.7336600000000004</v>
      </c>
      <c r="Q38" s="22">
        <v>-1.3983199999999999E-2</v>
      </c>
      <c r="R38" s="22">
        <v>28</v>
      </c>
      <c r="S38" s="22">
        <v>4.09821E-2</v>
      </c>
      <c r="T38">
        <f t="shared" si="2"/>
        <v>17.263209876543208</v>
      </c>
      <c r="U38">
        <f t="shared" si="3"/>
        <v>0.70858743891358023</v>
      </c>
      <c r="X38" s="9"/>
      <c r="Y38" s="22">
        <v>1.45905</v>
      </c>
      <c r="Z38" s="22">
        <v>13.833500000000001</v>
      </c>
      <c r="AA38" s="22">
        <v>-1.09955E-2</v>
      </c>
      <c r="AB38" s="22">
        <v>28</v>
      </c>
      <c r="AC38" s="22">
        <v>1.45844</v>
      </c>
      <c r="AD38">
        <f t="shared" si="4"/>
        <v>13.574691358024692</v>
      </c>
      <c r="AE38">
        <f t="shared" si="5"/>
        <v>19.806153425925928</v>
      </c>
      <c r="AF38" s="9"/>
      <c r="AG38" s="22">
        <v>4.1046100000000002E-2</v>
      </c>
      <c r="AH38" s="22">
        <v>17.2499</v>
      </c>
      <c r="AI38" s="22">
        <v>-1.3998399999999999E-2</v>
      </c>
      <c r="AJ38" s="22">
        <v>28</v>
      </c>
      <c r="AK38" s="22">
        <v>4.10248E-2</v>
      </c>
      <c r="AL38">
        <f t="shared" si="6"/>
        <v>17.281975308641975</v>
      </c>
      <c r="AM38">
        <f t="shared" si="7"/>
        <v>0.70935768671604937</v>
      </c>
      <c r="AP38" s="9"/>
      <c r="AQ38" s="22">
        <v>1.45905</v>
      </c>
      <c r="AR38" s="22">
        <v>22.427700000000002</v>
      </c>
      <c r="AS38" s="22">
        <v>-1.0931400000000001E-2</v>
      </c>
      <c r="AT38" s="22">
        <v>28</v>
      </c>
      <c r="AU38" s="22">
        <v>1.45844</v>
      </c>
      <c r="AV38">
        <f t="shared" si="8"/>
        <v>13.495555555555557</v>
      </c>
      <c r="AW38">
        <f t="shared" si="9"/>
        <v>19.690690333333336</v>
      </c>
      <c r="AX38" s="9"/>
      <c r="AY38" s="22">
        <v>4.1046100000000002E-2</v>
      </c>
      <c r="AZ38" s="22">
        <v>25.844100000000001</v>
      </c>
      <c r="BA38" s="22">
        <v>-1.39679E-2</v>
      </c>
      <c r="BB38" s="22">
        <v>28</v>
      </c>
      <c r="BC38" s="22">
        <v>4.0975999999999999E-2</v>
      </c>
      <c r="BD38">
        <f t="shared" si="10"/>
        <v>17.244320987654319</v>
      </c>
      <c r="BE38">
        <f t="shared" si="11"/>
        <v>0.70781212369135804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1.45401</v>
      </c>
      <c r="H39" s="22">
        <v>5.3273799999999998</v>
      </c>
      <c r="I39" s="22">
        <v>-1.05804E-2</v>
      </c>
      <c r="J39" s="22">
        <v>29</v>
      </c>
      <c r="K39" s="22">
        <v>1.4532499999999999</v>
      </c>
      <c r="L39">
        <f t="shared" si="0"/>
        <v>13.062222222222221</v>
      </c>
      <c r="M39">
        <f t="shared" si="1"/>
        <v>18.992601733333331</v>
      </c>
      <c r="N39" s="9"/>
      <c r="O39" s="22">
        <v>4.6081499999999997E-2</v>
      </c>
      <c r="P39" s="22">
        <v>8.7437299999999993</v>
      </c>
      <c r="Q39" s="22">
        <v>-1.3974E-2</v>
      </c>
      <c r="R39" s="22">
        <v>29</v>
      </c>
      <c r="S39" s="22">
        <v>4.60022E-2</v>
      </c>
      <c r="T39">
        <f t="shared" si="2"/>
        <v>17.251851851851853</v>
      </c>
      <c r="U39">
        <f t="shared" si="3"/>
        <v>0.79499121111111115</v>
      </c>
      <c r="X39" s="9"/>
      <c r="Y39" s="22">
        <v>1.45401</v>
      </c>
      <c r="Z39" s="22">
        <v>13.8436</v>
      </c>
      <c r="AA39" s="22">
        <v>-1.1084E-2</v>
      </c>
      <c r="AB39" s="22">
        <v>29</v>
      </c>
      <c r="AC39" s="22">
        <v>1.4535499999999999</v>
      </c>
      <c r="AD39">
        <f t="shared" si="4"/>
        <v>13.68395061728395</v>
      </c>
      <c r="AE39">
        <f t="shared" si="5"/>
        <v>19.896601037037037</v>
      </c>
      <c r="AF39" s="9"/>
      <c r="AG39" s="22">
        <v>4.6081499999999997E-2</v>
      </c>
      <c r="AH39" s="22">
        <v>17.259899999999998</v>
      </c>
      <c r="AI39" s="22">
        <v>-1.40015E-2</v>
      </c>
      <c r="AJ39" s="22">
        <v>29</v>
      </c>
      <c r="AK39" s="22">
        <v>4.6081499999999997E-2</v>
      </c>
      <c r="AL39">
        <f t="shared" si="6"/>
        <v>17.285802469135803</v>
      </c>
      <c r="AM39">
        <f t="shared" si="7"/>
        <v>0.79655570648148144</v>
      </c>
      <c r="AP39" s="9"/>
      <c r="AQ39" s="22">
        <v>1.45401</v>
      </c>
      <c r="AR39" s="22">
        <v>22.437799999999999</v>
      </c>
      <c r="AS39" s="22">
        <v>-1.10291E-2</v>
      </c>
      <c r="AT39" s="22">
        <v>29</v>
      </c>
      <c r="AU39" s="22">
        <v>1.4526399999999999</v>
      </c>
      <c r="AV39">
        <f t="shared" si="8"/>
        <v>13.616172839506172</v>
      </c>
      <c r="AW39">
        <f t="shared" si="9"/>
        <v>19.798051470370368</v>
      </c>
      <c r="AX39" s="9"/>
      <c r="AY39" s="22">
        <v>4.6081499999999997E-2</v>
      </c>
      <c r="AZ39" s="22">
        <v>25.854099999999999</v>
      </c>
      <c r="BA39" s="22">
        <v>-1.3964799999999999E-2</v>
      </c>
      <c r="BB39" s="22">
        <v>29</v>
      </c>
      <c r="BC39" s="22">
        <v>4.5996099999999998E-2</v>
      </c>
      <c r="BD39">
        <f t="shared" si="10"/>
        <v>17.240493827160492</v>
      </c>
      <c r="BE39">
        <f t="shared" si="11"/>
        <v>0.79446781629629615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1.4489700000000001</v>
      </c>
      <c r="H40" s="22">
        <v>5.3374499999999996</v>
      </c>
      <c r="I40" s="22">
        <v>-1.07025E-2</v>
      </c>
      <c r="J40" s="22">
        <v>30</v>
      </c>
      <c r="K40" s="22">
        <v>1.4480599999999999</v>
      </c>
      <c r="L40">
        <f t="shared" si="0"/>
        <v>13.212962962962964</v>
      </c>
      <c r="M40">
        <f t="shared" si="1"/>
        <v>19.145186944444447</v>
      </c>
      <c r="N40" s="9"/>
      <c r="O40" s="22">
        <v>5.11169E-2</v>
      </c>
      <c r="P40" s="22">
        <v>8.7538</v>
      </c>
      <c r="Q40" s="22">
        <v>-1.39679E-2</v>
      </c>
      <c r="R40" s="22">
        <v>30</v>
      </c>
      <c r="S40" s="22">
        <v>5.0628699999999999E-2</v>
      </c>
      <c r="T40">
        <f t="shared" si="2"/>
        <v>17.244320987654319</v>
      </c>
      <c r="U40">
        <f t="shared" si="3"/>
        <v>0.88147623149382703</v>
      </c>
      <c r="X40" s="9"/>
      <c r="Y40" s="22">
        <v>1.4489700000000001</v>
      </c>
      <c r="Z40" s="22">
        <v>13.8537</v>
      </c>
      <c r="AA40" s="22">
        <v>-1.1169399999999999E-2</v>
      </c>
      <c r="AB40" s="22">
        <v>30</v>
      </c>
      <c r="AC40" s="22">
        <v>1.4480599999999999</v>
      </c>
      <c r="AD40">
        <f t="shared" si="4"/>
        <v>13.789382716049381</v>
      </c>
      <c r="AE40">
        <f t="shared" si="5"/>
        <v>19.980401874074072</v>
      </c>
      <c r="AF40" s="9"/>
      <c r="AG40" s="22">
        <v>5.11169E-2</v>
      </c>
      <c r="AH40" s="22">
        <v>17.27</v>
      </c>
      <c r="AI40" s="22">
        <v>-1.40045E-2</v>
      </c>
      <c r="AJ40" s="22">
        <v>30</v>
      </c>
      <c r="AK40" s="22">
        <v>5.1016199999999998E-2</v>
      </c>
      <c r="AL40">
        <f t="shared" si="6"/>
        <v>17.289506172839506</v>
      </c>
      <c r="AM40">
        <f t="shared" si="7"/>
        <v>0.88378595808641969</v>
      </c>
      <c r="AP40" s="9"/>
      <c r="AQ40" s="22">
        <v>1.4489700000000001</v>
      </c>
      <c r="AR40" s="22">
        <v>22.447900000000001</v>
      </c>
      <c r="AS40" s="22">
        <v>-1.11328E-2</v>
      </c>
      <c r="AT40" s="22">
        <v>30</v>
      </c>
      <c r="AU40" s="22">
        <v>1.4483600000000001</v>
      </c>
      <c r="AV40">
        <f t="shared" si="8"/>
        <v>13.744197530864197</v>
      </c>
      <c r="AW40">
        <f t="shared" si="9"/>
        <v>19.914929896296297</v>
      </c>
      <c r="AX40" s="9"/>
      <c r="AY40" s="22">
        <v>5.11169E-2</v>
      </c>
      <c r="AZ40" s="22">
        <v>25.8642</v>
      </c>
      <c r="BA40" s="22">
        <v>-1.3964799999999999E-2</v>
      </c>
      <c r="BB40" s="22">
        <v>30</v>
      </c>
      <c r="BC40" s="22">
        <v>5.1025399999999999E-2</v>
      </c>
      <c r="BD40">
        <f t="shared" si="10"/>
        <v>17.240493827160492</v>
      </c>
      <c r="BE40">
        <f t="shared" si="11"/>
        <v>0.88128059891358013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1.44394</v>
      </c>
      <c r="H41" s="22">
        <v>5.3475200000000003</v>
      </c>
      <c r="I41" s="22">
        <v>-1.0809300000000001E-2</v>
      </c>
      <c r="J41" s="22">
        <v>31</v>
      </c>
      <c r="K41" s="22">
        <v>1.4428700000000001</v>
      </c>
      <c r="L41">
        <f t="shared" si="0"/>
        <v>13.344814814814814</v>
      </c>
      <c r="M41">
        <f t="shared" si="1"/>
        <v>19.269111903703703</v>
      </c>
      <c r="N41" s="9"/>
      <c r="O41" s="22">
        <v>5.6152300000000002E-2</v>
      </c>
      <c r="P41" s="22">
        <v>8.7638700000000007</v>
      </c>
      <c r="Q41" s="22">
        <v>-1.39618E-2</v>
      </c>
      <c r="R41" s="22">
        <v>31</v>
      </c>
      <c r="S41" s="22">
        <v>5.5694599999999997E-2</v>
      </c>
      <c r="T41">
        <f t="shared" si="2"/>
        <v>17.236790123456789</v>
      </c>
      <c r="U41">
        <f t="shared" si="3"/>
        <v>0.96788541004938267</v>
      </c>
      <c r="X41" s="9"/>
      <c r="Y41" s="22">
        <v>1.44394</v>
      </c>
      <c r="Z41" s="22">
        <v>13.8637</v>
      </c>
      <c r="AA41" s="22">
        <v>-1.12579E-2</v>
      </c>
      <c r="AB41" s="22">
        <v>31</v>
      </c>
      <c r="AC41" s="22">
        <v>1.4431799999999999</v>
      </c>
      <c r="AD41">
        <f t="shared" si="4"/>
        <v>13.898641975308641</v>
      </c>
      <c r="AE41">
        <f t="shared" si="5"/>
        <v>20.068805093827159</v>
      </c>
      <c r="AF41" s="9"/>
      <c r="AG41" s="22">
        <v>5.6152300000000002E-2</v>
      </c>
      <c r="AH41" s="22">
        <v>17.280100000000001</v>
      </c>
      <c r="AI41" s="22">
        <v>-1.40015E-2</v>
      </c>
      <c r="AJ41" s="22">
        <v>31</v>
      </c>
      <c r="AK41" s="22">
        <v>5.5664100000000001E-2</v>
      </c>
      <c r="AL41">
        <f t="shared" si="6"/>
        <v>17.285802469135803</v>
      </c>
      <c r="AM41">
        <f t="shared" si="7"/>
        <v>0.97063756598765438</v>
      </c>
      <c r="AP41" s="9"/>
      <c r="AQ41" s="22">
        <v>1.44394</v>
      </c>
      <c r="AR41" s="22">
        <v>22.457899999999999</v>
      </c>
      <c r="AS41" s="22">
        <v>-1.12335E-2</v>
      </c>
      <c r="AT41" s="22">
        <v>31</v>
      </c>
      <c r="AU41" s="22">
        <v>1.4431799999999999</v>
      </c>
      <c r="AV41">
        <f t="shared" si="8"/>
        <v>13.868518518518519</v>
      </c>
      <c r="AW41">
        <f t="shared" si="9"/>
        <v>20.025308629629631</v>
      </c>
      <c r="AX41" s="9"/>
      <c r="AY41" s="22">
        <v>5.6152300000000002E-2</v>
      </c>
      <c r="AZ41" s="22">
        <v>25.874300000000002</v>
      </c>
      <c r="BA41" s="22">
        <v>-1.3958699999999999E-2</v>
      </c>
      <c r="BB41" s="22">
        <v>31</v>
      </c>
      <c r="BC41" s="22">
        <v>5.5542000000000001E-2</v>
      </c>
      <c r="BD41">
        <f t="shared" si="10"/>
        <v>17.232962962962961</v>
      </c>
      <c r="BE41">
        <f t="shared" si="11"/>
        <v>0.96767050618518513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1.4389000000000001</v>
      </c>
      <c r="H42" s="22">
        <v>5.3575900000000001</v>
      </c>
      <c r="I42" s="22">
        <v>-1.09222E-2</v>
      </c>
      <c r="J42" s="22">
        <v>32</v>
      </c>
      <c r="K42" s="22">
        <v>1.4379900000000001</v>
      </c>
      <c r="L42">
        <f t="shared" si="0"/>
        <v>13.484197530864197</v>
      </c>
      <c r="M42">
        <f t="shared" si="1"/>
        <v>19.402411827160496</v>
      </c>
      <c r="N42" s="9"/>
      <c r="O42" s="22">
        <v>6.1187699999999998E-2</v>
      </c>
      <c r="P42" s="22">
        <v>8.7739399999999996</v>
      </c>
      <c r="Q42" s="22">
        <v>-1.39557E-2</v>
      </c>
      <c r="R42" s="22">
        <v>32</v>
      </c>
      <c r="S42" s="22">
        <v>6.0699500000000003E-2</v>
      </c>
      <c r="T42">
        <f t="shared" si="2"/>
        <v>17.229259259259258</v>
      </c>
      <c r="U42">
        <f t="shared" si="3"/>
        <v>1.0542187467777777</v>
      </c>
      <c r="X42" s="9"/>
      <c r="Y42" s="22">
        <v>1.4389000000000001</v>
      </c>
      <c r="Z42" s="22">
        <v>13.873799999999999</v>
      </c>
      <c r="AA42" s="22">
        <v>-1.1340299999999999E-2</v>
      </c>
      <c r="AB42" s="22">
        <v>32</v>
      </c>
      <c r="AC42" s="22">
        <v>1.4379900000000001</v>
      </c>
      <c r="AD42">
        <f t="shared" si="4"/>
        <v>14.000370370370367</v>
      </c>
      <c r="AE42">
        <f t="shared" si="5"/>
        <v>20.145132925925921</v>
      </c>
      <c r="AF42" s="9"/>
      <c r="AG42" s="22">
        <v>6.1187699999999998E-2</v>
      </c>
      <c r="AH42" s="22">
        <v>17.290099999999999</v>
      </c>
      <c r="AI42" s="22">
        <v>-1.40015E-2</v>
      </c>
      <c r="AJ42" s="22">
        <v>32</v>
      </c>
      <c r="AK42" s="22">
        <v>6.0607899999999999E-2</v>
      </c>
      <c r="AL42">
        <f t="shared" si="6"/>
        <v>17.285802469135803</v>
      </c>
      <c r="AM42">
        <f t="shared" si="7"/>
        <v>1.0576784957407408</v>
      </c>
      <c r="AP42" s="9"/>
      <c r="AQ42" s="22">
        <v>1.4389000000000001</v>
      </c>
      <c r="AR42" s="22">
        <v>22.468</v>
      </c>
      <c r="AS42" s="22">
        <v>-1.1328100000000001E-2</v>
      </c>
      <c r="AT42" s="22">
        <v>32</v>
      </c>
      <c r="AU42" s="22">
        <v>1.4376800000000001</v>
      </c>
      <c r="AV42">
        <f t="shared" si="8"/>
        <v>13.985308641975308</v>
      </c>
      <c r="AW42">
        <f t="shared" si="9"/>
        <v>20.123460604938273</v>
      </c>
      <c r="AX42" s="9"/>
      <c r="AY42" s="22">
        <v>6.1187699999999998E-2</v>
      </c>
      <c r="AZ42" s="22">
        <v>25.884399999999999</v>
      </c>
      <c r="BA42" s="22">
        <v>-1.3958699999999999E-2</v>
      </c>
      <c r="BB42" s="22">
        <v>32</v>
      </c>
      <c r="BC42" s="22">
        <v>6.0760500000000002E-2</v>
      </c>
      <c r="BD42">
        <f t="shared" si="10"/>
        <v>17.232962962962961</v>
      </c>
      <c r="BE42">
        <f t="shared" si="11"/>
        <v>1.0544453678888888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1.43387</v>
      </c>
      <c r="H43" s="22">
        <v>5.3676599999999999</v>
      </c>
      <c r="I43" s="22">
        <v>-1.10413E-2</v>
      </c>
      <c r="J43" s="22">
        <v>33</v>
      </c>
      <c r="K43" s="22">
        <v>1.4334100000000001</v>
      </c>
      <c r="L43">
        <f t="shared" si="0"/>
        <v>13.631234567901235</v>
      </c>
      <c r="M43">
        <f t="shared" si="1"/>
        <v>19.545418309876542</v>
      </c>
      <c r="N43" s="9"/>
      <c r="O43" s="22">
        <v>6.6223099999999993E-2</v>
      </c>
      <c r="P43" s="22">
        <v>8.7840100000000003</v>
      </c>
      <c r="Q43" s="22">
        <v>-1.3952600000000001E-2</v>
      </c>
      <c r="R43" s="22">
        <v>33</v>
      </c>
      <c r="S43" s="22">
        <v>6.5612799999999999E-2</v>
      </c>
      <c r="T43">
        <f t="shared" si="2"/>
        <v>17.225432098765431</v>
      </c>
      <c r="U43">
        <f t="shared" si="3"/>
        <v>1.1407215124197529</v>
      </c>
      <c r="X43" s="9"/>
      <c r="Y43" s="22">
        <v>1.43387</v>
      </c>
      <c r="Z43" s="22">
        <v>13.883900000000001</v>
      </c>
      <c r="AA43" s="22">
        <v>-1.1413599999999999E-2</v>
      </c>
      <c r="AB43" s="22">
        <v>33</v>
      </c>
      <c r="AC43" s="22">
        <v>1.4331100000000001</v>
      </c>
      <c r="AD43">
        <f t="shared" si="4"/>
        <v>14.090864197530863</v>
      </c>
      <c r="AE43">
        <f t="shared" si="5"/>
        <v>20.204467446913579</v>
      </c>
      <c r="AF43" s="9"/>
      <c r="AG43" s="22">
        <v>6.6223099999999993E-2</v>
      </c>
      <c r="AH43" s="22">
        <v>17.3002</v>
      </c>
      <c r="AI43" s="22">
        <v>-1.39954E-2</v>
      </c>
      <c r="AJ43" s="22">
        <v>33</v>
      </c>
      <c r="AK43" s="22">
        <v>6.5734899999999999E-2</v>
      </c>
      <c r="AL43">
        <f t="shared" si="6"/>
        <v>17.278271604938272</v>
      </c>
      <c r="AM43">
        <f t="shared" si="7"/>
        <v>1.1442207083209877</v>
      </c>
      <c r="AP43" s="9"/>
      <c r="AQ43" s="22">
        <v>1.43387</v>
      </c>
      <c r="AR43" s="22">
        <v>22.478100000000001</v>
      </c>
      <c r="AS43" s="22">
        <v>-1.1395300000000001E-2</v>
      </c>
      <c r="AT43" s="22">
        <v>33</v>
      </c>
      <c r="AU43" s="22">
        <v>1.4328000000000001</v>
      </c>
      <c r="AV43">
        <f t="shared" si="8"/>
        <v>14.068271604938271</v>
      </c>
      <c r="AW43">
        <f t="shared" si="9"/>
        <v>20.17207260617284</v>
      </c>
      <c r="AX43" s="9"/>
      <c r="AY43" s="22">
        <v>6.6223099999999993E-2</v>
      </c>
      <c r="AZ43" s="22">
        <v>25.894400000000001</v>
      </c>
      <c r="BA43" s="22">
        <v>-1.39618E-2</v>
      </c>
      <c r="BB43" s="22">
        <v>33</v>
      </c>
      <c r="BC43" s="22">
        <v>6.5765400000000002E-2</v>
      </c>
      <c r="BD43">
        <f t="shared" si="10"/>
        <v>17.236790123456789</v>
      </c>
      <c r="BE43">
        <f t="shared" si="11"/>
        <v>1.1414736760246911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1.42883</v>
      </c>
      <c r="H44" s="22">
        <v>5.3777400000000002</v>
      </c>
      <c r="I44" s="22">
        <v>-1.1151100000000001E-2</v>
      </c>
      <c r="J44" s="22">
        <v>34</v>
      </c>
      <c r="K44" s="22">
        <v>1.42761</v>
      </c>
      <c r="L44">
        <f t="shared" si="0"/>
        <v>13.76679012345679</v>
      </c>
      <c r="M44">
        <f t="shared" si="1"/>
        <v>19.670402732098765</v>
      </c>
      <c r="N44" s="9"/>
      <c r="O44" s="22">
        <v>7.1258500000000002E-2</v>
      </c>
      <c r="P44" s="22">
        <v>8.7940799999999992</v>
      </c>
      <c r="Q44" s="22">
        <v>-1.3952600000000001E-2</v>
      </c>
      <c r="R44" s="22">
        <v>34</v>
      </c>
      <c r="S44" s="22">
        <v>7.0678699999999997E-2</v>
      </c>
      <c r="T44">
        <f t="shared" si="2"/>
        <v>17.225432098765431</v>
      </c>
      <c r="U44">
        <f t="shared" si="3"/>
        <v>1.2274584532098765</v>
      </c>
      <c r="X44" s="9"/>
      <c r="Y44" s="22">
        <v>1.42883</v>
      </c>
      <c r="Z44" s="22">
        <v>13.8939</v>
      </c>
      <c r="AA44" s="22">
        <v>-1.14868E-2</v>
      </c>
      <c r="AB44" s="22">
        <v>34</v>
      </c>
      <c r="AC44" s="22">
        <v>1.4279200000000001</v>
      </c>
      <c r="AD44">
        <f t="shared" si="4"/>
        <v>14.181234567901233</v>
      </c>
      <c r="AE44">
        <f t="shared" si="5"/>
        <v>20.262573387654321</v>
      </c>
      <c r="AF44" s="9"/>
      <c r="AG44" s="22">
        <v>7.1258500000000002E-2</v>
      </c>
      <c r="AH44" s="22">
        <v>17.310300000000002</v>
      </c>
      <c r="AI44" s="22">
        <v>-1.39893E-2</v>
      </c>
      <c r="AJ44" s="22">
        <v>34</v>
      </c>
      <c r="AK44" s="22">
        <v>7.07092E-2</v>
      </c>
      <c r="AL44">
        <f t="shared" si="6"/>
        <v>17.270740740740738</v>
      </c>
      <c r="AM44">
        <f t="shared" si="7"/>
        <v>1.2306870790740738</v>
      </c>
      <c r="AP44" s="9"/>
      <c r="AQ44" s="22">
        <v>1.42883</v>
      </c>
      <c r="AR44" s="22">
        <v>22.488199999999999</v>
      </c>
      <c r="AS44" s="22">
        <v>-1.1483800000000001E-2</v>
      </c>
      <c r="AT44" s="22">
        <v>34</v>
      </c>
      <c r="AU44" s="22">
        <v>1.42761</v>
      </c>
      <c r="AV44">
        <f t="shared" si="8"/>
        <v>14.17753086419753</v>
      </c>
      <c r="AW44">
        <f t="shared" si="9"/>
        <v>20.257281424691357</v>
      </c>
      <c r="AX44" s="9"/>
      <c r="AY44" s="22">
        <v>7.1258500000000002E-2</v>
      </c>
      <c r="AZ44" s="22">
        <v>25.904499999999999</v>
      </c>
      <c r="BA44" s="22">
        <v>-1.39618E-2</v>
      </c>
      <c r="BB44" s="22">
        <v>34</v>
      </c>
      <c r="BC44" s="22">
        <v>7.0739700000000003E-2</v>
      </c>
      <c r="BD44">
        <f t="shared" si="10"/>
        <v>17.236790123456789</v>
      </c>
      <c r="BE44">
        <f t="shared" si="11"/>
        <v>1.2282678090123456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1.4238</v>
      </c>
      <c r="H45" s="22">
        <v>5.38781</v>
      </c>
      <c r="I45" s="22">
        <v>-1.12335E-2</v>
      </c>
      <c r="J45" s="22">
        <v>35</v>
      </c>
      <c r="K45" s="22">
        <v>1.4227300000000001</v>
      </c>
      <c r="L45">
        <f t="shared" si="0"/>
        <v>13.868518518518519</v>
      </c>
      <c r="M45">
        <f t="shared" si="1"/>
        <v>19.745996666666667</v>
      </c>
      <c r="N45" s="9"/>
      <c r="O45" s="22">
        <v>7.6293899999999998E-2</v>
      </c>
      <c r="P45" s="22">
        <v>8.8041499999999999</v>
      </c>
      <c r="Q45" s="22">
        <v>-1.39618E-2</v>
      </c>
      <c r="R45" s="22">
        <v>35</v>
      </c>
      <c r="S45" s="22">
        <v>7.5775099999999998E-2</v>
      </c>
      <c r="T45">
        <f t="shared" si="2"/>
        <v>17.236790123456789</v>
      </c>
      <c r="U45">
        <f t="shared" si="3"/>
        <v>1.3150619419999998</v>
      </c>
      <c r="X45" s="9"/>
      <c r="Y45" s="22">
        <v>1.4238</v>
      </c>
      <c r="Z45" s="22">
        <v>13.904</v>
      </c>
      <c r="AA45" s="22">
        <v>-1.15601E-2</v>
      </c>
      <c r="AB45" s="22">
        <v>35</v>
      </c>
      <c r="AC45" s="22">
        <v>1.42242</v>
      </c>
      <c r="AD45">
        <f t="shared" si="4"/>
        <v>14.271728395061727</v>
      </c>
      <c r="AE45">
        <f t="shared" si="5"/>
        <v>20.320086888888888</v>
      </c>
      <c r="AF45" s="9"/>
      <c r="AG45" s="22">
        <v>7.6293899999999998E-2</v>
      </c>
      <c r="AH45" s="22">
        <v>17.320399999999999</v>
      </c>
      <c r="AI45" s="22">
        <v>-1.3986200000000001E-2</v>
      </c>
      <c r="AJ45" s="22">
        <v>35</v>
      </c>
      <c r="AK45" s="22">
        <v>7.5744599999999995E-2</v>
      </c>
      <c r="AL45">
        <f t="shared" si="6"/>
        <v>17.266913580246914</v>
      </c>
      <c r="AM45">
        <f t="shared" si="7"/>
        <v>1.3173601779999999</v>
      </c>
      <c r="AP45" s="9"/>
      <c r="AQ45" s="22">
        <v>1.4238</v>
      </c>
      <c r="AR45" s="22">
        <v>22.498200000000001</v>
      </c>
      <c r="AS45" s="22">
        <v>-1.1550899999999999E-2</v>
      </c>
      <c r="AT45" s="22">
        <v>35</v>
      </c>
      <c r="AU45" s="22">
        <v>1.4227300000000001</v>
      </c>
      <c r="AV45">
        <f t="shared" si="8"/>
        <v>14.260370370370369</v>
      </c>
      <c r="AW45">
        <f t="shared" si="9"/>
        <v>20.303915333333332</v>
      </c>
      <c r="AX45" s="9"/>
      <c r="AY45" s="22">
        <v>7.6293899999999998E-2</v>
      </c>
      <c r="AZ45" s="22">
        <v>25.9146</v>
      </c>
      <c r="BA45" s="22">
        <v>-1.39557E-2</v>
      </c>
      <c r="BB45" s="22">
        <v>35</v>
      </c>
      <c r="BC45" s="22">
        <v>7.5653100000000001E-2</v>
      </c>
      <c r="BD45">
        <f t="shared" si="10"/>
        <v>17.229259259259258</v>
      </c>
      <c r="BE45">
        <f t="shared" si="11"/>
        <v>1.3144873829999999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1.41876</v>
      </c>
      <c r="H46" s="22">
        <v>5.3978799999999998</v>
      </c>
      <c r="I46" s="22">
        <v>-1.13159E-2</v>
      </c>
      <c r="J46" s="22">
        <v>36</v>
      </c>
      <c r="K46" s="22">
        <v>1.4178500000000001</v>
      </c>
      <c r="L46">
        <f t="shared" si="0"/>
        <v>13.970246913580247</v>
      </c>
      <c r="M46">
        <f t="shared" si="1"/>
        <v>19.820427511111113</v>
      </c>
      <c r="N46" s="9"/>
      <c r="O46" s="22">
        <v>8.1329299999999993E-2</v>
      </c>
      <c r="P46" s="22">
        <v>8.8142300000000002</v>
      </c>
      <c r="Q46" s="22">
        <v>-1.39618E-2</v>
      </c>
      <c r="R46" s="22">
        <v>36</v>
      </c>
      <c r="S46" s="22">
        <v>8.0810499999999993E-2</v>
      </c>
      <c r="T46">
        <f t="shared" si="2"/>
        <v>17.236790123456789</v>
      </c>
      <c r="U46">
        <f t="shared" si="3"/>
        <v>1.4018560749876541</v>
      </c>
      <c r="X46" s="9"/>
      <c r="Y46" s="22">
        <v>1.41876</v>
      </c>
      <c r="Z46" s="22">
        <v>13.914099999999999</v>
      </c>
      <c r="AA46" s="22">
        <v>-1.1615E-2</v>
      </c>
      <c r="AB46" s="22">
        <v>36</v>
      </c>
      <c r="AC46" s="22">
        <v>1.4178500000000001</v>
      </c>
      <c r="AD46">
        <f t="shared" si="4"/>
        <v>14.339506172839505</v>
      </c>
      <c r="AE46">
        <f t="shared" si="5"/>
        <v>20.344317777777775</v>
      </c>
      <c r="AF46" s="9"/>
      <c r="AG46" s="22">
        <v>8.1329299999999993E-2</v>
      </c>
      <c r="AH46" s="22">
        <v>17.330400000000001</v>
      </c>
      <c r="AI46" s="22">
        <v>-1.3983199999999999E-2</v>
      </c>
      <c r="AJ46" s="22">
        <v>36</v>
      </c>
      <c r="AK46" s="22">
        <v>8.0718999999999999E-2</v>
      </c>
      <c r="AL46">
        <f t="shared" si="6"/>
        <v>17.263209876543208</v>
      </c>
      <c r="AM46">
        <f t="shared" si="7"/>
        <v>1.4040047750123454</v>
      </c>
      <c r="AP46" s="9"/>
      <c r="AQ46" s="22">
        <v>1.41876</v>
      </c>
      <c r="AR46" s="22">
        <v>22.508299999999998</v>
      </c>
      <c r="AS46" s="22">
        <v>-1.1621100000000001E-2</v>
      </c>
      <c r="AT46" s="22">
        <v>36</v>
      </c>
      <c r="AU46" s="22">
        <v>1.4178500000000001</v>
      </c>
      <c r="AV46">
        <f t="shared" si="8"/>
        <v>14.347037037037037</v>
      </c>
      <c r="AW46">
        <f t="shared" si="9"/>
        <v>20.355002266666666</v>
      </c>
      <c r="AX46" s="9"/>
      <c r="AY46" s="22">
        <v>8.1329299999999993E-2</v>
      </c>
      <c r="AZ46" s="22">
        <v>25.924600000000002</v>
      </c>
      <c r="BA46" s="22">
        <v>-1.3946500000000001E-2</v>
      </c>
      <c r="BB46" s="22">
        <v>36</v>
      </c>
      <c r="BC46" s="22">
        <v>8.0780000000000005E-2</v>
      </c>
      <c r="BD46">
        <f t="shared" si="10"/>
        <v>17.217901234567901</v>
      </c>
      <c r="BE46">
        <f t="shared" si="11"/>
        <v>1.400319854876543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1.4137299999999999</v>
      </c>
      <c r="H47" s="22">
        <v>5.4079499999999996</v>
      </c>
      <c r="I47" s="22">
        <v>-1.13861E-2</v>
      </c>
      <c r="J47" s="22">
        <v>37</v>
      </c>
      <c r="K47" s="22">
        <v>1.41296</v>
      </c>
      <c r="L47">
        <f t="shared" si="0"/>
        <v>14.056913580246912</v>
      </c>
      <c r="M47">
        <f t="shared" si="1"/>
        <v>19.872680435802465</v>
      </c>
      <c r="N47" s="9"/>
      <c r="O47" s="22">
        <v>8.6364700000000003E-2</v>
      </c>
      <c r="P47" s="22">
        <v>8.8242999999999991</v>
      </c>
      <c r="Q47" s="22">
        <v>-1.39557E-2</v>
      </c>
      <c r="R47" s="22">
        <v>37</v>
      </c>
      <c r="S47" s="22">
        <v>8.5784899999999997E-2</v>
      </c>
      <c r="T47">
        <f t="shared" si="2"/>
        <v>17.229259259259258</v>
      </c>
      <c r="U47">
        <f t="shared" si="3"/>
        <v>1.4879998071481482</v>
      </c>
      <c r="X47" s="9"/>
      <c r="Y47" s="22">
        <v>1.4137299999999999</v>
      </c>
      <c r="Z47" s="22">
        <v>13.924200000000001</v>
      </c>
      <c r="AA47" s="22">
        <v>-1.1672999999999999E-2</v>
      </c>
      <c r="AB47" s="22">
        <v>37</v>
      </c>
      <c r="AC47" s="22">
        <v>1.41266</v>
      </c>
      <c r="AD47">
        <f t="shared" si="4"/>
        <v>14.41111111111111</v>
      </c>
      <c r="AE47">
        <f t="shared" si="5"/>
        <v>20.373420111111109</v>
      </c>
      <c r="AF47" s="9"/>
      <c r="AG47" s="22">
        <v>8.6364700000000003E-2</v>
      </c>
      <c r="AH47" s="22">
        <v>17.340499999999999</v>
      </c>
      <c r="AI47" s="22">
        <v>-1.3980100000000001E-2</v>
      </c>
      <c r="AJ47" s="22">
        <v>37</v>
      </c>
      <c r="AK47" s="22">
        <v>8.58154E-2</v>
      </c>
      <c r="AL47">
        <f t="shared" si="6"/>
        <v>17.259382716049384</v>
      </c>
      <c r="AM47">
        <f t="shared" si="7"/>
        <v>1.4906014104567902</v>
      </c>
      <c r="AP47" s="9"/>
      <c r="AQ47" s="22">
        <v>1.4137299999999999</v>
      </c>
      <c r="AR47" s="22">
        <v>22.5184</v>
      </c>
      <c r="AS47" s="22">
        <v>-1.16852E-2</v>
      </c>
      <c r="AT47" s="22">
        <v>37</v>
      </c>
      <c r="AU47" s="22">
        <v>1.41266</v>
      </c>
      <c r="AV47">
        <f t="shared" si="8"/>
        <v>14.426172839506172</v>
      </c>
      <c r="AW47">
        <f t="shared" si="9"/>
        <v>20.39471332839506</v>
      </c>
      <c r="AX47" s="9"/>
      <c r="AY47" s="22">
        <v>8.6364700000000003E-2</v>
      </c>
      <c r="AZ47" s="22">
        <v>25.934699999999999</v>
      </c>
      <c r="BA47" s="22">
        <v>-1.39404E-2</v>
      </c>
      <c r="BB47" s="22">
        <v>37</v>
      </c>
      <c r="BC47" s="22">
        <v>8.58154E-2</v>
      </c>
      <c r="BD47">
        <f t="shared" si="10"/>
        <v>17.21037037037037</v>
      </c>
      <c r="BE47">
        <f t="shared" si="11"/>
        <v>1.486368473925926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1.40869</v>
      </c>
      <c r="H48" s="22">
        <v>5.4180200000000003</v>
      </c>
      <c r="I48" s="22">
        <v>-1.14685E-2</v>
      </c>
      <c r="J48" s="22">
        <v>38</v>
      </c>
      <c r="K48" s="22">
        <v>1.40778</v>
      </c>
      <c r="L48">
        <f t="shared" si="0"/>
        <v>14.15864197530864</v>
      </c>
      <c r="M48">
        <f t="shared" si="1"/>
        <v>19.945137364197528</v>
      </c>
      <c r="N48" s="9"/>
      <c r="O48" s="22">
        <v>9.1400099999999998E-2</v>
      </c>
      <c r="P48" s="22">
        <v>8.8343699999999998</v>
      </c>
      <c r="Q48" s="22">
        <v>-1.3952600000000001E-2</v>
      </c>
      <c r="R48" s="22">
        <v>38</v>
      </c>
      <c r="S48" s="22">
        <v>9.0942400000000007E-2</v>
      </c>
      <c r="T48">
        <f t="shared" si="2"/>
        <v>17.225432098765431</v>
      </c>
      <c r="U48">
        <f t="shared" si="3"/>
        <v>1.5744062163703703</v>
      </c>
      <c r="X48" s="9"/>
      <c r="Y48" s="22">
        <v>1.40869</v>
      </c>
      <c r="Z48" s="22">
        <v>13.934200000000001</v>
      </c>
      <c r="AA48" s="22">
        <v>-1.17401E-2</v>
      </c>
      <c r="AB48" s="22">
        <v>38</v>
      </c>
      <c r="AC48" s="22">
        <v>1.40778</v>
      </c>
      <c r="AD48">
        <f t="shared" si="4"/>
        <v>14.49395061728395</v>
      </c>
      <c r="AE48">
        <f t="shared" si="5"/>
        <v>20.417483295061729</v>
      </c>
      <c r="AF48" s="9"/>
      <c r="AG48" s="22">
        <v>9.1400099999999998E-2</v>
      </c>
      <c r="AH48" s="22">
        <v>17.3506</v>
      </c>
      <c r="AI48" s="22">
        <v>-1.3977099999999999E-2</v>
      </c>
      <c r="AJ48" s="22">
        <v>38</v>
      </c>
      <c r="AK48" s="22">
        <v>9.0881299999999998E-2</v>
      </c>
      <c r="AL48">
        <f t="shared" si="6"/>
        <v>17.255679012345677</v>
      </c>
      <c r="AM48">
        <f t="shared" si="7"/>
        <v>1.5771707872962961</v>
      </c>
      <c r="AP48" s="9"/>
      <c r="AQ48" s="22">
        <v>1.40869</v>
      </c>
      <c r="AR48" s="22">
        <v>22.528400000000001</v>
      </c>
      <c r="AS48" s="22">
        <v>-1.1755399999999999E-2</v>
      </c>
      <c r="AT48" s="22">
        <v>38</v>
      </c>
      <c r="AU48" s="22">
        <v>1.40778</v>
      </c>
      <c r="AV48">
        <f t="shared" si="8"/>
        <v>14.512839506172838</v>
      </c>
      <c r="AW48">
        <f t="shared" si="9"/>
        <v>20.444091883950616</v>
      </c>
      <c r="AX48" s="9"/>
      <c r="AY48" s="22">
        <v>9.1400099999999998E-2</v>
      </c>
      <c r="AZ48" s="22">
        <v>25.944800000000001</v>
      </c>
      <c r="BA48" s="22">
        <v>-1.3937400000000001E-2</v>
      </c>
      <c r="BB48" s="22">
        <v>38</v>
      </c>
      <c r="BC48" s="22">
        <v>9.0789800000000004E-2</v>
      </c>
      <c r="BD48">
        <f t="shared" si="10"/>
        <v>17.206666666666667</v>
      </c>
      <c r="BE48">
        <f t="shared" si="11"/>
        <v>1.5726910540000001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1.4036599999999999</v>
      </c>
      <c r="H49" s="22">
        <v>5.4280900000000001</v>
      </c>
      <c r="I49" s="22">
        <v>-1.1550899999999999E-2</v>
      </c>
      <c r="J49" s="22">
        <v>39</v>
      </c>
      <c r="K49" s="22">
        <v>1.40228</v>
      </c>
      <c r="L49">
        <f t="shared" si="0"/>
        <v>14.260370370370369</v>
      </c>
      <c r="M49">
        <f t="shared" si="1"/>
        <v>20.016711474074071</v>
      </c>
      <c r="N49" s="9"/>
      <c r="O49" s="22">
        <v>9.6435499999999993E-2</v>
      </c>
      <c r="P49" s="22">
        <v>8.8444400000000005</v>
      </c>
      <c r="Q49" s="22">
        <v>-1.3958699999999999E-2</v>
      </c>
      <c r="R49" s="22">
        <v>39</v>
      </c>
      <c r="S49" s="22">
        <v>9.5947299999999999E-2</v>
      </c>
      <c r="T49">
        <f t="shared" si="2"/>
        <v>17.232962962962961</v>
      </c>
      <c r="U49">
        <f t="shared" si="3"/>
        <v>1.6618693998148146</v>
      </c>
      <c r="X49" s="9"/>
      <c r="Y49" s="22">
        <v>1.4036599999999999</v>
      </c>
      <c r="Z49" s="22">
        <v>13.9443</v>
      </c>
      <c r="AA49" s="22">
        <v>-1.1810299999999999E-2</v>
      </c>
      <c r="AB49" s="22">
        <v>39</v>
      </c>
      <c r="AC49" s="22">
        <v>1.40289</v>
      </c>
      <c r="AD49">
        <f t="shared" si="4"/>
        <v>14.580617283950616</v>
      </c>
      <c r="AE49">
        <f t="shared" si="5"/>
        <v>20.466229256790122</v>
      </c>
      <c r="AF49" s="9"/>
      <c r="AG49" s="22">
        <v>9.6435499999999993E-2</v>
      </c>
      <c r="AH49" s="22">
        <v>17.360600000000002</v>
      </c>
      <c r="AI49" s="22">
        <v>-1.3977099999999999E-2</v>
      </c>
      <c r="AJ49" s="22">
        <v>39</v>
      </c>
      <c r="AK49" s="22">
        <v>9.5916699999999994E-2</v>
      </c>
      <c r="AL49">
        <f t="shared" si="6"/>
        <v>17.255679012345677</v>
      </c>
      <c r="AM49">
        <f t="shared" si="7"/>
        <v>1.6640600333950615</v>
      </c>
      <c r="AP49" s="9"/>
      <c r="AQ49" s="22">
        <v>1.4036599999999999</v>
      </c>
      <c r="AR49" s="22">
        <v>22.538499999999999</v>
      </c>
      <c r="AS49" s="22">
        <v>-1.18195E-2</v>
      </c>
      <c r="AT49" s="22">
        <v>39</v>
      </c>
      <c r="AU49" s="22">
        <v>1.40289</v>
      </c>
      <c r="AV49">
        <f t="shared" si="8"/>
        <v>14.591975308641976</v>
      </c>
      <c r="AW49">
        <f t="shared" si="9"/>
        <v>20.482172061728395</v>
      </c>
      <c r="AX49" s="9"/>
      <c r="AY49" s="22">
        <v>9.6435499999999993E-2</v>
      </c>
      <c r="AZ49" s="22">
        <v>25.954899999999999</v>
      </c>
      <c r="BA49" s="22">
        <v>-1.3931300000000001E-2</v>
      </c>
      <c r="BB49" s="22">
        <v>39</v>
      </c>
      <c r="BC49" s="22">
        <v>9.5916699999999994E-2</v>
      </c>
      <c r="BD49">
        <f t="shared" si="10"/>
        <v>17.199135802469137</v>
      </c>
      <c r="BE49">
        <f t="shared" si="11"/>
        <v>1.6586072606790123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1.39862</v>
      </c>
      <c r="H50" s="22">
        <v>5.4381599999999999</v>
      </c>
      <c r="I50" s="22">
        <v>-1.1627200000000001E-2</v>
      </c>
      <c r="J50" s="22">
        <v>40</v>
      </c>
      <c r="K50" s="22">
        <v>1.39801</v>
      </c>
      <c r="L50">
        <f t="shared" si="0"/>
        <v>14.354567901234569</v>
      </c>
      <c r="M50">
        <f t="shared" si="1"/>
        <v>20.076585758024692</v>
      </c>
      <c r="N50" s="9"/>
      <c r="O50" s="22">
        <v>0.10147100000000001</v>
      </c>
      <c r="P50" s="22">
        <v>8.8545099999999994</v>
      </c>
      <c r="Q50" s="22">
        <v>-1.39709E-2</v>
      </c>
      <c r="R50" s="22">
        <v>40</v>
      </c>
      <c r="S50" s="22">
        <v>0.10101300000000001</v>
      </c>
      <c r="T50">
        <f t="shared" si="2"/>
        <v>17.248024691358022</v>
      </c>
      <c r="U50">
        <f t="shared" si="3"/>
        <v>1.75017431345679</v>
      </c>
      <c r="X50" s="9"/>
      <c r="Y50" s="22">
        <v>1.39862</v>
      </c>
      <c r="Z50" s="22">
        <v>13.9544</v>
      </c>
      <c r="AA50" s="22">
        <v>-1.18713E-2</v>
      </c>
      <c r="AB50" s="22">
        <v>40</v>
      </c>
      <c r="AC50" s="22">
        <v>1.39771</v>
      </c>
      <c r="AD50">
        <f t="shared" si="4"/>
        <v>14.655925925925924</v>
      </c>
      <c r="AE50">
        <f t="shared" si="5"/>
        <v>20.498071118518517</v>
      </c>
      <c r="AF50" s="9"/>
      <c r="AG50" s="22">
        <v>0.10147100000000001</v>
      </c>
      <c r="AH50" s="22">
        <v>17.370699999999999</v>
      </c>
      <c r="AI50" s="22">
        <v>-1.39679E-2</v>
      </c>
      <c r="AJ50" s="22">
        <v>40</v>
      </c>
      <c r="AK50" s="22">
        <v>0.100983</v>
      </c>
      <c r="AL50">
        <f t="shared" si="6"/>
        <v>17.244320987654319</v>
      </c>
      <c r="AM50">
        <f t="shared" si="7"/>
        <v>1.7497984949382714</v>
      </c>
      <c r="AP50" s="9"/>
      <c r="AQ50" s="22">
        <v>1.39862</v>
      </c>
      <c r="AR50" s="22">
        <v>22.5486</v>
      </c>
      <c r="AS50" s="22">
        <v>-1.18744E-2</v>
      </c>
      <c r="AT50" s="22">
        <v>40</v>
      </c>
      <c r="AU50" s="22">
        <v>1.39771</v>
      </c>
      <c r="AV50">
        <f t="shared" si="8"/>
        <v>14.659753086419753</v>
      </c>
      <c r="AW50">
        <f t="shared" si="9"/>
        <v>20.503423861728397</v>
      </c>
      <c r="AX50" s="9"/>
      <c r="AY50" s="22">
        <v>0.10147100000000001</v>
      </c>
      <c r="AZ50" s="22">
        <v>25.9649</v>
      </c>
      <c r="BA50" s="22">
        <v>-1.39282E-2</v>
      </c>
      <c r="BB50" s="22">
        <v>40</v>
      </c>
      <c r="BC50" s="22">
        <v>0.100952</v>
      </c>
      <c r="BD50">
        <f t="shared" si="10"/>
        <v>17.195308641975309</v>
      </c>
      <c r="BE50">
        <f t="shared" si="11"/>
        <v>1.7448251632098768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1.3935900000000001</v>
      </c>
      <c r="H51" s="22">
        <v>5.4482299999999997</v>
      </c>
      <c r="I51" s="22">
        <v>-1.17004E-2</v>
      </c>
      <c r="J51" s="22">
        <v>41</v>
      </c>
      <c r="K51" s="22">
        <v>1.39252</v>
      </c>
      <c r="L51">
        <f t="shared" si="0"/>
        <v>14.444938271604938</v>
      </c>
      <c r="M51">
        <f t="shared" si="1"/>
        <v>20.130321525925929</v>
      </c>
      <c r="N51" s="9"/>
      <c r="O51" s="22">
        <v>0.106506</v>
      </c>
      <c r="P51" s="22">
        <v>8.8645800000000001</v>
      </c>
      <c r="Q51" s="22">
        <v>-1.3974E-2</v>
      </c>
      <c r="R51" s="22">
        <v>41</v>
      </c>
      <c r="S51" s="22">
        <v>0.105988</v>
      </c>
      <c r="T51">
        <f t="shared" si="2"/>
        <v>17.251851851851853</v>
      </c>
      <c r="U51">
        <f t="shared" si="3"/>
        <v>1.8374257333333335</v>
      </c>
      <c r="X51" s="9"/>
      <c r="Y51" s="22">
        <v>1.3935900000000001</v>
      </c>
      <c r="Z51" s="22">
        <v>13.964399999999999</v>
      </c>
      <c r="AA51" s="22">
        <v>-1.1935400000000001E-2</v>
      </c>
      <c r="AB51" s="22">
        <v>41</v>
      </c>
      <c r="AC51" s="22">
        <v>1.39313</v>
      </c>
      <c r="AD51">
        <f t="shared" si="4"/>
        <v>14.735061728395062</v>
      </c>
      <c r="AE51">
        <f t="shared" si="5"/>
        <v>20.534634674074077</v>
      </c>
      <c r="AF51" s="9"/>
      <c r="AG51" s="22">
        <v>0.106506</v>
      </c>
      <c r="AH51" s="22">
        <v>17.380800000000001</v>
      </c>
      <c r="AI51" s="22">
        <v>-1.39679E-2</v>
      </c>
      <c r="AJ51" s="22">
        <v>41</v>
      </c>
      <c r="AK51" s="22">
        <v>0.10592699999999999</v>
      </c>
      <c r="AL51">
        <f t="shared" si="6"/>
        <v>17.244320987654319</v>
      </c>
      <c r="AM51">
        <f t="shared" si="7"/>
        <v>1.8366236511111109</v>
      </c>
      <c r="AP51" s="9"/>
      <c r="AQ51" s="22">
        <v>1.3935900000000001</v>
      </c>
      <c r="AR51" s="22">
        <v>22.558700000000002</v>
      </c>
      <c r="AS51" s="22">
        <v>-1.1932399999999999E-2</v>
      </c>
      <c r="AT51" s="22">
        <v>41</v>
      </c>
      <c r="AU51" s="22">
        <v>1.3922099999999999</v>
      </c>
      <c r="AV51">
        <f t="shared" si="8"/>
        <v>14.731358024691357</v>
      </c>
      <c r="AW51">
        <f t="shared" si="9"/>
        <v>20.52947322962963</v>
      </c>
      <c r="AX51" s="9"/>
      <c r="AY51" s="22">
        <v>0.106506</v>
      </c>
      <c r="AZ51" s="22">
        <v>25.975000000000001</v>
      </c>
      <c r="BA51" s="22">
        <v>-1.39282E-2</v>
      </c>
      <c r="BB51" s="22">
        <v>41</v>
      </c>
      <c r="BC51" s="22">
        <v>0.105988</v>
      </c>
      <c r="BD51">
        <f t="shared" si="10"/>
        <v>17.195308641975309</v>
      </c>
      <c r="BE51">
        <f t="shared" si="11"/>
        <v>1.8314035422222223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1.38855</v>
      </c>
      <c r="H52" s="22">
        <v>5.4583000000000004</v>
      </c>
      <c r="I52" s="22">
        <v>-1.17676E-2</v>
      </c>
      <c r="J52" s="22">
        <v>42</v>
      </c>
      <c r="K52" s="22">
        <v>1.3876299999999999</v>
      </c>
      <c r="L52">
        <f t="shared" si="0"/>
        <v>14.527901234567899</v>
      </c>
      <c r="M52">
        <f t="shared" si="1"/>
        <v>20.172717259259255</v>
      </c>
      <c r="N52" s="9"/>
      <c r="O52" s="22">
        <v>0.111542</v>
      </c>
      <c r="P52" s="22">
        <v>8.8746500000000008</v>
      </c>
      <c r="Q52" s="22">
        <v>-1.39709E-2</v>
      </c>
      <c r="R52" s="22">
        <v>42</v>
      </c>
      <c r="S52" s="22">
        <v>0.11096200000000001</v>
      </c>
      <c r="T52">
        <f t="shared" si="2"/>
        <v>17.248024691358022</v>
      </c>
      <c r="U52">
        <f t="shared" si="3"/>
        <v>1.9238791701234566</v>
      </c>
      <c r="X52" s="9"/>
      <c r="Y52" s="22">
        <v>1.38855</v>
      </c>
      <c r="Z52" s="22">
        <v>13.974500000000001</v>
      </c>
      <c r="AA52" s="22">
        <v>-1.19904E-2</v>
      </c>
      <c r="AB52" s="22">
        <v>42</v>
      </c>
      <c r="AC52" s="22">
        <v>1.38794</v>
      </c>
      <c r="AD52">
        <f t="shared" si="4"/>
        <v>14.802962962962962</v>
      </c>
      <c r="AE52">
        <f t="shared" si="5"/>
        <v>20.554654222222219</v>
      </c>
      <c r="AF52" s="9"/>
      <c r="AG52" s="22">
        <v>0.111542</v>
      </c>
      <c r="AH52" s="22">
        <v>17.390899999999998</v>
      </c>
      <c r="AI52" s="22">
        <v>-1.39709E-2</v>
      </c>
      <c r="AJ52" s="22">
        <v>42</v>
      </c>
      <c r="AK52" s="22">
        <v>0.111053</v>
      </c>
      <c r="AL52">
        <f t="shared" si="6"/>
        <v>17.248024691358022</v>
      </c>
      <c r="AM52">
        <f t="shared" si="7"/>
        <v>1.9238791701234566</v>
      </c>
      <c r="AP52" s="9"/>
      <c r="AQ52" s="22">
        <v>1.38855</v>
      </c>
      <c r="AR52" s="22">
        <v>22.5687</v>
      </c>
      <c r="AS52" s="22">
        <v>-1.1987299999999999E-2</v>
      </c>
      <c r="AT52" s="22">
        <v>42</v>
      </c>
      <c r="AU52" s="22">
        <v>1.38794</v>
      </c>
      <c r="AV52">
        <f t="shared" si="8"/>
        <v>14.799135802469134</v>
      </c>
      <c r="AW52">
        <f t="shared" si="9"/>
        <v>20.549340018518517</v>
      </c>
      <c r="AX52" s="9"/>
      <c r="AY52" s="22">
        <v>0.111542</v>
      </c>
      <c r="AZ52" s="22">
        <v>25.985099999999999</v>
      </c>
      <c r="BA52" s="22">
        <v>-1.39191E-2</v>
      </c>
      <c r="BB52" s="22">
        <v>42</v>
      </c>
      <c r="BC52" s="22">
        <v>0.111053</v>
      </c>
      <c r="BD52">
        <f t="shared" si="10"/>
        <v>17.184074074074076</v>
      </c>
      <c r="BE52">
        <f t="shared" si="11"/>
        <v>1.9167459903703705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1.38351</v>
      </c>
      <c r="H53" s="22">
        <v>5.4683700000000002</v>
      </c>
      <c r="I53" s="22">
        <v>-1.1831700000000001E-2</v>
      </c>
      <c r="J53" s="22">
        <v>43</v>
      </c>
      <c r="K53" s="22">
        <v>1.3827499999999999</v>
      </c>
      <c r="L53">
        <f t="shared" si="0"/>
        <v>14.607037037037037</v>
      </c>
      <c r="M53">
        <f t="shared" si="1"/>
        <v>20.208981811111112</v>
      </c>
      <c r="N53" s="9"/>
      <c r="O53" s="22">
        <v>0.116577</v>
      </c>
      <c r="P53" s="22">
        <v>8.8847199999999997</v>
      </c>
      <c r="Q53" s="22">
        <v>-1.3964799999999999E-2</v>
      </c>
      <c r="R53" s="22">
        <v>43</v>
      </c>
      <c r="S53" s="22">
        <v>0.115997</v>
      </c>
      <c r="T53">
        <f t="shared" si="2"/>
        <v>17.240493827160492</v>
      </c>
      <c r="U53">
        <f t="shared" si="3"/>
        <v>2.0098450488888888</v>
      </c>
      <c r="X53" s="9"/>
      <c r="Y53" s="22">
        <v>1.38351</v>
      </c>
      <c r="Z53" s="22">
        <v>13.9846</v>
      </c>
      <c r="AA53" s="22">
        <v>-1.2036099999999999E-2</v>
      </c>
      <c r="AB53" s="22">
        <v>43</v>
      </c>
      <c r="AC53" s="22">
        <v>1.3827499999999999</v>
      </c>
      <c r="AD53">
        <f t="shared" si="4"/>
        <v>14.85938271604938</v>
      </c>
      <c r="AE53">
        <f t="shared" si="5"/>
        <v>20.558104581481476</v>
      </c>
      <c r="AF53" s="9"/>
      <c r="AG53" s="22">
        <v>0.116577</v>
      </c>
      <c r="AH53" s="22">
        <v>17.4009</v>
      </c>
      <c r="AI53" s="22">
        <v>-1.3974E-2</v>
      </c>
      <c r="AJ53" s="22">
        <v>43</v>
      </c>
      <c r="AK53" s="22">
        <v>0.116119</v>
      </c>
      <c r="AL53">
        <f t="shared" si="6"/>
        <v>17.251851851851853</v>
      </c>
      <c r="AM53">
        <f t="shared" si="7"/>
        <v>2.0111691333333335</v>
      </c>
      <c r="AP53" s="9"/>
      <c r="AQ53" s="22">
        <v>1.38351</v>
      </c>
      <c r="AR53" s="22">
        <v>22.578800000000001</v>
      </c>
      <c r="AS53" s="22">
        <v>-1.20453E-2</v>
      </c>
      <c r="AT53" s="22">
        <v>43</v>
      </c>
      <c r="AU53" s="22">
        <v>1.38306</v>
      </c>
      <c r="AV53">
        <f t="shared" si="8"/>
        <v>14.870740740740739</v>
      </c>
      <c r="AW53">
        <f t="shared" si="9"/>
        <v>20.573818522222222</v>
      </c>
      <c r="AX53" s="9"/>
      <c r="AY53" s="22">
        <v>0.116577</v>
      </c>
      <c r="AZ53" s="22">
        <v>25.995100000000001</v>
      </c>
      <c r="BA53" s="22">
        <v>-1.3909899999999999E-2</v>
      </c>
      <c r="BB53" s="22">
        <v>43</v>
      </c>
      <c r="BC53" s="22">
        <v>0.115997</v>
      </c>
      <c r="BD53">
        <f t="shared" si="10"/>
        <v>17.172716049382714</v>
      </c>
      <c r="BE53">
        <f t="shared" si="11"/>
        <v>2.0019437188888887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1.3784799999999999</v>
      </c>
      <c r="H54" s="22">
        <v>5.4784499999999996</v>
      </c>
      <c r="I54" s="22">
        <v>-1.1886600000000001E-2</v>
      </c>
      <c r="J54" s="22">
        <v>44</v>
      </c>
      <c r="K54" s="22">
        <v>1.3772599999999999</v>
      </c>
      <c r="L54">
        <f t="shared" si="0"/>
        <v>14.674814814814814</v>
      </c>
      <c r="M54">
        <f t="shared" si="1"/>
        <v>20.228938725925925</v>
      </c>
      <c r="N54" s="9"/>
      <c r="O54" s="22">
        <v>0.121613</v>
      </c>
      <c r="P54" s="22">
        <v>8.8947900000000004</v>
      </c>
      <c r="Q54" s="22">
        <v>-1.3964799999999999E-2</v>
      </c>
      <c r="R54" s="22">
        <v>44</v>
      </c>
      <c r="S54" s="22">
        <v>0.121185</v>
      </c>
      <c r="T54">
        <f t="shared" si="2"/>
        <v>17.240493827160492</v>
      </c>
      <c r="U54">
        <f t="shared" si="3"/>
        <v>2.0966681758024688</v>
      </c>
      <c r="X54" s="9"/>
      <c r="Y54" s="22">
        <v>1.3784799999999999</v>
      </c>
      <c r="Z54" s="22">
        <v>13.9946</v>
      </c>
      <c r="AA54" s="22">
        <v>-1.2085E-2</v>
      </c>
      <c r="AB54" s="22">
        <v>44</v>
      </c>
      <c r="AC54" s="22">
        <v>1.3775599999999999</v>
      </c>
      <c r="AD54">
        <f t="shared" si="4"/>
        <v>14.919753086419753</v>
      </c>
      <c r="AE54">
        <f t="shared" si="5"/>
        <v>20.566581234567899</v>
      </c>
      <c r="AF54" s="9"/>
      <c r="AG54" s="22">
        <v>0.121613</v>
      </c>
      <c r="AH54" s="22">
        <v>17.411000000000001</v>
      </c>
      <c r="AI54" s="22">
        <v>-1.39709E-2</v>
      </c>
      <c r="AJ54" s="22">
        <v>44</v>
      </c>
      <c r="AK54" s="22">
        <v>0.121155</v>
      </c>
      <c r="AL54">
        <f t="shared" si="6"/>
        <v>17.248024691358022</v>
      </c>
      <c r="AM54">
        <f t="shared" si="7"/>
        <v>2.0975840267901233</v>
      </c>
      <c r="AP54" s="9"/>
      <c r="AQ54" s="22">
        <v>1.3784799999999999</v>
      </c>
      <c r="AR54" s="22">
        <v>22.588899999999999</v>
      </c>
      <c r="AS54" s="22">
        <v>-1.20911E-2</v>
      </c>
      <c r="AT54" s="22">
        <v>44</v>
      </c>
      <c r="AU54" s="22">
        <v>1.3769499999999999</v>
      </c>
      <c r="AV54">
        <f t="shared" si="8"/>
        <v>14.927283950617284</v>
      </c>
      <c r="AW54">
        <f t="shared" si="9"/>
        <v>20.576962380246911</v>
      </c>
      <c r="AX54" s="9"/>
      <c r="AY54" s="22">
        <v>0.121613</v>
      </c>
      <c r="AZ54" s="22">
        <v>26.005199999999999</v>
      </c>
      <c r="BA54" s="22">
        <v>-1.3909899999999999E-2</v>
      </c>
      <c r="BB54" s="22">
        <v>44</v>
      </c>
      <c r="BC54" s="22">
        <v>0.121124</v>
      </c>
      <c r="BD54">
        <f t="shared" si="10"/>
        <v>17.172716049382714</v>
      </c>
      <c r="BE54">
        <f t="shared" si="11"/>
        <v>2.0884255169135799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1.37344</v>
      </c>
      <c r="H55" s="22">
        <v>5.4885200000000003</v>
      </c>
      <c r="I55" s="22">
        <v>-1.19507E-2</v>
      </c>
      <c r="J55" s="22">
        <v>45</v>
      </c>
      <c r="K55" s="22">
        <v>1.3726799999999999</v>
      </c>
      <c r="L55">
        <f t="shared" si="0"/>
        <v>14.75395061728395</v>
      </c>
      <c r="M55">
        <f t="shared" si="1"/>
        <v>20.263665935802468</v>
      </c>
      <c r="N55" s="9"/>
      <c r="O55" s="22">
        <v>0.12664800000000001</v>
      </c>
      <c r="P55" s="22">
        <v>8.9048599999999993</v>
      </c>
      <c r="Q55" s="22">
        <v>-1.39618E-2</v>
      </c>
      <c r="R55" s="22">
        <v>45</v>
      </c>
      <c r="S55" s="22">
        <v>0.12615999999999999</v>
      </c>
      <c r="T55">
        <f t="shared" si="2"/>
        <v>17.236790123456789</v>
      </c>
      <c r="U55">
        <f t="shared" si="3"/>
        <v>2.1830049955555557</v>
      </c>
      <c r="X55" s="9"/>
      <c r="Y55" s="22">
        <v>1.37344</v>
      </c>
      <c r="Z55" s="22">
        <v>14.0047</v>
      </c>
      <c r="AA55" s="22">
        <v>-1.21277E-2</v>
      </c>
      <c r="AB55" s="22">
        <v>45</v>
      </c>
      <c r="AC55" s="22">
        <v>1.3720699999999999</v>
      </c>
      <c r="AD55">
        <f t="shared" si="4"/>
        <v>14.972469135802468</v>
      </c>
      <c r="AE55">
        <f t="shared" si="5"/>
        <v>20.563788009876543</v>
      </c>
      <c r="AF55" s="9"/>
      <c r="AG55" s="22">
        <v>0.12664800000000001</v>
      </c>
      <c r="AH55" s="22">
        <v>17.421099999999999</v>
      </c>
      <c r="AI55" s="22">
        <v>-1.39709E-2</v>
      </c>
      <c r="AJ55" s="22">
        <v>45</v>
      </c>
      <c r="AK55" s="22">
        <v>0.12615999999999999</v>
      </c>
      <c r="AL55">
        <f t="shared" si="6"/>
        <v>17.248024691358022</v>
      </c>
      <c r="AM55">
        <f t="shared" si="7"/>
        <v>2.1844278311111109</v>
      </c>
      <c r="AP55" s="9"/>
      <c r="AQ55" s="22">
        <v>1.37344</v>
      </c>
      <c r="AR55" s="22">
        <v>22.5989</v>
      </c>
      <c r="AS55" s="22">
        <v>-1.21216E-2</v>
      </c>
      <c r="AT55" s="22">
        <v>45</v>
      </c>
      <c r="AU55" s="22">
        <v>1.3723799999999999</v>
      </c>
      <c r="AV55">
        <f t="shared" si="8"/>
        <v>14.964938271604938</v>
      </c>
      <c r="AW55">
        <f t="shared" si="9"/>
        <v>20.553444819753086</v>
      </c>
      <c r="AX55" s="9"/>
      <c r="AY55" s="22">
        <v>0.12664800000000001</v>
      </c>
      <c r="AZ55" s="22">
        <v>26.0153</v>
      </c>
      <c r="BA55" s="22">
        <v>-1.3913E-2</v>
      </c>
      <c r="BB55" s="22">
        <v>45</v>
      </c>
      <c r="BC55" s="22">
        <v>0.12606800000000001</v>
      </c>
      <c r="BD55">
        <f t="shared" si="10"/>
        <v>17.176543209876542</v>
      </c>
      <c r="BE55">
        <f t="shared" si="11"/>
        <v>2.1753748444444443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1.3684099999999999</v>
      </c>
      <c r="H56" s="22">
        <v>5.4985900000000001</v>
      </c>
      <c r="I56" s="22">
        <v>-1.20056E-2</v>
      </c>
      <c r="J56" s="22">
        <v>46</v>
      </c>
      <c r="K56" s="22">
        <v>1.3674900000000001</v>
      </c>
      <c r="L56">
        <f t="shared" si="0"/>
        <v>14.821728395061728</v>
      </c>
      <c r="M56">
        <f t="shared" si="1"/>
        <v>20.282201353086418</v>
      </c>
      <c r="N56" s="9"/>
      <c r="O56" s="22">
        <v>0.13168299999999999</v>
      </c>
      <c r="P56" s="22">
        <v>8.9149399999999996</v>
      </c>
      <c r="Q56" s="22">
        <v>-1.3958699999999999E-2</v>
      </c>
      <c r="R56" s="22">
        <v>46</v>
      </c>
      <c r="S56" s="22">
        <v>0.131104</v>
      </c>
      <c r="T56">
        <f t="shared" si="2"/>
        <v>17.232962962962961</v>
      </c>
      <c r="U56">
        <f t="shared" si="3"/>
        <v>2.2692882618518517</v>
      </c>
      <c r="X56" s="9"/>
      <c r="Y56" s="22">
        <v>1.3684099999999999</v>
      </c>
      <c r="Z56" s="22">
        <v>14.014799999999999</v>
      </c>
      <c r="AA56" s="22">
        <v>-1.21613E-2</v>
      </c>
      <c r="AB56" s="22">
        <v>46</v>
      </c>
      <c r="AC56" s="22">
        <v>1.3671899999999999</v>
      </c>
      <c r="AD56">
        <f t="shared" si="4"/>
        <v>15.01395061728395</v>
      </c>
      <c r="AE56">
        <f t="shared" si="5"/>
        <v>20.545240164197526</v>
      </c>
      <c r="AF56" s="9"/>
      <c r="AG56" s="22">
        <v>0.13168299999999999</v>
      </c>
      <c r="AH56" s="22">
        <v>17.431100000000001</v>
      </c>
      <c r="AI56" s="22">
        <v>-1.39618E-2</v>
      </c>
      <c r="AJ56" s="22">
        <v>46</v>
      </c>
      <c r="AK56" s="22">
        <v>0.13122600000000001</v>
      </c>
      <c r="AL56">
        <f t="shared" si="6"/>
        <v>17.236790123456789</v>
      </c>
      <c r="AM56">
        <f t="shared" si="7"/>
        <v>2.2697922338271601</v>
      </c>
      <c r="AP56" s="9"/>
      <c r="AQ56" s="22">
        <v>1.3684099999999999</v>
      </c>
      <c r="AR56" s="22">
        <v>22.609000000000002</v>
      </c>
      <c r="AS56" s="22">
        <v>-1.21552E-2</v>
      </c>
      <c r="AT56" s="22">
        <v>46</v>
      </c>
      <c r="AU56" s="22">
        <v>1.3671899999999999</v>
      </c>
      <c r="AV56">
        <f t="shared" si="8"/>
        <v>15.006419753086417</v>
      </c>
      <c r="AW56">
        <f t="shared" si="9"/>
        <v>20.534934854320984</v>
      </c>
      <c r="AX56" s="9"/>
      <c r="AY56" s="22">
        <v>0.13168299999999999</v>
      </c>
      <c r="AZ56" s="22">
        <v>26.025400000000001</v>
      </c>
      <c r="BA56" s="22">
        <v>-1.3909899999999999E-2</v>
      </c>
      <c r="BB56" s="22">
        <v>46</v>
      </c>
      <c r="BC56" s="22">
        <v>0.131165</v>
      </c>
      <c r="BD56">
        <f t="shared" si="10"/>
        <v>17.172716049382714</v>
      </c>
      <c r="BE56">
        <f t="shared" si="11"/>
        <v>2.2613547675308641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1.36337</v>
      </c>
      <c r="H57" s="22">
        <v>5.5086599999999999</v>
      </c>
      <c r="I57" s="22">
        <v>-1.20544E-2</v>
      </c>
      <c r="J57" s="22">
        <v>47</v>
      </c>
      <c r="K57" s="22">
        <v>1.3623000000000001</v>
      </c>
      <c r="L57">
        <f t="shared" si="0"/>
        <v>14.881975308641973</v>
      </c>
      <c r="M57">
        <f t="shared" si="1"/>
        <v>20.289638676543206</v>
      </c>
      <c r="N57" s="9"/>
      <c r="O57" s="22">
        <v>0.13671900000000001</v>
      </c>
      <c r="P57" s="22">
        <v>8.9250100000000003</v>
      </c>
      <c r="Q57" s="22">
        <v>-1.39557E-2</v>
      </c>
      <c r="R57" s="22">
        <v>47</v>
      </c>
      <c r="S57" s="22">
        <v>0.13626099999999999</v>
      </c>
      <c r="T57">
        <f t="shared" si="2"/>
        <v>17.229259259259258</v>
      </c>
      <c r="U57">
        <f t="shared" si="3"/>
        <v>2.3555670966666669</v>
      </c>
      <c r="X57" s="9"/>
      <c r="Y57" s="22">
        <v>1.36337</v>
      </c>
      <c r="Z57" s="22">
        <v>14.024900000000001</v>
      </c>
      <c r="AA57" s="22">
        <v>-1.2191799999999999E-2</v>
      </c>
      <c r="AB57" s="22">
        <v>47</v>
      </c>
      <c r="AC57" s="22">
        <v>1.3629199999999999</v>
      </c>
      <c r="AD57">
        <f t="shared" si="4"/>
        <v>15.051604938271602</v>
      </c>
      <c r="AE57">
        <f t="shared" si="5"/>
        <v>20.520906624691353</v>
      </c>
      <c r="AF57" s="9"/>
      <c r="AG57" s="22">
        <v>0.13671900000000001</v>
      </c>
      <c r="AH57" s="22">
        <v>17.441199999999998</v>
      </c>
      <c r="AI57" s="22">
        <v>-1.3958699999999999E-2</v>
      </c>
      <c r="AJ57" s="22">
        <v>47</v>
      </c>
      <c r="AK57" s="22">
        <v>0.13622999999999999</v>
      </c>
      <c r="AL57">
        <f t="shared" si="6"/>
        <v>17.232962962962961</v>
      </c>
      <c r="AM57">
        <f t="shared" si="7"/>
        <v>2.3560734633333333</v>
      </c>
      <c r="AP57" s="9"/>
      <c r="AQ57" s="22">
        <v>1.36337</v>
      </c>
      <c r="AR57" s="22">
        <v>22.6191</v>
      </c>
      <c r="AS57" s="22">
        <v>-1.2191799999999999E-2</v>
      </c>
      <c r="AT57" s="22">
        <v>47</v>
      </c>
      <c r="AU57" s="22">
        <v>1.3626100000000001</v>
      </c>
      <c r="AV57">
        <f t="shared" si="8"/>
        <v>15.051604938271602</v>
      </c>
      <c r="AW57">
        <f t="shared" si="9"/>
        <v>20.520906624691353</v>
      </c>
      <c r="AX57" s="9"/>
      <c r="AY57" s="22">
        <v>0.13671900000000001</v>
      </c>
      <c r="AZ57" s="22">
        <v>26.035399999999999</v>
      </c>
      <c r="BA57" s="22">
        <v>-1.39221E-2</v>
      </c>
      <c r="BB57" s="22">
        <v>47</v>
      </c>
      <c r="BC57" s="22">
        <v>0.136292</v>
      </c>
      <c r="BD57">
        <f t="shared" si="10"/>
        <v>17.187777777777779</v>
      </c>
      <c r="BE57">
        <f t="shared" si="11"/>
        <v>2.3498957900000002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1.3583400000000001</v>
      </c>
      <c r="H58" s="22">
        <v>5.5187299999999997</v>
      </c>
      <c r="I58" s="22">
        <v>-1.2103300000000001E-2</v>
      </c>
      <c r="J58" s="22">
        <v>48</v>
      </c>
      <c r="K58" s="22">
        <v>1.3565100000000001</v>
      </c>
      <c r="L58">
        <f t="shared" si="0"/>
        <v>14.942345679012346</v>
      </c>
      <c r="M58">
        <f t="shared" si="1"/>
        <v>20.296785829629631</v>
      </c>
      <c r="N58" s="9"/>
      <c r="O58" s="22">
        <v>0.14175399999999999</v>
      </c>
      <c r="P58" s="22">
        <v>8.9350799999999992</v>
      </c>
      <c r="Q58" s="22">
        <v>-1.39496E-2</v>
      </c>
      <c r="R58" s="22">
        <v>48</v>
      </c>
      <c r="S58" s="22">
        <v>0.141235</v>
      </c>
      <c r="T58">
        <f t="shared" si="2"/>
        <v>17.221728395061724</v>
      </c>
      <c r="U58">
        <f t="shared" si="3"/>
        <v>2.4412488869135793</v>
      </c>
      <c r="X58" s="9"/>
      <c r="Y58" s="22">
        <v>1.3583400000000001</v>
      </c>
      <c r="Z58" s="22">
        <v>14.0349</v>
      </c>
      <c r="AA58" s="22">
        <v>-1.22284E-2</v>
      </c>
      <c r="AB58" s="22">
        <v>48</v>
      </c>
      <c r="AC58" s="22">
        <v>1.3577300000000001</v>
      </c>
      <c r="AD58">
        <f t="shared" si="4"/>
        <v>15.096790123456788</v>
      </c>
      <c r="AE58">
        <f t="shared" si="5"/>
        <v>20.506573896296295</v>
      </c>
      <c r="AF58" s="9"/>
      <c r="AG58" s="22">
        <v>0.14175399999999999</v>
      </c>
      <c r="AH58" s="22">
        <v>17.4513</v>
      </c>
      <c r="AI58" s="22">
        <v>-1.39496E-2</v>
      </c>
      <c r="AJ58" s="22">
        <v>48</v>
      </c>
      <c r="AK58" s="22">
        <v>0.141266</v>
      </c>
      <c r="AL58">
        <f t="shared" si="6"/>
        <v>17.221728395061724</v>
      </c>
      <c r="AM58">
        <f t="shared" si="7"/>
        <v>2.4412488869135793</v>
      </c>
      <c r="AP58" s="9"/>
      <c r="AQ58" s="22">
        <v>1.3583400000000001</v>
      </c>
      <c r="AR58" s="22">
        <v>22.629200000000001</v>
      </c>
      <c r="AS58" s="22">
        <v>-1.22314E-2</v>
      </c>
      <c r="AT58" s="22">
        <v>48</v>
      </c>
      <c r="AU58" s="22">
        <v>1.3577300000000001</v>
      </c>
      <c r="AV58">
        <f t="shared" si="8"/>
        <v>15.100493827160493</v>
      </c>
      <c r="AW58">
        <f t="shared" si="9"/>
        <v>20.511604785185185</v>
      </c>
      <c r="AX58" s="9"/>
      <c r="AY58" s="22">
        <v>0.14175399999999999</v>
      </c>
      <c r="AZ58" s="22">
        <v>26.045500000000001</v>
      </c>
      <c r="BA58" s="22">
        <v>-1.39221E-2</v>
      </c>
      <c r="BB58" s="22">
        <v>48</v>
      </c>
      <c r="BC58" s="22">
        <v>0.141296</v>
      </c>
      <c r="BD58">
        <f t="shared" si="10"/>
        <v>17.187777777777779</v>
      </c>
      <c r="BE58">
        <f t="shared" si="11"/>
        <v>2.4364362511111111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1.3532999999999999</v>
      </c>
      <c r="H59" s="22">
        <v>5.5288000000000004</v>
      </c>
      <c r="I59" s="22">
        <v>-1.2146000000000001E-2</v>
      </c>
      <c r="J59" s="22">
        <v>49</v>
      </c>
      <c r="K59" s="22">
        <v>1.3525400000000001</v>
      </c>
      <c r="L59">
        <f t="shared" si="0"/>
        <v>14.995061728395061</v>
      </c>
      <c r="M59">
        <f t="shared" si="1"/>
        <v>20.292817037037036</v>
      </c>
      <c r="N59" s="9"/>
      <c r="O59" s="22">
        <v>0.14679</v>
      </c>
      <c r="P59" s="22">
        <v>8.9451499999999999</v>
      </c>
      <c r="Q59" s="22">
        <v>-1.3943499999999999E-2</v>
      </c>
      <c r="R59" s="22">
        <v>49</v>
      </c>
      <c r="S59" s="22">
        <v>0.14621000000000001</v>
      </c>
      <c r="T59">
        <f t="shared" si="2"/>
        <v>17.214197530864197</v>
      </c>
      <c r="U59">
        <f t="shared" si="3"/>
        <v>2.5268720555555557</v>
      </c>
      <c r="X59" s="9"/>
      <c r="Y59" s="22">
        <v>1.3532999999999999</v>
      </c>
      <c r="Z59" s="22">
        <v>14.045</v>
      </c>
      <c r="AA59" s="22">
        <v>-1.2265E-2</v>
      </c>
      <c r="AB59" s="22">
        <v>49</v>
      </c>
      <c r="AC59" s="22">
        <v>1.3519300000000001</v>
      </c>
      <c r="AD59">
        <f t="shared" si="4"/>
        <v>15.141975308641973</v>
      </c>
      <c r="AE59">
        <f t="shared" si="5"/>
        <v>20.491635185185181</v>
      </c>
      <c r="AF59" s="9"/>
      <c r="AG59" s="22">
        <v>0.14679</v>
      </c>
      <c r="AH59" s="22">
        <v>17.461400000000001</v>
      </c>
      <c r="AI59" s="22">
        <v>-1.3946500000000001E-2</v>
      </c>
      <c r="AJ59" s="22">
        <v>49</v>
      </c>
      <c r="AK59" s="22">
        <v>0.14624000000000001</v>
      </c>
      <c r="AL59">
        <f t="shared" si="6"/>
        <v>17.217901234567901</v>
      </c>
      <c r="AM59">
        <f t="shared" si="7"/>
        <v>2.527415722222222</v>
      </c>
      <c r="AP59" s="9"/>
      <c r="AQ59" s="22">
        <v>1.3532999999999999</v>
      </c>
      <c r="AR59" s="22">
        <v>22.639199999999999</v>
      </c>
      <c r="AS59" s="22">
        <v>-1.22559E-2</v>
      </c>
      <c r="AT59" s="22">
        <v>49</v>
      </c>
      <c r="AU59" s="22">
        <v>1.35284</v>
      </c>
      <c r="AV59">
        <f t="shared" si="8"/>
        <v>15.130740740740739</v>
      </c>
      <c r="AW59">
        <f t="shared" si="9"/>
        <v>20.47643144444444</v>
      </c>
      <c r="AX59" s="9"/>
      <c r="AY59" s="22">
        <v>0.14679</v>
      </c>
      <c r="AZ59" s="22">
        <v>26.055599999999998</v>
      </c>
      <c r="BA59" s="22">
        <v>-1.39252E-2</v>
      </c>
      <c r="BB59" s="22">
        <v>49</v>
      </c>
      <c r="BC59" s="22">
        <v>0.146118</v>
      </c>
      <c r="BD59">
        <f t="shared" si="10"/>
        <v>17.191604938271606</v>
      </c>
      <c r="BE59">
        <f t="shared" si="11"/>
        <v>2.523555688888889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1.3482700000000001</v>
      </c>
      <c r="H60" s="22">
        <v>5.5388700000000002</v>
      </c>
      <c r="I60" s="22">
        <v>-1.2191799999999999E-2</v>
      </c>
      <c r="J60" s="22">
        <v>50</v>
      </c>
      <c r="K60" s="22">
        <v>1.3470500000000001</v>
      </c>
      <c r="L60">
        <f t="shared" si="0"/>
        <v>15.051604938271602</v>
      </c>
      <c r="M60">
        <f t="shared" si="1"/>
        <v>20.293627390123454</v>
      </c>
      <c r="N60" s="9"/>
      <c r="O60" s="22">
        <v>0.15182499999999999</v>
      </c>
      <c r="P60" s="22">
        <v>8.9552200000000006</v>
      </c>
      <c r="Q60" s="22">
        <v>-1.3946500000000001E-2</v>
      </c>
      <c r="R60" s="22">
        <v>50</v>
      </c>
      <c r="S60" s="22">
        <v>0.15127599999999999</v>
      </c>
      <c r="T60">
        <f t="shared" si="2"/>
        <v>17.217901234567901</v>
      </c>
      <c r="U60">
        <f t="shared" si="3"/>
        <v>2.6141078549382715</v>
      </c>
      <c r="X60" s="9"/>
      <c r="Y60" s="22">
        <v>1.3482700000000001</v>
      </c>
      <c r="Z60" s="22">
        <v>14.055099999999999</v>
      </c>
      <c r="AA60" s="22">
        <v>-1.23047E-2</v>
      </c>
      <c r="AB60" s="22">
        <v>50</v>
      </c>
      <c r="AC60" s="22">
        <v>1.3470500000000001</v>
      </c>
      <c r="AD60">
        <f t="shared" si="4"/>
        <v>15.190987654320987</v>
      </c>
      <c r="AE60">
        <f t="shared" si="5"/>
        <v>20.481552924691357</v>
      </c>
      <c r="AF60" s="9"/>
      <c r="AG60" s="22">
        <v>0.15182499999999999</v>
      </c>
      <c r="AH60" s="22">
        <v>17.471399999999999</v>
      </c>
      <c r="AI60" s="22">
        <v>-1.3946500000000001E-2</v>
      </c>
      <c r="AJ60" s="22">
        <v>50</v>
      </c>
      <c r="AK60" s="22">
        <v>0.15121499999999999</v>
      </c>
      <c r="AL60">
        <f t="shared" si="6"/>
        <v>17.217901234567901</v>
      </c>
      <c r="AM60">
        <f t="shared" si="7"/>
        <v>2.6141078549382715</v>
      </c>
      <c r="AP60" s="9"/>
      <c r="AQ60" s="22">
        <v>1.3482700000000001</v>
      </c>
      <c r="AR60" s="22">
        <v>22.6493</v>
      </c>
      <c r="AS60" s="22">
        <v>-1.2280299999999999E-2</v>
      </c>
      <c r="AT60" s="22">
        <v>50</v>
      </c>
      <c r="AU60" s="22">
        <v>1.34735</v>
      </c>
      <c r="AV60">
        <f t="shared" si="8"/>
        <v>15.160864197530863</v>
      </c>
      <c r="AW60">
        <f t="shared" si="9"/>
        <v>20.440938371604936</v>
      </c>
      <c r="AX60" s="9"/>
      <c r="AY60" s="22">
        <v>0.15182499999999999</v>
      </c>
      <c r="AZ60" s="22">
        <v>26.0656</v>
      </c>
      <c r="BA60" s="22">
        <v>-1.39252E-2</v>
      </c>
      <c r="BB60" s="22">
        <v>50</v>
      </c>
      <c r="BC60" s="22">
        <v>0.151306</v>
      </c>
      <c r="BD60">
        <f t="shared" si="10"/>
        <v>17.191604938271606</v>
      </c>
      <c r="BE60">
        <f t="shared" si="11"/>
        <v>2.6101154197530865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1.3432299999999999</v>
      </c>
      <c r="H61" s="22">
        <v>5.54894</v>
      </c>
      <c r="I61" s="22">
        <v>-1.2234500000000001E-2</v>
      </c>
      <c r="J61" s="22">
        <v>51</v>
      </c>
      <c r="K61" s="22">
        <v>1.3418600000000001</v>
      </c>
      <c r="L61">
        <f t="shared" si="0"/>
        <v>15.104320987654321</v>
      </c>
      <c r="M61">
        <f t="shared" si="1"/>
        <v>20.288577080246913</v>
      </c>
      <c r="N61" s="9"/>
      <c r="O61" s="22">
        <v>0.15686</v>
      </c>
      <c r="P61" s="22">
        <v>8.9652899999999995</v>
      </c>
      <c r="Q61" s="22">
        <v>-1.3946500000000001E-2</v>
      </c>
      <c r="R61" s="22">
        <v>51</v>
      </c>
      <c r="S61" s="22">
        <v>0.156281</v>
      </c>
      <c r="T61">
        <f t="shared" si="2"/>
        <v>17.217901234567901</v>
      </c>
      <c r="U61">
        <f t="shared" si="3"/>
        <v>2.7007999876543209</v>
      </c>
      <c r="X61" s="9"/>
      <c r="Y61" s="22">
        <v>1.3432299999999999</v>
      </c>
      <c r="Z61" s="22">
        <v>14.065099999999999</v>
      </c>
      <c r="AA61" s="22">
        <v>-1.23383E-2</v>
      </c>
      <c r="AB61" s="22">
        <v>51</v>
      </c>
      <c r="AC61" s="22">
        <v>1.3418600000000001</v>
      </c>
      <c r="AD61">
        <f t="shared" si="4"/>
        <v>15.232469135802468</v>
      </c>
      <c r="AE61">
        <f t="shared" si="5"/>
        <v>20.460709517283949</v>
      </c>
      <c r="AF61" s="9"/>
      <c r="AG61" s="22">
        <v>0.15686</v>
      </c>
      <c r="AH61" s="22">
        <v>17.4815</v>
      </c>
      <c r="AI61" s="22">
        <v>-1.3946500000000001E-2</v>
      </c>
      <c r="AJ61" s="22">
        <v>51</v>
      </c>
      <c r="AK61" s="22">
        <v>0.15634200000000001</v>
      </c>
      <c r="AL61">
        <f t="shared" si="6"/>
        <v>17.217901234567901</v>
      </c>
      <c r="AM61">
        <f t="shared" si="7"/>
        <v>2.7007999876543209</v>
      </c>
      <c r="AP61" s="9"/>
      <c r="AQ61" s="22">
        <v>1.3432299999999999</v>
      </c>
      <c r="AR61" s="22">
        <v>22.659400000000002</v>
      </c>
      <c r="AS61" s="22">
        <v>-1.23077E-2</v>
      </c>
      <c r="AT61" s="22">
        <v>51</v>
      </c>
      <c r="AU61" s="22">
        <v>1.3424700000000001</v>
      </c>
      <c r="AV61">
        <f t="shared" si="8"/>
        <v>15.19469135802469</v>
      </c>
      <c r="AW61">
        <f t="shared" si="9"/>
        <v>20.409965272839504</v>
      </c>
      <c r="AX61" s="9"/>
      <c r="AY61" s="22">
        <v>0.15686</v>
      </c>
      <c r="AZ61" s="22">
        <v>26.075700000000001</v>
      </c>
      <c r="BA61" s="22">
        <v>-1.3931300000000001E-2</v>
      </c>
      <c r="BB61" s="22">
        <v>51</v>
      </c>
      <c r="BC61" s="22">
        <v>0.15640299999999999</v>
      </c>
      <c r="BD61">
        <f t="shared" si="10"/>
        <v>17.199135802469137</v>
      </c>
      <c r="BE61">
        <f t="shared" si="11"/>
        <v>2.6978564419753086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1.3382000000000001</v>
      </c>
      <c r="H62" s="22">
        <v>5.5590099999999998</v>
      </c>
      <c r="I62" s="22">
        <v>-1.2265E-2</v>
      </c>
      <c r="J62" s="22">
        <v>52</v>
      </c>
      <c r="K62" s="22">
        <v>1.3375900000000001</v>
      </c>
      <c r="L62">
        <f t="shared" si="0"/>
        <v>15.141975308641973</v>
      </c>
      <c r="M62">
        <f t="shared" si="1"/>
        <v>20.262991358024689</v>
      </c>
      <c r="N62" s="9"/>
      <c r="O62" s="22">
        <v>0.16189600000000001</v>
      </c>
      <c r="P62" s="22">
        <v>8.9753600000000002</v>
      </c>
      <c r="Q62" s="22">
        <v>-1.3943499999999999E-2</v>
      </c>
      <c r="R62" s="22">
        <v>52</v>
      </c>
      <c r="S62" s="22">
        <v>0.16122400000000001</v>
      </c>
      <c r="T62">
        <f t="shared" si="2"/>
        <v>17.214197530864197</v>
      </c>
      <c r="U62">
        <f t="shared" si="3"/>
        <v>2.7869097234567901</v>
      </c>
      <c r="X62" s="9"/>
      <c r="Y62" s="22">
        <v>1.3382000000000001</v>
      </c>
      <c r="Z62" s="22">
        <v>14.075200000000001</v>
      </c>
      <c r="AA62" s="22">
        <v>-1.2383999999999999E-2</v>
      </c>
      <c r="AB62" s="22">
        <v>52</v>
      </c>
      <c r="AC62" s="22">
        <v>1.33728</v>
      </c>
      <c r="AD62">
        <f t="shared" si="4"/>
        <v>15.288888888888886</v>
      </c>
      <c r="AE62">
        <f t="shared" si="5"/>
        <v>20.459591111111109</v>
      </c>
      <c r="AF62" s="9"/>
      <c r="AG62" s="22">
        <v>0.16189600000000001</v>
      </c>
      <c r="AH62" s="22">
        <v>17.491599999999998</v>
      </c>
      <c r="AI62" s="22">
        <v>-1.39496E-2</v>
      </c>
      <c r="AJ62" s="22">
        <v>52</v>
      </c>
      <c r="AK62" s="22">
        <v>0.16134599999999999</v>
      </c>
      <c r="AL62">
        <f t="shared" si="6"/>
        <v>17.221728395061724</v>
      </c>
      <c r="AM62">
        <f t="shared" si="7"/>
        <v>2.7881289402469132</v>
      </c>
      <c r="AP62" s="9"/>
      <c r="AQ62" s="22">
        <v>1.3382000000000001</v>
      </c>
      <c r="AR62" s="22">
        <v>22.6694</v>
      </c>
      <c r="AS62" s="22">
        <v>-1.23474E-2</v>
      </c>
      <c r="AT62" s="22">
        <v>52</v>
      </c>
      <c r="AU62" s="22">
        <v>1.3369800000000001</v>
      </c>
      <c r="AV62">
        <f t="shared" si="8"/>
        <v>15.243703703703702</v>
      </c>
      <c r="AW62">
        <f t="shared" si="9"/>
        <v>20.399124296296293</v>
      </c>
      <c r="AX62" s="9"/>
      <c r="AY62" s="22">
        <v>0.16189600000000001</v>
      </c>
      <c r="AZ62" s="22">
        <v>26.085799999999999</v>
      </c>
      <c r="BA62" s="22">
        <v>-1.39282E-2</v>
      </c>
      <c r="BB62" s="22">
        <v>52</v>
      </c>
      <c r="BC62" s="22">
        <v>0.16134599999999999</v>
      </c>
      <c r="BD62">
        <f t="shared" si="10"/>
        <v>17.195308641975309</v>
      </c>
      <c r="BE62">
        <f t="shared" si="11"/>
        <v>2.7838516879012349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1.3331599999999999</v>
      </c>
      <c r="H63" s="22">
        <v>5.5690799999999996</v>
      </c>
      <c r="I63" s="22">
        <v>-1.22986E-2</v>
      </c>
      <c r="J63" s="22">
        <v>53</v>
      </c>
      <c r="K63" s="22">
        <v>1.33209</v>
      </c>
      <c r="L63">
        <f t="shared" si="0"/>
        <v>15.183456790123456</v>
      </c>
      <c r="M63">
        <f t="shared" si="1"/>
        <v>20.241977254320986</v>
      </c>
      <c r="N63" s="9"/>
      <c r="O63" s="22">
        <v>0.166931</v>
      </c>
      <c r="P63" s="22">
        <v>8.9854299999999991</v>
      </c>
      <c r="Q63" s="22">
        <v>-1.39343E-2</v>
      </c>
      <c r="R63" s="22">
        <v>53</v>
      </c>
      <c r="S63" s="22">
        <v>0.166382</v>
      </c>
      <c r="T63">
        <f t="shared" si="2"/>
        <v>17.202839506172836</v>
      </c>
      <c r="U63">
        <f t="shared" si="3"/>
        <v>2.8716872016049377</v>
      </c>
      <c r="X63" s="9"/>
      <c r="Y63" s="22">
        <v>1.3331599999999999</v>
      </c>
      <c r="Z63" s="22">
        <v>14.0853</v>
      </c>
      <c r="AA63" s="22">
        <v>-1.24329E-2</v>
      </c>
      <c r="AB63" s="22">
        <v>53</v>
      </c>
      <c r="AC63" s="22">
        <v>1.33209</v>
      </c>
      <c r="AD63">
        <f t="shared" si="4"/>
        <v>15.349259259259259</v>
      </c>
      <c r="AE63">
        <f t="shared" si="5"/>
        <v>20.463018474074072</v>
      </c>
      <c r="AF63" s="9"/>
      <c r="AG63" s="22">
        <v>0.166931</v>
      </c>
      <c r="AH63" s="22">
        <v>17.5016</v>
      </c>
      <c r="AI63" s="22">
        <v>-1.39496E-2</v>
      </c>
      <c r="AJ63" s="22">
        <v>53</v>
      </c>
      <c r="AK63" s="22">
        <v>0.166382</v>
      </c>
      <c r="AL63">
        <f t="shared" si="6"/>
        <v>17.221728395061724</v>
      </c>
      <c r="AM63">
        <f t="shared" si="7"/>
        <v>2.8748403427160487</v>
      </c>
      <c r="AP63" s="9"/>
      <c r="AQ63" s="22">
        <v>1.3331599999999999</v>
      </c>
      <c r="AR63" s="22">
        <v>22.679500000000001</v>
      </c>
      <c r="AS63" s="22">
        <v>-1.2383999999999999E-2</v>
      </c>
      <c r="AT63" s="22">
        <v>53</v>
      </c>
      <c r="AU63" s="22">
        <v>1.33209</v>
      </c>
      <c r="AV63">
        <f t="shared" si="8"/>
        <v>15.288888888888886</v>
      </c>
      <c r="AW63">
        <f t="shared" si="9"/>
        <v>20.382535111111107</v>
      </c>
      <c r="AX63" s="9"/>
      <c r="AY63" s="22">
        <v>0.166931</v>
      </c>
      <c r="AZ63" s="22">
        <v>26.0959</v>
      </c>
      <c r="BA63" s="22">
        <v>-1.39191E-2</v>
      </c>
      <c r="BB63" s="22">
        <v>53</v>
      </c>
      <c r="BC63" s="22">
        <v>0.166321</v>
      </c>
      <c r="BD63">
        <f t="shared" si="10"/>
        <v>17.184074074074076</v>
      </c>
      <c r="BE63">
        <f t="shared" si="11"/>
        <v>2.8685546692592596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1.32813</v>
      </c>
      <c r="H64" s="22">
        <v>5.5791599999999999</v>
      </c>
      <c r="I64" s="22">
        <v>-1.23322E-2</v>
      </c>
      <c r="J64" s="22">
        <v>54</v>
      </c>
      <c r="K64" s="22">
        <v>1.32751</v>
      </c>
      <c r="L64">
        <f t="shared" si="0"/>
        <v>15.224938271604938</v>
      </c>
      <c r="M64">
        <f t="shared" si="1"/>
        <v>20.220697266666665</v>
      </c>
      <c r="N64" s="9"/>
      <c r="O64" s="22">
        <v>0.17196700000000001</v>
      </c>
      <c r="P64" s="22">
        <v>8.9954999999999998</v>
      </c>
      <c r="Q64" s="22">
        <v>-1.39252E-2</v>
      </c>
      <c r="R64" s="22">
        <v>54</v>
      </c>
      <c r="S64" s="22">
        <v>0.17135600000000001</v>
      </c>
      <c r="T64">
        <f t="shared" si="2"/>
        <v>17.191604938271606</v>
      </c>
      <c r="U64">
        <f t="shared" si="3"/>
        <v>2.9563887264197533</v>
      </c>
      <c r="X64" s="9"/>
      <c r="Y64" s="22">
        <v>1.32813</v>
      </c>
      <c r="Z64" s="22">
        <v>14.0954</v>
      </c>
      <c r="AA64" s="22">
        <v>-1.2472499999999999E-2</v>
      </c>
      <c r="AB64" s="22">
        <v>54</v>
      </c>
      <c r="AC64" s="22">
        <v>1.32813</v>
      </c>
      <c r="AD64">
        <f t="shared" si="4"/>
        <v>15.398148148148147</v>
      </c>
      <c r="AE64">
        <f t="shared" si="5"/>
        <v>20.4507425</v>
      </c>
      <c r="AF64" s="9"/>
      <c r="AG64" s="22">
        <v>0.17196700000000001</v>
      </c>
      <c r="AH64" s="22">
        <v>17.511700000000001</v>
      </c>
      <c r="AI64" s="22">
        <v>-1.39557E-2</v>
      </c>
      <c r="AJ64" s="22">
        <v>54</v>
      </c>
      <c r="AK64" s="22">
        <v>0.17135600000000001</v>
      </c>
      <c r="AL64">
        <f t="shared" si="6"/>
        <v>17.229259259259258</v>
      </c>
      <c r="AM64">
        <f t="shared" si="7"/>
        <v>2.9628640270370372</v>
      </c>
      <c r="AP64" s="9"/>
      <c r="AQ64" s="22">
        <v>1.32813</v>
      </c>
      <c r="AR64" s="22">
        <v>22.689599999999999</v>
      </c>
      <c r="AS64" s="22">
        <v>-1.2423699999999999E-2</v>
      </c>
      <c r="AT64" s="22">
        <v>54</v>
      </c>
      <c r="AU64" s="22">
        <v>1.32721</v>
      </c>
      <c r="AV64">
        <f t="shared" si="8"/>
        <v>15.3379012345679</v>
      </c>
      <c r="AW64">
        <f t="shared" si="9"/>
        <v>20.370726766666664</v>
      </c>
      <c r="AX64" s="9"/>
      <c r="AY64" s="22">
        <v>0.17196700000000001</v>
      </c>
      <c r="AZ64" s="22">
        <v>26.105899999999998</v>
      </c>
      <c r="BA64" s="22">
        <v>-1.3916E-2</v>
      </c>
      <c r="BB64" s="22">
        <v>54</v>
      </c>
      <c r="BC64" s="22">
        <v>0.17141700000000001</v>
      </c>
      <c r="BD64">
        <f t="shared" si="10"/>
        <v>17.180246913580245</v>
      </c>
      <c r="BE64">
        <f t="shared" si="11"/>
        <v>2.9544355209876541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1.3230900000000001</v>
      </c>
      <c r="H65" s="22">
        <v>5.5892299999999997</v>
      </c>
      <c r="I65" s="22">
        <v>-1.23657E-2</v>
      </c>
      <c r="J65" s="22">
        <v>55</v>
      </c>
      <c r="K65" s="22">
        <v>1.32233</v>
      </c>
      <c r="L65">
        <f t="shared" si="0"/>
        <v>15.266296296296295</v>
      </c>
      <c r="M65">
        <f t="shared" si="1"/>
        <v>20.198683966666668</v>
      </c>
      <c r="N65" s="9"/>
      <c r="O65" s="22">
        <v>0.17700199999999999</v>
      </c>
      <c r="P65" s="22">
        <v>9.0055700000000005</v>
      </c>
      <c r="Q65" s="22">
        <v>-1.3916E-2</v>
      </c>
      <c r="R65" s="22">
        <v>55</v>
      </c>
      <c r="S65" s="22">
        <v>0.17633099999999999</v>
      </c>
      <c r="T65">
        <f t="shared" si="2"/>
        <v>17.180246913580245</v>
      </c>
      <c r="U65">
        <f t="shared" si="3"/>
        <v>3.0409380641975305</v>
      </c>
      <c r="X65" s="9"/>
      <c r="Y65" s="22">
        <v>1.3230900000000001</v>
      </c>
      <c r="Z65" s="22">
        <v>14.105399999999999</v>
      </c>
      <c r="AA65" s="22">
        <v>-1.2506099999999999E-2</v>
      </c>
      <c r="AB65" s="22">
        <v>55</v>
      </c>
      <c r="AC65" s="22">
        <v>1.32202</v>
      </c>
      <c r="AD65">
        <f t="shared" si="4"/>
        <v>15.439629629629628</v>
      </c>
      <c r="AE65">
        <f t="shared" si="5"/>
        <v>20.428019566666666</v>
      </c>
      <c r="AF65" s="9"/>
      <c r="AG65" s="22">
        <v>0.17700199999999999</v>
      </c>
      <c r="AH65" s="22">
        <v>17.521799999999999</v>
      </c>
      <c r="AI65" s="22">
        <v>-1.39557E-2</v>
      </c>
      <c r="AJ65" s="22">
        <v>55</v>
      </c>
      <c r="AK65" s="22">
        <v>0.176453</v>
      </c>
      <c r="AL65">
        <f t="shared" si="6"/>
        <v>17.229259259259258</v>
      </c>
      <c r="AM65">
        <f t="shared" si="7"/>
        <v>3.0496133474074072</v>
      </c>
      <c r="AP65" s="9"/>
      <c r="AQ65" s="22">
        <v>1.3230900000000001</v>
      </c>
      <c r="AR65" s="22">
        <v>22.6996</v>
      </c>
      <c r="AS65" s="22">
        <v>-1.24695E-2</v>
      </c>
      <c r="AT65" s="22">
        <v>55</v>
      </c>
      <c r="AU65" s="22">
        <v>1.32202</v>
      </c>
      <c r="AV65">
        <f t="shared" si="8"/>
        <v>15.394444444444444</v>
      </c>
      <c r="AW65">
        <f t="shared" si="9"/>
        <v>20.368235500000001</v>
      </c>
      <c r="AX65" s="9"/>
      <c r="AY65" s="22">
        <v>0.17700199999999999</v>
      </c>
      <c r="AZ65" s="22">
        <v>26.116</v>
      </c>
      <c r="BA65" s="22">
        <v>-1.3913E-2</v>
      </c>
      <c r="BB65" s="22">
        <v>55</v>
      </c>
      <c r="BC65" s="22">
        <v>0.176483</v>
      </c>
      <c r="BD65">
        <f t="shared" si="10"/>
        <v>17.176543209876542</v>
      </c>
      <c r="BE65">
        <f t="shared" si="11"/>
        <v>3.0402825012345676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1.3180499999999999</v>
      </c>
      <c r="H66" s="22">
        <v>5.5993000000000004</v>
      </c>
      <c r="I66" s="22">
        <v>-1.23962E-2</v>
      </c>
      <c r="J66" s="22">
        <v>56</v>
      </c>
      <c r="K66" s="22">
        <v>1.3168299999999999</v>
      </c>
      <c r="L66">
        <f t="shared" si="0"/>
        <v>15.303950617283951</v>
      </c>
      <c r="M66">
        <f t="shared" si="1"/>
        <v>20.171372111111111</v>
      </c>
      <c r="N66" s="9"/>
      <c r="O66" s="22">
        <v>0.182037</v>
      </c>
      <c r="P66" s="22">
        <v>9.0156500000000008</v>
      </c>
      <c r="Q66" s="22">
        <v>-1.3913E-2</v>
      </c>
      <c r="R66" s="22">
        <v>56</v>
      </c>
      <c r="S66" s="22">
        <v>0.18148800000000001</v>
      </c>
      <c r="T66">
        <f t="shared" si="2"/>
        <v>17.176543209876542</v>
      </c>
      <c r="U66">
        <f t="shared" si="3"/>
        <v>3.1267663962962962</v>
      </c>
      <c r="X66" s="9"/>
      <c r="Y66" s="22">
        <v>1.3180499999999999</v>
      </c>
      <c r="Z66" s="22">
        <v>14.115500000000001</v>
      </c>
      <c r="AA66" s="22">
        <v>-1.25427E-2</v>
      </c>
      <c r="AB66" s="22">
        <v>56</v>
      </c>
      <c r="AC66" s="22">
        <v>1.3168299999999999</v>
      </c>
      <c r="AD66">
        <f t="shared" si="4"/>
        <v>15.484814814814815</v>
      </c>
      <c r="AE66">
        <f t="shared" si="5"/>
        <v>20.409760166666665</v>
      </c>
      <c r="AF66" s="9"/>
      <c r="AG66" s="22">
        <v>0.182037</v>
      </c>
      <c r="AH66" s="22">
        <v>17.5319</v>
      </c>
      <c r="AI66" s="22">
        <v>-1.3958699999999999E-2</v>
      </c>
      <c r="AJ66" s="22">
        <v>56</v>
      </c>
      <c r="AK66" s="22">
        <v>0.18145800000000001</v>
      </c>
      <c r="AL66">
        <f t="shared" si="6"/>
        <v>17.232962962962961</v>
      </c>
      <c r="AM66">
        <f t="shared" si="7"/>
        <v>3.1370368788888885</v>
      </c>
      <c r="AP66" s="9"/>
      <c r="AQ66" s="22">
        <v>1.3180499999999999</v>
      </c>
      <c r="AR66" s="22">
        <v>22.709700000000002</v>
      </c>
      <c r="AS66" s="22">
        <v>-1.2506099999999999E-2</v>
      </c>
      <c r="AT66" s="22">
        <v>56</v>
      </c>
      <c r="AU66" s="22">
        <v>1.3174399999999999</v>
      </c>
      <c r="AV66">
        <f t="shared" si="8"/>
        <v>15.439629629629628</v>
      </c>
      <c r="AW66">
        <f t="shared" si="9"/>
        <v>20.350203833333332</v>
      </c>
      <c r="AX66" s="9"/>
      <c r="AY66" s="22">
        <v>0.182037</v>
      </c>
      <c r="AZ66" s="22">
        <v>26.126100000000001</v>
      </c>
      <c r="BA66" s="22">
        <v>-1.3913E-2</v>
      </c>
      <c r="BB66" s="22">
        <v>56</v>
      </c>
      <c r="BC66" s="22">
        <v>0.18151900000000001</v>
      </c>
      <c r="BD66">
        <f t="shared" si="10"/>
        <v>17.176543209876542</v>
      </c>
      <c r="BE66">
        <f t="shared" si="11"/>
        <v>3.1267663962962962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1.3130200000000001</v>
      </c>
      <c r="H67" s="22">
        <v>5.6093700000000002</v>
      </c>
      <c r="I67" s="22">
        <v>-1.24268E-2</v>
      </c>
      <c r="J67" s="22">
        <v>57</v>
      </c>
      <c r="K67" s="22">
        <v>1.31226</v>
      </c>
      <c r="L67">
        <f t="shared" si="0"/>
        <v>15.341728395061727</v>
      </c>
      <c r="M67">
        <f t="shared" si="1"/>
        <v>20.143996217283949</v>
      </c>
      <c r="N67" s="9"/>
      <c r="O67" s="22">
        <v>0.18707299999999999</v>
      </c>
      <c r="P67" s="22">
        <v>9.0257199999999997</v>
      </c>
      <c r="Q67" s="22">
        <v>-1.3909899999999999E-2</v>
      </c>
      <c r="R67" s="22">
        <v>57</v>
      </c>
      <c r="S67" s="22">
        <v>0.18640100000000001</v>
      </c>
      <c r="T67">
        <f t="shared" si="2"/>
        <v>17.172716049382714</v>
      </c>
      <c r="U67">
        <f t="shared" si="3"/>
        <v>3.2125515095061723</v>
      </c>
      <c r="X67" s="9"/>
      <c r="Y67" s="22">
        <v>1.3130200000000001</v>
      </c>
      <c r="Z67" s="22">
        <v>14.1256</v>
      </c>
      <c r="AA67" s="22">
        <v>-1.25793E-2</v>
      </c>
      <c r="AB67" s="22">
        <v>57</v>
      </c>
      <c r="AC67" s="22">
        <v>1.3119499999999999</v>
      </c>
      <c r="AD67">
        <f t="shared" si="4"/>
        <v>15.53</v>
      </c>
      <c r="AE67">
        <f t="shared" si="5"/>
        <v>20.391200600000001</v>
      </c>
      <c r="AF67" s="9"/>
      <c r="AG67" s="22">
        <v>0.18707299999999999</v>
      </c>
      <c r="AH67" s="22">
        <v>17.541899999999998</v>
      </c>
      <c r="AI67" s="22">
        <v>-1.3958699999999999E-2</v>
      </c>
      <c r="AJ67" s="22">
        <v>57</v>
      </c>
      <c r="AK67" s="22">
        <v>0.18649299999999999</v>
      </c>
      <c r="AL67">
        <f t="shared" si="6"/>
        <v>17.232962962962961</v>
      </c>
      <c r="AM67">
        <f t="shared" si="7"/>
        <v>3.2238220803703701</v>
      </c>
      <c r="AP67" s="9"/>
      <c r="AQ67" s="22">
        <v>1.3130200000000001</v>
      </c>
      <c r="AR67" s="22">
        <v>22.719799999999999</v>
      </c>
      <c r="AS67" s="22">
        <v>-1.2539700000000001E-2</v>
      </c>
      <c r="AT67" s="22">
        <v>57</v>
      </c>
      <c r="AU67" s="22">
        <v>1.31226</v>
      </c>
      <c r="AV67">
        <f t="shared" si="8"/>
        <v>15.48111111111111</v>
      </c>
      <c r="AW67">
        <f t="shared" si="9"/>
        <v>20.32700851111111</v>
      </c>
      <c r="AX67" s="9"/>
      <c r="AY67" s="22">
        <v>0.18707299999999999</v>
      </c>
      <c r="AZ67" s="22">
        <v>26.136099999999999</v>
      </c>
      <c r="BA67" s="22">
        <v>-1.3909899999999999E-2</v>
      </c>
      <c r="BB67" s="22">
        <v>57</v>
      </c>
      <c r="BC67" s="22">
        <v>0.18649299999999999</v>
      </c>
      <c r="BD67">
        <f t="shared" si="10"/>
        <v>17.172716049382714</v>
      </c>
      <c r="BE67">
        <f t="shared" si="11"/>
        <v>3.2125515095061723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1.3079799999999999</v>
      </c>
      <c r="H68" s="22">
        <v>5.61944</v>
      </c>
      <c r="I68" s="22">
        <v>-1.2463399999999999E-2</v>
      </c>
      <c r="J68" s="22">
        <v>58</v>
      </c>
      <c r="K68" s="22">
        <v>1.30768</v>
      </c>
      <c r="L68">
        <f t="shared" si="0"/>
        <v>15.386913580246912</v>
      </c>
      <c r="M68">
        <f t="shared" si="1"/>
        <v>20.125775224691353</v>
      </c>
      <c r="N68" s="9"/>
      <c r="O68" s="22">
        <v>0.192108</v>
      </c>
      <c r="P68" s="22">
        <v>9.0357900000000004</v>
      </c>
      <c r="Q68" s="22">
        <v>-1.39191E-2</v>
      </c>
      <c r="R68" s="22">
        <v>58</v>
      </c>
      <c r="S68" s="22">
        <v>0.19158900000000001</v>
      </c>
      <c r="T68">
        <f t="shared" si="2"/>
        <v>17.184074074074076</v>
      </c>
      <c r="U68">
        <f t="shared" si="3"/>
        <v>3.3011981022222225</v>
      </c>
      <c r="X68" s="9"/>
      <c r="Y68" s="22">
        <v>1.3079799999999999</v>
      </c>
      <c r="Z68" s="22">
        <v>14.1356</v>
      </c>
      <c r="AA68" s="22">
        <v>-1.26129E-2</v>
      </c>
      <c r="AB68" s="22">
        <v>58</v>
      </c>
      <c r="AC68" s="22">
        <v>1.3073699999999999</v>
      </c>
      <c r="AD68">
        <f t="shared" si="4"/>
        <v>15.571481481481479</v>
      </c>
      <c r="AE68">
        <f t="shared" si="5"/>
        <v>20.367186348148145</v>
      </c>
      <c r="AF68" s="9"/>
      <c r="AG68" s="22">
        <v>0.192108</v>
      </c>
      <c r="AH68" s="22">
        <v>17.552</v>
      </c>
      <c r="AI68" s="22">
        <v>-1.39557E-2</v>
      </c>
      <c r="AJ68" s="22">
        <v>58</v>
      </c>
      <c r="AK68" s="22">
        <v>0.191498</v>
      </c>
      <c r="AL68">
        <f t="shared" si="6"/>
        <v>17.229259259259258</v>
      </c>
      <c r="AM68">
        <f t="shared" si="7"/>
        <v>3.3098785377777777</v>
      </c>
      <c r="AP68" s="9"/>
      <c r="AQ68" s="22">
        <v>1.3079799999999999</v>
      </c>
      <c r="AR68" s="22">
        <v>22.729900000000001</v>
      </c>
      <c r="AS68" s="22">
        <v>-1.25763E-2</v>
      </c>
      <c r="AT68" s="22">
        <v>58</v>
      </c>
      <c r="AU68" s="22">
        <v>1.3073699999999999</v>
      </c>
      <c r="AV68">
        <f t="shared" si="8"/>
        <v>15.526296296296294</v>
      </c>
      <c r="AW68">
        <f t="shared" si="9"/>
        <v>20.308085029629627</v>
      </c>
      <c r="AX68" s="9"/>
      <c r="AY68" s="22">
        <v>0.192108</v>
      </c>
      <c r="AZ68" s="22">
        <v>26.1462</v>
      </c>
      <c r="BA68" s="22">
        <v>-1.39069E-2</v>
      </c>
      <c r="BB68" s="22">
        <v>58</v>
      </c>
      <c r="BC68" s="22">
        <v>0.19162000000000001</v>
      </c>
      <c r="BD68">
        <f t="shared" si="10"/>
        <v>17.169012345679011</v>
      </c>
      <c r="BE68">
        <f t="shared" si="11"/>
        <v>3.2983046237037037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1.3029500000000001</v>
      </c>
      <c r="H69" s="22">
        <v>5.6295099999999998</v>
      </c>
      <c r="I69" s="22">
        <v>-1.24969E-2</v>
      </c>
      <c r="J69" s="22">
        <v>59</v>
      </c>
      <c r="K69" s="22">
        <v>1.30219</v>
      </c>
      <c r="L69">
        <f t="shared" si="0"/>
        <v>15.428271604938271</v>
      </c>
      <c r="M69">
        <f t="shared" si="1"/>
        <v>20.102266487654319</v>
      </c>
      <c r="N69" s="9"/>
      <c r="O69" s="22">
        <v>0.19714400000000001</v>
      </c>
      <c r="P69" s="22">
        <v>9.0458599999999993</v>
      </c>
      <c r="Q69" s="22">
        <v>-1.39191E-2</v>
      </c>
      <c r="R69" s="22">
        <v>59</v>
      </c>
      <c r="S69" s="22">
        <v>0.19656399999999999</v>
      </c>
      <c r="T69">
        <f t="shared" si="2"/>
        <v>17.184074074074076</v>
      </c>
      <c r="U69">
        <f t="shared" si="3"/>
        <v>3.3877370992592599</v>
      </c>
      <c r="X69" s="9"/>
      <c r="Y69" s="22">
        <v>1.3029500000000001</v>
      </c>
      <c r="Z69" s="22">
        <v>14.1457</v>
      </c>
      <c r="AA69" s="22">
        <v>-1.26465E-2</v>
      </c>
      <c r="AB69" s="22">
        <v>59</v>
      </c>
      <c r="AC69" s="22">
        <v>1.30219</v>
      </c>
      <c r="AD69">
        <f t="shared" si="4"/>
        <v>15.612962962962962</v>
      </c>
      <c r="AE69">
        <f t="shared" si="5"/>
        <v>20.342910092592593</v>
      </c>
      <c r="AF69" s="9"/>
      <c r="AG69" s="22">
        <v>0.19714400000000001</v>
      </c>
      <c r="AH69" s="22">
        <v>17.562100000000001</v>
      </c>
      <c r="AI69" s="22">
        <v>-1.39557E-2</v>
      </c>
      <c r="AJ69" s="22">
        <v>59</v>
      </c>
      <c r="AK69" s="22">
        <v>0.196655</v>
      </c>
      <c r="AL69">
        <f t="shared" si="6"/>
        <v>17.229259259259258</v>
      </c>
      <c r="AM69">
        <f t="shared" si="7"/>
        <v>3.3966450874074074</v>
      </c>
      <c r="AP69" s="9"/>
      <c r="AQ69" s="22">
        <v>1.3029500000000001</v>
      </c>
      <c r="AR69" s="22">
        <v>22.739899999999999</v>
      </c>
      <c r="AS69" s="22">
        <v>-1.26068E-2</v>
      </c>
      <c r="AT69" s="22">
        <v>59</v>
      </c>
      <c r="AU69" s="22">
        <v>1.3018799999999999</v>
      </c>
      <c r="AV69">
        <f t="shared" si="8"/>
        <v>15.56395061728395</v>
      </c>
      <c r="AW69">
        <f t="shared" si="9"/>
        <v>20.279049456790123</v>
      </c>
      <c r="AX69" s="9"/>
      <c r="AY69" s="22">
        <v>0.19714400000000001</v>
      </c>
      <c r="AZ69" s="22">
        <v>26.156300000000002</v>
      </c>
      <c r="BA69" s="22">
        <v>-1.39008E-2</v>
      </c>
      <c r="BB69" s="22">
        <v>59</v>
      </c>
      <c r="BC69" s="22">
        <v>0.196716</v>
      </c>
      <c r="BD69">
        <f t="shared" si="10"/>
        <v>17.161481481481481</v>
      </c>
      <c r="BE69">
        <f t="shared" si="11"/>
        <v>3.383283105185185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1.2979099999999999</v>
      </c>
      <c r="H70" s="22">
        <v>5.6395799999999996</v>
      </c>
      <c r="I70" s="22">
        <v>-1.2533600000000001E-2</v>
      </c>
      <c r="J70" s="22">
        <v>60</v>
      </c>
      <c r="K70" s="22">
        <v>1.2969999999999999</v>
      </c>
      <c r="L70">
        <f t="shared" si="0"/>
        <v>15.473580246913581</v>
      </c>
      <c r="M70">
        <f t="shared" si="1"/>
        <v>20.083314538271605</v>
      </c>
      <c r="N70" s="9"/>
      <c r="O70" s="22">
        <v>0.202179</v>
      </c>
      <c r="P70" s="22">
        <v>9.05593</v>
      </c>
      <c r="Q70" s="22">
        <v>-1.3909899999999999E-2</v>
      </c>
      <c r="R70" s="22">
        <v>60</v>
      </c>
      <c r="S70" s="22">
        <v>0.201599</v>
      </c>
      <c r="T70">
        <f t="shared" si="2"/>
        <v>17.172716049382714</v>
      </c>
      <c r="U70">
        <f t="shared" si="3"/>
        <v>3.4719625581481477</v>
      </c>
      <c r="X70" s="9"/>
      <c r="Y70" s="22">
        <v>1.2979099999999999</v>
      </c>
      <c r="Z70" s="22">
        <v>14.155799999999999</v>
      </c>
      <c r="AA70" s="22">
        <v>-1.2670900000000001E-2</v>
      </c>
      <c r="AB70" s="22">
        <v>60</v>
      </c>
      <c r="AC70" s="22">
        <v>1.2969999999999999</v>
      </c>
      <c r="AD70">
        <f t="shared" si="4"/>
        <v>15.643086419753088</v>
      </c>
      <c r="AE70">
        <f t="shared" si="5"/>
        <v>20.303318295061729</v>
      </c>
      <c r="AF70" s="9"/>
      <c r="AG70" s="22">
        <v>0.202179</v>
      </c>
      <c r="AH70" s="22">
        <v>17.572099999999999</v>
      </c>
      <c r="AI70" s="22">
        <v>-1.39557E-2</v>
      </c>
      <c r="AJ70" s="22">
        <v>60</v>
      </c>
      <c r="AK70" s="22">
        <v>0.20150799999999999</v>
      </c>
      <c r="AL70">
        <f t="shared" si="6"/>
        <v>17.229259259259258</v>
      </c>
      <c r="AM70">
        <f t="shared" si="7"/>
        <v>3.4833944077777774</v>
      </c>
      <c r="AP70" s="9"/>
      <c r="AQ70" s="22">
        <v>1.2979099999999999</v>
      </c>
      <c r="AR70" s="22">
        <v>22.75</v>
      </c>
      <c r="AS70" s="22">
        <v>-1.2634299999999999E-2</v>
      </c>
      <c r="AT70" s="22">
        <v>60</v>
      </c>
      <c r="AU70" s="22">
        <v>1.2966899999999999</v>
      </c>
      <c r="AV70">
        <f t="shared" si="8"/>
        <v>15.5979012345679</v>
      </c>
      <c r="AW70">
        <f t="shared" si="9"/>
        <v>20.244671991358022</v>
      </c>
      <c r="AX70" s="9"/>
      <c r="AY70" s="22">
        <v>0.202179</v>
      </c>
      <c r="AZ70" s="22">
        <v>26.1663</v>
      </c>
      <c r="BA70" s="22">
        <v>-1.39008E-2</v>
      </c>
      <c r="BB70" s="22">
        <v>60</v>
      </c>
      <c r="BC70" s="22">
        <v>0.201569</v>
      </c>
      <c r="BD70">
        <f t="shared" si="10"/>
        <v>17.161481481481481</v>
      </c>
      <c r="BE70">
        <f t="shared" si="11"/>
        <v>3.4696911644444444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1.29288</v>
      </c>
      <c r="H71" s="22">
        <v>5.6496500000000003</v>
      </c>
      <c r="I71" s="22">
        <v>-1.2560999999999999E-2</v>
      </c>
      <c r="J71" s="22">
        <v>61</v>
      </c>
      <c r="K71" s="22">
        <v>1.2921100000000001</v>
      </c>
      <c r="L71">
        <f t="shared" si="0"/>
        <v>15.507407407407406</v>
      </c>
      <c r="M71">
        <f t="shared" si="1"/>
        <v>20.049216888888889</v>
      </c>
      <c r="N71" s="9"/>
      <c r="O71" s="22">
        <v>0.20721400000000001</v>
      </c>
      <c r="P71" s="22">
        <v>9.0660000000000007</v>
      </c>
      <c r="Q71" s="22">
        <v>-1.3894699999999999E-2</v>
      </c>
      <c r="R71" s="22">
        <v>61</v>
      </c>
      <c r="S71" s="22">
        <v>0.20660400000000001</v>
      </c>
      <c r="T71">
        <f t="shared" si="2"/>
        <v>17.153950617283947</v>
      </c>
      <c r="U71">
        <f t="shared" si="3"/>
        <v>3.554538723209876</v>
      </c>
      <c r="X71" s="9"/>
      <c r="Y71" s="22">
        <v>1.29288</v>
      </c>
      <c r="Z71" s="22">
        <v>14.165900000000001</v>
      </c>
      <c r="AA71" s="22">
        <v>-1.26953E-2</v>
      </c>
      <c r="AB71" s="22">
        <v>61</v>
      </c>
      <c r="AC71" s="22">
        <v>1.2921100000000001</v>
      </c>
      <c r="AD71">
        <f t="shared" si="4"/>
        <v>15.67320987654321</v>
      </c>
      <c r="AE71">
        <f t="shared" si="5"/>
        <v>20.263579585185184</v>
      </c>
      <c r="AF71" s="9"/>
      <c r="AG71" s="22">
        <v>0.20721400000000001</v>
      </c>
      <c r="AH71" s="22">
        <v>17.5822</v>
      </c>
      <c r="AI71" s="22">
        <v>-1.39496E-2</v>
      </c>
      <c r="AJ71" s="22">
        <v>61</v>
      </c>
      <c r="AK71" s="22">
        <v>0.20666499999999999</v>
      </c>
      <c r="AL71">
        <f t="shared" si="6"/>
        <v>17.221728395061724</v>
      </c>
      <c r="AM71">
        <f t="shared" si="7"/>
        <v>3.5685832276543201</v>
      </c>
      <c r="AP71" s="9"/>
      <c r="AQ71" s="22">
        <v>1.29288</v>
      </c>
      <c r="AR71" s="22">
        <v>22.760100000000001</v>
      </c>
      <c r="AS71" s="22">
        <v>-1.26587E-2</v>
      </c>
      <c r="AT71" s="22">
        <v>61</v>
      </c>
      <c r="AU71" s="22">
        <v>1.2921100000000001</v>
      </c>
      <c r="AV71">
        <f t="shared" si="8"/>
        <v>15.628024691358023</v>
      </c>
      <c r="AW71">
        <f t="shared" si="9"/>
        <v>20.205160562962963</v>
      </c>
      <c r="AX71" s="9"/>
      <c r="AY71" s="22">
        <v>0.20721400000000001</v>
      </c>
      <c r="AZ71" s="22">
        <v>26.176400000000001</v>
      </c>
      <c r="BA71" s="22">
        <v>-1.39008E-2</v>
      </c>
      <c r="BB71" s="22">
        <v>61</v>
      </c>
      <c r="BC71" s="22">
        <v>0.20660400000000001</v>
      </c>
      <c r="BD71">
        <f t="shared" si="10"/>
        <v>17.161481481481481</v>
      </c>
      <c r="BE71">
        <f t="shared" si="11"/>
        <v>3.5560992237037037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1.2878400000000001</v>
      </c>
      <c r="H72" s="22">
        <v>5.6597200000000001</v>
      </c>
      <c r="I72" s="22">
        <v>-1.25916E-2</v>
      </c>
      <c r="J72" s="22">
        <v>62</v>
      </c>
      <c r="K72" s="22">
        <v>1.2866200000000001</v>
      </c>
      <c r="L72">
        <f t="shared" si="0"/>
        <v>15.545185185185185</v>
      </c>
      <c r="M72">
        <f t="shared" si="1"/>
        <v>20.019711288888889</v>
      </c>
      <c r="N72" s="9"/>
      <c r="O72" s="22">
        <v>0.21224999999999999</v>
      </c>
      <c r="P72" s="22">
        <v>9.0760699999999996</v>
      </c>
      <c r="Q72" s="22">
        <v>-1.38794E-2</v>
      </c>
      <c r="R72" s="22">
        <v>62</v>
      </c>
      <c r="S72" s="22">
        <v>0.2117</v>
      </c>
      <c r="T72">
        <f t="shared" si="2"/>
        <v>17.135061728395058</v>
      </c>
      <c r="U72">
        <f t="shared" si="3"/>
        <v>3.6369168518518511</v>
      </c>
      <c r="X72" s="9"/>
      <c r="Y72" s="22">
        <v>1.2878400000000001</v>
      </c>
      <c r="Z72" s="22">
        <v>14.1759</v>
      </c>
      <c r="AA72" s="22">
        <v>-1.2725800000000001E-2</v>
      </c>
      <c r="AB72" s="22">
        <v>62</v>
      </c>
      <c r="AC72" s="22">
        <v>1.2869299999999999</v>
      </c>
      <c r="AD72">
        <f t="shared" si="4"/>
        <v>15.710864197530865</v>
      </c>
      <c r="AE72">
        <f t="shared" si="5"/>
        <v>20.233079348148152</v>
      </c>
      <c r="AF72" s="9"/>
      <c r="AG72" s="22">
        <v>0.21224999999999999</v>
      </c>
      <c r="AH72" s="22">
        <v>17.592300000000002</v>
      </c>
      <c r="AI72" s="22">
        <v>-1.39343E-2</v>
      </c>
      <c r="AJ72" s="22">
        <v>62</v>
      </c>
      <c r="AK72" s="22">
        <v>0.21163899999999999</v>
      </c>
      <c r="AL72">
        <f t="shared" si="6"/>
        <v>17.202839506172836</v>
      </c>
      <c r="AM72">
        <f t="shared" si="7"/>
        <v>3.6513026851851844</v>
      </c>
      <c r="AP72" s="9"/>
      <c r="AQ72" s="22">
        <v>1.2878400000000001</v>
      </c>
      <c r="AR72" s="22">
        <v>22.770099999999999</v>
      </c>
      <c r="AS72" s="22">
        <v>-1.26801E-2</v>
      </c>
      <c r="AT72" s="22">
        <v>62</v>
      </c>
      <c r="AU72" s="22">
        <v>1.2869299999999999</v>
      </c>
      <c r="AV72">
        <f t="shared" si="8"/>
        <v>15.654444444444444</v>
      </c>
      <c r="AW72">
        <f t="shared" si="9"/>
        <v>20.160419733333335</v>
      </c>
      <c r="AX72" s="9"/>
      <c r="AY72" s="22">
        <v>0.21224999999999999</v>
      </c>
      <c r="AZ72" s="22">
        <v>26.186499999999999</v>
      </c>
      <c r="BA72" s="22">
        <v>-1.3909899999999999E-2</v>
      </c>
      <c r="BB72" s="22">
        <v>62</v>
      </c>
      <c r="BC72" s="22">
        <v>0.211731</v>
      </c>
      <c r="BD72">
        <f t="shared" si="10"/>
        <v>17.172716049382714</v>
      </c>
      <c r="BE72">
        <f t="shared" si="11"/>
        <v>3.644908981481481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1.28281</v>
      </c>
      <c r="H73" s="22">
        <v>5.6697899999999999</v>
      </c>
      <c r="I73" s="22">
        <v>-1.2616E-2</v>
      </c>
      <c r="J73" s="22">
        <v>63</v>
      </c>
      <c r="K73" s="22">
        <v>1.2823500000000001</v>
      </c>
      <c r="L73">
        <f t="shared" si="0"/>
        <v>15.575308641975308</v>
      </c>
      <c r="M73">
        <f t="shared" si="1"/>
        <v>19.980161679012344</v>
      </c>
      <c r="N73" s="9"/>
      <c r="O73" s="22">
        <v>0.21728500000000001</v>
      </c>
      <c r="P73" s="22">
        <v>9.0861400000000003</v>
      </c>
      <c r="Q73" s="22">
        <v>-1.3861099999999999E-2</v>
      </c>
      <c r="R73" s="22">
        <v>63</v>
      </c>
      <c r="S73" s="22">
        <v>0.21670500000000001</v>
      </c>
      <c r="T73">
        <f t="shared" si="2"/>
        <v>17.112469135802467</v>
      </c>
      <c r="U73">
        <f t="shared" si="3"/>
        <v>3.7182828561728392</v>
      </c>
      <c r="X73" s="9"/>
      <c r="Y73" s="22">
        <v>1.28281</v>
      </c>
      <c r="Z73" s="22">
        <v>14.186</v>
      </c>
      <c r="AA73" s="22">
        <v>-1.27502E-2</v>
      </c>
      <c r="AB73" s="22">
        <v>63</v>
      </c>
      <c r="AC73" s="22">
        <v>1.2817400000000001</v>
      </c>
      <c r="AD73">
        <f t="shared" si="4"/>
        <v>15.740987654320987</v>
      </c>
      <c r="AE73">
        <f t="shared" si="5"/>
        <v>20.192696372839507</v>
      </c>
      <c r="AF73" s="9"/>
      <c r="AG73" s="22">
        <v>0.21728500000000001</v>
      </c>
      <c r="AH73" s="22">
        <v>17.602399999999999</v>
      </c>
      <c r="AI73" s="22">
        <v>-1.39221E-2</v>
      </c>
      <c r="AJ73" s="22">
        <v>63</v>
      </c>
      <c r="AK73" s="22">
        <v>0.21673600000000001</v>
      </c>
      <c r="AL73">
        <f t="shared" si="6"/>
        <v>17.187777777777779</v>
      </c>
      <c r="AM73">
        <f t="shared" si="7"/>
        <v>3.734646294444445</v>
      </c>
      <c r="AP73" s="9"/>
      <c r="AQ73" s="22">
        <v>1.28281</v>
      </c>
      <c r="AR73" s="22">
        <v>22.780200000000001</v>
      </c>
      <c r="AS73" s="22">
        <v>-1.2710600000000001E-2</v>
      </c>
      <c r="AT73" s="22">
        <v>63</v>
      </c>
      <c r="AU73" s="22">
        <v>1.2817400000000001</v>
      </c>
      <c r="AV73">
        <f t="shared" si="8"/>
        <v>15.692098765432098</v>
      </c>
      <c r="AW73">
        <f t="shared" si="9"/>
        <v>20.129981217283948</v>
      </c>
      <c r="AX73" s="9"/>
      <c r="AY73" s="22">
        <v>0.21728500000000001</v>
      </c>
      <c r="AZ73" s="22">
        <v>26.1966</v>
      </c>
      <c r="BA73" s="22">
        <v>-1.3909899999999999E-2</v>
      </c>
      <c r="BB73" s="22">
        <v>63</v>
      </c>
      <c r="BC73" s="22">
        <v>0.21682699999999999</v>
      </c>
      <c r="BD73">
        <f t="shared" si="10"/>
        <v>17.172716049382714</v>
      </c>
      <c r="BE73">
        <f t="shared" si="11"/>
        <v>3.7313736067901231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1.2777700000000001</v>
      </c>
      <c r="H74" s="22">
        <v>5.6798700000000002</v>
      </c>
      <c r="I74" s="22">
        <v>-1.2643400000000001E-2</v>
      </c>
      <c r="J74" s="22">
        <v>64</v>
      </c>
      <c r="K74" s="22">
        <v>1.2765500000000001</v>
      </c>
      <c r="L74">
        <f t="shared" si="0"/>
        <v>15.609135802469137</v>
      </c>
      <c r="M74">
        <f t="shared" si="1"/>
        <v>19.944885454320989</v>
      </c>
      <c r="N74" s="9"/>
      <c r="O74" s="22">
        <v>0.22232099999999999</v>
      </c>
      <c r="P74" s="22">
        <v>9.0962099999999992</v>
      </c>
      <c r="Q74" s="22">
        <v>-1.3848900000000001E-2</v>
      </c>
      <c r="R74" s="22">
        <v>64</v>
      </c>
      <c r="S74" s="22">
        <v>0.221802</v>
      </c>
      <c r="T74">
        <f t="shared" si="2"/>
        <v>17.09740740740741</v>
      </c>
      <c r="U74">
        <f t="shared" si="3"/>
        <v>3.8011127122222224</v>
      </c>
      <c r="X74" s="9"/>
      <c r="Y74" s="22">
        <v>1.2777700000000001</v>
      </c>
      <c r="Z74" s="22">
        <v>14.196099999999999</v>
      </c>
      <c r="AA74" s="22">
        <v>-1.27686E-2</v>
      </c>
      <c r="AB74" s="22">
        <v>64</v>
      </c>
      <c r="AC74" s="22">
        <v>1.2771600000000001</v>
      </c>
      <c r="AD74">
        <f t="shared" si="4"/>
        <v>15.763703703703703</v>
      </c>
      <c r="AE74">
        <f t="shared" si="5"/>
        <v>20.14238768148148</v>
      </c>
      <c r="AF74" s="9"/>
      <c r="AG74" s="22">
        <v>0.22232099999999999</v>
      </c>
      <c r="AH74" s="22">
        <v>17.612400000000001</v>
      </c>
      <c r="AI74" s="22">
        <v>-1.3909899999999999E-2</v>
      </c>
      <c r="AJ74" s="22">
        <v>64</v>
      </c>
      <c r="AK74" s="22">
        <v>0.22174099999999999</v>
      </c>
      <c r="AL74">
        <f t="shared" si="6"/>
        <v>17.172716049382714</v>
      </c>
      <c r="AM74">
        <f t="shared" si="7"/>
        <v>3.8178554048148143</v>
      </c>
      <c r="AP74" s="9"/>
      <c r="AQ74" s="22">
        <v>1.2777700000000001</v>
      </c>
      <c r="AR74" s="22">
        <v>22.790299999999998</v>
      </c>
      <c r="AS74" s="22">
        <v>-1.2735E-2</v>
      </c>
      <c r="AT74" s="22">
        <v>64</v>
      </c>
      <c r="AU74" s="22">
        <v>1.2768600000000001</v>
      </c>
      <c r="AV74">
        <f t="shared" si="8"/>
        <v>15.722222222222221</v>
      </c>
      <c r="AW74">
        <f t="shared" si="9"/>
        <v>20.089383888888889</v>
      </c>
      <c r="AX74" s="9"/>
      <c r="AY74" s="22">
        <v>0.22232099999999999</v>
      </c>
      <c r="AZ74" s="22">
        <v>26.206600000000002</v>
      </c>
      <c r="BA74" s="22">
        <v>-1.39069E-2</v>
      </c>
      <c r="BB74" s="22">
        <v>64</v>
      </c>
      <c r="BC74" s="22">
        <v>0.22170999999999999</v>
      </c>
      <c r="BD74">
        <f t="shared" si="10"/>
        <v>17.169012345679011</v>
      </c>
      <c r="BE74">
        <f t="shared" si="11"/>
        <v>3.8170319937037034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1.27274</v>
      </c>
      <c r="H75" s="22">
        <v>5.68994</v>
      </c>
      <c r="I75" s="22">
        <v>-1.26587E-2</v>
      </c>
      <c r="J75" s="22">
        <v>65</v>
      </c>
      <c r="K75" s="22">
        <v>1.27258</v>
      </c>
      <c r="L75">
        <f t="shared" si="0"/>
        <v>15.628024691358023</v>
      </c>
      <c r="M75">
        <f t="shared" si="1"/>
        <v>19.890412145679012</v>
      </c>
      <c r="N75" s="9"/>
      <c r="O75" s="22">
        <v>0.227356</v>
      </c>
      <c r="P75" s="22">
        <v>9.1062799999999999</v>
      </c>
      <c r="Q75" s="22">
        <v>-1.38397E-2</v>
      </c>
      <c r="R75" s="22">
        <v>65</v>
      </c>
      <c r="S75" s="22">
        <v>0.226715</v>
      </c>
      <c r="T75">
        <f t="shared" si="2"/>
        <v>17.086049382716048</v>
      </c>
      <c r="U75">
        <f t="shared" si="3"/>
        <v>3.8846158434567899</v>
      </c>
      <c r="X75" s="9"/>
      <c r="Y75" s="22">
        <v>1.27274</v>
      </c>
      <c r="Z75" s="22">
        <v>14.206099999999999</v>
      </c>
      <c r="AA75" s="22">
        <v>-1.27869E-2</v>
      </c>
      <c r="AB75" s="22">
        <v>65</v>
      </c>
      <c r="AC75" s="22">
        <v>1.2716700000000001</v>
      </c>
      <c r="AD75">
        <f t="shared" si="4"/>
        <v>15.786296296296294</v>
      </c>
      <c r="AE75">
        <f t="shared" si="5"/>
        <v>20.091850748148147</v>
      </c>
      <c r="AF75" s="9"/>
      <c r="AG75" s="22">
        <v>0.227356</v>
      </c>
      <c r="AH75" s="22">
        <v>17.622499999999999</v>
      </c>
      <c r="AI75" s="22">
        <v>-1.39008E-2</v>
      </c>
      <c r="AJ75" s="22">
        <v>65</v>
      </c>
      <c r="AK75" s="22">
        <v>0.22677600000000001</v>
      </c>
      <c r="AL75">
        <f t="shared" si="6"/>
        <v>17.161481481481481</v>
      </c>
      <c r="AM75">
        <f t="shared" si="7"/>
        <v>3.9017657837037034</v>
      </c>
      <c r="AP75" s="9"/>
      <c r="AQ75" s="22">
        <v>1.27274</v>
      </c>
      <c r="AR75" s="22">
        <v>22.8004</v>
      </c>
      <c r="AS75" s="22">
        <v>-1.2759400000000001E-2</v>
      </c>
      <c r="AT75" s="22">
        <v>65</v>
      </c>
      <c r="AU75" s="22">
        <v>1.2722800000000001</v>
      </c>
      <c r="AV75">
        <f t="shared" si="8"/>
        <v>15.752345679012343</v>
      </c>
      <c r="AW75">
        <f t="shared" si="9"/>
        <v>20.048640439506169</v>
      </c>
      <c r="AX75" s="9"/>
      <c r="AY75" s="22">
        <v>0.227356</v>
      </c>
      <c r="AZ75" s="22">
        <v>26.216699999999999</v>
      </c>
      <c r="BA75" s="22">
        <v>-1.39008E-2</v>
      </c>
      <c r="BB75" s="22">
        <v>65</v>
      </c>
      <c r="BC75" s="22">
        <v>0.22677600000000001</v>
      </c>
      <c r="BD75">
        <f t="shared" si="10"/>
        <v>17.161481481481481</v>
      </c>
      <c r="BE75">
        <f t="shared" si="11"/>
        <v>3.9017657837037034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1.2677</v>
      </c>
      <c r="H76" s="22">
        <v>5.7000099999999998</v>
      </c>
      <c r="I76" s="22">
        <v>-1.2674E-2</v>
      </c>
      <c r="J76" s="22">
        <v>66</v>
      </c>
      <c r="K76" s="22">
        <v>1.26709</v>
      </c>
      <c r="L76">
        <f t="shared" ref="L76:L139" si="12">-I76/$F$2*1000</f>
        <v>15.646913580246911</v>
      </c>
      <c r="M76">
        <f t="shared" ref="M76:M139" si="13">L76*G76</f>
        <v>19.835592345679011</v>
      </c>
      <c r="N76" s="9"/>
      <c r="O76" s="22">
        <v>0.23239099999999999</v>
      </c>
      <c r="P76" s="22">
        <v>9.1163600000000002</v>
      </c>
      <c r="Q76" s="22">
        <v>-1.3848900000000001E-2</v>
      </c>
      <c r="R76" s="22">
        <v>66</v>
      </c>
      <c r="S76" s="22">
        <v>0.23178099999999999</v>
      </c>
      <c r="T76">
        <f t="shared" ref="T76:T139" si="14">-Q76/$F$2*1000</f>
        <v>17.09740740740741</v>
      </c>
      <c r="U76">
        <f t="shared" ref="U76:U139" si="15">T76*O76</f>
        <v>3.973283604814815</v>
      </c>
      <c r="X76" s="9"/>
      <c r="Y76" s="22">
        <v>1.2677</v>
      </c>
      <c r="Z76" s="22">
        <v>14.216200000000001</v>
      </c>
      <c r="AA76" s="22">
        <v>-1.28082E-2</v>
      </c>
      <c r="AB76" s="22">
        <v>66</v>
      </c>
      <c r="AC76" s="22">
        <v>1.2664800000000001</v>
      </c>
      <c r="AD76">
        <f t="shared" ref="AD76:AD139" si="16">-AA76/$F$2*1000</f>
        <v>15.812592592592594</v>
      </c>
      <c r="AE76">
        <f t="shared" ref="AE76:AE139" si="17">AD76*Y76</f>
        <v>20.045623629629631</v>
      </c>
      <c r="AF76" s="9"/>
      <c r="AG76" s="22">
        <v>0.23239099999999999</v>
      </c>
      <c r="AH76" s="22">
        <v>17.6326</v>
      </c>
      <c r="AI76" s="22">
        <v>-1.38916E-2</v>
      </c>
      <c r="AJ76" s="22">
        <v>66</v>
      </c>
      <c r="AK76" s="22">
        <v>0.23181199999999999</v>
      </c>
      <c r="AL76">
        <f t="shared" ref="AL76:AL139" si="18">-AI76/$F$2*1000</f>
        <v>17.150123456790123</v>
      </c>
      <c r="AM76">
        <f t="shared" ref="AM76:AM139" si="19">AL76*AG76</f>
        <v>3.9855343402469132</v>
      </c>
      <c r="AP76" s="9"/>
      <c r="AQ76" s="22">
        <v>1.2677</v>
      </c>
      <c r="AR76" s="22">
        <v>22.810400000000001</v>
      </c>
      <c r="AS76" s="22">
        <v>-1.27838E-2</v>
      </c>
      <c r="AT76" s="22">
        <v>66</v>
      </c>
      <c r="AU76" s="22">
        <v>1.26678</v>
      </c>
      <c r="AV76">
        <f t="shared" ref="AV76:AV139" si="20">-AS76/$F$2*1000</f>
        <v>15.782469135802467</v>
      </c>
      <c r="AW76">
        <f t="shared" ref="AW76:AW139" si="21">AV76*AQ76</f>
        <v>20.007436123456788</v>
      </c>
      <c r="AX76" s="9"/>
      <c r="AY76" s="22">
        <v>0.23239099999999999</v>
      </c>
      <c r="AZ76" s="22">
        <v>26.226800000000001</v>
      </c>
      <c r="BA76" s="22">
        <v>-1.3897700000000001E-2</v>
      </c>
      <c r="BB76" s="22">
        <v>66</v>
      </c>
      <c r="BC76" s="22">
        <v>0.231628</v>
      </c>
      <c r="BD76">
        <f t="shared" ref="BD76:BD139" si="22">-BA76/$F$2*1000</f>
        <v>17.157654320987653</v>
      </c>
      <c r="BE76">
        <f t="shared" ref="BE76:BE139" si="23">BD76*AY76</f>
        <v>3.9872844453086413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1.2626599999999999</v>
      </c>
      <c r="H77" s="22">
        <v>5.7100799999999996</v>
      </c>
      <c r="I77" s="22">
        <v>-1.2689199999999999E-2</v>
      </c>
      <c r="J77" s="22">
        <v>67</v>
      </c>
      <c r="K77" s="22">
        <v>1.2619</v>
      </c>
      <c r="L77">
        <f t="shared" si="12"/>
        <v>15.665679012345679</v>
      </c>
      <c r="M77">
        <f t="shared" si="13"/>
        <v>19.780426261728394</v>
      </c>
      <c r="N77" s="9"/>
      <c r="O77" s="22">
        <v>0.237427</v>
      </c>
      <c r="P77" s="22">
        <v>9.1264299999999992</v>
      </c>
      <c r="Q77" s="22">
        <v>-1.3858000000000001E-2</v>
      </c>
      <c r="R77" s="22">
        <v>67</v>
      </c>
      <c r="S77" s="22">
        <v>0.23690800000000001</v>
      </c>
      <c r="T77">
        <f t="shared" si="14"/>
        <v>17.10864197530864</v>
      </c>
      <c r="U77">
        <f t="shared" si="15"/>
        <v>4.0620535382716048</v>
      </c>
      <c r="X77" s="9"/>
      <c r="Y77" s="22">
        <v>1.2626599999999999</v>
      </c>
      <c r="Z77" s="22">
        <v>14.2263</v>
      </c>
      <c r="AA77" s="22">
        <v>-1.2826499999999999E-2</v>
      </c>
      <c r="AB77" s="22">
        <v>67</v>
      </c>
      <c r="AC77" s="22">
        <v>1.2619</v>
      </c>
      <c r="AD77">
        <f t="shared" si="16"/>
        <v>15.835185185185185</v>
      </c>
      <c r="AE77">
        <f t="shared" si="17"/>
        <v>19.994454925925925</v>
      </c>
      <c r="AF77" s="9"/>
      <c r="AG77" s="22">
        <v>0.237427</v>
      </c>
      <c r="AH77" s="22">
        <v>17.642600000000002</v>
      </c>
      <c r="AI77" s="22">
        <v>-1.38885E-2</v>
      </c>
      <c r="AJ77" s="22">
        <v>67</v>
      </c>
      <c r="AK77" s="22">
        <v>0.23693800000000001</v>
      </c>
      <c r="AL77">
        <f t="shared" si="18"/>
        <v>17.146296296296295</v>
      </c>
      <c r="AM77">
        <f t="shared" si="19"/>
        <v>4.0709936907407407</v>
      </c>
      <c r="AP77" s="9"/>
      <c r="AQ77" s="22">
        <v>1.2626599999999999</v>
      </c>
      <c r="AR77" s="22">
        <v>22.820499999999999</v>
      </c>
      <c r="AS77" s="22">
        <v>-1.28021E-2</v>
      </c>
      <c r="AT77" s="22">
        <v>67</v>
      </c>
      <c r="AU77" s="22">
        <v>1.26129</v>
      </c>
      <c r="AV77">
        <f t="shared" si="20"/>
        <v>15.805061728395062</v>
      </c>
      <c r="AW77">
        <f t="shared" si="21"/>
        <v>19.956419241975308</v>
      </c>
      <c r="AX77" s="9"/>
      <c r="AY77" s="22">
        <v>0.237427</v>
      </c>
      <c r="AZ77" s="22">
        <v>26.236799999999999</v>
      </c>
      <c r="BA77" s="22">
        <v>-1.39069E-2</v>
      </c>
      <c r="BB77" s="22">
        <v>67</v>
      </c>
      <c r="BC77" s="22">
        <v>0.236786</v>
      </c>
      <c r="BD77">
        <f t="shared" si="22"/>
        <v>17.169012345679011</v>
      </c>
      <c r="BE77">
        <f t="shared" si="23"/>
        <v>4.0763870941975302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1.25763</v>
      </c>
      <c r="H78" s="22">
        <v>5.7201500000000003</v>
      </c>
      <c r="I78" s="22">
        <v>-1.2710600000000001E-2</v>
      </c>
      <c r="J78" s="22">
        <v>68</v>
      </c>
      <c r="K78" s="22">
        <v>1.25671</v>
      </c>
      <c r="L78">
        <f t="shared" si="12"/>
        <v>15.692098765432098</v>
      </c>
      <c r="M78">
        <f t="shared" si="13"/>
        <v>19.734854170370369</v>
      </c>
      <c r="N78" s="9"/>
      <c r="O78" s="22">
        <v>0.24246200000000001</v>
      </c>
      <c r="P78" s="22">
        <v>9.1364999999999998</v>
      </c>
      <c r="Q78" s="22">
        <v>-1.38672E-2</v>
      </c>
      <c r="R78" s="22">
        <v>68</v>
      </c>
      <c r="S78" s="22">
        <v>0.24185200000000001</v>
      </c>
      <c r="T78">
        <f t="shared" si="14"/>
        <v>17.12</v>
      </c>
      <c r="U78">
        <f t="shared" si="15"/>
        <v>4.1509494400000007</v>
      </c>
      <c r="X78" s="9"/>
      <c r="Y78" s="22">
        <v>1.25763</v>
      </c>
      <c r="Z78" s="22">
        <v>14.2364</v>
      </c>
      <c r="AA78" s="22">
        <v>-1.28448E-2</v>
      </c>
      <c r="AB78" s="22">
        <v>68</v>
      </c>
      <c r="AC78" s="22">
        <v>1.25671</v>
      </c>
      <c r="AD78">
        <f t="shared" si="16"/>
        <v>15.857777777777777</v>
      </c>
      <c r="AE78">
        <f t="shared" si="17"/>
        <v>19.943217066666666</v>
      </c>
      <c r="AF78" s="9"/>
      <c r="AG78" s="22">
        <v>0.24246200000000001</v>
      </c>
      <c r="AH78" s="22">
        <v>17.652699999999999</v>
      </c>
      <c r="AI78" s="22">
        <v>-1.38916E-2</v>
      </c>
      <c r="AJ78" s="22">
        <v>68</v>
      </c>
      <c r="AK78" s="22">
        <v>0.24182100000000001</v>
      </c>
      <c r="AL78">
        <f t="shared" si="18"/>
        <v>17.150123456790123</v>
      </c>
      <c r="AM78">
        <f t="shared" si="19"/>
        <v>4.1582532335802469</v>
      </c>
      <c r="AP78" s="9"/>
      <c r="AQ78" s="22">
        <v>1.25763</v>
      </c>
      <c r="AR78" s="22">
        <v>22.8306</v>
      </c>
      <c r="AS78" s="22">
        <v>-1.2820399999999999E-2</v>
      </c>
      <c r="AT78" s="22">
        <v>68</v>
      </c>
      <c r="AU78" s="22">
        <v>1.25671</v>
      </c>
      <c r="AV78">
        <f t="shared" si="20"/>
        <v>15.827654320987653</v>
      </c>
      <c r="AW78">
        <f t="shared" si="21"/>
        <v>19.905332903703702</v>
      </c>
      <c r="AX78" s="9"/>
      <c r="AY78" s="22">
        <v>0.24246200000000001</v>
      </c>
      <c r="AZ78" s="22">
        <v>26.2469</v>
      </c>
      <c r="BA78" s="22">
        <v>-1.3913E-2</v>
      </c>
      <c r="BB78" s="22">
        <v>68</v>
      </c>
      <c r="BC78" s="22">
        <v>0.24188200000000001</v>
      </c>
      <c r="BD78">
        <f t="shared" si="22"/>
        <v>17.176543209876542</v>
      </c>
      <c r="BE78">
        <f t="shared" si="23"/>
        <v>4.1646590197530866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1.2525900000000001</v>
      </c>
      <c r="H79" s="22">
        <v>5.7302200000000001</v>
      </c>
      <c r="I79" s="22">
        <v>-1.2737999999999999E-2</v>
      </c>
      <c r="J79" s="22">
        <v>69</v>
      </c>
      <c r="K79" s="22">
        <v>1.25183</v>
      </c>
      <c r="L79">
        <f t="shared" si="12"/>
        <v>15.725925925925925</v>
      </c>
      <c r="M79">
        <f t="shared" si="13"/>
        <v>19.698137555555554</v>
      </c>
      <c r="N79" s="9"/>
      <c r="O79" s="22">
        <v>0.247498</v>
      </c>
      <c r="P79" s="22">
        <v>9.1465700000000005</v>
      </c>
      <c r="Q79" s="22">
        <v>-1.3870199999999999E-2</v>
      </c>
      <c r="R79" s="22">
        <v>69</v>
      </c>
      <c r="S79" s="22">
        <v>0.246979</v>
      </c>
      <c r="T79">
        <f t="shared" si="14"/>
        <v>17.123703703703701</v>
      </c>
      <c r="U79">
        <f t="shared" si="15"/>
        <v>4.2380824192592588</v>
      </c>
      <c r="X79" s="9"/>
      <c r="Y79" s="22">
        <v>1.2525900000000001</v>
      </c>
      <c r="Z79" s="22">
        <v>14.2464</v>
      </c>
      <c r="AA79" s="22">
        <v>-1.28571E-2</v>
      </c>
      <c r="AB79" s="22">
        <v>69</v>
      </c>
      <c r="AC79" s="22">
        <v>1.25122</v>
      </c>
      <c r="AD79">
        <f t="shared" si="16"/>
        <v>15.87296296296296</v>
      </c>
      <c r="AE79">
        <f t="shared" si="17"/>
        <v>19.882314677777774</v>
      </c>
      <c r="AF79" s="9"/>
      <c r="AG79" s="22">
        <v>0.247498</v>
      </c>
      <c r="AH79" s="22">
        <v>17.662800000000001</v>
      </c>
      <c r="AI79" s="22">
        <v>-1.39008E-2</v>
      </c>
      <c r="AJ79" s="22">
        <v>69</v>
      </c>
      <c r="AK79" s="22">
        <v>0.246887</v>
      </c>
      <c r="AL79">
        <f t="shared" si="18"/>
        <v>17.161481481481481</v>
      </c>
      <c r="AM79">
        <f t="shared" si="19"/>
        <v>4.2474323437037036</v>
      </c>
      <c r="AP79" s="9"/>
      <c r="AQ79" s="22">
        <v>1.2525900000000001</v>
      </c>
      <c r="AR79" s="22">
        <v>22.840599999999998</v>
      </c>
      <c r="AS79" s="22">
        <v>-1.2826499999999999E-2</v>
      </c>
      <c r="AT79" s="22">
        <v>69</v>
      </c>
      <c r="AU79" s="22">
        <v>1.25214</v>
      </c>
      <c r="AV79">
        <f t="shared" si="20"/>
        <v>15.835185185185185</v>
      </c>
      <c r="AW79">
        <f t="shared" si="21"/>
        <v>19.834994611111114</v>
      </c>
      <c r="AX79" s="9"/>
      <c r="AY79" s="22">
        <v>0.247498</v>
      </c>
      <c r="AZ79" s="22">
        <v>26.257000000000001</v>
      </c>
      <c r="BA79" s="22">
        <v>-1.3913E-2</v>
      </c>
      <c r="BB79" s="22">
        <v>69</v>
      </c>
      <c r="BC79" s="22">
        <v>0.246918</v>
      </c>
      <c r="BD79">
        <f t="shared" si="22"/>
        <v>17.176543209876542</v>
      </c>
      <c r="BE79">
        <f t="shared" si="23"/>
        <v>4.2511600913580239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1.24756</v>
      </c>
      <c r="H80" s="22">
        <v>5.7402899999999999</v>
      </c>
      <c r="I80" s="22">
        <v>-1.27625E-2</v>
      </c>
      <c r="J80" s="22">
        <v>70</v>
      </c>
      <c r="K80" s="22">
        <v>1.24664</v>
      </c>
      <c r="L80">
        <f t="shared" si="12"/>
        <v>15.756172839506172</v>
      </c>
      <c r="M80">
        <f t="shared" si="13"/>
        <v>19.656770987654319</v>
      </c>
      <c r="N80" s="9"/>
      <c r="O80" s="22">
        <v>0.25253300000000001</v>
      </c>
      <c r="P80" s="22">
        <v>9.1566399999999994</v>
      </c>
      <c r="Q80" s="22">
        <v>-1.38672E-2</v>
      </c>
      <c r="R80" s="22">
        <v>70</v>
      </c>
      <c r="S80" s="22">
        <v>0.25195299999999998</v>
      </c>
      <c r="T80">
        <f t="shared" si="14"/>
        <v>17.12</v>
      </c>
      <c r="U80">
        <f t="shared" si="15"/>
        <v>4.3233649600000001</v>
      </c>
      <c r="X80" s="9"/>
      <c r="Y80" s="22">
        <v>1.24756</v>
      </c>
      <c r="Z80" s="22">
        <v>14.256500000000001</v>
      </c>
      <c r="AA80" s="22">
        <v>-1.28662E-2</v>
      </c>
      <c r="AB80" s="22">
        <v>70</v>
      </c>
      <c r="AC80" s="22">
        <v>1.24664</v>
      </c>
      <c r="AD80">
        <f t="shared" si="16"/>
        <v>15.884197530864196</v>
      </c>
      <c r="AE80">
        <f t="shared" si="17"/>
        <v>19.816489471604935</v>
      </c>
      <c r="AF80" s="9"/>
      <c r="AG80" s="22">
        <v>0.25253300000000001</v>
      </c>
      <c r="AH80" s="22">
        <v>17.672799999999999</v>
      </c>
      <c r="AI80" s="22">
        <v>-1.3903799999999999E-2</v>
      </c>
      <c r="AJ80" s="22">
        <v>70</v>
      </c>
      <c r="AK80" s="22">
        <v>0.25195299999999998</v>
      </c>
      <c r="AL80">
        <f t="shared" si="18"/>
        <v>17.165185185185184</v>
      </c>
      <c r="AM80">
        <f t="shared" si="19"/>
        <v>4.3347757103703701</v>
      </c>
      <c r="AP80" s="9"/>
      <c r="AQ80" s="22">
        <v>1.24756</v>
      </c>
      <c r="AR80" s="22">
        <v>22.8507</v>
      </c>
      <c r="AS80" s="22">
        <v>-1.28357E-2</v>
      </c>
      <c r="AT80" s="22">
        <v>70</v>
      </c>
      <c r="AU80" s="22">
        <v>1.24664</v>
      </c>
      <c r="AV80">
        <f t="shared" si="20"/>
        <v>15.846543209876542</v>
      </c>
      <c r="AW80">
        <f t="shared" si="21"/>
        <v>19.769513446913578</v>
      </c>
      <c r="AX80" s="9"/>
      <c r="AY80" s="22">
        <v>0.25253300000000001</v>
      </c>
      <c r="AZ80" s="22">
        <v>26.267099999999999</v>
      </c>
      <c r="BA80" s="22">
        <v>-1.39069E-2</v>
      </c>
      <c r="BB80" s="22">
        <v>70</v>
      </c>
      <c r="BC80" s="22">
        <v>0.25195299999999998</v>
      </c>
      <c r="BD80">
        <f t="shared" si="22"/>
        <v>17.169012345679011</v>
      </c>
      <c r="BE80">
        <f t="shared" si="23"/>
        <v>4.3357421946913579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1.2425200000000001</v>
      </c>
      <c r="H81" s="22">
        <v>5.7503599999999997</v>
      </c>
      <c r="I81" s="22">
        <v>-1.2777699999999999E-2</v>
      </c>
      <c r="J81" s="22">
        <v>71</v>
      </c>
      <c r="K81" s="22">
        <v>1.24176</v>
      </c>
      <c r="L81">
        <f t="shared" si="12"/>
        <v>15.774938271604935</v>
      </c>
      <c r="M81">
        <f t="shared" si="13"/>
        <v>19.600676301234564</v>
      </c>
      <c r="N81" s="9"/>
      <c r="O81" s="22">
        <v>0.25756800000000002</v>
      </c>
      <c r="P81" s="22">
        <v>9.1667100000000001</v>
      </c>
      <c r="Q81" s="22">
        <v>-1.3870199999999999E-2</v>
      </c>
      <c r="R81" s="22">
        <v>71</v>
      </c>
      <c r="S81" s="22">
        <v>0.25698900000000002</v>
      </c>
      <c r="T81">
        <f t="shared" si="14"/>
        <v>17.123703703703701</v>
      </c>
      <c r="U81">
        <f t="shared" si="15"/>
        <v>4.4105181155555551</v>
      </c>
      <c r="X81" s="9"/>
      <c r="Y81" s="22">
        <v>1.2425200000000001</v>
      </c>
      <c r="Z81" s="22">
        <v>14.2666</v>
      </c>
      <c r="AA81" s="22">
        <v>-1.28784E-2</v>
      </c>
      <c r="AB81" s="22">
        <v>71</v>
      </c>
      <c r="AC81" s="22">
        <v>1.24146</v>
      </c>
      <c r="AD81">
        <f t="shared" si="16"/>
        <v>15.899259259259258</v>
      </c>
      <c r="AE81">
        <f t="shared" si="17"/>
        <v>19.755147614814813</v>
      </c>
      <c r="AF81" s="9"/>
      <c r="AG81" s="22">
        <v>0.25756800000000002</v>
      </c>
      <c r="AH81" s="22">
        <v>17.6829</v>
      </c>
      <c r="AI81" s="22">
        <v>-1.3897700000000001E-2</v>
      </c>
      <c r="AJ81" s="22">
        <v>71</v>
      </c>
      <c r="AK81" s="22">
        <v>0.25689699999999999</v>
      </c>
      <c r="AL81">
        <f t="shared" si="18"/>
        <v>17.157654320987653</v>
      </c>
      <c r="AM81">
        <f t="shared" si="19"/>
        <v>4.4192627081481479</v>
      </c>
      <c r="AP81" s="9"/>
      <c r="AQ81" s="22">
        <v>1.2425200000000001</v>
      </c>
      <c r="AR81" s="22">
        <v>22.860800000000001</v>
      </c>
      <c r="AS81" s="22">
        <v>-1.2851E-2</v>
      </c>
      <c r="AT81" s="22">
        <v>71</v>
      </c>
      <c r="AU81" s="22">
        <v>1.24146</v>
      </c>
      <c r="AV81">
        <f t="shared" si="20"/>
        <v>15.865432098765432</v>
      </c>
      <c r="AW81">
        <f t="shared" si="21"/>
        <v>19.713116691358024</v>
      </c>
      <c r="AX81" s="9"/>
      <c r="AY81" s="22">
        <v>0.25756800000000002</v>
      </c>
      <c r="AZ81" s="22">
        <v>26.277100000000001</v>
      </c>
      <c r="BA81" s="22">
        <v>-1.39008E-2</v>
      </c>
      <c r="BB81" s="22">
        <v>71</v>
      </c>
      <c r="BC81" s="22">
        <v>0.25695800000000002</v>
      </c>
      <c r="BD81">
        <f t="shared" si="22"/>
        <v>17.161481481481481</v>
      </c>
      <c r="BE81">
        <f t="shared" si="23"/>
        <v>4.4202484622222222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1.23749</v>
      </c>
      <c r="H82" s="22">
        <v>5.7604300000000004</v>
      </c>
      <c r="I82" s="22">
        <v>-1.27899E-2</v>
      </c>
      <c r="J82" s="22">
        <v>72</v>
      </c>
      <c r="K82" s="22">
        <v>1.2365699999999999</v>
      </c>
      <c r="L82">
        <f t="shared" si="12"/>
        <v>15.79</v>
      </c>
      <c r="M82">
        <f t="shared" si="13"/>
        <v>19.539967099999998</v>
      </c>
      <c r="N82" s="9"/>
      <c r="O82" s="22">
        <v>0.262604</v>
      </c>
      <c r="P82" s="22">
        <v>9.1767800000000008</v>
      </c>
      <c r="Q82" s="22">
        <v>-1.3861099999999999E-2</v>
      </c>
      <c r="R82" s="22">
        <v>72</v>
      </c>
      <c r="S82" s="22">
        <v>0.26205400000000001</v>
      </c>
      <c r="T82">
        <f t="shared" si="14"/>
        <v>17.112469135802467</v>
      </c>
      <c r="U82">
        <f t="shared" si="15"/>
        <v>4.493802844938271</v>
      </c>
      <c r="X82" s="9"/>
      <c r="Y82" s="22">
        <v>1.23749</v>
      </c>
      <c r="Z82" s="22">
        <v>14.2766</v>
      </c>
      <c r="AA82" s="22">
        <v>-1.2887600000000001E-2</v>
      </c>
      <c r="AB82" s="22">
        <v>72</v>
      </c>
      <c r="AC82" s="22">
        <v>1.2365699999999999</v>
      </c>
      <c r="AD82">
        <f t="shared" si="16"/>
        <v>15.910617283950618</v>
      </c>
      <c r="AE82">
        <f t="shared" si="17"/>
        <v>19.689229782716051</v>
      </c>
      <c r="AF82" s="9"/>
      <c r="AG82" s="22">
        <v>0.262604</v>
      </c>
      <c r="AH82" s="22">
        <v>17.693000000000001</v>
      </c>
      <c r="AI82" s="22">
        <v>-1.3897700000000001E-2</v>
      </c>
      <c r="AJ82" s="22">
        <v>72</v>
      </c>
      <c r="AK82" s="22">
        <v>0.26199299999999998</v>
      </c>
      <c r="AL82">
        <f t="shared" si="18"/>
        <v>17.157654320987653</v>
      </c>
      <c r="AM82">
        <f t="shared" si="19"/>
        <v>4.505668655308642</v>
      </c>
      <c r="AP82" s="9"/>
      <c r="AQ82" s="22">
        <v>1.23749</v>
      </c>
      <c r="AR82" s="22">
        <v>22.870899999999999</v>
      </c>
      <c r="AS82" s="22">
        <v>-1.28723E-2</v>
      </c>
      <c r="AT82" s="22">
        <v>72</v>
      </c>
      <c r="AU82" s="22">
        <v>1.2359599999999999</v>
      </c>
      <c r="AV82">
        <f t="shared" si="20"/>
        <v>15.891728395061728</v>
      </c>
      <c r="AW82">
        <f t="shared" si="21"/>
        <v>19.665854971604936</v>
      </c>
      <c r="AX82" s="9"/>
      <c r="AY82" s="22">
        <v>0.262604</v>
      </c>
      <c r="AZ82" s="22">
        <v>26.287199999999999</v>
      </c>
      <c r="BA82" s="22">
        <v>-1.3894699999999999E-2</v>
      </c>
      <c r="BB82" s="22">
        <v>72</v>
      </c>
      <c r="BC82" s="22">
        <v>0.26199299999999998</v>
      </c>
      <c r="BD82">
        <f t="shared" si="22"/>
        <v>17.153950617283947</v>
      </c>
      <c r="BE82">
        <f t="shared" si="23"/>
        <v>4.5046960479012332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1.23245</v>
      </c>
      <c r="H83" s="22">
        <v>5.7705000000000002</v>
      </c>
      <c r="I83" s="22">
        <v>-1.2820399999999999E-2</v>
      </c>
      <c r="J83" s="22">
        <v>73</v>
      </c>
      <c r="K83" s="22">
        <v>1.23169</v>
      </c>
      <c r="L83">
        <f t="shared" si="12"/>
        <v>15.827654320987653</v>
      </c>
      <c r="M83">
        <f t="shared" si="13"/>
        <v>19.506792567901233</v>
      </c>
      <c r="N83" s="9"/>
      <c r="O83" s="22">
        <v>0.26763900000000002</v>
      </c>
      <c r="P83" s="22">
        <v>9.1868499999999997</v>
      </c>
      <c r="Q83" s="22">
        <v>-1.3861099999999999E-2</v>
      </c>
      <c r="R83" s="22">
        <v>73</v>
      </c>
      <c r="S83" s="22">
        <v>0.26708999999999999</v>
      </c>
      <c r="T83">
        <f t="shared" si="14"/>
        <v>17.112469135802467</v>
      </c>
      <c r="U83">
        <f t="shared" si="15"/>
        <v>4.5799641270370364</v>
      </c>
      <c r="X83" s="9"/>
      <c r="Y83" s="22">
        <v>1.23245</v>
      </c>
      <c r="Z83" s="22">
        <v>14.2867</v>
      </c>
      <c r="AA83" s="22">
        <v>-1.2899799999999999E-2</v>
      </c>
      <c r="AB83" s="22">
        <v>73</v>
      </c>
      <c r="AC83" s="22">
        <v>1.23108</v>
      </c>
      <c r="AD83">
        <f t="shared" si="16"/>
        <v>15.925679012345679</v>
      </c>
      <c r="AE83">
        <f t="shared" si="17"/>
        <v>19.627603098765434</v>
      </c>
      <c r="AF83" s="9"/>
      <c r="AG83" s="22">
        <v>0.26763900000000002</v>
      </c>
      <c r="AH83" s="22">
        <v>17.703099999999999</v>
      </c>
      <c r="AI83" s="22">
        <v>-1.38916E-2</v>
      </c>
      <c r="AJ83" s="22">
        <v>73</v>
      </c>
      <c r="AK83" s="22">
        <v>0.26693699999999998</v>
      </c>
      <c r="AL83">
        <f t="shared" si="18"/>
        <v>17.150123456790123</v>
      </c>
      <c r="AM83">
        <f t="shared" si="19"/>
        <v>4.5900418918518522</v>
      </c>
      <c r="AP83" s="9"/>
      <c r="AQ83" s="22">
        <v>1.23245</v>
      </c>
      <c r="AR83" s="22">
        <v>22.8809</v>
      </c>
      <c r="AS83" s="22">
        <v>-1.2896700000000001E-2</v>
      </c>
      <c r="AT83" s="22">
        <v>73</v>
      </c>
      <c r="AU83" s="22">
        <v>1.2313799999999999</v>
      </c>
      <c r="AV83">
        <f t="shared" si="20"/>
        <v>15.92185185185185</v>
      </c>
      <c r="AW83">
        <f t="shared" si="21"/>
        <v>19.622886314814814</v>
      </c>
      <c r="AX83" s="9"/>
      <c r="AY83" s="22">
        <v>0.26763900000000002</v>
      </c>
      <c r="AZ83" s="22">
        <v>26.2973</v>
      </c>
      <c r="BA83" s="22">
        <v>-1.3897700000000001E-2</v>
      </c>
      <c r="BB83" s="22">
        <v>73</v>
      </c>
      <c r="BC83" s="22">
        <v>0.26699800000000001</v>
      </c>
      <c r="BD83">
        <f t="shared" si="22"/>
        <v>17.157654320987653</v>
      </c>
      <c r="BE83">
        <f t="shared" si="23"/>
        <v>4.5920574448148148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1.22742</v>
      </c>
      <c r="H84" s="22">
        <v>5.7805799999999996</v>
      </c>
      <c r="I84" s="22">
        <v>-1.28448E-2</v>
      </c>
      <c r="J84" s="22">
        <v>74</v>
      </c>
      <c r="K84" s="22">
        <v>1.22681</v>
      </c>
      <c r="L84">
        <f t="shared" si="12"/>
        <v>15.857777777777777</v>
      </c>
      <c r="M84">
        <f t="shared" si="13"/>
        <v>19.464153599999999</v>
      </c>
      <c r="N84" s="9"/>
      <c r="O84" s="22">
        <v>0.272675</v>
      </c>
      <c r="P84" s="22">
        <v>9.1969200000000004</v>
      </c>
      <c r="Q84" s="22">
        <v>-1.38672E-2</v>
      </c>
      <c r="R84" s="22">
        <v>74</v>
      </c>
      <c r="S84" s="22">
        <v>0.272034</v>
      </c>
      <c r="T84">
        <f t="shared" si="14"/>
        <v>17.12</v>
      </c>
      <c r="U84">
        <f t="shared" si="15"/>
        <v>4.668196</v>
      </c>
      <c r="X84" s="9"/>
      <c r="Y84" s="22">
        <v>1.22742</v>
      </c>
      <c r="Z84" s="22">
        <v>14.296799999999999</v>
      </c>
      <c r="AA84" s="22">
        <v>-1.29181E-2</v>
      </c>
      <c r="AB84" s="22">
        <v>74</v>
      </c>
      <c r="AC84" s="22">
        <v>1.2264999999999999</v>
      </c>
      <c r="AD84">
        <f t="shared" si="16"/>
        <v>15.94827160493827</v>
      </c>
      <c r="AE84">
        <f t="shared" si="17"/>
        <v>19.575227533333329</v>
      </c>
      <c r="AF84" s="9"/>
      <c r="AG84" s="22">
        <v>0.272675</v>
      </c>
      <c r="AH84" s="22">
        <v>17.713100000000001</v>
      </c>
      <c r="AI84" s="22">
        <v>-1.38885E-2</v>
      </c>
      <c r="AJ84" s="22">
        <v>74</v>
      </c>
      <c r="AK84" s="22">
        <v>0.27209499999999998</v>
      </c>
      <c r="AL84">
        <f t="shared" si="18"/>
        <v>17.146296296296295</v>
      </c>
      <c r="AM84">
        <f t="shared" si="19"/>
        <v>4.675366342592592</v>
      </c>
      <c r="AP84" s="9"/>
      <c r="AQ84" s="22">
        <v>1.22742</v>
      </c>
      <c r="AR84" s="22">
        <v>22.890999999999998</v>
      </c>
      <c r="AS84" s="22">
        <v>-1.29211E-2</v>
      </c>
      <c r="AT84" s="22">
        <v>74</v>
      </c>
      <c r="AU84" s="22">
        <v>1.2264999999999999</v>
      </c>
      <c r="AV84">
        <f t="shared" si="20"/>
        <v>15.951975308641973</v>
      </c>
      <c r="AW84">
        <f t="shared" si="21"/>
        <v>19.579773533333331</v>
      </c>
      <c r="AX84" s="9"/>
      <c r="AY84" s="22">
        <v>0.272675</v>
      </c>
      <c r="AZ84" s="22">
        <v>26.307300000000001</v>
      </c>
      <c r="BA84" s="22">
        <v>-1.38916E-2</v>
      </c>
      <c r="BB84" s="22">
        <v>74</v>
      </c>
      <c r="BC84" s="22">
        <v>0.27200299999999999</v>
      </c>
      <c r="BD84">
        <f t="shared" si="22"/>
        <v>17.150123456790123</v>
      </c>
      <c r="BE84">
        <f t="shared" si="23"/>
        <v>4.6764099135802466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1.22238</v>
      </c>
      <c r="H85" s="22">
        <v>5.7906500000000003</v>
      </c>
      <c r="I85" s="22">
        <v>-1.28723E-2</v>
      </c>
      <c r="J85" s="22">
        <v>75</v>
      </c>
      <c r="K85" s="22">
        <v>1.2222299999999999</v>
      </c>
      <c r="L85">
        <f t="shared" si="12"/>
        <v>15.891728395061728</v>
      </c>
      <c r="M85">
        <f t="shared" si="13"/>
        <v>19.425730955555554</v>
      </c>
      <c r="N85" s="9"/>
      <c r="O85" s="22">
        <v>0.27771000000000001</v>
      </c>
      <c r="P85" s="22">
        <v>9.2069899999999993</v>
      </c>
      <c r="Q85" s="22">
        <v>-1.3864100000000001E-2</v>
      </c>
      <c r="R85" s="22">
        <v>75</v>
      </c>
      <c r="S85" s="22">
        <v>0.27712999999999999</v>
      </c>
      <c r="T85">
        <f t="shared" si="14"/>
        <v>17.11617283950617</v>
      </c>
      <c r="U85">
        <f t="shared" si="15"/>
        <v>4.7533323592592591</v>
      </c>
      <c r="X85" s="9"/>
      <c r="Y85" s="22">
        <v>1.22238</v>
      </c>
      <c r="Z85" s="22">
        <v>14.306900000000001</v>
      </c>
      <c r="AA85" s="22">
        <v>-1.29333E-2</v>
      </c>
      <c r="AB85" s="22">
        <v>75</v>
      </c>
      <c r="AC85" s="22">
        <v>1.2216199999999999</v>
      </c>
      <c r="AD85">
        <f t="shared" si="16"/>
        <v>15.967037037037036</v>
      </c>
      <c r="AE85">
        <f t="shared" si="17"/>
        <v>19.517786733333331</v>
      </c>
      <c r="AF85" s="9"/>
      <c r="AG85" s="22">
        <v>0.27771000000000001</v>
      </c>
      <c r="AH85" s="22">
        <v>17.723199999999999</v>
      </c>
      <c r="AI85" s="22">
        <v>-1.38733E-2</v>
      </c>
      <c r="AJ85" s="22">
        <v>75</v>
      </c>
      <c r="AK85" s="22">
        <v>0.27712999999999999</v>
      </c>
      <c r="AL85">
        <f t="shared" si="18"/>
        <v>17.127530864197528</v>
      </c>
      <c r="AM85">
        <f t="shared" si="19"/>
        <v>4.7564865962962957</v>
      </c>
      <c r="AP85" s="9"/>
      <c r="AQ85" s="22">
        <v>1.22238</v>
      </c>
      <c r="AR85" s="22">
        <v>22.9011</v>
      </c>
      <c r="AS85" s="22">
        <v>-1.29395E-2</v>
      </c>
      <c r="AT85" s="22">
        <v>75</v>
      </c>
      <c r="AU85" s="22">
        <v>1.2206999999999999</v>
      </c>
      <c r="AV85">
        <f t="shared" si="20"/>
        <v>15.974691358024689</v>
      </c>
      <c r="AW85">
        <f t="shared" si="21"/>
        <v>19.527143222222218</v>
      </c>
      <c r="AX85" s="9"/>
      <c r="AY85" s="22">
        <v>0.27771000000000001</v>
      </c>
      <c r="AZ85" s="22">
        <v>26.317399999999999</v>
      </c>
      <c r="BA85" s="22">
        <v>-1.38794E-2</v>
      </c>
      <c r="BB85" s="22">
        <v>75</v>
      </c>
      <c r="BC85" s="22">
        <v>0.27700799999999998</v>
      </c>
      <c r="BD85">
        <f t="shared" si="22"/>
        <v>17.135061728395058</v>
      </c>
      <c r="BE85">
        <f t="shared" si="23"/>
        <v>4.758577992592592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1.2173499999999999</v>
      </c>
      <c r="H86" s="22">
        <v>5.8007200000000001</v>
      </c>
      <c r="I86" s="22">
        <v>-1.28906E-2</v>
      </c>
      <c r="J86" s="22">
        <v>76</v>
      </c>
      <c r="K86" s="22">
        <v>1.2167399999999999</v>
      </c>
      <c r="L86">
        <f t="shared" si="12"/>
        <v>15.914320987654323</v>
      </c>
      <c r="M86">
        <f t="shared" si="13"/>
        <v>19.37329865432099</v>
      </c>
      <c r="N86" s="9"/>
      <c r="O86" s="22">
        <v>0.28274500000000002</v>
      </c>
      <c r="P86" s="22">
        <v>9.2170699999999997</v>
      </c>
      <c r="Q86" s="22">
        <v>-1.3861099999999999E-2</v>
      </c>
      <c r="R86" s="22">
        <v>76</v>
      </c>
      <c r="S86" s="22">
        <v>0.28213500000000002</v>
      </c>
      <c r="T86">
        <f t="shared" si="14"/>
        <v>17.112469135802467</v>
      </c>
      <c r="U86">
        <f t="shared" si="15"/>
        <v>4.8384650858024694</v>
      </c>
      <c r="X86" s="9"/>
      <c r="Y86" s="22">
        <v>1.2173499999999999</v>
      </c>
      <c r="Z86" s="22">
        <v>14.3169</v>
      </c>
      <c r="AA86" s="22">
        <v>-1.29517E-2</v>
      </c>
      <c r="AB86" s="22">
        <v>76</v>
      </c>
      <c r="AC86" s="22">
        <v>1.2167399999999999</v>
      </c>
      <c r="AD86">
        <f t="shared" si="16"/>
        <v>15.989753086419752</v>
      </c>
      <c r="AE86">
        <f t="shared" si="17"/>
        <v>19.465125919753085</v>
      </c>
      <c r="AF86" s="9"/>
      <c r="AG86" s="22">
        <v>0.28274500000000002</v>
      </c>
      <c r="AH86" s="22">
        <v>17.7333</v>
      </c>
      <c r="AI86" s="22">
        <v>-1.3854999999999999E-2</v>
      </c>
      <c r="AJ86" s="22">
        <v>76</v>
      </c>
      <c r="AK86" s="22">
        <v>0.28198200000000001</v>
      </c>
      <c r="AL86">
        <f t="shared" si="18"/>
        <v>17.104938271604937</v>
      </c>
      <c r="AM86">
        <f t="shared" si="19"/>
        <v>4.8363357716049382</v>
      </c>
      <c r="AP86" s="9"/>
      <c r="AQ86" s="22">
        <v>1.2173499999999999</v>
      </c>
      <c r="AR86" s="22">
        <v>22.911100000000001</v>
      </c>
      <c r="AS86" s="22">
        <v>-1.29456E-2</v>
      </c>
      <c r="AT86" s="22">
        <v>76</v>
      </c>
      <c r="AU86" s="22">
        <v>1.2158199999999999</v>
      </c>
      <c r="AV86">
        <f t="shared" si="20"/>
        <v>15.982222222222221</v>
      </c>
      <c r="AW86">
        <f t="shared" si="21"/>
        <v>19.455958222222218</v>
      </c>
      <c r="AX86" s="9"/>
      <c r="AY86" s="22">
        <v>0.28274500000000002</v>
      </c>
      <c r="AZ86" s="22">
        <v>26.327500000000001</v>
      </c>
      <c r="BA86" s="22">
        <v>-1.38733E-2</v>
      </c>
      <c r="BB86" s="22">
        <v>76</v>
      </c>
      <c r="BC86" s="22">
        <v>0.28216599999999997</v>
      </c>
      <c r="BD86">
        <f t="shared" si="22"/>
        <v>17.127530864197528</v>
      </c>
      <c r="BE86">
        <f t="shared" si="23"/>
        <v>4.8427237141975308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1.21231</v>
      </c>
      <c r="H87" s="22">
        <v>5.8107899999999999</v>
      </c>
      <c r="I87" s="22">
        <v>-1.2899799999999999E-2</v>
      </c>
      <c r="J87" s="22">
        <v>77</v>
      </c>
      <c r="K87" s="22">
        <v>1.2103299999999999</v>
      </c>
      <c r="L87">
        <f t="shared" si="12"/>
        <v>15.925679012345679</v>
      </c>
      <c r="M87">
        <f t="shared" si="13"/>
        <v>19.306859923456791</v>
      </c>
      <c r="N87" s="9"/>
      <c r="O87" s="22">
        <v>0.28778100000000001</v>
      </c>
      <c r="P87" s="22">
        <v>9.2271400000000003</v>
      </c>
      <c r="Q87" s="22">
        <v>-1.38458E-2</v>
      </c>
      <c r="R87" s="22">
        <v>77</v>
      </c>
      <c r="S87" s="22">
        <v>0.28716999999999998</v>
      </c>
      <c r="T87">
        <f t="shared" si="14"/>
        <v>17.093580246913579</v>
      </c>
      <c r="U87">
        <f t="shared" si="15"/>
        <v>4.9192076170370367</v>
      </c>
      <c r="X87" s="9"/>
      <c r="Y87" s="22">
        <v>1.21231</v>
      </c>
      <c r="Z87" s="22">
        <v>14.327</v>
      </c>
      <c r="AA87" s="22">
        <v>-1.2973E-2</v>
      </c>
      <c r="AB87" s="22">
        <v>77</v>
      </c>
      <c r="AC87" s="22">
        <v>1.2115499999999999</v>
      </c>
      <c r="AD87">
        <f t="shared" si="16"/>
        <v>16.016049382716048</v>
      </c>
      <c r="AE87">
        <f t="shared" si="17"/>
        <v>19.416416827160493</v>
      </c>
      <c r="AF87" s="9"/>
      <c r="AG87" s="22">
        <v>0.28778100000000001</v>
      </c>
      <c r="AH87" s="22">
        <v>17.743300000000001</v>
      </c>
      <c r="AI87" s="22">
        <v>-1.3854999999999999E-2</v>
      </c>
      <c r="AJ87" s="22">
        <v>77</v>
      </c>
      <c r="AK87" s="22">
        <v>0.28716999999999998</v>
      </c>
      <c r="AL87">
        <f t="shared" si="18"/>
        <v>17.104938271604937</v>
      </c>
      <c r="AM87">
        <f t="shared" si="19"/>
        <v>4.9224762407407407</v>
      </c>
      <c r="AP87" s="9"/>
      <c r="AQ87" s="22">
        <v>1.21231</v>
      </c>
      <c r="AR87" s="22">
        <v>22.921199999999999</v>
      </c>
      <c r="AS87" s="22">
        <v>-1.29456E-2</v>
      </c>
      <c r="AT87" s="22">
        <v>77</v>
      </c>
      <c r="AU87" s="22">
        <v>1.2109399999999999</v>
      </c>
      <c r="AV87">
        <f t="shared" si="20"/>
        <v>15.982222222222221</v>
      </c>
      <c r="AW87">
        <f t="shared" si="21"/>
        <v>19.375407822222222</v>
      </c>
      <c r="AX87" s="9"/>
      <c r="AY87" s="22">
        <v>0.28778100000000001</v>
      </c>
      <c r="AZ87" s="22">
        <v>26.337599999999998</v>
      </c>
      <c r="BA87" s="22">
        <v>-1.3861099999999999E-2</v>
      </c>
      <c r="BB87" s="22">
        <v>77</v>
      </c>
      <c r="BC87" s="22">
        <v>0.28716999999999998</v>
      </c>
      <c r="BD87">
        <f t="shared" si="22"/>
        <v>17.112469135802467</v>
      </c>
      <c r="BE87">
        <f t="shared" si="23"/>
        <v>4.9246434803703698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1.2072799999999999</v>
      </c>
      <c r="H88" s="22">
        <v>5.8208599999999997</v>
      </c>
      <c r="I88" s="22">
        <v>-1.2912E-2</v>
      </c>
      <c r="J88" s="22">
        <v>78</v>
      </c>
      <c r="K88" s="22">
        <v>1.2066699999999999</v>
      </c>
      <c r="L88">
        <f t="shared" si="12"/>
        <v>15.940740740740738</v>
      </c>
      <c r="M88">
        <f t="shared" si="13"/>
        <v>19.244937481481475</v>
      </c>
      <c r="N88" s="9"/>
      <c r="O88" s="22">
        <v>0.29281600000000002</v>
      </c>
      <c r="P88" s="22">
        <v>9.2372099999999993</v>
      </c>
      <c r="Q88" s="22">
        <v>-1.38458E-2</v>
      </c>
      <c r="R88" s="22">
        <v>78</v>
      </c>
      <c r="S88" s="22">
        <v>0.29220600000000002</v>
      </c>
      <c r="T88">
        <f t="shared" si="14"/>
        <v>17.093580246913579</v>
      </c>
      <c r="U88">
        <f t="shared" si="15"/>
        <v>5.0052737935802467</v>
      </c>
      <c r="X88" s="9"/>
      <c r="Y88" s="22">
        <v>1.2072799999999999</v>
      </c>
      <c r="Z88" s="22">
        <v>14.3371</v>
      </c>
      <c r="AA88" s="22">
        <v>-1.2988299999999999E-2</v>
      </c>
      <c r="AB88" s="22">
        <v>78</v>
      </c>
      <c r="AC88" s="22">
        <v>1.2057500000000001</v>
      </c>
      <c r="AD88">
        <f t="shared" si="16"/>
        <v>16.034938271604936</v>
      </c>
      <c r="AE88">
        <f t="shared" si="17"/>
        <v>19.358660276543205</v>
      </c>
      <c r="AF88" s="9"/>
      <c r="AG88" s="22">
        <v>0.29281600000000002</v>
      </c>
      <c r="AH88" s="22">
        <v>17.753399999999999</v>
      </c>
      <c r="AI88" s="22">
        <v>-1.3848900000000001E-2</v>
      </c>
      <c r="AJ88" s="22">
        <v>78</v>
      </c>
      <c r="AK88" s="22">
        <v>0.292267</v>
      </c>
      <c r="AL88">
        <f t="shared" si="18"/>
        <v>17.09740740740741</v>
      </c>
      <c r="AM88">
        <f t="shared" si="19"/>
        <v>5.0063944474074082</v>
      </c>
      <c r="AP88" s="9"/>
      <c r="AQ88" s="22">
        <v>1.2072799999999999</v>
      </c>
      <c r="AR88" s="22">
        <v>22.9313</v>
      </c>
      <c r="AS88" s="22">
        <v>-1.29547E-2</v>
      </c>
      <c r="AT88" s="22">
        <v>78</v>
      </c>
      <c r="AU88" s="22">
        <v>1.2060500000000001</v>
      </c>
      <c r="AV88">
        <f t="shared" si="20"/>
        <v>15.993456790123457</v>
      </c>
      <c r="AW88">
        <f t="shared" si="21"/>
        <v>19.308580513580246</v>
      </c>
      <c r="AX88" s="9"/>
      <c r="AY88" s="22">
        <v>0.29281600000000002</v>
      </c>
      <c r="AZ88" s="22">
        <v>26.3476</v>
      </c>
      <c r="BA88" s="22">
        <v>-1.3861099999999999E-2</v>
      </c>
      <c r="BB88" s="22">
        <v>78</v>
      </c>
      <c r="BC88" s="22">
        <v>0.29217500000000002</v>
      </c>
      <c r="BD88">
        <f t="shared" si="22"/>
        <v>17.112469135802467</v>
      </c>
      <c r="BE88">
        <f t="shared" si="23"/>
        <v>5.0108047624691352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1.20224</v>
      </c>
      <c r="H89" s="22">
        <v>5.8309300000000004</v>
      </c>
      <c r="I89" s="22">
        <v>-1.29272E-2</v>
      </c>
      <c r="J89" s="22">
        <v>79</v>
      </c>
      <c r="K89" s="22">
        <v>1.2008700000000001</v>
      </c>
      <c r="L89">
        <f t="shared" si="12"/>
        <v>15.959506172839506</v>
      </c>
      <c r="M89">
        <f t="shared" si="13"/>
        <v>19.187156701234567</v>
      </c>
      <c r="N89" s="9"/>
      <c r="O89" s="22">
        <v>0.29785200000000001</v>
      </c>
      <c r="P89" s="22">
        <v>9.2472799999999999</v>
      </c>
      <c r="Q89" s="22">
        <v>-1.3848900000000001E-2</v>
      </c>
      <c r="R89" s="22">
        <v>79</v>
      </c>
      <c r="S89" s="22">
        <v>0.29736299999999999</v>
      </c>
      <c r="T89">
        <f t="shared" si="14"/>
        <v>17.09740740740741</v>
      </c>
      <c r="U89">
        <f t="shared" si="15"/>
        <v>5.092496991111112</v>
      </c>
      <c r="X89" s="9"/>
      <c r="Y89" s="22">
        <v>1.20224</v>
      </c>
      <c r="Z89" s="22">
        <v>14.347099999999999</v>
      </c>
      <c r="AA89" s="22">
        <v>-1.29944E-2</v>
      </c>
      <c r="AB89" s="22">
        <v>79</v>
      </c>
      <c r="AC89" s="22">
        <v>1.2011700000000001</v>
      </c>
      <c r="AD89">
        <f t="shared" si="16"/>
        <v>16.042469135802467</v>
      </c>
      <c r="AE89">
        <f t="shared" si="17"/>
        <v>19.286898093827158</v>
      </c>
      <c r="AF89" s="9"/>
      <c r="AG89" s="22">
        <v>0.29785200000000001</v>
      </c>
      <c r="AH89" s="22">
        <v>17.763500000000001</v>
      </c>
      <c r="AI89" s="22">
        <v>-1.38458E-2</v>
      </c>
      <c r="AJ89" s="22">
        <v>79</v>
      </c>
      <c r="AK89" s="22">
        <v>0.29724099999999998</v>
      </c>
      <c r="AL89">
        <f t="shared" si="18"/>
        <v>17.093580246913579</v>
      </c>
      <c r="AM89">
        <f t="shared" si="19"/>
        <v>5.0913570637037031</v>
      </c>
      <c r="AP89" s="9"/>
      <c r="AQ89" s="22">
        <v>1.20224</v>
      </c>
      <c r="AR89" s="22">
        <v>22.941400000000002</v>
      </c>
      <c r="AS89" s="22">
        <v>-1.2973E-2</v>
      </c>
      <c r="AT89" s="22">
        <v>79</v>
      </c>
      <c r="AU89" s="22">
        <v>1.2011700000000001</v>
      </c>
      <c r="AV89">
        <f t="shared" si="20"/>
        <v>16.016049382716048</v>
      </c>
      <c r="AW89">
        <f t="shared" si="21"/>
        <v>19.255135209876542</v>
      </c>
      <c r="AX89" s="9"/>
      <c r="AY89" s="22">
        <v>0.29785200000000001</v>
      </c>
      <c r="AZ89" s="22">
        <v>26.357700000000001</v>
      </c>
      <c r="BA89" s="22">
        <v>-1.38672E-2</v>
      </c>
      <c r="BB89" s="22">
        <v>79</v>
      </c>
      <c r="BC89" s="22">
        <v>0.297211</v>
      </c>
      <c r="BD89">
        <f t="shared" si="22"/>
        <v>17.12</v>
      </c>
      <c r="BE89">
        <f t="shared" si="23"/>
        <v>5.0992262400000001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1.1972</v>
      </c>
      <c r="H90" s="22">
        <v>5.8410000000000002</v>
      </c>
      <c r="I90" s="22">
        <v>-1.2936400000000001E-2</v>
      </c>
      <c r="J90" s="22">
        <v>80</v>
      </c>
      <c r="K90" s="22">
        <v>1.1956800000000001</v>
      </c>
      <c r="L90">
        <f t="shared" si="12"/>
        <v>15.970864197530865</v>
      </c>
      <c r="M90">
        <f t="shared" si="13"/>
        <v>19.120318617283953</v>
      </c>
      <c r="N90" s="9"/>
      <c r="O90" s="22">
        <v>0.30288700000000002</v>
      </c>
      <c r="P90" s="22">
        <v>9.2573500000000006</v>
      </c>
      <c r="Q90" s="22">
        <v>-1.3854999999999999E-2</v>
      </c>
      <c r="R90" s="22">
        <v>80</v>
      </c>
      <c r="S90" s="22">
        <v>0.30224600000000001</v>
      </c>
      <c r="T90">
        <f t="shared" si="14"/>
        <v>17.104938271604937</v>
      </c>
      <c r="U90">
        <f t="shared" si="15"/>
        <v>5.1808634382716043</v>
      </c>
      <c r="X90" s="9"/>
      <c r="Y90" s="22">
        <v>1.1972</v>
      </c>
      <c r="Z90" s="22">
        <v>14.357200000000001</v>
      </c>
      <c r="AA90" s="22">
        <v>-1.2991300000000001E-2</v>
      </c>
      <c r="AB90" s="22">
        <v>80</v>
      </c>
      <c r="AC90" s="22">
        <v>1.1962900000000001</v>
      </c>
      <c r="AD90">
        <f t="shared" si="16"/>
        <v>16.038641975308643</v>
      </c>
      <c r="AE90">
        <f t="shared" si="17"/>
        <v>19.201462172839509</v>
      </c>
      <c r="AF90" s="9"/>
      <c r="AG90" s="22">
        <v>0.30288700000000002</v>
      </c>
      <c r="AH90" s="22">
        <v>17.773599999999998</v>
      </c>
      <c r="AI90" s="22">
        <v>-1.38458E-2</v>
      </c>
      <c r="AJ90" s="22">
        <v>80</v>
      </c>
      <c r="AK90" s="22">
        <v>0.30224600000000001</v>
      </c>
      <c r="AL90">
        <f t="shared" si="18"/>
        <v>17.093580246913579</v>
      </c>
      <c r="AM90">
        <f t="shared" si="19"/>
        <v>5.1774232402469131</v>
      </c>
      <c r="AP90" s="9"/>
      <c r="AQ90" s="22">
        <v>1.1972</v>
      </c>
      <c r="AR90" s="22">
        <v>22.9514</v>
      </c>
      <c r="AS90" s="22">
        <v>-1.2991300000000001E-2</v>
      </c>
      <c r="AT90" s="22">
        <v>80</v>
      </c>
      <c r="AU90" s="22">
        <v>1.1956800000000001</v>
      </c>
      <c r="AV90">
        <f t="shared" si="20"/>
        <v>16.038641975308643</v>
      </c>
      <c r="AW90">
        <f t="shared" si="21"/>
        <v>19.201462172839509</v>
      </c>
      <c r="AX90" s="9"/>
      <c r="AY90" s="22">
        <v>0.30288700000000002</v>
      </c>
      <c r="AZ90" s="22">
        <v>26.367799999999999</v>
      </c>
      <c r="BA90" s="22">
        <v>-1.3870199999999999E-2</v>
      </c>
      <c r="BB90" s="22">
        <v>80</v>
      </c>
      <c r="BC90" s="22">
        <v>0.30224600000000001</v>
      </c>
      <c r="BD90">
        <f t="shared" si="22"/>
        <v>17.123703703703701</v>
      </c>
      <c r="BE90">
        <f t="shared" si="23"/>
        <v>5.1865472437037035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1.19217</v>
      </c>
      <c r="H91" s="22">
        <v>5.85107</v>
      </c>
      <c r="I91" s="22">
        <v>-1.29456E-2</v>
      </c>
      <c r="J91" s="22">
        <v>81</v>
      </c>
      <c r="K91" s="22">
        <v>1.1911</v>
      </c>
      <c r="L91">
        <f t="shared" si="12"/>
        <v>15.982222222222221</v>
      </c>
      <c r="M91">
        <f t="shared" si="13"/>
        <v>19.053525866666664</v>
      </c>
      <c r="N91" s="9"/>
      <c r="O91" s="22">
        <v>0.30792199999999997</v>
      </c>
      <c r="P91" s="22">
        <v>9.2674199999999995</v>
      </c>
      <c r="Q91" s="22">
        <v>-1.38519E-2</v>
      </c>
      <c r="R91" s="22">
        <v>81</v>
      </c>
      <c r="S91" s="22">
        <v>0.307251</v>
      </c>
      <c r="T91">
        <f t="shared" si="14"/>
        <v>17.101111111111113</v>
      </c>
      <c r="U91">
        <f t="shared" si="15"/>
        <v>5.2658083355555556</v>
      </c>
      <c r="X91" s="9"/>
      <c r="Y91" s="22">
        <v>1.19217</v>
      </c>
      <c r="Z91" s="22">
        <v>14.3673</v>
      </c>
      <c r="AA91" s="22">
        <v>-1.30096E-2</v>
      </c>
      <c r="AB91" s="22">
        <v>81</v>
      </c>
      <c r="AC91" s="22">
        <v>1.1908000000000001</v>
      </c>
      <c r="AD91">
        <f t="shared" si="16"/>
        <v>16.061234567901234</v>
      </c>
      <c r="AE91">
        <f t="shared" si="17"/>
        <v>19.147722014814814</v>
      </c>
      <c r="AF91" s="9"/>
      <c r="AG91" s="22">
        <v>0.30792199999999997</v>
      </c>
      <c r="AH91" s="22">
        <v>17.7836</v>
      </c>
      <c r="AI91" s="22">
        <v>-1.3842800000000001E-2</v>
      </c>
      <c r="AJ91" s="22">
        <v>81</v>
      </c>
      <c r="AK91" s="22">
        <v>0.30734299999999998</v>
      </c>
      <c r="AL91">
        <f t="shared" si="18"/>
        <v>17.089876543209876</v>
      </c>
      <c r="AM91">
        <f t="shared" si="19"/>
        <v>5.2623489649382709</v>
      </c>
      <c r="AP91" s="9"/>
      <c r="AQ91" s="22">
        <v>1.19217</v>
      </c>
      <c r="AR91" s="22">
        <v>22.961500000000001</v>
      </c>
      <c r="AS91" s="22">
        <v>-1.3003499999999999E-2</v>
      </c>
      <c r="AT91" s="22">
        <v>81</v>
      </c>
      <c r="AU91" s="22">
        <v>1.19049</v>
      </c>
      <c r="AV91">
        <f t="shared" si="20"/>
        <v>16.0537037037037</v>
      </c>
      <c r="AW91">
        <f t="shared" si="21"/>
        <v>19.138743944444439</v>
      </c>
      <c r="AX91" s="9"/>
      <c r="AY91" s="22">
        <v>0.30792199999999997</v>
      </c>
      <c r="AZ91" s="22">
        <v>26.377800000000001</v>
      </c>
      <c r="BA91" s="22">
        <v>-1.3870199999999999E-2</v>
      </c>
      <c r="BB91" s="22">
        <v>81</v>
      </c>
      <c r="BC91" s="22">
        <v>0.30734299999999998</v>
      </c>
      <c r="BD91">
        <f t="shared" si="22"/>
        <v>17.123703703703701</v>
      </c>
      <c r="BE91">
        <f t="shared" si="23"/>
        <v>5.2727650918518503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1.18713</v>
      </c>
      <c r="H92" s="22">
        <v>5.8611399999999998</v>
      </c>
      <c r="I92" s="22">
        <v>-1.29608E-2</v>
      </c>
      <c r="J92" s="22">
        <v>82</v>
      </c>
      <c r="K92" s="22">
        <v>1.18652</v>
      </c>
      <c r="L92">
        <f t="shared" si="12"/>
        <v>16.000987654320987</v>
      </c>
      <c r="M92">
        <f t="shared" si="13"/>
        <v>18.995252474074075</v>
      </c>
      <c r="N92" s="9"/>
      <c r="O92" s="22">
        <v>0.31295800000000001</v>
      </c>
      <c r="P92" s="22">
        <v>9.2774900000000002</v>
      </c>
      <c r="Q92" s="22">
        <v>-1.3842800000000001E-2</v>
      </c>
      <c r="R92" s="22">
        <v>82</v>
      </c>
      <c r="S92" s="22">
        <v>0.312164</v>
      </c>
      <c r="T92">
        <f t="shared" si="14"/>
        <v>17.089876543209876</v>
      </c>
      <c r="U92">
        <f t="shared" si="15"/>
        <v>5.3484135832098767</v>
      </c>
      <c r="X92" s="9"/>
      <c r="Y92" s="22">
        <v>1.18713</v>
      </c>
      <c r="Z92" s="22">
        <v>14.3773</v>
      </c>
      <c r="AA92" s="22">
        <v>-1.3030999999999999E-2</v>
      </c>
      <c r="AB92" s="22">
        <v>82</v>
      </c>
      <c r="AC92" s="22">
        <v>1.18591</v>
      </c>
      <c r="AD92">
        <f t="shared" si="16"/>
        <v>16.087654320987653</v>
      </c>
      <c r="AE92">
        <f t="shared" si="17"/>
        <v>19.098137074074074</v>
      </c>
      <c r="AF92" s="9"/>
      <c r="AG92" s="22">
        <v>0.31295800000000001</v>
      </c>
      <c r="AH92" s="22">
        <v>17.793700000000001</v>
      </c>
      <c r="AI92" s="22">
        <v>-1.38458E-2</v>
      </c>
      <c r="AJ92" s="22">
        <v>82</v>
      </c>
      <c r="AK92" s="22">
        <v>0.31231700000000001</v>
      </c>
      <c r="AL92">
        <f t="shared" si="18"/>
        <v>17.093580246913579</v>
      </c>
      <c r="AM92">
        <f t="shared" si="19"/>
        <v>5.3495726869135796</v>
      </c>
      <c r="AP92" s="9"/>
      <c r="AQ92" s="22">
        <v>1.18713</v>
      </c>
      <c r="AR92" s="22">
        <v>22.971599999999999</v>
      </c>
      <c r="AS92" s="22">
        <v>-1.30127E-2</v>
      </c>
      <c r="AT92" s="22">
        <v>82</v>
      </c>
      <c r="AU92" s="22">
        <v>1.18591</v>
      </c>
      <c r="AV92">
        <f t="shared" si="20"/>
        <v>16.065061728395062</v>
      </c>
      <c r="AW92">
        <f t="shared" si="21"/>
        <v>19.071316729629629</v>
      </c>
      <c r="AX92" s="9"/>
      <c r="AY92" s="22">
        <v>0.31295800000000001</v>
      </c>
      <c r="AZ92" s="22">
        <v>26.387899999999998</v>
      </c>
      <c r="BA92" s="22">
        <v>-1.3864100000000001E-2</v>
      </c>
      <c r="BB92" s="22">
        <v>82</v>
      </c>
      <c r="BC92" s="22">
        <v>0.31231700000000001</v>
      </c>
      <c r="BD92">
        <f t="shared" si="22"/>
        <v>17.11617283950617</v>
      </c>
      <c r="BE92">
        <f t="shared" si="23"/>
        <v>5.3566432195061724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1.1820999999999999</v>
      </c>
      <c r="H93" s="22">
        <v>5.8712099999999996</v>
      </c>
      <c r="I93" s="22">
        <v>-1.29791E-2</v>
      </c>
      <c r="J93" s="22">
        <v>83</v>
      </c>
      <c r="K93" s="22">
        <v>1.18103</v>
      </c>
      <c r="L93">
        <f t="shared" si="12"/>
        <v>16.023580246913578</v>
      </c>
      <c r="M93">
        <f t="shared" si="13"/>
        <v>18.941474209876539</v>
      </c>
      <c r="N93" s="9"/>
      <c r="O93" s="22">
        <v>0.31799300000000003</v>
      </c>
      <c r="P93" s="22">
        <v>9.2875599999999991</v>
      </c>
      <c r="Q93" s="22">
        <v>-1.38336E-2</v>
      </c>
      <c r="R93" s="22">
        <v>83</v>
      </c>
      <c r="S93" s="22">
        <v>0.317413</v>
      </c>
      <c r="T93">
        <f t="shared" si="14"/>
        <v>17.078518518518518</v>
      </c>
      <c r="U93">
        <f t="shared" si="15"/>
        <v>5.4308493392592592</v>
      </c>
      <c r="X93" s="9"/>
      <c r="Y93" s="22">
        <v>1.1820999999999999</v>
      </c>
      <c r="Z93" s="22">
        <v>14.3874</v>
      </c>
      <c r="AA93" s="22">
        <v>-1.3064600000000001E-2</v>
      </c>
      <c r="AB93" s="22">
        <v>83</v>
      </c>
      <c r="AC93" s="22">
        <v>1.1807300000000001</v>
      </c>
      <c r="AD93">
        <f t="shared" si="16"/>
        <v>16.129135802469136</v>
      </c>
      <c r="AE93">
        <f t="shared" si="17"/>
        <v>19.066251432098763</v>
      </c>
      <c r="AF93" s="9"/>
      <c r="AG93" s="22">
        <v>0.31799300000000003</v>
      </c>
      <c r="AH93" s="22">
        <v>17.803799999999999</v>
      </c>
      <c r="AI93" s="22">
        <v>-1.3848900000000001E-2</v>
      </c>
      <c r="AJ93" s="22">
        <v>83</v>
      </c>
      <c r="AK93" s="22">
        <v>0.31738300000000003</v>
      </c>
      <c r="AL93">
        <f t="shared" si="18"/>
        <v>17.09740740740741</v>
      </c>
      <c r="AM93">
        <f t="shared" si="19"/>
        <v>5.4368558737037045</v>
      </c>
      <c r="AP93" s="9"/>
      <c r="AQ93" s="22">
        <v>1.1820999999999999</v>
      </c>
      <c r="AR93" s="22">
        <v>22.9816</v>
      </c>
      <c r="AS93" s="22">
        <v>-1.30341E-2</v>
      </c>
      <c r="AT93" s="22">
        <v>83</v>
      </c>
      <c r="AU93" s="22">
        <v>1.1813400000000001</v>
      </c>
      <c r="AV93">
        <f t="shared" si="20"/>
        <v>16.09148148148148</v>
      </c>
      <c r="AW93">
        <f t="shared" si="21"/>
        <v>19.021740259259257</v>
      </c>
      <c r="AX93" s="9"/>
      <c r="AY93" s="22">
        <v>0.31799300000000003</v>
      </c>
      <c r="AZ93" s="22">
        <v>26.398</v>
      </c>
      <c r="BA93" s="22">
        <v>-1.3861099999999999E-2</v>
      </c>
      <c r="BB93" s="22">
        <v>83</v>
      </c>
      <c r="BC93" s="22">
        <v>0.31735200000000002</v>
      </c>
      <c r="BD93">
        <f t="shared" si="22"/>
        <v>17.112469135802467</v>
      </c>
      <c r="BE93">
        <f t="shared" si="23"/>
        <v>5.441645397901234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1.17706</v>
      </c>
      <c r="H94" s="22">
        <v>5.8812899999999999</v>
      </c>
      <c r="I94" s="22">
        <v>-1.2988299999999999E-2</v>
      </c>
      <c r="J94" s="22">
        <v>84</v>
      </c>
      <c r="K94" s="22">
        <v>1.17645</v>
      </c>
      <c r="L94">
        <f t="shared" si="12"/>
        <v>16.034938271604936</v>
      </c>
      <c r="M94">
        <f t="shared" si="13"/>
        <v>18.874084441975306</v>
      </c>
      <c r="N94" s="9"/>
      <c r="O94" s="22">
        <v>0.32302900000000001</v>
      </c>
      <c r="P94" s="22">
        <v>9.2976299999999998</v>
      </c>
      <c r="Q94" s="22">
        <v>-1.38245E-2</v>
      </c>
      <c r="R94" s="22">
        <v>84</v>
      </c>
      <c r="S94" s="22">
        <v>0.32244899999999999</v>
      </c>
      <c r="T94">
        <f t="shared" si="14"/>
        <v>17.067283950617281</v>
      </c>
      <c r="U94">
        <f t="shared" si="15"/>
        <v>5.5132276672839495</v>
      </c>
      <c r="X94" s="9"/>
      <c r="Y94" s="22">
        <v>1.17706</v>
      </c>
      <c r="Z94" s="22">
        <v>14.397500000000001</v>
      </c>
      <c r="AA94" s="22">
        <v>-1.3089E-2</v>
      </c>
      <c r="AB94" s="22">
        <v>84</v>
      </c>
      <c r="AC94" s="22">
        <v>1.17554</v>
      </c>
      <c r="AD94">
        <f t="shared" si="16"/>
        <v>16.159259259259258</v>
      </c>
      <c r="AE94">
        <f t="shared" si="17"/>
        <v>19.020417703703703</v>
      </c>
      <c r="AF94" s="9"/>
      <c r="AG94" s="22">
        <v>0.32302900000000001</v>
      </c>
      <c r="AH94" s="22">
        <v>17.813800000000001</v>
      </c>
      <c r="AI94" s="22">
        <v>-1.38458E-2</v>
      </c>
      <c r="AJ94" s="22">
        <v>84</v>
      </c>
      <c r="AK94" s="22">
        <v>0.32241799999999998</v>
      </c>
      <c r="AL94">
        <f t="shared" si="18"/>
        <v>17.093580246913579</v>
      </c>
      <c r="AM94">
        <f t="shared" si="19"/>
        <v>5.5217221335802469</v>
      </c>
      <c r="AP94" s="9"/>
      <c r="AQ94" s="22">
        <v>1.17706</v>
      </c>
      <c r="AR94" s="22">
        <v>22.991700000000002</v>
      </c>
      <c r="AS94" s="22">
        <v>-1.30554E-2</v>
      </c>
      <c r="AT94" s="22">
        <v>84</v>
      </c>
      <c r="AU94" s="22">
        <v>1.17584</v>
      </c>
      <c r="AV94">
        <f t="shared" si="20"/>
        <v>16.117777777777775</v>
      </c>
      <c r="AW94">
        <f t="shared" si="21"/>
        <v>18.971591511111107</v>
      </c>
      <c r="AX94" s="9"/>
      <c r="AY94" s="22">
        <v>0.32302900000000001</v>
      </c>
      <c r="AZ94" s="22">
        <v>26.408100000000001</v>
      </c>
      <c r="BA94" s="22">
        <v>-1.3858000000000001E-2</v>
      </c>
      <c r="BB94" s="22">
        <v>84</v>
      </c>
      <c r="BC94" s="22">
        <v>0.32232699999999997</v>
      </c>
      <c r="BD94">
        <f t="shared" si="22"/>
        <v>17.10864197530864</v>
      </c>
      <c r="BE94">
        <f t="shared" si="23"/>
        <v>5.5265875086419749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1.1720299999999999</v>
      </c>
      <c r="H95" s="22">
        <v>5.8913599999999997</v>
      </c>
      <c r="I95" s="22">
        <v>-1.2997399999999999E-2</v>
      </c>
      <c r="J95" s="22">
        <v>85</v>
      </c>
      <c r="K95" s="22">
        <v>1.17096</v>
      </c>
      <c r="L95">
        <f t="shared" si="12"/>
        <v>16.04617283950617</v>
      </c>
      <c r="M95">
        <f t="shared" si="13"/>
        <v>18.806595953086415</v>
      </c>
      <c r="N95" s="9"/>
      <c r="O95" s="22">
        <v>0.32806400000000002</v>
      </c>
      <c r="P95" s="22">
        <v>9.3077000000000005</v>
      </c>
      <c r="Q95" s="22">
        <v>-1.38245E-2</v>
      </c>
      <c r="R95" s="22">
        <v>85</v>
      </c>
      <c r="S95" s="22">
        <v>0.32742300000000002</v>
      </c>
      <c r="T95">
        <f t="shared" si="14"/>
        <v>17.067283950617281</v>
      </c>
      <c r="U95">
        <f t="shared" si="15"/>
        <v>5.5991614419753075</v>
      </c>
      <c r="X95" s="9"/>
      <c r="Y95" s="22">
        <v>1.1720299999999999</v>
      </c>
      <c r="Z95" s="22">
        <v>14.4076</v>
      </c>
      <c r="AA95" s="22">
        <v>-1.31012E-2</v>
      </c>
      <c r="AB95" s="22">
        <v>85</v>
      </c>
      <c r="AC95" s="22">
        <v>1.17126</v>
      </c>
      <c r="AD95">
        <f t="shared" si="16"/>
        <v>16.174320987654323</v>
      </c>
      <c r="AE95">
        <f t="shared" si="17"/>
        <v>18.956789427160494</v>
      </c>
      <c r="AF95" s="9"/>
      <c r="AG95" s="22">
        <v>0.32806400000000002</v>
      </c>
      <c r="AH95" s="22">
        <v>17.823899999999998</v>
      </c>
      <c r="AI95" s="22">
        <v>-1.38458E-2</v>
      </c>
      <c r="AJ95" s="22">
        <v>85</v>
      </c>
      <c r="AK95" s="22">
        <v>0.32745400000000002</v>
      </c>
      <c r="AL95">
        <f t="shared" si="18"/>
        <v>17.093580246913579</v>
      </c>
      <c r="AM95">
        <f t="shared" si="19"/>
        <v>5.6077883101234569</v>
      </c>
      <c r="AP95" s="9"/>
      <c r="AQ95" s="22">
        <v>1.1720299999999999</v>
      </c>
      <c r="AR95" s="22">
        <v>23.001799999999999</v>
      </c>
      <c r="AS95" s="22">
        <v>-1.3070699999999999E-2</v>
      </c>
      <c r="AT95" s="22">
        <v>85</v>
      </c>
      <c r="AU95" s="22">
        <v>1.17096</v>
      </c>
      <c r="AV95">
        <f t="shared" si="20"/>
        <v>16.136666666666663</v>
      </c>
      <c r="AW95">
        <f t="shared" si="21"/>
        <v>18.912657433333326</v>
      </c>
      <c r="AX95" s="9"/>
      <c r="AY95" s="22">
        <v>0.32806400000000002</v>
      </c>
      <c r="AZ95" s="22">
        <v>26.418099999999999</v>
      </c>
      <c r="BA95" s="22">
        <v>-1.3870199999999999E-2</v>
      </c>
      <c r="BB95" s="22">
        <v>85</v>
      </c>
      <c r="BC95" s="22">
        <v>0.32745400000000002</v>
      </c>
      <c r="BD95">
        <f t="shared" si="22"/>
        <v>17.123703703703701</v>
      </c>
      <c r="BE95">
        <f t="shared" si="23"/>
        <v>5.6176707318518515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1.16699</v>
      </c>
      <c r="H96" s="22">
        <v>5.9014300000000004</v>
      </c>
      <c r="I96" s="22">
        <v>-1.30096E-2</v>
      </c>
      <c r="J96" s="22">
        <v>86</v>
      </c>
      <c r="K96" s="22">
        <v>1.16577</v>
      </c>
      <c r="L96">
        <f t="shared" si="12"/>
        <v>16.061234567901234</v>
      </c>
      <c r="M96">
        <f t="shared" si="13"/>
        <v>18.74330012839506</v>
      </c>
      <c r="N96" s="9"/>
      <c r="O96" s="22">
        <v>0.33309899999999998</v>
      </c>
      <c r="P96" s="22">
        <v>9.3177800000000008</v>
      </c>
      <c r="Q96" s="22">
        <v>-1.3821399999999999E-2</v>
      </c>
      <c r="R96" s="22">
        <v>86</v>
      </c>
      <c r="S96" s="22">
        <v>0.33251999999999998</v>
      </c>
      <c r="T96">
        <f t="shared" si="14"/>
        <v>17.063456790123453</v>
      </c>
      <c r="U96">
        <f t="shared" si="15"/>
        <v>5.683820393333332</v>
      </c>
      <c r="X96" s="9"/>
      <c r="Y96" s="22">
        <v>1.16699</v>
      </c>
      <c r="Z96" s="22">
        <v>14.4176</v>
      </c>
      <c r="AA96" s="22">
        <v>-1.31226E-2</v>
      </c>
      <c r="AB96" s="22">
        <v>86</v>
      </c>
      <c r="AC96" s="22">
        <v>1.16669</v>
      </c>
      <c r="AD96">
        <f t="shared" si="16"/>
        <v>16.200740740740741</v>
      </c>
      <c r="AE96">
        <f t="shared" si="17"/>
        <v>18.906102437037038</v>
      </c>
      <c r="AF96" s="9"/>
      <c r="AG96" s="22">
        <v>0.33309899999999998</v>
      </c>
      <c r="AH96" s="22">
        <v>17.834</v>
      </c>
      <c r="AI96" s="22">
        <v>-1.3842800000000001E-2</v>
      </c>
      <c r="AJ96" s="22">
        <v>86</v>
      </c>
      <c r="AK96" s="22">
        <v>0.33255000000000001</v>
      </c>
      <c r="AL96">
        <f t="shared" si="18"/>
        <v>17.089876543209876</v>
      </c>
      <c r="AM96">
        <f t="shared" si="19"/>
        <v>5.6926207866666658</v>
      </c>
      <c r="AP96" s="9"/>
      <c r="AQ96" s="22">
        <v>1.16699</v>
      </c>
      <c r="AR96" s="22">
        <v>23.011800000000001</v>
      </c>
      <c r="AS96" s="22">
        <v>-1.30829E-2</v>
      </c>
      <c r="AT96" s="22">
        <v>86</v>
      </c>
      <c r="AU96" s="22">
        <v>1.16638</v>
      </c>
      <c r="AV96">
        <f t="shared" si="20"/>
        <v>16.151728395061728</v>
      </c>
      <c r="AW96">
        <f t="shared" si="21"/>
        <v>18.848905519753085</v>
      </c>
      <c r="AX96" s="9"/>
      <c r="AY96" s="22">
        <v>0.33309899999999998</v>
      </c>
      <c r="AZ96" s="22">
        <v>26.4282</v>
      </c>
      <c r="BA96" s="22">
        <v>-1.3870199999999999E-2</v>
      </c>
      <c r="BB96" s="22">
        <v>86</v>
      </c>
      <c r="BC96" s="22">
        <v>0.33248899999999998</v>
      </c>
      <c r="BD96">
        <f t="shared" si="22"/>
        <v>17.123703703703701</v>
      </c>
      <c r="BE96">
        <f t="shared" si="23"/>
        <v>5.7038885799999983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1.1619600000000001</v>
      </c>
      <c r="H97" s="22">
        <v>5.9115000000000002</v>
      </c>
      <c r="I97" s="22">
        <v>-1.30157E-2</v>
      </c>
      <c r="J97" s="22">
        <v>87</v>
      </c>
      <c r="K97" s="22">
        <v>1.1611899999999999</v>
      </c>
      <c r="L97">
        <f t="shared" si="12"/>
        <v>16.068765432098765</v>
      </c>
      <c r="M97">
        <f t="shared" si="13"/>
        <v>18.671262681481483</v>
      </c>
      <c r="N97" s="9"/>
      <c r="O97" s="22">
        <v>0.33813500000000002</v>
      </c>
      <c r="P97" s="22">
        <v>9.3278499999999998</v>
      </c>
      <c r="Q97" s="22">
        <v>-1.38245E-2</v>
      </c>
      <c r="R97" s="22">
        <v>87</v>
      </c>
      <c r="S97" s="22">
        <v>0.33752399999999999</v>
      </c>
      <c r="T97">
        <f t="shared" si="14"/>
        <v>17.067283950617281</v>
      </c>
      <c r="U97">
        <f t="shared" si="15"/>
        <v>5.771046058641975</v>
      </c>
      <c r="X97" s="9"/>
      <c r="Y97" s="22">
        <v>1.1619600000000001</v>
      </c>
      <c r="Z97" s="22">
        <v>14.4277</v>
      </c>
      <c r="AA97" s="22">
        <v>-1.31378E-2</v>
      </c>
      <c r="AB97" s="22">
        <v>87</v>
      </c>
      <c r="AC97" s="22">
        <v>1.16089</v>
      </c>
      <c r="AD97">
        <f t="shared" si="16"/>
        <v>16.219506172839505</v>
      </c>
      <c r="AE97">
        <f t="shared" si="17"/>
        <v>18.846417392592592</v>
      </c>
      <c r="AF97" s="9"/>
      <c r="AG97" s="22">
        <v>0.33813500000000002</v>
      </c>
      <c r="AH97" s="22">
        <v>17.844100000000001</v>
      </c>
      <c r="AI97" s="22">
        <v>-1.38367E-2</v>
      </c>
      <c r="AJ97" s="22">
        <v>87</v>
      </c>
      <c r="AK97" s="22">
        <v>0.33740199999999998</v>
      </c>
      <c r="AL97">
        <f t="shared" si="18"/>
        <v>17.082345679012345</v>
      </c>
      <c r="AM97">
        <f t="shared" si="19"/>
        <v>5.77613895617284</v>
      </c>
      <c r="AP97" s="9"/>
      <c r="AQ97" s="22">
        <v>1.1619600000000001</v>
      </c>
      <c r="AR97" s="22">
        <v>23.021899999999999</v>
      </c>
      <c r="AS97" s="22">
        <v>-1.30951E-2</v>
      </c>
      <c r="AT97" s="22">
        <v>87</v>
      </c>
      <c r="AU97" s="22">
        <v>1.1611899999999999</v>
      </c>
      <c r="AV97">
        <f t="shared" si="20"/>
        <v>16.166790123456789</v>
      </c>
      <c r="AW97">
        <f t="shared" si="21"/>
        <v>18.785163451851851</v>
      </c>
      <c r="AX97" s="9"/>
      <c r="AY97" s="22">
        <v>0.33813500000000002</v>
      </c>
      <c r="AZ97" s="22">
        <v>26.438300000000002</v>
      </c>
      <c r="BA97" s="22">
        <v>-1.3864100000000001E-2</v>
      </c>
      <c r="BB97" s="22">
        <v>87</v>
      </c>
      <c r="BC97" s="22">
        <v>0.33743299999999998</v>
      </c>
      <c r="BD97">
        <f t="shared" si="22"/>
        <v>17.11617283950617</v>
      </c>
      <c r="BE97">
        <f t="shared" si="23"/>
        <v>5.7875771030864192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1.1569199999999999</v>
      </c>
      <c r="H98" s="22">
        <v>5.92157</v>
      </c>
      <c r="I98" s="22">
        <v>-1.30157E-2</v>
      </c>
      <c r="J98" s="22">
        <v>88</v>
      </c>
      <c r="K98" s="22">
        <v>1.15601</v>
      </c>
      <c r="L98">
        <f t="shared" si="12"/>
        <v>16.068765432098765</v>
      </c>
      <c r="M98">
        <f t="shared" si="13"/>
        <v>18.590276103703701</v>
      </c>
      <c r="N98" s="9"/>
      <c r="O98" s="22">
        <v>0.34316999999999998</v>
      </c>
      <c r="P98" s="22">
        <v>9.3379200000000004</v>
      </c>
      <c r="Q98" s="22">
        <v>-1.3821399999999999E-2</v>
      </c>
      <c r="R98" s="22">
        <v>88</v>
      </c>
      <c r="S98" s="22">
        <v>0.34262100000000001</v>
      </c>
      <c r="T98">
        <f t="shared" si="14"/>
        <v>17.063456790123453</v>
      </c>
      <c r="U98">
        <f t="shared" si="15"/>
        <v>5.8556664666666647</v>
      </c>
      <c r="X98" s="9"/>
      <c r="Y98" s="22">
        <v>1.1569199999999999</v>
      </c>
      <c r="Z98" s="22">
        <v>14.437799999999999</v>
      </c>
      <c r="AA98" s="22">
        <v>-1.3147000000000001E-2</v>
      </c>
      <c r="AB98" s="22">
        <v>88</v>
      </c>
      <c r="AC98" s="22">
        <v>1.1554</v>
      </c>
      <c r="AD98">
        <f t="shared" si="16"/>
        <v>16.230864197530863</v>
      </c>
      <c r="AE98">
        <f t="shared" si="17"/>
        <v>18.777811407407405</v>
      </c>
      <c r="AF98" s="9"/>
      <c r="AG98" s="22">
        <v>0.34316999999999998</v>
      </c>
      <c r="AH98" s="22">
        <v>17.854099999999999</v>
      </c>
      <c r="AI98" s="22">
        <v>-1.38336E-2</v>
      </c>
      <c r="AJ98" s="22">
        <v>88</v>
      </c>
      <c r="AK98" s="22">
        <v>0.34252899999999997</v>
      </c>
      <c r="AL98">
        <f t="shared" si="18"/>
        <v>17.078518518518518</v>
      </c>
      <c r="AM98">
        <f t="shared" si="19"/>
        <v>5.8608351999999995</v>
      </c>
      <c r="AP98" s="9"/>
      <c r="AQ98" s="22">
        <v>1.1569199999999999</v>
      </c>
      <c r="AR98" s="22">
        <v>23.032</v>
      </c>
      <c r="AS98" s="22">
        <v>-1.3113400000000001E-2</v>
      </c>
      <c r="AT98" s="22">
        <v>88</v>
      </c>
      <c r="AU98" s="22">
        <v>1.15601</v>
      </c>
      <c r="AV98">
        <f t="shared" si="20"/>
        <v>16.18938271604938</v>
      </c>
      <c r="AW98">
        <f t="shared" si="21"/>
        <v>18.729820651851849</v>
      </c>
      <c r="AX98" s="9"/>
      <c r="AY98" s="22">
        <v>0.34316999999999998</v>
      </c>
      <c r="AZ98" s="22">
        <v>26.4483</v>
      </c>
      <c r="BA98" s="22">
        <v>-1.3848900000000001E-2</v>
      </c>
      <c r="BB98" s="22">
        <v>88</v>
      </c>
      <c r="BC98" s="22">
        <v>0.342499</v>
      </c>
      <c r="BD98">
        <f t="shared" si="22"/>
        <v>17.09740740740741</v>
      </c>
      <c r="BE98">
        <f t="shared" si="23"/>
        <v>5.8673173000000007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1.1518900000000001</v>
      </c>
      <c r="H99" s="22">
        <v>5.9316399999999998</v>
      </c>
      <c r="I99" s="22">
        <v>-1.3021899999999999E-2</v>
      </c>
      <c r="J99" s="22">
        <v>89</v>
      </c>
      <c r="K99" s="22">
        <v>1.15082</v>
      </c>
      <c r="L99">
        <f t="shared" si="12"/>
        <v>16.076419753086416</v>
      </c>
      <c r="M99">
        <f t="shared" si="13"/>
        <v>18.518267149382712</v>
      </c>
      <c r="N99" s="9"/>
      <c r="O99" s="22">
        <v>0.34820600000000002</v>
      </c>
      <c r="P99" s="22">
        <v>9.3479899999999994</v>
      </c>
      <c r="Q99" s="22">
        <v>-1.38123E-2</v>
      </c>
      <c r="R99" s="22">
        <v>89</v>
      </c>
      <c r="S99" s="22">
        <v>0.34750399999999998</v>
      </c>
      <c r="T99">
        <f t="shared" si="14"/>
        <v>17.052222222222223</v>
      </c>
      <c r="U99">
        <f t="shared" si="15"/>
        <v>5.9376860911111118</v>
      </c>
      <c r="X99" s="9"/>
      <c r="Y99" s="22">
        <v>1.1518900000000001</v>
      </c>
      <c r="Z99" s="22">
        <v>14.447800000000001</v>
      </c>
      <c r="AA99" s="22">
        <v>-1.3159199999999999E-2</v>
      </c>
      <c r="AB99" s="22">
        <v>89</v>
      </c>
      <c r="AC99" s="22">
        <v>1.15021</v>
      </c>
      <c r="AD99">
        <f t="shared" si="16"/>
        <v>16.245925925925924</v>
      </c>
      <c r="AE99">
        <f t="shared" si="17"/>
        <v>18.713519614814814</v>
      </c>
      <c r="AF99" s="9"/>
      <c r="AG99" s="22">
        <v>0.34820600000000002</v>
      </c>
      <c r="AH99" s="22">
        <v>17.8642</v>
      </c>
      <c r="AI99" s="22">
        <v>-1.38306E-2</v>
      </c>
      <c r="AJ99" s="22">
        <v>89</v>
      </c>
      <c r="AK99" s="22">
        <v>0.34756500000000001</v>
      </c>
      <c r="AL99">
        <f t="shared" si="18"/>
        <v>17.074814814814815</v>
      </c>
      <c r="AM99">
        <f t="shared" si="19"/>
        <v>5.9455529674074077</v>
      </c>
      <c r="AP99" s="9"/>
      <c r="AQ99" s="22">
        <v>1.1518900000000001</v>
      </c>
      <c r="AR99" s="22">
        <v>23.042100000000001</v>
      </c>
      <c r="AS99" s="22">
        <v>-1.31348E-2</v>
      </c>
      <c r="AT99" s="22">
        <v>89</v>
      </c>
      <c r="AU99" s="22">
        <v>1.1511199999999999</v>
      </c>
      <c r="AV99">
        <f t="shared" si="20"/>
        <v>16.215802469135802</v>
      </c>
      <c r="AW99">
        <f t="shared" si="21"/>
        <v>18.678820706172839</v>
      </c>
      <c r="AX99" s="9"/>
      <c r="AY99" s="22">
        <v>0.34820600000000002</v>
      </c>
      <c r="AZ99" s="22">
        <v>26.458400000000001</v>
      </c>
      <c r="BA99" s="22">
        <v>-1.38367E-2</v>
      </c>
      <c r="BB99" s="22">
        <v>89</v>
      </c>
      <c r="BC99" s="22">
        <v>0.34753400000000001</v>
      </c>
      <c r="BD99">
        <f t="shared" si="22"/>
        <v>17.082345679012345</v>
      </c>
      <c r="BE99">
        <f t="shared" si="23"/>
        <v>5.948175259506173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1.1468499999999999</v>
      </c>
      <c r="H100" s="22">
        <v>5.9417099999999996</v>
      </c>
      <c r="I100" s="22">
        <v>-1.30463E-2</v>
      </c>
      <c r="J100" s="22">
        <v>90</v>
      </c>
      <c r="K100" s="22">
        <v>1.14594</v>
      </c>
      <c r="L100">
        <f t="shared" si="12"/>
        <v>16.106543209876545</v>
      </c>
      <c r="M100">
        <f t="shared" si="13"/>
        <v>18.471789080246914</v>
      </c>
      <c r="N100" s="9"/>
      <c r="O100" s="22">
        <v>0.35324100000000003</v>
      </c>
      <c r="P100" s="22">
        <v>9.35806</v>
      </c>
      <c r="Q100" s="22">
        <v>-1.3797E-2</v>
      </c>
      <c r="R100" s="22">
        <v>90</v>
      </c>
      <c r="S100" s="22">
        <v>0.35260000000000002</v>
      </c>
      <c r="T100">
        <f t="shared" si="14"/>
        <v>17.033333333333331</v>
      </c>
      <c r="U100">
        <f t="shared" si="15"/>
        <v>6.0168716999999994</v>
      </c>
      <c r="X100" s="9"/>
      <c r="Y100" s="22">
        <v>1.1468499999999999</v>
      </c>
      <c r="Z100" s="22">
        <v>14.4579</v>
      </c>
      <c r="AA100" s="22">
        <v>-1.31653E-2</v>
      </c>
      <c r="AB100" s="22">
        <v>90</v>
      </c>
      <c r="AC100" s="22">
        <v>1.14594</v>
      </c>
      <c r="AD100">
        <f t="shared" si="16"/>
        <v>16.253456790123455</v>
      </c>
      <c r="AE100">
        <f t="shared" si="17"/>
        <v>18.640276919753084</v>
      </c>
      <c r="AF100" s="9"/>
      <c r="AG100" s="22">
        <v>0.35324100000000003</v>
      </c>
      <c r="AH100" s="22">
        <v>17.874300000000002</v>
      </c>
      <c r="AI100" s="22">
        <v>-1.38306E-2</v>
      </c>
      <c r="AJ100" s="22">
        <v>90</v>
      </c>
      <c r="AK100" s="22">
        <v>0.352661</v>
      </c>
      <c r="AL100">
        <f t="shared" si="18"/>
        <v>17.074814814814815</v>
      </c>
      <c r="AM100">
        <f t="shared" si="19"/>
        <v>6.0315246600000005</v>
      </c>
      <c r="AP100" s="9"/>
      <c r="AQ100" s="22">
        <v>1.1468499999999999</v>
      </c>
      <c r="AR100" s="22">
        <v>23.052099999999999</v>
      </c>
      <c r="AS100" s="22">
        <v>-1.31561E-2</v>
      </c>
      <c r="AT100" s="22">
        <v>90</v>
      </c>
      <c r="AU100" s="22">
        <v>1.14594</v>
      </c>
      <c r="AV100">
        <f t="shared" si="20"/>
        <v>16.2420987654321</v>
      </c>
      <c r="AW100">
        <f t="shared" si="21"/>
        <v>18.627250969135805</v>
      </c>
      <c r="AX100" s="9"/>
      <c r="AY100" s="22">
        <v>0.35324100000000003</v>
      </c>
      <c r="AZ100" s="22">
        <v>26.468499999999999</v>
      </c>
      <c r="BA100" s="22">
        <v>-1.38336E-2</v>
      </c>
      <c r="BB100" s="22">
        <v>90</v>
      </c>
      <c r="BC100" s="22">
        <v>0.35256999999999999</v>
      </c>
      <c r="BD100">
        <f t="shared" si="22"/>
        <v>17.078518518518518</v>
      </c>
      <c r="BE100">
        <f t="shared" si="23"/>
        <v>6.0328329600000004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1.1418200000000001</v>
      </c>
      <c r="H101" s="22">
        <v>5.9517800000000003</v>
      </c>
      <c r="I101" s="22">
        <v>-1.3058500000000001E-2</v>
      </c>
      <c r="J101" s="22">
        <v>91</v>
      </c>
      <c r="K101" s="22">
        <v>1.1407499999999999</v>
      </c>
      <c r="L101">
        <f t="shared" si="12"/>
        <v>16.121604938271602</v>
      </c>
      <c r="M101">
        <f t="shared" si="13"/>
        <v>18.407970950617283</v>
      </c>
      <c r="N101" s="9"/>
      <c r="O101" s="22">
        <v>0.35827599999999998</v>
      </c>
      <c r="P101" s="22">
        <v>9.3681300000000007</v>
      </c>
      <c r="Q101" s="22">
        <v>-1.3772599999999999E-2</v>
      </c>
      <c r="R101" s="22">
        <v>91</v>
      </c>
      <c r="S101" s="22">
        <v>0.35766599999999998</v>
      </c>
      <c r="T101">
        <f t="shared" si="14"/>
        <v>17.00320987654321</v>
      </c>
      <c r="U101">
        <f t="shared" si="15"/>
        <v>6.0918420217283948</v>
      </c>
      <c r="X101" s="9"/>
      <c r="Y101" s="22">
        <v>1.1418200000000001</v>
      </c>
      <c r="Z101" s="22">
        <v>14.468</v>
      </c>
      <c r="AA101" s="22">
        <v>-1.3174399999999999E-2</v>
      </c>
      <c r="AB101" s="22">
        <v>91</v>
      </c>
      <c r="AC101" s="22">
        <v>1.1401399999999999</v>
      </c>
      <c r="AD101">
        <f t="shared" si="16"/>
        <v>16.264691358024692</v>
      </c>
      <c r="AE101">
        <f t="shared" si="17"/>
        <v>18.571349886419753</v>
      </c>
      <c r="AF101" s="9"/>
      <c r="AG101" s="22">
        <v>0.35827599999999998</v>
      </c>
      <c r="AH101" s="22">
        <v>17.8843</v>
      </c>
      <c r="AI101" s="22">
        <v>-1.38306E-2</v>
      </c>
      <c r="AJ101" s="22">
        <v>91</v>
      </c>
      <c r="AK101" s="22">
        <v>0.35763499999999998</v>
      </c>
      <c r="AL101">
        <f t="shared" si="18"/>
        <v>17.074814814814815</v>
      </c>
      <c r="AM101">
        <f t="shared" si="19"/>
        <v>6.1174963525925925</v>
      </c>
      <c r="AP101" s="9"/>
      <c r="AQ101" s="22">
        <v>1.1418200000000001</v>
      </c>
      <c r="AR101" s="22">
        <v>23.062200000000001</v>
      </c>
      <c r="AS101" s="22">
        <v>-1.3168300000000001E-2</v>
      </c>
      <c r="AT101" s="22">
        <v>91</v>
      </c>
      <c r="AU101" s="22">
        <v>1.1413599999999999</v>
      </c>
      <c r="AV101">
        <f t="shared" si="20"/>
        <v>16.257160493827158</v>
      </c>
      <c r="AW101">
        <f t="shared" si="21"/>
        <v>18.562750995061727</v>
      </c>
      <c r="AX101" s="9"/>
      <c r="AY101" s="22">
        <v>0.35827599999999998</v>
      </c>
      <c r="AZ101" s="22">
        <v>26.4786</v>
      </c>
      <c r="BA101" s="22">
        <v>-1.38245E-2</v>
      </c>
      <c r="BB101" s="22">
        <v>91</v>
      </c>
      <c r="BC101" s="22">
        <v>0.35754399999999997</v>
      </c>
      <c r="BD101">
        <f t="shared" si="22"/>
        <v>17.067283950617281</v>
      </c>
      <c r="BE101">
        <f t="shared" si="23"/>
        <v>6.1147982246913566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1.1367799999999999</v>
      </c>
      <c r="H102" s="22">
        <v>5.9618500000000001</v>
      </c>
      <c r="I102" s="22">
        <v>-1.3073700000000001E-2</v>
      </c>
      <c r="J102" s="22">
        <v>92</v>
      </c>
      <c r="K102" s="22">
        <v>1.1364700000000001</v>
      </c>
      <c r="L102">
        <f t="shared" si="12"/>
        <v>16.14037037037037</v>
      </c>
      <c r="M102">
        <f t="shared" si="13"/>
        <v>18.348050229629628</v>
      </c>
      <c r="N102" s="9"/>
      <c r="O102" s="22">
        <v>0.36331200000000002</v>
      </c>
      <c r="P102" s="22">
        <v>9.3781999999999996</v>
      </c>
      <c r="Q102" s="22">
        <v>-1.37573E-2</v>
      </c>
      <c r="R102" s="22">
        <v>92</v>
      </c>
      <c r="S102" s="22">
        <v>0.36267100000000002</v>
      </c>
      <c r="T102">
        <f t="shared" si="14"/>
        <v>16.984320987654321</v>
      </c>
      <c r="U102">
        <f t="shared" si="15"/>
        <v>6.1706076266666674</v>
      </c>
      <c r="X102" s="9"/>
      <c r="Y102" s="22">
        <v>1.1367799999999999</v>
      </c>
      <c r="Z102" s="22">
        <v>14.4781</v>
      </c>
      <c r="AA102" s="22">
        <v>-1.31805E-2</v>
      </c>
      <c r="AB102" s="22">
        <v>92</v>
      </c>
      <c r="AC102" s="22">
        <v>1.1355599999999999</v>
      </c>
      <c r="AD102">
        <f t="shared" si="16"/>
        <v>16.272222222222219</v>
      </c>
      <c r="AE102">
        <f t="shared" si="17"/>
        <v>18.49793677777777</v>
      </c>
      <c r="AF102" s="9"/>
      <c r="AG102" s="22">
        <v>0.36331200000000002</v>
      </c>
      <c r="AH102" s="22">
        <v>17.894400000000001</v>
      </c>
      <c r="AI102" s="22">
        <v>-1.38336E-2</v>
      </c>
      <c r="AJ102" s="22">
        <v>92</v>
      </c>
      <c r="AK102" s="22">
        <v>0.36267100000000002</v>
      </c>
      <c r="AL102">
        <f t="shared" si="18"/>
        <v>17.078518518518518</v>
      </c>
      <c r="AM102">
        <f t="shared" si="19"/>
        <v>6.2048307200000004</v>
      </c>
      <c r="AP102" s="9"/>
      <c r="AQ102" s="22">
        <v>1.1367799999999999</v>
      </c>
      <c r="AR102" s="22">
        <v>23.072299999999998</v>
      </c>
      <c r="AS102" s="22">
        <v>-1.31775E-2</v>
      </c>
      <c r="AT102" s="22">
        <v>92</v>
      </c>
      <c r="AU102" s="22">
        <v>1.1358600000000001</v>
      </c>
      <c r="AV102">
        <f t="shared" si="20"/>
        <v>16.268518518518519</v>
      </c>
      <c r="AW102">
        <f t="shared" si="21"/>
        <v>18.493726481481481</v>
      </c>
      <c r="AX102" s="9"/>
      <c r="AY102" s="22">
        <v>0.36331200000000002</v>
      </c>
      <c r="AZ102" s="22">
        <v>26.488600000000002</v>
      </c>
      <c r="BA102" s="22">
        <v>-1.3821399999999999E-2</v>
      </c>
      <c r="BB102" s="22">
        <v>92</v>
      </c>
      <c r="BC102" s="22">
        <v>0.36267100000000002</v>
      </c>
      <c r="BD102">
        <f t="shared" si="22"/>
        <v>17.063456790123453</v>
      </c>
      <c r="BE102">
        <f t="shared" si="23"/>
        <v>6.1993586133333327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1.13174</v>
      </c>
      <c r="H103" s="22">
        <v>5.9719199999999999</v>
      </c>
      <c r="I103" s="22">
        <v>-1.30829E-2</v>
      </c>
      <c r="J103" s="22">
        <v>93</v>
      </c>
      <c r="K103" s="22">
        <v>1.1309800000000001</v>
      </c>
      <c r="L103">
        <f t="shared" si="12"/>
        <v>16.151728395061728</v>
      </c>
      <c r="M103">
        <f t="shared" si="13"/>
        <v>18.279557093827158</v>
      </c>
      <c r="N103" s="9"/>
      <c r="O103" s="22">
        <v>0.36834699999999998</v>
      </c>
      <c r="P103" s="22">
        <v>9.3882700000000003</v>
      </c>
      <c r="Q103" s="22">
        <v>-1.3760400000000001E-2</v>
      </c>
      <c r="R103" s="22">
        <v>93</v>
      </c>
      <c r="S103" s="22">
        <v>0.367676</v>
      </c>
      <c r="T103">
        <f t="shared" si="14"/>
        <v>16.988148148148149</v>
      </c>
      <c r="U103">
        <f t="shared" si="15"/>
        <v>6.2575334059259262</v>
      </c>
      <c r="X103" s="9"/>
      <c r="Y103" s="22">
        <v>1.13174</v>
      </c>
      <c r="Z103" s="22">
        <v>14.488099999999999</v>
      </c>
      <c r="AA103" s="22">
        <v>-1.31836E-2</v>
      </c>
      <c r="AB103" s="22">
        <v>93</v>
      </c>
      <c r="AC103" s="22">
        <v>1.1303700000000001</v>
      </c>
      <c r="AD103">
        <f t="shared" si="16"/>
        <v>16.276049382716046</v>
      </c>
      <c r="AE103">
        <f t="shared" si="17"/>
        <v>18.420256128395057</v>
      </c>
      <c r="AF103" s="9"/>
      <c r="AG103" s="22">
        <v>0.36834699999999998</v>
      </c>
      <c r="AH103" s="22">
        <v>17.904499999999999</v>
      </c>
      <c r="AI103" s="22">
        <v>-1.38367E-2</v>
      </c>
      <c r="AJ103" s="22">
        <v>93</v>
      </c>
      <c r="AK103" s="22">
        <v>0.367676</v>
      </c>
      <c r="AL103">
        <f t="shared" si="18"/>
        <v>17.082345679012345</v>
      </c>
      <c r="AM103">
        <f t="shared" si="19"/>
        <v>6.2922307838271596</v>
      </c>
      <c r="AP103" s="9"/>
      <c r="AQ103" s="22">
        <v>1.13174</v>
      </c>
      <c r="AR103" s="22">
        <v>23.0823</v>
      </c>
      <c r="AS103" s="22">
        <v>-1.31897E-2</v>
      </c>
      <c r="AT103" s="22">
        <v>93</v>
      </c>
      <c r="AU103" s="22">
        <v>1.1306799999999999</v>
      </c>
      <c r="AV103">
        <f t="shared" si="20"/>
        <v>16.28358024691358</v>
      </c>
      <c r="AW103">
        <f t="shared" si="21"/>
        <v>18.428779108641976</v>
      </c>
      <c r="AX103" s="9"/>
      <c r="AY103" s="22">
        <v>0.36834699999999998</v>
      </c>
      <c r="AZ103" s="22">
        <v>26.498699999999999</v>
      </c>
      <c r="BA103" s="22">
        <v>-1.3815300000000001E-2</v>
      </c>
      <c r="BB103" s="22">
        <v>93</v>
      </c>
      <c r="BC103" s="22">
        <v>0.36773699999999998</v>
      </c>
      <c r="BD103">
        <f t="shared" si="22"/>
        <v>17.055925925925926</v>
      </c>
      <c r="BE103">
        <f t="shared" si="23"/>
        <v>6.2824991470370373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1.1267100000000001</v>
      </c>
      <c r="H104" s="22">
        <v>5.9820000000000002</v>
      </c>
      <c r="I104" s="22">
        <v>-1.30981E-2</v>
      </c>
      <c r="J104" s="22">
        <v>94</v>
      </c>
      <c r="K104" s="22">
        <v>1.1257900000000001</v>
      </c>
      <c r="L104">
        <f t="shared" si="12"/>
        <v>16.170493827160495</v>
      </c>
      <c r="M104">
        <f t="shared" si="13"/>
        <v>18.219457100000003</v>
      </c>
      <c r="N104" s="9"/>
      <c r="O104" s="22">
        <v>0.37338300000000002</v>
      </c>
      <c r="P104" s="22">
        <v>9.3983399999999993</v>
      </c>
      <c r="Q104" s="22">
        <v>-1.3760400000000001E-2</v>
      </c>
      <c r="R104" s="22">
        <v>94</v>
      </c>
      <c r="S104" s="22">
        <v>0.37277199999999999</v>
      </c>
      <c r="T104">
        <f t="shared" si="14"/>
        <v>16.988148148148149</v>
      </c>
      <c r="U104">
        <f t="shared" si="15"/>
        <v>6.3430857200000004</v>
      </c>
      <c r="X104" s="9"/>
      <c r="Y104" s="22">
        <v>1.1267100000000001</v>
      </c>
      <c r="Z104" s="22">
        <v>14.498200000000001</v>
      </c>
      <c r="AA104" s="22">
        <v>-1.31927E-2</v>
      </c>
      <c r="AB104" s="22">
        <v>94</v>
      </c>
      <c r="AC104" s="22">
        <v>1.1254900000000001</v>
      </c>
      <c r="AD104">
        <f t="shared" si="16"/>
        <v>16.287283950617283</v>
      </c>
      <c r="AE104">
        <f t="shared" si="17"/>
        <v>18.3510457</v>
      </c>
      <c r="AF104" s="9"/>
      <c r="AG104" s="22">
        <v>0.37338300000000002</v>
      </c>
      <c r="AH104" s="22">
        <v>17.9146</v>
      </c>
      <c r="AI104" s="22">
        <v>-1.38397E-2</v>
      </c>
      <c r="AJ104" s="22">
        <v>94</v>
      </c>
      <c r="AK104" s="22">
        <v>0.372803</v>
      </c>
      <c r="AL104">
        <f t="shared" si="18"/>
        <v>17.086049382716048</v>
      </c>
      <c r="AM104">
        <f t="shared" si="19"/>
        <v>6.3796403766666669</v>
      </c>
      <c r="AP104" s="9"/>
      <c r="AQ104" s="22">
        <v>1.1267100000000001</v>
      </c>
      <c r="AR104" s="22">
        <v>23.092400000000001</v>
      </c>
      <c r="AS104" s="22">
        <v>-1.31927E-2</v>
      </c>
      <c r="AT104" s="22">
        <v>94</v>
      </c>
      <c r="AU104" s="22">
        <v>1.1261000000000001</v>
      </c>
      <c r="AV104">
        <f t="shared" si="20"/>
        <v>16.287283950617283</v>
      </c>
      <c r="AW104">
        <f t="shared" si="21"/>
        <v>18.3510457</v>
      </c>
      <c r="AX104" s="9"/>
      <c r="AY104" s="22">
        <v>0.37338300000000002</v>
      </c>
      <c r="AZ104" s="22">
        <v>26.508800000000001</v>
      </c>
      <c r="BA104" s="22">
        <v>-1.38031E-2</v>
      </c>
      <c r="BB104" s="22">
        <v>94</v>
      </c>
      <c r="BC104" s="22">
        <v>0.37268099999999998</v>
      </c>
      <c r="BD104">
        <f t="shared" si="22"/>
        <v>17.040864197530862</v>
      </c>
      <c r="BE104">
        <f t="shared" si="23"/>
        <v>6.3627689966666665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1.1216699999999999</v>
      </c>
      <c r="H105" s="22">
        <v>5.99207</v>
      </c>
      <c r="I105" s="22">
        <v>-1.3113400000000001E-2</v>
      </c>
      <c r="J105" s="22">
        <v>95</v>
      </c>
      <c r="K105" s="22">
        <v>1.1206100000000001</v>
      </c>
      <c r="L105">
        <f t="shared" si="12"/>
        <v>16.18938271604938</v>
      </c>
      <c r="M105">
        <f t="shared" si="13"/>
        <v>18.159144911111106</v>
      </c>
      <c r="N105" s="9"/>
      <c r="O105" s="22">
        <v>0.37841799999999998</v>
      </c>
      <c r="P105" s="22">
        <v>9.4084099999999999</v>
      </c>
      <c r="Q105" s="22">
        <v>-1.3760400000000001E-2</v>
      </c>
      <c r="R105" s="22">
        <v>95</v>
      </c>
      <c r="S105" s="22">
        <v>0.377747</v>
      </c>
      <c r="T105">
        <f t="shared" si="14"/>
        <v>16.988148148148149</v>
      </c>
      <c r="U105">
        <f t="shared" si="15"/>
        <v>6.4286210459259259</v>
      </c>
      <c r="X105" s="9"/>
      <c r="Y105" s="22">
        <v>1.1216699999999999</v>
      </c>
      <c r="Z105" s="22">
        <v>14.5083</v>
      </c>
      <c r="AA105" s="22">
        <v>-1.31927E-2</v>
      </c>
      <c r="AB105" s="22">
        <v>95</v>
      </c>
      <c r="AC105" s="22">
        <v>1.1203000000000001</v>
      </c>
      <c r="AD105">
        <f t="shared" si="16"/>
        <v>16.287283950617283</v>
      </c>
      <c r="AE105">
        <f t="shared" si="17"/>
        <v>18.268957788888887</v>
      </c>
      <c r="AF105" s="9"/>
      <c r="AG105" s="22">
        <v>0.37841799999999998</v>
      </c>
      <c r="AH105" s="22">
        <v>17.924600000000002</v>
      </c>
      <c r="AI105" s="22">
        <v>-1.38367E-2</v>
      </c>
      <c r="AJ105" s="22">
        <v>95</v>
      </c>
      <c r="AK105" s="22">
        <v>0.37780799999999998</v>
      </c>
      <c r="AL105">
        <f t="shared" si="18"/>
        <v>17.082345679012345</v>
      </c>
      <c r="AM105">
        <f t="shared" si="19"/>
        <v>6.4642670871604935</v>
      </c>
      <c r="AP105" s="9"/>
      <c r="AQ105" s="22">
        <v>1.1216699999999999</v>
      </c>
      <c r="AR105" s="22">
        <v>23.102499999999999</v>
      </c>
      <c r="AS105" s="22">
        <v>-1.3205E-2</v>
      </c>
      <c r="AT105" s="22">
        <v>95</v>
      </c>
      <c r="AU105" s="22">
        <v>1.1212200000000001</v>
      </c>
      <c r="AV105">
        <f t="shared" si="20"/>
        <v>16.302469135802468</v>
      </c>
      <c r="AW105">
        <f t="shared" si="21"/>
        <v>18.285990555555554</v>
      </c>
      <c r="AX105" s="9"/>
      <c r="AY105" s="22">
        <v>0.37841799999999998</v>
      </c>
      <c r="AZ105" s="22">
        <v>26.518799999999999</v>
      </c>
      <c r="BA105" s="22">
        <v>-1.38E-2</v>
      </c>
      <c r="BB105" s="22">
        <v>95</v>
      </c>
      <c r="BC105" s="22">
        <v>0.37783800000000001</v>
      </c>
      <c r="BD105">
        <f t="shared" si="22"/>
        <v>17.037037037037035</v>
      </c>
      <c r="BE105">
        <f t="shared" si="23"/>
        <v>6.4471214814814806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1.1166400000000001</v>
      </c>
      <c r="H106" s="22">
        <v>6.0021399999999998</v>
      </c>
      <c r="I106" s="22">
        <v>-1.31348E-2</v>
      </c>
      <c r="J106" s="22">
        <v>96</v>
      </c>
      <c r="K106" s="22">
        <v>1.1154200000000001</v>
      </c>
      <c r="L106">
        <f t="shared" si="12"/>
        <v>16.215802469135802</v>
      </c>
      <c r="M106">
        <f t="shared" si="13"/>
        <v>18.107213669135803</v>
      </c>
      <c r="N106" s="9"/>
      <c r="O106" s="22">
        <v>0.38345299999999999</v>
      </c>
      <c r="P106" s="22">
        <v>9.4184900000000003</v>
      </c>
      <c r="Q106" s="22">
        <v>-1.37573E-2</v>
      </c>
      <c r="R106" s="22">
        <v>96</v>
      </c>
      <c r="S106" s="22">
        <v>0.38278200000000001</v>
      </c>
      <c r="T106">
        <f t="shared" si="14"/>
        <v>16.984320987654321</v>
      </c>
      <c r="U106">
        <f t="shared" si="15"/>
        <v>6.512688835679012</v>
      </c>
      <c r="X106" s="9"/>
      <c r="Y106" s="22">
        <v>1.1166400000000001</v>
      </c>
      <c r="Z106" s="22">
        <v>14.5183</v>
      </c>
      <c r="AA106" s="22">
        <v>-1.31927E-2</v>
      </c>
      <c r="AB106" s="22">
        <v>96</v>
      </c>
      <c r="AC106" s="22">
        <v>1.11572</v>
      </c>
      <c r="AD106">
        <f t="shared" si="16"/>
        <v>16.287283950617283</v>
      </c>
      <c r="AE106">
        <f t="shared" si="17"/>
        <v>18.187032750617284</v>
      </c>
      <c r="AF106" s="9"/>
      <c r="AG106" s="22">
        <v>0.38345299999999999</v>
      </c>
      <c r="AH106" s="22">
        <v>17.934699999999999</v>
      </c>
      <c r="AI106" s="22">
        <v>-1.38245E-2</v>
      </c>
      <c r="AJ106" s="22">
        <v>96</v>
      </c>
      <c r="AK106" s="22">
        <v>0.38284299999999999</v>
      </c>
      <c r="AL106">
        <f t="shared" si="18"/>
        <v>17.067283950617281</v>
      </c>
      <c r="AM106">
        <f t="shared" si="19"/>
        <v>6.5445012327160477</v>
      </c>
      <c r="AP106" s="9"/>
      <c r="AQ106" s="22">
        <v>1.1166400000000001</v>
      </c>
      <c r="AR106" s="22">
        <v>23.1126</v>
      </c>
      <c r="AS106" s="22">
        <v>-1.32202E-2</v>
      </c>
      <c r="AT106" s="22">
        <v>96</v>
      </c>
      <c r="AU106" s="22">
        <v>1.11572</v>
      </c>
      <c r="AV106">
        <f t="shared" si="20"/>
        <v>16.321234567901232</v>
      </c>
      <c r="AW106">
        <f t="shared" si="21"/>
        <v>18.224943367901233</v>
      </c>
      <c r="AX106" s="9"/>
      <c r="AY106" s="22">
        <v>0.38345299999999999</v>
      </c>
      <c r="AZ106" s="22">
        <v>26.5289</v>
      </c>
      <c r="BA106" s="22">
        <v>-1.3797E-2</v>
      </c>
      <c r="BB106" s="22">
        <v>96</v>
      </c>
      <c r="BC106" s="22">
        <v>0.38272099999999998</v>
      </c>
      <c r="BD106">
        <f t="shared" si="22"/>
        <v>17.033333333333331</v>
      </c>
      <c r="BE106">
        <f t="shared" si="23"/>
        <v>6.5314827666666657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1.1115999999999999</v>
      </c>
      <c r="H107" s="22">
        <v>6.0122099999999996</v>
      </c>
      <c r="I107" s="22">
        <v>-1.31439E-2</v>
      </c>
      <c r="J107" s="22">
        <v>97</v>
      </c>
      <c r="K107" s="22">
        <v>1.11053</v>
      </c>
      <c r="L107">
        <f t="shared" si="12"/>
        <v>16.227037037037036</v>
      </c>
      <c r="M107">
        <f t="shared" si="13"/>
        <v>18.037974370370367</v>
      </c>
      <c r="N107" s="9"/>
      <c r="O107" s="22">
        <v>0.38848899999999997</v>
      </c>
      <c r="P107" s="22">
        <v>9.4285599999999992</v>
      </c>
      <c r="Q107" s="22">
        <v>-1.37573E-2</v>
      </c>
      <c r="R107" s="22">
        <v>97</v>
      </c>
      <c r="S107" s="22">
        <v>0.38784800000000003</v>
      </c>
      <c r="T107">
        <f t="shared" si="14"/>
        <v>16.984320987654321</v>
      </c>
      <c r="U107">
        <f t="shared" si="15"/>
        <v>6.5982218761728388</v>
      </c>
      <c r="X107" s="9"/>
      <c r="Y107" s="22">
        <v>1.1115999999999999</v>
      </c>
      <c r="Z107" s="22">
        <v>14.5284</v>
      </c>
      <c r="AA107" s="22">
        <v>-1.31989E-2</v>
      </c>
      <c r="AB107" s="22">
        <v>97</v>
      </c>
      <c r="AC107" s="22">
        <v>1.11084</v>
      </c>
      <c r="AD107">
        <f t="shared" si="16"/>
        <v>16.294938271604938</v>
      </c>
      <c r="AE107">
        <f t="shared" si="17"/>
        <v>18.113453382716049</v>
      </c>
      <c r="AF107" s="9"/>
      <c r="AG107" s="22">
        <v>0.38848899999999997</v>
      </c>
      <c r="AH107" s="22">
        <v>17.944800000000001</v>
      </c>
      <c r="AI107" s="22">
        <v>-1.3815300000000001E-2</v>
      </c>
      <c r="AJ107" s="22">
        <v>97</v>
      </c>
      <c r="AK107" s="22">
        <v>0.38781700000000002</v>
      </c>
      <c r="AL107">
        <f t="shared" si="18"/>
        <v>17.055925925925926</v>
      </c>
      <c r="AM107">
        <f t="shared" si="19"/>
        <v>6.6260396070370371</v>
      </c>
      <c r="AP107" s="9"/>
      <c r="AQ107" s="22">
        <v>1.1115999999999999</v>
      </c>
      <c r="AR107" s="22">
        <v>23.122599999999998</v>
      </c>
      <c r="AS107" s="22">
        <v>-1.32263E-2</v>
      </c>
      <c r="AT107" s="22">
        <v>97</v>
      </c>
      <c r="AU107" s="22">
        <v>1.1102300000000001</v>
      </c>
      <c r="AV107">
        <f t="shared" si="20"/>
        <v>16.328765432098766</v>
      </c>
      <c r="AW107">
        <f t="shared" si="21"/>
        <v>18.151055654320988</v>
      </c>
      <c r="AX107" s="9"/>
      <c r="AY107" s="22">
        <v>0.38848899999999997</v>
      </c>
      <c r="AZ107" s="22">
        <v>26.539000000000001</v>
      </c>
      <c r="BA107" s="22">
        <v>-1.3809200000000001E-2</v>
      </c>
      <c r="BB107" s="22">
        <v>97</v>
      </c>
      <c r="BC107" s="22">
        <v>0.38784800000000003</v>
      </c>
      <c r="BD107">
        <f t="shared" si="22"/>
        <v>17.048395061728392</v>
      </c>
      <c r="BE107">
        <f t="shared" si="23"/>
        <v>6.6231139491358011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1.1065700000000001</v>
      </c>
      <c r="H108" s="22">
        <v>6.0222800000000003</v>
      </c>
      <c r="I108" s="22">
        <v>-1.3147000000000001E-2</v>
      </c>
      <c r="J108" s="22">
        <v>98</v>
      </c>
      <c r="K108" s="22">
        <v>1.10565</v>
      </c>
      <c r="L108">
        <f t="shared" si="12"/>
        <v>16.230864197530863</v>
      </c>
      <c r="M108">
        <f t="shared" si="13"/>
        <v>17.960587395061729</v>
      </c>
      <c r="N108" s="9"/>
      <c r="O108" s="22">
        <v>0.39352399999999998</v>
      </c>
      <c r="P108" s="22">
        <v>9.4386299999999999</v>
      </c>
      <c r="Q108" s="22">
        <v>-1.37573E-2</v>
      </c>
      <c r="R108" s="22">
        <v>98</v>
      </c>
      <c r="S108" s="22">
        <v>0.39291399999999999</v>
      </c>
      <c r="T108">
        <f t="shared" si="14"/>
        <v>16.984320987654321</v>
      </c>
      <c r="U108">
        <f t="shared" si="15"/>
        <v>6.6837379323456787</v>
      </c>
      <c r="X108" s="9"/>
      <c r="Y108" s="22">
        <v>1.1065700000000001</v>
      </c>
      <c r="Z108" s="22">
        <v>14.538500000000001</v>
      </c>
      <c r="AA108" s="22">
        <v>-1.32111E-2</v>
      </c>
      <c r="AB108" s="22">
        <v>98</v>
      </c>
      <c r="AC108" s="22">
        <v>1.10504</v>
      </c>
      <c r="AD108">
        <f t="shared" si="16"/>
        <v>16.309999999999999</v>
      </c>
      <c r="AE108">
        <f t="shared" si="17"/>
        <v>18.0481567</v>
      </c>
      <c r="AF108" s="9"/>
      <c r="AG108" s="22">
        <v>0.39352399999999998</v>
      </c>
      <c r="AH108" s="22">
        <v>17.954799999999999</v>
      </c>
      <c r="AI108" s="22">
        <v>-1.3806199999999999E-2</v>
      </c>
      <c r="AJ108" s="22">
        <v>98</v>
      </c>
      <c r="AK108" s="22">
        <v>0.39291399999999999</v>
      </c>
      <c r="AL108">
        <f t="shared" si="18"/>
        <v>17.044691358024689</v>
      </c>
      <c r="AM108">
        <f t="shared" si="19"/>
        <v>6.7074951219753078</v>
      </c>
      <c r="AP108" s="9"/>
      <c r="AQ108" s="22">
        <v>1.1065700000000001</v>
      </c>
      <c r="AR108" s="22">
        <v>23.1327</v>
      </c>
      <c r="AS108" s="22">
        <v>-1.32385E-2</v>
      </c>
      <c r="AT108" s="22">
        <v>98</v>
      </c>
      <c r="AU108" s="22">
        <v>1.1059600000000001</v>
      </c>
      <c r="AV108">
        <f t="shared" si="20"/>
        <v>16.343827160493824</v>
      </c>
      <c r="AW108">
        <f t="shared" si="21"/>
        <v>18.085588820987653</v>
      </c>
      <c r="AX108" s="9"/>
      <c r="AY108" s="22">
        <v>0.39352399999999998</v>
      </c>
      <c r="AZ108" s="22">
        <v>26.548999999999999</v>
      </c>
      <c r="BA108" s="22">
        <v>-1.3815300000000001E-2</v>
      </c>
      <c r="BB108" s="22">
        <v>98</v>
      </c>
      <c r="BC108" s="22">
        <v>0.39285300000000001</v>
      </c>
      <c r="BD108">
        <f t="shared" si="22"/>
        <v>17.055925925925926</v>
      </c>
      <c r="BE108">
        <f t="shared" si="23"/>
        <v>6.7119161940740737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1.1015299999999999</v>
      </c>
      <c r="H109" s="22">
        <v>6.0323500000000001</v>
      </c>
      <c r="I109" s="22">
        <v>-1.3153099999999999E-2</v>
      </c>
      <c r="J109" s="22">
        <v>99</v>
      </c>
      <c r="K109" s="22">
        <v>1.10046</v>
      </c>
      <c r="L109">
        <f t="shared" si="12"/>
        <v>16.238395061728394</v>
      </c>
      <c r="M109">
        <f t="shared" si="13"/>
        <v>17.887079312345676</v>
      </c>
      <c r="N109" s="9"/>
      <c r="O109" s="22">
        <v>0.39856000000000003</v>
      </c>
      <c r="P109" s="22">
        <v>9.4487000000000005</v>
      </c>
      <c r="Q109" s="22">
        <v>-1.3760400000000001E-2</v>
      </c>
      <c r="R109" s="22">
        <v>99</v>
      </c>
      <c r="S109" s="22">
        <v>0.39788800000000002</v>
      </c>
      <c r="T109">
        <f t="shared" si="14"/>
        <v>16.988148148148149</v>
      </c>
      <c r="U109">
        <f t="shared" si="15"/>
        <v>6.770796325925927</v>
      </c>
      <c r="X109" s="9"/>
      <c r="Y109" s="22">
        <v>1.1015299999999999</v>
      </c>
      <c r="Z109" s="22">
        <v>14.5486</v>
      </c>
      <c r="AA109" s="22">
        <v>-1.3229400000000001E-2</v>
      </c>
      <c r="AB109" s="22">
        <v>99</v>
      </c>
      <c r="AC109" s="22">
        <v>1.10077</v>
      </c>
      <c r="AD109">
        <f t="shared" si="16"/>
        <v>16.332592592592594</v>
      </c>
      <c r="AE109">
        <f t="shared" si="17"/>
        <v>17.99084071851852</v>
      </c>
      <c r="AF109" s="9"/>
      <c r="AG109" s="22">
        <v>0.39856000000000003</v>
      </c>
      <c r="AH109" s="22">
        <v>17.9649</v>
      </c>
      <c r="AI109" s="22">
        <v>-1.38123E-2</v>
      </c>
      <c r="AJ109" s="22">
        <v>99</v>
      </c>
      <c r="AK109" s="22">
        <v>0.39791900000000002</v>
      </c>
      <c r="AL109">
        <f t="shared" si="18"/>
        <v>17.052222222222223</v>
      </c>
      <c r="AM109">
        <f t="shared" si="19"/>
        <v>6.7963336888888897</v>
      </c>
      <c r="AP109" s="9"/>
      <c r="AQ109" s="22">
        <v>1.1015299999999999</v>
      </c>
      <c r="AR109" s="22">
        <v>23.142800000000001</v>
      </c>
      <c r="AS109" s="22">
        <v>-1.3247699999999999E-2</v>
      </c>
      <c r="AT109" s="22">
        <v>99</v>
      </c>
      <c r="AU109" s="22">
        <v>1.10046</v>
      </c>
      <c r="AV109">
        <f t="shared" si="20"/>
        <v>16.355185185185185</v>
      </c>
      <c r="AW109">
        <f t="shared" si="21"/>
        <v>18.015727137037036</v>
      </c>
      <c r="AX109" s="9"/>
      <c r="AY109" s="22">
        <v>0.39856000000000003</v>
      </c>
      <c r="AZ109" s="22">
        <v>26.559100000000001</v>
      </c>
      <c r="BA109" s="22">
        <v>-1.38031E-2</v>
      </c>
      <c r="BB109" s="22">
        <v>99</v>
      </c>
      <c r="BC109" s="22">
        <v>0.39791900000000002</v>
      </c>
      <c r="BD109">
        <f t="shared" si="22"/>
        <v>17.040864197530862</v>
      </c>
      <c r="BE109">
        <f t="shared" si="23"/>
        <v>6.7918068345679004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1.0965</v>
      </c>
      <c r="H110" s="22">
        <v>6.0424199999999999</v>
      </c>
      <c r="I110" s="22">
        <v>-1.31653E-2</v>
      </c>
      <c r="J110" s="22">
        <v>100</v>
      </c>
      <c r="K110" s="22">
        <v>1.09619</v>
      </c>
      <c r="L110">
        <f t="shared" si="12"/>
        <v>16.253456790123455</v>
      </c>
      <c r="M110">
        <f t="shared" si="13"/>
        <v>17.82191537037037</v>
      </c>
      <c r="N110" s="9"/>
      <c r="O110" s="22">
        <v>0.40359499999999998</v>
      </c>
      <c r="P110" s="22">
        <v>9.4587699999999995</v>
      </c>
      <c r="Q110" s="22">
        <v>-1.37512E-2</v>
      </c>
      <c r="R110" s="22">
        <v>100</v>
      </c>
      <c r="S110" s="22">
        <v>0.402893</v>
      </c>
      <c r="T110">
        <f t="shared" si="14"/>
        <v>16.976790123456787</v>
      </c>
      <c r="U110">
        <f t="shared" si="15"/>
        <v>6.8517476098765417</v>
      </c>
      <c r="X110" s="9"/>
      <c r="Y110" s="22">
        <v>1.0965</v>
      </c>
      <c r="Z110" s="22">
        <v>14.5586</v>
      </c>
      <c r="AA110" s="22">
        <v>-1.32385E-2</v>
      </c>
      <c r="AB110" s="22">
        <v>100</v>
      </c>
      <c r="AC110" s="22">
        <v>1.09589</v>
      </c>
      <c r="AD110">
        <f t="shared" si="16"/>
        <v>16.343827160493824</v>
      </c>
      <c r="AE110">
        <f t="shared" si="17"/>
        <v>17.921006481481477</v>
      </c>
      <c r="AF110" s="9"/>
      <c r="AG110" s="22">
        <v>0.40359499999999998</v>
      </c>
      <c r="AH110" s="22">
        <v>17.975000000000001</v>
      </c>
      <c r="AI110" s="22">
        <v>-1.3809200000000001E-2</v>
      </c>
      <c r="AJ110" s="22">
        <v>100</v>
      </c>
      <c r="AK110" s="22">
        <v>0.40301500000000001</v>
      </c>
      <c r="AL110">
        <f t="shared" si="18"/>
        <v>17.048395061728392</v>
      </c>
      <c r="AM110">
        <f t="shared" si="19"/>
        <v>6.88064700493827</v>
      </c>
      <c r="AP110" s="9"/>
      <c r="AQ110" s="22">
        <v>1.0965</v>
      </c>
      <c r="AR110" s="22">
        <v>23.152799999999999</v>
      </c>
      <c r="AS110" s="22">
        <v>-1.3250700000000001E-2</v>
      </c>
      <c r="AT110" s="22">
        <v>100</v>
      </c>
      <c r="AU110" s="22">
        <v>1.09558</v>
      </c>
      <c r="AV110">
        <f t="shared" si="20"/>
        <v>16.358888888888888</v>
      </c>
      <c r="AW110">
        <f t="shared" si="21"/>
        <v>17.937521666666665</v>
      </c>
      <c r="AX110" s="9"/>
      <c r="AY110" s="22">
        <v>0.40359499999999998</v>
      </c>
      <c r="AZ110" s="22">
        <v>26.569199999999999</v>
      </c>
      <c r="BA110" s="22">
        <v>-1.37848E-2</v>
      </c>
      <c r="BB110" s="22">
        <v>100</v>
      </c>
      <c r="BC110" s="22">
        <v>0.40301500000000001</v>
      </c>
      <c r="BD110">
        <f t="shared" si="22"/>
        <v>17.018271604938271</v>
      </c>
      <c r="BE110">
        <f t="shared" si="23"/>
        <v>6.8684893283950608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1.0914600000000001</v>
      </c>
      <c r="H111" s="22">
        <v>6.0524899999999997</v>
      </c>
      <c r="I111" s="22">
        <v>-1.3174399999999999E-2</v>
      </c>
      <c r="J111" s="22">
        <v>101</v>
      </c>
      <c r="K111" s="22">
        <v>1.08978</v>
      </c>
      <c r="L111">
        <f t="shared" si="12"/>
        <v>16.264691358024692</v>
      </c>
      <c r="M111">
        <f t="shared" si="13"/>
        <v>17.752260029629632</v>
      </c>
      <c r="N111" s="9"/>
      <c r="O111" s="22">
        <v>0.40862999999999999</v>
      </c>
      <c r="P111" s="22">
        <v>9.4688400000000001</v>
      </c>
      <c r="Q111" s="22">
        <v>-1.3754300000000001E-2</v>
      </c>
      <c r="R111" s="22">
        <v>101</v>
      </c>
      <c r="S111" s="22">
        <v>0.40786699999999998</v>
      </c>
      <c r="T111">
        <f t="shared" si="14"/>
        <v>16.980617283950615</v>
      </c>
      <c r="U111">
        <f t="shared" si="15"/>
        <v>6.9387896407407395</v>
      </c>
      <c r="X111" s="9"/>
      <c r="Y111" s="22">
        <v>1.0914600000000001</v>
      </c>
      <c r="Z111" s="22">
        <v>14.5687</v>
      </c>
      <c r="AA111" s="22">
        <v>-1.32446E-2</v>
      </c>
      <c r="AB111" s="22">
        <v>101</v>
      </c>
      <c r="AC111" s="22">
        <v>1.08978</v>
      </c>
      <c r="AD111">
        <f t="shared" si="16"/>
        <v>16.351358024691358</v>
      </c>
      <c r="AE111">
        <f t="shared" si="17"/>
        <v>17.84685322962963</v>
      </c>
      <c r="AF111" s="9"/>
      <c r="AG111" s="22">
        <v>0.40862999999999999</v>
      </c>
      <c r="AH111" s="22">
        <v>17.984999999999999</v>
      </c>
      <c r="AI111" s="22">
        <v>-1.3797E-2</v>
      </c>
      <c r="AJ111" s="22">
        <v>101</v>
      </c>
      <c r="AK111" s="22">
        <v>0.40795900000000002</v>
      </c>
      <c r="AL111">
        <f t="shared" si="18"/>
        <v>17.033333333333331</v>
      </c>
      <c r="AM111">
        <f t="shared" si="19"/>
        <v>6.9603309999999992</v>
      </c>
      <c r="AP111" s="9"/>
      <c r="AQ111" s="22">
        <v>1.0914600000000001</v>
      </c>
      <c r="AR111" s="22">
        <v>23.1629</v>
      </c>
      <c r="AS111" s="22">
        <v>-1.32599E-2</v>
      </c>
      <c r="AT111" s="22">
        <v>101</v>
      </c>
      <c r="AU111" s="22">
        <v>1.0907</v>
      </c>
      <c r="AV111">
        <f t="shared" si="20"/>
        <v>16.370246913580246</v>
      </c>
      <c r="AW111">
        <f t="shared" si="21"/>
        <v>17.867469696296297</v>
      </c>
      <c r="AX111" s="9"/>
      <c r="AY111" s="22">
        <v>0.40862999999999999</v>
      </c>
      <c r="AZ111" s="22">
        <v>26.5793</v>
      </c>
      <c r="BA111" s="22">
        <v>-1.3766499999999999E-2</v>
      </c>
      <c r="BB111" s="22">
        <v>101</v>
      </c>
      <c r="BC111" s="22">
        <v>0.40789799999999998</v>
      </c>
      <c r="BD111">
        <f t="shared" si="22"/>
        <v>16.995679012345676</v>
      </c>
      <c r="BE111">
        <f t="shared" si="23"/>
        <v>6.9449443148148129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1.08643</v>
      </c>
      <c r="H112" s="22">
        <v>6.0625600000000004</v>
      </c>
      <c r="I112" s="22">
        <v>-1.31836E-2</v>
      </c>
      <c r="J112" s="22">
        <v>102</v>
      </c>
      <c r="K112" s="22">
        <v>1.08582</v>
      </c>
      <c r="L112">
        <f t="shared" si="12"/>
        <v>16.276049382716046</v>
      </c>
      <c r="M112">
        <f t="shared" si="13"/>
        <v>17.682788330864195</v>
      </c>
      <c r="N112" s="9"/>
      <c r="O112" s="22">
        <v>0.41366599999999998</v>
      </c>
      <c r="P112" s="22">
        <v>9.4789100000000008</v>
      </c>
      <c r="Q112" s="22">
        <v>-1.37482E-2</v>
      </c>
      <c r="R112" s="22">
        <v>102</v>
      </c>
      <c r="S112" s="22">
        <v>0.41305500000000001</v>
      </c>
      <c r="T112">
        <f t="shared" si="14"/>
        <v>16.973086419753084</v>
      </c>
      <c r="U112">
        <f t="shared" si="15"/>
        <v>7.0211887669135793</v>
      </c>
      <c r="X112" s="9"/>
      <c r="Y112" s="22">
        <v>1.08643</v>
      </c>
      <c r="Z112" s="22">
        <v>14.578799999999999</v>
      </c>
      <c r="AA112" s="22">
        <v>-1.3256799999999999E-2</v>
      </c>
      <c r="AB112" s="22">
        <v>102</v>
      </c>
      <c r="AC112" s="22">
        <v>1.08551</v>
      </c>
      <c r="AD112">
        <f t="shared" si="16"/>
        <v>16.366419753086415</v>
      </c>
      <c r="AE112">
        <f t="shared" si="17"/>
        <v>17.780969412345673</v>
      </c>
      <c r="AF112" s="9"/>
      <c r="AG112" s="22">
        <v>0.41366599999999998</v>
      </c>
      <c r="AH112" s="22">
        <v>17.995100000000001</v>
      </c>
      <c r="AI112" s="22">
        <v>-1.3797E-2</v>
      </c>
      <c r="AJ112" s="22">
        <v>102</v>
      </c>
      <c r="AK112" s="22">
        <v>0.41305500000000001</v>
      </c>
      <c r="AL112">
        <f t="shared" si="18"/>
        <v>17.033333333333331</v>
      </c>
      <c r="AM112">
        <f t="shared" si="19"/>
        <v>7.0461108666666652</v>
      </c>
      <c r="AP112" s="9"/>
      <c r="AQ112" s="22">
        <v>1.08643</v>
      </c>
      <c r="AR112" s="22">
        <v>23.172999999999998</v>
      </c>
      <c r="AS112" s="22">
        <v>-1.32751E-2</v>
      </c>
      <c r="AT112" s="22">
        <v>102</v>
      </c>
      <c r="AU112" s="22">
        <v>1.08551</v>
      </c>
      <c r="AV112">
        <f t="shared" si="20"/>
        <v>16.38901234567901</v>
      </c>
      <c r="AW112">
        <f t="shared" si="21"/>
        <v>17.805514682716048</v>
      </c>
      <c r="AX112" s="9"/>
      <c r="AY112" s="22">
        <v>0.41366599999999998</v>
      </c>
      <c r="AZ112" s="22">
        <v>26.589300000000001</v>
      </c>
      <c r="BA112" s="22">
        <v>-1.3754300000000001E-2</v>
      </c>
      <c r="BB112" s="22">
        <v>102</v>
      </c>
      <c r="BC112" s="22">
        <v>0.41302499999999998</v>
      </c>
      <c r="BD112">
        <f t="shared" si="22"/>
        <v>16.980617283950615</v>
      </c>
      <c r="BE112">
        <f t="shared" si="23"/>
        <v>7.0243040293827148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1.0813900000000001</v>
      </c>
      <c r="H113" s="22">
        <v>6.0726300000000002</v>
      </c>
      <c r="I113" s="22">
        <v>-1.31927E-2</v>
      </c>
      <c r="J113" s="22">
        <v>103</v>
      </c>
      <c r="K113" s="22">
        <v>1.08063</v>
      </c>
      <c r="L113">
        <f t="shared" si="12"/>
        <v>16.287283950617283</v>
      </c>
      <c r="M113">
        <f t="shared" si="13"/>
        <v>17.612905991358026</v>
      </c>
      <c r="N113" s="9"/>
      <c r="O113" s="22">
        <v>0.41870099999999999</v>
      </c>
      <c r="P113" s="22">
        <v>9.4889799999999997</v>
      </c>
      <c r="Q113" s="22">
        <v>-1.3732899999999999E-2</v>
      </c>
      <c r="R113" s="22">
        <v>103</v>
      </c>
      <c r="S113" s="22">
        <v>0.41803000000000001</v>
      </c>
      <c r="T113">
        <f t="shared" si="14"/>
        <v>16.954197530864196</v>
      </c>
      <c r="U113">
        <f t="shared" si="15"/>
        <v>7.0987394603703695</v>
      </c>
      <c r="X113" s="9"/>
      <c r="Y113" s="22">
        <v>1.0813900000000001</v>
      </c>
      <c r="Z113" s="22">
        <v>14.588800000000001</v>
      </c>
      <c r="AA113" s="22">
        <v>-1.3266E-2</v>
      </c>
      <c r="AB113" s="22">
        <v>103</v>
      </c>
      <c r="AC113" s="22">
        <v>1.0803199999999999</v>
      </c>
      <c r="AD113">
        <f t="shared" si="16"/>
        <v>16.377777777777776</v>
      </c>
      <c r="AE113">
        <f t="shared" si="17"/>
        <v>17.710765111111112</v>
      </c>
      <c r="AF113" s="9"/>
      <c r="AG113" s="22">
        <v>0.41870099999999999</v>
      </c>
      <c r="AH113" s="22">
        <v>18.005199999999999</v>
      </c>
      <c r="AI113" s="22">
        <v>-1.38E-2</v>
      </c>
      <c r="AJ113" s="22">
        <v>103</v>
      </c>
      <c r="AK113" s="22">
        <v>0.41803000000000001</v>
      </c>
      <c r="AL113">
        <f t="shared" si="18"/>
        <v>17.037037037037035</v>
      </c>
      <c r="AM113">
        <f t="shared" si="19"/>
        <v>7.1334244444444428</v>
      </c>
      <c r="AP113" s="9"/>
      <c r="AQ113" s="22">
        <v>1.0813900000000001</v>
      </c>
      <c r="AR113" s="22">
        <v>23.1831</v>
      </c>
      <c r="AS113" s="22">
        <v>-1.3284300000000001E-2</v>
      </c>
      <c r="AT113" s="22">
        <v>103</v>
      </c>
      <c r="AU113" s="22">
        <v>1.08063</v>
      </c>
      <c r="AV113">
        <f t="shared" si="20"/>
        <v>16.400370370370371</v>
      </c>
      <c r="AW113">
        <f t="shared" si="21"/>
        <v>17.735196514814817</v>
      </c>
      <c r="AX113" s="9"/>
      <c r="AY113" s="22">
        <v>0.41870099999999999</v>
      </c>
      <c r="AZ113" s="22">
        <v>26.599399999999999</v>
      </c>
      <c r="BA113" s="22">
        <v>-1.37421E-2</v>
      </c>
      <c r="BB113" s="22">
        <v>103</v>
      </c>
      <c r="BC113" s="22">
        <v>0.41799900000000001</v>
      </c>
      <c r="BD113">
        <f t="shared" si="22"/>
        <v>16.965555555555554</v>
      </c>
      <c r="BE113">
        <f t="shared" si="23"/>
        <v>7.1034950766666656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1.0763499999999999</v>
      </c>
      <c r="H114" s="22">
        <v>6.0827099999999996</v>
      </c>
      <c r="I114" s="22">
        <v>-1.31927E-2</v>
      </c>
      <c r="J114" s="22">
        <v>104</v>
      </c>
      <c r="K114" s="22">
        <v>1.0745199999999999</v>
      </c>
      <c r="L114">
        <f t="shared" si="12"/>
        <v>16.287283950617283</v>
      </c>
      <c r="M114">
        <f t="shared" si="13"/>
        <v>17.53081808024691</v>
      </c>
      <c r="N114" s="9"/>
      <c r="O114" s="22">
        <v>0.42373699999999997</v>
      </c>
      <c r="P114" s="22">
        <v>9.4990500000000004</v>
      </c>
      <c r="Q114" s="22">
        <v>-1.3726800000000001E-2</v>
      </c>
      <c r="R114" s="22">
        <v>104</v>
      </c>
      <c r="S114" s="22">
        <v>0.423126</v>
      </c>
      <c r="T114">
        <f t="shared" si="14"/>
        <v>16.946666666666665</v>
      </c>
      <c r="U114">
        <f t="shared" si="15"/>
        <v>7.180929693333332</v>
      </c>
      <c r="X114" s="9"/>
      <c r="Y114" s="22">
        <v>1.0763499999999999</v>
      </c>
      <c r="Z114" s="22">
        <v>14.5989</v>
      </c>
      <c r="AA114" s="22">
        <v>-1.3281299999999999E-2</v>
      </c>
      <c r="AB114" s="22">
        <v>104</v>
      </c>
      <c r="AC114" s="22">
        <v>1.0751299999999999</v>
      </c>
      <c r="AD114">
        <f t="shared" si="16"/>
        <v>16.396666666666665</v>
      </c>
      <c r="AE114">
        <f t="shared" si="17"/>
        <v>17.648552166666665</v>
      </c>
      <c r="AF114" s="9"/>
      <c r="AG114" s="22">
        <v>0.42373699999999997</v>
      </c>
      <c r="AH114" s="22">
        <v>18.0153</v>
      </c>
      <c r="AI114" s="22">
        <v>-1.38031E-2</v>
      </c>
      <c r="AJ114" s="22">
        <v>104</v>
      </c>
      <c r="AK114" s="22">
        <v>0.423126</v>
      </c>
      <c r="AL114">
        <f t="shared" si="18"/>
        <v>17.040864197530862</v>
      </c>
      <c r="AM114">
        <f t="shared" si="19"/>
        <v>7.2208446724691342</v>
      </c>
      <c r="AP114" s="9"/>
      <c r="AQ114" s="22">
        <v>1.0763499999999999</v>
      </c>
      <c r="AR114" s="22">
        <v>23.193100000000001</v>
      </c>
      <c r="AS114" s="22">
        <v>-1.3290400000000001E-2</v>
      </c>
      <c r="AT114" s="22">
        <v>104</v>
      </c>
      <c r="AU114" s="22">
        <v>1.0751299999999999</v>
      </c>
      <c r="AV114">
        <f t="shared" si="20"/>
        <v>16.407901234567902</v>
      </c>
      <c r="AW114">
        <f t="shared" si="21"/>
        <v>17.66064449382716</v>
      </c>
      <c r="AX114" s="9"/>
      <c r="AY114" s="22">
        <v>0.42373699999999997</v>
      </c>
      <c r="AZ114" s="22">
        <v>26.609500000000001</v>
      </c>
      <c r="BA114" s="22">
        <v>-1.3736E-2</v>
      </c>
      <c r="BB114" s="22">
        <v>104</v>
      </c>
      <c r="BC114" s="22">
        <v>0.42309600000000003</v>
      </c>
      <c r="BD114">
        <f t="shared" si="22"/>
        <v>16.958024691358023</v>
      </c>
      <c r="BE114">
        <f t="shared" si="23"/>
        <v>7.1857425086419742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1.0713200000000001</v>
      </c>
      <c r="H115" s="22">
        <v>6.0927800000000003</v>
      </c>
      <c r="I115" s="22">
        <v>-1.3205E-2</v>
      </c>
      <c r="J115" s="22">
        <v>105</v>
      </c>
      <c r="K115" s="22">
        <v>1.0702499999999999</v>
      </c>
      <c r="L115">
        <f t="shared" si="12"/>
        <v>16.302469135802468</v>
      </c>
      <c r="M115">
        <f t="shared" si="13"/>
        <v>17.465161234567901</v>
      </c>
      <c r="N115" s="9"/>
      <c r="O115" s="22">
        <v>0.42877199999999999</v>
      </c>
      <c r="P115" s="22">
        <v>9.5091199999999994</v>
      </c>
      <c r="Q115" s="22">
        <v>-1.37085E-2</v>
      </c>
      <c r="R115" s="22">
        <v>105</v>
      </c>
      <c r="S115" s="22">
        <v>0.42810100000000001</v>
      </c>
      <c r="T115">
        <f t="shared" si="14"/>
        <v>16.924074074074074</v>
      </c>
      <c r="U115">
        <f t="shared" si="15"/>
        <v>7.256569088888889</v>
      </c>
      <c r="X115" s="9"/>
      <c r="Y115" s="22">
        <v>1.0713200000000001</v>
      </c>
      <c r="Z115" s="22">
        <v>14.609</v>
      </c>
      <c r="AA115" s="22">
        <v>-1.3281299999999999E-2</v>
      </c>
      <c r="AB115" s="22">
        <v>105</v>
      </c>
      <c r="AC115" s="22">
        <v>1.07056</v>
      </c>
      <c r="AD115">
        <f t="shared" si="16"/>
        <v>16.396666666666665</v>
      </c>
      <c r="AE115">
        <f t="shared" si="17"/>
        <v>17.566076933333331</v>
      </c>
      <c r="AF115" s="9"/>
      <c r="AG115" s="22">
        <v>0.42877199999999999</v>
      </c>
      <c r="AH115" s="22">
        <v>18.025300000000001</v>
      </c>
      <c r="AI115" s="22">
        <v>-1.38031E-2</v>
      </c>
      <c r="AJ115" s="22">
        <v>105</v>
      </c>
      <c r="AK115" s="22">
        <v>0.42803999999999998</v>
      </c>
      <c r="AL115">
        <f t="shared" si="18"/>
        <v>17.040864197530862</v>
      </c>
      <c r="AM115">
        <f t="shared" si="19"/>
        <v>7.3066454237037028</v>
      </c>
      <c r="AP115" s="9"/>
      <c r="AQ115" s="22">
        <v>1.0713200000000001</v>
      </c>
      <c r="AR115" s="22">
        <v>23.203199999999999</v>
      </c>
      <c r="AS115" s="22">
        <v>-1.3296499999999999E-2</v>
      </c>
      <c r="AT115" s="22">
        <v>105</v>
      </c>
      <c r="AU115" s="22">
        <v>1.0702499999999999</v>
      </c>
      <c r="AV115">
        <f t="shared" si="20"/>
        <v>16.415432098765429</v>
      </c>
      <c r="AW115">
        <f t="shared" si="21"/>
        <v>17.58618071604938</v>
      </c>
      <c r="AX115" s="9"/>
      <c r="AY115" s="22">
        <v>0.42877199999999999</v>
      </c>
      <c r="AZ115" s="22">
        <v>26.619499999999999</v>
      </c>
      <c r="BA115" s="22">
        <v>-1.3732899999999999E-2</v>
      </c>
      <c r="BB115" s="22">
        <v>105</v>
      </c>
      <c r="BC115" s="22">
        <v>0.42813099999999998</v>
      </c>
      <c r="BD115">
        <f t="shared" si="22"/>
        <v>16.954197530864196</v>
      </c>
      <c r="BE115">
        <f t="shared" si="23"/>
        <v>7.2694851837037024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1.0662799999999999</v>
      </c>
      <c r="H116" s="22">
        <v>6.1028500000000001</v>
      </c>
      <c r="I116" s="22">
        <v>-1.32111E-2</v>
      </c>
      <c r="J116" s="22">
        <v>106</v>
      </c>
      <c r="K116" s="22">
        <v>1.0647599999999999</v>
      </c>
      <c r="L116">
        <f t="shared" si="12"/>
        <v>16.309999999999999</v>
      </c>
      <c r="M116">
        <f t="shared" si="13"/>
        <v>17.391026799999995</v>
      </c>
      <c r="N116" s="9"/>
      <c r="O116" s="22">
        <v>0.433807</v>
      </c>
      <c r="P116" s="22">
        <v>9.5191999999999997</v>
      </c>
      <c r="Q116" s="22">
        <v>-1.3699299999999999E-2</v>
      </c>
      <c r="R116" s="22">
        <v>106</v>
      </c>
      <c r="S116" s="22">
        <v>0.433197</v>
      </c>
      <c r="T116">
        <f t="shared" si="14"/>
        <v>16.912716049382716</v>
      </c>
      <c r="U116">
        <f t="shared" si="15"/>
        <v>7.3368546112345676</v>
      </c>
      <c r="X116" s="9"/>
      <c r="Y116" s="22">
        <v>1.0662799999999999</v>
      </c>
      <c r="Z116" s="22">
        <v>14.6191</v>
      </c>
      <c r="AA116" s="22">
        <v>-1.3281299999999999E-2</v>
      </c>
      <c r="AB116" s="22">
        <v>106</v>
      </c>
      <c r="AC116" s="22">
        <v>1.0659799999999999</v>
      </c>
      <c r="AD116">
        <f t="shared" si="16"/>
        <v>16.396666666666665</v>
      </c>
      <c r="AE116">
        <f t="shared" si="17"/>
        <v>17.483437733333329</v>
      </c>
      <c r="AF116" s="9"/>
      <c r="AG116" s="22">
        <v>0.433807</v>
      </c>
      <c r="AH116" s="22">
        <v>18.035399999999999</v>
      </c>
      <c r="AI116" s="22">
        <v>-1.38E-2</v>
      </c>
      <c r="AJ116" s="22">
        <v>106</v>
      </c>
      <c r="AK116" s="22">
        <v>0.43325799999999998</v>
      </c>
      <c r="AL116">
        <f t="shared" si="18"/>
        <v>17.037037037037035</v>
      </c>
      <c r="AM116">
        <f t="shared" si="19"/>
        <v>7.3907859259259245</v>
      </c>
      <c r="AP116" s="9"/>
      <c r="AQ116" s="22">
        <v>1.0662799999999999</v>
      </c>
      <c r="AR116" s="22">
        <v>23.2133</v>
      </c>
      <c r="AS116" s="22">
        <v>-1.3302599999999999E-2</v>
      </c>
      <c r="AT116" s="22">
        <v>106</v>
      </c>
      <c r="AU116" s="22">
        <v>1.0650599999999999</v>
      </c>
      <c r="AV116">
        <f t="shared" si="20"/>
        <v>16.422962962962963</v>
      </c>
      <c r="AW116">
        <f t="shared" si="21"/>
        <v>17.511476948148147</v>
      </c>
      <c r="AX116" s="9"/>
      <c r="AY116" s="22">
        <v>0.433807</v>
      </c>
      <c r="AZ116" s="22">
        <v>26.6296</v>
      </c>
      <c r="BA116" s="22">
        <v>-1.37299E-2</v>
      </c>
      <c r="BB116" s="22">
        <v>106</v>
      </c>
      <c r="BC116" s="22">
        <v>0.433197</v>
      </c>
      <c r="BD116">
        <f t="shared" si="22"/>
        <v>16.950493827160493</v>
      </c>
      <c r="BE116">
        <f t="shared" si="23"/>
        <v>7.3532428756790118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1.06125</v>
      </c>
      <c r="H117" s="22">
        <v>6.1129199999999999</v>
      </c>
      <c r="I117" s="22">
        <v>-1.32263E-2</v>
      </c>
      <c r="J117" s="22">
        <v>107</v>
      </c>
      <c r="K117" s="22">
        <v>1.0601799999999999</v>
      </c>
      <c r="L117">
        <f t="shared" si="12"/>
        <v>16.328765432098766</v>
      </c>
      <c r="M117">
        <f t="shared" si="13"/>
        <v>17.328902314814815</v>
      </c>
      <c r="N117" s="9"/>
      <c r="O117" s="22">
        <v>0.43884299999999998</v>
      </c>
      <c r="P117" s="22">
        <v>9.5292700000000004</v>
      </c>
      <c r="Q117" s="22">
        <v>-1.37085E-2</v>
      </c>
      <c r="R117" s="22">
        <v>107</v>
      </c>
      <c r="S117" s="22">
        <v>0.43820199999999998</v>
      </c>
      <c r="T117">
        <f t="shared" si="14"/>
        <v>16.924074074074074</v>
      </c>
      <c r="U117">
        <f t="shared" si="15"/>
        <v>7.4270114388888882</v>
      </c>
      <c r="X117" s="9"/>
      <c r="Y117" s="22">
        <v>1.06125</v>
      </c>
      <c r="Z117" s="22">
        <v>14.629099999999999</v>
      </c>
      <c r="AA117" s="22">
        <v>-1.32874E-2</v>
      </c>
      <c r="AB117" s="22">
        <v>107</v>
      </c>
      <c r="AC117" s="22">
        <v>1.0601799999999999</v>
      </c>
      <c r="AD117">
        <f t="shared" si="16"/>
        <v>16.404197530864195</v>
      </c>
      <c r="AE117">
        <f t="shared" si="17"/>
        <v>17.408954629629626</v>
      </c>
      <c r="AF117" s="9"/>
      <c r="AG117" s="22">
        <v>0.43884299999999998</v>
      </c>
      <c r="AH117" s="22">
        <v>18.045500000000001</v>
      </c>
      <c r="AI117" s="22">
        <v>-1.3797E-2</v>
      </c>
      <c r="AJ117" s="22">
        <v>107</v>
      </c>
      <c r="AK117" s="22">
        <v>0.43826300000000001</v>
      </c>
      <c r="AL117">
        <f t="shared" si="18"/>
        <v>17.033333333333331</v>
      </c>
      <c r="AM117">
        <f t="shared" si="19"/>
        <v>7.4749590999999986</v>
      </c>
      <c r="AP117" s="9"/>
      <c r="AQ117" s="22">
        <v>1.06125</v>
      </c>
      <c r="AR117" s="22">
        <v>23.223299999999998</v>
      </c>
      <c r="AS117" s="22">
        <v>-1.33148E-2</v>
      </c>
      <c r="AT117" s="22">
        <v>107</v>
      </c>
      <c r="AU117" s="22">
        <v>1.0601799999999999</v>
      </c>
      <c r="AV117">
        <f t="shared" si="20"/>
        <v>16.438024691358024</v>
      </c>
      <c r="AW117">
        <f t="shared" si="21"/>
        <v>17.444853703703703</v>
      </c>
      <c r="AX117" s="9"/>
      <c r="AY117" s="22">
        <v>0.43884299999999998</v>
      </c>
      <c r="AZ117" s="22">
        <v>26.639700000000001</v>
      </c>
      <c r="BA117" s="22">
        <v>-1.37299E-2</v>
      </c>
      <c r="BB117" s="22">
        <v>107</v>
      </c>
      <c r="BC117" s="22">
        <v>0.43826300000000001</v>
      </c>
      <c r="BD117">
        <f t="shared" si="22"/>
        <v>16.950493827160493</v>
      </c>
      <c r="BE117">
        <f t="shared" si="23"/>
        <v>7.438605562592592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1.0562100000000001</v>
      </c>
      <c r="H118" s="22">
        <v>6.1229899999999997</v>
      </c>
      <c r="I118" s="22">
        <v>-1.32324E-2</v>
      </c>
      <c r="J118" s="22">
        <v>108</v>
      </c>
      <c r="K118" s="22">
        <v>1.0552999999999999</v>
      </c>
      <c r="L118">
        <f t="shared" si="12"/>
        <v>16.336296296296297</v>
      </c>
      <c r="M118">
        <f t="shared" si="13"/>
        <v>17.254559511111115</v>
      </c>
      <c r="N118" s="9"/>
      <c r="O118" s="22">
        <v>0.44387799999999999</v>
      </c>
      <c r="P118" s="22">
        <v>9.5393399999999993</v>
      </c>
      <c r="Q118" s="22">
        <v>-1.37146E-2</v>
      </c>
      <c r="R118" s="22">
        <v>108</v>
      </c>
      <c r="S118" s="22">
        <v>0.443268</v>
      </c>
      <c r="T118">
        <f t="shared" si="14"/>
        <v>16.931604938271605</v>
      </c>
      <c r="U118">
        <f t="shared" si="15"/>
        <v>7.5155669367901234</v>
      </c>
      <c r="X118" s="9"/>
      <c r="Y118" s="22">
        <v>1.0562100000000001</v>
      </c>
      <c r="Z118" s="22">
        <v>14.639200000000001</v>
      </c>
      <c r="AA118" s="22">
        <v>-1.32874E-2</v>
      </c>
      <c r="AB118" s="22">
        <v>108</v>
      </c>
      <c r="AC118" s="22">
        <v>1.0549900000000001</v>
      </c>
      <c r="AD118">
        <f t="shared" si="16"/>
        <v>16.404197530864195</v>
      </c>
      <c r="AE118">
        <f t="shared" si="17"/>
        <v>17.326277474074072</v>
      </c>
      <c r="AF118" s="9"/>
      <c r="AG118" s="22">
        <v>0.44387799999999999</v>
      </c>
      <c r="AH118" s="22">
        <v>18.055499999999999</v>
      </c>
      <c r="AI118" s="22">
        <v>-1.38031E-2</v>
      </c>
      <c r="AJ118" s="22">
        <v>108</v>
      </c>
      <c r="AK118" s="22">
        <v>0.44323699999999999</v>
      </c>
      <c r="AL118">
        <f t="shared" si="18"/>
        <v>17.040864197530862</v>
      </c>
      <c r="AM118">
        <f t="shared" si="19"/>
        <v>7.5640647182716041</v>
      </c>
      <c r="AP118" s="9"/>
      <c r="AQ118" s="22">
        <v>1.0562100000000001</v>
      </c>
      <c r="AR118" s="22">
        <v>23.2334</v>
      </c>
      <c r="AS118" s="22">
        <v>-1.3327E-2</v>
      </c>
      <c r="AT118" s="22">
        <v>108</v>
      </c>
      <c r="AU118" s="22">
        <v>1.0549900000000001</v>
      </c>
      <c r="AV118">
        <f t="shared" si="20"/>
        <v>16.453086419753085</v>
      </c>
      <c r="AW118">
        <f t="shared" si="21"/>
        <v>17.377914407407406</v>
      </c>
      <c r="AX118" s="9"/>
      <c r="AY118" s="22">
        <v>0.44387799999999999</v>
      </c>
      <c r="AZ118" s="22">
        <v>26.649799999999999</v>
      </c>
      <c r="BA118" s="22">
        <v>-1.3736E-2</v>
      </c>
      <c r="BB118" s="22">
        <v>108</v>
      </c>
      <c r="BC118" s="22">
        <v>0.44314599999999998</v>
      </c>
      <c r="BD118">
        <f t="shared" si="22"/>
        <v>16.958024691358023</v>
      </c>
      <c r="BE118">
        <f t="shared" si="23"/>
        <v>7.5272940839506166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1.05118</v>
      </c>
      <c r="H119" s="22">
        <v>6.1330600000000004</v>
      </c>
      <c r="I119" s="22">
        <v>-1.3235500000000001E-2</v>
      </c>
      <c r="J119" s="22">
        <v>109</v>
      </c>
      <c r="K119" s="22">
        <v>1.0501100000000001</v>
      </c>
      <c r="L119">
        <f t="shared" si="12"/>
        <v>16.340123456790124</v>
      </c>
      <c r="M119">
        <f t="shared" si="13"/>
        <v>17.176410975308642</v>
      </c>
      <c r="N119" s="9"/>
      <c r="O119" s="22">
        <v>0.44891399999999998</v>
      </c>
      <c r="P119" s="22">
        <v>9.54941</v>
      </c>
      <c r="Q119" s="22">
        <v>-1.3720700000000001E-2</v>
      </c>
      <c r="R119" s="22">
        <v>109</v>
      </c>
      <c r="S119" s="22">
        <v>0.44827299999999998</v>
      </c>
      <c r="T119">
        <f t="shared" si="14"/>
        <v>16.939135802469135</v>
      </c>
      <c r="U119">
        <f t="shared" si="15"/>
        <v>7.6042152096296292</v>
      </c>
      <c r="X119" s="9"/>
      <c r="Y119" s="22">
        <v>1.05118</v>
      </c>
      <c r="Z119" s="22">
        <v>14.6493</v>
      </c>
      <c r="AA119" s="22">
        <v>-1.3296499999999999E-2</v>
      </c>
      <c r="AB119" s="22">
        <v>109</v>
      </c>
      <c r="AC119" s="22">
        <v>1.0504199999999999</v>
      </c>
      <c r="AD119">
        <f t="shared" si="16"/>
        <v>16.415432098765429</v>
      </c>
      <c r="AE119">
        <f t="shared" si="17"/>
        <v>17.255573913580243</v>
      </c>
      <c r="AF119" s="9"/>
      <c r="AG119" s="22">
        <v>0.44891399999999998</v>
      </c>
      <c r="AH119" s="22">
        <v>18.0656</v>
      </c>
      <c r="AI119" s="22">
        <v>-1.38E-2</v>
      </c>
      <c r="AJ119" s="22">
        <v>109</v>
      </c>
      <c r="AK119" s="22">
        <v>0.44833400000000001</v>
      </c>
      <c r="AL119">
        <f t="shared" si="18"/>
        <v>17.037037037037035</v>
      </c>
      <c r="AM119">
        <f t="shared" si="19"/>
        <v>7.6481644444444425</v>
      </c>
      <c r="AP119" s="9"/>
      <c r="AQ119" s="22">
        <v>1.05118</v>
      </c>
      <c r="AR119" s="22">
        <v>23.243500000000001</v>
      </c>
      <c r="AS119" s="22">
        <v>-1.3330099999999999E-2</v>
      </c>
      <c r="AT119" s="22">
        <v>109</v>
      </c>
      <c r="AU119" s="22">
        <v>1.0495000000000001</v>
      </c>
      <c r="AV119">
        <f t="shared" si="20"/>
        <v>16.456913580246912</v>
      </c>
      <c r="AW119">
        <f t="shared" si="21"/>
        <v>17.299178417283947</v>
      </c>
      <c r="AX119" s="9"/>
      <c r="AY119" s="22">
        <v>0.44891399999999998</v>
      </c>
      <c r="AZ119" s="22">
        <v>26.659800000000001</v>
      </c>
      <c r="BA119" s="22">
        <v>-1.37451E-2</v>
      </c>
      <c r="BB119" s="22">
        <v>109</v>
      </c>
      <c r="BC119" s="22">
        <v>0.44824199999999997</v>
      </c>
      <c r="BD119">
        <f t="shared" si="22"/>
        <v>16.969259259259257</v>
      </c>
      <c r="BE119">
        <f t="shared" si="23"/>
        <v>7.6177380511111092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1.0461400000000001</v>
      </c>
      <c r="H120" s="22">
        <v>6.1431300000000002</v>
      </c>
      <c r="I120" s="22">
        <v>-1.32446E-2</v>
      </c>
      <c r="J120" s="22">
        <v>110</v>
      </c>
      <c r="K120" s="22">
        <v>1.0449200000000001</v>
      </c>
      <c r="L120">
        <f t="shared" si="12"/>
        <v>16.351358024691358</v>
      </c>
      <c r="M120">
        <f t="shared" si="13"/>
        <v>17.105809683950618</v>
      </c>
      <c r="N120" s="9"/>
      <c r="O120" s="22">
        <v>0.45394899999999999</v>
      </c>
      <c r="P120" s="22">
        <v>9.5594800000000006</v>
      </c>
      <c r="Q120" s="22">
        <v>-1.3720700000000001E-2</v>
      </c>
      <c r="R120" s="22">
        <v>110</v>
      </c>
      <c r="S120" s="22">
        <v>0.45333899999999999</v>
      </c>
      <c r="T120">
        <f t="shared" si="14"/>
        <v>16.939135802469135</v>
      </c>
      <c r="U120">
        <f t="shared" si="15"/>
        <v>7.6895037583950616</v>
      </c>
      <c r="X120" s="9"/>
      <c r="Y120" s="22">
        <v>1.0461400000000001</v>
      </c>
      <c r="Z120" s="22">
        <v>14.6593</v>
      </c>
      <c r="AA120" s="22">
        <v>-1.33118E-2</v>
      </c>
      <c r="AB120" s="22">
        <v>110</v>
      </c>
      <c r="AC120" s="22">
        <v>1.0449200000000001</v>
      </c>
      <c r="AD120">
        <f t="shared" si="16"/>
        <v>16.434320987654321</v>
      </c>
      <c r="AE120">
        <f t="shared" si="17"/>
        <v>17.192600558024694</v>
      </c>
      <c r="AF120" s="9"/>
      <c r="AG120" s="22">
        <v>0.45394899999999999</v>
      </c>
      <c r="AH120" s="22">
        <v>18.075700000000001</v>
      </c>
      <c r="AI120" s="22">
        <v>-1.37909E-2</v>
      </c>
      <c r="AJ120" s="22">
        <v>110</v>
      </c>
      <c r="AK120" s="22">
        <v>0.45324700000000001</v>
      </c>
      <c r="AL120">
        <f t="shared" si="18"/>
        <v>17.025802469135801</v>
      </c>
      <c r="AM120">
        <f t="shared" si="19"/>
        <v>7.7288460050617278</v>
      </c>
      <c r="AP120" s="9"/>
      <c r="AQ120" s="22">
        <v>1.0461400000000001</v>
      </c>
      <c r="AR120" s="22">
        <v>23.253599999999999</v>
      </c>
      <c r="AS120" s="22">
        <v>-1.3330099999999999E-2</v>
      </c>
      <c r="AT120" s="22">
        <v>110</v>
      </c>
      <c r="AU120" s="22">
        <v>1.0449200000000001</v>
      </c>
      <c r="AV120">
        <f t="shared" si="20"/>
        <v>16.456913580246912</v>
      </c>
      <c r="AW120">
        <f t="shared" si="21"/>
        <v>17.216235572839505</v>
      </c>
      <c r="AX120" s="9"/>
      <c r="AY120" s="22">
        <v>0.45394899999999999</v>
      </c>
      <c r="AZ120" s="22">
        <v>26.669899999999998</v>
      </c>
      <c r="BA120" s="22">
        <v>-1.3754300000000001E-2</v>
      </c>
      <c r="BB120" s="22">
        <v>110</v>
      </c>
      <c r="BC120" s="22">
        <v>0.45336900000000002</v>
      </c>
      <c r="BD120">
        <f t="shared" si="22"/>
        <v>16.980617283950615</v>
      </c>
      <c r="BE120">
        <f t="shared" si="23"/>
        <v>7.7083342354320976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1.04111</v>
      </c>
      <c r="H121" s="22">
        <v>6.1532</v>
      </c>
      <c r="I121" s="22">
        <v>-1.3250700000000001E-2</v>
      </c>
      <c r="J121" s="22">
        <v>111</v>
      </c>
      <c r="K121" s="22">
        <v>1.0400400000000001</v>
      </c>
      <c r="L121">
        <f t="shared" si="12"/>
        <v>16.358888888888888</v>
      </c>
      <c r="M121">
        <f t="shared" si="13"/>
        <v>17.031402811111111</v>
      </c>
      <c r="N121" s="9"/>
      <c r="O121" s="22">
        <v>0.458984</v>
      </c>
      <c r="P121" s="22">
        <v>9.5695499999999996</v>
      </c>
      <c r="Q121" s="22">
        <v>-1.37146E-2</v>
      </c>
      <c r="R121" s="22">
        <v>111</v>
      </c>
      <c r="S121" s="22">
        <v>0.45834399999999997</v>
      </c>
      <c r="T121">
        <f t="shared" si="14"/>
        <v>16.931604938271605</v>
      </c>
      <c r="U121">
        <f t="shared" si="15"/>
        <v>7.7713357609876539</v>
      </c>
      <c r="X121" s="9"/>
      <c r="Y121" s="22">
        <v>1.04111</v>
      </c>
      <c r="Z121" s="22">
        <v>14.6694</v>
      </c>
      <c r="AA121" s="22">
        <v>-1.3324000000000001E-2</v>
      </c>
      <c r="AB121" s="22">
        <v>111</v>
      </c>
      <c r="AC121" s="22">
        <v>1.04034</v>
      </c>
      <c r="AD121">
        <f t="shared" si="16"/>
        <v>16.449382716049382</v>
      </c>
      <c r="AE121">
        <f t="shared" si="17"/>
        <v>17.125616839506172</v>
      </c>
      <c r="AF121" s="9"/>
      <c r="AG121" s="22">
        <v>0.458984</v>
      </c>
      <c r="AH121" s="22">
        <v>18.085799999999999</v>
      </c>
      <c r="AI121" s="22">
        <v>-1.37909E-2</v>
      </c>
      <c r="AJ121" s="22">
        <v>111</v>
      </c>
      <c r="AK121" s="22">
        <v>0.45834399999999997</v>
      </c>
      <c r="AL121">
        <f t="shared" si="18"/>
        <v>17.025802469135801</v>
      </c>
      <c r="AM121">
        <f t="shared" si="19"/>
        <v>7.8145709204938267</v>
      </c>
      <c r="AP121" s="9"/>
      <c r="AQ121" s="22">
        <v>1.04111</v>
      </c>
      <c r="AR121" s="22">
        <v>23.2636</v>
      </c>
      <c r="AS121" s="22">
        <v>-1.3327E-2</v>
      </c>
      <c r="AT121" s="22">
        <v>111</v>
      </c>
      <c r="AU121" s="22">
        <v>1.04034</v>
      </c>
      <c r="AV121">
        <f t="shared" si="20"/>
        <v>16.453086419753085</v>
      </c>
      <c r="AW121">
        <f t="shared" si="21"/>
        <v>17.129472802469135</v>
      </c>
      <c r="AX121" s="9"/>
      <c r="AY121" s="22">
        <v>0.458984</v>
      </c>
      <c r="AZ121" s="22">
        <v>26.68</v>
      </c>
      <c r="BA121" s="22">
        <v>-1.37512E-2</v>
      </c>
      <c r="BB121" s="22">
        <v>111</v>
      </c>
      <c r="BC121" s="22">
        <v>0.45834399999999997</v>
      </c>
      <c r="BD121">
        <f t="shared" si="22"/>
        <v>16.976790123456787</v>
      </c>
      <c r="BE121">
        <f t="shared" si="23"/>
        <v>7.7920750380246897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1.03607</v>
      </c>
      <c r="H122" s="22">
        <v>6.1632699999999998</v>
      </c>
      <c r="I122" s="22">
        <v>-1.3269E-2</v>
      </c>
      <c r="J122" s="22">
        <v>112</v>
      </c>
      <c r="K122" s="22">
        <v>1.0351600000000001</v>
      </c>
      <c r="L122">
        <f t="shared" si="12"/>
        <v>16.38148148148148</v>
      </c>
      <c r="M122">
        <f t="shared" si="13"/>
        <v>16.972361518518518</v>
      </c>
      <c r="N122" s="9"/>
      <c r="O122" s="22">
        <v>0.46401999999999999</v>
      </c>
      <c r="P122" s="22">
        <v>9.5796200000000002</v>
      </c>
      <c r="Q122" s="22">
        <v>-1.37054E-2</v>
      </c>
      <c r="R122" s="22">
        <v>112</v>
      </c>
      <c r="S122" s="22">
        <v>0.463287</v>
      </c>
      <c r="T122">
        <f t="shared" si="14"/>
        <v>16.920246913580247</v>
      </c>
      <c r="U122">
        <f t="shared" si="15"/>
        <v>7.851332972839506</v>
      </c>
      <c r="X122" s="9"/>
      <c r="Y122" s="22">
        <v>1.03607</v>
      </c>
      <c r="Z122" s="22">
        <v>14.679500000000001</v>
      </c>
      <c r="AA122" s="22">
        <v>-1.3339200000000001E-2</v>
      </c>
      <c r="AB122" s="22">
        <v>112</v>
      </c>
      <c r="AC122" s="22">
        <v>1.03546</v>
      </c>
      <c r="AD122">
        <f t="shared" si="16"/>
        <v>16.468148148148149</v>
      </c>
      <c r="AE122">
        <f t="shared" si="17"/>
        <v>17.062154251851855</v>
      </c>
      <c r="AF122" s="9"/>
      <c r="AG122" s="22">
        <v>0.46401999999999999</v>
      </c>
      <c r="AH122" s="22">
        <v>18.095800000000001</v>
      </c>
      <c r="AI122" s="22">
        <v>-1.37939E-2</v>
      </c>
      <c r="AJ122" s="22">
        <v>112</v>
      </c>
      <c r="AK122" s="22">
        <v>0.46331800000000001</v>
      </c>
      <c r="AL122">
        <f t="shared" si="18"/>
        <v>17.029506172839504</v>
      </c>
      <c r="AM122">
        <f t="shared" si="19"/>
        <v>7.9020314543209862</v>
      </c>
      <c r="AP122" s="9"/>
      <c r="AQ122" s="22">
        <v>1.03607</v>
      </c>
      <c r="AR122" s="22">
        <v>23.273700000000002</v>
      </c>
      <c r="AS122" s="22">
        <v>-1.3339200000000001E-2</v>
      </c>
      <c r="AT122" s="22">
        <v>112</v>
      </c>
      <c r="AU122" s="22">
        <v>1.03485</v>
      </c>
      <c r="AV122">
        <f t="shared" si="20"/>
        <v>16.468148148148149</v>
      </c>
      <c r="AW122">
        <f t="shared" si="21"/>
        <v>17.062154251851855</v>
      </c>
      <c r="AX122" s="9"/>
      <c r="AY122" s="22">
        <v>0.46401999999999999</v>
      </c>
      <c r="AZ122" s="22">
        <v>26.69</v>
      </c>
      <c r="BA122" s="22">
        <v>-1.37421E-2</v>
      </c>
      <c r="BB122" s="22">
        <v>112</v>
      </c>
      <c r="BC122" s="22">
        <v>0.46344000000000002</v>
      </c>
      <c r="BD122">
        <f t="shared" si="22"/>
        <v>16.965555555555554</v>
      </c>
      <c r="BE122">
        <f t="shared" si="23"/>
        <v>7.8723570888888874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1.03104</v>
      </c>
      <c r="H123" s="22">
        <v>6.1733399999999996</v>
      </c>
      <c r="I123" s="22">
        <v>-1.32874E-2</v>
      </c>
      <c r="J123" s="22">
        <v>113</v>
      </c>
      <c r="K123" s="22">
        <v>1.0305800000000001</v>
      </c>
      <c r="L123">
        <f t="shared" si="12"/>
        <v>16.404197530864195</v>
      </c>
      <c r="M123">
        <f t="shared" si="13"/>
        <v>16.913383822222219</v>
      </c>
      <c r="N123" s="9"/>
      <c r="O123" s="22">
        <v>0.469055</v>
      </c>
      <c r="P123" s="22">
        <v>9.5896899999999992</v>
      </c>
      <c r="Q123" s="22">
        <v>-1.37024E-2</v>
      </c>
      <c r="R123" s="22">
        <v>113</v>
      </c>
      <c r="S123" s="22">
        <v>0.46838400000000002</v>
      </c>
      <c r="T123">
        <f t="shared" si="14"/>
        <v>16.916543209876544</v>
      </c>
      <c r="U123">
        <f t="shared" si="15"/>
        <v>7.9347891753086426</v>
      </c>
      <c r="X123" s="9"/>
      <c r="Y123" s="22">
        <v>1.03104</v>
      </c>
      <c r="Z123" s="22">
        <v>14.689500000000001</v>
      </c>
      <c r="AA123" s="22">
        <v>-1.33484E-2</v>
      </c>
      <c r="AB123" s="22">
        <v>113</v>
      </c>
      <c r="AC123" s="22">
        <v>1.0299700000000001</v>
      </c>
      <c r="AD123">
        <f t="shared" si="16"/>
        <v>16.479506172839503</v>
      </c>
      <c r="AE123">
        <f t="shared" si="17"/>
        <v>16.99103004444444</v>
      </c>
      <c r="AF123" s="9"/>
      <c r="AG123" s="22">
        <v>0.469055</v>
      </c>
      <c r="AH123" s="22">
        <v>18.105899999999998</v>
      </c>
      <c r="AI123" s="22">
        <v>-1.3781699999999999E-2</v>
      </c>
      <c r="AJ123" s="22">
        <v>113</v>
      </c>
      <c r="AK123" s="22">
        <v>0.468445</v>
      </c>
      <c r="AL123">
        <f t="shared" si="18"/>
        <v>17.014444444444443</v>
      </c>
      <c r="AM123">
        <f t="shared" si="19"/>
        <v>7.9807102388888884</v>
      </c>
      <c r="AP123" s="9"/>
      <c r="AQ123" s="22">
        <v>1.03104</v>
      </c>
      <c r="AR123" s="22">
        <v>23.283799999999999</v>
      </c>
      <c r="AS123" s="22">
        <v>-1.33484E-2</v>
      </c>
      <c r="AT123" s="22">
        <v>113</v>
      </c>
      <c r="AU123" s="22">
        <v>1.0299700000000001</v>
      </c>
      <c r="AV123">
        <f t="shared" si="20"/>
        <v>16.479506172839503</v>
      </c>
      <c r="AW123">
        <f t="shared" si="21"/>
        <v>16.99103004444444</v>
      </c>
      <c r="AX123" s="9"/>
      <c r="AY123" s="22">
        <v>0.469055</v>
      </c>
      <c r="AZ123" s="22">
        <v>26.700099999999999</v>
      </c>
      <c r="BA123" s="22">
        <v>-1.3736E-2</v>
      </c>
      <c r="BB123" s="22">
        <v>113</v>
      </c>
      <c r="BC123" s="22">
        <v>0.46838400000000002</v>
      </c>
      <c r="BD123">
        <f t="shared" si="22"/>
        <v>16.958024691358023</v>
      </c>
      <c r="BE123">
        <f t="shared" si="23"/>
        <v>7.954246271604938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1.026</v>
      </c>
      <c r="H124" s="22">
        <v>6.1834199999999999</v>
      </c>
      <c r="I124" s="22">
        <v>-1.3296499999999999E-2</v>
      </c>
      <c r="J124" s="22">
        <v>114</v>
      </c>
      <c r="K124" s="22">
        <v>1.0250900000000001</v>
      </c>
      <c r="L124">
        <f t="shared" si="12"/>
        <v>16.415432098765429</v>
      </c>
      <c r="M124">
        <f t="shared" si="13"/>
        <v>16.842233333333329</v>
      </c>
      <c r="N124" s="9"/>
      <c r="O124" s="22">
        <v>0.47409099999999998</v>
      </c>
      <c r="P124" s="22">
        <v>9.5997599999999998</v>
      </c>
      <c r="Q124" s="22">
        <v>-1.37024E-2</v>
      </c>
      <c r="R124" s="22">
        <v>114</v>
      </c>
      <c r="S124" s="22">
        <v>0.47344999999999998</v>
      </c>
      <c r="T124">
        <f t="shared" si="14"/>
        <v>16.916543209876544</v>
      </c>
      <c r="U124">
        <f t="shared" si="15"/>
        <v>8.0199808869135794</v>
      </c>
      <c r="X124" s="9"/>
      <c r="Y124" s="22">
        <v>1.026</v>
      </c>
      <c r="Z124" s="22">
        <v>14.6996</v>
      </c>
      <c r="AA124" s="22">
        <v>-1.33667E-2</v>
      </c>
      <c r="AB124" s="22">
        <v>114</v>
      </c>
      <c r="AC124" s="22">
        <v>1.02539</v>
      </c>
      <c r="AD124">
        <f t="shared" si="16"/>
        <v>16.502098765432098</v>
      </c>
      <c r="AE124">
        <f t="shared" si="17"/>
        <v>16.931153333333334</v>
      </c>
      <c r="AF124" s="9"/>
      <c r="AG124" s="22">
        <v>0.47409099999999998</v>
      </c>
      <c r="AH124" s="22">
        <v>18.116</v>
      </c>
      <c r="AI124" s="22">
        <v>-1.37695E-2</v>
      </c>
      <c r="AJ124" s="22">
        <v>114</v>
      </c>
      <c r="AK124" s="22">
        <v>0.47332800000000003</v>
      </c>
      <c r="AL124">
        <f t="shared" si="18"/>
        <v>16.999382716049382</v>
      </c>
      <c r="AM124">
        <f t="shared" si="19"/>
        <v>8.0592543512345678</v>
      </c>
      <c r="AP124" s="9"/>
      <c r="AQ124" s="22">
        <v>1.026</v>
      </c>
      <c r="AR124" s="22">
        <v>23.293800000000001</v>
      </c>
      <c r="AS124" s="22">
        <v>-1.33423E-2</v>
      </c>
      <c r="AT124" s="22">
        <v>114</v>
      </c>
      <c r="AU124" s="22">
        <v>1.0244800000000001</v>
      </c>
      <c r="AV124">
        <f t="shared" si="20"/>
        <v>16.471975308641973</v>
      </c>
      <c r="AW124">
        <f t="shared" si="21"/>
        <v>16.900246666666664</v>
      </c>
      <c r="AX124" s="9"/>
      <c r="AY124" s="22">
        <v>0.47409099999999998</v>
      </c>
      <c r="AZ124" s="22">
        <v>26.7102</v>
      </c>
      <c r="BA124" s="22">
        <v>-1.3736E-2</v>
      </c>
      <c r="BB124" s="22">
        <v>114</v>
      </c>
      <c r="BC124" s="22">
        <v>0.47341899999999998</v>
      </c>
      <c r="BD124">
        <f t="shared" si="22"/>
        <v>16.958024691358023</v>
      </c>
      <c r="BE124">
        <f t="shared" si="23"/>
        <v>8.039646883950617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1.0209699999999999</v>
      </c>
      <c r="H125" s="22">
        <v>6.1934899999999997</v>
      </c>
      <c r="I125" s="22">
        <v>-1.3317900000000001E-2</v>
      </c>
      <c r="J125" s="22">
        <v>115</v>
      </c>
      <c r="K125" s="22">
        <v>1.01959</v>
      </c>
      <c r="L125">
        <f t="shared" si="12"/>
        <v>16.441851851851851</v>
      </c>
      <c r="M125">
        <f t="shared" si="13"/>
        <v>16.786637485185182</v>
      </c>
      <c r="N125" s="9"/>
      <c r="O125" s="22">
        <v>0.479126</v>
      </c>
      <c r="P125" s="22">
        <v>9.6098300000000005</v>
      </c>
      <c r="Q125" s="22">
        <v>-1.37024E-2</v>
      </c>
      <c r="R125" s="22">
        <v>115</v>
      </c>
      <c r="S125" s="22">
        <v>0.47842400000000002</v>
      </c>
      <c r="T125">
        <f t="shared" si="14"/>
        <v>16.916543209876544</v>
      </c>
      <c r="U125">
        <f t="shared" si="15"/>
        <v>8.1051556819753081</v>
      </c>
      <c r="X125" s="9"/>
      <c r="Y125" s="22">
        <v>1.0209699999999999</v>
      </c>
      <c r="Z125" s="22">
        <v>14.7097</v>
      </c>
      <c r="AA125" s="22">
        <v>-1.3369799999999999E-2</v>
      </c>
      <c r="AB125" s="22">
        <v>115</v>
      </c>
      <c r="AC125" s="22">
        <v>1.02051</v>
      </c>
      <c r="AD125">
        <f t="shared" si="16"/>
        <v>16.505925925925922</v>
      </c>
      <c r="AE125">
        <f t="shared" si="17"/>
        <v>16.852055192592587</v>
      </c>
      <c r="AF125" s="9"/>
      <c r="AG125" s="22">
        <v>0.479126</v>
      </c>
      <c r="AH125" s="22">
        <v>18.126000000000001</v>
      </c>
      <c r="AI125" s="22">
        <v>-1.37512E-2</v>
      </c>
      <c r="AJ125" s="22">
        <v>115</v>
      </c>
      <c r="AK125" s="22">
        <v>0.47845500000000002</v>
      </c>
      <c r="AL125">
        <f t="shared" si="18"/>
        <v>16.976790123456787</v>
      </c>
      <c r="AM125">
        <f t="shared" si="19"/>
        <v>8.1340215446913557</v>
      </c>
      <c r="AP125" s="9"/>
      <c r="AQ125" s="22">
        <v>1.0209699999999999</v>
      </c>
      <c r="AR125" s="22">
        <v>23.303899999999999</v>
      </c>
      <c r="AS125" s="22">
        <v>-1.33484E-2</v>
      </c>
      <c r="AT125" s="22">
        <v>115</v>
      </c>
      <c r="AU125" s="22">
        <v>1.01959</v>
      </c>
      <c r="AV125">
        <f t="shared" si="20"/>
        <v>16.479506172839503</v>
      </c>
      <c r="AW125">
        <f t="shared" si="21"/>
        <v>16.825081417283947</v>
      </c>
      <c r="AX125" s="9"/>
      <c r="AY125" s="22">
        <v>0.479126</v>
      </c>
      <c r="AZ125" s="22">
        <v>26.720300000000002</v>
      </c>
      <c r="BA125" s="22">
        <v>-1.37299E-2</v>
      </c>
      <c r="BB125" s="22">
        <v>115</v>
      </c>
      <c r="BC125" s="22">
        <v>0.47839399999999999</v>
      </c>
      <c r="BD125">
        <f t="shared" si="22"/>
        <v>16.950493827160493</v>
      </c>
      <c r="BE125">
        <f t="shared" si="23"/>
        <v>8.1214223054320982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1.01593</v>
      </c>
      <c r="H126" s="22">
        <v>6.2035600000000004</v>
      </c>
      <c r="I126" s="22">
        <v>-1.3339200000000001E-2</v>
      </c>
      <c r="J126" s="22">
        <v>116</v>
      </c>
      <c r="K126" s="22">
        <v>1.01501</v>
      </c>
      <c r="L126">
        <f t="shared" si="12"/>
        <v>16.468148148148149</v>
      </c>
      <c r="M126">
        <f t="shared" si="13"/>
        <v>16.730485748148148</v>
      </c>
      <c r="N126" s="9"/>
      <c r="O126" s="22">
        <v>0.48416100000000001</v>
      </c>
      <c r="P126" s="22">
        <v>9.6199100000000008</v>
      </c>
      <c r="Q126" s="22">
        <v>-1.37024E-2</v>
      </c>
      <c r="R126" s="22">
        <v>116</v>
      </c>
      <c r="S126" s="22">
        <v>0.48348999999999998</v>
      </c>
      <c r="T126">
        <f t="shared" si="14"/>
        <v>16.916543209876544</v>
      </c>
      <c r="U126">
        <f t="shared" si="15"/>
        <v>8.1903304770370369</v>
      </c>
      <c r="X126" s="9"/>
      <c r="Y126" s="22">
        <v>1.01593</v>
      </c>
      <c r="Z126" s="22">
        <v>14.719799999999999</v>
      </c>
      <c r="AA126" s="22">
        <v>-1.3369799999999999E-2</v>
      </c>
      <c r="AB126" s="22">
        <v>116</v>
      </c>
      <c r="AC126" s="22">
        <v>1.01471</v>
      </c>
      <c r="AD126">
        <f t="shared" si="16"/>
        <v>16.505925925925922</v>
      </c>
      <c r="AE126">
        <f t="shared" si="17"/>
        <v>16.768865325925923</v>
      </c>
      <c r="AF126" s="9"/>
      <c r="AG126" s="22">
        <v>0.48416100000000001</v>
      </c>
      <c r="AH126" s="22">
        <v>18.136099999999999</v>
      </c>
      <c r="AI126" s="22">
        <v>-1.3738999999999999E-2</v>
      </c>
      <c r="AJ126" s="22">
        <v>116</v>
      </c>
      <c r="AK126" s="22">
        <v>0.48348999999999998</v>
      </c>
      <c r="AL126">
        <f t="shared" si="18"/>
        <v>16.961728395061726</v>
      </c>
      <c r="AM126">
        <f t="shared" si="19"/>
        <v>8.2122073814814804</v>
      </c>
      <c r="AP126" s="9"/>
      <c r="AQ126" s="22">
        <v>1.01593</v>
      </c>
      <c r="AR126" s="22">
        <v>23.314</v>
      </c>
      <c r="AS126" s="22">
        <v>-1.3345299999999999E-2</v>
      </c>
      <c r="AT126" s="22">
        <v>116</v>
      </c>
      <c r="AU126" s="22">
        <v>1.01471</v>
      </c>
      <c r="AV126">
        <f t="shared" si="20"/>
        <v>16.475679012345676</v>
      </c>
      <c r="AW126">
        <f t="shared" si="21"/>
        <v>16.738136579012341</v>
      </c>
      <c r="AX126" s="9"/>
      <c r="AY126" s="22">
        <v>0.48416100000000001</v>
      </c>
      <c r="AZ126" s="22">
        <v>26.7303</v>
      </c>
      <c r="BA126" s="22">
        <v>-1.3726800000000001E-2</v>
      </c>
      <c r="BB126" s="22">
        <v>116</v>
      </c>
      <c r="BC126" s="22">
        <v>0.48348999999999998</v>
      </c>
      <c r="BD126">
        <f t="shared" si="22"/>
        <v>16.946666666666665</v>
      </c>
      <c r="BE126">
        <f t="shared" si="23"/>
        <v>8.2049150799999993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1.0108900000000001</v>
      </c>
      <c r="H127" s="22">
        <v>6.2136300000000002</v>
      </c>
      <c r="I127" s="22">
        <v>-1.33545E-2</v>
      </c>
      <c r="J127" s="22">
        <v>117</v>
      </c>
      <c r="K127" s="22">
        <v>1.00983</v>
      </c>
      <c r="L127">
        <f t="shared" si="12"/>
        <v>16.487037037037037</v>
      </c>
      <c r="M127">
        <f t="shared" si="13"/>
        <v>16.666580870370371</v>
      </c>
      <c r="N127" s="9"/>
      <c r="O127" s="22">
        <v>0.48919699999999999</v>
      </c>
      <c r="P127" s="22">
        <v>9.6299799999999998</v>
      </c>
      <c r="Q127" s="22">
        <v>-1.37054E-2</v>
      </c>
      <c r="R127" s="22">
        <v>117</v>
      </c>
      <c r="S127" s="22">
        <v>0.48861700000000002</v>
      </c>
      <c r="T127">
        <f t="shared" si="14"/>
        <v>16.920246913580247</v>
      </c>
      <c r="U127">
        <f t="shared" si="15"/>
        <v>8.2773340293827165</v>
      </c>
      <c r="X127" s="9"/>
      <c r="Y127" s="22">
        <v>1.0108900000000001</v>
      </c>
      <c r="Z127" s="22">
        <v>14.729799999999999</v>
      </c>
      <c r="AA127" s="22">
        <v>-1.3369799999999999E-2</v>
      </c>
      <c r="AB127" s="22">
        <v>117</v>
      </c>
      <c r="AC127" s="22">
        <v>1.01013</v>
      </c>
      <c r="AD127">
        <f t="shared" si="16"/>
        <v>16.505925925925922</v>
      </c>
      <c r="AE127">
        <f t="shared" si="17"/>
        <v>16.685675459259258</v>
      </c>
      <c r="AF127" s="9"/>
      <c r="AG127" s="22">
        <v>0.48919699999999999</v>
      </c>
      <c r="AH127" s="22">
        <v>18.1462</v>
      </c>
      <c r="AI127" s="22">
        <v>-1.3717699999999999E-2</v>
      </c>
      <c r="AJ127" s="22">
        <v>117</v>
      </c>
      <c r="AK127" s="22">
        <v>0.48852499999999999</v>
      </c>
      <c r="AL127">
        <f t="shared" si="18"/>
        <v>16.935432098765432</v>
      </c>
      <c r="AM127">
        <f t="shared" si="19"/>
        <v>8.2847625764197534</v>
      </c>
      <c r="AP127" s="9"/>
      <c r="AQ127" s="22">
        <v>1.0108900000000001</v>
      </c>
      <c r="AR127" s="22">
        <v>23.324000000000002</v>
      </c>
      <c r="AS127" s="22">
        <v>-1.33545E-2</v>
      </c>
      <c r="AT127" s="22">
        <v>117</v>
      </c>
      <c r="AU127" s="22">
        <v>1.01044</v>
      </c>
      <c r="AV127">
        <f t="shared" si="20"/>
        <v>16.487037037037037</v>
      </c>
      <c r="AW127">
        <f t="shared" si="21"/>
        <v>16.666580870370371</v>
      </c>
      <c r="AX127" s="9"/>
      <c r="AY127" s="22">
        <v>0.48919699999999999</v>
      </c>
      <c r="AZ127" s="22">
        <v>26.740400000000001</v>
      </c>
      <c r="BA127" s="22">
        <v>-1.3726800000000001E-2</v>
      </c>
      <c r="BB127" s="22">
        <v>117</v>
      </c>
      <c r="BC127" s="22">
        <v>0.48846400000000001</v>
      </c>
      <c r="BD127">
        <f t="shared" si="22"/>
        <v>16.946666666666665</v>
      </c>
      <c r="BE127">
        <f t="shared" si="23"/>
        <v>8.290258493333333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1.00586</v>
      </c>
      <c r="H128" s="22">
        <v>6.2237</v>
      </c>
      <c r="I128" s="22">
        <v>-1.33575E-2</v>
      </c>
      <c r="J128" s="22">
        <v>118</v>
      </c>
      <c r="K128" s="22">
        <v>1.00464</v>
      </c>
      <c r="L128">
        <f t="shared" si="12"/>
        <v>16.49074074074074</v>
      </c>
      <c r="M128">
        <f t="shared" si="13"/>
        <v>16.587376481481481</v>
      </c>
      <c r="N128" s="9"/>
      <c r="O128" s="22">
        <v>0.494232</v>
      </c>
      <c r="P128" s="22">
        <v>9.6400500000000005</v>
      </c>
      <c r="Q128" s="22">
        <v>-1.37024E-2</v>
      </c>
      <c r="R128" s="22">
        <v>118</v>
      </c>
      <c r="S128" s="22">
        <v>0.49356100000000003</v>
      </c>
      <c r="T128">
        <f t="shared" si="14"/>
        <v>16.916543209876544</v>
      </c>
      <c r="U128">
        <f t="shared" si="15"/>
        <v>8.3606969837037042</v>
      </c>
      <c r="X128" s="9"/>
      <c r="Y128" s="22">
        <v>1.00586</v>
      </c>
      <c r="Z128" s="22">
        <v>14.7399</v>
      </c>
      <c r="AA128" s="22">
        <v>-1.3369799999999999E-2</v>
      </c>
      <c r="AB128" s="22">
        <v>118</v>
      </c>
      <c r="AC128" s="22">
        <v>1.0049399999999999</v>
      </c>
      <c r="AD128">
        <f t="shared" si="16"/>
        <v>16.505925925925922</v>
      </c>
      <c r="AE128">
        <f t="shared" si="17"/>
        <v>16.602650651851846</v>
      </c>
      <c r="AF128" s="9"/>
      <c r="AG128" s="22">
        <v>0.494232</v>
      </c>
      <c r="AH128" s="22">
        <v>18.156300000000002</v>
      </c>
      <c r="AI128" s="22">
        <v>-1.37085E-2</v>
      </c>
      <c r="AJ128" s="22">
        <v>118</v>
      </c>
      <c r="AK128" s="22">
        <v>0.49356100000000003</v>
      </c>
      <c r="AL128">
        <f t="shared" si="18"/>
        <v>16.924074074074074</v>
      </c>
      <c r="AM128">
        <f t="shared" si="19"/>
        <v>8.3644189777777775</v>
      </c>
      <c r="AP128" s="9"/>
      <c r="AQ128" s="22">
        <v>1.00586</v>
      </c>
      <c r="AR128" s="22">
        <v>23.334099999999999</v>
      </c>
      <c r="AS128" s="22">
        <v>-1.33545E-2</v>
      </c>
      <c r="AT128" s="22">
        <v>118</v>
      </c>
      <c r="AU128" s="22">
        <v>1.0049399999999999</v>
      </c>
      <c r="AV128">
        <f t="shared" si="20"/>
        <v>16.487037037037037</v>
      </c>
      <c r="AW128">
        <f t="shared" si="21"/>
        <v>16.583651074074073</v>
      </c>
      <c r="AX128" s="9"/>
      <c r="AY128" s="22">
        <v>0.494232</v>
      </c>
      <c r="AZ128" s="22">
        <v>26.750499999999999</v>
      </c>
      <c r="BA128" s="22">
        <v>-1.3726800000000001E-2</v>
      </c>
      <c r="BB128" s="22">
        <v>118</v>
      </c>
      <c r="BC128" s="22">
        <v>0.493591</v>
      </c>
      <c r="BD128">
        <f t="shared" si="22"/>
        <v>16.946666666666665</v>
      </c>
      <c r="BE128">
        <f t="shared" si="23"/>
        <v>8.3755849599999994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1.00082</v>
      </c>
      <c r="H129" s="22">
        <v>6.2337699999999998</v>
      </c>
      <c r="I129" s="22">
        <v>-1.33667E-2</v>
      </c>
      <c r="J129" s="22">
        <v>119</v>
      </c>
      <c r="K129" s="22">
        <v>1.00037</v>
      </c>
      <c r="L129">
        <f t="shared" si="12"/>
        <v>16.502098765432098</v>
      </c>
      <c r="M129">
        <f t="shared" si="13"/>
        <v>16.515630486419752</v>
      </c>
      <c r="N129" s="9"/>
      <c r="O129" s="22">
        <v>0.49926799999999999</v>
      </c>
      <c r="P129" s="22">
        <v>9.6501199999999994</v>
      </c>
      <c r="Q129" s="22">
        <v>-1.37085E-2</v>
      </c>
      <c r="R129" s="22">
        <v>119</v>
      </c>
      <c r="S129" s="22">
        <v>0.49859599999999998</v>
      </c>
      <c r="T129">
        <f t="shared" si="14"/>
        <v>16.924074074074074</v>
      </c>
      <c r="U129">
        <f t="shared" si="15"/>
        <v>8.449648614814814</v>
      </c>
      <c r="X129" s="9"/>
      <c r="Y129" s="22">
        <v>1.00082</v>
      </c>
      <c r="Z129" s="22">
        <v>14.75</v>
      </c>
      <c r="AA129" s="22">
        <v>-1.3369799999999999E-2</v>
      </c>
      <c r="AB129" s="22">
        <v>119</v>
      </c>
      <c r="AC129" s="22">
        <v>1.0000599999999999</v>
      </c>
      <c r="AD129">
        <f t="shared" si="16"/>
        <v>16.505925925925922</v>
      </c>
      <c r="AE129">
        <f t="shared" si="17"/>
        <v>16.519460785185181</v>
      </c>
      <c r="AF129" s="9"/>
      <c r="AG129" s="22">
        <v>0.49926799999999999</v>
      </c>
      <c r="AH129" s="22">
        <v>18.1663</v>
      </c>
      <c r="AI129" s="22">
        <v>-1.3699299999999999E-2</v>
      </c>
      <c r="AJ129" s="22">
        <v>119</v>
      </c>
      <c r="AK129" s="22">
        <v>0.49859599999999998</v>
      </c>
      <c r="AL129">
        <f t="shared" si="18"/>
        <v>16.912716049382716</v>
      </c>
      <c r="AM129">
        <f t="shared" si="19"/>
        <v>8.4439779165432096</v>
      </c>
      <c r="AP129" s="9"/>
      <c r="AQ129" s="22">
        <v>1.00082</v>
      </c>
      <c r="AR129" s="22">
        <v>23.344200000000001</v>
      </c>
      <c r="AS129" s="22">
        <v>-1.33545E-2</v>
      </c>
      <c r="AT129" s="22">
        <v>119</v>
      </c>
      <c r="AU129" s="22">
        <v>0.99945099999999998</v>
      </c>
      <c r="AV129">
        <f t="shared" si="20"/>
        <v>16.487037037037037</v>
      </c>
      <c r="AW129">
        <f t="shared" si="21"/>
        <v>16.500556407407409</v>
      </c>
      <c r="AX129" s="9"/>
      <c r="AY129" s="22">
        <v>0.49926799999999999</v>
      </c>
      <c r="AZ129" s="22">
        <v>26.7605</v>
      </c>
      <c r="BA129" s="22">
        <v>-1.3726800000000001E-2</v>
      </c>
      <c r="BB129" s="22">
        <v>119</v>
      </c>
      <c r="BC129" s="22">
        <v>0.49859599999999998</v>
      </c>
      <c r="BD129">
        <f t="shared" si="22"/>
        <v>16.946666666666665</v>
      </c>
      <c r="BE129">
        <f t="shared" si="23"/>
        <v>8.4609283733333331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0.99578900000000004</v>
      </c>
      <c r="H130" s="22">
        <v>6.2438399999999996</v>
      </c>
      <c r="I130" s="22">
        <v>-1.3382E-2</v>
      </c>
      <c r="J130" s="22">
        <v>120</v>
      </c>
      <c r="K130" s="22">
        <v>0.99487300000000001</v>
      </c>
      <c r="L130">
        <f t="shared" si="12"/>
        <v>16.520987654320987</v>
      </c>
      <c r="M130">
        <f t="shared" si="13"/>
        <v>16.451417775308641</v>
      </c>
      <c r="N130" s="9"/>
      <c r="O130" s="22">
        <v>0.50430299999999995</v>
      </c>
      <c r="P130" s="22">
        <v>9.6601900000000001</v>
      </c>
      <c r="Q130" s="22">
        <v>-1.37054E-2</v>
      </c>
      <c r="R130" s="22">
        <v>120</v>
      </c>
      <c r="S130" s="22">
        <v>0.50360099999999997</v>
      </c>
      <c r="T130">
        <f t="shared" si="14"/>
        <v>16.920246913580247</v>
      </c>
      <c r="U130">
        <f t="shared" si="15"/>
        <v>8.5329312792592589</v>
      </c>
      <c r="X130" s="9"/>
      <c r="Y130" s="22">
        <v>0.99578900000000004</v>
      </c>
      <c r="Z130" s="22">
        <v>14.76</v>
      </c>
      <c r="AA130" s="22">
        <v>-1.33759E-2</v>
      </c>
      <c r="AB130" s="22">
        <v>120</v>
      </c>
      <c r="AC130" s="22">
        <v>0.99456800000000001</v>
      </c>
      <c r="AD130">
        <f t="shared" si="16"/>
        <v>16.513456790123456</v>
      </c>
      <c r="AE130">
        <f t="shared" si="17"/>
        <v>16.443918623580245</v>
      </c>
      <c r="AF130" s="9"/>
      <c r="AG130" s="22">
        <v>0.50430299999999995</v>
      </c>
      <c r="AH130" s="22">
        <v>18.176400000000001</v>
      </c>
      <c r="AI130" s="22">
        <v>-1.37054E-2</v>
      </c>
      <c r="AJ130" s="22">
        <v>120</v>
      </c>
      <c r="AK130" s="22">
        <v>0.50363199999999997</v>
      </c>
      <c r="AL130">
        <f t="shared" si="18"/>
        <v>16.920246913580247</v>
      </c>
      <c r="AM130">
        <f t="shared" si="19"/>
        <v>8.5329312792592589</v>
      </c>
      <c r="AP130" s="9"/>
      <c r="AQ130" s="22">
        <v>0.99578900000000004</v>
      </c>
      <c r="AR130" s="22">
        <v>23.354299999999999</v>
      </c>
      <c r="AS130" s="22">
        <v>-1.33606E-2</v>
      </c>
      <c r="AT130" s="22">
        <v>120</v>
      </c>
      <c r="AU130" s="22">
        <v>0.99487300000000001</v>
      </c>
      <c r="AV130">
        <f t="shared" si="20"/>
        <v>16.494567901234568</v>
      </c>
      <c r="AW130">
        <f t="shared" si="21"/>
        <v>16.42510927580247</v>
      </c>
      <c r="AX130" s="9"/>
      <c r="AY130" s="22">
        <v>0.50430299999999995</v>
      </c>
      <c r="AZ130" s="22">
        <v>26.770600000000002</v>
      </c>
      <c r="BA130" s="22">
        <v>-1.37299E-2</v>
      </c>
      <c r="BB130" s="22">
        <v>120</v>
      </c>
      <c r="BC130" s="22">
        <v>0.50357099999999999</v>
      </c>
      <c r="BD130">
        <f t="shared" si="22"/>
        <v>16.950493827160493</v>
      </c>
      <c r="BE130">
        <f t="shared" si="23"/>
        <v>8.5481848885185165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0.99075299999999999</v>
      </c>
      <c r="H131" s="22">
        <v>6.2539100000000003</v>
      </c>
      <c r="I131" s="22">
        <v>-1.33881E-2</v>
      </c>
      <c r="J131" s="22">
        <v>121</v>
      </c>
      <c r="K131" s="22">
        <v>0.98999000000000004</v>
      </c>
      <c r="L131">
        <f t="shared" si="12"/>
        <v>16.528518518518517</v>
      </c>
      <c r="M131">
        <f t="shared" si="13"/>
        <v>16.375679307777776</v>
      </c>
      <c r="N131" s="9"/>
      <c r="O131" s="22">
        <v>0.50933799999999996</v>
      </c>
      <c r="P131" s="22">
        <v>9.6702600000000007</v>
      </c>
      <c r="Q131" s="22">
        <v>-1.37024E-2</v>
      </c>
      <c r="R131" s="22">
        <v>121</v>
      </c>
      <c r="S131" s="22">
        <v>0.508575</v>
      </c>
      <c r="T131">
        <f t="shared" si="14"/>
        <v>16.916543209876544</v>
      </c>
      <c r="U131">
        <f t="shared" si="15"/>
        <v>8.6162382854320985</v>
      </c>
      <c r="X131" s="9"/>
      <c r="Y131" s="22">
        <v>0.99075299999999999</v>
      </c>
      <c r="Z131" s="22">
        <v>14.770099999999999</v>
      </c>
      <c r="AA131" s="22">
        <v>-1.33759E-2</v>
      </c>
      <c r="AB131" s="22">
        <v>121</v>
      </c>
      <c r="AC131" s="22">
        <v>0.98968500000000004</v>
      </c>
      <c r="AD131">
        <f t="shared" si="16"/>
        <v>16.513456790123456</v>
      </c>
      <c r="AE131">
        <f t="shared" si="17"/>
        <v>16.360756855185183</v>
      </c>
      <c r="AF131" s="9"/>
      <c r="AG131" s="22">
        <v>0.50933799999999996</v>
      </c>
      <c r="AH131" s="22">
        <v>18.186499999999999</v>
      </c>
      <c r="AI131" s="22">
        <v>-1.37054E-2</v>
      </c>
      <c r="AJ131" s="22">
        <v>121</v>
      </c>
      <c r="AK131" s="22">
        <v>0.50869799999999998</v>
      </c>
      <c r="AL131">
        <f t="shared" si="18"/>
        <v>16.920246913580247</v>
      </c>
      <c r="AM131">
        <f t="shared" si="19"/>
        <v>8.6181247224691351</v>
      </c>
      <c r="AP131" s="9"/>
      <c r="AQ131" s="22">
        <v>0.99075299999999999</v>
      </c>
      <c r="AR131" s="22">
        <v>23.3643</v>
      </c>
      <c r="AS131" s="22">
        <v>-1.33636E-2</v>
      </c>
      <c r="AT131" s="22">
        <v>121</v>
      </c>
      <c r="AU131" s="22">
        <v>0.98999000000000004</v>
      </c>
      <c r="AV131">
        <f t="shared" si="20"/>
        <v>16.498271604938271</v>
      </c>
      <c r="AW131">
        <f t="shared" si="21"/>
        <v>16.345712087407406</v>
      </c>
      <c r="AX131" s="9"/>
      <c r="AY131" s="22">
        <v>0.50933799999999996</v>
      </c>
      <c r="AZ131" s="22">
        <v>26.7807</v>
      </c>
      <c r="BA131" s="22">
        <v>-1.3726800000000001E-2</v>
      </c>
      <c r="BB131" s="22">
        <v>121</v>
      </c>
      <c r="BC131" s="22">
        <v>0.50854500000000002</v>
      </c>
      <c r="BD131">
        <f t="shared" si="22"/>
        <v>16.946666666666665</v>
      </c>
      <c r="BE131">
        <f t="shared" si="23"/>
        <v>8.631581306666666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0.98571799999999998</v>
      </c>
      <c r="H132" s="22">
        <v>6.2639800000000001</v>
      </c>
      <c r="I132" s="22">
        <v>-1.33942E-2</v>
      </c>
      <c r="J132" s="22">
        <v>122</v>
      </c>
      <c r="K132" s="22">
        <v>0.98480199999999996</v>
      </c>
      <c r="L132">
        <f t="shared" si="12"/>
        <v>16.536049382716048</v>
      </c>
      <c r="M132">
        <f t="shared" si="13"/>
        <v>16.299881525432095</v>
      </c>
      <c r="N132" s="9"/>
      <c r="O132" s="22">
        <v>0.514374</v>
      </c>
      <c r="P132" s="22">
        <v>9.6803299999999997</v>
      </c>
      <c r="Q132" s="22">
        <v>-1.37054E-2</v>
      </c>
      <c r="R132" s="22">
        <v>122</v>
      </c>
      <c r="S132" s="22">
        <v>0.51364100000000001</v>
      </c>
      <c r="T132">
        <f t="shared" si="14"/>
        <v>16.920246913580247</v>
      </c>
      <c r="U132">
        <f t="shared" si="15"/>
        <v>8.7033350859259251</v>
      </c>
      <c r="X132" s="9"/>
      <c r="Y132" s="22">
        <v>0.98571799999999998</v>
      </c>
      <c r="Z132" s="22">
        <v>14.780200000000001</v>
      </c>
      <c r="AA132" s="22">
        <v>-1.3378900000000001E-2</v>
      </c>
      <c r="AB132" s="22">
        <v>122</v>
      </c>
      <c r="AC132" s="22">
        <v>0.98480199999999996</v>
      </c>
      <c r="AD132">
        <f t="shared" si="16"/>
        <v>16.517160493827159</v>
      </c>
      <c r="AE132">
        <f t="shared" si="17"/>
        <v>16.281262407654321</v>
      </c>
      <c r="AF132" s="9"/>
      <c r="AG132" s="22">
        <v>0.514374</v>
      </c>
      <c r="AH132" s="22">
        <v>18.1965</v>
      </c>
      <c r="AI132" s="22">
        <v>-1.3699299999999999E-2</v>
      </c>
      <c r="AJ132" s="22">
        <v>122</v>
      </c>
      <c r="AK132" s="22">
        <v>0.51367200000000002</v>
      </c>
      <c r="AL132">
        <f t="shared" si="18"/>
        <v>16.912716049382716</v>
      </c>
      <c r="AM132">
        <f t="shared" si="19"/>
        <v>8.6994614051851844</v>
      </c>
      <c r="AP132" s="9"/>
      <c r="AQ132" s="22">
        <v>0.98571799999999998</v>
      </c>
      <c r="AR132" s="22">
        <v>23.374400000000001</v>
      </c>
      <c r="AS132" s="22">
        <v>-1.3378900000000001E-2</v>
      </c>
      <c r="AT132" s="22">
        <v>122</v>
      </c>
      <c r="AU132" s="22">
        <v>0.98449699999999996</v>
      </c>
      <c r="AV132">
        <f t="shared" si="20"/>
        <v>16.517160493827159</v>
      </c>
      <c r="AW132">
        <f t="shared" si="21"/>
        <v>16.281262407654321</v>
      </c>
      <c r="AX132" s="9"/>
      <c r="AY132" s="22">
        <v>0.514374</v>
      </c>
      <c r="AZ132" s="22">
        <v>26.790800000000001</v>
      </c>
      <c r="BA132" s="22">
        <v>-1.3726800000000001E-2</v>
      </c>
      <c r="BB132" s="22">
        <v>122</v>
      </c>
      <c r="BC132" s="22">
        <v>0.51367200000000002</v>
      </c>
      <c r="BD132">
        <f t="shared" si="22"/>
        <v>16.946666666666665</v>
      </c>
      <c r="BE132">
        <f t="shared" si="23"/>
        <v>8.7169247199999997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0.98068200000000005</v>
      </c>
      <c r="H133" s="22">
        <v>6.2740499999999999</v>
      </c>
      <c r="I133" s="22">
        <v>-1.33972E-2</v>
      </c>
      <c r="J133" s="22">
        <v>123</v>
      </c>
      <c r="K133" s="22">
        <v>0.97930899999999999</v>
      </c>
      <c r="L133">
        <f t="shared" si="12"/>
        <v>16.539753086419751</v>
      </c>
      <c r="M133">
        <f t="shared" si="13"/>
        <v>16.220238136296295</v>
      </c>
      <c r="N133" s="9"/>
      <c r="O133" s="22">
        <v>0.51940900000000001</v>
      </c>
      <c r="P133" s="22">
        <v>9.6904000000000003</v>
      </c>
      <c r="Q133" s="22">
        <v>-1.37085E-2</v>
      </c>
      <c r="R133" s="22">
        <v>123</v>
      </c>
      <c r="S133" s="22">
        <v>0.51870700000000003</v>
      </c>
      <c r="T133">
        <f t="shared" si="14"/>
        <v>16.924074074074074</v>
      </c>
      <c r="U133">
        <f t="shared" si="15"/>
        <v>8.7905163907407413</v>
      </c>
      <c r="X133" s="9"/>
      <c r="Y133" s="22">
        <v>0.98068200000000005</v>
      </c>
      <c r="Z133" s="22">
        <v>14.7903</v>
      </c>
      <c r="AA133" s="22">
        <v>-1.3382E-2</v>
      </c>
      <c r="AB133" s="22">
        <v>123</v>
      </c>
      <c r="AC133" s="22">
        <v>0.97991899999999998</v>
      </c>
      <c r="AD133">
        <f t="shared" si="16"/>
        <v>16.520987654320987</v>
      </c>
      <c r="AE133">
        <f t="shared" si="17"/>
        <v>16.201835214814814</v>
      </c>
      <c r="AF133" s="9"/>
      <c r="AG133" s="22">
        <v>0.51940900000000001</v>
      </c>
      <c r="AH133" s="22">
        <v>18.206600000000002</v>
      </c>
      <c r="AI133" s="22">
        <v>-1.36963E-2</v>
      </c>
      <c r="AJ133" s="22">
        <v>123</v>
      </c>
      <c r="AK133" s="22">
        <v>0.51873800000000003</v>
      </c>
      <c r="AL133">
        <f t="shared" si="18"/>
        <v>16.90901234567901</v>
      </c>
      <c r="AM133">
        <f t="shared" si="19"/>
        <v>8.7826931934567884</v>
      </c>
      <c r="AP133" s="9"/>
      <c r="AQ133" s="22">
        <v>0.98068200000000005</v>
      </c>
      <c r="AR133" s="22">
        <v>23.384499999999999</v>
      </c>
      <c r="AS133" s="22">
        <v>-1.33881E-2</v>
      </c>
      <c r="AT133" s="22">
        <v>123</v>
      </c>
      <c r="AU133" s="22">
        <v>0.97930899999999999</v>
      </c>
      <c r="AV133">
        <f t="shared" si="20"/>
        <v>16.528518518518517</v>
      </c>
      <c r="AW133">
        <f t="shared" si="21"/>
        <v>16.209220597777776</v>
      </c>
      <c r="AX133" s="9"/>
      <c r="AY133" s="22">
        <v>0.51940900000000001</v>
      </c>
      <c r="AZ133" s="22">
        <v>26.800799999999999</v>
      </c>
      <c r="BA133" s="22">
        <v>-1.3732899999999999E-2</v>
      </c>
      <c r="BB133" s="22">
        <v>123</v>
      </c>
      <c r="BC133" s="22">
        <v>0.51870700000000003</v>
      </c>
      <c r="BD133">
        <f t="shared" si="22"/>
        <v>16.954197530864196</v>
      </c>
      <c r="BE133">
        <f t="shared" si="23"/>
        <v>8.8061627853086417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0.97564700000000004</v>
      </c>
      <c r="H134" s="22">
        <v>6.2841300000000002</v>
      </c>
      <c r="I134" s="22">
        <v>-1.33972E-2</v>
      </c>
      <c r="J134" s="22">
        <v>124</v>
      </c>
      <c r="K134" s="22">
        <v>0.97503700000000004</v>
      </c>
      <c r="L134">
        <f t="shared" si="12"/>
        <v>16.539753086419751</v>
      </c>
      <c r="M134">
        <f t="shared" si="13"/>
        <v>16.136960479506172</v>
      </c>
      <c r="N134" s="9"/>
      <c r="O134" s="22">
        <v>0.52444500000000005</v>
      </c>
      <c r="P134" s="22">
        <v>9.7004699999999993</v>
      </c>
      <c r="Q134" s="22">
        <v>-1.37085E-2</v>
      </c>
      <c r="R134" s="22">
        <v>124</v>
      </c>
      <c r="S134" s="22">
        <v>0.52383400000000002</v>
      </c>
      <c r="T134">
        <f t="shared" si="14"/>
        <v>16.924074074074074</v>
      </c>
      <c r="U134">
        <f t="shared" si="15"/>
        <v>8.8757460277777778</v>
      </c>
      <c r="X134" s="9"/>
      <c r="Y134" s="22">
        <v>0.97564700000000004</v>
      </c>
      <c r="Z134" s="22">
        <v>14.8003</v>
      </c>
      <c r="AA134" s="22">
        <v>-1.3378900000000001E-2</v>
      </c>
      <c r="AB134" s="22">
        <v>124</v>
      </c>
      <c r="AC134" s="22">
        <v>0.97442600000000001</v>
      </c>
      <c r="AD134">
        <f t="shared" si="16"/>
        <v>16.517160493827159</v>
      </c>
      <c r="AE134">
        <f t="shared" si="17"/>
        <v>16.114918084320987</v>
      </c>
      <c r="AF134" s="9"/>
      <c r="AG134" s="22">
        <v>0.52444500000000005</v>
      </c>
      <c r="AH134" s="22">
        <v>18.216699999999999</v>
      </c>
      <c r="AI134" s="22">
        <v>-1.36963E-2</v>
      </c>
      <c r="AJ134" s="22">
        <v>124</v>
      </c>
      <c r="AK134" s="22">
        <v>0.52371199999999996</v>
      </c>
      <c r="AL134">
        <f t="shared" si="18"/>
        <v>16.90901234567901</v>
      </c>
      <c r="AM134">
        <f t="shared" si="19"/>
        <v>8.8678469796296291</v>
      </c>
      <c r="AP134" s="9"/>
      <c r="AQ134" s="22">
        <v>0.97564700000000004</v>
      </c>
      <c r="AR134" s="22">
        <v>23.394500000000001</v>
      </c>
      <c r="AS134" s="22">
        <v>-1.33942E-2</v>
      </c>
      <c r="AT134" s="22">
        <v>124</v>
      </c>
      <c r="AU134" s="22">
        <v>0.97412100000000001</v>
      </c>
      <c r="AV134">
        <f t="shared" si="20"/>
        <v>16.536049382716048</v>
      </c>
      <c r="AW134">
        <f t="shared" si="21"/>
        <v>16.133346972098764</v>
      </c>
      <c r="AX134" s="9"/>
      <c r="AY134" s="22">
        <v>0.52444500000000005</v>
      </c>
      <c r="AZ134" s="22">
        <v>26.8109</v>
      </c>
      <c r="BA134" s="22">
        <v>-1.37451E-2</v>
      </c>
      <c r="BB134" s="22">
        <v>124</v>
      </c>
      <c r="BC134" s="22">
        <v>0.52365099999999998</v>
      </c>
      <c r="BD134">
        <f t="shared" si="22"/>
        <v>16.969259259259257</v>
      </c>
      <c r="BE134">
        <f t="shared" si="23"/>
        <v>8.899443172222222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0.97061200000000003</v>
      </c>
      <c r="H135" s="22">
        <v>6.2942</v>
      </c>
      <c r="I135" s="22">
        <v>-1.33881E-2</v>
      </c>
      <c r="J135" s="22">
        <v>125</v>
      </c>
      <c r="K135" s="22">
        <v>0.96923800000000004</v>
      </c>
      <c r="L135">
        <f t="shared" si="12"/>
        <v>16.528518518518517</v>
      </c>
      <c r="M135">
        <f t="shared" si="13"/>
        <v>16.042778416296294</v>
      </c>
      <c r="N135" s="9"/>
      <c r="O135" s="22">
        <v>0.52947999999999995</v>
      </c>
      <c r="P135" s="22">
        <v>9.7105399999999999</v>
      </c>
      <c r="Q135" s="22">
        <v>-1.37146E-2</v>
      </c>
      <c r="R135" s="22">
        <v>125</v>
      </c>
      <c r="S135" s="22">
        <v>0.52880899999999997</v>
      </c>
      <c r="T135">
        <f t="shared" si="14"/>
        <v>16.931604938271605</v>
      </c>
      <c r="U135">
        <f t="shared" si="15"/>
        <v>8.9649461827160479</v>
      </c>
      <c r="X135" s="9"/>
      <c r="Y135" s="22">
        <v>0.97061200000000003</v>
      </c>
      <c r="Z135" s="22">
        <v>14.8104</v>
      </c>
      <c r="AA135" s="22">
        <v>-1.3369799999999999E-2</v>
      </c>
      <c r="AB135" s="22">
        <v>125</v>
      </c>
      <c r="AC135" s="22">
        <v>0.96954300000000004</v>
      </c>
      <c r="AD135">
        <f t="shared" si="16"/>
        <v>16.505925925925922</v>
      </c>
      <c r="AE135">
        <f t="shared" si="17"/>
        <v>16.020849774814813</v>
      </c>
      <c r="AF135" s="9"/>
      <c r="AG135" s="22">
        <v>0.52947999999999995</v>
      </c>
      <c r="AH135" s="22">
        <v>18.226800000000001</v>
      </c>
      <c r="AI135" s="22">
        <v>-1.36963E-2</v>
      </c>
      <c r="AJ135" s="22">
        <v>125</v>
      </c>
      <c r="AK135" s="22">
        <v>0.52877799999999997</v>
      </c>
      <c r="AL135">
        <f t="shared" si="18"/>
        <v>16.90901234567901</v>
      </c>
      <c r="AM135">
        <f t="shared" si="19"/>
        <v>8.9529838567901212</v>
      </c>
      <c r="AP135" s="9"/>
      <c r="AQ135" s="22">
        <v>0.97061200000000003</v>
      </c>
      <c r="AR135" s="22">
        <v>23.404599999999999</v>
      </c>
      <c r="AS135" s="22">
        <v>-1.33972E-2</v>
      </c>
      <c r="AT135" s="22">
        <v>125</v>
      </c>
      <c r="AU135" s="22">
        <v>0.96954300000000004</v>
      </c>
      <c r="AV135">
        <f t="shared" si="20"/>
        <v>16.539753086419751</v>
      </c>
      <c r="AW135">
        <f t="shared" si="21"/>
        <v>16.053682822716048</v>
      </c>
      <c r="AX135" s="9"/>
      <c r="AY135" s="22">
        <v>0.52947999999999995</v>
      </c>
      <c r="AZ135" s="22">
        <v>26.821000000000002</v>
      </c>
      <c r="BA135" s="22">
        <v>-1.3738999999999999E-2</v>
      </c>
      <c r="BB135" s="22">
        <v>125</v>
      </c>
      <c r="BC135" s="22">
        <v>0.52871699999999999</v>
      </c>
      <c r="BD135">
        <f t="shared" si="22"/>
        <v>16.961728395061726</v>
      </c>
      <c r="BE135">
        <f t="shared" si="23"/>
        <v>8.9808959506172812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0.96557599999999999</v>
      </c>
      <c r="H136" s="22">
        <v>6.3042699999999998</v>
      </c>
      <c r="I136" s="22">
        <v>-1.3384999999999999E-2</v>
      </c>
      <c r="J136" s="22">
        <v>126</v>
      </c>
      <c r="K136" s="22">
        <v>0.96435499999999996</v>
      </c>
      <c r="L136">
        <f t="shared" si="12"/>
        <v>16.52469135802469</v>
      </c>
      <c r="M136">
        <f t="shared" si="13"/>
        <v>15.955845382716047</v>
      </c>
      <c r="N136" s="9"/>
      <c r="O136" s="22">
        <v>0.53451499999999996</v>
      </c>
      <c r="P136" s="22">
        <v>9.7206200000000003</v>
      </c>
      <c r="Q136" s="22">
        <v>-1.37238E-2</v>
      </c>
      <c r="R136" s="22">
        <v>126</v>
      </c>
      <c r="S136" s="22">
        <v>0.53381299999999998</v>
      </c>
      <c r="T136">
        <f t="shared" si="14"/>
        <v>16.942962962962962</v>
      </c>
      <c r="U136">
        <f t="shared" si="15"/>
        <v>9.0562678481481473</v>
      </c>
      <c r="X136" s="9"/>
      <c r="Y136" s="22">
        <v>0.96557599999999999</v>
      </c>
      <c r="Z136" s="22">
        <v>14.820499999999999</v>
      </c>
      <c r="AA136" s="22">
        <v>-1.33759E-2</v>
      </c>
      <c r="AB136" s="22">
        <v>126</v>
      </c>
      <c r="AC136" s="22">
        <v>0.96404999999999996</v>
      </c>
      <c r="AD136">
        <f t="shared" si="16"/>
        <v>16.513456790123456</v>
      </c>
      <c r="AE136">
        <f t="shared" si="17"/>
        <v>15.944997553580246</v>
      </c>
      <c r="AF136" s="9"/>
      <c r="AG136" s="22">
        <v>0.53451499999999996</v>
      </c>
      <c r="AH136" s="22">
        <v>18.236799999999999</v>
      </c>
      <c r="AI136" s="22">
        <v>-1.37054E-2</v>
      </c>
      <c r="AJ136" s="22">
        <v>126</v>
      </c>
      <c r="AK136" s="22">
        <v>0.53381299999999998</v>
      </c>
      <c r="AL136">
        <f t="shared" si="18"/>
        <v>16.920246913580247</v>
      </c>
      <c r="AM136">
        <f t="shared" si="19"/>
        <v>9.0441257790123455</v>
      </c>
      <c r="AP136" s="9"/>
      <c r="AQ136" s="22">
        <v>0.96557599999999999</v>
      </c>
      <c r="AR136" s="22">
        <v>23.4147</v>
      </c>
      <c r="AS136" s="22">
        <v>-1.34003E-2</v>
      </c>
      <c r="AT136" s="22">
        <v>126</v>
      </c>
      <c r="AU136" s="22">
        <v>0.96435499999999996</v>
      </c>
      <c r="AV136">
        <f t="shared" si="20"/>
        <v>16.543580246913578</v>
      </c>
      <c r="AW136">
        <f t="shared" si="21"/>
        <v>15.974084040493825</v>
      </c>
      <c r="AX136" s="9"/>
      <c r="AY136" s="22">
        <v>0.53451499999999996</v>
      </c>
      <c r="AZ136" s="22">
        <v>26.831</v>
      </c>
      <c r="BA136" s="22">
        <v>-1.3732899999999999E-2</v>
      </c>
      <c r="BB136" s="22">
        <v>126</v>
      </c>
      <c r="BC136" s="22">
        <v>0.53363000000000005</v>
      </c>
      <c r="BD136">
        <f t="shared" si="22"/>
        <v>16.954197530864196</v>
      </c>
      <c r="BE136">
        <f t="shared" si="23"/>
        <v>9.0622728932098742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0.96054099999999998</v>
      </c>
      <c r="H137" s="22">
        <v>6.3143399999999996</v>
      </c>
      <c r="I137" s="22">
        <v>-1.3384999999999999E-2</v>
      </c>
      <c r="J137" s="22">
        <v>127</v>
      </c>
      <c r="K137" s="22">
        <v>0.95947300000000002</v>
      </c>
      <c r="L137">
        <f t="shared" si="12"/>
        <v>16.52469135802469</v>
      </c>
      <c r="M137">
        <f t="shared" si="13"/>
        <v>15.872643561728394</v>
      </c>
      <c r="N137" s="9"/>
      <c r="O137" s="22">
        <v>0.539551</v>
      </c>
      <c r="P137" s="22">
        <v>9.7306899999999992</v>
      </c>
      <c r="Q137" s="22">
        <v>-1.3720700000000001E-2</v>
      </c>
      <c r="R137" s="22">
        <v>127</v>
      </c>
      <c r="S137" s="22">
        <v>0.53884900000000002</v>
      </c>
      <c r="T137">
        <f t="shared" si="14"/>
        <v>16.939135802469135</v>
      </c>
      <c r="U137">
        <f t="shared" si="15"/>
        <v>9.1395276613580236</v>
      </c>
      <c r="X137" s="9"/>
      <c r="Y137" s="22">
        <v>0.96054099999999998</v>
      </c>
      <c r="Z137" s="22">
        <v>14.830500000000001</v>
      </c>
      <c r="AA137" s="22">
        <v>-1.3384999999999999E-2</v>
      </c>
      <c r="AB137" s="22">
        <v>127</v>
      </c>
      <c r="AC137" s="22">
        <v>0.95947300000000002</v>
      </c>
      <c r="AD137">
        <f t="shared" si="16"/>
        <v>16.52469135802469</v>
      </c>
      <c r="AE137">
        <f t="shared" si="17"/>
        <v>15.872643561728394</v>
      </c>
      <c r="AF137" s="9"/>
      <c r="AG137" s="22">
        <v>0.539551</v>
      </c>
      <c r="AH137" s="22">
        <v>18.2469</v>
      </c>
      <c r="AI137" s="22">
        <v>-1.37024E-2</v>
      </c>
      <c r="AJ137" s="22">
        <v>127</v>
      </c>
      <c r="AK137" s="22">
        <v>0.53881800000000002</v>
      </c>
      <c r="AL137">
        <f t="shared" si="18"/>
        <v>16.916543209876544</v>
      </c>
      <c r="AM137">
        <f t="shared" si="19"/>
        <v>9.1273378054320986</v>
      </c>
      <c r="AP137" s="9"/>
      <c r="AQ137" s="22">
        <v>0.96054099999999998</v>
      </c>
      <c r="AR137" s="22">
        <v>23.424800000000001</v>
      </c>
      <c r="AS137" s="22">
        <v>-1.33942E-2</v>
      </c>
      <c r="AT137" s="22">
        <v>127</v>
      </c>
      <c r="AU137" s="22">
        <v>0.95886199999999999</v>
      </c>
      <c r="AV137">
        <f t="shared" si="20"/>
        <v>16.536049382716048</v>
      </c>
      <c r="AW137">
        <f t="shared" si="21"/>
        <v>15.883553410123454</v>
      </c>
      <c r="AX137" s="9"/>
      <c r="AY137" s="22">
        <v>0.539551</v>
      </c>
      <c r="AZ137" s="22">
        <v>26.841100000000001</v>
      </c>
      <c r="BA137" s="22">
        <v>-1.3720700000000001E-2</v>
      </c>
      <c r="BB137" s="22">
        <v>127</v>
      </c>
      <c r="BC137" s="22">
        <v>0.53881800000000002</v>
      </c>
      <c r="BD137">
        <f t="shared" si="22"/>
        <v>16.939135802469135</v>
      </c>
      <c r="BE137">
        <f t="shared" si="23"/>
        <v>9.1395276613580236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0.95550500000000005</v>
      </c>
      <c r="H138" s="22">
        <v>6.3244100000000003</v>
      </c>
      <c r="I138" s="22">
        <v>-1.33942E-2</v>
      </c>
      <c r="J138" s="22">
        <v>128</v>
      </c>
      <c r="K138" s="22">
        <v>0.95428500000000005</v>
      </c>
      <c r="L138">
        <f t="shared" si="12"/>
        <v>16.536049382716048</v>
      </c>
      <c r="M138">
        <f t="shared" si="13"/>
        <v>15.800277865432097</v>
      </c>
      <c r="N138" s="9"/>
      <c r="O138" s="22">
        <v>0.54458600000000001</v>
      </c>
      <c r="P138" s="22">
        <v>9.7407599999999999</v>
      </c>
      <c r="Q138" s="22">
        <v>-1.37085E-2</v>
      </c>
      <c r="R138" s="22">
        <v>128</v>
      </c>
      <c r="S138" s="22">
        <v>0.54391500000000004</v>
      </c>
      <c r="T138">
        <f t="shared" si="14"/>
        <v>16.924074074074074</v>
      </c>
      <c r="U138">
        <f t="shared" si="15"/>
        <v>9.2166138037037033</v>
      </c>
      <c r="X138" s="9"/>
      <c r="Y138" s="22">
        <v>0.95550500000000005</v>
      </c>
      <c r="Z138" s="22">
        <v>14.8406</v>
      </c>
      <c r="AA138" s="22">
        <v>-1.34003E-2</v>
      </c>
      <c r="AB138" s="22">
        <v>128</v>
      </c>
      <c r="AC138" s="22">
        <v>0.95489500000000005</v>
      </c>
      <c r="AD138">
        <f t="shared" si="16"/>
        <v>16.543580246913578</v>
      </c>
      <c r="AE138">
        <f t="shared" si="17"/>
        <v>15.807473643827159</v>
      </c>
      <c r="AF138" s="9"/>
      <c r="AG138" s="22">
        <v>0.54458600000000001</v>
      </c>
      <c r="AH138" s="22">
        <v>18.257000000000001</v>
      </c>
      <c r="AI138" s="22">
        <v>-1.3684099999999999E-2</v>
      </c>
      <c r="AJ138" s="22">
        <v>128</v>
      </c>
      <c r="AK138" s="22">
        <v>0.54388400000000003</v>
      </c>
      <c r="AL138">
        <f t="shared" si="18"/>
        <v>16.893950617283949</v>
      </c>
      <c r="AM138">
        <f t="shared" si="19"/>
        <v>9.200208990864196</v>
      </c>
      <c r="AP138" s="9"/>
      <c r="AQ138" s="22">
        <v>0.95550500000000005</v>
      </c>
      <c r="AR138" s="22">
        <v>23.434799999999999</v>
      </c>
      <c r="AS138" s="22">
        <v>-1.34003E-2</v>
      </c>
      <c r="AT138" s="22">
        <v>128</v>
      </c>
      <c r="AU138" s="22">
        <v>0.95459000000000005</v>
      </c>
      <c r="AV138">
        <f t="shared" si="20"/>
        <v>16.543580246913578</v>
      </c>
      <c r="AW138">
        <f t="shared" si="21"/>
        <v>15.807473643827159</v>
      </c>
      <c r="AX138" s="9"/>
      <c r="AY138" s="22">
        <v>0.54458600000000001</v>
      </c>
      <c r="AZ138" s="22">
        <v>26.851199999999999</v>
      </c>
      <c r="BA138" s="22">
        <v>-1.37115E-2</v>
      </c>
      <c r="BB138" s="22">
        <v>128</v>
      </c>
      <c r="BC138" s="22">
        <v>0.54382299999999995</v>
      </c>
      <c r="BD138">
        <f t="shared" si="22"/>
        <v>16.927777777777777</v>
      </c>
      <c r="BE138">
        <f t="shared" si="23"/>
        <v>9.2186307888888894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0.95047000000000004</v>
      </c>
      <c r="H139" s="22">
        <v>6.3344800000000001</v>
      </c>
      <c r="I139" s="22">
        <v>-1.34094E-2</v>
      </c>
      <c r="J139" s="22">
        <v>129</v>
      </c>
      <c r="K139" s="22">
        <v>0.94909699999999997</v>
      </c>
      <c r="L139">
        <f t="shared" si="12"/>
        <v>16.554814814814815</v>
      </c>
      <c r="M139">
        <f t="shared" si="13"/>
        <v>15.734854837037037</v>
      </c>
      <c r="N139" s="9"/>
      <c r="O139" s="22">
        <v>0.54962200000000005</v>
      </c>
      <c r="P139" s="22">
        <v>9.7508300000000006</v>
      </c>
      <c r="Q139" s="22">
        <v>-1.37024E-2</v>
      </c>
      <c r="R139" s="22">
        <v>129</v>
      </c>
      <c r="S139" s="22">
        <v>0.54888899999999996</v>
      </c>
      <c r="T139">
        <f t="shared" si="14"/>
        <v>16.916543209876544</v>
      </c>
      <c r="U139">
        <f t="shared" si="15"/>
        <v>9.2977043120987659</v>
      </c>
      <c r="X139" s="9"/>
      <c r="Y139" s="22">
        <v>0.95047000000000004</v>
      </c>
      <c r="Z139" s="22">
        <v>14.8507</v>
      </c>
      <c r="AA139" s="22">
        <v>-1.34033E-2</v>
      </c>
      <c r="AB139" s="22">
        <v>129</v>
      </c>
      <c r="AC139" s="22">
        <v>0.94970699999999997</v>
      </c>
      <c r="AD139">
        <f t="shared" si="16"/>
        <v>16.547283950617281</v>
      </c>
      <c r="AE139">
        <f t="shared" si="17"/>
        <v>15.727696976543207</v>
      </c>
      <c r="AF139" s="9"/>
      <c r="AG139" s="22">
        <v>0.54962200000000005</v>
      </c>
      <c r="AH139" s="22">
        <v>18.266999999999999</v>
      </c>
      <c r="AI139" s="22">
        <v>-1.36749E-2</v>
      </c>
      <c r="AJ139" s="22">
        <v>129</v>
      </c>
      <c r="AK139" s="22">
        <v>0.54891999999999996</v>
      </c>
      <c r="AL139">
        <f t="shared" si="18"/>
        <v>16.882592592592591</v>
      </c>
      <c r="AM139">
        <f t="shared" si="19"/>
        <v>9.2790443059259253</v>
      </c>
      <c r="AP139" s="9"/>
      <c r="AQ139" s="22">
        <v>0.95047000000000004</v>
      </c>
      <c r="AR139" s="22">
        <v>23.444900000000001</v>
      </c>
      <c r="AS139" s="22">
        <v>-1.3406400000000001E-2</v>
      </c>
      <c r="AT139" s="22">
        <v>129</v>
      </c>
      <c r="AU139" s="22">
        <v>0.94909699999999997</v>
      </c>
      <c r="AV139">
        <f t="shared" si="20"/>
        <v>16.551111111111108</v>
      </c>
      <c r="AW139">
        <f t="shared" si="21"/>
        <v>15.731334577777776</v>
      </c>
      <c r="AX139" s="9"/>
      <c r="AY139" s="22">
        <v>0.54962200000000005</v>
      </c>
      <c r="AZ139" s="22">
        <v>26.8612</v>
      </c>
      <c r="BA139" s="22">
        <v>-1.37024E-2</v>
      </c>
      <c r="BB139" s="22">
        <v>129</v>
      </c>
      <c r="BC139" s="22">
        <v>0.54898100000000005</v>
      </c>
      <c r="BD139">
        <f t="shared" si="22"/>
        <v>16.916543209876544</v>
      </c>
      <c r="BE139">
        <f t="shared" si="23"/>
        <v>9.2977043120987659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0.94543500000000003</v>
      </c>
      <c r="H140" s="22">
        <v>6.3445499999999999</v>
      </c>
      <c r="I140" s="22">
        <v>-1.3418599999999999E-2</v>
      </c>
      <c r="J140" s="22">
        <v>130</v>
      </c>
      <c r="K140" s="22">
        <v>0.944519</v>
      </c>
      <c r="L140">
        <f t="shared" ref="L140:L203" si="24">-I140/$F$2*1000</f>
        <v>16.566172839506169</v>
      </c>
      <c r="M140">
        <f t="shared" ref="M140:M203" si="25">L140*G140</f>
        <v>15.662239618518516</v>
      </c>
      <c r="N140" s="9"/>
      <c r="O140" s="22">
        <v>0.55465699999999996</v>
      </c>
      <c r="P140" s="22">
        <v>9.7608999999999995</v>
      </c>
      <c r="Q140" s="22">
        <v>-1.36963E-2</v>
      </c>
      <c r="R140" s="22">
        <v>130</v>
      </c>
      <c r="S140" s="22">
        <v>0.55398599999999998</v>
      </c>
      <c r="T140">
        <f t="shared" ref="T140:T203" si="26">-Q140/$F$2*1000</f>
        <v>16.90901234567901</v>
      </c>
      <c r="U140">
        <f t="shared" ref="U140:U203" si="27">T140*O140</f>
        <v>9.3787020606172824</v>
      </c>
      <c r="X140" s="9"/>
      <c r="Y140" s="22">
        <v>0.94543500000000003</v>
      </c>
      <c r="Z140" s="22">
        <v>14.860799999999999</v>
      </c>
      <c r="AA140" s="22">
        <v>-1.34033E-2</v>
      </c>
      <c r="AB140" s="22">
        <v>130</v>
      </c>
      <c r="AC140" s="22">
        <v>0.944519</v>
      </c>
      <c r="AD140">
        <f t="shared" ref="AD140:AD203" si="28">-AA140/$F$2*1000</f>
        <v>16.547283950617281</v>
      </c>
      <c r="AE140">
        <f t="shared" ref="AE140:AE203" si="29">AD140*Y140</f>
        <v>15.644381401851849</v>
      </c>
      <c r="AF140" s="9"/>
      <c r="AG140" s="22">
        <v>0.55465699999999996</v>
      </c>
      <c r="AH140" s="22">
        <v>18.277100000000001</v>
      </c>
      <c r="AI140" s="22">
        <v>-1.3677999999999999E-2</v>
      </c>
      <c r="AJ140" s="22">
        <v>130</v>
      </c>
      <c r="AK140" s="22">
        <v>0.553894</v>
      </c>
      <c r="AL140">
        <f t="shared" ref="AL140:AL203" si="30">-AI140/$F$2*1000</f>
        <v>16.886419753086418</v>
      </c>
      <c r="AM140">
        <f t="shared" ref="AM140:AM203" si="31">AL140*AG140</f>
        <v>9.3661709209876527</v>
      </c>
      <c r="AP140" s="9"/>
      <c r="AQ140" s="22">
        <v>0.94543500000000003</v>
      </c>
      <c r="AR140" s="22">
        <v>23.454999999999998</v>
      </c>
      <c r="AS140" s="22">
        <v>-1.3412500000000001E-2</v>
      </c>
      <c r="AT140" s="22">
        <v>130</v>
      </c>
      <c r="AU140" s="22">
        <v>0.944824</v>
      </c>
      <c r="AV140">
        <f t="shared" ref="AV140:AV203" si="32">-AS140/$F$2*1000</f>
        <v>16.558641975308642</v>
      </c>
      <c r="AW140">
        <f t="shared" ref="AW140:AW203" si="33">AV140*AQ140</f>
        <v>15.655119675925928</v>
      </c>
      <c r="AX140" s="9"/>
      <c r="AY140" s="22">
        <v>0.55465699999999996</v>
      </c>
      <c r="AZ140" s="22">
        <v>26.871300000000002</v>
      </c>
      <c r="BA140" s="22">
        <v>-1.3687100000000001E-2</v>
      </c>
      <c r="BB140" s="22">
        <v>130</v>
      </c>
      <c r="BC140" s="22">
        <v>0.55386400000000002</v>
      </c>
      <c r="BD140">
        <f t="shared" ref="BD140:BD203" si="34">-BA140/$F$2*1000</f>
        <v>16.897654320987655</v>
      </c>
      <c r="BE140">
        <f t="shared" ref="BE140:BE203" si="35">BD140*AY140</f>
        <v>9.37240225271605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0.94039899999999998</v>
      </c>
      <c r="H141" s="22">
        <v>6.3546199999999997</v>
      </c>
      <c r="I141" s="22">
        <v>-1.3427700000000001E-2</v>
      </c>
      <c r="J141" s="22">
        <v>131</v>
      </c>
      <c r="K141" s="22">
        <v>0.93963600000000003</v>
      </c>
      <c r="L141">
        <f t="shared" si="24"/>
        <v>16.57740740740741</v>
      </c>
      <c r="M141">
        <f t="shared" si="25"/>
        <v>15.589377348518521</v>
      </c>
      <c r="N141" s="9"/>
      <c r="O141" s="22">
        <v>0.55969199999999997</v>
      </c>
      <c r="P141" s="22">
        <v>9.7709700000000002</v>
      </c>
      <c r="Q141" s="22">
        <v>-1.37024E-2</v>
      </c>
      <c r="R141" s="22">
        <v>131</v>
      </c>
      <c r="S141" s="22">
        <v>0.55889900000000003</v>
      </c>
      <c r="T141">
        <f t="shared" si="26"/>
        <v>16.916543209876544</v>
      </c>
      <c r="U141">
        <f t="shared" si="27"/>
        <v>9.4680539022222217</v>
      </c>
      <c r="X141" s="9"/>
      <c r="Y141" s="22">
        <v>0.94039899999999998</v>
      </c>
      <c r="Z141" s="22">
        <v>14.870799999999999</v>
      </c>
      <c r="AA141" s="22">
        <v>-1.3412500000000001E-2</v>
      </c>
      <c r="AB141" s="22">
        <v>131</v>
      </c>
      <c r="AC141" s="22">
        <v>0.93902600000000003</v>
      </c>
      <c r="AD141">
        <f t="shared" si="28"/>
        <v>16.558641975308642</v>
      </c>
      <c r="AE141">
        <f t="shared" si="29"/>
        <v>15.571730354938271</v>
      </c>
      <c r="AF141" s="9"/>
      <c r="AG141" s="22">
        <v>0.55969199999999997</v>
      </c>
      <c r="AH141" s="22">
        <v>18.287199999999999</v>
      </c>
      <c r="AI141" s="22">
        <v>-1.36627E-2</v>
      </c>
      <c r="AJ141" s="22">
        <v>131</v>
      </c>
      <c r="AK141" s="22">
        <v>0.55896000000000001</v>
      </c>
      <c r="AL141">
        <f t="shared" si="30"/>
        <v>16.86753086419753</v>
      </c>
      <c r="AM141">
        <f t="shared" si="31"/>
        <v>9.4406220844444437</v>
      </c>
      <c r="AP141" s="9"/>
      <c r="AQ141" s="22">
        <v>0.94039899999999998</v>
      </c>
      <c r="AR141" s="22">
        <v>23.465</v>
      </c>
      <c r="AS141" s="22">
        <v>-1.3418599999999999E-2</v>
      </c>
      <c r="AT141" s="22">
        <v>131</v>
      </c>
      <c r="AU141" s="22">
        <v>0.93963600000000003</v>
      </c>
      <c r="AV141">
        <f t="shared" si="32"/>
        <v>16.566172839506169</v>
      </c>
      <c r="AW141">
        <f t="shared" si="33"/>
        <v>15.578812372098762</v>
      </c>
      <c r="AX141" s="9"/>
      <c r="AY141" s="22">
        <v>0.55969199999999997</v>
      </c>
      <c r="AZ141" s="22">
        <v>26.881399999999999</v>
      </c>
      <c r="BA141" s="22">
        <v>-1.3671900000000001E-2</v>
      </c>
      <c r="BB141" s="22">
        <v>131</v>
      </c>
      <c r="BC141" s="22">
        <v>0.55908199999999997</v>
      </c>
      <c r="BD141">
        <f t="shared" si="34"/>
        <v>16.878888888888888</v>
      </c>
      <c r="BE141">
        <f t="shared" si="35"/>
        <v>9.4469790799999984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0.93536399999999997</v>
      </c>
      <c r="H142" s="22">
        <v>6.3646900000000004</v>
      </c>
      <c r="I142" s="22">
        <v>-1.3433799999999999E-2</v>
      </c>
      <c r="J142" s="22">
        <v>132</v>
      </c>
      <c r="K142" s="22">
        <v>0.93444799999999995</v>
      </c>
      <c r="L142">
        <f t="shared" si="24"/>
        <v>16.584938271604937</v>
      </c>
      <c r="M142">
        <f t="shared" si="25"/>
        <v>15.512954201481479</v>
      </c>
      <c r="N142" s="9"/>
      <c r="O142" s="22">
        <v>0.56472800000000001</v>
      </c>
      <c r="P142" s="22">
        <v>9.7810400000000008</v>
      </c>
      <c r="Q142" s="22">
        <v>-1.37085E-2</v>
      </c>
      <c r="R142" s="22">
        <v>132</v>
      </c>
      <c r="S142" s="22">
        <v>0.56402600000000003</v>
      </c>
      <c r="T142">
        <f t="shared" si="26"/>
        <v>16.924074074074074</v>
      </c>
      <c r="U142">
        <f t="shared" si="27"/>
        <v>9.5574985037037035</v>
      </c>
      <c r="X142" s="9"/>
      <c r="Y142" s="22">
        <v>0.93536399999999997</v>
      </c>
      <c r="Z142" s="22">
        <v>14.8809</v>
      </c>
      <c r="AA142" s="22">
        <v>-1.3421600000000001E-2</v>
      </c>
      <c r="AB142" s="22">
        <v>132</v>
      </c>
      <c r="AC142" s="22">
        <v>0.93414299999999995</v>
      </c>
      <c r="AD142">
        <f t="shared" si="28"/>
        <v>16.569876543209876</v>
      </c>
      <c r="AE142">
        <f t="shared" si="29"/>
        <v>15.498866002962963</v>
      </c>
      <c r="AF142" s="9"/>
      <c r="AG142" s="22">
        <v>0.56472800000000001</v>
      </c>
      <c r="AH142" s="22">
        <v>18.2972</v>
      </c>
      <c r="AI142" s="22">
        <v>-1.36566E-2</v>
      </c>
      <c r="AJ142" s="22">
        <v>132</v>
      </c>
      <c r="AK142" s="22">
        <v>0.56396500000000005</v>
      </c>
      <c r="AL142">
        <f t="shared" si="30"/>
        <v>16.86</v>
      </c>
      <c r="AM142">
        <f t="shared" si="31"/>
        <v>9.5213140799999998</v>
      </c>
      <c r="AP142" s="9"/>
      <c r="AQ142" s="22">
        <v>0.93536399999999997</v>
      </c>
      <c r="AR142" s="22">
        <v>23.475100000000001</v>
      </c>
      <c r="AS142" s="22">
        <v>-1.3418599999999999E-2</v>
      </c>
      <c r="AT142" s="22">
        <v>132</v>
      </c>
      <c r="AU142" s="22">
        <v>0.93444799999999995</v>
      </c>
      <c r="AV142">
        <f t="shared" si="32"/>
        <v>16.566172839506169</v>
      </c>
      <c r="AW142">
        <f t="shared" si="33"/>
        <v>15.495401691851848</v>
      </c>
      <c r="AX142" s="9"/>
      <c r="AY142" s="22">
        <v>0.56472800000000001</v>
      </c>
      <c r="AZ142" s="22">
        <v>26.891500000000001</v>
      </c>
      <c r="BA142" s="22">
        <v>-1.36627E-2</v>
      </c>
      <c r="BB142" s="22">
        <v>132</v>
      </c>
      <c r="BC142" s="22">
        <v>0.56411699999999998</v>
      </c>
      <c r="BD142">
        <f t="shared" si="34"/>
        <v>16.86753086419753</v>
      </c>
      <c r="BE142">
        <f t="shared" si="35"/>
        <v>9.5255669698765431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0.93032800000000004</v>
      </c>
      <c r="H143" s="22">
        <v>6.3747600000000002</v>
      </c>
      <c r="I143" s="22">
        <v>-1.34491E-2</v>
      </c>
      <c r="J143" s="22">
        <v>133</v>
      </c>
      <c r="K143" s="22">
        <v>0.92956499999999997</v>
      </c>
      <c r="L143">
        <f t="shared" si="24"/>
        <v>16.603827160493829</v>
      </c>
      <c r="M143">
        <f t="shared" si="25"/>
        <v>15.447005314567903</v>
      </c>
      <c r="N143" s="9"/>
      <c r="O143" s="22">
        <v>0.56976300000000002</v>
      </c>
      <c r="P143" s="22">
        <v>9.7911099999999998</v>
      </c>
      <c r="Q143" s="22">
        <v>-1.37115E-2</v>
      </c>
      <c r="R143" s="22">
        <v>133</v>
      </c>
      <c r="S143" s="22">
        <v>0.56903099999999995</v>
      </c>
      <c r="T143">
        <f t="shared" si="26"/>
        <v>16.927777777777777</v>
      </c>
      <c r="U143">
        <f t="shared" si="27"/>
        <v>9.6448214500000002</v>
      </c>
      <c r="X143" s="9"/>
      <c r="Y143" s="22">
        <v>0.93032800000000004</v>
      </c>
      <c r="Z143" s="22">
        <v>14.891</v>
      </c>
      <c r="AA143" s="22">
        <v>-1.3439899999999999E-2</v>
      </c>
      <c r="AB143" s="22">
        <v>133</v>
      </c>
      <c r="AC143" s="22">
        <v>0.92925999999999997</v>
      </c>
      <c r="AD143">
        <f t="shared" si="28"/>
        <v>16.592469135802467</v>
      </c>
      <c r="AE143">
        <f t="shared" si="29"/>
        <v>15.436438626172839</v>
      </c>
      <c r="AF143" s="9"/>
      <c r="AG143" s="22">
        <v>0.56976300000000002</v>
      </c>
      <c r="AH143" s="22">
        <v>18.307300000000001</v>
      </c>
      <c r="AI143" s="22">
        <v>-1.36475E-2</v>
      </c>
      <c r="AJ143" s="22">
        <v>133</v>
      </c>
      <c r="AK143" s="22">
        <v>0.56909200000000004</v>
      </c>
      <c r="AL143">
        <f t="shared" si="30"/>
        <v>16.848765432098766</v>
      </c>
      <c r="AM143">
        <f t="shared" si="31"/>
        <v>9.5998031388888894</v>
      </c>
      <c r="AP143" s="9"/>
      <c r="AQ143" s="22">
        <v>0.93032800000000004</v>
      </c>
      <c r="AR143" s="22">
        <v>23.485199999999999</v>
      </c>
      <c r="AS143" s="22">
        <v>-1.34155E-2</v>
      </c>
      <c r="AT143" s="22">
        <v>133</v>
      </c>
      <c r="AU143" s="22">
        <v>0.92925999999999997</v>
      </c>
      <c r="AV143">
        <f t="shared" si="32"/>
        <v>16.562345679012346</v>
      </c>
      <c r="AW143">
        <f t="shared" si="33"/>
        <v>15.408413930864198</v>
      </c>
      <c r="AX143" s="9"/>
      <c r="AY143" s="22">
        <v>0.56976300000000002</v>
      </c>
      <c r="AZ143" s="22">
        <v>26.901499999999999</v>
      </c>
      <c r="BA143" s="22">
        <v>-1.36566E-2</v>
      </c>
      <c r="BB143" s="22">
        <v>133</v>
      </c>
      <c r="BC143" s="22">
        <v>0.56903099999999995</v>
      </c>
      <c r="BD143">
        <f t="shared" si="34"/>
        <v>16.86</v>
      </c>
      <c r="BE143">
        <f t="shared" si="35"/>
        <v>9.6062041800000006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0.92529300000000003</v>
      </c>
      <c r="H144" s="22">
        <v>6.3848399999999996</v>
      </c>
      <c r="I144" s="22">
        <v>-1.3473499999999999E-2</v>
      </c>
      <c r="J144" s="22">
        <v>134</v>
      </c>
      <c r="K144" s="22">
        <v>0.924377</v>
      </c>
      <c r="L144">
        <f t="shared" si="24"/>
        <v>16.633950617283947</v>
      </c>
      <c r="M144">
        <f t="shared" si="25"/>
        <v>15.391278068518515</v>
      </c>
      <c r="N144" s="9"/>
      <c r="O144" s="22">
        <v>0.57479899999999995</v>
      </c>
      <c r="P144" s="22">
        <v>9.8011800000000004</v>
      </c>
      <c r="Q144" s="22">
        <v>-1.37115E-2</v>
      </c>
      <c r="R144" s="22">
        <v>134</v>
      </c>
      <c r="S144" s="22">
        <v>0.57412700000000005</v>
      </c>
      <c r="T144">
        <f t="shared" si="26"/>
        <v>16.927777777777777</v>
      </c>
      <c r="U144">
        <f t="shared" si="27"/>
        <v>9.7300697388888882</v>
      </c>
      <c r="X144" s="9"/>
      <c r="Y144" s="22">
        <v>0.92529300000000003</v>
      </c>
      <c r="Z144" s="22">
        <v>14.901</v>
      </c>
      <c r="AA144" s="22">
        <v>-1.34552E-2</v>
      </c>
      <c r="AB144" s="22">
        <v>134</v>
      </c>
      <c r="AC144" s="22">
        <v>0.92498800000000003</v>
      </c>
      <c r="AD144">
        <f t="shared" si="28"/>
        <v>16.611358024691356</v>
      </c>
      <c r="AE144">
        <f t="shared" si="29"/>
        <v>15.37037330074074</v>
      </c>
      <c r="AF144" s="9"/>
      <c r="AG144" s="22">
        <v>0.57479899999999995</v>
      </c>
      <c r="AH144" s="22">
        <v>18.317399999999999</v>
      </c>
      <c r="AI144" s="22">
        <v>-1.36353E-2</v>
      </c>
      <c r="AJ144" s="22">
        <v>134</v>
      </c>
      <c r="AK144" s="22">
        <v>0.57409699999999997</v>
      </c>
      <c r="AL144">
        <f t="shared" si="30"/>
        <v>16.833703703703701</v>
      </c>
      <c r="AM144">
        <f t="shared" si="31"/>
        <v>9.6759960551851822</v>
      </c>
      <c r="AP144" s="9"/>
      <c r="AQ144" s="22">
        <v>0.92529300000000003</v>
      </c>
      <c r="AR144" s="22">
        <v>23.4953</v>
      </c>
      <c r="AS144" s="22">
        <v>-1.3427700000000001E-2</v>
      </c>
      <c r="AT144" s="22">
        <v>134</v>
      </c>
      <c r="AU144" s="22">
        <v>0.924072</v>
      </c>
      <c r="AV144">
        <f t="shared" si="32"/>
        <v>16.57740740740741</v>
      </c>
      <c r="AW144">
        <f t="shared" si="33"/>
        <v>15.338959032222226</v>
      </c>
      <c r="AX144" s="9"/>
      <c r="AY144" s="22">
        <v>0.57479899999999995</v>
      </c>
      <c r="AZ144" s="22">
        <v>26.9116</v>
      </c>
      <c r="BA144" s="22">
        <v>-1.36536E-2</v>
      </c>
      <c r="BB144" s="22">
        <v>134</v>
      </c>
      <c r="BC144" s="22">
        <v>0.57409699999999997</v>
      </c>
      <c r="BD144">
        <f t="shared" si="34"/>
        <v>16.856296296296296</v>
      </c>
      <c r="BE144">
        <f t="shared" si="35"/>
        <v>9.6889822548148139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0.92025800000000002</v>
      </c>
      <c r="H145" s="22">
        <v>6.3949100000000003</v>
      </c>
      <c r="I145" s="22">
        <v>-1.34857E-2</v>
      </c>
      <c r="J145" s="22">
        <v>135</v>
      </c>
      <c r="K145" s="22">
        <v>0.91888400000000003</v>
      </c>
      <c r="L145">
        <f t="shared" si="24"/>
        <v>16.649012345679012</v>
      </c>
      <c r="M145">
        <f t="shared" si="25"/>
        <v>15.321386803209876</v>
      </c>
      <c r="N145" s="9"/>
      <c r="O145" s="22">
        <v>0.57983399999999996</v>
      </c>
      <c r="P145" s="22">
        <v>9.8112499999999994</v>
      </c>
      <c r="Q145" s="22">
        <v>-1.37115E-2</v>
      </c>
      <c r="R145" s="22">
        <v>135</v>
      </c>
      <c r="S145" s="22">
        <v>0.579071</v>
      </c>
      <c r="T145">
        <f t="shared" si="26"/>
        <v>16.927777777777777</v>
      </c>
      <c r="U145">
        <f t="shared" si="27"/>
        <v>9.8153010999999992</v>
      </c>
      <c r="X145" s="9"/>
      <c r="Y145" s="22">
        <v>0.92025800000000002</v>
      </c>
      <c r="Z145" s="22">
        <v>14.911099999999999</v>
      </c>
      <c r="AA145" s="22">
        <v>-1.3467399999999999E-2</v>
      </c>
      <c r="AB145" s="22">
        <v>135</v>
      </c>
      <c r="AC145" s="22">
        <v>0.91949499999999995</v>
      </c>
      <c r="AD145">
        <f t="shared" si="28"/>
        <v>16.626419753086417</v>
      </c>
      <c r="AE145">
        <f t="shared" si="29"/>
        <v>15.3005957891358</v>
      </c>
      <c r="AF145" s="9"/>
      <c r="AG145" s="22">
        <v>0.57983399999999996</v>
      </c>
      <c r="AH145" s="22">
        <v>18.327500000000001</v>
      </c>
      <c r="AI145" s="22">
        <v>-1.3629199999999999E-2</v>
      </c>
      <c r="AJ145" s="22">
        <v>135</v>
      </c>
      <c r="AK145" s="22">
        <v>0.57910200000000001</v>
      </c>
      <c r="AL145">
        <f t="shared" si="30"/>
        <v>16.826172839506171</v>
      </c>
      <c r="AM145">
        <f t="shared" si="31"/>
        <v>9.7563871022222202</v>
      </c>
      <c r="AP145" s="9"/>
      <c r="AQ145" s="22">
        <v>0.92025800000000002</v>
      </c>
      <c r="AR145" s="22">
        <v>23.505299999999998</v>
      </c>
      <c r="AS145" s="22">
        <v>-1.3443E-2</v>
      </c>
      <c r="AT145" s="22">
        <v>135</v>
      </c>
      <c r="AU145" s="22">
        <v>0.91918900000000003</v>
      </c>
      <c r="AV145">
        <f t="shared" si="32"/>
        <v>16.596296296296295</v>
      </c>
      <c r="AW145">
        <f t="shared" si="33"/>
        <v>15.272874437037036</v>
      </c>
      <c r="AX145" s="9"/>
      <c r="AY145" s="22">
        <v>0.57983399999999996</v>
      </c>
      <c r="AZ145" s="22">
        <v>26.921700000000001</v>
      </c>
      <c r="BA145" s="22">
        <v>-1.3650499999999999E-2</v>
      </c>
      <c r="BB145" s="22">
        <v>135</v>
      </c>
      <c r="BC145" s="22">
        <v>0.57910200000000001</v>
      </c>
      <c r="BD145">
        <f t="shared" si="34"/>
        <v>16.852469135802469</v>
      </c>
      <c r="BE145">
        <f t="shared" si="35"/>
        <v>9.7716345888888885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0.91522199999999998</v>
      </c>
      <c r="H146" s="22">
        <v>6.4049800000000001</v>
      </c>
      <c r="I146" s="22">
        <v>-1.3494900000000001E-2</v>
      </c>
      <c r="J146" s="22">
        <v>136</v>
      </c>
      <c r="K146" s="22">
        <v>0.91430699999999998</v>
      </c>
      <c r="L146">
        <f t="shared" si="24"/>
        <v>16.660370370370369</v>
      </c>
      <c r="M146">
        <f t="shared" si="25"/>
        <v>15.247937491111109</v>
      </c>
      <c r="N146" s="9"/>
      <c r="O146" s="22">
        <v>0.58486899999999997</v>
      </c>
      <c r="P146" s="22">
        <v>9.8213299999999997</v>
      </c>
      <c r="Q146" s="22">
        <v>-1.37085E-2</v>
      </c>
      <c r="R146" s="22">
        <v>136</v>
      </c>
      <c r="S146" s="22">
        <v>0.58407600000000004</v>
      </c>
      <c r="T146">
        <f t="shared" si="26"/>
        <v>16.924074074074074</v>
      </c>
      <c r="U146">
        <f t="shared" si="27"/>
        <v>9.898366279629629</v>
      </c>
      <c r="X146" s="9"/>
      <c r="Y146" s="22">
        <v>0.91522199999999998</v>
      </c>
      <c r="Z146" s="22">
        <v>14.921200000000001</v>
      </c>
      <c r="AA146" s="22">
        <v>-1.3473499999999999E-2</v>
      </c>
      <c r="AB146" s="22">
        <v>136</v>
      </c>
      <c r="AC146" s="22">
        <v>0.91491699999999998</v>
      </c>
      <c r="AD146">
        <f t="shared" si="28"/>
        <v>16.633950617283947</v>
      </c>
      <c r="AE146">
        <f t="shared" si="29"/>
        <v>15.223757551851849</v>
      </c>
      <c r="AF146" s="9"/>
      <c r="AG146" s="22">
        <v>0.58486899999999997</v>
      </c>
      <c r="AH146" s="22">
        <v>18.337499999999999</v>
      </c>
      <c r="AI146" s="22">
        <v>-1.36261E-2</v>
      </c>
      <c r="AJ146" s="22">
        <v>136</v>
      </c>
      <c r="AK146" s="22">
        <v>0.584198</v>
      </c>
      <c r="AL146">
        <f t="shared" si="30"/>
        <v>16.822345679012344</v>
      </c>
      <c r="AM146">
        <f t="shared" si="31"/>
        <v>9.8388684949382696</v>
      </c>
      <c r="AP146" s="9"/>
      <c r="AQ146" s="22">
        <v>0.91522199999999998</v>
      </c>
      <c r="AR146" s="22">
        <v>23.5154</v>
      </c>
      <c r="AS146" s="22">
        <v>-1.34491E-2</v>
      </c>
      <c r="AT146" s="22">
        <v>136</v>
      </c>
      <c r="AU146" s="22">
        <v>0.91430699999999998</v>
      </c>
      <c r="AV146">
        <f t="shared" si="32"/>
        <v>16.603827160493829</v>
      </c>
      <c r="AW146">
        <f t="shared" si="33"/>
        <v>15.196187901481483</v>
      </c>
      <c r="AX146" s="9"/>
      <c r="AY146" s="22">
        <v>0.58486899999999997</v>
      </c>
      <c r="AZ146" s="22">
        <v>26.931699999999999</v>
      </c>
      <c r="BA146" s="22">
        <v>-1.36414E-2</v>
      </c>
      <c r="BB146" s="22">
        <v>136</v>
      </c>
      <c r="BC146" s="22">
        <v>0.58416699999999999</v>
      </c>
      <c r="BD146">
        <f t="shared" si="34"/>
        <v>16.841234567901232</v>
      </c>
      <c r="BE146">
        <f t="shared" si="35"/>
        <v>9.8499160204938256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0.91018699999999997</v>
      </c>
      <c r="H147" s="22">
        <v>6.4150499999999999</v>
      </c>
      <c r="I147" s="22">
        <v>-1.34857E-2</v>
      </c>
      <c r="J147" s="22">
        <v>137</v>
      </c>
      <c r="K147" s="22">
        <v>0.90942400000000001</v>
      </c>
      <c r="L147">
        <f t="shared" si="24"/>
        <v>16.649012345679012</v>
      </c>
      <c r="M147">
        <f t="shared" si="25"/>
        <v>15.153714599876542</v>
      </c>
      <c r="N147" s="9"/>
      <c r="O147" s="22">
        <v>0.58990500000000001</v>
      </c>
      <c r="P147" s="22">
        <v>9.8314000000000004</v>
      </c>
      <c r="Q147" s="22">
        <v>-1.3699299999999999E-2</v>
      </c>
      <c r="R147" s="22">
        <v>137</v>
      </c>
      <c r="S147" s="22">
        <v>0.58923300000000001</v>
      </c>
      <c r="T147">
        <f t="shared" si="26"/>
        <v>16.912716049382716</v>
      </c>
      <c r="U147">
        <f t="shared" si="27"/>
        <v>9.9768957611111109</v>
      </c>
      <c r="X147" s="9"/>
      <c r="Y147" s="22">
        <v>0.91018699999999997</v>
      </c>
      <c r="Z147" s="22">
        <v>14.9313</v>
      </c>
      <c r="AA147" s="22">
        <v>-1.3473499999999999E-2</v>
      </c>
      <c r="AB147" s="22">
        <v>137</v>
      </c>
      <c r="AC147" s="22">
        <v>0.90942400000000001</v>
      </c>
      <c r="AD147">
        <f t="shared" si="28"/>
        <v>16.633950617283947</v>
      </c>
      <c r="AE147">
        <f t="shared" si="29"/>
        <v>15.140005610493823</v>
      </c>
      <c r="AF147" s="9"/>
      <c r="AG147" s="22">
        <v>0.58990500000000001</v>
      </c>
      <c r="AH147" s="22">
        <v>18.3476</v>
      </c>
      <c r="AI147" s="22">
        <v>-1.3629199999999999E-2</v>
      </c>
      <c r="AJ147" s="22">
        <v>137</v>
      </c>
      <c r="AK147" s="22">
        <v>0.58923300000000001</v>
      </c>
      <c r="AL147">
        <f t="shared" si="30"/>
        <v>16.826172839506171</v>
      </c>
      <c r="AM147">
        <f t="shared" si="31"/>
        <v>9.9258434888888871</v>
      </c>
      <c r="AP147" s="9"/>
      <c r="AQ147" s="22">
        <v>0.91018699999999997</v>
      </c>
      <c r="AR147" s="22">
        <v>23.525500000000001</v>
      </c>
      <c r="AS147" s="22">
        <v>-1.34521E-2</v>
      </c>
      <c r="AT147" s="22">
        <v>137</v>
      </c>
      <c r="AU147" s="22">
        <v>0.90911900000000001</v>
      </c>
      <c r="AV147">
        <f t="shared" si="32"/>
        <v>16.607530864197528</v>
      </c>
      <c r="AW147">
        <f t="shared" si="33"/>
        <v>15.115958694691356</v>
      </c>
      <c r="AX147" s="9"/>
      <c r="AY147" s="22">
        <v>0.58990500000000001</v>
      </c>
      <c r="AZ147" s="22">
        <v>26.941800000000001</v>
      </c>
      <c r="BA147" s="22">
        <v>-1.3650499999999999E-2</v>
      </c>
      <c r="BB147" s="22">
        <v>137</v>
      </c>
      <c r="BC147" s="22">
        <v>0.58932499999999999</v>
      </c>
      <c r="BD147">
        <f t="shared" si="34"/>
        <v>16.852469135802469</v>
      </c>
      <c r="BE147">
        <f t="shared" si="35"/>
        <v>9.9413558055555562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0.90515100000000004</v>
      </c>
      <c r="H148" s="22">
        <v>6.4251199999999997</v>
      </c>
      <c r="I148" s="22">
        <v>-1.34827E-2</v>
      </c>
      <c r="J148" s="22">
        <v>138</v>
      </c>
      <c r="K148" s="22">
        <v>0.90484600000000004</v>
      </c>
      <c r="L148">
        <f t="shared" si="24"/>
        <v>16.645308641975308</v>
      </c>
      <c r="M148">
        <f t="shared" si="25"/>
        <v>15.066517762592593</v>
      </c>
      <c r="N148" s="9"/>
      <c r="O148" s="22">
        <v>0.59494000000000002</v>
      </c>
      <c r="P148" s="22">
        <v>9.8414699999999993</v>
      </c>
      <c r="Q148" s="22">
        <v>-1.3693200000000001E-2</v>
      </c>
      <c r="R148" s="22">
        <v>138</v>
      </c>
      <c r="S148" s="22">
        <v>0.59417699999999996</v>
      </c>
      <c r="T148">
        <f t="shared" si="26"/>
        <v>16.905185185185186</v>
      </c>
      <c r="U148">
        <f t="shared" si="27"/>
        <v>10.057570874074075</v>
      </c>
      <c r="X148" s="9"/>
      <c r="Y148" s="22">
        <v>0.90515100000000004</v>
      </c>
      <c r="Z148" s="22">
        <v>14.9413</v>
      </c>
      <c r="AA148" s="22">
        <v>-1.3473499999999999E-2</v>
      </c>
      <c r="AB148" s="22">
        <v>138</v>
      </c>
      <c r="AC148" s="22">
        <v>0.90423600000000004</v>
      </c>
      <c r="AD148">
        <f t="shared" si="28"/>
        <v>16.633950617283947</v>
      </c>
      <c r="AE148">
        <f t="shared" si="29"/>
        <v>15.056237035185182</v>
      </c>
      <c r="AF148" s="9"/>
      <c r="AG148" s="22">
        <v>0.59494000000000002</v>
      </c>
      <c r="AH148" s="22">
        <v>18.357700000000001</v>
      </c>
      <c r="AI148" s="22">
        <v>-1.36353E-2</v>
      </c>
      <c r="AJ148" s="22">
        <v>138</v>
      </c>
      <c r="AK148" s="22">
        <v>0.59417699999999996</v>
      </c>
      <c r="AL148">
        <f t="shared" si="30"/>
        <v>16.833703703703701</v>
      </c>
      <c r="AM148">
        <f t="shared" si="31"/>
        <v>10.015043681481481</v>
      </c>
      <c r="AP148" s="9"/>
      <c r="AQ148" s="22">
        <v>0.90515100000000004</v>
      </c>
      <c r="AR148" s="22">
        <v>23.535499999999999</v>
      </c>
      <c r="AS148" s="22">
        <v>-1.34552E-2</v>
      </c>
      <c r="AT148" s="22">
        <v>138</v>
      </c>
      <c r="AU148" s="22">
        <v>0.90393100000000004</v>
      </c>
      <c r="AV148">
        <f t="shared" si="32"/>
        <v>16.611358024691356</v>
      </c>
      <c r="AW148">
        <f t="shared" si="33"/>
        <v>15.035787327407405</v>
      </c>
      <c r="AX148" s="9"/>
      <c r="AY148" s="22">
        <v>0.59494000000000002</v>
      </c>
      <c r="AZ148" s="22">
        <v>26.951899999999998</v>
      </c>
      <c r="BA148" s="22">
        <v>-1.36566E-2</v>
      </c>
      <c r="BB148" s="22">
        <v>138</v>
      </c>
      <c r="BC148" s="22">
        <v>0.59420799999999996</v>
      </c>
      <c r="BD148">
        <f t="shared" si="34"/>
        <v>16.86</v>
      </c>
      <c r="BE148">
        <f t="shared" si="35"/>
        <v>10.030688400000001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0.90011600000000003</v>
      </c>
      <c r="H149" s="22">
        <v>6.4351900000000004</v>
      </c>
      <c r="I149" s="22">
        <v>-1.34857E-2</v>
      </c>
      <c r="J149" s="22">
        <v>139</v>
      </c>
      <c r="K149" s="22">
        <v>0.89965799999999996</v>
      </c>
      <c r="L149">
        <f t="shared" si="24"/>
        <v>16.649012345679012</v>
      </c>
      <c r="M149">
        <f t="shared" si="25"/>
        <v>14.98604239654321</v>
      </c>
      <c r="N149" s="9"/>
      <c r="O149" s="22">
        <v>0.59997599999999995</v>
      </c>
      <c r="P149" s="22">
        <v>9.85154</v>
      </c>
      <c r="Q149" s="22">
        <v>-1.3687100000000001E-2</v>
      </c>
      <c r="R149" s="22">
        <v>139</v>
      </c>
      <c r="S149" s="22">
        <v>0.59927399999999997</v>
      </c>
      <c r="T149">
        <f t="shared" si="26"/>
        <v>16.897654320987655</v>
      </c>
      <c r="U149">
        <f t="shared" si="27"/>
        <v>10.138187048888888</v>
      </c>
      <c r="X149" s="9"/>
      <c r="Y149" s="22">
        <v>0.90011600000000003</v>
      </c>
      <c r="Z149" s="22">
        <v>14.9514</v>
      </c>
      <c r="AA149" s="22">
        <v>-1.34766E-2</v>
      </c>
      <c r="AB149" s="22">
        <v>139</v>
      </c>
      <c r="AC149" s="22">
        <v>0.89935299999999996</v>
      </c>
      <c r="AD149">
        <f t="shared" si="28"/>
        <v>16.637777777777774</v>
      </c>
      <c r="AE149">
        <f t="shared" si="29"/>
        <v>14.975929982222219</v>
      </c>
      <c r="AF149" s="9"/>
      <c r="AG149" s="22">
        <v>0.59997599999999995</v>
      </c>
      <c r="AH149" s="22">
        <v>18.367699999999999</v>
      </c>
      <c r="AI149" s="22">
        <v>-1.36353E-2</v>
      </c>
      <c r="AJ149" s="22">
        <v>139</v>
      </c>
      <c r="AK149" s="22">
        <v>0.59933499999999995</v>
      </c>
      <c r="AL149">
        <f t="shared" si="30"/>
        <v>16.833703703703701</v>
      </c>
      <c r="AM149">
        <f t="shared" si="31"/>
        <v>10.099818213333331</v>
      </c>
      <c r="AP149" s="9"/>
      <c r="AQ149" s="22">
        <v>0.90011600000000003</v>
      </c>
      <c r="AR149" s="22">
        <v>23.5456</v>
      </c>
      <c r="AS149" s="22">
        <v>-1.34552E-2</v>
      </c>
      <c r="AT149" s="22">
        <v>139</v>
      </c>
      <c r="AU149" s="22">
        <v>0.89904799999999996</v>
      </c>
      <c r="AV149">
        <f t="shared" si="32"/>
        <v>16.611358024691356</v>
      </c>
      <c r="AW149">
        <f t="shared" si="33"/>
        <v>14.952149139753084</v>
      </c>
      <c r="AX149" s="9"/>
      <c r="AY149" s="22">
        <v>0.59997599999999995</v>
      </c>
      <c r="AZ149" s="22">
        <v>26.962</v>
      </c>
      <c r="BA149" s="22">
        <v>-1.36566E-2</v>
      </c>
      <c r="BB149" s="22">
        <v>139</v>
      </c>
      <c r="BC149" s="22">
        <v>0.59924299999999997</v>
      </c>
      <c r="BD149">
        <f t="shared" si="34"/>
        <v>16.86</v>
      </c>
      <c r="BE149">
        <f t="shared" si="35"/>
        <v>10.115595359999999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0.89508100000000002</v>
      </c>
      <c r="H150" s="22">
        <v>6.4452600000000002</v>
      </c>
      <c r="I150" s="22">
        <v>-1.34918E-2</v>
      </c>
      <c r="J150" s="22">
        <v>140</v>
      </c>
      <c r="K150" s="22">
        <v>0.89416499999999999</v>
      </c>
      <c r="L150">
        <f t="shared" si="24"/>
        <v>16.656543209876542</v>
      </c>
      <c r="M150">
        <f t="shared" si="25"/>
        <v>14.908955352839506</v>
      </c>
      <c r="N150" s="9"/>
      <c r="O150" s="22">
        <v>0.60501099999999997</v>
      </c>
      <c r="P150" s="22">
        <v>9.8616100000000007</v>
      </c>
      <c r="Q150" s="22">
        <v>-1.3677999999999999E-2</v>
      </c>
      <c r="R150" s="22">
        <v>140</v>
      </c>
      <c r="S150" s="22">
        <v>0.60424800000000001</v>
      </c>
      <c r="T150">
        <f t="shared" si="26"/>
        <v>16.886419753086418</v>
      </c>
      <c r="U150">
        <f t="shared" si="27"/>
        <v>10.216469701234566</v>
      </c>
      <c r="X150" s="9"/>
      <c r="Y150" s="22">
        <v>0.89508100000000002</v>
      </c>
      <c r="Z150" s="22">
        <v>14.961499999999999</v>
      </c>
      <c r="AA150" s="22">
        <v>-1.34827E-2</v>
      </c>
      <c r="AB150" s="22">
        <v>140</v>
      </c>
      <c r="AC150" s="22">
        <v>0.89355499999999999</v>
      </c>
      <c r="AD150">
        <f t="shared" si="28"/>
        <v>16.645308641975308</v>
      </c>
      <c r="AE150">
        <f t="shared" si="29"/>
        <v>14.8988995045679</v>
      </c>
      <c r="AF150" s="9"/>
      <c r="AG150" s="22">
        <v>0.60501099999999997</v>
      </c>
      <c r="AH150" s="22">
        <v>18.377800000000001</v>
      </c>
      <c r="AI150" s="22">
        <v>-1.3629199999999999E-2</v>
      </c>
      <c r="AJ150" s="22">
        <v>140</v>
      </c>
      <c r="AK150" s="22">
        <v>0.60430899999999999</v>
      </c>
      <c r="AL150">
        <f t="shared" si="30"/>
        <v>16.826172839506171</v>
      </c>
      <c r="AM150">
        <f t="shared" si="31"/>
        <v>10.180019655802468</v>
      </c>
      <c r="AP150" s="9"/>
      <c r="AQ150" s="22">
        <v>0.89508100000000002</v>
      </c>
      <c r="AR150" s="22">
        <v>23.555700000000002</v>
      </c>
      <c r="AS150" s="22">
        <v>-1.34521E-2</v>
      </c>
      <c r="AT150" s="22">
        <v>140</v>
      </c>
      <c r="AU150" s="22">
        <v>0.89355499999999999</v>
      </c>
      <c r="AV150">
        <f t="shared" si="32"/>
        <v>16.607530864197528</v>
      </c>
      <c r="AW150">
        <f t="shared" si="33"/>
        <v>14.865085333456788</v>
      </c>
      <c r="AX150" s="9"/>
      <c r="AY150" s="22">
        <v>0.60501099999999997</v>
      </c>
      <c r="AZ150" s="22">
        <v>26.972000000000001</v>
      </c>
      <c r="BA150" s="22">
        <v>-1.3650499999999999E-2</v>
      </c>
      <c r="BB150" s="22">
        <v>140</v>
      </c>
      <c r="BC150" s="22">
        <v>0.60427900000000001</v>
      </c>
      <c r="BD150">
        <f t="shared" si="34"/>
        <v>16.852469135802469</v>
      </c>
      <c r="BE150">
        <f t="shared" si="35"/>
        <v>10.195929204320986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0.89004499999999998</v>
      </c>
      <c r="H151" s="22">
        <v>6.45533</v>
      </c>
      <c r="I151" s="22">
        <v>-1.3507099999999999E-2</v>
      </c>
      <c r="J151" s="22">
        <v>141</v>
      </c>
      <c r="K151" s="22">
        <v>0.88958700000000002</v>
      </c>
      <c r="L151">
        <f t="shared" si="24"/>
        <v>16.67543209876543</v>
      </c>
      <c r="M151">
        <f t="shared" si="25"/>
        <v>14.841884962345677</v>
      </c>
      <c r="N151" s="9"/>
      <c r="O151" s="22">
        <v>0.61004599999999998</v>
      </c>
      <c r="P151" s="22">
        <v>9.8716799999999996</v>
      </c>
      <c r="Q151" s="22">
        <v>-1.3677999999999999E-2</v>
      </c>
      <c r="R151" s="22">
        <v>141</v>
      </c>
      <c r="S151" s="22">
        <v>0.609344</v>
      </c>
      <c r="T151">
        <f t="shared" si="26"/>
        <v>16.886419753086418</v>
      </c>
      <c r="U151">
        <f t="shared" si="27"/>
        <v>10.301492824691357</v>
      </c>
      <c r="X151" s="9"/>
      <c r="Y151" s="22">
        <v>0.89004499999999998</v>
      </c>
      <c r="Z151" s="22">
        <v>14.971500000000001</v>
      </c>
      <c r="AA151" s="22">
        <v>-1.34766E-2</v>
      </c>
      <c r="AB151" s="22">
        <v>141</v>
      </c>
      <c r="AC151" s="22">
        <v>0.88897700000000002</v>
      </c>
      <c r="AD151">
        <f t="shared" si="28"/>
        <v>16.637777777777774</v>
      </c>
      <c r="AE151">
        <f t="shared" si="29"/>
        <v>14.808370922222219</v>
      </c>
      <c r="AF151" s="9"/>
      <c r="AG151" s="22">
        <v>0.61004599999999998</v>
      </c>
      <c r="AH151" s="22">
        <v>18.387899999999998</v>
      </c>
      <c r="AI151" s="22">
        <v>-1.3623E-2</v>
      </c>
      <c r="AJ151" s="22">
        <v>141</v>
      </c>
      <c r="AK151" s="22">
        <v>0.60943599999999998</v>
      </c>
      <c r="AL151">
        <f t="shared" si="30"/>
        <v>16.818518518518516</v>
      </c>
      <c r="AM151">
        <f t="shared" si="31"/>
        <v>10.260069948148146</v>
      </c>
      <c r="AP151" s="9"/>
      <c r="AQ151" s="22">
        <v>0.89004499999999998</v>
      </c>
      <c r="AR151" s="22">
        <v>23.565799999999999</v>
      </c>
      <c r="AS151" s="22">
        <v>-1.3467399999999999E-2</v>
      </c>
      <c r="AT151" s="22">
        <v>141</v>
      </c>
      <c r="AU151" s="22">
        <v>0.88928200000000002</v>
      </c>
      <c r="AV151">
        <f t="shared" si="32"/>
        <v>16.626419753086417</v>
      </c>
      <c r="AW151">
        <f t="shared" si="33"/>
        <v>14.798261769135799</v>
      </c>
      <c r="AX151" s="9"/>
      <c r="AY151" s="22">
        <v>0.61004599999999998</v>
      </c>
      <c r="AZ151" s="22">
        <v>26.982099999999999</v>
      </c>
      <c r="BA151" s="22">
        <v>-1.3650499999999999E-2</v>
      </c>
      <c r="BB151" s="22">
        <v>141</v>
      </c>
      <c r="BC151" s="22">
        <v>0.60931400000000002</v>
      </c>
      <c r="BD151">
        <f t="shared" si="34"/>
        <v>16.852469135802469</v>
      </c>
      <c r="BE151">
        <f t="shared" si="35"/>
        <v>10.280781386419752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0.88500999999999996</v>
      </c>
      <c r="H152" s="22">
        <v>6.4653999999999998</v>
      </c>
      <c r="I152" s="22">
        <v>-1.35132E-2</v>
      </c>
      <c r="J152" s="22">
        <v>142</v>
      </c>
      <c r="K152" s="22">
        <v>0.88378900000000005</v>
      </c>
      <c r="L152">
        <f t="shared" si="24"/>
        <v>16.682962962962961</v>
      </c>
      <c r="M152">
        <f t="shared" si="25"/>
        <v>14.76458905185185</v>
      </c>
      <c r="N152" s="9"/>
      <c r="O152" s="22">
        <v>0.61508200000000002</v>
      </c>
      <c r="P152" s="22">
        <v>9.8817500000000003</v>
      </c>
      <c r="Q152" s="22">
        <v>-1.36749E-2</v>
      </c>
      <c r="R152" s="22">
        <v>142</v>
      </c>
      <c r="S152" s="22">
        <v>0.61428799999999995</v>
      </c>
      <c r="T152">
        <f t="shared" si="26"/>
        <v>16.882592592592591</v>
      </c>
      <c r="U152">
        <f t="shared" si="27"/>
        <v>10.384178817037036</v>
      </c>
      <c r="X152" s="9"/>
      <c r="Y152" s="22">
        <v>0.88500999999999996</v>
      </c>
      <c r="Z152" s="22">
        <v>14.9816</v>
      </c>
      <c r="AA152" s="22">
        <v>-1.34796E-2</v>
      </c>
      <c r="AB152" s="22">
        <v>142</v>
      </c>
      <c r="AC152" s="22">
        <v>0.88409400000000005</v>
      </c>
      <c r="AD152">
        <f t="shared" si="28"/>
        <v>16.641481481481478</v>
      </c>
      <c r="AE152">
        <f t="shared" si="29"/>
        <v>14.727877525925923</v>
      </c>
      <c r="AF152" s="9"/>
      <c r="AG152" s="22">
        <v>0.61508200000000002</v>
      </c>
      <c r="AH152" s="22">
        <v>18.398</v>
      </c>
      <c r="AI152" s="22">
        <v>-1.36078E-2</v>
      </c>
      <c r="AJ152" s="22">
        <v>142</v>
      </c>
      <c r="AK152" s="22">
        <v>0.61434900000000003</v>
      </c>
      <c r="AL152">
        <f t="shared" si="30"/>
        <v>16.799753086419752</v>
      </c>
      <c r="AM152">
        <f t="shared" si="31"/>
        <v>10.333225727901235</v>
      </c>
      <c r="AP152" s="9"/>
      <c r="AQ152" s="22">
        <v>0.88500999999999996</v>
      </c>
      <c r="AR152" s="22">
        <v>23.575800000000001</v>
      </c>
      <c r="AS152" s="22">
        <v>-1.34857E-2</v>
      </c>
      <c r="AT152" s="22">
        <v>142</v>
      </c>
      <c r="AU152" s="22">
        <v>0.88409400000000005</v>
      </c>
      <c r="AV152">
        <f t="shared" si="32"/>
        <v>16.649012345679012</v>
      </c>
      <c r="AW152">
        <f t="shared" si="33"/>
        <v>14.734542416049381</v>
      </c>
      <c r="AX152" s="9"/>
      <c r="AY152" s="22">
        <v>0.61508200000000002</v>
      </c>
      <c r="AZ152" s="22">
        <v>26.9922</v>
      </c>
      <c r="BA152" s="22">
        <v>-1.36536E-2</v>
      </c>
      <c r="BB152" s="22">
        <v>142</v>
      </c>
      <c r="BC152" s="22">
        <v>0.61438000000000004</v>
      </c>
      <c r="BD152">
        <f t="shared" si="34"/>
        <v>16.856296296296296</v>
      </c>
      <c r="BE152">
        <f t="shared" si="35"/>
        <v>10.368004438518518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0.87997400000000003</v>
      </c>
      <c r="H153" s="22">
        <v>6.4754699999999996</v>
      </c>
      <c r="I153" s="22">
        <v>-1.3507099999999999E-2</v>
      </c>
      <c r="J153" s="22">
        <v>143</v>
      </c>
      <c r="K153" s="22">
        <v>0.87921099999999996</v>
      </c>
      <c r="L153">
        <f t="shared" si="24"/>
        <v>16.67543209876543</v>
      </c>
      <c r="M153">
        <f t="shared" si="25"/>
        <v>14.673946685679011</v>
      </c>
      <c r="N153" s="9"/>
      <c r="O153" s="22">
        <v>0.62011700000000003</v>
      </c>
      <c r="P153" s="22">
        <v>9.8918199999999992</v>
      </c>
      <c r="Q153" s="22">
        <v>-1.3677999999999999E-2</v>
      </c>
      <c r="R153" s="22">
        <v>143</v>
      </c>
      <c r="S153" s="22">
        <v>0.61941500000000005</v>
      </c>
      <c r="T153">
        <f t="shared" si="26"/>
        <v>16.886419753086418</v>
      </c>
      <c r="U153">
        <f t="shared" si="27"/>
        <v>10.471555958024691</v>
      </c>
      <c r="X153" s="9"/>
      <c r="Y153" s="22">
        <v>0.87997400000000003</v>
      </c>
      <c r="Z153" s="22">
        <v>14.9917</v>
      </c>
      <c r="AA153" s="22">
        <v>-1.34888E-2</v>
      </c>
      <c r="AB153" s="22">
        <v>143</v>
      </c>
      <c r="AC153" s="22">
        <v>0.87890599999999997</v>
      </c>
      <c r="AD153">
        <f t="shared" si="28"/>
        <v>16.652839506172839</v>
      </c>
      <c r="AE153">
        <f t="shared" si="29"/>
        <v>14.654065791604939</v>
      </c>
      <c r="AF153" s="9"/>
      <c r="AG153" s="22">
        <v>0.62011700000000003</v>
      </c>
      <c r="AH153" s="22">
        <v>18.408000000000001</v>
      </c>
      <c r="AI153" s="22">
        <v>-1.35925E-2</v>
      </c>
      <c r="AJ153" s="22">
        <v>143</v>
      </c>
      <c r="AK153" s="22">
        <v>0.61944600000000005</v>
      </c>
      <c r="AL153">
        <f t="shared" si="30"/>
        <v>16.780864197530864</v>
      </c>
      <c r="AM153">
        <f t="shared" si="31"/>
        <v>10.406099163580247</v>
      </c>
      <c r="AP153" s="9"/>
      <c r="AQ153" s="22">
        <v>0.87997400000000003</v>
      </c>
      <c r="AR153" s="22">
        <v>23.585899999999999</v>
      </c>
      <c r="AS153" s="22">
        <v>-1.34979E-2</v>
      </c>
      <c r="AT153" s="22">
        <v>143</v>
      </c>
      <c r="AU153" s="22">
        <v>0.87951699999999999</v>
      </c>
      <c r="AV153">
        <f t="shared" si="32"/>
        <v>16.664074074074072</v>
      </c>
      <c r="AW153">
        <f t="shared" si="33"/>
        <v>14.663951919259258</v>
      </c>
      <c r="AX153" s="9"/>
      <c r="AY153" s="22">
        <v>0.62011700000000003</v>
      </c>
      <c r="AZ153" s="22">
        <v>27.002199999999998</v>
      </c>
      <c r="BA153" s="22">
        <v>-1.3650499999999999E-2</v>
      </c>
      <c r="BB153" s="22">
        <v>143</v>
      </c>
      <c r="BC153" s="22">
        <v>0.61938499999999996</v>
      </c>
      <c r="BD153">
        <f t="shared" si="34"/>
        <v>16.852469135802469</v>
      </c>
      <c r="BE153">
        <f t="shared" si="35"/>
        <v>10.45050260308642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0.87493900000000002</v>
      </c>
      <c r="H154" s="22">
        <v>6.4855499999999999</v>
      </c>
      <c r="I154" s="22">
        <v>-1.3510100000000001E-2</v>
      </c>
      <c r="J154" s="22">
        <v>144</v>
      </c>
      <c r="K154" s="22">
        <v>0.87402299999999999</v>
      </c>
      <c r="L154">
        <f t="shared" si="24"/>
        <v>16.679135802469133</v>
      </c>
      <c r="M154">
        <f t="shared" si="25"/>
        <v>14.593226399876542</v>
      </c>
      <c r="N154" s="9"/>
      <c r="O154" s="22">
        <v>0.62515299999999996</v>
      </c>
      <c r="P154" s="22">
        <v>9.9018899999999999</v>
      </c>
      <c r="Q154" s="22">
        <v>-1.3671900000000001E-2</v>
      </c>
      <c r="R154" s="22">
        <v>144</v>
      </c>
      <c r="S154" s="22">
        <v>0.62441999999999998</v>
      </c>
      <c r="T154">
        <f t="shared" si="26"/>
        <v>16.878888888888888</v>
      </c>
      <c r="U154">
        <f t="shared" si="27"/>
        <v>10.551888025555554</v>
      </c>
      <c r="X154" s="9"/>
      <c r="Y154" s="22">
        <v>0.87493900000000002</v>
      </c>
      <c r="Z154" s="22">
        <v>15.0017</v>
      </c>
      <c r="AA154" s="22">
        <v>-1.3504E-2</v>
      </c>
      <c r="AB154" s="22">
        <v>144</v>
      </c>
      <c r="AC154" s="22">
        <v>0.87432900000000002</v>
      </c>
      <c r="AD154">
        <f t="shared" si="28"/>
        <v>16.671604938271606</v>
      </c>
      <c r="AE154">
        <f t="shared" si="29"/>
        <v>14.586637353086422</v>
      </c>
      <c r="AF154" s="9"/>
      <c r="AG154" s="22">
        <v>0.62515299999999996</v>
      </c>
      <c r="AH154" s="22">
        <v>18.418099999999999</v>
      </c>
      <c r="AI154" s="22">
        <v>-1.35742E-2</v>
      </c>
      <c r="AJ154" s="22">
        <v>144</v>
      </c>
      <c r="AK154" s="22">
        <v>0.62441999999999998</v>
      </c>
      <c r="AL154">
        <f t="shared" si="30"/>
        <v>16.758271604938273</v>
      </c>
      <c r="AM154">
        <f t="shared" si="31"/>
        <v>10.476483768641975</v>
      </c>
      <c r="AP154" s="9"/>
      <c r="AQ154" s="22">
        <v>0.87493900000000002</v>
      </c>
      <c r="AR154" s="22">
        <v>23.596</v>
      </c>
      <c r="AS154" s="22">
        <v>-1.3494900000000001E-2</v>
      </c>
      <c r="AT154" s="22">
        <v>144</v>
      </c>
      <c r="AU154" s="22">
        <v>0.87432900000000002</v>
      </c>
      <c r="AV154">
        <f t="shared" si="32"/>
        <v>16.660370370370369</v>
      </c>
      <c r="AW154">
        <f t="shared" si="33"/>
        <v>14.576807791481482</v>
      </c>
      <c r="AX154" s="9"/>
      <c r="AY154" s="22">
        <v>0.62515299999999996</v>
      </c>
      <c r="AZ154" s="22">
        <v>27.0123</v>
      </c>
      <c r="BA154" s="22">
        <v>-1.3644399999999999E-2</v>
      </c>
      <c r="BB154" s="22">
        <v>144</v>
      </c>
      <c r="BC154" s="22">
        <v>0.62448099999999995</v>
      </c>
      <c r="BD154">
        <f t="shared" si="34"/>
        <v>16.844938271604939</v>
      </c>
      <c r="BE154">
        <f t="shared" si="35"/>
        <v>10.530663695308641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0.86990400000000001</v>
      </c>
      <c r="H155" s="22">
        <v>6.4956199999999997</v>
      </c>
      <c r="I155" s="22">
        <v>-1.35132E-2</v>
      </c>
      <c r="J155" s="22">
        <v>145</v>
      </c>
      <c r="K155" s="22">
        <v>0.86883500000000002</v>
      </c>
      <c r="L155">
        <f t="shared" si="24"/>
        <v>16.682962962962961</v>
      </c>
      <c r="M155">
        <f t="shared" si="25"/>
        <v>14.512576213333332</v>
      </c>
      <c r="N155" s="9"/>
      <c r="O155" s="22">
        <v>0.63018799999999997</v>
      </c>
      <c r="P155" s="22">
        <v>9.9119600000000005</v>
      </c>
      <c r="Q155" s="22">
        <v>-1.3665800000000001E-2</v>
      </c>
      <c r="R155" s="22">
        <v>145</v>
      </c>
      <c r="S155" s="22">
        <v>0.62954699999999997</v>
      </c>
      <c r="T155">
        <f t="shared" si="26"/>
        <v>16.871358024691357</v>
      </c>
      <c r="U155">
        <f t="shared" si="27"/>
        <v>10.632127370864197</v>
      </c>
      <c r="X155" s="9"/>
      <c r="Y155" s="22">
        <v>0.86990400000000001</v>
      </c>
      <c r="Z155" s="22">
        <v>15.011799999999999</v>
      </c>
      <c r="AA155" s="22">
        <v>-1.3507099999999999E-2</v>
      </c>
      <c r="AB155" s="22">
        <v>145</v>
      </c>
      <c r="AC155" s="22">
        <v>0.86914100000000005</v>
      </c>
      <c r="AD155">
        <f t="shared" si="28"/>
        <v>16.67543209876543</v>
      </c>
      <c r="AE155">
        <f t="shared" si="29"/>
        <v>14.506025084444444</v>
      </c>
      <c r="AF155" s="9"/>
      <c r="AG155" s="22">
        <v>0.63018799999999997</v>
      </c>
      <c r="AH155" s="22">
        <v>18.4282</v>
      </c>
      <c r="AI155" s="22">
        <v>-1.35651E-2</v>
      </c>
      <c r="AJ155" s="22">
        <v>145</v>
      </c>
      <c r="AK155" s="22">
        <v>0.62954699999999997</v>
      </c>
      <c r="AL155">
        <f t="shared" si="30"/>
        <v>16.747037037037035</v>
      </c>
      <c r="AM155">
        <f t="shared" si="31"/>
        <v>10.553781776296296</v>
      </c>
      <c r="AP155" s="9"/>
      <c r="AQ155" s="22">
        <v>0.86990400000000001</v>
      </c>
      <c r="AR155" s="22">
        <v>23.606000000000002</v>
      </c>
      <c r="AS155" s="22">
        <v>-1.34827E-2</v>
      </c>
      <c r="AT155" s="22">
        <v>145</v>
      </c>
      <c r="AU155" s="22">
        <v>0.86883500000000002</v>
      </c>
      <c r="AV155">
        <f t="shared" si="32"/>
        <v>16.645308641975308</v>
      </c>
      <c r="AW155">
        <f t="shared" si="33"/>
        <v>14.479820568888888</v>
      </c>
      <c r="AX155" s="9"/>
      <c r="AY155" s="22">
        <v>0.63018799999999997</v>
      </c>
      <c r="AZ155" s="22">
        <v>27.022400000000001</v>
      </c>
      <c r="BA155" s="22">
        <v>-1.36353E-2</v>
      </c>
      <c r="BB155" s="22">
        <v>145</v>
      </c>
      <c r="BC155" s="22">
        <v>0.62945600000000002</v>
      </c>
      <c r="BD155">
        <f t="shared" si="34"/>
        <v>16.833703703703701</v>
      </c>
      <c r="BE155">
        <f t="shared" si="35"/>
        <v>10.608398069629628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0.86486799999999997</v>
      </c>
      <c r="H156" s="22">
        <v>6.5056900000000004</v>
      </c>
      <c r="I156" s="22">
        <v>-1.3522299999999999E-2</v>
      </c>
      <c r="J156" s="22">
        <v>146</v>
      </c>
      <c r="K156" s="22">
        <v>0.86425799999999997</v>
      </c>
      <c r="L156">
        <f t="shared" si="24"/>
        <v>16.694197530864194</v>
      </c>
      <c r="M156">
        <f t="shared" si="25"/>
        <v>14.438277230123454</v>
      </c>
      <c r="N156" s="9"/>
      <c r="O156" s="22">
        <v>0.63522299999999998</v>
      </c>
      <c r="P156" s="22">
        <v>9.9220400000000009</v>
      </c>
      <c r="Q156" s="22">
        <v>-1.36627E-2</v>
      </c>
      <c r="R156" s="22">
        <v>146</v>
      </c>
      <c r="S156" s="22">
        <v>0.634521</v>
      </c>
      <c r="T156">
        <f t="shared" si="26"/>
        <v>16.86753086419753</v>
      </c>
      <c r="U156">
        <f t="shared" si="27"/>
        <v>10.714643558148147</v>
      </c>
      <c r="X156" s="9"/>
      <c r="Y156" s="22">
        <v>0.86486799999999997</v>
      </c>
      <c r="Z156" s="22">
        <v>15.0219</v>
      </c>
      <c r="AA156" s="22">
        <v>-1.3516200000000001E-2</v>
      </c>
      <c r="AB156" s="22">
        <v>146</v>
      </c>
      <c r="AC156" s="22">
        <v>0.86395299999999997</v>
      </c>
      <c r="AD156">
        <f t="shared" si="28"/>
        <v>16.686666666666664</v>
      </c>
      <c r="AE156">
        <f t="shared" si="29"/>
        <v>14.431764026666663</v>
      </c>
      <c r="AF156" s="9"/>
      <c r="AG156" s="22">
        <v>0.63522299999999998</v>
      </c>
      <c r="AH156" s="22">
        <v>18.438199999999998</v>
      </c>
      <c r="AI156" s="22">
        <v>-1.3559E-2</v>
      </c>
      <c r="AJ156" s="22">
        <v>146</v>
      </c>
      <c r="AK156" s="22">
        <v>0.634552</v>
      </c>
      <c r="AL156">
        <f t="shared" si="30"/>
        <v>16.739506172839505</v>
      </c>
      <c r="AM156">
        <f t="shared" si="31"/>
        <v>10.633319329629629</v>
      </c>
      <c r="AP156" s="9"/>
      <c r="AQ156" s="22">
        <v>0.86486799999999997</v>
      </c>
      <c r="AR156" s="22">
        <v>23.616099999999999</v>
      </c>
      <c r="AS156" s="22">
        <v>-1.34766E-2</v>
      </c>
      <c r="AT156" s="22">
        <v>146</v>
      </c>
      <c r="AU156" s="22">
        <v>0.86395299999999997</v>
      </c>
      <c r="AV156">
        <f t="shared" si="32"/>
        <v>16.637777777777774</v>
      </c>
      <c r="AW156">
        <f t="shared" si="33"/>
        <v>14.389481591111108</v>
      </c>
      <c r="AX156" s="9"/>
      <c r="AY156" s="22">
        <v>0.63522299999999998</v>
      </c>
      <c r="AZ156" s="22">
        <v>27.032499999999999</v>
      </c>
      <c r="BA156" s="22">
        <v>-1.36261E-2</v>
      </c>
      <c r="BB156" s="22">
        <v>146</v>
      </c>
      <c r="BC156" s="22">
        <v>0.63443000000000005</v>
      </c>
      <c r="BD156">
        <f t="shared" si="34"/>
        <v>16.822345679012344</v>
      </c>
      <c r="BE156">
        <f t="shared" si="35"/>
        <v>10.685940889259257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0.85983299999999996</v>
      </c>
      <c r="H157" s="22">
        <v>6.5157600000000002</v>
      </c>
      <c r="I157" s="22">
        <v>-1.35193E-2</v>
      </c>
      <c r="J157" s="22">
        <v>147</v>
      </c>
      <c r="K157" s="22">
        <v>0.85845899999999997</v>
      </c>
      <c r="L157">
        <f t="shared" si="24"/>
        <v>16.690493827160495</v>
      </c>
      <c r="M157">
        <f t="shared" si="25"/>
        <v>14.35103737888889</v>
      </c>
      <c r="N157" s="9"/>
      <c r="O157" s="22">
        <v>0.64025900000000002</v>
      </c>
      <c r="P157" s="22">
        <v>9.9321099999999998</v>
      </c>
      <c r="Q157" s="22">
        <v>-1.3665800000000001E-2</v>
      </c>
      <c r="R157" s="22">
        <v>147</v>
      </c>
      <c r="S157" s="22">
        <v>0.63961800000000002</v>
      </c>
      <c r="T157">
        <f t="shared" si="26"/>
        <v>16.871358024691357</v>
      </c>
      <c r="U157">
        <f t="shared" si="27"/>
        <v>10.802038817530864</v>
      </c>
      <c r="X157" s="9"/>
      <c r="Y157" s="22">
        <v>0.85983299999999996</v>
      </c>
      <c r="Z157" s="22">
        <v>15.032</v>
      </c>
      <c r="AA157" s="22">
        <v>-1.3528399999999999E-2</v>
      </c>
      <c r="AB157" s="22">
        <v>147</v>
      </c>
      <c r="AC157" s="22">
        <v>0.85907</v>
      </c>
      <c r="AD157">
        <f t="shared" si="28"/>
        <v>16.701728395061725</v>
      </c>
      <c r="AE157">
        <f t="shared" si="29"/>
        <v>14.360697231111107</v>
      </c>
      <c r="AF157" s="9"/>
      <c r="AG157" s="22">
        <v>0.64025900000000002</v>
      </c>
      <c r="AH157" s="22">
        <v>18.4483</v>
      </c>
      <c r="AI157" s="22">
        <v>-1.3561999999999999E-2</v>
      </c>
      <c r="AJ157" s="22">
        <v>147</v>
      </c>
      <c r="AK157" s="22">
        <v>0.63946499999999995</v>
      </c>
      <c r="AL157">
        <f t="shared" si="30"/>
        <v>16.743209876543208</v>
      </c>
      <c r="AM157">
        <f t="shared" si="31"/>
        <v>10.719990812345678</v>
      </c>
      <c r="AP157" s="9"/>
      <c r="AQ157" s="22">
        <v>0.85983299999999996</v>
      </c>
      <c r="AR157" s="22">
        <v>23.626200000000001</v>
      </c>
      <c r="AS157" s="22">
        <v>-1.3494900000000001E-2</v>
      </c>
      <c r="AT157" s="22">
        <v>147</v>
      </c>
      <c r="AU157" s="22">
        <v>0.85907</v>
      </c>
      <c r="AV157">
        <f t="shared" si="32"/>
        <v>16.660370370370369</v>
      </c>
      <c r="AW157">
        <f t="shared" si="33"/>
        <v>14.325136236666665</v>
      </c>
      <c r="AX157" s="9"/>
      <c r="AY157" s="22">
        <v>0.64025900000000002</v>
      </c>
      <c r="AZ157" s="22">
        <v>27.0425</v>
      </c>
      <c r="BA157" s="22">
        <v>-1.3616899999999999E-2</v>
      </c>
      <c r="BB157" s="22">
        <v>147</v>
      </c>
      <c r="BC157" s="22">
        <v>0.63955700000000004</v>
      </c>
      <c r="BD157">
        <f t="shared" si="34"/>
        <v>16.810987654320986</v>
      </c>
      <c r="BE157">
        <f t="shared" si="35"/>
        <v>10.7633861445679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0.85479700000000003</v>
      </c>
      <c r="H158" s="22">
        <v>6.52583</v>
      </c>
      <c r="I158" s="22">
        <v>-1.35193E-2</v>
      </c>
      <c r="J158" s="22">
        <v>148</v>
      </c>
      <c r="K158" s="22">
        <v>0.85388200000000003</v>
      </c>
      <c r="L158">
        <f t="shared" si="24"/>
        <v>16.690493827160495</v>
      </c>
      <c r="M158">
        <f t="shared" si="25"/>
        <v>14.26698405197531</v>
      </c>
      <c r="N158" s="9"/>
      <c r="O158" s="22">
        <v>0.64529400000000003</v>
      </c>
      <c r="P158" s="22">
        <v>9.9421800000000005</v>
      </c>
      <c r="Q158" s="22">
        <v>-1.36749E-2</v>
      </c>
      <c r="R158" s="22">
        <v>148</v>
      </c>
      <c r="S158" s="22">
        <v>0.64459200000000005</v>
      </c>
      <c r="T158">
        <f t="shared" si="26"/>
        <v>16.882592592592591</v>
      </c>
      <c r="U158">
        <f t="shared" si="27"/>
        <v>10.894235704444444</v>
      </c>
      <c r="X158" s="9"/>
      <c r="Y158" s="22">
        <v>0.85479700000000003</v>
      </c>
      <c r="Z158" s="22">
        <v>15.042</v>
      </c>
      <c r="AA158" s="22">
        <v>-1.3522299999999999E-2</v>
      </c>
      <c r="AB158" s="22">
        <v>148</v>
      </c>
      <c r="AC158" s="22">
        <v>0.85357700000000003</v>
      </c>
      <c r="AD158">
        <f t="shared" si="28"/>
        <v>16.694197530864194</v>
      </c>
      <c r="AE158">
        <f t="shared" si="29"/>
        <v>14.270149966790122</v>
      </c>
      <c r="AF158" s="9"/>
      <c r="AG158" s="22">
        <v>0.64529400000000003</v>
      </c>
      <c r="AH158" s="22">
        <v>18.458400000000001</v>
      </c>
      <c r="AI158" s="22">
        <v>-1.35681E-2</v>
      </c>
      <c r="AJ158" s="22">
        <v>148</v>
      </c>
      <c r="AK158" s="22">
        <v>0.64462299999999995</v>
      </c>
      <c r="AL158">
        <f t="shared" si="30"/>
        <v>16.750740740740738</v>
      </c>
      <c r="AM158">
        <f t="shared" si="31"/>
        <v>10.809152495555555</v>
      </c>
      <c r="AP158" s="9"/>
      <c r="AQ158" s="22">
        <v>0.85479700000000003</v>
      </c>
      <c r="AR158" s="22">
        <v>23.636299999999999</v>
      </c>
      <c r="AS158" s="22">
        <v>-1.3522299999999999E-2</v>
      </c>
      <c r="AT158" s="22">
        <v>148</v>
      </c>
      <c r="AU158" s="22">
        <v>0.853271</v>
      </c>
      <c r="AV158">
        <f t="shared" si="32"/>
        <v>16.694197530864194</v>
      </c>
      <c r="AW158">
        <f t="shared" si="33"/>
        <v>14.270149966790122</v>
      </c>
      <c r="AX158" s="9"/>
      <c r="AY158" s="22">
        <v>0.64529400000000003</v>
      </c>
      <c r="AZ158" s="22">
        <v>27.052600000000002</v>
      </c>
      <c r="BA158" s="22">
        <v>-1.36139E-2</v>
      </c>
      <c r="BB158" s="22">
        <v>148</v>
      </c>
      <c r="BC158" s="22">
        <v>0.64468400000000003</v>
      </c>
      <c r="BD158">
        <f t="shared" si="34"/>
        <v>16.807283950617283</v>
      </c>
      <c r="BE158">
        <f t="shared" si="35"/>
        <v>10.84563948962963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0.84976200000000002</v>
      </c>
      <c r="H159" s="22">
        <v>6.5358999999999998</v>
      </c>
      <c r="I159" s="22">
        <v>-1.3528399999999999E-2</v>
      </c>
      <c r="J159" s="22">
        <v>149</v>
      </c>
      <c r="K159" s="22">
        <v>0.84899899999999995</v>
      </c>
      <c r="L159">
        <f t="shared" si="24"/>
        <v>16.701728395061725</v>
      </c>
      <c r="M159">
        <f t="shared" si="25"/>
        <v>14.192494124444442</v>
      </c>
      <c r="N159" s="9"/>
      <c r="O159" s="22">
        <v>0.65032999999999996</v>
      </c>
      <c r="P159" s="22">
        <v>9.9522499999999994</v>
      </c>
      <c r="Q159" s="22">
        <v>-1.36627E-2</v>
      </c>
      <c r="R159" s="22">
        <v>149</v>
      </c>
      <c r="S159" s="22">
        <v>0.64956700000000001</v>
      </c>
      <c r="T159">
        <f t="shared" si="26"/>
        <v>16.86753086419753</v>
      </c>
      <c r="U159">
        <f t="shared" si="27"/>
        <v>10.96946134691358</v>
      </c>
      <c r="X159" s="9"/>
      <c r="Y159" s="22">
        <v>0.84976200000000002</v>
      </c>
      <c r="Z159" s="22">
        <v>15.052099999999999</v>
      </c>
      <c r="AA159" s="22">
        <v>-1.3522299999999999E-2</v>
      </c>
      <c r="AB159" s="22">
        <v>149</v>
      </c>
      <c r="AC159" s="22">
        <v>0.84838899999999995</v>
      </c>
      <c r="AD159">
        <f t="shared" si="28"/>
        <v>16.694197530864194</v>
      </c>
      <c r="AE159">
        <f t="shared" si="29"/>
        <v>14.186094682222219</v>
      </c>
      <c r="AF159" s="9"/>
      <c r="AG159" s="22">
        <v>0.65032999999999996</v>
      </c>
      <c r="AH159" s="22">
        <v>18.468499999999999</v>
      </c>
      <c r="AI159" s="22">
        <v>-1.35651E-2</v>
      </c>
      <c r="AJ159" s="22">
        <v>149</v>
      </c>
      <c r="AK159" s="22">
        <v>0.64962799999999998</v>
      </c>
      <c r="AL159">
        <f t="shared" si="30"/>
        <v>16.747037037037035</v>
      </c>
      <c r="AM159">
        <f t="shared" si="31"/>
        <v>10.891100596296294</v>
      </c>
      <c r="AP159" s="9"/>
      <c r="AQ159" s="22">
        <v>0.84976200000000002</v>
      </c>
      <c r="AR159" s="22">
        <v>23.6463</v>
      </c>
      <c r="AS159" s="22">
        <v>-1.35315E-2</v>
      </c>
      <c r="AT159" s="22">
        <v>149</v>
      </c>
      <c r="AU159" s="22">
        <v>0.84838899999999995</v>
      </c>
      <c r="AV159">
        <f t="shared" si="32"/>
        <v>16.705555555555552</v>
      </c>
      <c r="AW159">
        <f t="shared" si="33"/>
        <v>14.195746299999998</v>
      </c>
      <c r="AX159" s="9"/>
      <c r="AY159" s="22">
        <v>0.65032999999999996</v>
      </c>
      <c r="AZ159" s="22">
        <v>27.0627</v>
      </c>
      <c r="BA159" s="22">
        <v>-1.36139E-2</v>
      </c>
      <c r="BB159" s="22">
        <v>149</v>
      </c>
      <c r="BC159" s="22">
        <v>0.64956700000000001</v>
      </c>
      <c r="BD159">
        <f t="shared" si="34"/>
        <v>16.807283950617283</v>
      </c>
      <c r="BE159">
        <f t="shared" si="35"/>
        <v>10.930280971604937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0.84472700000000001</v>
      </c>
      <c r="H160" s="22">
        <v>6.5459699999999996</v>
      </c>
      <c r="I160" s="22">
        <v>-1.35376E-2</v>
      </c>
      <c r="J160" s="22">
        <v>150</v>
      </c>
      <c r="K160" s="22">
        <v>0.84350599999999998</v>
      </c>
      <c r="L160">
        <f t="shared" si="24"/>
        <v>16.713086419753086</v>
      </c>
      <c r="M160">
        <f t="shared" si="25"/>
        <v>14.117995352098765</v>
      </c>
      <c r="N160" s="9"/>
      <c r="O160" s="22">
        <v>0.65536499999999998</v>
      </c>
      <c r="P160" s="22">
        <v>9.9623200000000001</v>
      </c>
      <c r="Q160" s="22">
        <v>-1.3665800000000001E-2</v>
      </c>
      <c r="R160" s="22">
        <v>150</v>
      </c>
      <c r="S160" s="22">
        <v>0.65472399999999997</v>
      </c>
      <c r="T160">
        <f t="shared" si="26"/>
        <v>16.871358024691357</v>
      </c>
      <c r="U160">
        <f t="shared" si="27"/>
        <v>11.056897551851851</v>
      </c>
      <c r="X160" s="9"/>
      <c r="Y160" s="22">
        <v>0.84472700000000001</v>
      </c>
      <c r="Z160" s="22">
        <v>15.062200000000001</v>
      </c>
      <c r="AA160" s="22">
        <v>-1.3528399999999999E-2</v>
      </c>
      <c r="AB160" s="22">
        <v>150</v>
      </c>
      <c r="AC160" s="22">
        <v>0.84411599999999998</v>
      </c>
      <c r="AD160">
        <f t="shared" si="28"/>
        <v>16.701728395061725</v>
      </c>
      <c r="AE160">
        <f t="shared" si="29"/>
        <v>14.108400921975306</v>
      </c>
      <c r="AF160" s="9"/>
      <c r="AG160" s="22">
        <v>0.65536499999999998</v>
      </c>
      <c r="AH160" s="22">
        <v>18.4785</v>
      </c>
      <c r="AI160" s="22">
        <v>-1.35651E-2</v>
      </c>
      <c r="AJ160" s="22">
        <v>150</v>
      </c>
      <c r="AK160" s="22">
        <v>0.65457200000000004</v>
      </c>
      <c r="AL160">
        <f t="shared" si="30"/>
        <v>16.747037037037035</v>
      </c>
      <c r="AM160">
        <f t="shared" si="31"/>
        <v>10.975421927777777</v>
      </c>
      <c r="AP160" s="9"/>
      <c r="AQ160" s="22">
        <v>0.84472700000000001</v>
      </c>
      <c r="AR160" s="22">
        <v>23.656400000000001</v>
      </c>
      <c r="AS160" s="22">
        <v>-1.35376E-2</v>
      </c>
      <c r="AT160" s="22">
        <v>150</v>
      </c>
      <c r="AU160" s="22">
        <v>0.84320099999999998</v>
      </c>
      <c r="AV160">
        <f t="shared" si="32"/>
        <v>16.713086419753086</v>
      </c>
      <c r="AW160">
        <f t="shared" si="33"/>
        <v>14.117995352098765</v>
      </c>
      <c r="AX160" s="9"/>
      <c r="AY160" s="22">
        <v>0.65536499999999998</v>
      </c>
      <c r="AZ160" s="22">
        <v>27.072700000000001</v>
      </c>
      <c r="BA160" s="22">
        <v>-1.3610799999999999E-2</v>
      </c>
      <c r="BB160" s="22">
        <v>150</v>
      </c>
      <c r="BC160" s="22">
        <v>0.65466299999999999</v>
      </c>
      <c r="BD160">
        <f t="shared" si="34"/>
        <v>16.803456790123455</v>
      </c>
      <c r="BE160">
        <f t="shared" si="35"/>
        <v>11.012397459259258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0.83969099999999997</v>
      </c>
      <c r="H161" s="22">
        <v>6.5560400000000003</v>
      </c>
      <c r="I161" s="22">
        <v>-1.3546799999999999E-2</v>
      </c>
      <c r="J161" s="22">
        <v>151</v>
      </c>
      <c r="K161" s="22">
        <v>0.83862300000000001</v>
      </c>
      <c r="L161">
        <f t="shared" si="24"/>
        <v>16.72444444444444</v>
      </c>
      <c r="M161">
        <f t="shared" si="25"/>
        <v>14.043365479999997</v>
      </c>
      <c r="N161" s="9"/>
      <c r="O161" s="22">
        <v>0.66039999999999999</v>
      </c>
      <c r="P161" s="22">
        <v>9.9723900000000008</v>
      </c>
      <c r="Q161" s="22">
        <v>-1.36688E-2</v>
      </c>
      <c r="R161" s="22">
        <v>151</v>
      </c>
      <c r="S161" s="22">
        <v>0.65966800000000003</v>
      </c>
      <c r="T161">
        <f t="shared" si="26"/>
        <v>16.87506172839506</v>
      </c>
      <c r="U161">
        <f t="shared" si="27"/>
        <v>11.144290765432098</v>
      </c>
      <c r="X161" s="9"/>
      <c r="Y161" s="22">
        <v>0.83969099999999997</v>
      </c>
      <c r="Z161" s="22">
        <v>15.0722</v>
      </c>
      <c r="AA161" s="22">
        <v>-1.35345E-2</v>
      </c>
      <c r="AB161" s="22">
        <v>151</v>
      </c>
      <c r="AC161" s="22">
        <v>0.83862300000000001</v>
      </c>
      <c r="AD161">
        <f t="shared" si="28"/>
        <v>16.709259259259255</v>
      </c>
      <c r="AE161">
        <f t="shared" si="29"/>
        <v>14.030614616666663</v>
      </c>
      <c r="AF161" s="9"/>
      <c r="AG161" s="22">
        <v>0.66039999999999999</v>
      </c>
      <c r="AH161" s="22">
        <v>18.488600000000002</v>
      </c>
      <c r="AI161" s="22">
        <v>-1.3555899999999999E-2</v>
      </c>
      <c r="AJ161" s="22">
        <v>151</v>
      </c>
      <c r="AK161" s="22">
        <v>0.65969800000000001</v>
      </c>
      <c r="AL161">
        <f t="shared" si="30"/>
        <v>16.735679012345678</v>
      </c>
      <c r="AM161">
        <f t="shared" si="31"/>
        <v>11.052242419753085</v>
      </c>
      <c r="AP161" s="9"/>
      <c r="AQ161" s="22">
        <v>0.83969099999999997</v>
      </c>
      <c r="AR161" s="22">
        <v>23.666499999999999</v>
      </c>
      <c r="AS161" s="22">
        <v>-1.3546799999999999E-2</v>
      </c>
      <c r="AT161" s="22">
        <v>151</v>
      </c>
      <c r="AU161" s="22">
        <v>0.83862300000000001</v>
      </c>
      <c r="AV161">
        <f t="shared" si="32"/>
        <v>16.72444444444444</v>
      </c>
      <c r="AW161">
        <f t="shared" si="33"/>
        <v>14.043365479999997</v>
      </c>
      <c r="AX161" s="9"/>
      <c r="AY161" s="22">
        <v>0.66039999999999999</v>
      </c>
      <c r="AZ161" s="22">
        <v>27.082799999999999</v>
      </c>
      <c r="BA161" s="22">
        <v>-1.36078E-2</v>
      </c>
      <c r="BB161" s="22">
        <v>151</v>
      </c>
      <c r="BC161" s="22">
        <v>0.65969800000000001</v>
      </c>
      <c r="BD161">
        <f t="shared" si="34"/>
        <v>16.799753086419752</v>
      </c>
      <c r="BE161">
        <f t="shared" si="35"/>
        <v>11.094556938271603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0.83465599999999995</v>
      </c>
      <c r="H162" s="22">
        <v>6.5661100000000001</v>
      </c>
      <c r="I162" s="22">
        <v>-1.35529E-2</v>
      </c>
      <c r="J162" s="22">
        <v>152</v>
      </c>
      <c r="K162" s="22">
        <v>0.83343500000000004</v>
      </c>
      <c r="L162">
        <f t="shared" si="24"/>
        <v>16.731975308641974</v>
      </c>
      <c r="M162">
        <f t="shared" si="25"/>
        <v>13.965443583209876</v>
      </c>
      <c r="N162" s="9"/>
      <c r="O162" s="22">
        <v>0.66543600000000003</v>
      </c>
      <c r="P162" s="22">
        <v>9.9824599999999997</v>
      </c>
      <c r="Q162" s="22">
        <v>-1.36627E-2</v>
      </c>
      <c r="R162" s="22">
        <v>152</v>
      </c>
      <c r="S162" s="22">
        <v>0.664825</v>
      </c>
      <c r="T162">
        <f t="shared" si="26"/>
        <v>16.86753086419753</v>
      </c>
      <c r="U162">
        <f t="shared" si="27"/>
        <v>11.224262268148149</v>
      </c>
      <c r="X162" s="9"/>
      <c r="Y162" s="22">
        <v>0.83465599999999995</v>
      </c>
      <c r="Z162" s="22">
        <v>15.0823</v>
      </c>
      <c r="AA162" s="22">
        <v>-1.35345E-2</v>
      </c>
      <c r="AB162" s="22">
        <v>152</v>
      </c>
      <c r="AC162" s="22">
        <v>0.83374000000000004</v>
      </c>
      <c r="AD162">
        <f t="shared" si="28"/>
        <v>16.709259259259255</v>
      </c>
      <c r="AE162">
        <f t="shared" si="29"/>
        <v>13.946483496296292</v>
      </c>
      <c r="AF162" s="9"/>
      <c r="AG162" s="22">
        <v>0.66543600000000003</v>
      </c>
      <c r="AH162" s="22">
        <v>18.498699999999999</v>
      </c>
      <c r="AI162" s="22">
        <v>-1.3543700000000001E-2</v>
      </c>
      <c r="AJ162" s="22">
        <v>152</v>
      </c>
      <c r="AK162" s="22">
        <v>0.66467299999999996</v>
      </c>
      <c r="AL162">
        <f t="shared" si="30"/>
        <v>16.720617283950617</v>
      </c>
      <c r="AM162">
        <f t="shared" si="31"/>
        <v>11.126500682962963</v>
      </c>
      <c r="AP162" s="9"/>
      <c r="AQ162" s="22">
        <v>0.83465599999999995</v>
      </c>
      <c r="AR162" s="22">
        <v>23.676500000000001</v>
      </c>
      <c r="AS162" s="22">
        <v>-1.35529E-2</v>
      </c>
      <c r="AT162" s="22">
        <v>152</v>
      </c>
      <c r="AU162" s="22">
        <v>0.83374000000000004</v>
      </c>
      <c r="AV162">
        <f t="shared" si="32"/>
        <v>16.731975308641974</v>
      </c>
      <c r="AW162">
        <f t="shared" si="33"/>
        <v>13.965443583209876</v>
      </c>
      <c r="AX162" s="9"/>
      <c r="AY162" s="22">
        <v>0.66543600000000003</v>
      </c>
      <c r="AZ162" s="22">
        <v>27.0929</v>
      </c>
      <c r="BA162" s="22">
        <v>-1.3610799999999999E-2</v>
      </c>
      <c r="BB162" s="22">
        <v>152</v>
      </c>
      <c r="BC162" s="22">
        <v>0.66473400000000005</v>
      </c>
      <c r="BD162">
        <f t="shared" si="34"/>
        <v>16.803456790123455</v>
      </c>
      <c r="BE162">
        <f t="shared" si="35"/>
        <v>11.181625072592592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0.82962000000000002</v>
      </c>
      <c r="H163" s="22">
        <v>6.5761799999999999</v>
      </c>
      <c r="I163" s="22">
        <v>-1.3559E-2</v>
      </c>
      <c r="J163" s="22">
        <v>153</v>
      </c>
      <c r="K163" s="22">
        <v>0.82916299999999998</v>
      </c>
      <c r="L163">
        <f t="shared" si="24"/>
        <v>16.739506172839505</v>
      </c>
      <c r="M163">
        <f t="shared" si="25"/>
        <v>13.887429111111111</v>
      </c>
      <c r="N163" s="9"/>
      <c r="O163" s="22">
        <v>0.67047100000000004</v>
      </c>
      <c r="P163" s="22">
        <v>9.9925300000000004</v>
      </c>
      <c r="Q163" s="22">
        <v>-1.36536E-2</v>
      </c>
      <c r="R163" s="22">
        <v>153</v>
      </c>
      <c r="S163" s="22">
        <v>0.66979999999999995</v>
      </c>
      <c r="T163">
        <f t="shared" si="26"/>
        <v>16.856296296296296</v>
      </c>
      <c r="U163">
        <f t="shared" si="27"/>
        <v>11.301657834074074</v>
      </c>
      <c r="X163" s="9"/>
      <c r="Y163" s="22">
        <v>0.82962000000000002</v>
      </c>
      <c r="Z163" s="22">
        <v>15.0924</v>
      </c>
      <c r="AA163" s="22">
        <v>-1.35376E-2</v>
      </c>
      <c r="AB163" s="22">
        <v>153</v>
      </c>
      <c r="AC163" s="22">
        <v>0.82855199999999996</v>
      </c>
      <c r="AD163">
        <f t="shared" si="28"/>
        <v>16.713086419753086</v>
      </c>
      <c r="AE163">
        <f t="shared" si="29"/>
        <v>13.865510755555556</v>
      </c>
      <c r="AF163" s="9"/>
      <c r="AG163" s="22">
        <v>0.67047100000000004</v>
      </c>
      <c r="AH163" s="22">
        <v>18.508700000000001</v>
      </c>
      <c r="AI163" s="22">
        <v>-1.35345E-2</v>
      </c>
      <c r="AJ163" s="22">
        <v>153</v>
      </c>
      <c r="AK163" s="22">
        <v>0.66973899999999997</v>
      </c>
      <c r="AL163">
        <f t="shared" si="30"/>
        <v>16.709259259259255</v>
      </c>
      <c r="AM163">
        <f t="shared" si="31"/>
        <v>11.203073764814812</v>
      </c>
      <c r="AP163" s="9"/>
      <c r="AQ163" s="22">
        <v>0.82962000000000002</v>
      </c>
      <c r="AR163" s="22">
        <v>23.686599999999999</v>
      </c>
      <c r="AS163" s="22">
        <v>-1.3549800000000001E-2</v>
      </c>
      <c r="AT163" s="22">
        <v>153</v>
      </c>
      <c r="AU163" s="22">
        <v>0.82916299999999998</v>
      </c>
      <c r="AV163">
        <f t="shared" si="32"/>
        <v>16.728148148148147</v>
      </c>
      <c r="AW163">
        <f t="shared" si="33"/>
        <v>13.878006266666667</v>
      </c>
      <c r="AX163" s="9"/>
      <c r="AY163" s="22">
        <v>0.67047100000000004</v>
      </c>
      <c r="AZ163" s="22">
        <v>27.103000000000002</v>
      </c>
      <c r="BA163" s="22">
        <v>-1.36078E-2</v>
      </c>
      <c r="BB163" s="22">
        <v>153</v>
      </c>
      <c r="BC163" s="22">
        <v>0.669678</v>
      </c>
      <c r="BD163">
        <f t="shared" si="34"/>
        <v>16.799753086419752</v>
      </c>
      <c r="BE163">
        <f t="shared" si="35"/>
        <v>11.263747251604938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0.82458500000000001</v>
      </c>
      <c r="H164" s="22">
        <v>6.5862600000000002</v>
      </c>
      <c r="I164" s="22">
        <v>-1.35712E-2</v>
      </c>
      <c r="J164" s="22">
        <v>154</v>
      </c>
      <c r="K164" s="22">
        <v>0.82336399999999998</v>
      </c>
      <c r="L164">
        <f t="shared" si="24"/>
        <v>16.754567901234566</v>
      </c>
      <c r="M164">
        <f t="shared" si="25"/>
        <v>13.815565372839504</v>
      </c>
      <c r="N164" s="9"/>
      <c r="O164" s="22">
        <v>0.67550699999999997</v>
      </c>
      <c r="P164" s="22">
        <v>10.002599999999999</v>
      </c>
      <c r="Q164" s="22">
        <v>-1.36414E-2</v>
      </c>
      <c r="R164" s="22">
        <v>154</v>
      </c>
      <c r="S164" s="22">
        <v>0.67474400000000001</v>
      </c>
      <c r="T164">
        <f t="shared" si="26"/>
        <v>16.841234567901232</v>
      </c>
      <c r="U164">
        <f t="shared" si="27"/>
        <v>11.376371839259257</v>
      </c>
      <c r="X164" s="9"/>
      <c r="Y164" s="22">
        <v>0.82458500000000001</v>
      </c>
      <c r="Z164" s="22">
        <v>15.102499999999999</v>
      </c>
      <c r="AA164" s="22">
        <v>-1.35376E-2</v>
      </c>
      <c r="AB164" s="22">
        <v>154</v>
      </c>
      <c r="AC164" s="22">
        <v>0.82397500000000001</v>
      </c>
      <c r="AD164">
        <f t="shared" si="28"/>
        <v>16.713086419753086</v>
      </c>
      <c r="AE164">
        <f t="shared" si="29"/>
        <v>13.781360365432098</v>
      </c>
      <c r="AF164" s="9"/>
      <c r="AG164" s="22">
        <v>0.67550699999999997</v>
      </c>
      <c r="AH164" s="22">
        <v>18.518799999999999</v>
      </c>
      <c r="AI164" s="22">
        <v>-1.35406E-2</v>
      </c>
      <c r="AJ164" s="22">
        <v>154</v>
      </c>
      <c r="AK164" s="22">
        <v>0.67477399999999998</v>
      </c>
      <c r="AL164">
        <f t="shared" si="30"/>
        <v>16.716790123456789</v>
      </c>
      <c r="AM164">
        <f t="shared" si="31"/>
        <v>11.292308745925926</v>
      </c>
      <c r="AP164" s="9"/>
      <c r="AQ164" s="22">
        <v>0.82458500000000001</v>
      </c>
      <c r="AR164" s="22">
        <v>23.6967</v>
      </c>
      <c r="AS164" s="22">
        <v>-1.35406E-2</v>
      </c>
      <c r="AT164" s="22">
        <v>154</v>
      </c>
      <c r="AU164" s="22">
        <v>0.82336399999999998</v>
      </c>
      <c r="AV164">
        <f t="shared" si="32"/>
        <v>16.716790123456789</v>
      </c>
      <c r="AW164">
        <f t="shared" si="33"/>
        <v>13.784414383950617</v>
      </c>
      <c r="AX164" s="9"/>
      <c r="AY164" s="22">
        <v>0.67550699999999997</v>
      </c>
      <c r="AZ164" s="22">
        <v>27.113</v>
      </c>
      <c r="BA164" s="22">
        <v>-1.36017E-2</v>
      </c>
      <c r="BB164" s="22">
        <v>154</v>
      </c>
      <c r="BC164" s="22">
        <v>0.67477399999999998</v>
      </c>
      <c r="BD164">
        <f t="shared" si="34"/>
        <v>16.792222222222222</v>
      </c>
      <c r="BE164">
        <f t="shared" si="35"/>
        <v>11.343263656666666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0.81955</v>
      </c>
      <c r="H165" s="22">
        <v>6.59633</v>
      </c>
      <c r="I165" s="22">
        <v>-1.35712E-2</v>
      </c>
      <c r="J165" s="22">
        <v>155</v>
      </c>
      <c r="K165" s="22">
        <v>0.81878700000000004</v>
      </c>
      <c r="L165">
        <f t="shared" si="24"/>
        <v>16.754567901234566</v>
      </c>
      <c r="M165">
        <f t="shared" si="25"/>
        <v>13.731206123456788</v>
      </c>
      <c r="N165" s="9"/>
      <c r="O165" s="22">
        <v>0.68054199999999998</v>
      </c>
      <c r="P165" s="22">
        <v>10.012700000000001</v>
      </c>
      <c r="Q165" s="22">
        <v>-1.36414E-2</v>
      </c>
      <c r="R165" s="22">
        <v>155</v>
      </c>
      <c r="S165" s="22">
        <v>0.67974900000000005</v>
      </c>
      <c r="T165">
        <f t="shared" si="26"/>
        <v>16.841234567901232</v>
      </c>
      <c r="U165">
        <f t="shared" si="27"/>
        <v>11.46116745530864</v>
      </c>
      <c r="X165" s="9"/>
      <c r="Y165" s="22">
        <v>0.81955</v>
      </c>
      <c r="Z165" s="22">
        <v>15.112500000000001</v>
      </c>
      <c r="AA165" s="22">
        <v>-1.35376E-2</v>
      </c>
      <c r="AB165" s="22">
        <v>155</v>
      </c>
      <c r="AC165" s="22">
        <v>0.81878700000000004</v>
      </c>
      <c r="AD165">
        <f t="shared" si="28"/>
        <v>16.713086419753086</v>
      </c>
      <c r="AE165">
        <f t="shared" si="29"/>
        <v>13.697209975308642</v>
      </c>
      <c r="AF165" s="9"/>
      <c r="AG165" s="22">
        <v>0.68054199999999998</v>
      </c>
      <c r="AH165" s="22">
        <v>18.5289</v>
      </c>
      <c r="AI165" s="22">
        <v>-1.35315E-2</v>
      </c>
      <c r="AJ165" s="22">
        <v>155</v>
      </c>
      <c r="AK165" s="22">
        <v>0.67971800000000004</v>
      </c>
      <c r="AL165">
        <f t="shared" si="30"/>
        <v>16.705555555555552</v>
      </c>
      <c r="AM165">
        <f t="shared" si="31"/>
        <v>11.368832188888886</v>
      </c>
      <c r="AP165" s="9"/>
      <c r="AQ165" s="22">
        <v>0.81955</v>
      </c>
      <c r="AR165" s="22">
        <v>23.706700000000001</v>
      </c>
      <c r="AS165" s="22">
        <v>-1.35315E-2</v>
      </c>
      <c r="AT165" s="22">
        <v>155</v>
      </c>
      <c r="AU165" s="22">
        <v>0.81909200000000004</v>
      </c>
      <c r="AV165">
        <f t="shared" si="32"/>
        <v>16.705555555555552</v>
      </c>
      <c r="AW165">
        <f t="shared" si="33"/>
        <v>13.691038055555552</v>
      </c>
      <c r="AX165" s="9"/>
      <c r="AY165" s="22">
        <v>0.68054199999999998</v>
      </c>
      <c r="AZ165" s="22">
        <v>27.123100000000001</v>
      </c>
      <c r="BA165" s="22">
        <v>-1.35864E-2</v>
      </c>
      <c r="BB165" s="22">
        <v>155</v>
      </c>
      <c r="BC165" s="22">
        <v>0.67977900000000002</v>
      </c>
      <c r="BD165">
        <f t="shared" si="34"/>
        <v>16.77333333333333</v>
      </c>
      <c r="BE165">
        <f t="shared" si="35"/>
        <v>11.414957813333331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0.81451399999999996</v>
      </c>
      <c r="H166" s="22">
        <v>6.6063999999999998</v>
      </c>
      <c r="I166" s="22">
        <v>-1.35742E-2</v>
      </c>
      <c r="J166" s="22">
        <v>156</v>
      </c>
      <c r="K166" s="22">
        <v>0.81329300000000004</v>
      </c>
      <c r="L166">
        <f t="shared" si="24"/>
        <v>16.758271604938273</v>
      </c>
      <c r="M166">
        <f t="shared" si="25"/>
        <v>13.649846838024692</v>
      </c>
      <c r="N166" s="9"/>
      <c r="O166" s="22">
        <v>0.68557699999999999</v>
      </c>
      <c r="P166" s="22">
        <v>10.0227</v>
      </c>
      <c r="Q166" s="22">
        <v>-1.36414E-2</v>
      </c>
      <c r="R166" s="22">
        <v>156</v>
      </c>
      <c r="S166" s="22">
        <v>0.68481400000000003</v>
      </c>
      <c r="T166">
        <f t="shared" si="26"/>
        <v>16.841234567901232</v>
      </c>
      <c r="U166">
        <f t="shared" si="27"/>
        <v>11.545963071358022</v>
      </c>
      <c r="X166" s="9"/>
      <c r="Y166" s="22">
        <v>0.81451399999999996</v>
      </c>
      <c r="Z166" s="22">
        <v>15.1226</v>
      </c>
      <c r="AA166" s="22">
        <v>-1.35345E-2</v>
      </c>
      <c r="AB166" s="22">
        <v>156</v>
      </c>
      <c r="AC166" s="22">
        <v>0.81420899999999996</v>
      </c>
      <c r="AD166">
        <f t="shared" si="28"/>
        <v>16.709259259259255</v>
      </c>
      <c r="AE166">
        <f t="shared" si="29"/>
        <v>13.609925596296293</v>
      </c>
      <c r="AF166" s="9"/>
      <c r="AG166" s="22">
        <v>0.68557699999999999</v>
      </c>
      <c r="AH166" s="22">
        <v>18.539000000000001</v>
      </c>
      <c r="AI166" s="22">
        <v>-1.35254E-2</v>
      </c>
      <c r="AJ166" s="22">
        <v>156</v>
      </c>
      <c r="AK166" s="22">
        <v>0.68484500000000004</v>
      </c>
      <c r="AL166">
        <f t="shared" si="30"/>
        <v>16.698024691358025</v>
      </c>
      <c r="AM166">
        <f t="shared" si="31"/>
        <v>11.44778167382716</v>
      </c>
      <c r="AP166" s="9"/>
      <c r="AQ166" s="22">
        <v>0.81451399999999996</v>
      </c>
      <c r="AR166" s="22">
        <v>23.716799999999999</v>
      </c>
      <c r="AS166" s="22">
        <v>-1.35406E-2</v>
      </c>
      <c r="AT166" s="22">
        <v>156</v>
      </c>
      <c r="AU166" s="22">
        <v>0.81359899999999996</v>
      </c>
      <c r="AV166">
        <f t="shared" si="32"/>
        <v>16.716790123456789</v>
      </c>
      <c r="AW166">
        <f t="shared" si="33"/>
        <v>13.616059590617283</v>
      </c>
      <c r="AX166" s="9"/>
      <c r="AY166" s="22">
        <v>0.68557699999999999</v>
      </c>
      <c r="AZ166" s="22">
        <v>27.133199999999999</v>
      </c>
      <c r="BA166" s="22">
        <v>-1.35773E-2</v>
      </c>
      <c r="BB166" s="22">
        <v>156</v>
      </c>
      <c r="BC166" s="22">
        <v>0.68484500000000004</v>
      </c>
      <c r="BD166">
        <f t="shared" si="34"/>
        <v>16.7620987654321</v>
      </c>
      <c r="BE166">
        <f t="shared" si="35"/>
        <v>11.491709385308642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0.80947899999999995</v>
      </c>
      <c r="H167" s="22">
        <v>6.6164699999999996</v>
      </c>
      <c r="I167" s="22">
        <v>-1.35742E-2</v>
      </c>
      <c r="J167" s="22">
        <v>157</v>
      </c>
      <c r="K167" s="22">
        <v>0.80902099999999999</v>
      </c>
      <c r="L167">
        <f t="shared" si="24"/>
        <v>16.758271604938273</v>
      </c>
      <c r="M167">
        <f t="shared" si="25"/>
        <v>13.565468940493828</v>
      </c>
      <c r="N167" s="9"/>
      <c r="O167" s="22">
        <v>0.69061300000000003</v>
      </c>
      <c r="P167" s="22">
        <v>10.0328</v>
      </c>
      <c r="Q167" s="22">
        <v>-1.3638300000000001E-2</v>
      </c>
      <c r="R167" s="22">
        <v>157</v>
      </c>
      <c r="S167" s="22">
        <v>0.68984999999999996</v>
      </c>
      <c r="T167">
        <f t="shared" si="26"/>
        <v>16.837407407407408</v>
      </c>
      <c r="U167">
        <f t="shared" si="27"/>
        <v>11.628132441851854</v>
      </c>
      <c r="X167" s="9"/>
      <c r="Y167" s="22">
        <v>0.80947899999999995</v>
      </c>
      <c r="Z167" s="22">
        <v>15.1327</v>
      </c>
      <c r="AA167" s="22">
        <v>-1.3543700000000001E-2</v>
      </c>
      <c r="AB167" s="22">
        <v>157</v>
      </c>
      <c r="AC167" s="22">
        <v>0.80810499999999996</v>
      </c>
      <c r="AD167">
        <f t="shared" si="28"/>
        <v>16.720617283950617</v>
      </c>
      <c r="AE167">
        <f t="shared" si="29"/>
        <v>13.53498855839506</v>
      </c>
      <c r="AF167" s="9"/>
      <c r="AG167" s="22">
        <v>0.69061300000000003</v>
      </c>
      <c r="AH167" s="22">
        <v>18.548999999999999</v>
      </c>
      <c r="AI167" s="22">
        <v>-1.3522299999999999E-2</v>
      </c>
      <c r="AJ167" s="22">
        <v>157</v>
      </c>
      <c r="AK167" s="22">
        <v>0.68978899999999999</v>
      </c>
      <c r="AL167">
        <f t="shared" si="30"/>
        <v>16.694197530864194</v>
      </c>
      <c r="AM167">
        <f t="shared" si="31"/>
        <v>11.529229839382714</v>
      </c>
      <c r="AP167" s="9"/>
      <c r="AQ167" s="22">
        <v>0.80947899999999995</v>
      </c>
      <c r="AR167" s="22">
        <v>23.726900000000001</v>
      </c>
      <c r="AS167" s="22">
        <v>-1.35345E-2</v>
      </c>
      <c r="AT167" s="22">
        <v>157</v>
      </c>
      <c r="AU167" s="22">
        <v>0.80902099999999999</v>
      </c>
      <c r="AV167">
        <f t="shared" si="32"/>
        <v>16.709259259259255</v>
      </c>
      <c r="AW167">
        <f t="shared" si="33"/>
        <v>13.525794475925922</v>
      </c>
      <c r="AX167" s="9"/>
      <c r="AY167" s="22">
        <v>0.69061300000000003</v>
      </c>
      <c r="AZ167" s="22">
        <v>27.1432</v>
      </c>
      <c r="BA167" s="22">
        <v>-1.35681E-2</v>
      </c>
      <c r="BB167" s="22">
        <v>157</v>
      </c>
      <c r="BC167" s="22">
        <v>0.68988000000000005</v>
      </c>
      <c r="BD167">
        <f t="shared" si="34"/>
        <v>16.750740740740738</v>
      </c>
      <c r="BE167">
        <f t="shared" si="35"/>
        <v>11.568279315185185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0.80444300000000002</v>
      </c>
      <c r="H168" s="22">
        <v>6.6265400000000003</v>
      </c>
      <c r="I168" s="22">
        <v>-1.3583400000000001E-2</v>
      </c>
      <c r="J168" s="22">
        <v>158</v>
      </c>
      <c r="K168" s="22">
        <v>0.80322300000000002</v>
      </c>
      <c r="L168">
        <f t="shared" si="24"/>
        <v>16.76962962962963</v>
      </c>
      <c r="M168">
        <f t="shared" si="25"/>
        <v>13.490211168148148</v>
      </c>
      <c r="N168" s="9"/>
      <c r="O168" s="22">
        <v>0.69564800000000004</v>
      </c>
      <c r="P168" s="22">
        <v>10.042899999999999</v>
      </c>
      <c r="Q168" s="22">
        <v>-1.3638300000000001E-2</v>
      </c>
      <c r="R168" s="22">
        <v>158</v>
      </c>
      <c r="S168" s="22">
        <v>0.69491599999999998</v>
      </c>
      <c r="T168">
        <f t="shared" si="26"/>
        <v>16.837407407407408</v>
      </c>
      <c r="U168">
        <f t="shared" si="27"/>
        <v>11.71290878814815</v>
      </c>
      <c r="X168" s="9"/>
      <c r="Y168" s="22">
        <v>0.80444300000000002</v>
      </c>
      <c r="Z168" s="22">
        <v>15.1427</v>
      </c>
      <c r="AA168" s="22">
        <v>-1.3546799999999999E-2</v>
      </c>
      <c r="AB168" s="22">
        <v>158</v>
      </c>
      <c r="AC168" s="22">
        <v>0.80322300000000002</v>
      </c>
      <c r="AD168">
        <f t="shared" si="28"/>
        <v>16.72444444444444</v>
      </c>
      <c r="AE168">
        <f t="shared" si="29"/>
        <v>13.45386226222222</v>
      </c>
      <c r="AF168" s="9"/>
      <c r="AG168" s="22">
        <v>0.69564800000000004</v>
      </c>
      <c r="AH168" s="22">
        <v>18.559100000000001</v>
      </c>
      <c r="AI168" s="22">
        <v>-1.35132E-2</v>
      </c>
      <c r="AJ168" s="22">
        <v>158</v>
      </c>
      <c r="AK168" s="22">
        <v>0.694824</v>
      </c>
      <c r="AL168">
        <f t="shared" si="30"/>
        <v>16.682962962962961</v>
      </c>
      <c r="AM168">
        <f t="shared" si="31"/>
        <v>11.605469819259259</v>
      </c>
      <c r="AP168" s="9"/>
      <c r="AQ168" s="22">
        <v>0.80444300000000002</v>
      </c>
      <c r="AR168" s="22">
        <v>23.736999999999998</v>
      </c>
      <c r="AS168" s="22">
        <v>-1.3528399999999999E-2</v>
      </c>
      <c r="AT168" s="22">
        <v>158</v>
      </c>
      <c r="AU168" s="22">
        <v>0.80322300000000002</v>
      </c>
      <c r="AV168">
        <f t="shared" si="32"/>
        <v>16.701728395061725</v>
      </c>
      <c r="AW168">
        <f t="shared" si="33"/>
        <v>13.43558849530864</v>
      </c>
      <c r="AX168" s="9"/>
      <c r="AY168" s="22">
        <v>0.69564800000000004</v>
      </c>
      <c r="AZ168" s="22">
        <v>27.153300000000002</v>
      </c>
      <c r="BA168" s="22">
        <v>-1.3555899999999999E-2</v>
      </c>
      <c r="BB168" s="22">
        <v>158</v>
      </c>
      <c r="BC168" s="22">
        <v>0.69497699999999996</v>
      </c>
      <c r="BD168">
        <f t="shared" si="34"/>
        <v>16.735679012345678</v>
      </c>
      <c r="BE168">
        <f t="shared" si="35"/>
        <v>11.642141633580247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0.79940800000000001</v>
      </c>
      <c r="H169" s="22">
        <v>6.6366100000000001</v>
      </c>
      <c r="I169" s="22">
        <v>-1.3589499999999999E-2</v>
      </c>
      <c r="J169" s="22">
        <v>159</v>
      </c>
      <c r="K169" s="22">
        <v>0.79834000000000005</v>
      </c>
      <c r="L169">
        <f t="shared" si="24"/>
        <v>16.777160493827161</v>
      </c>
      <c r="M169">
        <f t="shared" si="25"/>
        <v>13.411796316049383</v>
      </c>
      <c r="N169" s="9"/>
      <c r="O169" s="22">
        <v>0.70068399999999997</v>
      </c>
      <c r="P169" s="22">
        <v>10.053000000000001</v>
      </c>
      <c r="Q169" s="22">
        <v>-1.36414E-2</v>
      </c>
      <c r="R169" s="22">
        <v>159</v>
      </c>
      <c r="S169" s="22">
        <v>0.69992100000000002</v>
      </c>
      <c r="T169">
        <f t="shared" si="26"/>
        <v>16.841234567901232</v>
      </c>
      <c r="U169">
        <f t="shared" si="27"/>
        <v>11.800383601975307</v>
      </c>
      <c r="X169" s="9"/>
      <c r="Y169" s="22">
        <v>0.79940800000000001</v>
      </c>
      <c r="Z169" s="22">
        <v>15.152799999999999</v>
      </c>
      <c r="AA169" s="22">
        <v>-1.3549800000000001E-2</v>
      </c>
      <c r="AB169" s="22">
        <v>159</v>
      </c>
      <c r="AC169" s="22">
        <v>0.79834000000000005</v>
      </c>
      <c r="AD169">
        <f t="shared" si="28"/>
        <v>16.728148148148147</v>
      </c>
      <c r="AE169">
        <f t="shared" si="29"/>
        <v>13.372615454814815</v>
      </c>
      <c r="AF169" s="9"/>
      <c r="AG169" s="22">
        <v>0.70068399999999997</v>
      </c>
      <c r="AH169" s="22">
        <v>18.569199999999999</v>
      </c>
      <c r="AI169" s="22">
        <v>-1.3507099999999999E-2</v>
      </c>
      <c r="AJ169" s="22">
        <v>159</v>
      </c>
      <c r="AK169" s="22">
        <v>0.69998199999999999</v>
      </c>
      <c r="AL169">
        <f t="shared" si="30"/>
        <v>16.67543209876543</v>
      </c>
      <c r="AM169">
        <f t="shared" si="31"/>
        <v>11.684208464691356</v>
      </c>
      <c r="AP169" s="9"/>
      <c r="AQ169" s="22">
        <v>0.79940800000000001</v>
      </c>
      <c r="AR169" s="22">
        <v>23.747</v>
      </c>
      <c r="AS169" s="22">
        <v>-1.35345E-2</v>
      </c>
      <c r="AT169" s="22">
        <v>159</v>
      </c>
      <c r="AU169" s="22">
        <v>0.79864500000000005</v>
      </c>
      <c r="AV169">
        <f t="shared" si="32"/>
        <v>16.709259259259255</v>
      </c>
      <c r="AW169">
        <f t="shared" si="33"/>
        <v>13.357515525925923</v>
      </c>
      <c r="AX169" s="9"/>
      <c r="AY169" s="22">
        <v>0.70068399999999997</v>
      </c>
      <c r="AZ169" s="22">
        <v>27.163399999999999</v>
      </c>
      <c r="BA169" s="22">
        <v>-1.3549800000000001E-2</v>
      </c>
      <c r="BB169" s="22">
        <v>159</v>
      </c>
      <c r="BC169" s="22">
        <v>0.69992100000000002</v>
      </c>
      <c r="BD169">
        <f t="shared" si="34"/>
        <v>16.728148148148147</v>
      </c>
      <c r="BE169">
        <f t="shared" si="35"/>
        <v>11.721145757037036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0.794373</v>
      </c>
      <c r="H170" s="22">
        <v>6.6466799999999999</v>
      </c>
      <c r="I170" s="22">
        <v>-1.35925E-2</v>
      </c>
      <c r="J170" s="22">
        <v>160</v>
      </c>
      <c r="K170" s="22">
        <v>0.79345699999999997</v>
      </c>
      <c r="L170">
        <f t="shared" si="24"/>
        <v>16.780864197530864</v>
      </c>
      <c r="M170">
        <f t="shared" si="25"/>
        <v>13.330265435185185</v>
      </c>
      <c r="N170" s="9"/>
      <c r="O170" s="22">
        <v>0.70571899999999999</v>
      </c>
      <c r="P170" s="22">
        <v>10.063000000000001</v>
      </c>
      <c r="Q170" s="22">
        <v>-1.36353E-2</v>
      </c>
      <c r="R170" s="22">
        <v>160</v>
      </c>
      <c r="S170" s="22">
        <v>0.70498700000000003</v>
      </c>
      <c r="T170">
        <f t="shared" si="26"/>
        <v>16.833703703703701</v>
      </c>
      <c r="U170">
        <f t="shared" si="27"/>
        <v>11.879864544074072</v>
      </c>
      <c r="X170" s="9"/>
      <c r="Y170" s="22">
        <v>0.794373</v>
      </c>
      <c r="Z170" s="22">
        <v>15.1629</v>
      </c>
      <c r="AA170" s="22">
        <v>-1.3546799999999999E-2</v>
      </c>
      <c r="AB170" s="22">
        <v>160</v>
      </c>
      <c r="AC170" s="22">
        <v>0.794373</v>
      </c>
      <c r="AD170">
        <f t="shared" si="28"/>
        <v>16.72444444444444</v>
      </c>
      <c r="AE170">
        <f t="shared" si="29"/>
        <v>13.285447106666663</v>
      </c>
      <c r="AF170" s="9"/>
      <c r="AG170" s="22">
        <v>0.70571899999999999</v>
      </c>
      <c r="AH170" s="22">
        <v>18.5792</v>
      </c>
      <c r="AI170" s="22">
        <v>-1.3510100000000001E-2</v>
      </c>
      <c r="AJ170" s="22">
        <v>160</v>
      </c>
      <c r="AK170" s="22">
        <v>0.70498700000000003</v>
      </c>
      <c r="AL170">
        <f t="shared" si="30"/>
        <v>16.679135802469133</v>
      </c>
      <c r="AM170">
        <f t="shared" si="31"/>
        <v>11.770783039382714</v>
      </c>
      <c r="AP170" s="9"/>
      <c r="AQ170" s="22">
        <v>0.794373</v>
      </c>
      <c r="AR170" s="22">
        <v>23.757100000000001</v>
      </c>
      <c r="AS170" s="22">
        <v>-1.35376E-2</v>
      </c>
      <c r="AT170" s="22">
        <v>160</v>
      </c>
      <c r="AU170" s="22">
        <v>0.79376199999999997</v>
      </c>
      <c r="AV170">
        <f t="shared" si="32"/>
        <v>16.713086419753086</v>
      </c>
      <c r="AW170">
        <f t="shared" si="33"/>
        <v>13.276424598518519</v>
      </c>
      <c r="AX170" s="9"/>
      <c r="AY170" s="22">
        <v>0.70571899999999999</v>
      </c>
      <c r="AZ170" s="22">
        <v>27.173400000000001</v>
      </c>
      <c r="BA170" s="22">
        <v>-1.35406E-2</v>
      </c>
      <c r="BB170" s="22">
        <v>160</v>
      </c>
      <c r="BC170" s="22">
        <v>0.70486499999999996</v>
      </c>
      <c r="BD170">
        <f t="shared" si="34"/>
        <v>16.716790123456789</v>
      </c>
      <c r="BE170">
        <f t="shared" si="35"/>
        <v>11.797356409135801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0.78933699999999996</v>
      </c>
      <c r="H171" s="22">
        <v>6.6567499999999997</v>
      </c>
      <c r="I171" s="22">
        <v>-1.35925E-2</v>
      </c>
      <c r="J171" s="22">
        <v>161</v>
      </c>
      <c r="K171" s="22">
        <v>0.788574</v>
      </c>
      <c r="L171">
        <f t="shared" si="24"/>
        <v>16.780864197530864</v>
      </c>
      <c r="M171">
        <f t="shared" si="25"/>
        <v>13.245757003086419</v>
      </c>
      <c r="N171" s="9"/>
      <c r="O171" s="22">
        <v>0.710754</v>
      </c>
      <c r="P171" s="22">
        <v>10.0731</v>
      </c>
      <c r="Q171" s="22">
        <v>-1.362E-2</v>
      </c>
      <c r="R171" s="22">
        <v>161</v>
      </c>
      <c r="S171" s="22">
        <v>0.70996099999999995</v>
      </c>
      <c r="T171">
        <f t="shared" si="26"/>
        <v>16.814814814814813</v>
      </c>
      <c r="U171">
        <f t="shared" si="27"/>
        <v>11.951196888888887</v>
      </c>
      <c r="X171" s="9"/>
      <c r="Y171" s="22">
        <v>0.78933699999999996</v>
      </c>
      <c r="Z171" s="22">
        <v>15.173</v>
      </c>
      <c r="AA171" s="22">
        <v>-1.3549800000000001E-2</v>
      </c>
      <c r="AB171" s="22">
        <v>161</v>
      </c>
      <c r="AC171" s="22">
        <v>0.788269</v>
      </c>
      <c r="AD171">
        <f t="shared" si="28"/>
        <v>16.728148148148147</v>
      </c>
      <c r="AE171">
        <f t="shared" si="29"/>
        <v>13.204146274814812</v>
      </c>
      <c r="AF171" s="9"/>
      <c r="AG171" s="22">
        <v>0.710754</v>
      </c>
      <c r="AH171" s="22">
        <v>18.589300000000001</v>
      </c>
      <c r="AI171" s="22">
        <v>-1.3501000000000001E-2</v>
      </c>
      <c r="AJ171" s="22">
        <v>161</v>
      </c>
      <c r="AK171" s="22">
        <v>0.70996099999999995</v>
      </c>
      <c r="AL171">
        <f t="shared" si="30"/>
        <v>16.667901234567903</v>
      </c>
      <c r="AM171">
        <f t="shared" si="31"/>
        <v>11.846777474074075</v>
      </c>
      <c r="AP171" s="9"/>
      <c r="AQ171" s="22">
        <v>0.78933699999999996</v>
      </c>
      <c r="AR171" s="22">
        <v>23.767199999999999</v>
      </c>
      <c r="AS171" s="22">
        <v>-1.3543700000000001E-2</v>
      </c>
      <c r="AT171" s="22">
        <v>161</v>
      </c>
      <c r="AU171" s="22">
        <v>0.788269</v>
      </c>
      <c r="AV171">
        <f t="shared" si="32"/>
        <v>16.720617283950617</v>
      </c>
      <c r="AW171">
        <f t="shared" si="33"/>
        <v>13.198201885061728</v>
      </c>
      <c r="AX171" s="9"/>
      <c r="AY171" s="22">
        <v>0.710754</v>
      </c>
      <c r="AZ171" s="22">
        <v>27.183499999999999</v>
      </c>
      <c r="BA171" s="22">
        <v>-1.3522299999999999E-2</v>
      </c>
      <c r="BB171" s="22">
        <v>161</v>
      </c>
      <c r="BC171" s="22">
        <v>0.71005200000000002</v>
      </c>
      <c r="BD171">
        <f t="shared" si="34"/>
        <v>16.694197530864194</v>
      </c>
      <c r="BE171">
        <f t="shared" si="35"/>
        <v>11.865467671851849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0.78430200000000005</v>
      </c>
      <c r="H172" s="22">
        <v>6.6668200000000004</v>
      </c>
      <c r="I172" s="22">
        <v>-1.3595599999999999E-2</v>
      </c>
      <c r="J172" s="22">
        <v>162</v>
      </c>
      <c r="K172" s="22">
        <v>0.78399700000000005</v>
      </c>
      <c r="L172">
        <f t="shared" si="24"/>
        <v>16.784691358024691</v>
      </c>
      <c r="M172">
        <f t="shared" si="25"/>
        <v>13.164267001481482</v>
      </c>
      <c r="N172" s="9"/>
      <c r="O172" s="22">
        <v>0.71579000000000004</v>
      </c>
      <c r="P172" s="22">
        <v>10.0832</v>
      </c>
      <c r="Q172" s="22">
        <v>-1.36139E-2</v>
      </c>
      <c r="R172" s="22">
        <v>162</v>
      </c>
      <c r="S172" s="22">
        <v>0.71511800000000003</v>
      </c>
      <c r="T172">
        <f t="shared" si="26"/>
        <v>16.807283950617283</v>
      </c>
      <c r="U172">
        <f t="shared" si="27"/>
        <v>12.030485779012345</v>
      </c>
      <c r="X172" s="9"/>
      <c r="Y172" s="22">
        <v>0.78430200000000005</v>
      </c>
      <c r="Z172" s="22">
        <v>15.183</v>
      </c>
      <c r="AA172" s="22">
        <v>-1.3559E-2</v>
      </c>
      <c r="AB172" s="22">
        <v>162</v>
      </c>
      <c r="AC172" s="22">
        <v>0.78338600000000003</v>
      </c>
      <c r="AD172">
        <f t="shared" si="28"/>
        <v>16.739506172839505</v>
      </c>
      <c r="AE172">
        <f t="shared" si="29"/>
        <v>13.128828170370371</v>
      </c>
      <c r="AF172" s="9"/>
      <c r="AG172" s="22">
        <v>0.71579000000000004</v>
      </c>
      <c r="AH172" s="22">
        <v>18.599399999999999</v>
      </c>
      <c r="AI172" s="22">
        <v>-1.3501000000000001E-2</v>
      </c>
      <c r="AJ172" s="22">
        <v>162</v>
      </c>
      <c r="AK172" s="22">
        <v>0.71517900000000001</v>
      </c>
      <c r="AL172">
        <f t="shared" si="30"/>
        <v>16.667901234567903</v>
      </c>
      <c r="AM172">
        <f t="shared" si="31"/>
        <v>11.93071702469136</v>
      </c>
      <c r="AP172" s="9"/>
      <c r="AQ172" s="22">
        <v>0.78430200000000005</v>
      </c>
      <c r="AR172" s="22">
        <v>23.777200000000001</v>
      </c>
      <c r="AS172" s="22">
        <v>-1.35315E-2</v>
      </c>
      <c r="AT172" s="22">
        <v>162</v>
      </c>
      <c r="AU172" s="22">
        <v>0.78277600000000003</v>
      </c>
      <c r="AV172">
        <f t="shared" si="32"/>
        <v>16.705555555555552</v>
      </c>
      <c r="AW172">
        <f t="shared" si="33"/>
        <v>13.102200633333332</v>
      </c>
      <c r="AX172" s="9"/>
      <c r="AY172" s="22">
        <v>0.71579000000000004</v>
      </c>
      <c r="AZ172" s="22">
        <v>27.1936</v>
      </c>
      <c r="BA172" s="22">
        <v>-1.35132E-2</v>
      </c>
      <c r="BB172" s="22">
        <v>162</v>
      </c>
      <c r="BC172" s="22">
        <v>0.71511800000000003</v>
      </c>
      <c r="BD172">
        <f t="shared" si="34"/>
        <v>16.682962962962961</v>
      </c>
      <c r="BE172">
        <f t="shared" si="35"/>
        <v>11.941498059259258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0.77926600000000001</v>
      </c>
      <c r="H173" s="22">
        <v>6.6768900000000002</v>
      </c>
      <c r="I173" s="22">
        <v>-1.3598600000000001E-2</v>
      </c>
      <c r="J173" s="22">
        <v>163</v>
      </c>
      <c r="K173" s="22">
        <v>0.77819799999999995</v>
      </c>
      <c r="L173">
        <f t="shared" si="24"/>
        <v>16.788395061728394</v>
      </c>
      <c r="M173">
        <f t="shared" si="25"/>
        <v>13.082625466172839</v>
      </c>
      <c r="N173" s="9"/>
      <c r="O173" s="22">
        <v>0.72082500000000005</v>
      </c>
      <c r="P173" s="22">
        <v>10.0932</v>
      </c>
      <c r="Q173" s="22">
        <v>-1.3604700000000001E-2</v>
      </c>
      <c r="R173" s="22">
        <v>163</v>
      </c>
      <c r="S173" s="22">
        <v>0.72012299999999996</v>
      </c>
      <c r="T173">
        <f t="shared" si="26"/>
        <v>16.795925925925925</v>
      </c>
      <c r="U173">
        <f t="shared" si="27"/>
        <v>12.106923305555556</v>
      </c>
      <c r="X173" s="9"/>
      <c r="Y173" s="22">
        <v>0.77926600000000001</v>
      </c>
      <c r="Z173" s="22">
        <v>15.193099999999999</v>
      </c>
      <c r="AA173" s="22">
        <v>-1.3561999999999999E-2</v>
      </c>
      <c r="AB173" s="22">
        <v>163</v>
      </c>
      <c r="AC173" s="22">
        <v>0.77758799999999995</v>
      </c>
      <c r="AD173">
        <f t="shared" si="28"/>
        <v>16.743209876543208</v>
      </c>
      <c r="AE173">
        <f t="shared" si="29"/>
        <v>13.04741418765432</v>
      </c>
      <c r="AF173" s="9"/>
      <c r="AG173" s="22">
        <v>0.72082500000000005</v>
      </c>
      <c r="AH173" s="22">
        <v>18.609500000000001</v>
      </c>
      <c r="AI173" s="22">
        <v>-1.34979E-2</v>
      </c>
      <c r="AJ173" s="22">
        <v>163</v>
      </c>
      <c r="AK173" s="22">
        <v>0.72006199999999998</v>
      </c>
      <c r="AL173">
        <f t="shared" si="30"/>
        <v>16.664074074074072</v>
      </c>
      <c r="AM173">
        <f t="shared" si="31"/>
        <v>12.011881194444443</v>
      </c>
      <c r="AP173" s="9"/>
      <c r="AQ173" s="22">
        <v>0.77926600000000001</v>
      </c>
      <c r="AR173" s="22">
        <v>23.787299999999998</v>
      </c>
      <c r="AS173" s="22">
        <v>-1.3528399999999999E-2</v>
      </c>
      <c r="AT173" s="22">
        <v>163</v>
      </c>
      <c r="AU173" s="22">
        <v>0.77819799999999995</v>
      </c>
      <c r="AV173">
        <f t="shared" si="32"/>
        <v>16.701728395061725</v>
      </c>
      <c r="AW173">
        <f t="shared" si="33"/>
        <v>13.01508907950617</v>
      </c>
      <c r="AX173" s="9"/>
      <c r="AY173" s="22">
        <v>0.72082500000000005</v>
      </c>
      <c r="AZ173" s="22">
        <v>27.203700000000001</v>
      </c>
      <c r="BA173" s="22">
        <v>-1.3510100000000001E-2</v>
      </c>
      <c r="BB173" s="22">
        <v>163</v>
      </c>
      <c r="BC173" s="22">
        <v>0.720001</v>
      </c>
      <c r="BD173">
        <f t="shared" si="34"/>
        <v>16.679135802469133</v>
      </c>
      <c r="BE173">
        <f t="shared" si="35"/>
        <v>12.022738064814813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0.774231</v>
      </c>
      <c r="H174" s="22">
        <v>6.6869699999999996</v>
      </c>
      <c r="I174" s="22">
        <v>-1.3604700000000001E-2</v>
      </c>
      <c r="J174" s="22">
        <v>164</v>
      </c>
      <c r="K174" s="22">
        <v>0.77300999999999997</v>
      </c>
      <c r="L174">
        <f t="shared" si="24"/>
        <v>16.795925925925925</v>
      </c>
      <c r="M174">
        <f t="shared" si="25"/>
        <v>13.003926525555555</v>
      </c>
      <c r="N174" s="9"/>
      <c r="O174" s="22">
        <v>0.72586099999999998</v>
      </c>
      <c r="P174" s="22">
        <v>10.103300000000001</v>
      </c>
      <c r="Q174" s="22">
        <v>-1.36017E-2</v>
      </c>
      <c r="R174" s="22">
        <v>164</v>
      </c>
      <c r="S174" s="22">
        <v>0.72512799999999999</v>
      </c>
      <c r="T174">
        <f t="shared" si="26"/>
        <v>16.792222222222222</v>
      </c>
      <c r="U174">
        <f t="shared" si="27"/>
        <v>12.188819214444443</v>
      </c>
      <c r="X174" s="9"/>
      <c r="Y174" s="22">
        <v>0.774231</v>
      </c>
      <c r="Z174" s="22">
        <v>15.203200000000001</v>
      </c>
      <c r="AA174" s="22">
        <v>-1.3559E-2</v>
      </c>
      <c r="AB174" s="22">
        <v>164</v>
      </c>
      <c r="AC174" s="22">
        <v>0.773926</v>
      </c>
      <c r="AD174">
        <f t="shared" si="28"/>
        <v>16.739506172839505</v>
      </c>
      <c r="AE174">
        <f t="shared" si="29"/>
        <v>12.960244603703703</v>
      </c>
      <c r="AF174" s="9"/>
      <c r="AG174" s="22">
        <v>0.72586099999999998</v>
      </c>
      <c r="AH174" s="22">
        <v>18.619499999999999</v>
      </c>
      <c r="AI174" s="22">
        <v>-1.34827E-2</v>
      </c>
      <c r="AJ174" s="22">
        <v>164</v>
      </c>
      <c r="AK174" s="22">
        <v>0.72518899999999997</v>
      </c>
      <c r="AL174">
        <f t="shared" si="30"/>
        <v>16.645308641975308</v>
      </c>
      <c r="AM174">
        <f t="shared" si="31"/>
        <v>12.08218037617284</v>
      </c>
      <c r="AP174" s="9"/>
      <c r="AQ174" s="22">
        <v>0.774231</v>
      </c>
      <c r="AR174" s="22">
        <v>23.7974</v>
      </c>
      <c r="AS174" s="22">
        <v>-1.35345E-2</v>
      </c>
      <c r="AT174" s="22">
        <v>164</v>
      </c>
      <c r="AU174" s="22">
        <v>0.77331499999999997</v>
      </c>
      <c r="AV174">
        <f t="shared" si="32"/>
        <v>16.709259259259255</v>
      </c>
      <c r="AW174">
        <f t="shared" si="33"/>
        <v>12.936826505555553</v>
      </c>
      <c r="AX174" s="9"/>
      <c r="AY174" s="22">
        <v>0.72586099999999998</v>
      </c>
      <c r="AZ174" s="22">
        <v>27.213699999999999</v>
      </c>
      <c r="BA174" s="22">
        <v>-1.3501000000000001E-2</v>
      </c>
      <c r="BB174" s="22">
        <v>164</v>
      </c>
      <c r="BC174" s="22">
        <v>0.72506700000000002</v>
      </c>
      <c r="BD174">
        <f t="shared" si="34"/>
        <v>16.667901234567903</v>
      </c>
      <c r="BE174">
        <f t="shared" si="35"/>
        <v>12.098579458024693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0.76919599999999999</v>
      </c>
      <c r="H175" s="22">
        <v>6.6970400000000003</v>
      </c>
      <c r="I175" s="22">
        <v>-1.3616899999999999E-2</v>
      </c>
      <c r="J175" s="22">
        <v>165</v>
      </c>
      <c r="K175" s="22">
        <v>0.767822</v>
      </c>
      <c r="L175">
        <f t="shared" si="24"/>
        <v>16.810987654320986</v>
      </c>
      <c r="M175">
        <f t="shared" si="25"/>
        <v>12.930944459753086</v>
      </c>
      <c r="N175" s="9"/>
      <c r="O175" s="22">
        <v>0.73089599999999999</v>
      </c>
      <c r="P175" s="22">
        <v>10.1134</v>
      </c>
      <c r="Q175" s="22">
        <v>-1.36017E-2</v>
      </c>
      <c r="R175" s="22">
        <v>165</v>
      </c>
      <c r="S175" s="22">
        <v>0.73010299999999995</v>
      </c>
      <c r="T175">
        <f t="shared" si="26"/>
        <v>16.792222222222222</v>
      </c>
      <c r="U175">
        <f t="shared" si="27"/>
        <v>12.273368053333332</v>
      </c>
      <c r="X175" s="9"/>
      <c r="Y175" s="22">
        <v>0.76919599999999999</v>
      </c>
      <c r="Z175" s="22">
        <v>15.213200000000001</v>
      </c>
      <c r="AA175" s="22">
        <v>-1.3546799999999999E-2</v>
      </c>
      <c r="AB175" s="22">
        <v>165</v>
      </c>
      <c r="AC175" s="22">
        <v>0.768127</v>
      </c>
      <c r="AD175">
        <f t="shared" si="28"/>
        <v>16.72444444444444</v>
      </c>
      <c r="AE175">
        <f t="shared" si="29"/>
        <v>12.864375768888886</v>
      </c>
      <c r="AF175" s="9"/>
      <c r="AG175" s="22">
        <v>0.73089599999999999</v>
      </c>
      <c r="AH175" s="22">
        <v>18.6296</v>
      </c>
      <c r="AI175" s="22">
        <v>-1.34766E-2</v>
      </c>
      <c r="AJ175" s="22">
        <v>165</v>
      </c>
      <c r="AK175" s="22">
        <v>0.73001099999999997</v>
      </c>
      <c r="AL175">
        <f t="shared" si="30"/>
        <v>16.637777777777774</v>
      </c>
      <c r="AM175">
        <f t="shared" si="31"/>
        <v>12.160485226666664</v>
      </c>
      <c r="AP175" s="9"/>
      <c r="AQ175" s="22">
        <v>0.76919599999999999</v>
      </c>
      <c r="AR175" s="22">
        <v>23.807500000000001</v>
      </c>
      <c r="AS175" s="22">
        <v>-1.3546799999999999E-2</v>
      </c>
      <c r="AT175" s="22">
        <v>165</v>
      </c>
      <c r="AU175" s="22">
        <v>0.76843300000000003</v>
      </c>
      <c r="AV175">
        <f t="shared" si="32"/>
        <v>16.72444444444444</v>
      </c>
      <c r="AW175">
        <f t="shared" si="33"/>
        <v>12.864375768888886</v>
      </c>
      <c r="AX175" s="9"/>
      <c r="AY175" s="22">
        <v>0.73089599999999999</v>
      </c>
      <c r="AZ175" s="22">
        <v>27.223800000000001</v>
      </c>
      <c r="BA175" s="22">
        <v>-1.34918E-2</v>
      </c>
      <c r="BB175" s="22">
        <v>165</v>
      </c>
      <c r="BC175" s="22">
        <v>0.73025499999999999</v>
      </c>
      <c r="BD175">
        <f t="shared" si="34"/>
        <v>16.656543209876542</v>
      </c>
      <c r="BE175">
        <f t="shared" si="35"/>
        <v>12.174200805925924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0.76415999999999995</v>
      </c>
      <c r="H176" s="22">
        <v>6.7071100000000001</v>
      </c>
      <c r="I176" s="22">
        <v>-1.36261E-2</v>
      </c>
      <c r="J176" s="22">
        <v>166</v>
      </c>
      <c r="K176" s="22">
        <v>0.76324499999999995</v>
      </c>
      <c r="L176">
        <f t="shared" si="24"/>
        <v>16.822345679012344</v>
      </c>
      <c r="M176">
        <f t="shared" si="25"/>
        <v>12.854963674074071</v>
      </c>
      <c r="N176" s="9"/>
      <c r="O176" s="22">
        <v>0.735931</v>
      </c>
      <c r="P176" s="22">
        <v>10.1235</v>
      </c>
      <c r="Q176" s="22">
        <v>-1.3604700000000001E-2</v>
      </c>
      <c r="R176" s="22">
        <v>166</v>
      </c>
      <c r="S176" s="22">
        <v>0.73516800000000004</v>
      </c>
      <c r="T176">
        <f t="shared" si="26"/>
        <v>16.795925925925925</v>
      </c>
      <c r="U176">
        <f t="shared" si="27"/>
        <v>12.360642562592592</v>
      </c>
      <c r="X176" s="9"/>
      <c r="Y176" s="22">
        <v>0.76415999999999995</v>
      </c>
      <c r="Z176" s="22">
        <v>15.2233</v>
      </c>
      <c r="AA176" s="22">
        <v>-1.35529E-2</v>
      </c>
      <c r="AB176" s="22">
        <v>166</v>
      </c>
      <c r="AC176" s="22">
        <v>0.76324499999999995</v>
      </c>
      <c r="AD176">
        <f t="shared" si="28"/>
        <v>16.731975308641974</v>
      </c>
      <c r="AE176">
        <f t="shared" si="29"/>
        <v>12.78590625185185</v>
      </c>
      <c r="AF176" s="9"/>
      <c r="AG176" s="22">
        <v>0.735931</v>
      </c>
      <c r="AH176" s="22">
        <v>18.639700000000001</v>
      </c>
      <c r="AI176" s="22">
        <v>-1.34705E-2</v>
      </c>
      <c r="AJ176" s="22">
        <v>166</v>
      </c>
      <c r="AK176" s="22">
        <v>0.73519900000000005</v>
      </c>
      <c r="AL176">
        <f t="shared" si="30"/>
        <v>16.630246913580244</v>
      </c>
      <c r="AM176">
        <f t="shared" si="31"/>
        <v>12.238714241358023</v>
      </c>
      <c r="AP176" s="9"/>
      <c r="AQ176" s="22">
        <v>0.76415999999999995</v>
      </c>
      <c r="AR176" s="22">
        <v>23.817499999999999</v>
      </c>
      <c r="AS176" s="22">
        <v>-1.3555899999999999E-2</v>
      </c>
      <c r="AT176" s="22">
        <v>166</v>
      </c>
      <c r="AU176" s="22">
        <v>0.76415999999999995</v>
      </c>
      <c r="AV176">
        <f t="shared" si="32"/>
        <v>16.735679012345678</v>
      </c>
      <c r="AW176">
        <f t="shared" si="33"/>
        <v>12.788736474074073</v>
      </c>
      <c r="AX176" s="9"/>
      <c r="AY176" s="22">
        <v>0.735931</v>
      </c>
      <c r="AZ176" s="22">
        <v>27.233899999999998</v>
      </c>
      <c r="BA176" s="22">
        <v>-1.34979E-2</v>
      </c>
      <c r="BB176" s="22">
        <v>166</v>
      </c>
      <c r="BC176" s="22">
        <v>0.73516800000000004</v>
      </c>
      <c r="BD176">
        <f t="shared" si="34"/>
        <v>16.664074074074072</v>
      </c>
      <c r="BE176">
        <f t="shared" si="35"/>
        <v>12.263608697407406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0.75912500000000005</v>
      </c>
      <c r="H177" s="22">
        <v>6.7171799999999999</v>
      </c>
      <c r="I177" s="22">
        <v>-1.3610799999999999E-2</v>
      </c>
      <c r="J177" s="22">
        <v>167</v>
      </c>
      <c r="K177" s="22">
        <v>0.75805699999999998</v>
      </c>
      <c r="L177">
        <f t="shared" si="24"/>
        <v>16.803456790123455</v>
      </c>
      <c r="M177">
        <f t="shared" si="25"/>
        <v>12.755924135802468</v>
      </c>
      <c r="N177" s="9"/>
      <c r="O177" s="22">
        <v>0.74096700000000004</v>
      </c>
      <c r="P177" s="22">
        <v>10.1335</v>
      </c>
      <c r="Q177" s="22">
        <v>-1.35925E-2</v>
      </c>
      <c r="R177" s="22">
        <v>167</v>
      </c>
      <c r="S177" s="22">
        <v>0.740143</v>
      </c>
      <c r="T177">
        <f t="shared" si="26"/>
        <v>16.780864197530864</v>
      </c>
      <c r="U177">
        <f t="shared" si="27"/>
        <v>12.434066601851852</v>
      </c>
      <c r="X177" s="9"/>
      <c r="Y177" s="22">
        <v>0.75912500000000005</v>
      </c>
      <c r="Z177" s="22">
        <v>15.2334</v>
      </c>
      <c r="AA177" s="22">
        <v>-1.3555899999999999E-2</v>
      </c>
      <c r="AB177" s="22">
        <v>167</v>
      </c>
      <c r="AC177" s="22">
        <v>0.75836199999999998</v>
      </c>
      <c r="AD177">
        <f t="shared" si="28"/>
        <v>16.735679012345678</v>
      </c>
      <c r="AE177">
        <f t="shared" si="29"/>
        <v>12.704472330246913</v>
      </c>
      <c r="AF177" s="9"/>
      <c r="AG177" s="22">
        <v>0.74096700000000004</v>
      </c>
      <c r="AH177" s="22">
        <v>18.649699999999999</v>
      </c>
      <c r="AI177" s="22">
        <v>-1.34766E-2</v>
      </c>
      <c r="AJ177" s="22">
        <v>167</v>
      </c>
      <c r="AK177" s="22">
        <v>0.74026499999999995</v>
      </c>
      <c r="AL177">
        <f t="shared" si="30"/>
        <v>16.637777777777774</v>
      </c>
      <c r="AM177">
        <f t="shared" si="31"/>
        <v>12.328044286666666</v>
      </c>
      <c r="AP177" s="9"/>
      <c r="AQ177" s="22">
        <v>0.75912500000000005</v>
      </c>
      <c r="AR177" s="22">
        <v>23.8276</v>
      </c>
      <c r="AS177" s="22">
        <v>-1.35681E-2</v>
      </c>
      <c r="AT177" s="22">
        <v>167</v>
      </c>
      <c r="AU177" s="22">
        <v>0.75775099999999995</v>
      </c>
      <c r="AV177">
        <f t="shared" si="32"/>
        <v>16.750740740740738</v>
      </c>
      <c r="AW177">
        <f t="shared" si="33"/>
        <v>12.715906064814813</v>
      </c>
      <c r="AX177" s="9"/>
      <c r="AY177" s="22">
        <v>0.74096700000000004</v>
      </c>
      <c r="AZ177" s="22">
        <v>27.2439</v>
      </c>
      <c r="BA177" s="22">
        <v>-1.34888E-2</v>
      </c>
      <c r="BB177" s="22">
        <v>167</v>
      </c>
      <c r="BC177" s="22">
        <v>0.74032600000000004</v>
      </c>
      <c r="BD177">
        <f t="shared" si="34"/>
        <v>16.652839506172839</v>
      </c>
      <c r="BE177">
        <f t="shared" si="35"/>
        <v>12.33920453037037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0.75408900000000001</v>
      </c>
      <c r="H178" s="22">
        <v>6.7272499999999997</v>
      </c>
      <c r="I178" s="22">
        <v>-1.3610799999999999E-2</v>
      </c>
      <c r="J178" s="22">
        <v>168</v>
      </c>
      <c r="K178" s="22">
        <v>0.75317400000000001</v>
      </c>
      <c r="L178">
        <f t="shared" si="24"/>
        <v>16.803456790123455</v>
      </c>
      <c r="M178">
        <f t="shared" si="25"/>
        <v>12.671301927407406</v>
      </c>
      <c r="N178" s="9"/>
      <c r="O178" s="22">
        <v>0.74600200000000005</v>
      </c>
      <c r="P178" s="22">
        <v>10.143599999999999</v>
      </c>
      <c r="Q178" s="22">
        <v>-1.3583400000000001E-2</v>
      </c>
      <c r="R178" s="22">
        <v>168</v>
      </c>
      <c r="S178" s="22">
        <v>0.74520900000000001</v>
      </c>
      <c r="T178">
        <f t="shared" si="26"/>
        <v>16.76962962962963</v>
      </c>
      <c r="U178">
        <f t="shared" si="27"/>
        <v>12.510177242962964</v>
      </c>
      <c r="X178" s="9"/>
      <c r="Y178" s="22">
        <v>0.75408900000000001</v>
      </c>
      <c r="Z178" s="22">
        <v>15.243499999999999</v>
      </c>
      <c r="AA178" s="22">
        <v>-1.3561999999999999E-2</v>
      </c>
      <c r="AB178" s="22">
        <v>168</v>
      </c>
      <c r="AC178" s="22">
        <v>0.75286900000000001</v>
      </c>
      <c r="AD178">
        <f t="shared" si="28"/>
        <v>16.743209876543208</v>
      </c>
      <c r="AE178">
        <f t="shared" si="29"/>
        <v>12.625870392592592</v>
      </c>
      <c r="AF178" s="9"/>
      <c r="AG178" s="22">
        <v>0.74600200000000005</v>
      </c>
      <c r="AH178" s="22">
        <v>18.659800000000001</v>
      </c>
      <c r="AI178" s="22">
        <v>-1.3473499999999999E-2</v>
      </c>
      <c r="AJ178" s="22">
        <v>168</v>
      </c>
      <c r="AK178" s="22">
        <v>0.74533099999999997</v>
      </c>
      <c r="AL178">
        <f t="shared" si="30"/>
        <v>16.633950617283947</v>
      </c>
      <c r="AM178">
        <f t="shared" si="31"/>
        <v>12.40896042839506</v>
      </c>
      <c r="AP178" s="9"/>
      <c r="AQ178" s="22">
        <v>0.75408900000000001</v>
      </c>
      <c r="AR178" s="22">
        <v>23.837700000000002</v>
      </c>
      <c r="AS178" s="22">
        <v>-1.36017E-2</v>
      </c>
      <c r="AT178" s="22">
        <v>168</v>
      </c>
      <c r="AU178" s="22">
        <v>0.75286900000000001</v>
      </c>
      <c r="AV178">
        <f t="shared" si="32"/>
        <v>16.792222222222222</v>
      </c>
      <c r="AW178">
        <f t="shared" si="33"/>
        <v>12.662830063333333</v>
      </c>
      <c r="AX178" s="9"/>
      <c r="AY178" s="22">
        <v>0.74600200000000005</v>
      </c>
      <c r="AZ178" s="22">
        <v>27.254000000000001</v>
      </c>
      <c r="BA178" s="22">
        <v>-1.34827E-2</v>
      </c>
      <c r="BB178" s="22">
        <v>168</v>
      </c>
      <c r="BC178" s="22">
        <v>0.74526999999999999</v>
      </c>
      <c r="BD178">
        <f t="shared" si="34"/>
        <v>16.645308641975308</v>
      </c>
      <c r="BE178">
        <f t="shared" si="35"/>
        <v>12.417433537530865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0.749054</v>
      </c>
      <c r="H179" s="22">
        <v>6.7373200000000004</v>
      </c>
      <c r="I179" s="22">
        <v>-1.3604700000000001E-2</v>
      </c>
      <c r="J179" s="22">
        <v>169</v>
      </c>
      <c r="K179" s="22">
        <v>0.74829100000000004</v>
      </c>
      <c r="L179">
        <f t="shared" si="24"/>
        <v>16.795925925925925</v>
      </c>
      <c r="M179">
        <f t="shared" si="25"/>
        <v>12.581055498518518</v>
      </c>
      <c r="N179" s="9"/>
      <c r="O179" s="22">
        <v>0.75103799999999998</v>
      </c>
      <c r="P179" s="22">
        <v>10.153700000000001</v>
      </c>
      <c r="Q179" s="22">
        <v>-1.35742E-2</v>
      </c>
      <c r="R179" s="22">
        <v>169</v>
      </c>
      <c r="S179" s="22">
        <v>0.75027500000000003</v>
      </c>
      <c r="T179">
        <f t="shared" si="26"/>
        <v>16.758271604938273</v>
      </c>
      <c r="U179">
        <f t="shared" si="27"/>
        <v>12.586098789629631</v>
      </c>
      <c r="X179" s="9"/>
      <c r="Y179" s="22">
        <v>0.749054</v>
      </c>
      <c r="Z179" s="22">
        <v>15.253500000000001</v>
      </c>
      <c r="AA179" s="22">
        <v>-1.35742E-2</v>
      </c>
      <c r="AB179" s="22">
        <v>169</v>
      </c>
      <c r="AC179" s="22">
        <v>0.74832200000000004</v>
      </c>
      <c r="AD179">
        <f t="shared" si="28"/>
        <v>16.758271604938273</v>
      </c>
      <c r="AE179">
        <f t="shared" si="29"/>
        <v>12.552850378765433</v>
      </c>
      <c r="AF179" s="9"/>
      <c r="AG179" s="22">
        <v>0.75103799999999998</v>
      </c>
      <c r="AH179" s="22">
        <v>18.669899999999998</v>
      </c>
      <c r="AI179" s="22">
        <v>-1.34705E-2</v>
      </c>
      <c r="AJ179" s="22">
        <v>169</v>
      </c>
      <c r="AK179" s="22">
        <v>0.75027500000000003</v>
      </c>
      <c r="AL179">
        <f t="shared" si="30"/>
        <v>16.630246913580244</v>
      </c>
      <c r="AM179">
        <f t="shared" si="31"/>
        <v>12.489947381481478</v>
      </c>
      <c r="AP179" s="9"/>
      <c r="AQ179" s="22">
        <v>0.749054</v>
      </c>
      <c r="AR179" s="22">
        <v>23.8477</v>
      </c>
      <c r="AS179" s="22">
        <v>-1.36017E-2</v>
      </c>
      <c r="AT179" s="22">
        <v>169</v>
      </c>
      <c r="AU179" s="22">
        <v>0.74822999999999995</v>
      </c>
      <c r="AV179">
        <f t="shared" si="32"/>
        <v>16.792222222222222</v>
      </c>
      <c r="AW179">
        <f t="shared" si="33"/>
        <v>12.578281224444444</v>
      </c>
      <c r="AX179" s="9"/>
      <c r="AY179" s="22">
        <v>0.75103799999999998</v>
      </c>
      <c r="AZ179" s="22">
        <v>27.264099999999999</v>
      </c>
      <c r="BA179" s="22">
        <v>-1.34796E-2</v>
      </c>
      <c r="BB179" s="22">
        <v>169</v>
      </c>
      <c r="BC179" s="22">
        <v>0.750305</v>
      </c>
      <c r="BD179">
        <f t="shared" si="34"/>
        <v>16.641481481481478</v>
      </c>
      <c r="BE179">
        <f t="shared" si="35"/>
        <v>12.498384968888885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0.74401899999999999</v>
      </c>
      <c r="H180" s="22">
        <v>6.7473900000000002</v>
      </c>
      <c r="I180" s="22">
        <v>-1.3604700000000001E-2</v>
      </c>
      <c r="J180" s="22">
        <v>170</v>
      </c>
      <c r="K180" s="22">
        <v>0.743286</v>
      </c>
      <c r="L180">
        <f t="shared" si="24"/>
        <v>16.795925925925925</v>
      </c>
      <c r="M180">
        <f t="shared" si="25"/>
        <v>12.49648801148148</v>
      </c>
      <c r="N180" s="9"/>
      <c r="O180" s="22">
        <v>0.756073</v>
      </c>
      <c r="P180" s="22">
        <v>10.1637</v>
      </c>
      <c r="Q180" s="22">
        <v>-1.3555899999999999E-2</v>
      </c>
      <c r="R180" s="22">
        <v>170</v>
      </c>
      <c r="S180" s="22">
        <v>0.75500500000000004</v>
      </c>
      <c r="T180">
        <f t="shared" si="26"/>
        <v>16.735679012345678</v>
      </c>
      <c r="U180">
        <f t="shared" si="27"/>
        <v>12.653395037901234</v>
      </c>
      <c r="X180" s="9"/>
      <c r="Y180" s="22">
        <v>0.74401899999999999</v>
      </c>
      <c r="Z180" s="22">
        <v>15.2636</v>
      </c>
      <c r="AA180" s="22">
        <v>-1.35773E-2</v>
      </c>
      <c r="AB180" s="22">
        <v>170</v>
      </c>
      <c r="AC180" s="22">
        <v>0.74325600000000003</v>
      </c>
      <c r="AD180">
        <f t="shared" si="28"/>
        <v>16.7620987654321</v>
      </c>
      <c r="AE180">
        <f t="shared" si="29"/>
        <v>12.471319961358025</v>
      </c>
      <c r="AF180" s="9"/>
      <c r="AG180" s="22">
        <v>0.756073</v>
      </c>
      <c r="AH180" s="22">
        <v>18.6799</v>
      </c>
      <c r="AI180" s="22">
        <v>-1.3467399999999999E-2</v>
      </c>
      <c r="AJ180" s="22">
        <v>170</v>
      </c>
      <c r="AK180" s="22">
        <v>0.75531000000000004</v>
      </c>
      <c r="AL180">
        <f t="shared" si="30"/>
        <v>16.626419753086417</v>
      </c>
      <c r="AM180">
        <f t="shared" si="31"/>
        <v>12.570787061975306</v>
      </c>
      <c r="AP180" s="9"/>
      <c r="AQ180" s="22">
        <v>0.74401899999999999</v>
      </c>
      <c r="AR180" s="22">
        <v>23.857800000000001</v>
      </c>
      <c r="AS180" s="22">
        <v>-1.3598600000000001E-2</v>
      </c>
      <c r="AT180" s="22">
        <v>170</v>
      </c>
      <c r="AU180" s="22">
        <v>0.743286</v>
      </c>
      <c r="AV180">
        <f t="shared" si="32"/>
        <v>16.788395061728394</v>
      </c>
      <c r="AW180">
        <f t="shared" si="33"/>
        <v>12.490884905432099</v>
      </c>
      <c r="AX180" s="9"/>
      <c r="AY180" s="22">
        <v>0.756073</v>
      </c>
      <c r="AZ180" s="22">
        <v>27.2742</v>
      </c>
      <c r="BA180" s="22">
        <v>-1.34766E-2</v>
      </c>
      <c r="BB180" s="22">
        <v>170</v>
      </c>
      <c r="BC180" s="22">
        <v>0.75470000000000004</v>
      </c>
      <c r="BD180">
        <f t="shared" si="34"/>
        <v>16.637777777777774</v>
      </c>
      <c r="BE180">
        <f t="shared" si="35"/>
        <v>12.579374557777776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0.73898299999999995</v>
      </c>
      <c r="H181" s="22">
        <v>6.75746</v>
      </c>
      <c r="I181" s="22">
        <v>-1.3610799999999999E-2</v>
      </c>
      <c r="J181" s="22">
        <v>171</v>
      </c>
      <c r="K181" s="22">
        <v>0.73812900000000004</v>
      </c>
      <c r="L181">
        <f t="shared" si="24"/>
        <v>16.803456790123455</v>
      </c>
      <c r="M181">
        <f t="shared" si="25"/>
        <v>12.417468909135801</v>
      </c>
      <c r="N181" s="9"/>
      <c r="O181" s="22">
        <v>0.76110800000000001</v>
      </c>
      <c r="P181" s="22">
        <v>10.1738</v>
      </c>
      <c r="Q181" s="22">
        <v>-1.3549800000000001E-2</v>
      </c>
      <c r="R181" s="22">
        <v>171</v>
      </c>
      <c r="S181" s="22">
        <v>0.75988800000000001</v>
      </c>
      <c r="T181">
        <f t="shared" si="26"/>
        <v>16.728148148148147</v>
      </c>
      <c r="U181">
        <f t="shared" si="27"/>
        <v>12.731927380740741</v>
      </c>
      <c r="X181" s="9"/>
      <c r="Y181" s="22">
        <v>0.73898299999999995</v>
      </c>
      <c r="Z181" s="22">
        <v>15.2737</v>
      </c>
      <c r="AA181" s="22">
        <v>-1.35742E-2</v>
      </c>
      <c r="AB181" s="22">
        <v>171</v>
      </c>
      <c r="AC181" s="22">
        <v>0.73828099999999997</v>
      </c>
      <c r="AD181">
        <f t="shared" si="28"/>
        <v>16.758271604938273</v>
      </c>
      <c r="AE181">
        <f t="shared" si="29"/>
        <v>12.384077825432099</v>
      </c>
      <c r="AF181" s="9"/>
      <c r="AG181" s="22">
        <v>0.76110800000000001</v>
      </c>
      <c r="AH181" s="22">
        <v>18.690000000000001</v>
      </c>
      <c r="AI181" s="22">
        <v>-1.3467399999999999E-2</v>
      </c>
      <c r="AJ181" s="22">
        <v>171</v>
      </c>
      <c r="AK181" s="22">
        <v>0.76049800000000001</v>
      </c>
      <c r="AL181">
        <f t="shared" si="30"/>
        <v>16.626419753086417</v>
      </c>
      <c r="AM181">
        <f t="shared" si="31"/>
        <v>12.654501085432097</v>
      </c>
      <c r="AP181" s="9"/>
      <c r="AQ181" s="22">
        <v>0.73898299999999995</v>
      </c>
      <c r="AR181" s="22">
        <v>23.867899999999999</v>
      </c>
      <c r="AS181" s="22">
        <v>-1.3604700000000001E-2</v>
      </c>
      <c r="AT181" s="22">
        <v>171</v>
      </c>
      <c r="AU181" s="22">
        <v>0.73815900000000001</v>
      </c>
      <c r="AV181">
        <f t="shared" si="32"/>
        <v>16.795925925925925</v>
      </c>
      <c r="AW181">
        <f t="shared" si="33"/>
        <v>12.411903728518517</v>
      </c>
      <c r="AX181" s="9"/>
      <c r="AY181" s="22">
        <v>0.76110800000000001</v>
      </c>
      <c r="AZ181" s="22">
        <v>27.284199999999998</v>
      </c>
      <c r="BA181" s="22">
        <v>-1.3467399999999999E-2</v>
      </c>
      <c r="BB181" s="22">
        <v>171</v>
      </c>
      <c r="BC181" s="22">
        <v>0.76080300000000001</v>
      </c>
      <c r="BD181">
        <f t="shared" si="34"/>
        <v>16.626419753086417</v>
      </c>
      <c r="BE181">
        <f t="shared" si="35"/>
        <v>12.654501085432097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0.73394800000000004</v>
      </c>
      <c r="H182" s="22">
        <v>6.7675299999999998</v>
      </c>
      <c r="I182" s="22">
        <v>-1.3610799999999999E-2</v>
      </c>
      <c r="J182" s="22">
        <v>172</v>
      </c>
      <c r="K182" s="22">
        <v>0.73324599999999995</v>
      </c>
      <c r="L182">
        <f t="shared" si="24"/>
        <v>16.803456790123455</v>
      </c>
      <c r="M182">
        <f t="shared" si="25"/>
        <v>12.33286350419753</v>
      </c>
      <c r="N182" s="9"/>
      <c r="O182" s="22">
        <v>0.76614400000000005</v>
      </c>
      <c r="P182" s="22">
        <v>10.1839</v>
      </c>
      <c r="Q182" s="22">
        <v>-1.3546799999999999E-2</v>
      </c>
      <c r="R182" s="22">
        <v>172</v>
      </c>
      <c r="S182" s="22">
        <v>0.76538099999999998</v>
      </c>
      <c r="T182">
        <f t="shared" si="26"/>
        <v>16.72444444444444</v>
      </c>
      <c r="U182">
        <f t="shared" si="27"/>
        <v>12.813332764444443</v>
      </c>
      <c r="X182" s="9"/>
      <c r="Y182" s="22">
        <v>0.73394800000000004</v>
      </c>
      <c r="Z182" s="22">
        <v>15.2837</v>
      </c>
      <c r="AA182" s="22">
        <v>-1.35742E-2</v>
      </c>
      <c r="AB182" s="22">
        <v>172</v>
      </c>
      <c r="AC182" s="22">
        <v>0.733124</v>
      </c>
      <c r="AD182">
        <f t="shared" si="28"/>
        <v>16.758271604938273</v>
      </c>
      <c r="AE182">
        <f t="shared" si="29"/>
        <v>12.299699927901235</v>
      </c>
      <c r="AF182" s="9"/>
      <c r="AG182" s="22">
        <v>0.76614400000000005</v>
      </c>
      <c r="AH182" s="22">
        <v>18.700099999999999</v>
      </c>
      <c r="AI182" s="22">
        <v>-1.3461300000000001E-2</v>
      </c>
      <c r="AJ182" s="22">
        <v>172</v>
      </c>
      <c r="AK182" s="22">
        <v>0.76477099999999998</v>
      </c>
      <c r="AL182">
        <f t="shared" si="30"/>
        <v>16.618888888888886</v>
      </c>
      <c r="AM182">
        <f t="shared" si="31"/>
        <v>12.732462008888888</v>
      </c>
      <c r="AP182" s="9"/>
      <c r="AQ182" s="22">
        <v>0.73394800000000004</v>
      </c>
      <c r="AR182" s="22">
        <v>23.878</v>
      </c>
      <c r="AS182" s="22">
        <v>-1.3610799999999999E-2</v>
      </c>
      <c r="AT182" s="22">
        <v>172</v>
      </c>
      <c r="AU182" s="22">
        <v>0.73327600000000004</v>
      </c>
      <c r="AV182">
        <f t="shared" si="32"/>
        <v>16.803456790123455</v>
      </c>
      <c r="AW182">
        <f t="shared" si="33"/>
        <v>12.33286350419753</v>
      </c>
      <c r="AX182" s="9"/>
      <c r="AY182" s="22">
        <v>0.76614400000000005</v>
      </c>
      <c r="AZ182" s="22">
        <v>27.2943</v>
      </c>
      <c r="BA182" s="22">
        <v>-1.3461300000000001E-2</v>
      </c>
      <c r="BB182" s="22">
        <v>172</v>
      </c>
      <c r="BC182" s="22">
        <v>0.76477099999999998</v>
      </c>
      <c r="BD182">
        <f t="shared" si="34"/>
        <v>16.618888888888886</v>
      </c>
      <c r="BE182">
        <f t="shared" si="35"/>
        <v>12.732462008888888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0.728912</v>
      </c>
      <c r="H183" s="22">
        <v>6.7775999999999996</v>
      </c>
      <c r="I183" s="22">
        <v>-1.3616899999999999E-2</v>
      </c>
      <c r="J183" s="22">
        <v>173</v>
      </c>
      <c r="K183" s="22">
        <v>0.72811899999999996</v>
      </c>
      <c r="L183">
        <f t="shared" si="24"/>
        <v>16.810987654320986</v>
      </c>
      <c r="M183">
        <f t="shared" si="25"/>
        <v>12.253730633086418</v>
      </c>
      <c r="N183" s="9"/>
      <c r="O183" s="22">
        <v>0.77117899999999995</v>
      </c>
      <c r="P183" s="22">
        <v>10.194000000000001</v>
      </c>
      <c r="Q183" s="22">
        <v>-1.3546799999999999E-2</v>
      </c>
      <c r="R183" s="22">
        <v>173</v>
      </c>
      <c r="S183" s="22">
        <v>0.77026399999999995</v>
      </c>
      <c r="T183">
        <f t="shared" si="26"/>
        <v>16.72444444444444</v>
      </c>
      <c r="U183">
        <f t="shared" si="27"/>
        <v>12.897540342222218</v>
      </c>
      <c r="X183" s="9"/>
      <c r="Y183" s="22">
        <v>0.728912</v>
      </c>
      <c r="Z183" s="22">
        <v>15.293799999999999</v>
      </c>
      <c r="AA183" s="22">
        <v>-1.35712E-2</v>
      </c>
      <c r="AB183" s="22">
        <v>173</v>
      </c>
      <c r="AC183" s="22">
        <v>0.72818000000000005</v>
      </c>
      <c r="AD183">
        <f t="shared" si="28"/>
        <v>16.754567901234566</v>
      </c>
      <c r="AE183">
        <f t="shared" si="29"/>
        <v>12.212605598024689</v>
      </c>
      <c r="AF183" s="9"/>
      <c r="AG183" s="22">
        <v>0.77117899999999995</v>
      </c>
      <c r="AH183" s="22">
        <v>18.7102</v>
      </c>
      <c r="AI183" s="22">
        <v>-1.34552E-2</v>
      </c>
      <c r="AJ183" s="22">
        <v>173</v>
      </c>
      <c r="AK183" s="22">
        <v>0.76995800000000003</v>
      </c>
      <c r="AL183">
        <f t="shared" si="30"/>
        <v>16.611358024691356</v>
      </c>
      <c r="AM183">
        <f t="shared" si="31"/>
        <v>12.810330470123453</v>
      </c>
      <c r="AP183" s="9"/>
      <c r="AQ183" s="22">
        <v>0.728912</v>
      </c>
      <c r="AR183" s="22">
        <v>23.888000000000002</v>
      </c>
      <c r="AS183" s="22">
        <v>-1.36017E-2</v>
      </c>
      <c r="AT183" s="22">
        <v>173</v>
      </c>
      <c r="AU183" s="22">
        <v>0.72808799999999996</v>
      </c>
      <c r="AV183">
        <f t="shared" si="32"/>
        <v>16.792222222222222</v>
      </c>
      <c r="AW183">
        <f t="shared" si="33"/>
        <v>12.240052284444443</v>
      </c>
      <c r="AX183" s="9"/>
      <c r="AY183" s="22">
        <v>0.77117899999999995</v>
      </c>
      <c r="AZ183" s="22">
        <v>27.304400000000001</v>
      </c>
      <c r="BA183" s="22">
        <v>-1.3458299999999999E-2</v>
      </c>
      <c r="BB183" s="22">
        <v>173</v>
      </c>
      <c r="BC183" s="22">
        <v>0.77026399999999995</v>
      </c>
      <c r="BD183">
        <f t="shared" si="34"/>
        <v>16.615185185185183</v>
      </c>
      <c r="BE183">
        <f t="shared" si="35"/>
        <v>12.813281895925924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0.72387699999999999</v>
      </c>
      <c r="H184" s="22">
        <v>6.7876799999999999</v>
      </c>
      <c r="I184" s="22">
        <v>-1.36261E-2</v>
      </c>
      <c r="J184" s="22">
        <v>174</v>
      </c>
      <c r="K184" s="22">
        <v>0.72317500000000001</v>
      </c>
      <c r="L184">
        <f t="shared" si="24"/>
        <v>16.822345679012344</v>
      </c>
      <c r="M184">
        <f t="shared" si="25"/>
        <v>12.177309123086419</v>
      </c>
      <c r="N184" s="9"/>
      <c r="O184" s="22">
        <v>0.77621499999999999</v>
      </c>
      <c r="P184" s="22">
        <v>10.204000000000001</v>
      </c>
      <c r="Q184" s="22">
        <v>-1.35376E-2</v>
      </c>
      <c r="R184" s="22">
        <v>174</v>
      </c>
      <c r="S184" s="22">
        <v>0.77545200000000003</v>
      </c>
      <c r="T184">
        <f t="shared" si="26"/>
        <v>16.713086419753086</v>
      </c>
      <c r="U184">
        <f t="shared" si="27"/>
        <v>12.972948375308642</v>
      </c>
      <c r="X184" s="9"/>
      <c r="Y184" s="22">
        <v>0.72387699999999999</v>
      </c>
      <c r="Z184" s="22">
        <v>15.303900000000001</v>
      </c>
      <c r="AA184" s="22">
        <v>-1.35742E-2</v>
      </c>
      <c r="AB184" s="22">
        <v>174</v>
      </c>
      <c r="AC184" s="22">
        <v>0.72320600000000002</v>
      </c>
      <c r="AD184">
        <f t="shared" si="28"/>
        <v>16.758271604938273</v>
      </c>
      <c r="AE184">
        <f t="shared" si="29"/>
        <v>12.130927374567902</v>
      </c>
      <c r="AF184" s="9"/>
      <c r="AG184" s="22">
        <v>0.77621499999999999</v>
      </c>
      <c r="AH184" s="22">
        <v>18.720199999999998</v>
      </c>
      <c r="AI184" s="22">
        <v>-1.34491E-2</v>
      </c>
      <c r="AJ184" s="22">
        <v>174</v>
      </c>
      <c r="AK184" s="22">
        <v>0.77545200000000003</v>
      </c>
      <c r="AL184">
        <f t="shared" si="30"/>
        <v>16.603827160493829</v>
      </c>
      <c r="AM184">
        <f t="shared" si="31"/>
        <v>12.888139699382718</v>
      </c>
      <c r="AP184" s="9"/>
      <c r="AQ184" s="22">
        <v>0.72387699999999999</v>
      </c>
      <c r="AR184" s="22">
        <v>23.898099999999999</v>
      </c>
      <c r="AS184" s="22">
        <v>-1.3595599999999999E-2</v>
      </c>
      <c r="AT184" s="22">
        <v>174</v>
      </c>
      <c r="AU184" s="22">
        <v>0.72308300000000003</v>
      </c>
      <c r="AV184">
        <f t="shared" si="32"/>
        <v>16.784691358024691</v>
      </c>
      <c r="AW184">
        <f t="shared" si="33"/>
        <v>12.150052026172839</v>
      </c>
      <c r="AX184" s="9"/>
      <c r="AY184" s="22">
        <v>0.77621499999999999</v>
      </c>
      <c r="AZ184" s="22">
        <v>27.314399999999999</v>
      </c>
      <c r="BA184" s="22">
        <v>-1.34552E-2</v>
      </c>
      <c r="BB184" s="22">
        <v>174</v>
      </c>
      <c r="BC184" s="22">
        <v>0.77545200000000003</v>
      </c>
      <c r="BD184">
        <f t="shared" si="34"/>
        <v>16.611358024691356</v>
      </c>
      <c r="BE184">
        <f t="shared" si="35"/>
        <v>12.893985269135801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0.71884199999999998</v>
      </c>
      <c r="H185" s="22">
        <v>6.7977499999999997</v>
      </c>
      <c r="I185" s="22">
        <v>-1.36475E-2</v>
      </c>
      <c r="J185" s="22">
        <v>175</v>
      </c>
      <c r="K185" s="22">
        <v>0.718109</v>
      </c>
      <c r="L185">
        <f t="shared" si="24"/>
        <v>16.848765432098766</v>
      </c>
      <c r="M185">
        <f t="shared" si="25"/>
        <v>12.11160024074074</v>
      </c>
      <c r="N185" s="9"/>
      <c r="O185" s="22">
        <v>0.78125</v>
      </c>
      <c r="P185" s="22">
        <v>10.2141</v>
      </c>
      <c r="Q185" s="22">
        <v>-1.35406E-2</v>
      </c>
      <c r="R185" s="22">
        <v>175</v>
      </c>
      <c r="S185" s="22">
        <v>0.78033399999999997</v>
      </c>
      <c r="T185">
        <f t="shared" si="26"/>
        <v>16.716790123456789</v>
      </c>
      <c r="U185">
        <f t="shared" si="27"/>
        <v>13.059992283950617</v>
      </c>
      <c r="X185" s="9"/>
      <c r="Y185" s="22">
        <v>0.71884199999999998</v>
      </c>
      <c r="Z185" s="22">
        <v>15.314</v>
      </c>
      <c r="AA185" s="22">
        <v>-1.3589499999999999E-2</v>
      </c>
      <c r="AB185" s="22">
        <v>175</v>
      </c>
      <c r="AC185" s="22">
        <v>0.71804800000000002</v>
      </c>
      <c r="AD185">
        <f t="shared" si="28"/>
        <v>16.777160493827161</v>
      </c>
      <c r="AE185">
        <f t="shared" si="29"/>
        <v>12.060127603703704</v>
      </c>
      <c r="AF185" s="9"/>
      <c r="AG185" s="22">
        <v>0.78125</v>
      </c>
      <c r="AH185" s="22">
        <v>18.7303</v>
      </c>
      <c r="AI185" s="22">
        <v>-1.34491E-2</v>
      </c>
      <c r="AJ185" s="22">
        <v>175</v>
      </c>
      <c r="AK185" s="22">
        <v>0.78033399999999997</v>
      </c>
      <c r="AL185">
        <f t="shared" si="30"/>
        <v>16.603827160493829</v>
      </c>
      <c r="AM185">
        <f t="shared" si="31"/>
        <v>12.971739969135804</v>
      </c>
      <c r="AP185" s="9"/>
      <c r="AQ185" s="22">
        <v>0.71884199999999998</v>
      </c>
      <c r="AR185" s="22">
        <v>23.908200000000001</v>
      </c>
      <c r="AS185" s="22">
        <v>-1.3598600000000001E-2</v>
      </c>
      <c r="AT185" s="22">
        <v>175</v>
      </c>
      <c r="AU185" s="22">
        <v>0.71804800000000002</v>
      </c>
      <c r="AV185">
        <f t="shared" si="32"/>
        <v>16.788395061728394</v>
      </c>
      <c r="AW185">
        <f t="shared" si="33"/>
        <v>12.068203482962963</v>
      </c>
      <c r="AX185" s="9"/>
      <c r="AY185" s="22">
        <v>0.78125</v>
      </c>
      <c r="AZ185" s="22">
        <v>27.3245</v>
      </c>
      <c r="BA185" s="22">
        <v>-1.34491E-2</v>
      </c>
      <c r="BB185" s="22">
        <v>175</v>
      </c>
      <c r="BC185" s="22">
        <v>0.78002899999999997</v>
      </c>
      <c r="BD185">
        <f t="shared" si="34"/>
        <v>16.603827160493829</v>
      </c>
      <c r="BE185">
        <f t="shared" si="35"/>
        <v>12.971739969135804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0.71380600000000005</v>
      </c>
      <c r="H186" s="22">
        <v>6.8078200000000004</v>
      </c>
      <c r="I186" s="22">
        <v>-1.36627E-2</v>
      </c>
      <c r="J186" s="22">
        <v>176</v>
      </c>
      <c r="K186" s="22">
        <v>0.71307399999999999</v>
      </c>
      <c r="L186">
        <f t="shared" si="24"/>
        <v>16.86753086419753</v>
      </c>
      <c r="M186">
        <f t="shared" si="25"/>
        <v>12.040144736049383</v>
      </c>
      <c r="N186" s="9"/>
      <c r="O186" s="22">
        <v>0.78628500000000001</v>
      </c>
      <c r="P186" s="22">
        <v>10.2242</v>
      </c>
      <c r="Q186" s="22">
        <v>-1.3546799999999999E-2</v>
      </c>
      <c r="R186" s="22">
        <v>176</v>
      </c>
      <c r="S186" s="22">
        <v>0.78521700000000005</v>
      </c>
      <c r="T186">
        <f t="shared" si="26"/>
        <v>16.72444444444444</v>
      </c>
      <c r="U186">
        <f t="shared" si="27"/>
        <v>13.150179799999997</v>
      </c>
      <c r="X186" s="9"/>
      <c r="Y186" s="22">
        <v>0.71380600000000005</v>
      </c>
      <c r="Z186" s="22">
        <v>15.324</v>
      </c>
      <c r="AA186" s="22">
        <v>-1.3598600000000001E-2</v>
      </c>
      <c r="AB186" s="22">
        <v>176</v>
      </c>
      <c r="AC186" s="22">
        <v>0.71307399999999999</v>
      </c>
      <c r="AD186">
        <f t="shared" si="28"/>
        <v>16.788395061728394</v>
      </c>
      <c r="AE186">
        <f t="shared" si="29"/>
        <v>11.983657125432099</v>
      </c>
      <c r="AF186" s="9"/>
      <c r="AG186" s="22">
        <v>0.78628500000000001</v>
      </c>
      <c r="AH186" s="22">
        <v>18.740400000000001</v>
      </c>
      <c r="AI186" s="22">
        <v>-1.3446E-2</v>
      </c>
      <c r="AJ186" s="22">
        <v>176</v>
      </c>
      <c r="AK186" s="22">
        <v>0.78521700000000005</v>
      </c>
      <c r="AL186">
        <f t="shared" si="30"/>
        <v>16.599999999999998</v>
      </c>
      <c r="AM186">
        <f t="shared" si="31"/>
        <v>13.052330999999999</v>
      </c>
      <c r="AP186" s="9"/>
      <c r="AQ186" s="22">
        <v>0.71380600000000005</v>
      </c>
      <c r="AR186" s="22">
        <v>23.918199999999999</v>
      </c>
      <c r="AS186" s="22">
        <v>-1.36078E-2</v>
      </c>
      <c r="AT186" s="22">
        <v>176</v>
      </c>
      <c r="AU186" s="22">
        <v>0.71307399999999999</v>
      </c>
      <c r="AV186">
        <f t="shared" si="32"/>
        <v>16.799753086419752</v>
      </c>
      <c r="AW186">
        <f t="shared" si="33"/>
        <v>11.991764551604939</v>
      </c>
      <c r="AX186" s="9"/>
      <c r="AY186" s="22">
        <v>0.78628500000000001</v>
      </c>
      <c r="AZ186" s="22">
        <v>27.334599999999998</v>
      </c>
      <c r="BA186" s="22">
        <v>-1.34491E-2</v>
      </c>
      <c r="BB186" s="22">
        <v>176</v>
      </c>
      <c r="BC186" s="22">
        <v>0.78552200000000005</v>
      </c>
      <c r="BD186">
        <f t="shared" si="34"/>
        <v>16.603827160493829</v>
      </c>
      <c r="BE186">
        <f t="shared" si="35"/>
        <v>13.05534023888889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0.70877100000000004</v>
      </c>
      <c r="H187" s="22">
        <v>6.8178900000000002</v>
      </c>
      <c r="I187" s="22">
        <v>-1.36597E-2</v>
      </c>
      <c r="J187" s="22">
        <v>177</v>
      </c>
      <c r="K187" s="22">
        <v>0.70806899999999995</v>
      </c>
      <c r="L187">
        <f t="shared" si="24"/>
        <v>16.863827160493827</v>
      </c>
      <c r="M187">
        <f t="shared" si="25"/>
        <v>11.95259164037037</v>
      </c>
      <c r="N187" s="9"/>
      <c r="O187" s="22">
        <v>0.79132100000000005</v>
      </c>
      <c r="P187" s="22">
        <v>10.2342</v>
      </c>
      <c r="Q187" s="22">
        <v>-1.3549800000000001E-2</v>
      </c>
      <c r="R187" s="22">
        <v>177</v>
      </c>
      <c r="S187" s="22">
        <v>0.79010000000000002</v>
      </c>
      <c r="T187">
        <f t="shared" si="26"/>
        <v>16.728148148148147</v>
      </c>
      <c r="U187">
        <f t="shared" si="27"/>
        <v>13.237334920740741</v>
      </c>
      <c r="X187" s="9"/>
      <c r="Y187" s="22">
        <v>0.70877100000000004</v>
      </c>
      <c r="Z187" s="22">
        <v>15.334099999999999</v>
      </c>
      <c r="AA187" s="22">
        <v>-1.3610799999999999E-2</v>
      </c>
      <c r="AB187" s="22">
        <v>177</v>
      </c>
      <c r="AC187" s="22">
        <v>0.70813000000000004</v>
      </c>
      <c r="AD187">
        <f t="shared" si="28"/>
        <v>16.803456790123455</v>
      </c>
      <c r="AE187">
        <f t="shared" si="29"/>
        <v>11.909802872592593</v>
      </c>
      <c r="AF187" s="9"/>
      <c r="AG187" s="22">
        <v>0.79132100000000005</v>
      </c>
      <c r="AH187" s="22">
        <v>18.750399999999999</v>
      </c>
      <c r="AI187" s="22">
        <v>-1.3439899999999999E-2</v>
      </c>
      <c r="AJ187" s="22">
        <v>177</v>
      </c>
      <c r="AK187" s="22">
        <v>0.79010000000000002</v>
      </c>
      <c r="AL187">
        <f t="shared" si="30"/>
        <v>16.592469135802467</v>
      </c>
      <c r="AM187">
        <f t="shared" si="31"/>
        <v>13.129969269012346</v>
      </c>
      <c r="AP187" s="9"/>
      <c r="AQ187" s="22">
        <v>0.70877100000000004</v>
      </c>
      <c r="AR187" s="22">
        <v>23.9283</v>
      </c>
      <c r="AS187" s="22">
        <v>-1.36078E-2</v>
      </c>
      <c r="AT187" s="22">
        <v>177</v>
      </c>
      <c r="AU187" s="22">
        <v>0.70803799999999995</v>
      </c>
      <c r="AV187">
        <f t="shared" si="32"/>
        <v>16.799753086419752</v>
      </c>
      <c r="AW187">
        <f t="shared" si="33"/>
        <v>11.907177794814816</v>
      </c>
      <c r="AX187" s="9"/>
      <c r="AY187" s="22">
        <v>0.79132100000000005</v>
      </c>
      <c r="AZ187" s="22">
        <v>27.3447</v>
      </c>
      <c r="BA187" s="22">
        <v>-1.3443E-2</v>
      </c>
      <c r="BB187" s="22">
        <v>177</v>
      </c>
      <c r="BC187" s="22">
        <v>0.79040500000000002</v>
      </c>
      <c r="BD187">
        <f t="shared" si="34"/>
        <v>16.596296296296295</v>
      </c>
      <c r="BE187">
        <f t="shared" si="35"/>
        <v>13.132997781481482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0.703735</v>
      </c>
      <c r="H188" s="22">
        <v>6.82796</v>
      </c>
      <c r="I188" s="22">
        <v>-1.3650499999999999E-2</v>
      </c>
      <c r="J188" s="22">
        <v>178</v>
      </c>
      <c r="K188" s="22">
        <v>0.70297200000000004</v>
      </c>
      <c r="L188">
        <f t="shared" si="24"/>
        <v>16.852469135802469</v>
      </c>
      <c r="M188">
        <f t="shared" si="25"/>
        <v>11.859672367283951</v>
      </c>
      <c r="N188" s="9"/>
      <c r="O188" s="22">
        <v>0.79635599999999995</v>
      </c>
      <c r="P188" s="22">
        <v>10.244300000000001</v>
      </c>
      <c r="Q188" s="22">
        <v>-1.35406E-2</v>
      </c>
      <c r="R188" s="22">
        <v>178</v>
      </c>
      <c r="S188" s="22">
        <v>0.79528799999999999</v>
      </c>
      <c r="T188">
        <f t="shared" si="26"/>
        <v>16.716790123456789</v>
      </c>
      <c r="U188">
        <f t="shared" si="27"/>
        <v>13.312516115555555</v>
      </c>
      <c r="X188" s="9"/>
      <c r="Y188" s="22">
        <v>0.703735</v>
      </c>
      <c r="Z188" s="22">
        <v>15.344200000000001</v>
      </c>
      <c r="AA188" s="22">
        <v>-1.3616899999999999E-2</v>
      </c>
      <c r="AB188" s="22">
        <v>178</v>
      </c>
      <c r="AC188" s="22">
        <v>0.70303300000000002</v>
      </c>
      <c r="AD188">
        <f t="shared" si="28"/>
        <v>16.810987654320986</v>
      </c>
      <c r="AE188">
        <f t="shared" si="29"/>
        <v>11.830480396913579</v>
      </c>
      <c r="AF188" s="9"/>
      <c r="AG188" s="22">
        <v>0.79635599999999995</v>
      </c>
      <c r="AH188" s="22">
        <v>18.7605</v>
      </c>
      <c r="AI188" s="22">
        <v>-1.3433799999999999E-2</v>
      </c>
      <c r="AJ188" s="22">
        <v>178</v>
      </c>
      <c r="AK188" s="22">
        <v>0.794983</v>
      </c>
      <c r="AL188">
        <f t="shared" si="30"/>
        <v>16.584938271604937</v>
      </c>
      <c r="AM188">
        <f t="shared" si="31"/>
        <v>13.207515102222221</v>
      </c>
      <c r="AP188" s="9"/>
      <c r="AQ188" s="22">
        <v>0.703735</v>
      </c>
      <c r="AR188" s="22">
        <v>23.938400000000001</v>
      </c>
      <c r="AS188" s="22">
        <v>-1.36078E-2</v>
      </c>
      <c r="AT188" s="22">
        <v>178</v>
      </c>
      <c r="AU188" s="22">
        <v>0.70300300000000004</v>
      </c>
      <c r="AV188">
        <f t="shared" si="32"/>
        <v>16.799753086419752</v>
      </c>
      <c r="AW188">
        <f t="shared" si="33"/>
        <v>11.822574238271605</v>
      </c>
      <c r="AX188" s="9"/>
      <c r="AY188" s="22">
        <v>0.79635599999999995</v>
      </c>
      <c r="AZ188" s="22">
        <v>27.354700000000001</v>
      </c>
      <c r="BA188" s="22">
        <v>-1.34369E-2</v>
      </c>
      <c r="BB188" s="22">
        <v>178</v>
      </c>
      <c r="BC188" s="22">
        <v>0.79589799999999999</v>
      </c>
      <c r="BD188">
        <f t="shared" si="34"/>
        <v>16.588765432098764</v>
      </c>
      <c r="BE188">
        <f t="shared" si="35"/>
        <v>13.210562884444442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0.69869999999999999</v>
      </c>
      <c r="H189" s="22">
        <v>6.8380299999999998</v>
      </c>
      <c r="I189" s="22">
        <v>-1.36353E-2</v>
      </c>
      <c r="J189" s="22">
        <v>179</v>
      </c>
      <c r="K189" s="22">
        <v>0.69802900000000001</v>
      </c>
      <c r="L189">
        <f t="shared" si="24"/>
        <v>16.833703703703701</v>
      </c>
      <c r="M189">
        <f t="shared" si="25"/>
        <v>11.761708777777775</v>
      </c>
      <c r="N189" s="9"/>
      <c r="O189" s="22">
        <v>0.80139199999999999</v>
      </c>
      <c r="P189" s="22">
        <v>10.2544</v>
      </c>
      <c r="Q189" s="22">
        <v>-1.35315E-2</v>
      </c>
      <c r="R189" s="22">
        <v>179</v>
      </c>
      <c r="S189" s="22">
        <v>0.80047599999999997</v>
      </c>
      <c r="T189">
        <f t="shared" si="26"/>
        <v>16.705555555555552</v>
      </c>
      <c r="U189">
        <f t="shared" si="27"/>
        <v>13.387698577777774</v>
      </c>
      <c r="X189" s="9"/>
      <c r="Y189" s="22">
        <v>0.69869999999999999</v>
      </c>
      <c r="Z189" s="22">
        <v>15.354200000000001</v>
      </c>
      <c r="AA189" s="22">
        <v>-1.3623E-2</v>
      </c>
      <c r="AB189" s="22">
        <v>179</v>
      </c>
      <c r="AC189" s="22">
        <v>0.69784500000000005</v>
      </c>
      <c r="AD189">
        <f t="shared" si="28"/>
        <v>16.818518518518516</v>
      </c>
      <c r="AE189">
        <f t="shared" si="29"/>
        <v>11.751098888888887</v>
      </c>
      <c r="AF189" s="9"/>
      <c r="AG189" s="22">
        <v>0.80139199999999999</v>
      </c>
      <c r="AH189" s="22">
        <v>18.770600000000002</v>
      </c>
      <c r="AI189" s="22">
        <v>-1.34308E-2</v>
      </c>
      <c r="AJ189" s="22">
        <v>179</v>
      </c>
      <c r="AK189" s="22">
        <v>0.80078099999999997</v>
      </c>
      <c r="AL189">
        <f t="shared" si="30"/>
        <v>16.581234567901234</v>
      </c>
      <c r="AM189">
        <f t="shared" si="31"/>
        <v>13.288068732839506</v>
      </c>
      <c r="AP189" s="9"/>
      <c r="AQ189" s="22">
        <v>0.69869999999999999</v>
      </c>
      <c r="AR189" s="22">
        <v>23.948499999999999</v>
      </c>
      <c r="AS189" s="22">
        <v>-1.3616899999999999E-2</v>
      </c>
      <c r="AT189" s="22">
        <v>179</v>
      </c>
      <c r="AU189" s="22">
        <v>0.69787600000000005</v>
      </c>
      <c r="AV189">
        <f t="shared" si="32"/>
        <v>16.810987654320986</v>
      </c>
      <c r="AW189">
        <f t="shared" si="33"/>
        <v>11.745837074074073</v>
      </c>
      <c r="AX189" s="9"/>
      <c r="AY189" s="22">
        <v>0.80139199999999999</v>
      </c>
      <c r="AZ189" s="22">
        <v>27.364799999999999</v>
      </c>
      <c r="BA189" s="22">
        <v>-1.34369E-2</v>
      </c>
      <c r="BB189" s="22">
        <v>179</v>
      </c>
      <c r="BC189" s="22">
        <v>0.80047599999999997</v>
      </c>
      <c r="BD189">
        <f t="shared" si="34"/>
        <v>16.588765432098764</v>
      </c>
      <c r="BE189">
        <f t="shared" si="35"/>
        <v>13.294103907160492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0.69366499999999998</v>
      </c>
      <c r="H190" s="22">
        <v>6.8480999999999996</v>
      </c>
      <c r="I190" s="22">
        <v>-1.36261E-2</v>
      </c>
      <c r="J190" s="22">
        <v>180</v>
      </c>
      <c r="K190" s="22">
        <v>0.69290200000000002</v>
      </c>
      <c r="L190">
        <f t="shared" si="24"/>
        <v>16.822345679012344</v>
      </c>
      <c r="M190">
        <f t="shared" si="25"/>
        <v>11.669072415432098</v>
      </c>
      <c r="N190" s="9"/>
      <c r="O190" s="22">
        <v>0.806427</v>
      </c>
      <c r="P190" s="22">
        <v>10.2644</v>
      </c>
      <c r="Q190" s="22">
        <v>-1.35254E-2</v>
      </c>
      <c r="R190" s="22">
        <v>180</v>
      </c>
      <c r="S190" s="22">
        <v>0.80566400000000005</v>
      </c>
      <c r="T190">
        <f t="shared" si="26"/>
        <v>16.698024691358025</v>
      </c>
      <c r="U190">
        <f t="shared" si="27"/>
        <v>13.465737957777778</v>
      </c>
      <c r="X190" s="9"/>
      <c r="Y190" s="22">
        <v>0.69366499999999998</v>
      </c>
      <c r="Z190" s="22">
        <v>15.3643</v>
      </c>
      <c r="AA190" s="22">
        <v>-1.3632200000000001E-2</v>
      </c>
      <c r="AB190" s="22">
        <v>180</v>
      </c>
      <c r="AC190" s="22">
        <v>0.69287100000000001</v>
      </c>
      <c r="AD190">
        <f t="shared" si="28"/>
        <v>16.829876543209878</v>
      </c>
      <c r="AE190">
        <f t="shared" si="29"/>
        <v>11.67429631234568</v>
      </c>
      <c r="AF190" s="9"/>
      <c r="AG190" s="22">
        <v>0.806427</v>
      </c>
      <c r="AH190" s="22">
        <v>18.7807</v>
      </c>
      <c r="AI190" s="22">
        <v>-1.34155E-2</v>
      </c>
      <c r="AJ190" s="22">
        <v>180</v>
      </c>
      <c r="AK190" s="22">
        <v>0.80627400000000005</v>
      </c>
      <c r="AL190">
        <f t="shared" si="30"/>
        <v>16.562345679012346</v>
      </c>
      <c r="AM190">
        <f t="shared" si="31"/>
        <v>13.356322738888888</v>
      </c>
      <c r="AP190" s="9"/>
      <c r="AQ190" s="22">
        <v>0.69366499999999998</v>
      </c>
      <c r="AR190" s="22">
        <v>23.958500000000001</v>
      </c>
      <c r="AS190" s="22">
        <v>-1.362E-2</v>
      </c>
      <c r="AT190" s="22">
        <v>180</v>
      </c>
      <c r="AU190" s="22">
        <v>0.69293199999999999</v>
      </c>
      <c r="AV190">
        <f t="shared" si="32"/>
        <v>16.814814814814813</v>
      </c>
      <c r="AW190">
        <f t="shared" si="33"/>
        <v>11.663848518518517</v>
      </c>
      <c r="AX190" s="9"/>
      <c r="AY190" s="22">
        <v>0.806427</v>
      </c>
      <c r="AZ190" s="22">
        <v>27.3749</v>
      </c>
      <c r="BA190" s="22">
        <v>-1.3433799999999999E-2</v>
      </c>
      <c r="BB190" s="22">
        <v>180</v>
      </c>
      <c r="BC190" s="22">
        <v>0.80596900000000005</v>
      </c>
      <c r="BD190">
        <f t="shared" si="34"/>
        <v>16.584938271604937</v>
      </c>
      <c r="BE190">
        <f t="shared" si="35"/>
        <v>13.374542015555555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0.68862900000000005</v>
      </c>
      <c r="H191" s="22">
        <v>6.8581700000000003</v>
      </c>
      <c r="I191" s="22">
        <v>-1.3629199999999999E-2</v>
      </c>
      <c r="J191" s="22">
        <v>181</v>
      </c>
      <c r="K191" s="22">
        <v>0.68789699999999998</v>
      </c>
      <c r="L191">
        <f t="shared" si="24"/>
        <v>16.826172839506171</v>
      </c>
      <c r="M191">
        <f t="shared" si="25"/>
        <v>11.586990576296296</v>
      </c>
      <c r="N191" s="9"/>
      <c r="O191" s="22">
        <v>0.81146200000000002</v>
      </c>
      <c r="P191" s="22">
        <v>10.2745</v>
      </c>
      <c r="Q191" s="22">
        <v>-1.3528399999999999E-2</v>
      </c>
      <c r="R191" s="22">
        <v>181</v>
      </c>
      <c r="S191" s="22">
        <v>0.80993700000000002</v>
      </c>
      <c r="T191">
        <f t="shared" si="26"/>
        <v>16.701728395061725</v>
      </c>
      <c r="U191">
        <f t="shared" si="27"/>
        <v>13.552817926913578</v>
      </c>
      <c r="X191" s="9"/>
      <c r="Y191" s="22">
        <v>0.68862900000000005</v>
      </c>
      <c r="Z191" s="22">
        <v>15.3744</v>
      </c>
      <c r="AA191" s="22">
        <v>-1.36475E-2</v>
      </c>
      <c r="AB191" s="22">
        <v>181</v>
      </c>
      <c r="AC191" s="22">
        <v>0.687805</v>
      </c>
      <c r="AD191">
        <f t="shared" si="28"/>
        <v>16.848765432098766</v>
      </c>
      <c r="AE191">
        <f t="shared" si="29"/>
        <v>11.602548490740741</v>
      </c>
      <c r="AF191" s="9"/>
      <c r="AG191" s="22">
        <v>0.81146200000000002</v>
      </c>
      <c r="AH191" s="22">
        <v>18.790700000000001</v>
      </c>
      <c r="AI191" s="22">
        <v>-1.34094E-2</v>
      </c>
      <c r="AJ191" s="22">
        <v>181</v>
      </c>
      <c r="AK191" s="22">
        <v>0.81024200000000002</v>
      </c>
      <c r="AL191">
        <f t="shared" si="30"/>
        <v>16.554814814814815</v>
      </c>
      <c r="AM191">
        <f t="shared" si="31"/>
        <v>13.43360313925926</v>
      </c>
      <c r="AP191" s="9"/>
      <c r="AQ191" s="22">
        <v>0.68862900000000005</v>
      </c>
      <c r="AR191" s="22">
        <v>23.968599999999999</v>
      </c>
      <c r="AS191" s="22">
        <v>-1.3616899999999999E-2</v>
      </c>
      <c r="AT191" s="22">
        <v>181</v>
      </c>
      <c r="AU191" s="22">
        <v>0.687805</v>
      </c>
      <c r="AV191">
        <f t="shared" si="32"/>
        <v>16.810987654320986</v>
      </c>
      <c r="AW191">
        <f t="shared" si="33"/>
        <v>11.576533617407406</v>
      </c>
      <c r="AX191" s="9"/>
      <c r="AY191" s="22">
        <v>0.81146200000000002</v>
      </c>
      <c r="AZ191" s="22">
        <v>27.384899999999998</v>
      </c>
      <c r="BA191" s="22">
        <v>-1.34369E-2</v>
      </c>
      <c r="BB191" s="22">
        <v>181</v>
      </c>
      <c r="BC191" s="22">
        <v>0.81024200000000002</v>
      </c>
      <c r="BD191">
        <f t="shared" si="34"/>
        <v>16.588765432098764</v>
      </c>
      <c r="BE191">
        <f t="shared" si="35"/>
        <v>13.461152775061727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0.68359400000000003</v>
      </c>
      <c r="H192" s="22">
        <v>6.8682400000000001</v>
      </c>
      <c r="I192" s="22">
        <v>-1.3644399999999999E-2</v>
      </c>
      <c r="J192" s="22">
        <v>182</v>
      </c>
      <c r="K192" s="22">
        <v>0.68286100000000005</v>
      </c>
      <c r="L192">
        <f t="shared" si="24"/>
        <v>16.844938271604939</v>
      </c>
      <c r="M192">
        <f t="shared" si="25"/>
        <v>11.515098732839506</v>
      </c>
      <c r="N192" s="9"/>
      <c r="O192" s="22">
        <v>0.81649799999999995</v>
      </c>
      <c r="P192" s="22">
        <v>10.284599999999999</v>
      </c>
      <c r="Q192" s="22">
        <v>-1.3522299999999999E-2</v>
      </c>
      <c r="R192" s="22">
        <v>182</v>
      </c>
      <c r="S192" s="22">
        <v>0.81573499999999999</v>
      </c>
      <c r="T192">
        <f t="shared" si="26"/>
        <v>16.694197530864194</v>
      </c>
      <c r="U192">
        <f t="shared" si="27"/>
        <v>13.630778895555553</v>
      </c>
      <c r="X192" s="9"/>
      <c r="Y192" s="22">
        <v>0.68359400000000003</v>
      </c>
      <c r="Z192" s="22">
        <v>15.384399999999999</v>
      </c>
      <c r="AA192" s="22">
        <v>-1.3665800000000001E-2</v>
      </c>
      <c r="AB192" s="22">
        <v>182</v>
      </c>
      <c r="AC192" s="22">
        <v>0.68276999999999999</v>
      </c>
      <c r="AD192">
        <f t="shared" si="28"/>
        <v>16.871358024691357</v>
      </c>
      <c r="AE192">
        <f t="shared" si="29"/>
        <v>11.533159117530865</v>
      </c>
      <c r="AF192" s="9"/>
      <c r="AG192" s="22">
        <v>0.81649799999999995</v>
      </c>
      <c r="AH192" s="22">
        <v>18.800799999999999</v>
      </c>
      <c r="AI192" s="22">
        <v>-1.34094E-2</v>
      </c>
      <c r="AJ192" s="22">
        <v>182</v>
      </c>
      <c r="AK192" s="22">
        <v>0.81573499999999999</v>
      </c>
      <c r="AL192">
        <f t="shared" si="30"/>
        <v>16.554814814814815</v>
      </c>
      <c r="AM192">
        <f t="shared" si="31"/>
        <v>13.516973186666666</v>
      </c>
      <c r="AP192" s="9"/>
      <c r="AQ192" s="22">
        <v>0.68359400000000003</v>
      </c>
      <c r="AR192" s="22">
        <v>23.9787</v>
      </c>
      <c r="AS192" s="22">
        <v>-1.3623E-2</v>
      </c>
      <c r="AT192" s="22">
        <v>182</v>
      </c>
      <c r="AU192" s="22">
        <v>0.68279999999999996</v>
      </c>
      <c r="AV192">
        <f t="shared" si="32"/>
        <v>16.818518518518516</v>
      </c>
      <c r="AW192">
        <f t="shared" si="33"/>
        <v>11.497038348148147</v>
      </c>
      <c r="AX192" s="9"/>
      <c r="AY192" s="22">
        <v>0.81649799999999995</v>
      </c>
      <c r="AZ192" s="22">
        <v>27.395</v>
      </c>
      <c r="BA192" s="22">
        <v>-1.34369E-2</v>
      </c>
      <c r="BB192" s="22">
        <v>182</v>
      </c>
      <c r="BC192" s="22">
        <v>0.81512499999999999</v>
      </c>
      <c r="BD192">
        <f t="shared" si="34"/>
        <v>16.588765432098764</v>
      </c>
      <c r="BE192">
        <f t="shared" si="35"/>
        <v>13.544693797777777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0.67855799999999999</v>
      </c>
      <c r="H193" s="22">
        <v>6.8783099999999999</v>
      </c>
      <c r="I193" s="22">
        <v>-1.36566E-2</v>
      </c>
      <c r="J193" s="22">
        <v>183</v>
      </c>
      <c r="K193" s="22">
        <v>0.67785600000000001</v>
      </c>
      <c r="L193">
        <f t="shared" si="24"/>
        <v>16.86</v>
      </c>
      <c r="M193">
        <f t="shared" si="25"/>
        <v>11.440487879999999</v>
      </c>
      <c r="N193" s="9"/>
      <c r="O193" s="22">
        <v>0.82153299999999996</v>
      </c>
      <c r="P193" s="22">
        <v>10.294700000000001</v>
      </c>
      <c r="Q193" s="22">
        <v>-1.35254E-2</v>
      </c>
      <c r="R193" s="22">
        <v>183</v>
      </c>
      <c r="S193" s="22">
        <v>0.82061799999999996</v>
      </c>
      <c r="T193">
        <f t="shared" si="26"/>
        <v>16.698024691358025</v>
      </c>
      <c r="U193">
        <f t="shared" si="27"/>
        <v>13.717978318765432</v>
      </c>
      <c r="X193" s="9"/>
      <c r="Y193" s="22">
        <v>0.67855799999999999</v>
      </c>
      <c r="Z193" s="22">
        <v>15.394500000000001</v>
      </c>
      <c r="AA193" s="22">
        <v>-1.3687100000000001E-2</v>
      </c>
      <c r="AB193" s="22">
        <v>183</v>
      </c>
      <c r="AC193" s="22">
        <v>0.67782600000000004</v>
      </c>
      <c r="AD193">
        <f t="shared" si="28"/>
        <v>16.897654320987655</v>
      </c>
      <c r="AE193">
        <f t="shared" si="29"/>
        <v>11.46603852074074</v>
      </c>
      <c r="AF193" s="9"/>
      <c r="AG193" s="22">
        <v>0.82153299999999996</v>
      </c>
      <c r="AH193" s="22">
        <v>18.8109</v>
      </c>
      <c r="AI193" s="22">
        <v>-1.34033E-2</v>
      </c>
      <c r="AJ193" s="22">
        <v>183</v>
      </c>
      <c r="AK193" s="22">
        <v>0.82122799999999996</v>
      </c>
      <c r="AL193">
        <f t="shared" si="30"/>
        <v>16.547283950617281</v>
      </c>
      <c r="AM193">
        <f t="shared" si="31"/>
        <v>13.594139825802467</v>
      </c>
      <c r="AP193" s="9"/>
      <c r="AQ193" s="22">
        <v>0.67855799999999999</v>
      </c>
      <c r="AR193" s="22">
        <v>23.988700000000001</v>
      </c>
      <c r="AS193" s="22">
        <v>-1.3623E-2</v>
      </c>
      <c r="AT193" s="22">
        <v>183</v>
      </c>
      <c r="AU193" s="22">
        <v>0.67782600000000004</v>
      </c>
      <c r="AV193">
        <f t="shared" si="32"/>
        <v>16.818518518518516</v>
      </c>
      <c r="AW193">
        <f t="shared" si="33"/>
        <v>11.412340288888887</v>
      </c>
      <c r="AX193" s="9"/>
      <c r="AY193" s="22">
        <v>0.82153299999999996</v>
      </c>
      <c r="AZ193" s="22">
        <v>27.405100000000001</v>
      </c>
      <c r="BA193" s="22">
        <v>-1.3439899999999999E-2</v>
      </c>
      <c r="BB193" s="22">
        <v>183</v>
      </c>
      <c r="BC193" s="22">
        <v>0.82031299999999996</v>
      </c>
      <c r="BD193">
        <f t="shared" si="34"/>
        <v>16.592469135802467</v>
      </c>
      <c r="BE193">
        <f t="shared" si="35"/>
        <v>13.631260946543208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0.67352299999999998</v>
      </c>
      <c r="H194" s="22">
        <v>6.8883900000000002</v>
      </c>
      <c r="I194" s="22">
        <v>-1.3665800000000001E-2</v>
      </c>
      <c r="J194" s="22">
        <v>184</v>
      </c>
      <c r="K194" s="22">
        <v>0.67279100000000003</v>
      </c>
      <c r="L194">
        <f t="shared" si="24"/>
        <v>16.871358024691357</v>
      </c>
      <c r="M194">
        <f t="shared" si="25"/>
        <v>11.363247670864197</v>
      </c>
      <c r="N194" s="9"/>
      <c r="O194" s="22">
        <v>0.826569</v>
      </c>
      <c r="P194" s="22">
        <v>10.3047</v>
      </c>
      <c r="Q194" s="22">
        <v>-1.3528399999999999E-2</v>
      </c>
      <c r="R194" s="22">
        <v>184</v>
      </c>
      <c r="S194" s="22">
        <v>0.82519500000000001</v>
      </c>
      <c r="T194">
        <f t="shared" si="26"/>
        <v>16.701728395061725</v>
      </c>
      <c r="U194">
        <f t="shared" si="27"/>
        <v>13.805130937777776</v>
      </c>
      <c r="X194" s="9"/>
      <c r="Y194" s="22">
        <v>0.67352299999999998</v>
      </c>
      <c r="Z194" s="22">
        <v>15.4046</v>
      </c>
      <c r="AA194" s="22">
        <v>-1.36963E-2</v>
      </c>
      <c r="AB194" s="22">
        <v>184</v>
      </c>
      <c r="AC194" s="22">
        <v>0.67276000000000002</v>
      </c>
      <c r="AD194">
        <f t="shared" si="28"/>
        <v>16.90901234567901</v>
      </c>
      <c r="AE194">
        <f t="shared" si="29"/>
        <v>11.388608722098763</v>
      </c>
      <c r="AF194" s="9"/>
      <c r="AG194" s="22">
        <v>0.826569</v>
      </c>
      <c r="AH194" s="22">
        <v>18.820900000000002</v>
      </c>
      <c r="AI194" s="22">
        <v>-1.3382E-2</v>
      </c>
      <c r="AJ194" s="22">
        <v>184</v>
      </c>
      <c r="AK194" s="22">
        <v>0.82611100000000004</v>
      </c>
      <c r="AL194">
        <f t="shared" si="30"/>
        <v>16.520987654320987</v>
      </c>
      <c r="AM194">
        <f t="shared" si="31"/>
        <v>13.655736244444444</v>
      </c>
      <c r="AP194" s="9"/>
      <c r="AQ194" s="22">
        <v>0.67352299999999998</v>
      </c>
      <c r="AR194" s="22">
        <v>23.998799999999999</v>
      </c>
      <c r="AS194" s="22">
        <v>-1.3632200000000001E-2</v>
      </c>
      <c r="AT194" s="22">
        <v>184</v>
      </c>
      <c r="AU194" s="22">
        <v>0.67279100000000003</v>
      </c>
      <c r="AV194">
        <f t="shared" si="32"/>
        <v>16.829876543209878</v>
      </c>
      <c r="AW194">
        <f t="shared" si="33"/>
        <v>11.335308939012346</v>
      </c>
      <c r="AX194" s="9"/>
      <c r="AY194" s="22">
        <v>0.826569</v>
      </c>
      <c r="AZ194" s="22">
        <v>27.415199999999999</v>
      </c>
      <c r="BA194" s="22">
        <v>-1.3443E-2</v>
      </c>
      <c r="BB194" s="22">
        <v>184</v>
      </c>
      <c r="BC194" s="22">
        <v>0.82580600000000004</v>
      </c>
      <c r="BD194">
        <f t="shared" si="34"/>
        <v>16.596296296296295</v>
      </c>
      <c r="BE194">
        <f t="shared" si="35"/>
        <v>13.717984033333332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0.66848799999999997</v>
      </c>
      <c r="H195" s="22">
        <v>6.89846</v>
      </c>
      <c r="I195" s="22">
        <v>-1.3681E-2</v>
      </c>
      <c r="J195" s="22">
        <v>185</v>
      </c>
      <c r="K195" s="22">
        <v>0.66778599999999999</v>
      </c>
      <c r="L195">
        <f t="shared" si="24"/>
        <v>16.890123456790121</v>
      </c>
      <c r="M195">
        <f t="shared" si="25"/>
        <v>11.290844849382713</v>
      </c>
      <c r="N195" s="9"/>
      <c r="O195" s="22">
        <v>0.83160400000000001</v>
      </c>
      <c r="P195" s="22">
        <v>10.3148</v>
      </c>
      <c r="Q195" s="22">
        <v>-1.3528399999999999E-2</v>
      </c>
      <c r="R195" s="22">
        <v>185</v>
      </c>
      <c r="S195" s="22">
        <v>0.83038299999999998</v>
      </c>
      <c r="T195">
        <f t="shared" si="26"/>
        <v>16.701728395061725</v>
      </c>
      <c r="U195">
        <f t="shared" si="27"/>
        <v>13.889224140246911</v>
      </c>
      <c r="X195" s="9"/>
      <c r="Y195" s="22">
        <v>0.66848799999999997</v>
      </c>
      <c r="Z195" s="22">
        <v>15.4147</v>
      </c>
      <c r="AA195" s="22">
        <v>-1.3699299999999999E-2</v>
      </c>
      <c r="AB195" s="22">
        <v>185</v>
      </c>
      <c r="AC195" s="22">
        <v>0.66769400000000001</v>
      </c>
      <c r="AD195">
        <f t="shared" si="28"/>
        <v>16.912716049382716</v>
      </c>
      <c r="AE195">
        <f t="shared" si="29"/>
        <v>11.305947726419753</v>
      </c>
      <c r="AF195" s="9"/>
      <c r="AG195" s="22">
        <v>0.83160400000000001</v>
      </c>
      <c r="AH195" s="22">
        <v>18.831</v>
      </c>
      <c r="AI195" s="22">
        <v>-1.3378900000000001E-2</v>
      </c>
      <c r="AJ195" s="22">
        <v>185</v>
      </c>
      <c r="AK195" s="22">
        <v>0.83038299999999998</v>
      </c>
      <c r="AL195">
        <f t="shared" si="30"/>
        <v>16.517160493827159</v>
      </c>
      <c r="AM195">
        <f t="shared" si="31"/>
        <v>13.735736735308642</v>
      </c>
      <c r="AP195" s="9"/>
      <c r="AQ195" s="22">
        <v>0.66848799999999997</v>
      </c>
      <c r="AR195" s="22">
        <v>24.008900000000001</v>
      </c>
      <c r="AS195" s="22">
        <v>-1.3638300000000001E-2</v>
      </c>
      <c r="AT195" s="22">
        <v>185</v>
      </c>
      <c r="AU195" s="22">
        <v>0.66772500000000001</v>
      </c>
      <c r="AV195">
        <f t="shared" si="32"/>
        <v>16.837407407407408</v>
      </c>
      <c r="AW195">
        <f t="shared" si="33"/>
        <v>11.255604802962964</v>
      </c>
      <c r="AX195" s="9"/>
      <c r="AY195" s="22">
        <v>0.83160400000000001</v>
      </c>
      <c r="AZ195" s="22">
        <v>27.4252</v>
      </c>
      <c r="BA195" s="22">
        <v>-1.3433799999999999E-2</v>
      </c>
      <c r="BB195" s="22">
        <v>185</v>
      </c>
      <c r="BC195" s="22">
        <v>0.83068799999999998</v>
      </c>
      <c r="BD195">
        <f t="shared" si="34"/>
        <v>16.584938271604937</v>
      </c>
      <c r="BE195">
        <f t="shared" si="35"/>
        <v>13.792101006419752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0.66345200000000004</v>
      </c>
      <c r="H196" s="22">
        <v>6.9085299999999998</v>
      </c>
      <c r="I196" s="22">
        <v>-1.36902E-2</v>
      </c>
      <c r="J196" s="22">
        <v>186</v>
      </c>
      <c r="K196" s="22">
        <v>0.66278099999999995</v>
      </c>
      <c r="L196">
        <f t="shared" si="24"/>
        <v>16.901481481481479</v>
      </c>
      <c r="M196">
        <f t="shared" si="25"/>
        <v>11.213321691851851</v>
      </c>
      <c r="N196" s="9"/>
      <c r="O196" s="22">
        <v>0.83663900000000002</v>
      </c>
      <c r="P196" s="22">
        <v>10.3249</v>
      </c>
      <c r="Q196" s="22">
        <v>-1.3522299999999999E-2</v>
      </c>
      <c r="R196" s="22">
        <v>186</v>
      </c>
      <c r="S196" s="22">
        <v>0.83526599999999995</v>
      </c>
      <c r="T196">
        <f t="shared" si="26"/>
        <v>16.694197530864194</v>
      </c>
      <c r="U196">
        <f t="shared" si="27"/>
        <v>13.967016728024689</v>
      </c>
      <c r="X196" s="9"/>
      <c r="Y196" s="22">
        <v>0.66345200000000004</v>
      </c>
      <c r="Z196" s="22">
        <v>15.4247</v>
      </c>
      <c r="AA196" s="22">
        <v>-1.37024E-2</v>
      </c>
      <c r="AB196" s="22">
        <v>186</v>
      </c>
      <c r="AC196" s="22">
        <v>0.66274999999999995</v>
      </c>
      <c r="AD196">
        <f t="shared" si="28"/>
        <v>16.916543209876544</v>
      </c>
      <c r="AE196">
        <f t="shared" si="29"/>
        <v>11.223314425679014</v>
      </c>
      <c r="AF196" s="9"/>
      <c r="AG196" s="22">
        <v>0.83663900000000002</v>
      </c>
      <c r="AH196" s="22">
        <v>18.841100000000001</v>
      </c>
      <c r="AI196" s="22">
        <v>-1.3382E-2</v>
      </c>
      <c r="AJ196" s="22">
        <v>186</v>
      </c>
      <c r="AK196" s="22">
        <v>0.83557099999999995</v>
      </c>
      <c r="AL196">
        <f t="shared" si="30"/>
        <v>16.520987654320987</v>
      </c>
      <c r="AM196">
        <f t="shared" si="31"/>
        <v>13.822102590123457</v>
      </c>
      <c r="AP196" s="9"/>
      <c r="AQ196" s="22">
        <v>0.66345200000000004</v>
      </c>
      <c r="AR196" s="22">
        <v>24.018899999999999</v>
      </c>
      <c r="AS196" s="22">
        <v>-1.36261E-2</v>
      </c>
      <c r="AT196" s="22">
        <v>186</v>
      </c>
      <c r="AU196" s="22">
        <v>0.66274999999999995</v>
      </c>
      <c r="AV196">
        <f t="shared" si="32"/>
        <v>16.822345679012344</v>
      </c>
      <c r="AW196">
        <f t="shared" si="33"/>
        <v>11.160818885432098</v>
      </c>
      <c r="AX196" s="9"/>
      <c r="AY196" s="22">
        <v>0.83663900000000002</v>
      </c>
      <c r="AZ196" s="22">
        <v>27.435300000000002</v>
      </c>
      <c r="BA196" s="22">
        <v>-1.3424699999999999E-2</v>
      </c>
      <c r="BB196" s="22">
        <v>186</v>
      </c>
      <c r="BC196" s="22">
        <v>0.83618199999999998</v>
      </c>
      <c r="BD196">
        <f t="shared" si="34"/>
        <v>16.5737037037037</v>
      </c>
      <c r="BE196">
        <f t="shared" si="35"/>
        <v>13.86620689296296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0.65841700000000003</v>
      </c>
      <c r="H197" s="22">
        <v>6.9185999999999996</v>
      </c>
      <c r="I197" s="22">
        <v>-1.37085E-2</v>
      </c>
      <c r="J197" s="22">
        <v>187</v>
      </c>
      <c r="K197" s="22">
        <v>0.65762299999999996</v>
      </c>
      <c r="L197">
        <f t="shared" si="24"/>
        <v>16.924074074074074</v>
      </c>
      <c r="M197">
        <f t="shared" si="25"/>
        <v>11.143098079629629</v>
      </c>
      <c r="N197" s="9"/>
      <c r="O197" s="22">
        <v>0.84167499999999995</v>
      </c>
      <c r="P197" s="22">
        <v>10.334899999999999</v>
      </c>
      <c r="Q197" s="22">
        <v>-1.3507099999999999E-2</v>
      </c>
      <c r="R197" s="22">
        <v>187</v>
      </c>
      <c r="S197" s="22">
        <v>0.84075900000000003</v>
      </c>
      <c r="T197">
        <f t="shared" si="26"/>
        <v>16.67543209876543</v>
      </c>
      <c r="U197">
        <f t="shared" si="27"/>
        <v>14.035294311728393</v>
      </c>
      <c r="X197" s="9"/>
      <c r="Y197" s="22">
        <v>0.65841700000000003</v>
      </c>
      <c r="Z197" s="22">
        <v>15.434799999999999</v>
      </c>
      <c r="AA197" s="22">
        <v>-1.37115E-2</v>
      </c>
      <c r="AB197" s="22">
        <v>187</v>
      </c>
      <c r="AC197" s="22">
        <v>0.65759299999999998</v>
      </c>
      <c r="AD197">
        <f t="shared" si="28"/>
        <v>16.927777777777777</v>
      </c>
      <c r="AE197">
        <f t="shared" si="29"/>
        <v>11.145536661111111</v>
      </c>
      <c r="AF197" s="9"/>
      <c r="AG197" s="22">
        <v>0.84167499999999995</v>
      </c>
      <c r="AH197" s="22">
        <v>18.851199999999999</v>
      </c>
      <c r="AI197" s="22">
        <v>-1.33942E-2</v>
      </c>
      <c r="AJ197" s="22">
        <v>187</v>
      </c>
      <c r="AK197" s="22">
        <v>0.84136999999999995</v>
      </c>
      <c r="AL197">
        <f t="shared" si="30"/>
        <v>16.536049382716048</v>
      </c>
      <c r="AM197">
        <f t="shared" si="31"/>
        <v>13.917979364197528</v>
      </c>
      <c r="AP197" s="9"/>
      <c r="AQ197" s="22">
        <v>0.65841700000000003</v>
      </c>
      <c r="AR197" s="22">
        <v>24.029</v>
      </c>
      <c r="AS197" s="22">
        <v>-1.36353E-2</v>
      </c>
      <c r="AT197" s="22">
        <v>187</v>
      </c>
      <c r="AU197" s="22">
        <v>0.65771500000000005</v>
      </c>
      <c r="AV197">
        <f t="shared" si="32"/>
        <v>16.833703703703701</v>
      </c>
      <c r="AW197">
        <f t="shared" si="33"/>
        <v>11.08359669148148</v>
      </c>
      <c r="AX197" s="9"/>
      <c r="AY197" s="22">
        <v>0.84167499999999995</v>
      </c>
      <c r="AZ197" s="22">
        <v>27.445399999999999</v>
      </c>
      <c r="BA197" s="22">
        <v>-1.3418599999999999E-2</v>
      </c>
      <c r="BB197" s="22">
        <v>187</v>
      </c>
      <c r="BC197" s="22">
        <v>0.84106400000000003</v>
      </c>
      <c r="BD197">
        <f t="shared" si="34"/>
        <v>16.566172839506169</v>
      </c>
      <c r="BE197">
        <f t="shared" si="35"/>
        <v>13.943333524691354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0.65338099999999999</v>
      </c>
      <c r="H198" s="22">
        <v>6.9286700000000003</v>
      </c>
      <c r="I198" s="22">
        <v>-1.3720700000000001E-2</v>
      </c>
      <c r="J198" s="22">
        <v>188</v>
      </c>
      <c r="K198" s="22">
        <v>0.65271000000000001</v>
      </c>
      <c r="L198">
        <f t="shared" si="24"/>
        <v>16.939135802469135</v>
      </c>
      <c r="M198">
        <f t="shared" si="25"/>
        <v>11.067709489753085</v>
      </c>
      <c r="N198" s="9"/>
      <c r="O198" s="22">
        <v>0.84670999999999996</v>
      </c>
      <c r="P198" s="22">
        <v>10.345000000000001</v>
      </c>
      <c r="Q198" s="22">
        <v>-1.34888E-2</v>
      </c>
      <c r="R198" s="22">
        <v>188</v>
      </c>
      <c r="S198" s="22">
        <v>0.845947</v>
      </c>
      <c r="T198">
        <f t="shared" si="26"/>
        <v>16.652839506172839</v>
      </c>
      <c r="U198">
        <f t="shared" si="27"/>
        <v>14.100125738271604</v>
      </c>
      <c r="X198" s="9"/>
      <c r="Y198" s="22">
        <v>0.65338099999999999</v>
      </c>
      <c r="Z198" s="22">
        <v>15.444900000000001</v>
      </c>
      <c r="AA198" s="22">
        <v>-1.37024E-2</v>
      </c>
      <c r="AB198" s="22">
        <v>188</v>
      </c>
      <c r="AC198" s="22">
        <v>0.65255700000000005</v>
      </c>
      <c r="AD198">
        <f t="shared" si="28"/>
        <v>16.916543209876544</v>
      </c>
      <c r="AE198">
        <f t="shared" si="29"/>
        <v>11.052947919012345</v>
      </c>
      <c r="AF198" s="9"/>
      <c r="AG198" s="22">
        <v>0.84670999999999996</v>
      </c>
      <c r="AH198" s="22">
        <v>18.8612</v>
      </c>
      <c r="AI198" s="22">
        <v>-1.3378900000000001E-2</v>
      </c>
      <c r="AJ198" s="22">
        <v>188</v>
      </c>
      <c r="AK198" s="22">
        <v>0.845642</v>
      </c>
      <c r="AL198">
        <f t="shared" si="30"/>
        <v>16.517160493827159</v>
      </c>
      <c r="AM198">
        <f t="shared" si="31"/>
        <v>13.985244961728393</v>
      </c>
      <c r="AP198" s="9"/>
      <c r="AQ198" s="22">
        <v>0.65338099999999999</v>
      </c>
      <c r="AR198" s="22">
        <v>24.039100000000001</v>
      </c>
      <c r="AS198" s="22">
        <v>-1.3650499999999999E-2</v>
      </c>
      <c r="AT198" s="22">
        <v>188</v>
      </c>
      <c r="AU198" s="22">
        <v>0.65267900000000001</v>
      </c>
      <c r="AV198">
        <f t="shared" si="32"/>
        <v>16.852469135802469</v>
      </c>
      <c r="AW198">
        <f t="shared" si="33"/>
        <v>11.011083136419753</v>
      </c>
      <c r="AX198" s="9"/>
      <c r="AY198" s="22">
        <v>0.84670999999999996</v>
      </c>
      <c r="AZ198" s="22">
        <v>27.455400000000001</v>
      </c>
      <c r="BA198" s="22">
        <v>-1.3406400000000001E-2</v>
      </c>
      <c r="BB198" s="22">
        <v>188</v>
      </c>
      <c r="BC198" s="22">
        <v>0.846252</v>
      </c>
      <c r="BD198">
        <f t="shared" si="34"/>
        <v>16.551111111111108</v>
      </c>
      <c r="BE198">
        <f t="shared" si="35"/>
        <v>14.013991288888887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0.64834599999999998</v>
      </c>
      <c r="H199" s="22">
        <v>6.9387400000000001</v>
      </c>
      <c r="I199" s="22">
        <v>-1.37299E-2</v>
      </c>
      <c r="J199" s="22">
        <v>189</v>
      </c>
      <c r="K199" s="22">
        <v>0.64761400000000002</v>
      </c>
      <c r="L199">
        <f t="shared" si="24"/>
        <v>16.950493827160493</v>
      </c>
      <c r="M199">
        <f t="shared" si="25"/>
        <v>10.989784870864197</v>
      </c>
      <c r="N199" s="9"/>
      <c r="O199" s="22">
        <v>0.851746</v>
      </c>
      <c r="P199" s="22">
        <v>10.3551</v>
      </c>
      <c r="Q199" s="22">
        <v>-1.3467399999999999E-2</v>
      </c>
      <c r="R199" s="22">
        <v>189</v>
      </c>
      <c r="S199" s="22">
        <v>0.85082999999999998</v>
      </c>
      <c r="T199">
        <f t="shared" si="26"/>
        <v>16.626419753086417</v>
      </c>
      <c r="U199">
        <f t="shared" si="27"/>
        <v>14.161486519012342</v>
      </c>
      <c r="X199" s="9"/>
      <c r="Y199" s="22">
        <v>0.64834599999999998</v>
      </c>
      <c r="Z199" s="22">
        <v>15.4549</v>
      </c>
      <c r="AA199" s="22">
        <v>-1.37024E-2</v>
      </c>
      <c r="AB199" s="22">
        <v>189</v>
      </c>
      <c r="AC199" s="22">
        <v>0.64770499999999998</v>
      </c>
      <c r="AD199">
        <f t="shared" si="28"/>
        <v>16.916543209876544</v>
      </c>
      <c r="AE199">
        <f t="shared" si="29"/>
        <v>10.967773123950618</v>
      </c>
      <c r="AF199" s="9"/>
      <c r="AG199" s="22">
        <v>0.851746</v>
      </c>
      <c r="AH199" s="22">
        <v>18.871300000000002</v>
      </c>
      <c r="AI199" s="22">
        <v>-1.33636E-2</v>
      </c>
      <c r="AJ199" s="22">
        <v>189</v>
      </c>
      <c r="AK199" s="22">
        <v>0.85021999999999998</v>
      </c>
      <c r="AL199">
        <f t="shared" si="30"/>
        <v>16.498271604938271</v>
      </c>
      <c r="AM199">
        <f t="shared" si="31"/>
        <v>14.052336846419752</v>
      </c>
      <c r="AP199" s="9"/>
      <c r="AQ199" s="22">
        <v>0.64834599999999998</v>
      </c>
      <c r="AR199" s="22">
        <v>24.049199999999999</v>
      </c>
      <c r="AS199" s="22">
        <v>-1.36627E-2</v>
      </c>
      <c r="AT199" s="22">
        <v>189</v>
      </c>
      <c r="AU199" s="22">
        <v>0.647644</v>
      </c>
      <c r="AV199">
        <f t="shared" si="32"/>
        <v>16.86753086419753</v>
      </c>
      <c r="AW199">
        <f t="shared" si="33"/>
        <v>10.935996165679011</v>
      </c>
      <c r="AX199" s="9"/>
      <c r="AY199" s="22">
        <v>0.851746</v>
      </c>
      <c r="AZ199" s="22">
        <v>27.465499999999999</v>
      </c>
      <c r="BA199" s="22">
        <v>-1.34003E-2</v>
      </c>
      <c r="BB199" s="22">
        <v>189</v>
      </c>
      <c r="BC199" s="22">
        <v>0.85113499999999997</v>
      </c>
      <c r="BD199">
        <f t="shared" si="34"/>
        <v>16.543580246913578</v>
      </c>
      <c r="BE199">
        <f t="shared" si="35"/>
        <v>14.090928300987652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0.64331099999999997</v>
      </c>
      <c r="H200" s="22">
        <v>6.9488099999999999</v>
      </c>
      <c r="I200" s="22">
        <v>-1.3732899999999999E-2</v>
      </c>
      <c r="J200" s="22">
        <v>190</v>
      </c>
      <c r="K200" s="22">
        <v>0.64260899999999999</v>
      </c>
      <c r="L200">
        <f t="shared" si="24"/>
        <v>16.954197530864196</v>
      </c>
      <c r="M200">
        <f t="shared" si="25"/>
        <v>10.906821767777776</v>
      </c>
      <c r="N200" s="9"/>
      <c r="O200" s="22">
        <v>0.85678100000000001</v>
      </c>
      <c r="P200" s="22">
        <v>10.3652</v>
      </c>
      <c r="Q200" s="22">
        <v>-1.34521E-2</v>
      </c>
      <c r="R200" s="22">
        <v>190</v>
      </c>
      <c r="S200" s="22">
        <v>0.85571299999999995</v>
      </c>
      <c r="T200">
        <f t="shared" si="26"/>
        <v>16.607530864197528</v>
      </c>
      <c r="U200">
        <f t="shared" si="27"/>
        <v>14.229016901358023</v>
      </c>
      <c r="X200" s="9"/>
      <c r="Y200" s="22">
        <v>0.64331099999999997</v>
      </c>
      <c r="Z200" s="22">
        <v>15.465</v>
      </c>
      <c r="AA200" s="22">
        <v>-1.3693200000000001E-2</v>
      </c>
      <c r="AB200" s="22">
        <v>190</v>
      </c>
      <c r="AC200" s="22">
        <v>0.64260899999999999</v>
      </c>
      <c r="AD200">
        <f t="shared" si="28"/>
        <v>16.905185185185186</v>
      </c>
      <c r="AE200">
        <f t="shared" si="29"/>
        <v>10.875291586666666</v>
      </c>
      <c r="AF200" s="9"/>
      <c r="AG200" s="22">
        <v>0.85678100000000001</v>
      </c>
      <c r="AH200" s="22">
        <v>18.881399999999999</v>
      </c>
      <c r="AI200" s="22">
        <v>-1.33545E-2</v>
      </c>
      <c r="AJ200" s="22">
        <v>190</v>
      </c>
      <c r="AK200" s="22">
        <v>0.85540799999999995</v>
      </c>
      <c r="AL200">
        <f t="shared" si="30"/>
        <v>16.487037037037037</v>
      </c>
      <c r="AM200">
        <f t="shared" si="31"/>
        <v>14.12578007962963</v>
      </c>
      <c r="AP200" s="9"/>
      <c r="AQ200" s="22">
        <v>0.64331099999999997</v>
      </c>
      <c r="AR200" s="22">
        <v>24.059200000000001</v>
      </c>
      <c r="AS200" s="22">
        <v>-1.3671900000000001E-2</v>
      </c>
      <c r="AT200" s="22">
        <v>190</v>
      </c>
      <c r="AU200" s="22">
        <v>0.64263899999999996</v>
      </c>
      <c r="AV200">
        <f t="shared" si="32"/>
        <v>16.878888888888888</v>
      </c>
      <c r="AW200">
        <f t="shared" si="33"/>
        <v>10.858374889999999</v>
      </c>
      <c r="AX200" s="9"/>
      <c r="AY200" s="22">
        <v>0.85678100000000001</v>
      </c>
      <c r="AZ200" s="22">
        <v>27.4756</v>
      </c>
      <c r="BA200" s="22">
        <v>-1.3382E-2</v>
      </c>
      <c r="BB200" s="22">
        <v>190</v>
      </c>
      <c r="BC200" s="22">
        <v>0.85601799999999995</v>
      </c>
      <c r="BD200">
        <f t="shared" si="34"/>
        <v>16.520987654320987</v>
      </c>
      <c r="BE200">
        <f t="shared" si="35"/>
        <v>14.154868323456789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0.63827500000000004</v>
      </c>
      <c r="H201" s="22">
        <v>6.9588799999999997</v>
      </c>
      <c r="I201" s="22">
        <v>-1.3736E-2</v>
      </c>
      <c r="J201" s="22">
        <v>191</v>
      </c>
      <c r="K201" s="22">
        <v>0.63757299999999995</v>
      </c>
      <c r="L201">
        <f t="shared" si="24"/>
        <v>16.958024691358023</v>
      </c>
      <c r="M201">
        <f t="shared" si="25"/>
        <v>10.823883209876543</v>
      </c>
      <c r="N201" s="9"/>
      <c r="O201" s="22">
        <v>0.86181600000000003</v>
      </c>
      <c r="P201" s="22">
        <v>10.3752</v>
      </c>
      <c r="Q201" s="22">
        <v>-1.34369E-2</v>
      </c>
      <c r="R201" s="22">
        <v>191</v>
      </c>
      <c r="S201" s="22">
        <v>0.86059600000000003</v>
      </c>
      <c r="T201">
        <f t="shared" si="26"/>
        <v>16.588765432098764</v>
      </c>
      <c r="U201">
        <f t="shared" si="27"/>
        <v>14.296463469629629</v>
      </c>
      <c r="X201" s="9"/>
      <c r="Y201" s="22">
        <v>0.63827500000000004</v>
      </c>
      <c r="Z201" s="22">
        <v>15.475099999999999</v>
      </c>
      <c r="AA201" s="22">
        <v>-1.3681E-2</v>
      </c>
      <c r="AB201" s="22">
        <v>191</v>
      </c>
      <c r="AC201" s="22">
        <v>0.63763400000000003</v>
      </c>
      <c r="AD201">
        <f t="shared" si="28"/>
        <v>16.890123456790121</v>
      </c>
      <c r="AE201">
        <f t="shared" si="29"/>
        <v>10.780543549382715</v>
      </c>
      <c r="AF201" s="9"/>
      <c r="AG201" s="22">
        <v>0.86181600000000003</v>
      </c>
      <c r="AH201" s="22">
        <v>18.891400000000001</v>
      </c>
      <c r="AI201" s="22">
        <v>-1.33545E-2</v>
      </c>
      <c r="AJ201" s="22">
        <v>191</v>
      </c>
      <c r="AK201" s="22">
        <v>0.86059600000000003</v>
      </c>
      <c r="AL201">
        <f t="shared" si="30"/>
        <v>16.487037037037037</v>
      </c>
      <c r="AM201">
        <f t="shared" si="31"/>
        <v>14.208792311111111</v>
      </c>
      <c r="AP201" s="9"/>
      <c r="AQ201" s="22">
        <v>0.63827500000000004</v>
      </c>
      <c r="AR201" s="22">
        <v>24.069299999999998</v>
      </c>
      <c r="AS201" s="22">
        <v>-1.3671900000000001E-2</v>
      </c>
      <c r="AT201" s="22">
        <v>191</v>
      </c>
      <c r="AU201" s="22">
        <v>0.63760399999999995</v>
      </c>
      <c r="AV201">
        <f t="shared" si="32"/>
        <v>16.878888888888888</v>
      </c>
      <c r="AW201">
        <f t="shared" si="33"/>
        <v>10.773372805555555</v>
      </c>
      <c r="AX201" s="9"/>
      <c r="AY201" s="22">
        <v>0.86181600000000003</v>
      </c>
      <c r="AZ201" s="22">
        <v>27.485700000000001</v>
      </c>
      <c r="BA201" s="22">
        <v>-1.33759E-2</v>
      </c>
      <c r="BB201" s="22">
        <v>191</v>
      </c>
      <c r="BC201" s="22">
        <v>0.86059600000000003</v>
      </c>
      <c r="BD201">
        <f t="shared" si="34"/>
        <v>16.513456790123456</v>
      </c>
      <c r="BE201">
        <f t="shared" si="35"/>
        <v>14.231561277037036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0.63324000000000003</v>
      </c>
      <c r="H202" s="22">
        <v>6.9689500000000004</v>
      </c>
      <c r="I202" s="22">
        <v>-1.37299E-2</v>
      </c>
      <c r="J202" s="22">
        <v>192</v>
      </c>
      <c r="K202" s="22">
        <v>0.63250700000000004</v>
      </c>
      <c r="L202">
        <f t="shared" si="24"/>
        <v>16.950493827160493</v>
      </c>
      <c r="M202">
        <f t="shared" si="25"/>
        <v>10.733730711111111</v>
      </c>
      <c r="N202" s="9"/>
      <c r="O202" s="22">
        <v>0.86685199999999996</v>
      </c>
      <c r="P202" s="22">
        <v>10.385300000000001</v>
      </c>
      <c r="Q202" s="22">
        <v>-1.3439899999999999E-2</v>
      </c>
      <c r="R202" s="22">
        <v>192</v>
      </c>
      <c r="S202" s="22">
        <v>0.866089</v>
      </c>
      <c r="T202">
        <f t="shared" si="26"/>
        <v>16.592469135802467</v>
      </c>
      <c r="U202">
        <f t="shared" si="27"/>
        <v>14.383215055308639</v>
      </c>
      <c r="X202" s="9"/>
      <c r="Y202" s="22">
        <v>0.63324000000000003</v>
      </c>
      <c r="Z202" s="22">
        <v>15.485200000000001</v>
      </c>
      <c r="AA202" s="22">
        <v>-1.3681E-2</v>
      </c>
      <c r="AB202" s="22">
        <v>192</v>
      </c>
      <c r="AC202" s="22">
        <v>0.63247699999999996</v>
      </c>
      <c r="AD202">
        <f t="shared" si="28"/>
        <v>16.890123456790121</v>
      </c>
      <c r="AE202">
        <f t="shared" si="29"/>
        <v>10.695501777777777</v>
      </c>
      <c r="AF202" s="9"/>
      <c r="AG202" s="22">
        <v>0.86685199999999996</v>
      </c>
      <c r="AH202" s="22">
        <v>18.901499999999999</v>
      </c>
      <c r="AI202" s="22">
        <v>-1.33606E-2</v>
      </c>
      <c r="AJ202" s="22">
        <v>192</v>
      </c>
      <c r="AK202" s="22">
        <v>0.865479</v>
      </c>
      <c r="AL202">
        <f t="shared" si="30"/>
        <v>16.494567901234568</v>
      </c>
      <c r="AM202">
        <f t="shared" si="31"/>
        <v>14.298349174320986</v>
      </c>
      <c r="AP202" s="9"/>
      <c r="AQ202" s="22">
        <v>0.63324000000000003</v>
      </c>
      <c r="AR202" s="22">
        <v>24.0794</v>
      </c>
      <c r="AS202" s="22">
        <v>-1.3677999999999999E-2</v>
      </c>
      <c r="AT202" s="22">
        <v>192</v>
      </c>
      <c r="AU202" s="22">
        <v>0.63241599999999998</v>
      </c>
      <c r="AV202">
        <f t="shared" si="32"/>
        <v>16.886419753086418</v>
      </c>
      <c r="AW202">
        <f t="shared" si="33"/>
        <v>10.693156444444444</v>
      </c>
      <c r="AX202" s="9"/>
      <c r="AY202" s="22">
        <v>0.86685199999999996</v>
      </c>
      <c r="AZ202" s="22">
        <v>27.495699999999999</v>
      </c>
      <c r="BA202" s="22">
        <v>-1.3369799999999999E-2</v>
      </c>
      <c r="BB202" s="22">
        <v>192</v>
      </c>
      <c r="BC202" s="22">
        <v>0.865784</v>
      </c>
      <c r="BD202">
        <f t="shared" si="34"/>
        <v>16.505925925925922</v>
      </c>
      <c r="BE202">
        <f t="shared" si="35"/>
        <v>14.308194900740737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0.62820399999999998</v>
      </c>
      <c r="H203" s="22">
        <v>6.9790200000000002</v>
      </c>
      <c r="I203" s="22">
        <v>-1.3726800000000001E-2</v>
      </c>
      <c r="J203" s="22">
        <v>193</v>
      </c>
      <c r="K203" s="22">
        <v>0.62744100000000003</v>
      </c>
      <c r="L203">
        <f t="shared" si="24"/>
        <v>16.946666666666665</v>
      </c>
      <c r="M203">
        <f t="shared" si="25"/>
        <v>10.645963786666666</v>
      </c>
      <c r="N203" s="9"/>
      <c r="O203" s="22">
        <v>0.87188699999999997</v>
      </c>
      <c r="P203" s="22">
        <v>10.3954</v>
      </c>
      <c r="Q203" s="22">
        <v>-1.3439899999999999E-2</v>
      </c>
      <c r="R203" s="22">
        <v>193</v>
      </c>
      <c r="S203" s="22">
        <v>0.87066699999999997</v>
      </c>
      <c r="T203">
        <f t="shared" si="26"/>
        <v>16.592469135802467</v>
      </c>
      <c r="U203">
        <f t="shared" si="27"/>
        <v>14.466758137407405</v>
      </c>
      <c r="X203" s="9"/>
      <c r="Y203" s="22">
        <v>0.62820399999999998</v>
      </c>
      <c r="Z203" s="22">
        <v>15.495200000000001</v>
      </c>
      <c r="AA203" s="22">
        <v>-1.3677999999999999E-2</v>
      </c>
      <c r="AB203" s="22">
        <v>193</v>
      </c>
      <c r="AC203" s="22">
        <v>0.627502</v>
      </c>
      <c r="AD203">
        <f t="shared" si="28"/>
        <v>16.886419753086418</v>
      </c>
      <c r="AE203">
        <f t="shared" si="29"/>
        <v>10.608116434567901</v>
      </c>
      <c r="AF203" s="9"/>
      <c r="AG203" s="22">
        <v>0.87188699999999997</v>
      </c>
      <c r="AH203" s="22">
        <v>18.9116</v>
      </c>
      <c r="AI203" s="22">
        <v>-1.33575E-2</v>
      </c>
      <c r="AJ203" s="22">
        <v>193</v>
      </c>
      <c r="AK203" s="22">
        <v>0.87066699999999997</v>
      </c>
      <c r="AL203">
        <f t="shared" si="30"/>
        <v>16.49074074074074</v>
      </c>
      <c r="AM203">
        <f t="shared" si="31"/>
        <v>14.378062472222222</v>
      </c>
      <c r="AP203" s="9"/>
      <c r="AQ203" s="22">
        <v>0.62820399999999998</v>
      </c>
      <c r="AR203" s="22">
        <v>24.089400000000001</v>
      </c>
      <c r="AS203" s="22">
        <v>-1.36749E-2</v>
      </c>
      <c r="AT203" s="22">
        <v>193</v>
      </c>
      <c r="AU203" s="22">
        <v>0.62753300000000001</v>
      </c>
      <c r="AV203">
        <f t="shared" si="32"/>
        <v>16.882592592592591</v>
      </c>
      <c r="AW203">
        <f t="shared" si="33"/>
        <v>10.605712197037036</v>
      </c>
      <c r="AX203" s="9"/>
      <c r="AY203" s="22">
        <v>0.87188699999999997</v>
      </c>
      <c r="AZ203" s="22">
        <v>27.505800000000001</v>
      </c>
      <c r="BA203" s="22">
        <v>-1.33575E-2</v>
      </c>
      <c r="BB203" s="22">
        <v>193</v>
      </c>
      <c r="BC203" s="22">
        <v>0.87127699999999997</v>
      </c>
      <c r="BD203">
        <f t="shared" si="34"/>
        <v>16.49074074074074</v>
      </c>
      <c r="BE203">
        <f t="shared" si="35"/>
        <v>14.378062472222222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0.62316899999999997</v>
      </c>
      <c r="H204" s="22">
        <v>6.9890999999999996</v>
      </c>
      <c r="I204" s="22">
        <v>-1.37299E-2</v>
      </c>
      <c r="J204" s="22">
        <v>194</v>
      </c>
      <c r="K204" s="22">
        <v>0.62243700000000002</v>
      </c>
      <c r="L204">
        <f t="shared" ref="L204:L267" si="36">-I204/$F$2*1000</f>
        <v>16.950493827160493</v>
      </c>
      <c r="M204">
        <f t="shared" ref="M204:M267" si="37">L204*G204</f>
        <v>10.563022287777777</v>
      </c>
      <c r="N204" s="9"/>
      <c r="O204" s="22">
        <v>0.87692300000000001</v>
      </c>
      <c r="P204" s="22">
        <v>10.4054</v>
      </c>
      <c r="Q204" s="22">
        <v>-1.34308E-2</v>
      </c>
      <c r="R204" s="22">
        <v>194</v>
      </c>
      <c r="S204" s="22">
        <v>0.87585400000000002</v>
      </c>
      <c r="T204">
        <f t="shared" ref="T204:T267" si="38">-Q204/$F$2*1000</f>
        <v>16.581234567901234</v>
      </c>
      <c r="U204">
        <f t="shared" ref="U204:U267" si="39">T204*O204</f>
        <v>14.540465960987653</v>
      </c>
      <c r="X204" s="9"/>
      <c r="Y204" s="22">
        <v>0.62316899999999997</v>
      </c>
      <c r="Z204" s="22">
        <v>15.5053</v>
      </c>
      <c r="AA204" s="22">
        <v>-1.36749E-2</v>
      </c>
      <c r="AB204" s="22">
        <v>194</v>
      </c>
      <c r="AC204" s="22">
        <v>0.62252799999999997</v>
      </c>
      <c r="AD204">
        <f t="shared" ref="AD204:AD267" si="40">-AA204/$F$2*1000</f>
        <v>16.882592592592591</v>
      </c>
      <c r="AE204">
        <f t="shared" ref="AE204:AE267" si="41">AD204*Y204</f>
        <v>10.520708343333332</v>
      </c>
      <c r="AF204" s="9"/>
      <c r="AG204" s="22">
        <v>0.87692300000000001</v>
      </c>
      <c r="AH204" s="22">
        <v>18.921700000000001</v>
      </c>
      <c r="AI204" s="22">
        <v>-1.33423E-2</v>
      </c>
      <c r="AJ204" s="22">
        <v>194</v>
      </c>
      <c r="AK204" s="22">
        <v>0.87554900000000002</v>
      </c>
      <c r="AL204">
        <f t="shared" ref="AL204:AL267" si="42">-AI204/$F$2*1000</f>
        <v>16.471975308641973</v>
      </c>
      <c r="AM204">
        <f t="shared" ref="AM204:AM267" si="43">AL204*AG204</f>
        <v>14.444654003580245</v>
      </c>
      <c r="AP204" s="9"/>
      <c r="AQ204" s="22">
        <v>0.62316899999999997</v>
      </c>
      <c r="AR204" s="22">
        <v>24.099499999999999</v>
      </c>
      <c r="AS204" s="22">
        <v>-1.36749E-2</v>
      </c>
      <c r="AT204" s="22">
        <v>194</v>
      </c>
      <c r="AU204" s="22">
        <v>0.62240600000000001</v>
      </c>
      <c r="AV204">
        <f t="shared" ref="AV204:AV267" si="44">-AS204/$F$2*1000</f>
        <v>16.882592592592591</v>
      </c>
      <c r="AW204">
        <f t="shared" ref="AW204:AW267" si="45">AV204*AQ204</f>
        <v>10.520708343333332</v>
      </c>
      <c r="AX204" s="9"/>
      <c r="AY204" s="22">
        <v>0.87692300000000001</v>
      </c>
      <c r="AZ204" s="22">
        <v>27.515899999999998</v>
      </c>
      <c r="BA204" s="22">
        <v>-1.33545E-2</v>
      </c>
      <c r="BB204" s="22">
        <v>194</v>
      </c>
      <c r="BC204" s="22">
        <v>0.87585400000000002</v>
      </c>
      <c r="BD204">
        <f t="shared" ref="BD204:BD267" si="46">-BA204/$F$2*1000</f>
        <v>16.487037037037037</v>
      </c>
      <c r="BE204">
        <f t="shared" ref="BE204:BE267" si="47">BD204*AY204</f>
        <v>14.45786197962963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0.61813399999999996</v>
      </c>
      <c r="H205" s="22">
        <v>6.9991700000000003</v>
      </c>
      <c r="I205" s="22">
        <v>-1.3732899999999999E-2</v>
      </c>
      <c r="J205" s="22">
        <v>195</v>
      </c>
      <c r="K205" s="22">
        <v>0.617371</v>
      </c>
      <c r="L205">
        <f t="shared" si="36"/>
        <v>16.954197530864196</v>
      </c>
      <c r="M205">
        <f t="shared" si="37"/>
        <v>10.479965936543207</v>
      </c>
      <c r="N205" s="9"/>
      <c r="O205" s="22">
        <v>0.88195800000000002</v>
      </c>
      <c r="P205" s="22">
        <v>10.4155</v>
      </c>
      <c r="Q205" s="22">
        <v>-1.3421600000000001E-2</v>
      </c>
      <c r="R205" s="22">
        <v>195</v>
      </c>
      <c r="S205" s="22">
        <v>0.88134800000000002</v>
      </c>
      <c r="T205">
        <f t="shared" si="38"/>
        <v>16.569876543209876</v>
      </c>
      <c r="U205">
        <f t="shared" si="39"/>
        <v>14.613935176296296</v>
      </c>
      <c r="X205" s="9"/>
      <c r="Y205" s="22">
        <v>0.61813399999999996</v>
      </c>
      <c r="Z205" s="22">
        <v>15.5154</v>
      </c>
      <c r="AA205" s="22">
        <v>-1.3684099999999999E-2</v>
      </c>
      <c r="AB205" s="22">
        <v>195</v>
      </c>
      <c r="AC205" s="22">
        <v>0.61758400000000002</v>
      </c>
      <c r="AD205">
        <f t="shared" si="40"/>
        <v>16.893950617283949</v>
      </c>
      <c r="AE205">
        <f t="shared" si="41"/>
        <v>10.442725270864196</v>
      </c>
      <c r="AF205" s="9"/>
      <c r="AG205" s="22">
        <v>0.88195800000000002</v>
      </c>
      <c r="AH205" s="22">
        <v>18.931699999999999</v>
      </c>
      <c r="AI205" s="22">
        <v>-1.3330099999999999E-2</v>
      </c>
      <c r="AJ205" s="22">
        <v>195</v>
      </c>
      <c r="AK205" s="22">
        <v>0.88043199999999999</v>
      </c>
      <c r="AL205">
        <f t="shared" si="42"/>
        <v>16.456913580246912</v>
      </c>
      <c r="AM205">
        <f t="shared" si="43"/>
        <v>14.514306587407406</v>
      </c>
      <c r="AP205" s="9"/>
      <c r="AQ205" s="22">
        <v>0.61813399999999996</v>
      </c>
      <c r="AR205" s="22">
        <v>24.1096</v>
      </c>
      <c r="AS205" s="22">
        <v>-1.3665800000000001E-2</v>
      </c>
      <c r="AT205" s="22">
        <v>195</v>
      </c>
      <c r="AU205" s="22">
        <v>0.61749299999999996</v>
      </c>
      <c r="AV205">
        <f t="shared" si="44"/>
        <v>16.871358024691357</v>
      </c>
      <c r="AW205">
        <f t="shared" si="45"/>
        <v>10.428760021234567</v>
      </c>
      <c r="AX205" s="9"/>
      <c r="AY205" s="22">
        <v>0.88195800000000002</v>
      </c>
      <c r="AZ205" s="22">
        <v>27.5259</v>
      </c>
      <c r="BA205" s="22">
        <v>-1.33423E-2</v>
      </c>
      <c r="BB205" s="22">
        <v>195</v>
      </c>
      <c r="BC205" s="22">
        <v>0.88134800000000002</v>
      </c>
      <c r="BD205">
        <f t="shared" si="46"/>
        <v>16.471975308641973</v>
      </c>
      <c r="BE205">
        <f t="shared" si="47"/>
        <v>14.527590399259257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0.61309800000000003</v>
      </c>
      <c r="H206" s="22">
        <v>7.0092400000000001</v>
      </c>
      <c r="I206" s="22">
        <v>-1.37512E-2</v>
      </c>
      <c r="J206" s="22">
        <v>196</v>
      </c>
      <c r="K206" s="22">
        <v>0.61230499999999999</v>
      </c>
      <c r="L206">
        <f t="shared" si="36"/>
        <v>16.976790123456787</v>
      </c>
      <c r="M206">
        <f t="shared" si="37"/>
        <v>10.40843607111111</v>
      </c>
      <c r="N206" s="9"/>
      <c r="O206" s="22">
        <v>0.88699300000000003</v>
      </c>
      <c r="P206" s="22">
        <v>10.425599999999999</v>
      </c>
      <c r="Q206" s="22">
        <v>-1.34155E-2</v>
      </c>
      <c r="R206" s="22">
        <v>196</v>
      </c>
      <c r="S206" s="22">
        <v>0.88561999999999996</v>
      </c>
      <c r="T206">
        <f t="shared" si="38"/>
        <v>16.562345679012346</v>
      </c>
      <c r="U206">
        <f t="shared" si="39"/>
        <v>14.690684680864198</v>
      </c>
      <c r="X206" s="9"/>
      <c r="Y206" s="22">
        <v>0.61309800000000003</v>
      </c>
      <c r="Z206" s="22">
        <v>15.525399999999999</v>
      </c>
      <c r="AA206" s="22">
        <v>-1.36902E-2</v>
      </c>
      <c r="AB206" s="22">
        <v>196</v>
      </c>
      <c r="AC206" s="22">
        <v>0.61236599999999997</v>
      </c>
      <c r="AD206">
        <f t="shared" si="40"/>
        <v>16.901481481481479</v>
      </c>
      <c r="AE206">
        <f t="shared" si="41"/>
        <v>10.362264493333333</v>
      </c>
      <c r="AF206" s="9"/>
      <c r="AG206" s="22">
        <v>0.88699300000000003</v>
      </c>
      <c r="AH206" s="22">
        <v>18.941800000000001</v>
      </c>
      <c r="AI206" s="22">
        <v>-1.33118E-2</v>
      </c>
      <c r="AJ206" s="22">
        <v>196</v>
      </c>
      <c r="AK206" s="22">
        <v>0.88622999999999996</v>
      </c>
      <c r="AL206">
        <f t="shared" si="42"/>
        <v>16.434320987654321</v>
      </c>
      <c r="AM206">
        <f t="shared" si="43"/>
        <v>14.577127675802469</v>
      </c>
      <c r="AP206" s="9"/>
      <c r="AQ206" s="22">
        <v>0.61309800000000003</v>
      </c>
      <c r="AR206" s="22">
        <v>24.119700000000002</v>
      </c>
      <c r="AS206" s="22">
        <v>-1.36627E-2</v>
      </c>
      <c r="AT206" s="22">
        <v>196</v>
      </c>
      <c r="AU206" s="22">
        <v>0.61239600000000005</v>
      </c>
      <c r="AV206">
        <f t="shared" si="44"/>
        <v>16.86753086419753</v>
      </c>
      <c r="AW206">
        <f t="shared" si="45"/>
        <v>10.341449437777777</v>
      </c>
      <c r="AX206" s="9"/>
      <c r="AY206" s="22">
        <v>0.88699300000000003</v>
      </c>
      <c r="AZ206" s="22">
        <v>27.536000000000001</v>
      </c>
      <c r="BA206" s="22">
        <v>-1.3330099999999999E-2</v>
      </c>
      <c r="BB206" s="22">
        <v>196</v>
      </c>
      <c r="BC206" s="22">
        <v>0.88561999999999996</v>
      </c>
      <c r="BD206">
        <f t="shared" si="46"/>
        <v>16.456913580246912</v>
      </c>
      <c r="BE206">
        <f t="shared" si="47"/>
        <v>14.597167147283949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0.60806300000000002</v>
      </c>
      <c r="H207" s="22">
        <v>7.0193099999999999</v>
      </c>
      <c r="I207" s="22">
        <v>-1.3754300000000001E-2</v>
      </c>
      <c r="J207" s="22">
        <v>197</v>
      </c>
      <c r="K207" s="22">
        <v>0.60739100000000001</v>
      </c>
      <c r="L207">
        <f t="shared" si="36"/>
        <v>16.980617283950615</v>
      </c>
      <c r="M207">
        <f t="shared" si="37"/>
        <v>10.325285087530863</v>
      </c>
      <c r="N207" s="9"/>
      <c r="O207" s="22">
        <v>0.89202899999999996</v>
      </c>
      <c r="P207" s="22">
        <v>10.435700000000001</v>
      </c>
      <c r="Q207" s="22">
        <v>-1.34033E-2</v>
      </c>
      <c r="R207" s="22">
        <v>197</v>
      </c>
      <c r="S207" s="22">
        <v>0.89080800000000004</v>
      </c>
      <c r="T207">
        <f t="shared" si="38"/>
        <v>16.547283950617281</v>
      </c>
      <c r="U207">
        <f t="shared" si="39"/>
        <v>14.760657155185182</v>
      </c>
      <c r="X207" s="9"/>
      <c r="Y207" s="22">
        <v>0.60806300000000002</v>
      </c>
      <c r="Z207" s="22">
        <v>15.535500000000001</v>
      </c>
      <c r="AA207" s="22">
        <v>-1.3677999999999999E-2</v>
      </c>
      <c r="AB207" s="22">
        <v>197</v>
      </c>
      <c r="AC207" s="22">
        <v>0.60729999999999995</v>
      </c>
      <c r="AD207">
        <f t="shared" si="40"/>
        <v>16.886419753086418</v>
      </c>
      <c r="AE207">
        <f t="shared" si="41"/>
        <v>10.268007054320988</v>
      </c>
      <c r="AF207" s="9"/>
      <c r="AG207" s="22">
        <v>0.89202899999999996</v>
      </c>
      <c r="AH207" s="22">
        <v>18.951899999999998</v>
      </c>
      <c r="AI207" s="22">
        <v>-1.3290400000000001E-2</v>
      </c>
      <c r="AJ207" s="22">
        <v>197</v>
      </c>
      <c r="AK207" s="22">
        <v>0.89080800000000004</v>
      </c>
      <c r="AL207">
        <f t="shared" si="42"/>
        <v>16.407901234567902</v>
      </c>
      <c r="AM207">
        <f t="shared" si="43"/>
        <v>14.636323730370369</v>
      </c>
      <c r="AP207" s="9"/>
      <c r="AQ207" s="22">
        <v>0.60806300000000002</v>
      </c>
      <c r="AR207" s="22">
        <v>24.1297</v>
      </c>
      <c r="AS207" s="22">
        <v>-1.36536E-2</v>
      </c>
      <c r="AT207" s="22">
        <v>197</v>
      </c>
      <c r="AU207" s="22">
        <v>0.60726899999999995</v>
      </c>
      <c r="AV207">
        <f t="shared" si="44"/>
        <v>16.856296296296296</v>
      </c>
      <c r="AW207">
        <f t="shared" si="45"/>
        <v>10.249690094814815</v>
      </c>
      <c r="AX207" s="9"/>
      <c r="AY207" s="22">
        <v>0.89202899999999996</v>
      </c>
      <c r="AZ207" s="22">
        <v>27.546099999999999</v>
      </c>
      <c r="BA207" s="22">
        <v>-1.3333100000000001E-2</v>
      </c>
      <c r="BB207" s="22">
        <v>197</v>
      </c>
      <c r="BC207" s="22">
        <v>0.89141800000000004</v>
      </c>
      <c r="BD207">
        <f t="shared" si="46"/>
        <v>16.460617283950615</v>
      </c>
      <c r="BE207">
        <f t="shared" si="47"/>
        <v>14.683347975185182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0.60302699999999998</v>
      </c>
      <c r="H208" s="22">
        <v>7.0293799999999997</v>
      </c>
      <c r="I208" s="22">
        <v>-1.37512E-2</v>
      </c>
      <c r="J208" s="22">
        <v>198</v>
      </c>
      <c r="K208" s="22">
        <v>0.602325</v>
      </c>
      <c r="L208">
        <f t="shared" si="36"/>
        <v>16.976790123456787</v>
      </c>
      <c r="M208">
        <f t="shared" si="37"/>
        <v>10.237462817777775</v>
      </c>
      <c r="N208" s="9"/>
      <c r="O208" s="22">
        <v>0.89706399999999997</v>
      </c>
      <c r="P208" s="22">
        <v>10.4457</v>
      </c>
      <c r="Q208" s="22">
        <v>-1.33942E-2</v>
      </c>
      <c r="R208" s="22">
        <v>198</v>
      </c>
      <c r="S208" s="22">
        <v>0.89630100000000001</v>
      </c>
      <c r="T208">
        <f t="shared" si="38"/>
        <v>16.536049382716048</v>
      </c>
      <c r="U208">
        <f t="shared" si="39"/>
        <v>14.833894603456788</v>
      </c>
      <c r="X208" s="9"/>
      <c r="Y208" s="22">
        <v>0.60302699999999998</v>
      </c>
      <c r="Z208" s="22">
        <v>15.5456</v>
      </c>
      <c r="AA208" s="22">
        <v>-1.3681E-2</v>
      </c>
      <c r="AB208" s="22">
        <v>198</v>
      </c>
      <c r="AC208" s="22">
        <v>0.602325</v>
      </c>
      <c r="AD208">
        <f t="shared" si="40"/>
        <v>16.890123456790121</v>
      </c>
      <c r="AE208">
        <f t="shared" si="41"/>
        <v>10.185200477777776</v>
      </c>
      <c r="AF208" s="9"/>
      <c r="AG208" s="22">
        <v>0.89706399999999997</v>
      </c>
      <c r="AH208" s="22">
        <v>18.9619</v>
      </c>
      <c r="AI208" s="22">
        <v>-1.3262899999999999E-2</v>
      </c>
      <c r="AJ208" s="22">
        <v>198</v>
      </c>
      <c r="AK208" s="22">
        <v>0.89599600000000001</v>
      </c>
      <c r="AL208">
        <f t="shared" si="42"/>
        <v>16.373950617283949</v>
      </c>
      <c r="AM208">
        <f t="shared" si="43"/>
        <v>14.688481636543209</v>
      </c>
      <c r="AP208" s="9"/>
      <c r="AQ208" s="22">
        <v>0.60302699999999998</v>
      </c>
      <c r="AR208" s="22">
        <v>24.139800000000001</v>
      </c>
      <c r="AS208" s="22">
        <v>-1.36536E-2</v>
      </c>
      <c r="AT208" s="22">
        <v>198</v>
      </c>
      <c r="AU208" s="22">
        <v>0.60229500000000002</v>
      </c>
      <c r="AV208">
        <f t="shared" si="44"/>
        <v>16.856296296296296</v>
      </c>
      <c r="AW208">
        <f t="shared" si="45"/>
        <v>10.164801786666667</v>
      </c>
      <c r="AX208" s="9"/>
      <c r="AY208" s="22">
        <v>0.89706399999999997</v>
      </c>
      <c r="AZ208" s="22">
        <v>27.556100000000001</v>
      </c>
      <c r="BA208" s="22">
        <v>-1.3327E-2</v>
      </c>
      <c r="BB208" s="22">
        <v>198</v>
      </c>
      <c r="BC208" s="22">
        <v>0.89599600000000001</v>
      </c>
      <c r="BD208">
        <f t="shared" si="46"/>
        <v>16.453086419753085</v>
      </c>
      <c r="BE208">
        <f t="shared" si="47"/>
        <v>14.759471516049381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0.59799199999999997</v>
      </c>
      <c r="H209" s="22">
        <v>7.0394500000000004</v>
      </c>
      <c r="I209" s="22">
        <v>-1.3754300000000001E-2</v>
      </c>
      <c r="J209" s="22">
        <v>199</v>
      </c>
      <c r="K209" s="22">
        <v>0.59726000000000001</v>
      </c>
      <c r="L209">
        <f t="shared" si="36"/>
        <v>16.980617283950615</v>
      </c>
      <c r="M209">
        <f t="shared" si="37"/>
        <v>10.154273290864195</v>
      </c>
      <c r="N209" s="9"/>
      <c r="O209" s="22">
        <v>0.90210000000000001</v>
      </c>
      <c r="P209" s="22">
        <v>10.4558</v>
      </c>
      <c r="Q209" s="22">
        <v>-1.33881E-2</v>
      </c>
      <c r="R209" s="22">
        <v>199</v>
      </c>
      <c r="S209" s="22">
        <v>0.90087899999999999</v>
      </c>
      <c r="T209">
        <f t="shared" si="38"/>
        <v>16.528518518518517</v>
      </c>
      <c r="U209">
        <f t="shared" si="39"/>
        <v>14.910376555555555</v>
      </c>
      <c r="X209" s="9"/>
      <c r="Y209" s="22">
        <v>0.59799199999999997</v>
      </c>
      <c r="Z209" s="22">
        <v>15.5557</v>
      </c>
      <c r="AA209" s="22">
        <v>-1.3684099999999999E-2</v>
      </c>
      <c r="AB209" s="22">
        <v>199</v>
      </c>
      <c r="AC209" s="22">
        <v>0.59728999999999999</v>
      </c>
      <c r="AD209">
        <f t="shared" si="40"/>
        <v>16.893950617283949</v>
      </c>
      <c r="AE209">
        <f t="shared" si="41"/>
        <v>10.102447317530862</v>
      </c>
      <c r="AF209" s="9"/>
      <c r="AG209" s="22">
        <v>0.90210000000000001</v>
      </c>
      <c r="AH209" s="22">
        <v>18.972000000000001</v>
      </c>
      <c r="AI209" s="22">
        <v>-1.3241599999999999E-2</v>
      </c>
      <c r="AJ209" s="22">
        <v>199</v>
      </c>
      <c r="AK209" s="22">
        <v>0.90118399999999999</v>
      </c>
      <c r="AL209">
        <f t="shared" si="42"/>
        <v>16.347654320987651</v>
      </c>
      <c r="AM209">
        <f t="shared" si="43"/>
        <v>14.747218962962961</v>
      </c>
      <c r="AP209" s="9"/>
      <c r="AQ209" s="22">
        <v>0.59799199999999997</v>
      </c>
      <c r="AR209" s="22">
        <v>24.149899999999999</v>
      </c>
      <c r="AS209" s="22">
        <v>-1.36688E-2</v>
      </c>
      <c r="AT209" s="22">
        <v>199</v>
      </c>
      <c r="AU209" s="22">
        <v>0.59728999999999999</v>
      </c>
      <c r="AV209">
        <f t="shared" si="44"/>
        <v>16.87506172839506</v>
      </c>
      <c r="AW209">
        <f t="shared" si="45"/>
        <v>10.091151913086419</v>
      </c>
      <c r="AX209" s="9"/>
      <c r="AY209" s="22">
        <v>0.90210000000000001</v>
      </c>
      <c r="AZ209" s="22">
        <v>27.566199999999998</v>
      </c>
      <c r="BA209" s="22">
        <v>-1.33209E-2</v>
      </c>
      <c r="BB209" s="22">
        <v>199</v>
      </c>
      <c r="BC209" s="22">
        <v>0.90118399999999999</v>
      </c>
      <c r="BD209">
        <f t="shared" si="46"/>
        <v>16.445555555555554</v>
      </c>
      <c r="BE209">
        <f t="shared" si="47"/>
        <v>14.835535666666665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0.59295699999999996</v>
      </c>
      <c r="H210" s="22">
        <v>7.0495200000000002</v>
      </c>
      <c r="I210" s="22">
        <v>-1.3754300000000001E-2</v>
      </c>
      <c r="J210" s="22">
        <v>200</v>
      </c>
      <c r="K210" s="22">
        <v>0.59228499999999995</v>
      </c>
      <c r="L210">
        <f t="shared" si="36"/>
        <v>16.980617283950615</v>
      </c>
      <c r="M210">
        <f t="shared" si="37"/>
        <v>10.068775882839503</v>
      </c>
      <c r="N210" s="9"/>
      <c r="O210" s="22">
        <v>0.90713500000000002</v>
      </c>
      <c r="P210" s="22">
        <v>10.4659</v>
      </c>
      <c r="Q210" s="22">
        <v>-1.3378900000000001E-2</v>
      </c>
      <c r="R210" s="22">
        <v>200</v>
      </c>
      <c r="S210" s="22">
        <v>0.90576199999999996</v>
      </c>
      <c r="T210">
        <f t="shared" si="38"/>
        <v>16.517160493827159</v>
      </c>
      <c r="U210">
        <f t="shared" si="39"/>
        <v>14.9832943845679</v>
      </c>
      <c r="X210" s="9"/>
      <c r="Y210" s="22">
        <v>0.59295699999999996</v>
      </c>
      <c r="Z210" s="22">
        <v>15.5657</v>
      </c>
      <c r="AA210" s="22">
        <v>-1.36749E-2</v>
      </c>
      <c r="AB210" s="22">
        <v>200</v>
      </c>
      <c r="AC210" s="22">
        <v>0.592194</v>
      </c>
      <c r="AD210">
        <f t="shared" si="40"/>
        <v>16.882592592592591</v>
      </c>
      <c r="AE210">
        <f t="shared" si="41"/>
        <v>10.010651455925924</v>
      </c>
      <c r="AF210" s="9"/>
      <c r="AG210" s="22">
        <v>0.90713500000000002</v>
      </c>
      <c r="AH210" s="22">
        <v>18.982099999999999</v>
      </c>
      <c r="AI210" s="22">
        <v>-1.32233E-2</v>
      </c>
      <c r="AJ210" s="22">
        <v>200</v>
      </c>
      <c r="AK210" s="22">
        <v>0.90698199999999995</v>
      </c>
      <c r="AL210">
        <f t="shared" si="42"/>
        <v>16.32506172839506</v>
      </c>
      <c r="AM210">
        <f t="shared" si="43"/>
        <v>14.809034870987652</v>
      </c>
      <c r="AP210" s="9"/>
      <c r="AQ210" s="22">
        <v>0.59295699999999996</v>
      </c>
      <c r="AR210" s="22">
        <v>24.1599</v>
      </c>
      <c r="AS210" s="22">
        <v>-1.3665800000000001E-2</v>
      </c>
      <c r="AT210" s="22">
        <v>200</v>
      </c>
      <c r="AU210" s="22">
        <v>0.59231599999999995</v>
      </c>
      <c r="AV210">
        <f t="shared" si="44"/>
        <v>16.871358024691357</v>
      </c>
      <c r="AW210">
        <f t="shared" si="45"/>
        <v>10.003989840246913</v>
      </c>
      <c r="AX210" s="9"/>
      <c r="AY210" s="22">
        <v>0.90713500000000002</v>
      </c>
      <c r="AZ210" s="22">
        <v>27.5763</v>
      </c>
      <c r="BA210" s="22">
        <v>-1.3317900000000001E-2</v>
      </c>
      <c r="BB210" s="22">
        <v>200</v>
      </c>
      <c r="BC210" s="22">
        <v>0.90637199999999996</v>
      </c>
      <c r="BD210">
        <f t="shared" si="46"/>
        <v>16.441851851851851</v>
      </c>
      <c r="BE210">
        <f t="shared" si="47"/>
        <v>14.914979279629629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0.58792100000000003</v>
      </c>
      <c r="H211" s="22">
        <v>7.05959</v>
      </c>
      <c r="I211" s="22">
        <v>-1.37451E-2</v>
      </c>
      <c r="J211" s="22">
        <v>201</v>
      </c>
      <c r="K211" s="22">
        <v>0.58718899999999996</v>
      </c>
      <c r="L211">
        <f t="shared" si="36"/>
        <v>16.969259259259257</v>
      </c>
      <c r="M211">
        <f t="shared" si="37"/>
        <v>9.9765838729629621</v>
      </c>
      <c r="N211" s="9"/>
      <c r="O211" s="22">
        <v>0.91217000000000004</v>
      </c>
      <c r="P211" s="22">
        <v>10.475899999999999</v>
      </c>
      <c r="Q211" s="22">
        <v>-1.33667E-2</v>
      </c>
      <c r="R211" s="22">
        <v>201</v>
      </c>
      <c r="S211" s="22">
        <v>0.91125500000000004</v>
      </c>
      <c r="T211">
        <f t="shared" si="38"/>
        <v>16.502098765432098</v>
      </c>
      <c r="U211">
        <f t="shared" si="39"/>
        <v>15.052719430864197</v>
      </c>
      <c r="X211" s="9"/>
      <c r="Y211" s="22">
        <v>0.58792100000000003</v>
      </c>
      <c r="Z211" s="22">
        <v>15.575799999999999</v>
      </c>
      <c r="AA211" s="22">
        <v>-1.3671900000000001E-2</v>
      </c>
      <c r="AB211" s="22">
        <v>201</v>
      </c>
      <c r="AC211" s="22">
        <v>0.58718899999999996</v>
      </c>
      <c r="AD211">
        <f t="shared" si="40"/>
        <v>16.878888888888888</v>
      </c>
      <c r="AE211">
        <f t="shared" si="41"/>
        <v>9.9234532344444446</v>
      </c>
      <c r="AF211" s="9"/>
      <c r="AG211" s="22">
        <v>0.91217000000000004</v>
      </c>
      <c r="AH211" s="22">
        <v>18.992100000000001</v>
      </c>
      <c r="AI211" s="22">
        <v>-1.3214099999999999E-2</v>
      </c>
      <c r="AJ211" s="22">
        <v>201</v>
      </c>
      <c r="AK211" s="22">
        <v>0.91095000000000004</v>
      </c>
      <c r="AL211">
        <f t="shared" si="42"/>
        <v>16.313703703703702</v>
      </c>
      <c r="AM211">
        <f t="shared" si="43"/>
        <v>14.880871107407406</v>
      </c>
      <c r="AP211" s="9"/>
      <c r="AQ211" s="22">
        <v>0.58792100000000003</v>
      </c>
      <c r="AR211" s="22">
        <v>24.17</v>
      </c>
      <c r="AS211" s="22">
        <v>-1.3677999999999999E-2</v>
      </c>
      <c r="AT211" s="22">
        <v>201</v>
      </c>
      <c r="AU211" s="22">
        <v>0.58718899999999996</v>
      </c>
      <c r="AV211">
        <f t="shared" si="44"/>
        <v>16.886419753086418</v>
      </c>
      <c r="AW211">
        <f t="shared" si="45"/>
        <v>9.9278807876543205</v>
      </c>
      <c r="AX211" s="9"/>
      <c r="AY211" s="22">
        <v>0.91217000000000004</v>
      </c>
      <c r="AZ211" s="22">
        <v>27.586400000000001</v>
      </c>
      <c r="BA211" s="22">
        <v>-1.33148E-2</v>
      </c>
      <c r="BB211" s="22">
        <v>201</v>
      </c>
      <c r="BC211" s="22">
        <v>0.91095000000000004</v>
      </c>
      <c r="BD211">
        <f t="shared" si="46"/>
        <v>16.438024691358024</v>
      </c>
      <c r="BE211">
        <f t="shared" si="47"/>
        <v>14.994272982716049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0.58288600000000002</v>
      </c>
      <c r="H212" s="22">
        <v>7.0696599999999998</v>
      </c>
      <c r="I212" s="22">
        <v>-1.3736E-2</v>
      </c>
      <c r="J212" s="22">
        <v>202</v>
      </c>
      <c r="K212" s="22">
        <v>0.58212299999999995</v>
      </c>
      <c r="L212">
        <f t="shared" si="36"/>
        <v>16.958024691358023</v>
      </c>
      <c r="M212">
        <f t="shared" si="37"/>
        <v>9.8845951802469134</v>
      </c>
      <c r="N212" s="9"/>
      <c r="O212" s="22">
        <v>0.91720599999999997</v>
      </c>
      <c r="P212" s="22">
        <v>10.486000000000001</v>
      </c>
      <c r="Q212" s="22">
        <v>-1.33545E-2</v>
      </c>
      <c r="R212" s="22">
        <v>202</v>
      </c>
      <c r="S212" s="22">
        <v>0.91644300000000001</v>
      </c>
      <c r="T212">
        <f t="shared" si="38"/>
        <v>16.487037037037037</v>
      </c>
      <c r="U212">
        <f t="shared" si="39"/>
        <v>15.122009292592592</v>
      </c>
      <c r="X212" s="9"/>
      <c r="Y212" s="22">
        <v>0.58288600000000002</v>
      </c>
      <c r="Z212" s="22">
        <v>15.585900000000001</v>
      </c>
      <c r="AA212" s="22">
        <v>-1.3671900000000001E-2</v>
      </c>
      <c r="AB212" s="22">
        <v>202</v>
      </c>
      <c r="AC212" s="22">
        <v>0.58215300000000003</v>
      </c>
      <c r="AD212">
        <f t="shared" si="40"/>
        <v>16.878888888888888</v>
      </c>
      <c r="AE212">
        <f t="shared" si="41"/>
        <v>9.8384680288888884</v>
      </c>
      <c r="AF212" s="9"/>
      <c r="AG212" s="22">
        <v>0.91720599999999997</v>
      </c>
      <c r="AH212" s="22">
        <v>19.002199999999998</v>
      </c>
      <c r="AI212" s="22">
        <v>-1.3207999999999999E-2</v>
      </c>
      <c r="AJ212" s="22">
        <v>202</v>
      </c>
      <c r="AK212" s="22">
        <v>0.91674800000000001</v>
      </c>
      <c r="AL212">
        <f t="shared" si="42"/>
        <v>16.306172839506171</v>
      </c>
      <c r="AM212">
        <f t="shared" si="43"/>
        <v>14.956119565432097</v>
      </c>
      <c r="AP212" s="9"/>
      <c r="AQ212" s="22">
        <v>0.58288600000000002</v>
      </c>
      <c r="AR212" s="22">
        <v>24.180099999999999</v>
      </c>
      <c r="AS212" s="22">
        <v>-1.3684099999999999E-2</v>
      </c>
      <c r="AT212" s="22">
        <v>202</v>
      </c>
      <c r="AU212" s="22">
        <v>0.58212299999999995</v>
      </c>
      <c r="AV212">
        <f t="shared" si="44"/>
        <v>16.893950617283949</v>
      </c>
      <c r="AW212">
        <f t="shared" si="45"/>
        <v>9.8472472995061722</v>
      </c>
      <c r="AX212" s="9"/>
      <c r="AY212" s="22">
        <v>0.91720599999999997</v>
      </c>
      <c r="AZ212" s="22">
        <v>27.596399999999999</v>
      </c>
      <c r="BA212" s="22">
        <v>-1.3302599999999999E-2</v>
      </c>
      <c r="BB212" s="22">
        <v>202</v>
      </c>
      <c r="BC212" s="22">
        <v>0.91613800000000001</v>
      </c>
      <c r="BD212">
        <f t="shared" si="46"/>
        <v>16.422962962962963</v>
      </c>
      <c r="BE212">
        <f t="shared" si="47"/>
        <v>15.063240167407407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0.57784999999999997</v>
      </c>
      <c r="H213" s="22">
        <v>7.0797299999999996</v>
      </c>
      <c r="I213" s="22">
        <v>-1.3732899999999999E-2</v>
      </c>
      <c r="J213" s="22">
        <v>203</v>
      </c>
      <c r="K213" s="22">
        <v>0.57708700000000002</v>
      </c>
      <c r="L213">
        <f t="shared" si="36"/>
        <v>16.954197530864196</v>
      </c>
      <c r="M213">
        <f t="shared" si="37"/>
        <v>9.7969830432098757</v>
      </c>
      <c r="N213" s="9"/>
      <c r="O213" s="22">
        <v>0.92224099999999998</v>
      </c>
      <c r="P213" s="22">
        <v>10.4961</v>
      </c>
      <c r="Q213" s="22">
        <v>-1.3345299999999999E-2</v>
      </c>
      <c r="R213" s="22">
        <v>203</v>
      </c>
      <c r="S213" s="22">
        <v>0.92132599999999998</v>
      </c>
      <c r="T213">
        <f t="shared" si="38"/>
        <v>16.475679012345676</v>
      </c>
      <c r="U213">
        <f t="shared" si="39"/>
        <v>15.194546688024689</v>
      </c>
      <c r="X213" s="9"/>
      <c r="Y213" s="22">
        <v>0.57784999999999997</v>
      </c>
      <c r="Z213" s="22">
        <v>15.5959</v>
      </c>
      <c r="AA213" s="22">
        <v>-1.3677999999999999E-2</v>
      </c>
      <c r="AB213" s="22">
        <v>203</v>
      </c>
      <c r="AC213" s="22">
        <v>0.57723999999999998</v>
      </c>
      <c r="AD213">
        <f t="shared" si="40"/>
        <v>16.886419753086418</v>
      </c>
      <c r="AE213">
        <f t="shared" si="41"/>
        <v>9.757817654320986</v>
      </c>
      <c r="AF213" s="9"/>
      <c r="AG213" s="22">
        <v>0.92224099999999998</v>
      </c>
      <c r="AH213" s="22">
        <v>19.0123</v>
      </c>
      <c r="AI213" s="22">
        <v>-1.3201900000000001E-2</v>
      </c>
      <c r="AJ213" s="22">
        <v>203</v>
      </c>
      <c r="AK213" s="22">
        <v>0.92102099999999998</v>
      </c>
      <c r="AL213">
        <f t="shared" si="42"/>
        <v>16.298641975308641</v>
      </c>
      <c r="AM213">
        <f t="shared" si="43"/>
        <v>15.031275873950616</v>
      </c>
      <c r="AP213" s="9"/>
      <c r="AQ213" s="22">
        <v>0.57784999999999997</v>
      </c>
      <c r="AR213" s="22">
        <v>24.190200000000001</v>
      </c>
      <c r="AS213" s="22">
        <v>-1.37024E-2</v>
      </c>
      <c r="AT213" s="22">
        <v>203</v>
      </c>
      <c r="AU213" s="22">
        <v>0.577179</v>
      </c>
      <c r="AV213">
        <f t="shared" si="44"/>
        <v>16.916543209876544</v>
      </c>
      <c r="AW213">
        <f t="shared" si="45"/>
        <v>9.7752244938271602</v>
      </c>
      <c r="AX213" s="9"/>
      <c r="AY213" s="22">
        <v>0.92224099999999998</v>
      </c>
      <c r="AZ213" s="22">
        <v>27.6065</v>
      </c>
      <c r="BA213" s="22">
        <v>-1.32935E-2</v>
      </c>
      <c r="BB213" s="22">
        <v>203</v>
      </c>
      <c r="BC213" s="22">
        <v>0.92163099999999998</v>
      </c>
      <c r="BD213">
        <f t="shared" si="46"/>
        <v>16.411728395061726</v>
      </c>
      <c r="BE213">
        <f t="shared" si="47"/>
        <v>15.13556880679012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0.57281499999999996</v>
      </c>
      <c r="H214" s="22">
        <v>7.0898099999999999</v>
      </c>
      <c r="I214" s="22">
        <v>-1.3732899999999999E-2</v>
      </c>
      <c r="J214" s="22">
        <v>204</v>
      </c>
      <c r="K214" s="22">
        <v>0.57211299999999998</v>
      </c>
      <c r="L214">
        <f t="shared" si="36"/>
        <v>16.954197530864196</v>
      </c>
      <c r="M214">
        <f t="shared" si="37"/>
        <v>9.7116186586419744</v>
      </c>
      <c r="N214" s="9"/>
      <c r="O214" s="22">
        <v>0.92727700000000002</v>
      </c>
      <c r="P214" s="22">
        <v>10.5062</v>
      </c>
      <c r="Q214" s="22">
        <v>-1.3345299999999999E-2</v>
      </c>
      <c r="R214" s="22">
        <v>204</v>
      </c>
      <c r="S214" s="22">
        <v>0.92651399999999995</v>
      </c>
      <c r="T214">
        <f t="shared" si="38"/>
        <v>16.475679012345676</v>
      </c>
      <c r="U214">
        <f t="shared" si="39"/>
        <v>15.277518207530862</v>
      </c>
      <c r="X214" s="9"/>
      <c r="Y214" s="22">
        <v>0.57281499999999996</v>
      </c>
      <c r="Z214" s="22">
        <v>15.606</v>
      </c>
      <c r="AA214" s="22">
        <v>-1.3684099999999999E-2</v>
      </c>
      <c r="AB214" s="22">
        <v>204</v>
      </c>
      <c r="AC214" s="22">
        <v>0.57208300000000001</v>
      </c>
      <c r="AD214">
        <f t="shared" si="40"/>
        <v>16.893950617283949</v>
      </c>
      <c r="AE214">
        <f t="shared" si="41"/>
        <v>9.677108322839505</v>
      </c>
      <c r="AF214" s="9"/>
      <c r="AG214" s="22">
        <v>0.92727700000000002</v>
      </c>
      <c r="AH214" s="22">
        <v>19.022400000000001</v>
      </c>
      <c r="AI214" s="22">
        <v>-1.31989E-2</v>
      </c>
      <c r="AJ214" s="22">
        <v>204</v>
      </c>
      <c r="AK214" s="22">
        <v>0.92620800000000003</v>
      </c>
      <c r="AL214">
        <f t="shared" si="42"/>
        <v>16.294938271604938</v>
      </c>
      <c r="AM214">
        <f t="shared" si="43"/>
        <v>15.109921475679013</v>
      </c>
      <c r="AP214" s="9"/>
      <c r="AQ214" s="22">
        <v>0.57281499999999996</v>
      </c>
      <c r="AR214" s="22">
        <v>24.200199999999999</v>
      </c>
      <c r="AS214" s="22">
        <v>-1.3699299999999999E-2</v>
      </c>
      <c r="AT214" s="22">
        <v>204</v>
      </c>
      <c r="AU214" s="22">
        <v>0.57211299999999998</v>
      </c>
      <c r="AV214">
        <f t="shared" si="44"/>
        <v>16.912716049382716</v>
      </c>
      <c r="AW214">
        <f t="shared" si="45"/>
        <v>9.6878574438271592</v>
      </c>
      <c r="AX214" s="9"/>
      <c r="AY214" s="22">
        <v>0.92727700000000002</v>
      </c>
      <c r="AZ214" s="22">
        <v>27.616599999999998</v>
      </c>
      <c r="BA214" s="22">
        <v>-1.32935E-2</v>
      </c>
      <c r="BB214" s="22">
        <v>204</v>
      </c>
      <c r="BC214" s="22">
        <v>0.92620800000000003</v>
      </c>
      <c r="BD214">
        <f t="shared" si="46"/>
        <v>16.411728395061726</v>
      </c>
      <c r="BE214">
        <f t="shared" si="47"/>
        <v>15.218218270987652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0.56777999999999995</v>
      </c>
      <c r="H215" s="22">
        <v>7.0998799999999997</v>
      </c>
      <c r="I215" s="22">
        <v>-1.3736E-2</v>
      </c>
      <c r="J215" s="22">
        <v>205</v>
      </c>
      <c r="K215" s="22">
        <v>0.56701699999999999</v>
      </c>
      <c r="L215">
        <f t="shared" si="36"/>
        <v>16.958024691358023</v>
      </c>
      <c r="M215">
        <f t="shared" si="37"/>
        <v>9.6284272592592579</v>
      </c>
      <c r="N215" s="9"/>
      <c r="O215" s="22">
        <v>0.93231200000000003</v>
      </c>
      <c r="P215" s="22">
        <v>10.5162</v>
      </c>
      <c r="Q215" s="22">
        <v>-1.3345299999999999E-2</v>
      </c>
      <c r="R215" s="22">
        <v>205</v>
      </c>
      <c r="S215" s="22">
        <v>0.931091</v>
      </c>
      <c r="T215">
        <f t="shared" si="38"/>
        <v>16.475679012345676</v>
      </c>
      <c r="U215">
        <f t="shared" si="39"/>
        <v>15.360473251358023</v>
      </c>
      <c r="X215" s="9"/>
      <c r="Y215" s="22">
        <v>0.56777999999999995</v>
      </c>
      <c r="Z215" s="22">
        <v>15.616099999999999</v>
      </c>
      <c r="AA215" s="22">
        <v>-1.37024E-2</v>
      </c>
      <c r="AB215" s="22">
        <v>205</v>
      </c>
      <c r="AC215" s="22">
        <v>0.56704699999999997</v>
      </c>
      <c r="AD215">
        <f t="shared" si="40"/>
        <v>16.916543209876544</v>
      </c>
      <c r="AE215">
        <f t="shared" si="41"/>
        <v>9.6048749037037027</v>
      </c>
      <c r="AF215" s="9"/>
      <c r="AG215" s="22">
        <v>0.93231200000000003</v>
      </c>
      <c r="AH215" s="22">
        <v>19.032399999999999</v>
      </c>
      <c r="AI215" s="22">
        <v>-1.31927E-2</v>
      </c>
      <c r="AJ215" s="22">
        <v>205</v>
      </c>
      <c r="AK215" s="22">
        <v>0.931091</v>
      </c>
      <c r="AL215">
        <f t="shared" si="42"/>
        <v>16.287283950617283</v>
      </c>
      <c r="AM215">
        <f t="shared" si="43"/>
        <v>15.184830274567901</v>
      </c>
      <c r="AP215" s="9"/>
      <c r="AQ215" s="22">
        <v>0.56777999999999995</v>
      </c>
      <c r="AR215" s="22">
        <v>24.2103</v>
      </c>
      <c r="AS215" s="22">
        <v>-1.37024E-2</v>
      </c>
      <c r="AT215" s="22">
        <v>205</v>
      </c>
      <c r="AU215" s="22">
        <v>0.56704699999999997</v>
      </c>
      <c r="AV215">
        <f t="shared" si="44"/>
        <v>16.916543209876544</v>
      </c>
      <c r="AW215">
        <f t="shared" si="45"/>
        <v>9.6048749037037027</v>
      </c>
      <c r="AX215" s="9"/>
      <c r="AY215" s="22">
        <v>0.93231200000000003</v>
      </c>
      <c r="AZ215" s="22">
        <v>27.6266</v>
      </c>
      <c r="BA215" s="22">
        <v>-1.32996E-2</v>
      </c>
      <c r="BB215" s="22">
        <v>205</v>
      </c>
      <c r="BC215" s="22">
        <v>0.931396</v>
      </c>
      <c r="BD215">
        <f t="shared" si="46"/>
        <v>16.41925925925926</v>
      </c>
      <c r="BE215">
        <f t="shared" si="47"/>
        <v>15.307872438518519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0.56274400000000002</v>
      </c>
      <c r="H216" s="22">
        <v>7.1099500000000004</v>
      </c>
      <c r="I216" s="22">
        <v>-1.3738999999999999E-2</v>
      </c>
      <c r="J216" s="22">
        <v>206</v>
      </c>
      <c r="K216" s="22">
        <v>0.56195099999999998</v>
      </c>
      <c r="L216">
        <f t="shared" si="36"/>
        <v>16.961728395061726</v>
      </c>
      <c r="M216">
        <f t="shared" si="37"/>
        <v>9.5451108839506169</v>
      </c>
      <c r="N216" s="9"/>
      <c r="O216" s="22">
        <v>0.93734700000000004</v>
      </c>
      <c r="P216" s="22">
        <v>10.526300000000001</v>
      </c>
      <c r="Q216" s="22">
        <v>-1.3339200000000001E-2</v>
      </c>
      <c r="R216" s="22">
        <v>206</v>
      </c>
      <c r="S216" s="22">
        <v>0.93627899999999997</v>
      </c>
      <c r="T216">
        <f t="shared" si="38"/>
        <v>16.468148148148149</v>
      </c>
      <c r="U216">
        <f t="shared" si="39"/>
        <v>15.436369262222223</v>
      </c>
      <c r="X216" s="9"/>
      <c r="Y216" s="22">
        <v>0.56274400000000002</v>
      </c>
      <c r="Z216" s="22">
        <v>15.626200000000001</v>
      </c>
      <c r="AA216" s="22">
        <v>-1.3720700000000001E-2</v>
      </c>
      <c r="AB216" s="22">
        <v>206</v>
      </c>
      <c r="AC216" s="22">
        <v>0.56204200000000004</v>
      </c>
      <c r="AD216">
        <f t="shared" si="40"/>
        <v>16.939135802469135</v>
      </c>
      <c r="AE216">
        <f t="shared" si="41"/>
        <v>9.5323970380246905</v>
      </c>
      <c r="AF216" s="9"/>
      <c r="AG216" s="22">
        <v>0.93734700000000004</v>
      </c>
      <c r="AH216" s="22">
        <v>19.0425</v>
      </c>
      <c r="AI216" s="22">
        <v>-1.3174399999999999E-2</v>
      </c>
      <c r="AJ216" s="22">
        <v>206</v>
      </c>
      <c r="AK216" s="22">
        <v>0.93627899999999997</v>
      </c>
      <c r="AL216">
        <f t="shared" si="42"/>
        <v>16.264691358024692</v>
      </c>
      <c r="AM216">
        <f t="shared" si="43"/>
        <v>15.245659650370371</v>
      </c>
      <c r="AP216" s="9"/>
      <c r="AQ216" s="22">
        <v>0.56274400000000002</v>
      </c>
      <c r="AR216" s="22">
        <v>24.220400000000001</v>
      </c>
      <c r="AS216" s="22">
        <v>-1.37054E-2</v>
      </c>
      <c r="AT216" s="22">
        <v>206</v>
      </c>
      <c r="AU216" s="22">
        <v>0.56210300000000002</v>
      </c>
      <c r="AV216">
        <f t="shared" si="44"/>
        <v>16.920246913580247</v>
      </c>
      <c r="AW216">
        <f t="shared" si="45"/>
        <v>9.521767429135803</v>
      </c>
      <c r="AX216" s="9"/>
      <c r="AY216" s="22">
        <v>0.93734700000000004</v>
      </c>
      <c r="AZ216" s="22">
        <v>27.636700000000001</v>
      </c>
      <c r="BA216" s="22">
        <v>-1.3296499999999999E-2</v>
      </c>
      <c r="BB216" s="22">
        <v>206</v>
      </c>
      <c r="BC216" s="22">
        <v>0.93627899999999997</v>
      </c>
      <c r="BD216">
        <f t="shared" si="46"/>
        <v>16.415432098765429</v>
      </c>
      <c r="BE216">
        <f t="shared" si="47"/>
        <v>15.386956031481478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0.55770900000000001</v>
      </c>
      <c r="H217" s="22">
        <v>7.1200200000000002</v>
      </c>
      <c r="I217" s="22">
        <v>-1.3736E-2</v>
      </c>
      <c r="J217" s="22">
        <v>207</v>
      </c>
      <c r="K217" s="22">
        <v>0.55694600000000005</v>
      </c>
      <c r="L217">
        <f t="shared" si="36"/>
        <v>16.958024691358023</v>
      </c>
      <c r="M217">
        <f t="shared" si="37"/>
        <v>9.4576429925925911</v>
      </c>
      <c r="N217" s="9"/>
      <c r="O217" s="22">
        <v>0.94238299999999997</v>
      </c>
      <c r="P217" s="22">
        <v>10.5364</v>
      </c>
      <c r="Q217" s="22">
        <v>-1.3327E-2</v>
      </c>
      <c r="R217" s="22">
        <v>207</v>
      </c>
      <c r="S217" s="22">
        <v>0.94055200000000005</v>
      </c>
      <c r="T217">
        <f t="shared" si="38"/>
        <v>16.453086419753085</v>
      </c>
      <c r="U217">
        <f t="shared" si="39"/>
        <v>15.505108939506171</v>
      </c>
      <c r="X217" s="9"/>
      <c r="Y217" s="22">
        <v>0.55770900000000001</v>
      </c>
      <c r="Z217" s="22">
        <v>15.636200000000001</v>
      </c>
      <c r="AA217" s="22">
        <v>-1.3736E-2</v>
      </c>
      <c r="AB217" s="22">
        <v>207</v>
      </c>
      <c r="AC217" s="22">
        <v>0.55697600000000003</v>
      </c>
      <c r="AD217">
        <f t="shared" si="40"/>
        <v>16.958024691358023</v>
      </c>
      <c r="AE217">
        <f t="shared" si="41"/>
        <v>9.4576429925925911</v>
      </c>
      <c r="AF217" s="9"/>
      <c r="AG217" s="22">
        <v>0.94238299999999997</v>
      </c>
      <c r="AH217" s="22">
        <v>19.052600000000002</v>
      </c>
      <c r="AI217" s="22">
        <v>-1.3168300000000001E-2</v>
      </c>
      <c r="AJ217" s="22">
        <v>207</v>
      </c>
      <c r="AK217" s="22">
        <v>0.94146700000000005</v>
      </c>
      <c r="AL217">
        <f t="shared" si="42"/>
        <v>16.257160493827158</v>
      </c>
      <c r="AM217">
        <f t="shared" si="43"/>
        <v>15.320471677654318</v>
      </c>
      <c r="AP217" s="9"/>
      <c r="AQ217" s="22">
        <v>0.55770900000000001</v>
      </c>
      <c r="AR217" s="22">
        <v>24.230399999999999</v>
      </c>
      <c r="AS217" s="22">
        <v>-1.37115E-2</v>
      </c>
      <c r="AT217" s="22">
        <v>207</v>
      </c>
      <c r="AU217" s="22">
        <v>0.55688499999999996</v>
      </c>
      <c r="AV217">
        <f t="shared" si="44"/>
        <v>16.927777777777777</v>
      </c>
      <c r="AW217">
        <f t="shared" si="45"/>
        <v>9.4407740166666656</v>
      </c>
      <c r="AX217" s="9"/>
      <c r="AY217" s="22">
        <v>0.94238299999999997</v>
      </c>
      <c r="AZ217" s="22">
        <v>27.646799999999999</v>
      </c>
      <c r="BA217" s="22">
        <v>-1.3302599999999999E-2</v>
      </c>
      <c r="BB217" s="22">
        <v>207</v>
      </c>
      <c r="BC217" s="22">
        <v>0.94146700000000005</v>
      </c>
      <c r="BD217">
        <f t="shared" si="46"/>
        <v>16.422962962962963</v>
      </c>
      <c r="BE217">
        <f t="shared" si="47"/>
        <v>15.476721105925925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0.55267299999999997</v>
      </c>
      <c r="H218" s="22">
        <v>7.13009</v>
      </c>
      <c r="I218" s="22">
        <v>-1.37421E-2</v>
      </c>
      <c r="J218" s="22">
        <v>208</v>
      </c>
      <c r="K218" s="22">
        <v>0.55197099999999999</v>
      </c>
      <c r="L218">
        <f t="shared" si="36"/>
        <v>16.965555555555554</v>
      </c>
      <c r="M218">
        <f t="shared" si="37"/>
        <v>9.3764044855555539</v>
      </c>
      <c r="N218" s="9"/>
      <c r="O218" s="22">
        <v>0.94741799999999998</v>
      </c>
      <c r="P218" s="22">
        <v>10.5464</v>
      </c>
      <c r="Q218" s="22">
        <v>-1.33118E-2</v>
      </c>
      <c r="R218" s="22">
        <v>208</v>
      </c>
      <c r="S218" s="22">
        <v>0.94604500000000002</v>
      </c>
      <c r="T218">
        <f t="shared" si="38"/>
        <v>16.434320987654321</v>
      </c>
      <c r="U218">
        <f t="shared" si="39"/>
        <v>15.57017152148148</v>
      </c>
      <c r="X218" s="9"/>
      <c r="Y218" s="22">
        <v>0.55267299999999997</v>
      </c>
      <c r="Z218" s="22">
        <v>15.6463</v>
      </c>
      <c r="AA218" s="22">
        <v>-1.3738999999999999E-2</v>
      </c>
      <c r="AB218" s="22">
        <v>208</v>
      </c>
      <c r="AC218" s="22">
        <v>0.55191000000000001</v>
      </c>
      <c r="AD218">
        <f t="shared" si="40"/>
        <v>16.961728395061726</v>
      </c>
      <c r="AE218">
        <f t="shared" si="41"/>
        <v>9.3742893172839494</v>
      </c>
      <c r="AF218" s="9"/>
      <c r="AG218" s="22">
        <v>0.94741799999999998</v>
      </c>
      <c r="AH218" s="22">
        <v>19.0626</v>
      </c>
      <c r="AI218" s="22">
        <v>-1.31653E-2</v>
      </c>
      <c r="AJ218" s="22">
        <v>208</v>
      </c>
      <c r="AK218" s="22">
        <v>0.94665500000000002</v>
      </c>
      <c r="AL218">
        <f t="shared" si="42"/>
        <v>16.253456790123455</v>
      </c>
      <c r="AM218">
        <f t="shared" si="43"/>
        <v>15.398817525185184</v>
      </c>
      <c r="AP218" s="9"/>
      <c r="AQ218" s="22">
        <v>0.55267299999999997</v>
      </c>
      <c r="AR218" s="22">
        <v>24.240500000000001</v>
      </c>
      <c r="AS218" s="22">
        <v>-1.37054E-2</v>
      </c>
      <c r="AT218" s="22">
        <v>208</v>
      </c>
      <c r="AU218" s="22">
        <v>0.55191000000000001</v>
      </c>
      <c r="AV218">
        <f t="shared" si="44"/>
        <v>16.920246913580247</v>
      </c>
      <c r="AW218">
        <f t="shared" si="45"/>
        <v>9.351363622469135</v>
      </c>
      <c r="AX218" s="9"/>
      <c r="AY218" s="22">
        <v>0.94741799999999998</v>
      </c>
      <c r="AZ218" s="22">
        <v>27.6569</v>
      </c>
      <c r="BA218" s="22">
        <v>-1.33057E-2</v>
      </c>
      <c r="BB218" s="22">
        <v>208</v>
      </c>
      <c r="BC218" s="22">
        <v>0.94635000000000002</v>
      </c>
      <c r="BD218">
        <f t="shared" si="46"/>
        <v>16.42679012345679</v>
      </c>
      <c r="BE218">
        <f t="shared" si="47"/>
        <v>15.563036645185186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0.54763799999999996</v>
      </c>
      <c r="H219" s="22">
        <v>7.1401599999999998</v>
      </c>
      <c r="I219" s="22">
        <v>-1.37512E-2</v>
      </c>
      <c r="J219" s="22">
        <v>209</v>
      </c>
      <c r="K219" s="22">
        <v>0.54693599999999998</v>
      </c>
      <c r="L219">
        <f t="shared" si="36"/>
        <v>16.976790123456787</v>
      </c>
      <c r="M219">
        <f t="shared" si="37"/>
        <v>9.2971353896296272</v>
      </c>
      <c r="N219" s="9"/>
      <c r="O219" s="22">
        <v>0.95245400000000002</v>
      </c>
      <c r="P219" s="22">
        <v>10.5565</v>
      </c>
      <c r="Q219" s="22">
        <v>-1.3296499999999999E-2</v>
      </c>
      <c r="R219" s="22">
        <v>209</v>
      </c>
      <c r="S219" s="22">
        <v>0.950928</v>
      </c>
      <c r="T219">
        <f t="shared" si="38"/>
        <v>16.415432098765429</v>
      </c>
      <c r="U219">
        <f t="shared" si="39"/>
        <v>15.634943964197529</v>
      </c>
      <c r="X219" s="9"/>
      <c r="Y219" s="22">
        <v>0.54763799999999996</v>
      </c>
      <c r="Z219" s="22">
        <v>15.6564</v>
      </c>
      <c r="AA219" s="22">
        <v>-1.37421E-2</v>
      </c>
      <c r="AB219" s="22">
        <v>209</v>
      </c>
      <c r="AC219" s="22">
        <v>0.546875</v>
      </c>
      <c r="AD219">
        <f t="shared" si="40"/>
        <v>16.965555555555554</v>
      </c>
      <c r="AE219">
        <f t="shared" si="41"/>
        <v>9.2909829133333321</v>
      </c>
      <c r="AF219" s="9"/>
      <c r="AG219" s="22">
        <v>0.95245400000000002</v>
      </c>
      <c r="AH219" s="22">
        <v>19.072700000000001</v>
      </c>
      <c r="AI219" s="22">
        <v>-1.31653E-2</v>
      </c>
      <c r="AJ219" s="22">
        <v>209</v>
      </c>
      <c r="AK219" s="22">
        <v>0.95184299999999999</v>
      </c>
      <c r="AL219">
        <f t="shared" si="42"/>
        <v>16.253456790123455</v>
      </c>
      <c r="AM219">
        <f t="shared" si="43"/>
        <v>15.480669933580245</v>
      </c>
      <c r="AP219" s="9"/>
      <c r="AQ219" s="22">
        <v>0.54763799999999996</v>
      </c>
      <c r="AR219" s="22">
        <v>24.250599999999999</v>
      </c>
      <c r="AS219" s="22">
        <v>-1.37115E-2</v>
      </c>
      <c r="AT219" s="22">
        <v>209</v>
      </c>
      <c r="AU219" s="22">
        <v>0.546844</v>
      </c>
      <c r="AV219">
        <f t="shared" si="44"/>
        <v>16.927777777777777</v>
      </c>
      <c r="AW219">
        <f t="shared" si="45"/>
        <v>9.2702943666666648</v>
      </c>
      <c r="AX219" s="9"/>
      <c r="AY219" s="22">
        <v>0.95245400000000002</v>
      </c>
      <c r="AZ219" s="22">
        <v>27.666899999999998</v>
      </c>
      <c r="BA219" s="22">
        <v>-1.3290400000000001E-2</v>
      </c>
      <c r="BB219" s="22">
        <v>209</v>
      </c>
      <c r="BC219" s="22">
        <v>0.95184299999999999</v>
      </c>
      <c r="BD219">
        <f t="shared" si="46"/>
        <v>16.407901234567902</v>
      </c>
      <c r="BE219">
        <f t="shared" si="47"/>
        <v>15.627771162469136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0.54260299999999995</v>
      </c>
      <c r="H220" s="22">
        <v>7.1502299999999996</v>
      </c>
      <c r="I220" s="22">
        <v>-1.3760400000000001E-2</v>
      </c>
      <c r="J220" s="22">
        <v>210</v>
      </c>
      <c r="K220" s="22">
        <v>0.54190099999999997</v>
      </c>
      <c r="L220">
        <f t="shared" si="36"/>
        <v>16.988148148148149</v>
      </c>
      <c r="M220">
        <f t="shared" si="37"/>
        <v>9.2178201496296293</v>
      </c>
      <c r="N220" s="9"/>
      <c r="O220" s="22">
        <v>0.95748900000000003</v>
      </c>
      <c r="P220" s="22">
        <v>10.566599999999999</v>
      </c>
      <c r="Q220" s="22">
        <v>-1.3296499999999999E-2</v>
      </c>
      <c r="R220" s="22">
        <v>210</v>
      </c>
      <c r="S220" s="22">
        <v>0.95672599999999997</v>
      </c>
      <c r="T220">
        <f t="shared" si="38"/>
        <v>16.415432098765429</v>
      </c>
      <c r="U220">
        <f t="shared" si="39"/>
        <v>15.717595664814812</v>
      </c>
      <c r="X220" s="9"/>
      <c r="Y220" s="22">
        <v>0.54260299999999995</v>
      </c>
      <c r="Z220" s="22">
        <v>15.666399999999999</v>
      </c>
      <c r="AA220" s="22">
        <v>-1.37512E-2</v>
      </c>
      <c r="AB220" s="22">
        <v>210</v>
      </c>
      <c r="AC220" s="22">
        <v>0.54196200000000005</v>
      </c>
      <c r="AD220">
        <f t="shared" si="40"/>
        <v>16.976790123456787</v>
      </c>
      <c r="AE220">
        <f t="shared" si="41"/>
        <v>9.211657251358023</v>
      </c>
      <c r="AF220" s="9"/>
      <c r="AG220" s="22">
        <v>0.95748900000000003</v>
      </c>
      <c r="AH220" s="22">
        <v>19.082799999999999</v>
      </c>
      <c r="AI220" s="22">
        <v>-1.3168300000000001E-2</v>
      </c>
      <c r="AJ220" s="22">
        <v>210</v>
      </c>
      <c r="AK220" s="22">
        <v>0.95642099999999997</v>
      </c>
      <c r="AL220">
        <f t="shared" si="42"/>
        <v>16.257160493827158</v>
      </c>
      <c r="AM220">
        <f t="shared" si="43"/>
        <v>15.566052344074071</v>
      </c>
      <c r="AP220" s="9"/>
      <c r="AQ220" s="22">
        <v>0.54260299999999995</v>
      </c>
      <c r="AR220" s="22">
        <v>24.2607</v>
      </c>
      <c r="AS220" s="22">
        <v>-1.3720700000000001E-2</v>
      </c>
      <c r="AT220" s="22">
        <v>210</v>
      </c>
      <c r="AU220" s="22">
        <v>0.54186999999999996</v>
      </c>
      <c r="AV220">
        <f t="shared" si="44"/>
        <v>16.939135802469135</v>
      </c>
      <c r="AW220">
        <f t="shared" si="45"/>
        <v>9.19122590382716</v>
      </c>
      <c r="AX220" s="9"/>
      <c r="AY220" s="22">
        <v>0.95748900000000003</v>
      </c>
      <c r="AZ220" s="22">
        <v>27.677</v>
      </c>
      <c r="BA220" s="22">
        <v>-1.3281299999999999E-2</v>
      </c>
      <c r="BB220" s="22">
        <v>210</v>
      </c>
      <c r="BC220" s="22">
        <v>0.95672599999999997</v>
      </c>
      <c r="BD220">
        <f t="shared" si="46"/>
        <v>16.396666666666665</v>
      </c>
      <c r="BE220">
        <f t="shared" si="47"/>
        <v>15.699627969999998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0.53756700000000002</v>
      </c>
      <c r="H221" s="22">
        <v>7.1603000000000003</v>
      </c>
      <c r="I221" s="22">
        <v>-1.37695E-2</v>
      </c>
      <c r="J221" s="22">
        <v>211</v>
      </c>
      <c r="K221" s="22">
        <v>0.53692600000000001</v>
      </c>
      <c r="L221">
        <f t="shared" si="36"/>
        <v>16.999382716049382</v>
      </c>
      <c r="M221">
        <f t="shared" si="37"/>
        <v>9.1383071685185193</v>
      </c>
      <c r="N221" s="9"/>
      <c r="O221" s="22">
        <v>0.96252400000000005</v>
      </c>
      <c r="P221" s="22">
        <v>10.576700000000001</v>
      </c>
      <c r="Q221" s="22">
        <v>-1.3284300000000001E-2</v>
      </c>
      <c r="R221" s="22">
        <v>211</v>
      </c>
      <c r="S221" s="22">
        <v>0.96130400000000005</v>
      </c>
      <c r="T221">
        <f t="shared" si="38"/>
        <v>16.400370370370371</v>
      </c>
      <c r="U221">
        <f t="shared" si="39"/>
        <v>15.785750090370373</v>
      </c>
      <c r="X221" s="9"/>
      <c r="Y221" s="22">
        <v>0.53756700000000002</v>
      </c>
      <c r="Z221" s="22">
        <v>15.676500000000001</v>
      </c>
      <c r="AA221" s="22">
        <v>-1.37451E-2</v>
      </c>
      <c r="AB221" s="22">
        <v>211</v>
      </c>
      <c r="AC221" s="22">
        <v>0.53686500000000004</v>
      </c>
      <c r="AD221">
        <f t="shared" si="40"/>
        <v>16.969259259259257</v>
      </c>
      <c r="AE221">
        <f t="shared" si="41"/>
        <v>9.1221137922222209</v>
      </c>
      <c r="AF221" s="9"/>
      <c r="AG221" s="22">
        <v>0.96252400000000005</v>
      </c>
      <c r="AH221" s="22">
        <v>19.0929</v>
      </c>
      <c r="AI221" s="22">
        <v>-1.31653E-2</v>
      </c>
      <c r="AJ221" s="22">
        <v>211</v>
      </c>
      <c r="AK221" s="22">
        <v>0.96160900000000005</v>
      </c>
      <c r="AL221">
        <f t="shared" si="42"/>
        <v>16.253456790123455</v>
      </c>
      <c r="AM221">
        <f t="shared" si="43"/>
        <v>15.644342243456789</v>
      </c>
      <c r="AP221" s="9"/>
      <c r="AQ221" s="22">
        <v>0.53756700000000002</v>
      </c>
      <c r="AR221" s="22">
        <v>24.270700000000001</v>
      </c>
      <c r="AS221" s="22">
        <v>-1.37299E-2</v>
      </c>
      <c r="AT221" s="22">
        <v>211</v>
      </c>
      <c r="AU221" s="22">
        <v>0.53695700000000002</v>
      </c>
      <c r="AV221">
        <f t="shared" si="44"/>
        <v>16.950493827160493</v>
      </c>
      <c r="AW221">
        <f t="shared" si="45"/>
        <v>9.1120261151851842</v>
      </c>
      <c r="AX221" s="9"/>
      <c r="AY221" s="22">
        <v>0.96252400000000005</v>
      </c>
      <c r="AZ221" s="22">
        <v>27.687100000000001</v>
      </c>
      <c r="BA221" s="22">
        <v>-1.3266E-2</v>
      </c>
      <c r="BB221" s="22">
        <v>211</v>
      </c>
      <c r="BC221" s="22">
        <v>0.96130400000000005</v>
      </c>
      <c r="BD221">
        <f t="shared" si="46"/>
        <v>16.377777777777776</v>
      </c>
      <c r="BE221">
        <f t="shared" si="47"/>
        <v>15.764004177777776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0.53253200000000001</v>
      </c>
      <c r="H222" s="22">
        <v>7.1703700000000001</v>
      </c>
      <c r="I222" s="22">
        <v>-1.3766499999999999E-2</v>
      </c>
      <c r="J222" s="22">
        <v>212</v>
      </c>
      <c r="K222" s="22">
        <v>0.53179900000000002</v>
      </c>
      <c r="L222">
        <f t="shared" si="36"/>
        <v>16.995679012345676</v>
      </c>
      <c r="M222">
        <f t="shared" si="37"/>
        <v>9.050742935802468</v>
      </c>
      <c r="N222" s="9"/>
      <c r="O222" s="22">
        <v>0.96755999999999998</v>
      </c>
      <c r="P222" s="22">
        <v>10.5867</v>
      </c>
      <c r="Q222" s="22">
        <v>-1.32782E-2</v>
      </c>
      <c r="R222" s="22">
        <v>212</v>
      </c>
      <c r="S222" s="22">
        <v>0.96649200000000002</v>
      </c>
      <c r="T222">
        <f t="shared" si="38"/>
        <v>16.392839506172837</v>
      </c>
      <c r="U222">
        <f t="shared" si="39"/>
        <v>15.861055792592589</v>
      </c>
      <c r="X222" s="9"/>
      <c r="Y222" s="22">
        <v>0.53253200000000001</v>
      </c>
      <c r="Z222" s="22">
        <v>15.6866</v>
      </c>
      <c r="AA222" s="22">
        <v>-1.37421E-2</v>
      </c>
      <c r="AB222" s="22">
        <v>212</v>
      </c>
      <c r="AC222" s="22">
        <v>0.53173800000000004</v>
      </c>
      <c r="AD222">
        <f t="shared" si="40"/>
        <v>16.965555555555554</v>
      </c>
      <c r="AE222">
        <f t="shared" si="41"/>
        <v>9.0347012311111108</v>
      </c>
      <c r="AF222" s="9"/>
      <c r="AG222" s="22">
        <v>0.96755999999999998</v>
      </c>
      <c r="AH222" s="22">
        <v>19.102900000000002</v>
      </c>
      <c r="AI222" s="22">
        <v>-1.3153099999999999E-2</v>
      </c>
      <c r="AJ222" s="22">
        <v>212</v>
      </c>
      <c r="AK222" s="22">
        <v>0.96679700000000002</v>
      </c>
      <c r="AL222">
        <f t="shared" si="42"/>
        <v>16.238395061728394</v>
      </c>
      <c r="AM222">
        <f t="shared" si="43"/>
        <v>15.711621525925924</v>
      </c>
      <c r="AP222" s="9"/>
      <c r="AQ222" s="22">
        <v>0.53253200000000001</v>
      </c>
      <c r="AR222" s="22">
        <v>24.280799999999999</v>
      </c>
      <c r="AS222" s="22">
        <v>-1.3738999999999999E-2</v>
      </c>
      <c r="AT222" s="22">
        <v>212</v>
      </c>
      <c r="AU222" s="22">
        <v>0.53179900000000002</v>
      </c>
      <c r="AV222">
        <f t="shared" si="44"/>
        <v>16.961728395061726</v>
      </c>
      <c r="AW222">
        <f t="shared" si="45"/>
        <v>9.0326631456790114</v>
      </c>
      <c r="AX222" s="9"/>
      <c r="AY222" s="22">
        <v>0.96755999999999998</v>
      </c>
      <c r="AZ222" s="22">
        <v>27.697099999999999</v>
      </c>
      <c r="BA222" s="22">
        <v>-1.3250700000000001E-2</v>
      </c>
      <c r="BB222" s="22">
        <v>212</v>
      </c>
      <c r="BC222" s="22">
        <v>0.96679700000000002</v>
      </c>
      <c r="BD222">
        <f t="shared" si="46"/>
        <v>16.358888888888888</v>
      </c>
      <c r="BE222">
        <f t="shared" si="47"/>
        <v>15.828206533333333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0.52749599999999996</v>
      </c>
      <c r="H223" s="22">
        <v>7.1804399999999999</v>
      </c>
      <c r="I223" s="22">
        <v>-1.3772599999999999E-2</v>
      </c>
      <c r="J223" s="22">
        <v>213</v>
      </c>
      <c r="K223" s="22">
        <v>0.52685499999999996</v>
      </c>
      <c r="L223">
        <f t="shared" si="36"/>
        <v>17.00320987654321</v>
      </c>
      <c r="M223">
        <f t="shared" si="37"/>
        <v>8.9691251970370356</v>
      </c>
      <c r="N223" s="9"/>
      <c r="O223" s="22">
        <v>0.97259499999999999</v>
      </c>
      <c r="P223" s="22">
        <v>10.5968</v>
      </c>
      <c r="Q223" s="22">
        <v>-1.3266E-2</v>
      </c>
      <c r="R223" s="22">
        <v>213</v>
      </c>
      <c r="S223" s="22">
        <v>0.97137499999999999</v>
      </c>
      <c r="T223">
        <f t="shared" si="38"/>
        <v>16.377777777777776</v>
      </c>
      <c r="U223">
        <f t="shared" si="39"/>
        <v>15.928944777777776</v>
      </c>
      <c r="X223" s="9"/>
      <c r="Y223" s="22">
        <v>0.52749599999999996</v>
      </c>
      <c r="Z223" s="22">
        <v>15.6966</v>
      </c>
      <c r="AA223" s="22">
        <v>-1.37299E-2</v>
      </c>
      <c r="AB223" s="22">
        <v>213</v>
      </c>
      <c r="AC223" s="22">
        <v>0.52682499999999999</v>
      </c>
      <c r="AD223">
        <f t="shared" si="40"/>
        <v>16.950493827160493</v>
      </c>
      <c r="AE223">
        <f t="shared" si="41"/>
        <v>8.9413176918518502</v>
      </c>
      <c r="AF223" s="9"/>
      <c r="AG223" s="22">
        <v>0.97259499999999999</v>
      </c>
      <c r="AH223" s="22">
        <v>19.113</v>
      </c>
      <c r="AI223" s="22">
        <v>-1.3147000000000001E-2</v>
      </c>
      <c r="AJ223" s="22">
        <v>213</v>
      </c>
      <c r="AK223" s="22">
        <v>0.97167999999999999</v>
      </c>
      <c r="AL223">
        <f t="shared" si="42"/>
        <v>16.230864197530863</v>
      </c>
      <c r="AM223">
        <f t="shared" si="43"/>
        <v>15.78605736419753</v>
      </c>
      <c r="AP223" s="9"/>
      <c r="AQ223" s="22">
        <v>0.52749599999999996</v>
      </c>
      <c r="AR223" s="22">
        <v>24.290900000000001</v>
      </c>
      <c r="AS223" s="22">
        <v>-1.37421E-2</v>
      </c>
      <c r="AT223" s="22">
        <v>213</v>
      </c>
      <c r="AU223" s="22">
        <v>0.52676400000000001</v>
      </c>
      <c r="AV223">
        <f t="shared" si="44"/>
        <v>16.965555555555554</v>
      </c>
      <c r="AW223">
        <f t="shared" si="45"/>
        <v>8.9492626933333312</v>
      </c>
      <c r="AX223" s="9"/>
      <c r="AY223" s="22">
        <v>0.97259499999999999</v>
      </c>
      <c r="AZ223" s="22">
        <v>27.7072</v>
      </c>
      <c r="BA223" s="22">
        <v>-1.3241599999999999E-2</v>
      </c>
      <c r="BB223" s="22">
        <v>213</v>
      </c>
      <c r="BC223" s="22">
        <v>0.97167999999999999</v>
      </c>
      <c r="BD223">
        <f t="shared" si="46"/>
        <v>16.347654320987651</v>
      </c>
      <c r="BE223">
        <f t="shared" si="47"/>
        <v>15.899646854320984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0.52246099999999995</v>
      </c>
      <c r="H224" s="22">
        <v>7.1905200000000002</v>
      </c>
      <c r="I224" s="22">
        <v>-1.3775600000000001E-2</v>
      </c>
      <c r="J224" s="22">
        <v>214</v>
      </c>
      <c r="K224" s="22">
        <v>0.521698</v>
      </c>
      <c r="L224">
        <f t="shared" si="36"/>
        <v>17.006913580246916</v>
      </c>
      <c r="M224">
        <f t="shared" si="37"/>
        <v>8.8854490760493832</v>
      </c>
      <c r="N224" s="9"/>
      <c r="O224" s="22">
        <v>0.97763100000000003</v>
      </c>
      <c r="P224" s="22">
        <v>10.6069</v>
      </c>
      <c r="Q224" s="22">
        <v>-1.3266E-2</v>
      </c>
      <c r="R224" s="22">
        <v>214</v>
      </c>
      <c r="S224" s="22">
        <v>0.97656299999999996</v>
      </c>
      <c r="T224">
        <f t="shared" si="38"/>
        <v>16.377777777777776</v>
      </c>
      <c r="U224">
        <f t="shared" si="39"/>
        <v>16.011423266666664</v>
      </c>
      <c r="X224" s="9"/>
      <c r="Y224" s="22">
        <v>0.52246099999999995</v>
      </c>
      <c r="Z224" s="22">
        <v>15.7067</v>
      </c>
      <c r="AA224" s="22">
        <v>-1.37299E-2</v>
      </c>
      <c r="AB224" s="22">
        <v>214</v>
      </c>
      <c r="AC224" s="22">
        <v>0.52175899999999997</v>
      </c>
      <c r="AD224">
        <f t="shared" si="40"/>
        <v>16.950493827160493</v>
      </c>
      <c r="AE224">
        <f t="shared" si="41"/>
        <v>8.8559719554320981</v>
      </c>
      <c r="AF224" s="9"/>
      <c r="AG224" s="22">
        <v>0.97763100000000003</v>
      </c>
      <c r="AH224" s="22">
        <v>19.123100000000001</v>
      </c>
      <c r="AI224" s="22">
        <v>-1.3147000000000001E-2</v>
      </c>
      <c r="AJ224" s="22">
        <v>214</v>
      </c>
      <c r="AK224" s="22">
        <v>0.97595200000000004</v>
      </c>
      <c r="AL224">
        <f t="shared" si="42"/>
        <v>16.230864197530863</v>
      </c>
      <c r="AM224">
        <f t="shared" si="43"/>
        <v>15.867795996296296</v>
      </c>
      <c r="AP224" s="9"/>
      <c r="AQ224" s="22">
        <v>0.52246099999999995</v>
      </c>
      <c r="AR224" s="22">
        <v>24.300899999999999</v>
      </c>
      <c r="AS224" s="22">
        <v>-1.37512E-2</v>
      </c>
      <c r="AT224" s="22">
        <v>214</v>
      </c>
      <c r="AU224" s="22">
        <v>0.52178999999999998</v>
      </c>
      <c r="AV224">
        <f t="shared" si="44"/>
        <v>16.976790123456787</v>
      </c>
      <c r="AW224">
        <f t="shared" si="45"/>
        <v>8.8697107446913552</v>
      </c>
      <c r="AX224" s="9"/>
      <c r="AY224" s="22">
        <v>0.97763100000000003</v>
      </c>
      <c r="AZ224" s="22">
        <v>27.717300000000002</v>
      </c>
      <c r="BA224" s="22">
        <v>-1.32233E-2</v>
      </c>
      <c r="BB224" s="22">
        <v>214</v>
      </c>
      <c r="BC224" s="22">
        <v>0.97686799999999996</v>
      </c>
      <c r="BD224">
        <f t="shared" si="46"/>
        <v>16.32506172839506</v>
      </c>
      <c r="BE224">
        <f t="shared" si="47"/>
        <v>15.959886422592591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0.51742600000000005</v>
      </c>
      <c r="H225" s="22">
        <v>7.20059</v>
      </c>
      <c r="I225" s="22">
        <v>-1.37909E-2</v>
      </c>
      <c r="J225" s="22">
        <v>215</v>
      </c>
      <c r="K225" s="22">
        <v>0.51672399999999996</v>
      </c>
      <c r="L225">
        <f t="shared" si="36"/>
        <v>17.025802469135801</v>
      </c>
      <c r="M225">
        <f t="shared" si="37"/>
        <v>8.8095928683950611</v>
      </c>
      <c r="N225" s="9"/>
      <c r="O225" s="22">
        <v>0.98266600000000004</v>
      </c>
      <c r="P225" s="22">
        <v>10.616899999999999</v>
      </c>
      <c r="Q225" s="22">
        <v>-1.3266E-2</v>
      </c>
      <c r="R225" s="22">
        <v>215</v>
      </c>
      <c r="S225" s="22">
        <v>0.98175000000000001</v>
      </c>
      <c r="T225">
        <f t="shared" si="38"/>
        <v>16.377777777777776</v>
      </c>
      <c r="U225">
        <f t="shared" si="39"/>
        <v>16.093885377777777</v>
      </c>
      <c r="X225" s="9"/>
      <c r="Y225" s="22">
        <v>0.51742600000000005</v>
      </c>
      <c r="Z225" s="22">
        <v>15.716799999999999</v>
      </c>
      <c r="AA225" s="22">
        <v>-1.3726800000000001E-2</v>
      </c>
      <c r="AB225" s="22">
        <v>215</v>
      </c>
      <c r="AC225" s="22">
        <v>0.51669299999999996</v>
      </c>
      <c r="AD225">
        <f t="shared" si="40"/>
        <v>16.946666666666665</v>
      </c>
      <c r="AE225">
        <f t="shared" si="41"/>
        <v>8.7686459466666662</v>
      </c>
      <c r="AF225" s="9"/>
      <c r="AG225" s="22">
        <v>0.98266600000000004</v>
      </c>
      <c r="AH225" s="22">
        <v>19.133099999999999</v>
      </c>
      <c r="AI225" s="22">
        <v>-1.31378E-2</v>
      </c>
      <c r="AJ225" s="22">
        <v>215</v>
      </c>
      <c r="AK225" s="22">
        <v>0.98175000000000001</v>
      </c>
      <c r="AL225">
        <f t="shared" si="42"/>
        <v>16.219506172839505</v>
      </c>
      <c r="AM225">
        <f t="shared" si="43"/>
        <v>15.938357252839506</v>
      </c>
      <c r="AP225" s="9"/>
      <c r="AQ225" s="22">
        <v>0.51742600000000005</v>
      </c>
      <c r="AR225" s="22">
        <v>24.311</v>
      </c>
      <c r="AS225" s="22">
        <v>-1.3754300000000001E-2</v>
      </c>
      <c r="AT225" s="22">
        <v>215</v>
      </c>
      <c r="AU225" s="22">
        <v>0.51669299999999996</v>
      </c>
      <c r="AV225">
        <f t="shared" si="44"/>
        <v>16.980617283950615</v>
      </c>
      <c r="AW225">
        <f t="shared" si="45"/>
        <v>8.786212878765431</v>
      </c>
      <c r="AX225" s="9"/>
      <c r="AY225" s="22">
        <v>0.98266600000000004</v>
      </c>
      <c r="AZ225" s="22">
        <v>27.727399999999999</v>
      </c>
      <c r="BA225" s="22">
        <v>-1.3214099999999999E-2</v>
      </c>
      <c r="BB225" s="22">
        <v>215</v>
      </c>
      <c r="BC225" s="22">
        <v>0.98144500000000001</v>
      </c>
      <c r="BD225">
        <f t="shared" si="46"/>
        <v>16.313703703703702</v>
      </c>
      <c r="BE225">
        <f t="shared" si="47"/>
        <v>16.030921963703701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0.51239000000000001</v>
      </c>
      <c r="H226" s="22">
        <v>7.2106599999999998</v>
      </c>
      <c r="I226" s="22">
        <v>-1.38E-2</v>
      </c>
      <c r="J226" s="22">
        <v>216</v>
      </c>
      <c r="K226" s="22">
        <v>0.51144400000000001</v>
      </c>
      <c r="L226">
        <f t="shared" si="36"/>
        <v>17.037037037037035</v>
      </c>
      <c r="M226">
        <f t="shared" si="37"/>
        <v>8.729607407407407</v>
      </c>
      <c r="N226" s="9"/>
      <c r="O226" s="22">
        <v>0.98770100000000005</v>
      </c>
      <c r="P226" s="22">
        <v>10.627000000000001</v>
      </c>
      <c r="Q226" s="22">
        <v>-1.32538E-2</v>
      </c>
      <c r="R226" s="22">
        <v>216</v>
      </c>
      <c r="S226" s="22">
        <v>0.98663299999999998</v>
      </c>
      <c r="T226">
        <f t="shared" si="38"/>
        <v>16.362716049382716</v>
      </c>
      <c r="U226">
        <f t="shared" si="39"/>
        <v>16.161471004691357</v>
      </c>
      <c r="X226" s="9"/>
      <c r="Y226" s="22">
        <v>0.51239000000000001</v>
      </c>
      <c r="Z226" s="22">
        <v>15.726900000000001</v>
      </c>
      <c r="AA226" s="22">
        <v>-1.37421E-2</v>
      </c>
      <c r="AB226" s="22">
        <v>216</v>
      </c>
      <c r="AC226" s="22">
        <v>0.51168800000000003</v>
      </c>
      <c r="AD226">
        <f t="shared" si="40"/>
        <v>16.965555555555554</v>
      </c>
      <c r="AE226">
        <f t="shared" si="41"/>
        <v>8.6929810111111099</v>
      </c>
      <c r="AF226" s="9"/>
      <c r="AG226" s="22">
        <v>0.98770100000000005</v>
      </c>
      <c r="AH226" s="22">
        <v>19.1432</v>
      </c>
      <c r="AI226" s="22">
        <v>-1.3125599999999999E-2</v>
      </c>
      <c r="AJ226" s="22">
        <v>216</v>
      </c>
      <c r="AK226" s="22">
        <v>0.98663299999999998</v>
      </c>
      <c r="AL226">
        <f t="shared" si="42"/>
        <v>16.204444444444441</v>
      </c>
      <c r="AM226">
        <f t="shared" si="43"/>
        <v>16.005145982222221</v>
      </c>
      <c r="AP226" s="9"/>
      <c r="AQ226" s="22">
        <v>0.51239000000000001</v>
      </c>
      <c r="AR226" s="22">
        <v>24.321100000000001</v>
      </c>
      <c r="AS226" s="22">
        <v>-1.37573E-2</v>
      </c>
      <c r="AT226" s="22">
        <v>216</v>
      </c>
      <c r="AU226" s="22">
        <v>0.51174900000000001</v>
      </c>
      <c r="AV226">
        <f t="shared" si="44"/>
        <v>16.984320987654321</v>
      </c>
      <c r="AW226">
        <f t="shared" si="45"/>
        <v>8.7025962308641986</v>
      </c>
      <c r="AX226" s="9"/>
      <c r="AY226" s="22">
        <v>0.98770100000000005</v>
      </c>
      <c r="AZ226" s="22">
        <v>27.737400000000001</v>
      </c>
      <c r="BA226" s="22">
        <v>-1.3207999999999999E-2</v>
      </c>
      <c r="BB226" s="22">
        <v>216</v>
      </c>
      <c r="BC226" s="22">
        <v>0.98693799999999998</v>
      </c>
      <c r="BD226">
        <f t="shared" si="46"/>
        <v>16.306172839506171</v>
      </c>
      <c r="BE226">
        <f t="shared" si="47"/>
        <v>16.105623219753085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0.507355</v>
      </c>
      <c r="H227" s="22">
        <v>7.2207299999999996</v>
      </c>
      <c r="I227" s="22">
        <v>-1.3806199999999999E-2</v>
      </c>
      <c r="J227" s="22">
        <v>217</v>
      </c>
      <c r="K227" s="22">
        <v>0.50668299999999999</v>
      </c>
      <c r="L227">
        <f t="shared" si="36"/>
        <v>17.044691358024689</v>
      </c>
      <c r="M227">
        <f t="shared" si="37"/>
        <v>8.6477093839506161</v>
      </c>
      <c r="N227" s="9"/>
      <c r="O227" s="22">
        <v>0.99273699999999998</v>
      </c>
      <c r="P227" s="22">
        <v>10.6371</v>
      </c>
      <c r="Q227" s="22">
        <v>-1.3247699999999999E-2</v>
      </c>
      <c r="R227" s="22">
        <v>217</v>
      </c>
      <c r="S227" s="22">
        <v>0.99182099999999995</v>
      </c>
      <c r="T227">
        <f t="shared" si="38"/>
        <v>16.355185185185185</v>
      </c>
      <c r="U227">
        <f t="shared" si="39"/>
        <v>16.236397475185186</v>
      </c>
      <c r="X227" s="9"/>
      <c r="Y227" s="22">
        <v>0.507355</v>
      </c>
      <c r="Z227" s="22">
        <v>15.7369</v>
      </c>
      <c r="AA227" s="22">
        <v>-1.37512E-2</v>
      </c>
      <c r="AB227" s="22">
        <v>217</v>
      </c>
      <c r="AC227" s="22">
        <v>0.50662200000000002</v>
      </c>
      <c r="AD227">
        <f t="shared" si="40"/>
        <v>16.976790123456787</v>
      </c>
      <c r="AE227">
        <f t="shared" si="41"/>
        <v>8.6132593530864181</v>
      </c>
      <c r="AF227" s="9"/>
      <c r="AG227" s="22">
        <v>0.99273699999999998</v>
      </c>
      <c r="AH227" s="22">
        <v>19.153300000000002</v>
      </c>
      <c r="AI227" s="22">
        <v>-1.31287E-2</v>
      </c>
      <c r="AJ227" s="22">
        <v>217</v>
      </c>
      <c r="AK227" s="22">
        <v>0.99243199999999998</v>
      </c>
      <c r="AL227">
        <f t="shared" si="42"/>
        <v>16.208271604938268</v>
      </c>
      <c r="AM227">
        <f t="shared" si="43"/>
        <v>16.0905509282716</v>
      </c>
      <c r="AP227" s="9"/>
      <c r="AQ227" s="22">
        <v>0.507355</v>
      </c>
      <c r="AR227" s="22">
        <v>24.331099999999999</v>
      </c>
      <c r="AS227" s="22">
        <v>-1.37695E-2</v>
      </c>
      <c r="AT227" s="22">
        <v>217</v>
      </c>
      <c r="AU227" s="22">
        <v>0.50662200000000002</v>
      </c>
      <c r="AV227">
        <f t="shared" si="44"/>
        <v>16.999382716049382</v>
      </c>
      <c r="AW227">
        <f t="shared" si="45"/>
        <v>8.6247218179012339</v>
      </c>
      <c r="AX227" s="9"/>
      <c r="AY227" s="22">
        <v>0.99273699999999998</v>
      </c>
      <c r="AZ227" s="22">
        <v>27.747499999999999</v>
      </c>
      <c r="BA227" s="22">
        <v>-1.3205E-2</v>
      </c>
      <c r="BB227" s="22">
        <v>217</v>
      </c>
      <c r="BC227" s="22">
        <v>0.99182099999999995</v>
      </c>
      <c r="BD227">
        <f t="shared" si="46"/>
        <v>16.302469135802468</v>
      </c>
      <c r="BE227">
        <f t="shared" si="47"/>
        <v>16.184064302469135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0.50231899999999996</v>
      </c>
      <c r="H228" s="22">
        <v>7.2308000000000003</v>
      </c>
      <c r="I228" s="22">
        <v>-1.3809200000000001E-2</v>
      </c>
      <c r="J228" s="22">
        <v>218</v>
      </c>
      <c r="K228" s="22">
        <v>0.50152600000000003</v>
      </c>
      <c r="L228">
        <f t="shared" si="36"/>
        <v>17.048395061728392</v>
      </c>
      <c r="M228">
        <f t="shared" si="37"/>
        <v>8.5637327590123444</v>
      </c>
      <c r="N228" s="9"/>
      <c r="O228" s="22">
        <v>0.99777199999999999</v>
      </c>
      <c r="P228" s="22">
        <v>10.6471</v>
      </c>
      <c r="Q228" s="22">
        <v>-1.32202E-2</v>
      </c>
      <c r="R228" s="22">
        <v>218</v>
      </c>
      <c r="S228" s="22">
        <v>0.99700900000000003</v>
      </c>
      <c r="T228">
        <f t="shared" si="38"/>
        <v>16.321234567901232</v>
      </c>
      <c r="U228">
        <f t="shared" si="39"/>
        <v>16.284870857283948</v>
      </c>
      <c r="X228" s="9"/>
      <c r="Y228" s="22">
        <v>0.50231899999999996</v>
      </c>
      <c r="Z228" s="22">
        <v>15.747</v>
      </c>
      <c r="AA228" s="22">
        <v>-1.37451E-2</v>
      </c>
      <c r="AB228" s="22">
        <v>218</v>
      </c>
      <c r="AC228" s="22">
        <v>0.50161699999999998</v>
      </c>
      <c r="AD228">
        <f t="shared" si="40"/>
        <v>16.969259259259257</v>
      </c>
      <c r="AE228">
        <f t="shared" si="41"/>
        <v>8.5239813418518491</v>
      </c>
      <c r="AF228" s="9"/>
      <c r="AG228" s="22">
        <v>0.99777199999999999</v>
      </c>
      <c r="AH228" s="22">
        <v>19.163399999999999</v>
      </c>
      <c r="AI228" s="22">
        <v>-1.31317E-2</v>
      </c>
      <c r="AJ228" s="22">
        <v>218</v>
      </c>
      <c r="AK228" s="22">
        <v>0.99670400000000003</v>
      </c>
      <c r="AL228">
        <f t="shared" si="42"/>
        <v>16.211975308641971</v>
      </c>
      <c r="AM228">
        <f t="shared" si="43"/>
        <v>16.175855027654318</v>
      </c>
      <c r="AP228" s="9"/>
      <c r="AQ228" s="22">
        <v>0.50231899999999996</v>
      </c>
      <c r="AR228" s="22">
        <v>24.341200000000001</v>
      </c>
      <c r="AS228" s="22">
        <v>-1.3775600000000001E-2</v>
      </c>
      <c r="AT228" s="22">
        <v>218</v>
      </c>
      <c r="AU228" s="22">
        <v>0.50173999999999996</v>
      </c>
      <c r="AV228">
        <f t="shared" si="44"/>
        <v>17.006913580246916</v>
      </c>
      <c r="AW228">
        <f t="shared" si="45"/>
        <v>8.5428958227160496</v>
      </c>
      <c r="AX228" s="9"/>
      <c r="AY228" s="22">
        <v>0.99777199999999999</v>
      </c>
      <c r="AZ228" s="22">
        <v>27.7576</v>
      </c>
      <c r="BA228" s="22">
        <v>-1.31989E-2</v>
      </c>
      <c r="BB228" s="22">
        <v>218</v>
      </c>
      <c r="BC228" s="22">
        <v>0.99578900000000004</v>
      </c>
      <c r="BD228">
        <f t="shared" si="46"/>
        <v>16.294938271604938</v>
      </c>
      <c r="BE228">
        <f t="shared" si="47"/>
        <v>16.2586331491358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0.497284</v>
      </c>
      <c r="H229" s="22">
        <v>7.2408700000000001</v>
      </c>
      <c r="I229" s="22">
        <v>-1.3809200000000001E-2</v>
      </c>
      <c r="J229" s="22">
        <v>219</v>
      </c>
      <c r="K229" s="22">
        <v>0.496643</v>
      </c>
      <c r="L229">
        <f t="shared" si="36"/>
        <v>17.048395061728392</v>
      </c>
      <c r="M229">
        <f t="shared" si="37"/>
        <v>8.4778940898765427</v>
      </c>
      <c r="N229" s="9"/>
      <c r="O229" s="22">
        <v>1.00281</v>
      </c>
      <c r="P229" s="22">
        <v>10.6572</v>
      </c>
      <c r="Q229" s="22">
        <v>-1.3201900000000001E-2</v>
      </c>
      <c r="R229" s="22">
        <v>219</v>
      </c>
      <c r="S229" s="22">
        <v>1.0012799999999999</v>
      </c>
      <c r="T229">
        <f t="shared" si="38"/>
        <v>16.298641975308641</v>
      </c>
      <c r="U229">
        <f t="shared" si="39"/>
        <v>16.344441159259258</v>
      </c>
      <c r="X229" s="9"/>
      <c r="Y229" s="22">
        <v>0.497284</v>
      </c>
      <c r="Z229" s="22">
        <v>15.757099999999999</v>
      </c>
      <c r="AA229" s="22">
        <v>-1.37451E-2</v>
      </c>
      <c r="AB229" s="22">
        <v>219</v>
      </c>
      <c r="AC229" s="22">
        <v>0.49658200000000002</v>
      </c>
      <c r="AD229">
        <f t="shared" si="40"/>
        <v>16.969259259259257</v>
      </c>
      <c r="AE229">
        <f t="shared" si="41"/>
        <v>8.4385411214814798</v>
      </c>
      <c r="AF229" s="9"/>
      <c r="AG229" s="22">
        <v>1.00281</v>
      </c>
      <c r="AH229" s="22">
        <v>19.173400000000001</v>
      </c>
      <c r="AI229" s="22">
        <v>-1.3125599999999999E-2</v>
      </c>
      <c r="AJ229" s="22">
        <v>219</v>
      </c>
      <c r="AK229" s="22">
        <v>1.0018899999999999</v>
      </c>
      <c r="AL229">
        <f t="shared" si="42"/>
        <v>16.204444444444441</v>
      </c>
      <c r="AM229">
        <f t="shared" si="43"/>
        <v>16.249978933333331</v>
      </c>
      <c r="AP229" s="9"/>
      <c r="AQ229" s="22">
        <v>0.497284</v>
      </c>
      <c r="AR229" s="22">
        <v>24.351299999999998</v>
      </c>
      <c r="AS229" s="22">
        <v>-1.37787E-2</v>
      </c>
      <c r="AT229" s="22">
        <v>219</v>
      </c>
      <c r="AU229" s="22">
        <v>0.49661300000000003</v>
      </c>
      <c r="AV229">
        <f t="shared" si="44"/>
        <v>17.01074074074074</v>
      </c>
      <c r="AW229">
        <f t="shared" si="45"/>
        <v>8.4591691985185182</v>
      </c>
      <c r="AX229" s="9"/>
      <c r="AY229" s="22">
        <v>1.00281</v>
      </c>
      <c r="AZ229" s="22">
        <v>27.767600000000002</v>
      </c>
      <c r="BA229" s="22">
        <v>-1.31989E-2</v>
      </c>
      <c r="BB229" s="22">
        <v>219</v>
      </c>
      <c r="BC229" s="22">
        <v>1.0018899999999999</v>
      </c>
      <c r="BD229">
        <f t="shared" si="46"/>
        <v>16.294938271604938</v>
      </c>
      <c r="BE229">
        <f t="shared" si="47"/>
        <v>16.340727048148146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0.49224899999999999</v>
      </c>
      <c r="H230" s="22">
        <v>7.2509399999999999</v>
      </c>
      <c r="I230" s="22">
        <v>-1.38031E-2</v>
      </c>
      <c r="J230" s="22">
        <v>220</v>
      </c>
      <c r="K230" s="22">
        <v>0.49157699999999999</v>
      </c>
      <c r="L230">
        <f t="shared" si="36"/>
        <v>17.040864197530862</v>
      </c>
      <c r="M230">
        <f t="shared" si="37"/>
        <v>8.3883483603703688</v>
      </c>
      <c r="N230" s="9"/>
      <c r="O230" s="22">
        <v>1.0078400000000001</v>
      </c>
      <c r="P230" s="22">
        <v>10.667299999999999</v>
      </c>
      <c r="Q230" s="22">
        <v>-1.31866E-2</v>
      </c>
      <c r="R230" s="22">
        <v>220</v>
      </c>
      <c r="S230" s="22">
        <v>1.00708</v>
      </c>
      <c r="T230">
        <f t="shared" si="38"/>
        <v>16.279753086419749</v>
      </c>
      <c r="U230">
        <f t="shared" si="39"/>
        <v>16.40738635061728</v>
      </c>
      <c r="X230" s="9"/>
      <c r="Y230" s="22">
        <v>0.49224899999999999</v>
      </c>
      <c r="Z230" s="22">
        <v>15.767099999999999</v>
      </c>
      <c r="AA230" s="22">
        <v>-1.37512E-2</v>
      </c>
      <c r="AB230" s="22">
        <v>220</v>
      </c>
      <c r="AC230" s="22">
        <v>0.49157699999999999</v>
      </c>
      <c r="AD230">
        <f t="shared" si="40"/>
        <v>16.976790123456787</v>
      </c>
      <c r="AE230">
        <f t="shared" si="41"/>
        <v>8.3568079614814792</v>
      </c>
      <c r="AF230" s="9"/>
      <c r="AG230" s="22">
        <v>1.0078400000000001</v>
      </c>
      <c r="AH230" s="22">
        <v>19.183499999999999</v>
      </c>
      <c r="AI230" s="22">
        <v>-1.31348E-2</v>
      </c>
      <c r="AJ230" s="22">
        <v>220</v>
      </c>
      <c r="AK230" s="22">
        <v>1.00708</v>
      </c>
      <c r="AL230">
        <f t="shared" si="42"/>
        <v>16.215802469135802</v>
      </c>
      <c r="AM230">
        <f t="shared" si="43"/>
        <v>16.342934360493828</v>
      </c>
      <c r="AP230" s="9"/>
      <c r="AQ230" s="22">
        <v>0.49224899999999999</v>
      </c>
      <c r="AR230" s="22">
        <v>24.3614</v>
      </c>
      <c r="AS230" s="22">
        <v>-1.37848E-2</v>
      </c>
      <c r="AT230" s="22">
        <v>220</v>
      </c>
      <c r="AU230" s="22">
        <v>0.49160799999999999</v>
      </c>
      <c r="AV230">
        <f t="shared" si="44"/>
        <v>17.018271604938271</v>
      </c>
      <c r="AW230">
        <f t="shared" si="45"/>
        <v>8.3772271792592594</v>
      </c>
      <c r="AX230" s="9"/>
      <c r="AY230" s="22">
        <v>1.0078400000000001</v>
      </c>
      <c r="AZ230" s="22">
        <v>27.777699999999999</v>
      </c>
      <c r="BA230" s="22">
        <v>-1.31866E-2</v>
      </c>
      <c r="BB230" s="22">
        <v>220</v>
      </c>
      <c r="BC230" s="22">
        <v>1.00708</v>
      </c>
      <c r="BD230">
        <f t="shared" si="46"/>
        <v>16.279753086419749</v>
      </c>
      <c r="BE230">
        <f t="shared" si="47"/>
        <v>16.40738635061728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0.48721300000000001</v>
      </c>
      <c r="H231" s="22">
        <v>7.2610099999999997</v>
      </c>
      <c r="I231" s="22">
        <v>-1.3809200000000001E-2</v>
      </c>
      <c r="J231" s="22">
        <v>221</v>
      </c>
      <c r="K231" s="22">
        <v>0.48660300000000001</v>
      </c>
      <c r="L231">
        <f t="shared" si="36"/>
        <v>17.048395061728392</v>
      </c>
      <c r="M231">
        <f t="shared" si="37"/>
        <v>8.3061997032098756</v>
      </c>
      <c r="N231" s="9"/>
      <c r="O231" s="22">
        <v>1.01288</v>
      </c>
      <c r="P231" s="22">
        <v>10.6774</v>
      </c>
      <c r="Q231" s="22">
        <v>-1.3162200000000001E-2</v>
      </c>
      <c r="R231" s="22">
        <v>221</v>
      </c>
      <c r="S231" s="22">
        <v>1.01166</v>
      </c>
      <c r="T231">
        <f t="shared" si="38"/>
        <v>16.249629629629627</v>
      </c>
      <c r="U231">
        <f t="shared" si="39"/>
        <v>16.458924859259255</v>
      </c>
      <c r="X231" s="9"/>
      <c r="Y231" s="22">
        <v>0.48721300000000001</v>
      </c>
      <c r="Z231" s="22">
        <v>15.777200000000001</v>
      </c>
      <c r="AA231" s="22">
        <v>-1.37573E-2</v>
      </c>
      <c r="AB231" s="22">
        <v>221</v>
      </c>
      <c r="AC231" s="22">
        <v>0.48651100000000003</v>
      </c>
      <c r="AD231">
        <f t="shared" si="40"/>
        <v>16.984320987654321</v>
      </c>
      <c r="AE231">
        <f t="shared" si="41"/>
        <v>8.2749819813580245</v>
      </c>
      <c r="AF231" s="9"/>
      <c r="AG231" s="22">
        <v>1.01288</v>
      </c>
      <c r="AH231" s="22">
        <v>19.1936</v>
      </c>
      <c r="AI231" s="22">
        <v>-1.31348E-2</v>
      </c>
      <c r="AJ231" s="22">
        <v>221</v>
      </c>
      <c r="AK231" s="22">
        <v>1.01166</v>
      </c>
      <c r="AL231">
        <f t="shared" si="42"/>
        <v>16.215802469135802</v>
      </c>
      <c r="AM231">
        <f t="shared" si="43"/>
        <v>16.42466200493827</v>
      </c>
      <c r="AP231" s="9"/>
      <c r="AQ231" s="22">
        <v>0.48721300000000001</v>
      </c>
      <c r="AR231" s="22">
        <v>24.371400000000001</v>
      </c>
      <c r="AS231" s="22">
        <v>-1.3787799999999999E-2</v>
      </c>
      <c r="AT231" s="22">
        <v>221</v>
      </c>
      <c r="AU231" s="22">
        <v>0.48654199999999997</v>
      </c>
      <c r="AV231">
        <f t="shared" si="44"/>
        <v>17.021975308641974</v>
      </c>
      <c r="AW231">
        <f t="shared" si="45"/>
        <v>8.2933276560493816</v>
      </c>
      <c r="AX231" s="9"/>
      <c r="AY231" s="22">
        <v>1.01288</v>
      </c>
      <c r="AZ231" s="22">
        <v>27.787800000000001</v>
      </c>
      <c r="BA231" s="22">
        <v>-1.31775E-2</v>
      </c>
      <c r="BB231" s="22">
        <v>221</v>
      </c>
      <c r="BC231" s="22">
        <v>1.01166</v>
      </c>
      <c r="BD231">
        <f t="shared" si="46"/>
        <v>16.268518518518519</v>
      </c>
      <c r="BE231">
        <f t="shared" si="47"/>
        <v>16.478057037037036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0.482178</v>
      </c>
      <c r="H232" s="22">
        <v>7.2710800000000004</v>
      </c>
      <c r="I232" s="22">
        <v>-1.38184E-2</v>
      </c>
      <c r="J232" s="22">
        <v>222</v>
      </c>
      <c r="K232" s="22">
        <v>0.48150599999999999</v>
      </c>
      <c r="L232">
        <f t="shared" si="36"/>
        <v>17.05975308641975</v>
      </c>
      <c r="M232">
        <f t="shared" si="37"/>
        <v>8.2258376237037023</v>
      </c>
      <c r="N232" s="9"/>
      <c r="O232" s="22">
        <v>1.0179100000000001</v>
      </c>
      <c r="P232" s="22">
        <v>10.6874</v>
      </c>
      <c r="Q232" s="22">
        <v>-1.3153099999999999E-2</v>
      </c>
      <c r="R232" s="22">
        <v>222</v>
      </c>
      <c r="S232" s="22">
        <v>1.01715</v>
      </c>
      <c r="T232">
        <f t="shared" si="38"/>
        <v>16.238395061728394</v>
      </c>
      <c r="U232">
        <f t="shared" si="39"/>
        <v>16.529224717283952</v>
      </c>
      <c r="X232" s="9"/>
      <c r="Y232" s="22">
        <v>0.482178</v>
      </c>
      <c r="Z232" s="22">
        <v>15.7873</v>
      </c>
      <c r="AA232" s="22">
        <v>-1.37695E-2</v>
      </c>
      <c r="AB232" s="22">
        <v>222</v>
      </c>
      <c r="AC232" s="22">
        <v>0.48150599999999999</v>
      </c>
      <c r="AD232">
        <f t="shared" si="40"/>
        <v>16.999382716049382</v>
      </c>
      <c r="AE232">
        <f t="shared" si="41"/>
        <v>8.196728359259259</v>
      </c>
      <c r="AF232" s="9"/>
      <c r="AG232" s="22">
        <v>1.0179100000000001</v>
      </c>
      <c r="AH232" s="22">
        <v>19.203600000000002</v>
      </c>
      <c r="AI232" s="22">
        <v>-1.31287E-2</v>
      </c>
      <c r="AJ232" s="22">
        <v>222</v>
      </c>
      <c r="AK232" s="22">
        <v>1.01715</v>
      </c>
      <c r="AL232">
        <f t="shared" si="42"/>
        <v>16.208271604938268</v>
      </c>
      <c r="AM232">
        <f t="shared" si="43"/>
        <v>16.498561749382713</v>
      </c>
      <c r="AP232" s="9"/>
      <c r="AQ232" s="22">
        <v>0.482178</v>
      </c>
      <c r="AR232" s="22">
        <v>24.381499999999999</v>
      </c>
      <c r="AS232" s="22">
        <v>-1.37909E-2</v>
      </c>
      <c r="AT232" s="22">
        <v>222</v>
      </c>
      <c r="AU232" s="22">
        <v>0.48156700000000002</v>
      </c>
      <c r="AV232">
        <f t="shared" si="44"/>
        <v>17.025802469135801</v>
      </c>
      <c r="AW232">
        <f t="shared" si="45"/>
        <v>8.2094673829629627</v>
      </c>
      <c r="AX232" s="9"/>
      <c r="AY232" s="22">
        <v>1.0179100000000001</v>
      </c>
      <c r="AZ232" s="22">
        <v>27.797899999999998</v>
      </c>
      <c r="BA232" s="22">
        <v>-1.31775E-2</v>
      </c>
      <c r="BB232" s="22">
        <v>222</v>
      </c>
      <c r="BC232" s="22">
        <v>1.01715</v>
      </c>
      <c r="BD232">
        <f t="shared" si="46"/>
        <v>16.268518518518519</v>
      </c>
      <c r="BE232">
        <f t="shared" si="47"/>
        <v>16.559887685185188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0.47714200000000001</v>
      </c>
      <c r="H233" s="22">
        <v>7.2811500000000002</v>
      </c>
      <c r="I233" s="22">
        <v>-1.38245E-2</v>
      </c>
      <c r="J233" s="22">
        <v>223</v>
      </c>
      <c r="K233" s="22">
        <v>0.47641</v>
      </c>
      <c r="L233">
        <f t="shared" si="36"/>
        <v>17.067283950617281</v>
      </c>
      <c r="M233">
        <f t="shared" si="37"/>
        <v>8.1435179987654305</v>
      </c>
      <c r="N233" s="9"/>
      <c r="O233" s="22">
        <v>1.02295</v>
      </c>
      <c r="P233" s="22">
        <v>10.6975</v>
      </c>
      <c r="Q233" s="22">
        <v>-1.315E-2</v>
      </c>
      <c r="R233" s="22">
        <v>223</v>
      </c>
      <c r="S233" s="22">
        <v>1.02112</v>
      </c>
      <c r="T233">
        <f t="shared" si="38"/>
        <v>16.234567901234566</v>
      </c>
      <c r="U233">
        <f t="shared" si="39"/>
        <v>16.607151234567901</v>
      </c>
      <c r="X233" s="9"/>
      <c r="Y233" s="22">
        <v>0.47714200000000001</v>
      </c>
      <c r="Z233" s="22">
        <v>15.7974</v>
      </c>
      <c r="AA233" s="22">
        <v>-1.3772599999999999E-2</v>
      </c>
      <c r="AB233" s="22">
        <v>223</v>
      </c>
      <c r="AC233" s="22">
        <v>0.47650100000000001</v>
      </c>
      <c r="AD233">
        <f t="shared" si="40"/>
        <v>17.00320987654321</v>
      </c>
      <c r="AE233">
        <f t="shared" si="41"/>
        <v>8.1129455669135808</v>
      </c>
      <c r="AF233" s="9"/>
      <c r="AG233" s="22">
        <v>1.02295</v>
      </c>
      <c r="AH233" s="22">
        <v>19.213699999999999</v>
      </c>
      <c r="AI233" s="22">
        <v>-1.31165E-2</v>
      </c>
      <c r="AJ233" s="22">
        <v>223</v>
      </c>
      <c r="AK233" s="22">
        <v>1.02203</v>
      </c>
      <c r="AL233">
        <f t="shared" si="42"/>
        <v>16.193209876543211</v>
      </c>
      <c r="AM233">
        <f t="shared" si="43"/>
        <v>16.564844043209877</v>
      </c>
      <c r="AP233" s="9"/>
      <c r="AQ233" s="22">
        <v>0.47714200000000001</v>
      </c>
      <c r="AR233" s="22">
        <v>24.3916</v>
      </c>
      <c r="AS233" s="22">
        <v>-1.3787799999999999E-2</v>
      </c>
      <c r="AT233" s="22">
        <v>223</v>
      </c>
      <c r="AU233" s="22">
        <v>0.47653200000000001</v>
      </c>
      <c r="AV233">
        <f t="shared" si="44"/>
        <v>17.021975308641974</v>
      </c>
      <c r="AW233">
        <f t="shared" si="45"/>
        <v>8.1218993427160484</v>
      </c>
      <c r="AX233" s="9"/>
      <c r="AY233" s="22">
        <v>1.02295</v>
      </c>
      <c r="AZ233" s="22">
        <v>27.8079</v>
      </c>
      <c r="BA233" s="22">
        <v>-1.3174399999999999E-2</v>
      </c>
      <c r="BB233" s="22">
        <v>223</v>
      </c>
      <c r="BC233" s="22">
        <v>1.02173</v>
      </c>
      <c r="BD233">
        <f t="shared" si="46"/>
        <v>16.264691358024692</v>
      </c>
      <c r="BE233">
        <f t="shared" si="47"/>
        <v>16.637966024691359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0.472107</v>
      </c>
      <c r="H234" s="22">
        <v>7.2912299999999997</v>
      </c>
      <c r="I234" s="22">
        <v>-1.38275E-2</v>
      </c>
      <c r="J234" s="22">
        <v>224</v>
      </c>
      <c r="K234" s="22">
        <v>0.471497</v>
      </c>
      <c r="L234">
        <f t="shared" si="36"/>
        <v>17.070987654320987</v>
      </c>
      <c r="M234">
        <f t="shared" si="37"/>
        <v>8.0593327685185177</v>
      </c>
      <c r="N234" s="9"/>
      <c r="O234" s="22">
        <v>1.0279799999999999</v>
      </c>
      <c r="P234" s="22">
        <v>10.707599999999999</v>
      </c>
      <c r="Q234" s="22">
        <v>-1.31409E-2</v>
      </c>
      <c r="R234" s="22">
        <v>224</v>
      </c>
      <c r="S234" s="22">
        <v>1.02722</v>
      </c>
      <c r="T234">
        <f t="shared" si="38"/>
        <v>16.223333333333333</v>
      </c>
      <c r="U234">
        <f t="shared" si="39"/>
        <v>16.677262199999998</v>
      </c>
      <c r="X234" s="9"/>
      <c r="Y234" s="22">
        <v>0.472107</v>
      </c>
      <c r="Z234" s="22">
        <v>15.807399999999999</v>
      </c>
      <c r="AA234" s="22">
        <v>-1.37848E-2</v>
      </c>
      <c r="AB234" s="22">
        <v>224</v>
      </c>
      <c r="AC234" s="22">
        <v>0.47143600000000002</v>
      </c>
      <c r="AD234">
        <f t="shared" si="40"/>
        <v>17.018271604938271</v>
      </c>
      <c r="AE234">
        <f t="shared" si="41"/>
        <v>8.0344451525925926</v>
      </c>
      <c r="AF234" s="9"/>
      <c r="AG234" s="22">
        <v>1.0279799999999999</v>
      </c>
      <c r="AH234" s="22">
        <v>19.223800000000001</v>
      </c>
      <c r="AI234" s="22">
        <v>-1.3091999999999999E-2</v>
      </c>
      <c r="AJ234" s="22">
        <v>224</v>
      </c>
      <c r="AK234" s="22">
        <v>1.02661</v>
      </c>
      <c r="AL234">
        <f t="shared" si="42"/>
        <v>16.162962962962961</v>
      </c>
      <c r="AM234">
        <f t="shared" si="43"/>
        <v>16.615202666666661</v>
      </c>
      <c r="AP234" s="9"/>
      <c r="AQ234" s="22">
        <v>0.472107</v>
      </c>
      <c r="AR234" s="22">
        <v>24.401599999999998</v>
      </c>
      <c r="AS234" s="22">
        <v>-1.3772599999999999E-2</v>
      </c>
      <c r="AT234" s="22">
        <v>224</v>
      </c>
      <c r="AU234" s="22">
        <v>0.47158800000000001</v>
      </c>
      <c r="AV234">
        <f t="shared" si="44"/>
        <v>17.00320987654321</v>
      </c>
      <c r="AW234">
        <f t="shared" si="45"/>
        <v>8.0273344051851847</v>
      </c>
      <c r="AX234" s="9"/>
      <c r="AY234" s="22">
        <v>1.0279799999999999</v>
      </c>
      <c r="AZ234" s="22">
        <v>27.818000000000001</v>
      </c>
      <c r="BA234" s="22">
        <v>-1.3162200000000001E-2</v>
      </c>
      <c r="BB234" s="22">
        <v>224</v>
      </c>
      <c r="BC234" s="22">
        <v>1.02661</v>
      </c>
      <c r="BD234">
        <f t="shared" si="46"/>
        <v>16.249629629629627</v>
      </c>
      <c r="BE234">
        <f t="shared" si="47"/>
        <v>16.704294266666661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0.46707199999999999</v>
      </c>
      <c r="H235" s="22">
        <v>7.3013000000000003</v>
      </c>
      <c r="I235" s="22">
        <v>-1.38306E-2</v>
      </c>
      <c r="J235" s="22">
        <v>225</v>
      </c>
      <c r="K235" s="22">
        <v>0.46639999999999998</v>
      </c>
      <c r="L235">
        <f t="shared" si="36"/>
        <v>17.074814814814815</v>
      </c>
      <c r="M235">
        <f t="shared" si="37"/>
        <v>7.9751679051851845</v>
      </c>
      <c r="N235" s="9"/>
      <c r="O235" s="22">
        <v>1.03302</v>
      </c>
      <c r="P235" s="22">
        <v>10.717599999999999</v>
      </c>
      <c r="Q235" s="22">
        <v>-1.31317E-2</v>
      </c>
      <c r="R235" s="22">
        <v>225</v>
      </c>
      <c r="S235" s="22">
        <v>1.03241</v>
      </c>
      <c r="T235">
        <f t="shared" si="38"/>
        <v>16.211975308641971</v>
      </c>
      <c r="U235">
        <f t="shared" si="39"/>
        <v>16.74729473333333</v>
      </c>
      <c r="X235" s="9"/>
      <c r="Y235" s="22">
        <v>0.46707199999999999</v>
      </c>
      <c r="Z235" s="22">
        <v>15.817500000000001</v>
      </c>
      <c r="AA235" s="22">
        <v>-1.37909E-2</v>
      </c>
      <c r="AB235" s="22">
        <v>225</v>
      </c>
      <c r="AC235" s="22">
        <v>0.46649200000000002</v>
      </c>
      <c r="AD235">
        <f t="shared" si="40"/>
        <v>17.025802469135801</v>
      </c>
      <c r="AE235">
        <f t="shared" si="41"/>
        <v>7.9522756108641968</v>
      </c>
      <c r="AF235" s="9"/>
      <c r="AG235" s="22">
        <v>1.03302</v>
      </c>
      <c r="AH235" s="22">
        <v>19.233899999999998</v>
      </c>
      <c r="AI235" s="22">
        <v>-1.3073700000000001E-2</v>
      </c>
      <c r="AJ235" s="22">
        <v>225</v>
      </c>
      <c r="AK235" s="22">
        <v>1.03241</v>
      </c>
      <c r="AL235">
        <f t="shared" si="42"/>
        <v>16.14037037037037</v>
      </c>
      <c r="AM235">
        <f t="shared" si="43"/>
        <v>16.6733254</v>
      </c>
      <c r="AP235" s="9"/>
      <c r="AQ235" s="22">
        <v>0.46707199999999999</v>
      </c>
      <c r="AR235" s="22">
        <v>24.4117</v>
      </c>
      <c r="AS235" s="22">
        <v>-1.37695E-2</v>
      </c>
      <c r="AT235" s="22">
        <v>225</v>
      </c>
      <c r="AU235" s="22">
        <v>0.46639999999999998</v>
      </c>
      <c r="AV235">
        <f t="shared" si="44"/>
        <v>16.999382716049382</v>
      </c>
      <c r="AW235">
        <f t="shared" si="45"/>
        <v>7.9399356839506172</v>
      </c>
      <c r="AX235" s="9"/>
      <c r="AY235" s="22">
        <v>1.03302</v>
      </c>
      <c r="AZ235" s="22">
        <v>27.828099999999999</v>
      </c>
      <c r="BA235" s="22">
        <v>-1.31439E-2</v>
      </c>
      <c r="BB235" s="22">
        <v>225</v>
      </c>
      <c r="BC235" s="22">
        <v>1.0321</v>
      </c>
      <c r="BD235">
        <f t="shared" si="46"/>
        <v>16.227037037037036</v>
      </c>
      <c r="BE235">
        <f t="shared" si="47"/>
        <v>16.762853799999998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0.462036</v>
      </c>
      <c r="H236" s="22">
        <v>7.3113700000000001</v>
      </c>
      <c r="I236" s="22">
        <v>-1.38367E-2</v>
      </c>
      <c r="J236" s="22">
        <v>226</v>
      </c>
      <c r="K236" s="22">
        <v>0.46130399999999999</v>
      </c>
      <c r="L236">
        <f t="shared" si="36"/>
        <v>17.082345679012345</v>
      </c>
      <c r="M236">
        <f t="shared" si="37"/>
        <v>7.8926586681481483</v>
      </c>
      <c r="N236" s="9"/>
      <c r="O236" s="22">
        <v>1.03806</v>
      </c>
      <c r="P236" s="22">
        <v>10.7277</v>
      </c>
      <c r="Q236" s="22">
        <v>-1.3113400000000001E-2</v>
      </c>
      <c r="R236" s="22">
        <v>226</v>
      </c>
      <c r="S236" s="22">
        <v>1.03729</v>
      </c>
      <c r="T236">
        <f t="shared" si="38"/>
        <v>16.18938271604938</v>
      </c>
      <c r="U236">
        <f t="shared" si="39"/>
        <v>16.805550622222221</v>
      </c>
      <c r="X236" s="9"/>
      <c r="Y236" s="22">
        <v>0.462036</v>
      </c>
      <c r="Z236" s="22">
        <v>15.8276</v>
      </c>
      <c r="AA236" s="22">
        <v>-1.37939E-2</v>
      </c>
      <c r="AB236" s="22">
        <v>226</v>
      </c>
      <c r="AC236" s="22">
        <v>0.46127299999999999</v>
      </c>
      <c r="AD236">
        <f t="shared" si="40"/>
        <v>17.029506172839504</v>
      </c>
      <c r="AE236">
        <f t="shared" si="41"/>
        <v>7.8682449140740731</v>
      </c>
      <c r="AF236" s="9"/>
      <c r="AG236" s="22">
        <v>1.03806</v>
      </c>
      <c r="AH236" s="22">
        <v>19.2439</v>
      </c>
      <c r="AI236" s="22">
        <v>-1.30554E-2</v>
      </c>
      <c r="AJ236" s="22">
        <v>226</v>
      </c>
      <c r="AK236" s="22">
        <v>1.03668</v>
      </c>
      <c r="AL236">
        <f t="shared" si="42"/>
        <v>16.117777777777775</v>
      </c>
      <c r="AM236">
        <f t="shared" si="43"/>
        <v>16.731220399999998</v>
      </c>
      <c r="AP236" s="9"/>
      <c r="AQ236" s="22">
        <v>0.462036</v>
      </c>
      <c r="AR236" s="22">
        <v>24.421800000000001</v>
      </c>
      <c r="AS236" s="22">
        <v>-1.37787E-2</v>
      </c>
      <c r="AT236" s="22">
        <v>226</v>
      </c>
      <c r="AU236" s="22">
        <v>0.46136500000000003</v>
      </c>
      <c r="AV236">
        <f t="shared" si="44"/>
        <v>17.01074074074074</v>
      </c>
      <c r="AW236">
        <f t="shared" si="45"/>
        <v>7.8595746088888889</v>
      </c>
      <c r="AX236" s="9"/>
      <c r="AY236" s="22">
        <v>1.03806</v>
      </c>
      <c r="AZ236" s="22">
        <v>27.838100000000001</v>
      </c>
      <c r="BA236" s="22">
        <v>-1.31348E-2</v>
      </c>
      <c r="BB236" s="22">
        <v>226</v>
      </c>
      <c r="BC236" s="22">
        <v>1.03668</v>
      </c>
      <c r="BD236">
        <f t="shared" si="46"/>
        <v>16.215802469135802</v>
      </c>
      <c r="BE236">
        <f t="shared" si="47"/>
        <v>16.832975911111109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0.45700099999999999</v>
      </c>
      <c r="H237" s="22">
        <v>7.3214399999999999</v>
      </c>
      <c r="I237" s="22">
        <v>-1.38519E-2</v>
      </c>
      <c r="J237" s="22">
        <v>227</v>
      </c>
      <c r="K237" s="22">
        <v>0.45639000000000002</v>
      </c>
      <c r="L237">
        <f t="shared" si="36"/>
        <v>17.101111111111113</v>
      </c>
      <c r="M237">
        <f t="shared" si="37"/>
        <v>7.8152248788888894</v>
      </c>
      <c r="N237" s="9"/>
      <c r="O237" s="22">
        <v>1.0430900000000001</v>
      </c>
      <c r="P237" s="22">
        <v>10.7378</v>
      </c>
      <c r="Q237" s="22">
        <v>-1.30829E-2</v>
      </c>
      <c r="R237" s="22">
        <v>227</v>
      </c>
      <c r="S237" s="22">
        <v>1.04156</v>
      </c>
      <c r="T237">
        <f t="shared" si="38"/>
        <v>16.151728395061728</v>
      </c>
      <c r="U237">
        <f t="shared" si="39"/>
        <v>16.847706371604939</v>
      </c>
      <c r="X237" s="9"/>
      <c r="Y237" s="22">
        <v>0.45700099999999999</v>
      </c>
      <c r="Z237" s="22">
        <v>15.8376</v>
      </c>
      <c r="AA237" s="22">
        <v>-1.3806199999999999E-2</v>
      </c>
      <c r="AB237" s="22">
        <v>227</v>
      </c>
      <c r="AC237" s="22">
        <v>0.45620699999999997</v>
      </c>
      <c r="AD237">
        <f t="shared" si="40"/>
        <v>17.044691358024689</v>
      </c>
      <c r="AE237">
        <f t="shared" si="41"/>
        <v>7.7894409953086408</v>
      </c>
      <c r="AF237" s="9"/>
      <c r="AG237" s="22">
        <v>1.0430900000000001</v>
      </c>
      <c r="AH237" s="22">
        <v>19.254000000000001</v>
      </c>
      <c r="AI237" s="22">
        <v>-1.30493E-2</v>
      </c>
      <c r="AJ237" s="22">
        <v>227</v>
      </c>
      <c r="AK237" s="22">
        <v>1.04156</v>
      </c>
      <c r="AL237">
        <f t="shared" si="42"/>
        <v>16.110246913580244</v>
      </c>
      <c r="AM237">
        <f t="shared" si="43"/>
        <v>16.804437453086418</v>
      </c>
      <c r="AP237" s="9"/>
      <c r="AQ237" s="22">
        <v>0.45700099999999999</v>
      </c>
      <c r="AR237" s="22">
        <v>24.431899999999999</v>
      </c>
      <c r="AS237" s="22">
        <v>-1.37787E-2</v>
      </c>
      <c r="AT237" s="22">
        <v>227</v>
      </c>
      <c r="AU237" s="22">
        <v>0.45632899999999998</v>
      </c>
      <c r="AV237">
        <f t="shared" si="44"/>
        <v>17.01074074074074</v>
      </c>
      <c r="AW237">
        <f t="shared" si="45"/>
        <v>7.7739255292592588</v>
      </c>
      <c r="AX237" s="9"/>
      <c r="AY237" s="22">
        <v>1.0430900000000001</v>
      </c>
      <c r="AZ237" s="22">
        <v>27.848199999999999</v>
      </c>
      <c r="BA237" s="22">
        <v>-1.31226E-2</v>
      </c>
      <c r="BB237" s="22">
        <v>227</v>
      </c>
      <c r="BC237" s="22">
        <v>1.04156</v>
      </c>
      <c r="BD237">
        <f t="shared" si="46"/>
        <v>16.200740740740741</v>
      </c>
      <c r="BE237">
        <f t="shared" si="47"/>
        <v>16.898830659259261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0.45196500000000001</v>
      </c>
      <c r="H238" s="22">
        <v>7.3315099999999997</v>
      </c>
      <c r="I238" s="22">
        <v>-1.3864100000000001E-2</v>
      </c>
      <c r="J238" s="22">
        <v>228</v>
      </c>
      <c r="K238" s="22">
        <v>0.45135500000000001</v>
      </c>
      <c r="L238">
        <f t="shared" si="36"/>
        <v>17.11617283950617</v>
      </c>
      <c r="M238">
        <f t="shared" si="37"/>
        <v>7.7359110574074066</v>
      </c>
      <c r="N238" s="9"/>
      <c r="O238" s="22">
        <v>1.04813</v>
      </c>
      <c r="P238" s="22">
        <v>10.7479</v>
      </c>
      <c r="Q238" s="22">
        <v>-1.3064600000000001E-2</v>
      </c>
      <c r="R238" s="22">
        <v>228</v>
      </c>
      <c r="S238" s="22">
        <v>1.0467500000000001</v>
      </c>
      <c r="T238">
        <f t="shared" si="38"/>
        <v>16.129135802469136</v>
      </c>
      <c r="U238">
        <f t="shared" si="39"/>
        <v>16.905431108641977</v>
      </c>
      <c r="X238" s="9"/>
      <c r="Y238" s="22">
        <v>0.45196500000000001</v>
      </c>
      <c r="Z238" s="22">
        <v>15.8477</v>
      </c>
      <c r="AA238" s="22">
        <v>-1.38184E-2</v>
      </c>
      <c r="AB238" s="22">
        <v>228</v>
      </c>
      <c r="AC238" s="22">
        <v>0.451324</v>
      </c>
      <c r="AD238">
        <f t="shared" si="40"/>
        <v>17.05975308641975</v>
      </c>
      <c r="AE238">
        <f t="shared" si="41"/>
        <v>7.7104113037037028</v>
      </c>
      <c r="AF238" s="9"/>
      <c r="AG238" s="22">
        <v>1.04813</v>
      </c>
      <c r="AH238" s="22">
        <v>19.264099999999999</v>
      </c>
      <c r="AI238" s="22">
        <v>-1.30432E-2</v>
      </c>
      <c r="AJ238" s="22">
        <v>228</v>
      </c>
      <c r="AK238" s="22">
        <v>1.0467500000000001</v>
      </c>
      <c r="AL238">
        <f t="shared" si="42"/>
        <v>16.102716049382714</v>
      </c>
      <c r="AM238">
        <f t="shared" si="43"/>
        <v>16.877739772839504</v>
      </c>
      <c r="AP238" s="9"/>
      <c r="AQ238" s="22">
        <v>0.45196500000000001</v>
      </c>
      <c r="AR238" s="22">
        <v>24.4419</v>
      </c>
      <c r="AS238" s="22">
        <v>-1.37848E-2</v>
      </c>
      <c r="AT238" s="22">
        <v>228</v>
      </c>
      <c r="AU238" s="22">
        <v>0.451324</v>
      </c>
      <c r="AV238">
        <f t="shared" si="44"/>
        <v>17.018271604938271</v>
      </c>
      <c r="AW238">
        <f t="shared" si="45"/>
        <v>7.6916631259259258</v>
      </c>
      <c r="AX238" s="9"/>
      <c r="AY238" s="22">
        <v>1.04813</v>
      </c>
      <c r="AZ238" s="22">
        <v>27.8583</v>
      </c>
      <c r="BA238" s="22">
        <v>-1.3107300000000001E-2</v>
      </c>
      <c r="BB238" s="22">
        <v>228</v>
      </c>
      <c r="BC238" s="22">
        <v>1.0467500000000001</v>
      </c>
      <c r="BD238">
        <f t="shared" si="46"/>
        <v>16.181851851851849</v>
      </c>
      <c r="BE238">
        <f t="shared" si="47"/>
        <v>16.960684381481478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0.44692999999999999</v>
      </c>
      <c r="H239" s="22">
        <v>7.3415800000000004</v>
      </c>
      <c r="I239" s="22">
        <v>-1.3870199999999999E-2</v>
      </c>
      <c r="J239" s="22">
        <v>229</v>
      </c>
      <c r="K239" s="22">
        <v>0.44619799999999998</v>
      </c>
      <c r="L239">
        <f t="shared" si="36"/>
        <v>17.123703703703701</v>
      </c>
      <c r="M239">
        <f t="shared" si="37"/>
        <v>7.6530968962962946</v>
      </c>
      <c r="N239" s="9"/>
      <c r="O239" s="22">
        <v>1.0531600000000001</v>
      </c>
      <c r="P239" s="22">
        <v>10.757899999999999</v>
      </c>
      <c r="Q239" s="22">
        <v>-1.3064600000000001E-2</v>
      </c>
      <c r="R239" s="22">
        <v>229</v>
      </c>
      <c r="S239" s="22">
        <v>1.0525500000000001</v>
      </c>
      <c r="T239">
        <f t="shared" si="38"/>
        <v>16.129135802469136</v>
      </c>
      <c r="U239">
        <f t="shared" si="39"/>
        <v>16.986560661728397</v>
      </c>
      <c r="X239" s="9"/>
      <c r="Y239" s="22">
        <v>0.44692999999999999</v>
      </c>
      <c r="Z239" s="22">
        <v>15.857799999999999</v>
      </c>
      <c r="AA239" s="22">
        <v>-1.38336E-2</v>
      </c>
      <c r="AB239" s="22">
        <v>229</v>
      </c>
      <c r="AC239" s="22">
        <v>0.44622800000000001</v>
      </c>
      <c r="AD239">
        <f t="shared" si="40"/>
        <v>17.078518518518518</v>
      </c>
      <c r="AE239">
        <f t="shared" si="41"/>
        <v>7.6329022814814813</v>
      </c>
      <c r="AF239" s="9"/>
      <c r="AG239" s="22">
        <v>1.0531600000000001</v>
      </c>
      <c r="AH239" s="22">
        <v>19.274100000000001</v>
      </c>
      <c r="AI239" s="22">
        <v>-1.30432E-2</v>
      </c>
      <c r="AJ239" s="22">
        <v>229</v>
      </c>
      <c r="AK239" s="22">
        <v>1.0522499999999999</v>
      </c>
      <c r="AL239">
        <f t="shared" si="42"/>
        <v>16.102716049382714</v>
      </c>
      <c r="AM239">
        <f t="shared" si="43"/>
        <v>16.9587364345679</v>
      </c>
      <c r="AP239" s="9"/>
      <c r="AQ239" s="22">
        <v>0.44692999999999999</v>
      </c>
      <c r="AR239" s="22">
        <v>24.452000000000002</v>
      </c>
      <c r="AS239" s="22">
        <v>-1.3797E-2</v>
      </c>
      <c r="AT239" s="22">
        <v>229</v>
      </c>
      <c r="AU239" s="22">
        <v>0.44625900000000002</v>
      </c>
      <c r="AV239">
        <f t="shared" si="44"/>
        <v>17.033333333333331</v>
      </c>
      <c r="AW239">
        <f t="shared" si="45"/>
        <v>7.6127076666666653</v>
      </c>
      <c r="AX239" s="9"/>
      <c r="AY239" s="22">
        <v>1.0531600000000001</v>
      </c>
      <c r="AZ239" s="22">
        <v>27.868300000000001</v>
      </c>
      <c r="BA239" s="22">
        <v>-1.3091999999999999E-2</v>
      </c>
      <c r="BB239" s="22">
        <v>229</v>
      </c>
      <c r="BC239" s="22">
        <v>1.0519400000000001</v>
      </c>
      <c r="BD239">
        <f t="shared" si="46"/>
        <v>16.162962962962961</v>
      </c>
      <c r="BE239">
        <f t="shared" si="47"/>
        <v>17.022186074074074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0.44189499999999998</v>
      </c>
      <c r="H240" s="22">
        <v>7.3516500000000002</v>
      </c>
      <c r="I240" s="22">
        <v>-1.38733E-2</v>
      </c>
      <c r="J240" s="22">
        <v>230</v>
      </c>
      <c r="K240" s="22">
        <v>0.44128400000000001</v>
      </c>
      <c r="L240">
        <f t="shared" si="36"/>
        <v>17.127530864197528</v>
      </c>
      <c r="M240">
        <f t="shared" si="37"/>
        <v>7.5685702512345667</v>
      </c>
      <c r="N240" s="9"/>
      <c r="O240" s="22">
        <v>1.0582</v>
      </c>
      <c r="P240" s="22">
        <v>10.768000000000001</v>
      </c>
      <c r="Q240" s="22">
        <v>-1.3058500000000001E-2</v>
      </c>
      <c r="R240" s="22">
        <v>230</v>
      </c>
      <c r="S240" s="22">
        <v>1.0571299999999999</v>
      </c>
      <c r="T240">
        <f t="shared" si="38"/>
        <v>16.121604938271602</v>
      </c>
      <c r="U240">
        <f t="shared" si="39"/>
        <v>17.059882345679011</v>
      </c>
      <c r="X240" s="9"/>
      <c r="Y240" s="22">
        <v>0.44189499999999998</v>
      </c>
      <c r="Z240" s="22">
        <v>15.867900000000001</v>
      </c>
      <c r="AA240" s="22">
        <v>-1.38458E-2</v>
      </c>
      <c r="AB240" s="22">
        <v>230</v>
      </c>
      <c r="AC240" s="22">
        <v>0.44125399999999998</v>
      </c>
      <c r="AD240">
        <f t="shared" si="40"/>
        <v>17.093580246913579</v>
      </c>
      <c r="AE240">
        <f t="shared" si="41"/>
        <v>7.5535676432098757</v>
      </c>
      <c r="AF240" s="9"/>
      <c r="AG240" s="22">
        <v>1.0582</v>
      </c>
      <c r="AH240" s="22">
        <v>19.284199999999998</v>
      </c>
      <c r="AI240" s="22">
        <v>-1.30341E-2</v>
      </c>
      <c r="AJ240" s="22">
        <v>230</v>
      </c>
      <c r="AK240" s="22">
        <v>1.0574300000000001</v>
      </c>
      <c r="AL240">
        <f t="shared" si="42"/>
        <v>16.09148148148148</v>
      </c>
      <c r="AM240">
        <f t="shared" si="43"/>
        <v>17.028005703703702</v>
      </c>
      <c r="AP240" s="9"/>
      <c r="AQ240" s="22">
        <v>0.44189499999999998</v>
      </c>
      <c r="AR240" s="22">
        <v>24.4621</v>
      </c>
      <c r="AS240" s="22">
        <v>-1.38184E-2</v>
      </c>
      <c r="AT240" s="22">
        <v>230</v>
      </c>
      <c r="AU240" s="22">
        <v>0.44134499999999999</v>
      </c>
      <c r="AV240">
        <f t="shared" si="44"/>
        <v>17.05975308641975</v>
      </c>
      <c r="AW240">
        <f t="shared" si="45"/>
        <v>7.5386195901234556</v>
      </c>
      <c r="AX240" s="9"/>
      <c r="AY240" s="22">
        <v>1.0582</v>
      </c>
      <c r="AZ240" s="22">
        <v>27.878399999999999</v>
      </c>
      <c r="BA240" s="22">
        <v>-1.30768E-2</v>
      </c>
      <c r="BB240" s="22">
        <v>230</v>
      </c>
      <c r="BC240" s="22">
        <v>1.0571299999999999</v>
      </c>
      <c r="BD240">
        <f t="shared" si="46"/>
        <v>16.144197530864194</v>
      </c>
      <c r="BE240">
        <f t="shared" si="47"/>
        <v>17.083789827160491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0.436859</v>
      </c>
      <c r="H241" s="22">
        <v>7.36172</v>
      </c>
      <c r="I241" s="22">
        <v>-1.38733E-2</v>
      </c>
      <c r="J241" s="22">
        <v>231</v>
      </c>
      <c r="K241" s="22">
        <v>0.43612699999999999</v>
      </c>
      <c r="L241">
        <f t="shared" si="36"/>
        <v>17.127530864197528</v>
      </c>
      <c r="M241">
        <f t="shared" si="37"/>
        <v>7.4823160058024678</v>
      </c>
      <c r="N241" s="9"/>
      <c r="O241" s="22">
        <v>1.0632299999999999</v>
      </c>
      <c r="P241" s="22">
        <v>10.7781</v>
      </c>
      <c r="Q241" s="22">
        <v>-1.30524E-2</v>
      </c>
      <c r="R241" s="22">
        <v>231</v>
      </c>
      <c r="S241" s="22">
        <v>1.0626199999999999</v>
      </c>
      <c r="T241">
        <f t="shared" si="38"/>
        <v>16.114074074074072</v>
      </c>
      <c r="U241">
        <f t="shared" si="39"/>
        <v>17.132966977777773</v>
      </c>
      <c r="X241" s="9"/>
      <c r="Y241" s="22">
        <v>0.436859</v>
      </c>
      <c r="Z241" s="22">
        <v>15.8779</v>
      </c>
      <c r="AA241" s="22">
        <v>-1.3848900000000001E-2</v>
      </c>
      <c r="AB241" s="22">
        <v>231</v>
      </c>
      <c r="AC241" s="22">
        <v>0.43618800000000002</v>
      </c>
      <c r="AD241">
        <f t="shared" si="40"/>
        <v>17.09740740740741</v>
      </c>
      <c r="AE241">
        <f t="shared" si="41"/>
        <v>7.4691563025925936</v>
      </c>
      <c r="AF241" s="9"/>
      <c r="AG241" s="22">
        <v>1.0632299999999999</v>
      </c>
      <c r="AH241" s="22">
        <v>19.2943</v>
      </c>
      <c r="AI241" s="22">
        <v>-1.3030999999999999E-2</v>
      </c>
      <c r="AJ241" s="22">
        <v>231</v>
      </c>
      <c r="AK241" s="22">
        <v>1.0620099999999999</v>
      </c>
      <c r="AL241">
        <f t="shared" si="42"/>
        <v>16.087654320987653</v>
      </c>
      <c r="AM241">
        <f t="shared" si="43"/>
        <v>17.104876703703702</v>
      </c>
      <c r="AP241" s="9"/>
      <c r="AQ241" s="22">
        <v>0.436859</v>
      </c>
      <c r="AR241" s="22">
        <v>24.472100000000001</v>
      </c>
      <c r="AS241" s="22">
        <v>-1.38275E-2</v>
      </c>
      <c r="AT241" s="22">
        <v>231</v>
      </c>
      <c r="AU241" s="22">
        <v>0.43621799999999999</v>
      </c>
      <c r="AV241">
        <f t="shared" si="44"/>
        <v>17.070987654320987</v>
      </c>
      <c r="AW241">
        <f t="shared" si="45"/>
        <v>7.4576145956790123</v>
      </c>
      <c r="AX241" s="9"/>
      <c r="AY241" s="22">
        <v>1.0632299999999999</v>
      </c>
      <c r="AZ241" s="22">
        <v>27.888500000000001</v>
      </c>
      <c r="BA241" s="22">
        <v>-1.30676E-2</v>
      </c>
      <c r="BB241" s="22">
        <v>231</v>
      </c>
      <c r="BC241" s="22">
        <v>1.0620099999999999</v>
      </c>
      <c r="BD241">
        <f t="shared" si="46"/>
        <v>16.132839506172839</v>
      </c>
      <c r="BE241">
        <f t="shared" si="47"/>
        <v>17.152918948148148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0.43182399999999999</v>
      </c>
      <c r="H242" s="22">
        <v>7.3717899999999998</v>
      </c>
      <c r="I242" s="22">
        <v>-1.3876299999999999E-2</v>
      </c>
      <c r="J242" s="22">
        <v>232</v>
      </c>
      <c r="K242" s="22">
        <v>0.43118299999999998</v>
      </c>
      <c r="L242">
        <f t="shared" si="36"/>
        <v>17.131234567901231</v>
      </c>
      <c r="M242">
        <f t="shared" si="37"/>
        <v>7.3976782360493809</v>
      </c>
      <c r="N242" s="9"/>
      <c r="O242" s="22">
        <v>1.0682700000000001</v>
      </c>
      <c r="P242" s="22">
        <v>10.7881</v>
      </c>
      <c r="Q242" s="22">
        <v>-1.30463E-2</v>
      </c>
      <c r="R242" s="22">
        <v>232</v>
      </c>
      <c r="S242" s="22">
        <v>1.0674999999999999</v>
      </c>
      <c r="T242">
        <f t="shared" si="38"/>
        <v>16.106543209876545</v>
      </c>
      <c r="U242">
        <f t="shared" si="39"/>
        <v>17.206136914814817</v>
      </c>
      <c r="X242" s="9"/>
      <c r="Y242" s="22">
        <v>0.43182399999999999</v>
      </c>
      <c r="Z242" s="22">
        <v>15.888</v>
      </c>
      <c r="AA242" s="22">
        <v>-1.38397E-2</v>
      </c>
      <c r="AB242" s="22">
        <v>232</v>
      </c>
      <c r="AC242" s="22">
        <v>0.43115199999999998</v>
      </c>
      <c r="AD242">
        <f t="shared" si="40"/>
        <v>17.086049382716048</v>
      </c>
      <c r="AE242">
        <f t="shared" si="41"/>
        <v>7.3781661886419743</v>
      </c>
      <c r="AF242" s="9"/>
      <c r="AG242" s="22">
        <v>1.0682700000000001</v>
      </c>
      <c r="AH242" s="22">
        <v>19.304300000000001</v>
      </c>
      <c r="AI242" s="22">
        <v>-1.3021899999999999E-2</v>
      </c>
      <c r="AJ242" s="22">
        <v>232</v>
      </c>
      <c r="AK242" s="22">
        <v>1.0668899999999999</v>
      </c>
      <c r="AL242">
        <f t="shared" si="42"/>
        <v>16.076419753086416</v>
      </c>
      <c r="AM242">
        <f t="shared" si="43"/>
        <v>17.173956929629625</v>
      </c>
      <c r="AP242" s="9"/>
      <c r="AQ242" s="22">
        <v>0.43182399999999999</v>
      </c>
      <c r="AR242" s="22">
        <v>24.482199999999999</v>
      </c>
      <c r="AS242" s="22">
        <v>-1.38336E-2</v>
      </c>
      <c r="AT242" s="22">
        <v>232</v>
      </c>
      <c r="AU242" s="22">
        <v>0.43118299999999998</v>
      </c>
      <c r="AV242">
        <f t="shared" si="44"/>
        <v>17.078518518518518</v>
      </c>
      <c r="AW242">
        <f t="shared" si="45"/>
        <v>7.3749141807407401</v>
      </c>
      <c r="AX242" s="9"/>
      <c r="AY242" s="22">
        <v>1.0682700000000001</v>
      </c>
      <c r="AZ242" s="22">
        <v>27.898599999999998</v>
      </c>
      <c r="BA242" s="22">
        <v>-1.3058500000000001E-2</v>
      </c>
      <c r="BB242" s="22">
        <v>232</v>
      </c>
      <c r="BC242" s="22">
        <v>1.0671999999999999</v>
      </c>
      <c r="BD242">
        <f t="shared" si="46"/>
        <v>16.121604938271602</v>
      </c>
      <c r="BE242">
        <f t="shared" si="47"/>
        <v>17.222226907407407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0.426788</v>
      </c>
      <c r="H243" s="22">
        <v>7.3818599999999996</v>
      </c>
      <c r="I243" s="22">
        <v>-1.38794E-2</v>
      </c>
      <c r="J243" s="22">
        <v>233</v>
      </c>
      <c r="K243" s="22">
        <v>0.426178</v>
      </c>
      <c r="L243">
        <f t="shared" si="36"/>
        <v>17.135061728395058</v>
      </c>
      <c r="M243">
        <f t="shared" si="37"/>
        <v>7.31303872493827</v>
      </c>
      <c r="N243" s="9"/>
      <c r="O243" s="22">
        <v>1.0732999999999999</v>
      </c>
      <c r="P243" s="22">
        <v>10.7982</v>
      </c>
      <c r="Q243" s="22">
        <v>-1.30402E-2</v>
      </c>
      <c r="R243" s="22">
        <v>233</v>
      </c>
      <c r="S243" s="22">
        <v>1.07239</v>
      </c>
      <c r="T243">
        <f t="shared" si="38"/>
        <v>16.099012345679011</v>
      </c>
      <c r="U243">
        <f t="shared" si="39"/>
        <v>17.279069950617281</v>
      </c>
      <c r="X243" s="9"/>
      <c r="Y243" s="22">
        <v>0.426788</v>
      </c>
      <c r="Z243" s="22">
        <v>15.898099999999999</v>
      </c>
      <c r="AA243" s="22">
        <v>-1.38367E-2</v>
      </c>
      <c r="AB243" s="22">
        <v>233</v>
      </c>
      <c r="AC243" s="22">
        <v>0.42608600000000002</v>
      </c>
      <c r="AD243">
        <f t="shared" si="40"/>
        <v>17.082345679012345</v>
      </c>
      <c r="AE243">
        <f t="shared" si="41"/>
        <v>7.2905401476543208</v>
      </c>
      <c r="AF243" s="9"/>
      <c r="AG243" s="22">
        <v>1.0732999999999999</v>
      </c>
      <c r="AH243" s="22">
        <v>19.314399999999999</v>
      </c>
      <c r="AI243" s="22">
        <v>-1.30157E-2</v>
      </c>
      <c r="AJ243" s="22">
        <v>233</v>
      </c>
      <c r="AK243" s="22">
        <v>1.07239</v>
      </c>
      <c r="AL243">
        <f t="shared" si="42"/>
        <v>16.068765432098765</v>
      </c>
      <c r="AM243">
        <f t="shared" si="43"/>
        <v>17.246605938271603</v>
      </c>
      <c r="AP243" s="9"/>
      <c r="AQ243" s="22">
        <v>0.426788</v>
      </c>
      <c r="AR243" s="22">
        <v>24.4923</v>
      </c>
      <c r="AS243" s="22">
        <v>-1.38367E-2</v>
      </c>
      <c r="AT243" s="22">
        <v>233</v>
      </c>
      <c r="AU243" s="22">
        <v>0.426147</v>
      </c>
      <c r="AV243">
        <f t="shared" si="44"/>
        <v>17.082345679012345</v>
      </c>
      <c r="AW243">
        <f t="shared" si="45"/>
        <v>7.2905401476543208</v>
      </c>
      <c r="AX243" s="9"/>
      <c r="AY243" s="22">
        <v>1.0732999999999999</v>
      </c>
      <c r="AZ243" s="22">
        <v>27.9086</v>
      </c>
      <c r="BA243" s="22">
        <v>-1.30463E-2</v>
      </c>
      <c r="BB243" s="22">
        <v>233</v>
      </c>
      <c r="BC243" s="22">
        <v>1.07239</v>
      </c>
      <c r="BD243">
        <f t="shared" si="46"/>
        <v>16.106543209876545</v>
      </c>
      <c r="BE243">
        <f t="shared" si="47"/>
        <v>17.287152827160494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0.42175299999999999</v>
      </c>
      <c r="H244" s="22">
        <v>7.39194</v>
      </c>
      <c r="I244" s="22">
        <v>-1.38855E-2</v>
      </c>
      <c r="J244" s="22">
        <v>234</v>
      </c>
      <c r="K244" s="22">
        <v>0.42102099999999998</v>
      </c>
      <c r="L244">
        <f t="shared" si="36"/>
        <v>17.142592592592592</v>
      </c>
      <c r="M244">
        <f t="shared" si="37"/>
        <v>7.2299398537037032</v>
      </c>
      <c r="N244" s="9"/>
      <c r="O244" s="22">
        <v>1.0783400000000001</v>
      </c>
      <c r="P244" s="22">
        <v>10.808299999999999</v>
      </c>
      <c r="Q244" s="22">
        <v>-1.3028E-2</v>
      </c>
      <c r="R244" s="22">
        <v>234</v>
      </c>
      <c r="S244" s="22">
        <v>1.0772699999999999</v>
      </c>
      <c r="T244">
        <f t="shared" si="38"/>
        <v>16.08395061728395</v>
      </c>
      <c r="U244">
        <f t="shared" si="39"/>
        <v>17.343967308641975</v>
      </c>
      <c r="X244" s="9"/>
      <c r="Y244" s="22">
        <v>0.42175299999999999</v>
      </c>
      <c r="Z244" s="22">
        <v>15.908099999999999</v>
      </c>
      <c r="AA244" s="22">
        <v>-1.38336E-2</v>
      </c>
      <c r="AB244" s="22">
        <v>234</v>
      </c>
      <c r="AC244" s="22">
        <v>0.42108200000000001</v>
      </c>
      <c r="AD244">
        <f t="shared" si="40"/>
        <v>17.078518518518518</v>
      </c>
      <c r="AE244">
        <f t="shared" si="41"/>
        <v>7.2029164207407401</v>
      </c>
      <c r="AF244" s="9"/>
      <c r="AG244" s="22">
        <v>1.0783400000000001</v>
      </c>
      <c r="AH244" s="22">
        <v>19.3245</v>
      </c>
      <c r="AI244" s="22">
        <v>-1.2997399999999999E-2</v>
      </c>
      <c r="AJ244" s="22">
        <v>234</v>
      </c>
      <c r="AK244" s="22">
        <v>1.07758</v>
      </c>
      <c r="AL244">
        <f t="shared" si="42"/>
        <v>16.04617283950617</v>
      </c>
      <c r="AM244">
        <f t="shared" si="43"/>
        <v>17.303230019753084</v>
      </c>
      <c r="AP244" s="9"/>
      <c r="AQ244" s="22">
        <v>0.42175299999999999</v>
      </c>
      <c r="AR244" s="22">
        <v>24.502400000000002</v>
      </c>
      <c r="AS244" s="22">
        <v>-1.38275E-2</v>
      </c>
      <c r="AT244" s="22">
        <v>234</v>
      </c>
      <c r="AU244" s="22">
        <v>0.42108200000000001</v>
      </c>
      <c r="AV244">
        <f t="shared" si="44"/>
        <v>17.070987654320987</v>
      </c>
      <c r="AW244">
        <f t="shared" si="45"/>
        <v>7.1997402561728387</v>
      </c>
      <c r="AX244" s="9"/>
      <c r="AY244" s="22">
        <v>1.0783400000000001</v>
      </c>
      <c r="AZ244" s="22">
        <v>27.918700000000001</v>
      </c>
      <c r="BA244" s="22">
        <v>-1.30463E-2</v>
      </c>
      <c r="BB244" s="22">
        <v>234</v>
      </c>
      <c r="BC244" s="22">
        <v>1.0772699999999999</v>
      </c>
      <c r="BD244">
        <f t="shared" si="46"/>
        <v>16.106543209876545</v>
      </c>
      <c r="BE244">
        <f t="shared" si="47"/>
        <v>17.368329804938273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0.41671799999999998</v>
      </c>
      <c r="H245" s="22">
        <v>7.4020099999999998</v>
      </c>
      <c r="I245" s="22">
        <v>-1.3897700000000001E-2</v>
      </c>
      <c r="J245" s="22">
        <v>235</v>
      </c>
      <c r="K245" s="22">
        <v>0.41616799999999998</v>
      </c>
      <c r="L245">
        <f t="shared" si="36"/>
        <v>17.157654320987653</v>
      </c>
      <c r="M245">
        <f t="shared" si="37"/>
        <v>7.1499033933333322</v>
      </c>
      <c r="N245" s="9"/>
      <c r="O245" s="22">
        <v>1.0833699999999999</v>
      </c>
      <c r="P245" s="22">
        <v>10.8184</v>
      </c>
      <c r="Q245" s="22">
        <v>-1.30066E-2</v>
      </c>
      <c r="R245" s="22">
        <v>235</v>
      </c>
      <c r="S245" s="22">
        <v>1.08246</v>
      </c>
      <c r="T245">
        <f t="shared" si="38"/>
        <v>16.057530864197531</v>
      </c>
      <c r="U245">
        <f t="shared" si="39"/>
        <v>17.396247212345678</v>
      </c>
      <c r="X245" s="9"/>
      <c r="Y245" s="22">
        <v>0.41671799999999998</v>
      </c>
      <c r="Z245" s="22">
        <v>15.918200000000001</v>
      </c>
      <c r="AA245" s="22">
        <v>-1.38184E-2</v>
      </c>
      <c r="AB245" s="22">
        <v>235</v>
      </c>
      <c r="AC245" s="22">
        <v>0.41595500000000002</v>
      </c>
      <c r="AD245">
        <f t="shared" si="40"/>
        <v>17.05975308641975</v>
      </c>
      <c r="AE245">
        <f t="shared" si="41"/>
        <v>7.1091061866666649</v>
      </c>
      <c r="AF245" s="9"/>
      <c r="AG245" s="22">
        <v>1.0833699999999999</v>
      </c>
      <c r="AH245" s="22">
        <v>19.334599999999998</v>
      </c>
      <c r="AI245" s="22">
        <v>-1.29791E-2</v>
      </c>
      <c r="AJ245" s="22">
        <v>235</v>
      </c>
      <c r="AK245" s="22">
        <v>1.08185</v>
      </c>
      <c r="AL245">
        <f t="shared" si="42"/>
        <v>16.023580246913578</v>
      </c>
      <c r="AM245">
        <f t="shared" si="43"/>
        <v>17.359466132098763</v>
      </c>
      <c r="AP245" s="9"/>
      <c r="AQ245" s="22">
        <v>0.41671799999999998</v>
      </c>
      <c r="AR245" s="22">
        <v>24.5124</v>
      </c>
      <c r="AS245" s="22">
        <v>-1.3815300000000001E-2</v>
      </c>
      <c r="AT245" s="22">
        <v>235</v>
      </c>
      <c r="AU245" s="22">
        <v>0.41604600000000003</v>
      </c>
      <c r="AV245">
        <f t="shared" si="44"/>
        <v>17.055925925925926</v>
      </c>
      <c r="AW245">
        <f t="shared" si="45"/>
        <v>7.1075113399999994</v>
      </c>
      <c r="AX245" s="9"/>
      <c r="AY245" s="22">
        <v>1.0833699999999999</v>
      </c>
      <c r="AZ245" s="22">
        <v>27.928799999999999</v>
      </c>
      <c r="BA245" s="22">
        <v>-1.30402E-2</v>
      </c>
      <c r="BB245" s="22">
        <v>235</v>
      </c>
      <c r="BC245" s="22">
        <v>1.0821499999999999</v>
      </c>
      <c r="BD245">
        <f t="shared" si="46"/>
        <v>16.099012345679011</v>
      </c>
      <c r="BE245">
        <f t="shared" si="47"/>
        <v>17.441187004938268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0.41168199999999999</v>
      </c>
      <c r="H246" s="22">
        <v>7.4120799999999996</v>
      </c>
      <c r="I246" s="22">
        <v>-1.39008E-2</v>
      </c>
      <c r="J246" s="22">
        <v>236</v>
      </c>
      <c r="K246" s="22">
        <v>0.41101100000000002</v>
      </c>
      <c r="L246">
        <f t="shared" si="36"/>
        <v>17.161481481481481</v>
      </c>
      <c r="M246">
        <f t="shared" si="37"/>
        <v>7.065073019259259</v>
      </c>
      <c r="N246" s="9"/>
      <c r="O246" s="22">
        <v>1.0884100000000001</v>
      </c>
      <c r="P246" s="22">
        <v>10.8284</v>
      </c>
      <c r="Q246" s="22">
        <v>-1.3003499999999999E-2</v>
      </c>
      <c r="R246" s="22">
        <v>236</v>
      </c>
      <c r="S246" s="22">
        <v>1.08704</v>
      </c>
      <c r="T246">
        <f t="shared" si="38"/>
        <v>16.0537037037037</v>
      </c>
      <c r="U246">
        <f t="shared" si="39"/>
        <v>17.473011648148145</v>
      </c>
      <c r="X246" s="9"/>
      <c r="Y246" s="22">
        <v>0.41168199999999999</v>
      </c>
      <c r="Z246" s="22">
        <v>15.9283</v>
      </c>
      <c r="AA246" s="22">
        <v>-1.3806199999999999E-2</v>
      </c>
      <c r="AB246" s="22">
        <v>236</v>
      </c>
      <c r="AC246" s="22">
        <v>0.41101100000000002</v>
      </c>
      <c r="AD246">
        <f t="shared" si="40"/>
        <v>17.044691358024689</v>
      </c>
      <c r="AE246">
        <f t="shared" si="41"/>
        <v>7.0169926276543197</v>
      </c>
      <c r="AF246" s="9"/>
      <c r="AG246" s="22">
        <v>1.0884100000000001</v>
      </c>
      <c r="AH246" s="22">
        <v>19.3446</v>
      </c>
      <c r="AI246" s="22">
        <v>-1.2982199999999999E-2</v>
      </c>
      <c r="AJ246" s="22">
        <v>236</v>
      </c>
      <c r="AK246" s="22">
        <v>1.08734</v>
      </c>
      <c r="AL246">
        <f t="shared" si="42"/>
        <v>16.027407407407406</v>
      </c>
      <c r="AM246">
        <f t="shared" si="43"/>
        <v>17.444390496296297</v>
      </c>
      <c r="AP246" s="9"/>
      <c r="AQ246" s="22">
        <v>0.41168199999999999</v>
      </c>
      <c r="AR246" s="22">
        <v>24.522500000000001</v>
      </c>
      <c r="AS246" s="22">
        <v>-1.38184E-2</v>
      </c>
      <c r="AT246" s="22">
        <v>236</v>
      </c>
      <c r="AU246" s="22">
        <v>0.41098000000000001</v>
      </c>
      <c r="AV246">
        <f t="shared" si="44"/>
        <v>17.05975308641975</v>
      </c>
      <c r="AW246">
        <f t="shared" si="45"/>
        <v>7.0231932701234552</v>
      </c>
      <c r="AX246" s="9"/>
      <c r="AY246" s="22">
        <v>1.0884100000000001</v>
      </c>
      <c r="AZ246" s="22">
        <v>27.938800000000001</v>
      </c>
      <c r="BA246" s="22">
        <v>-1.3037099999999999E-2</v>
      </c>
      <c r="BB246" s="22">
        <v>236</v>
      </c>
      <c r="BC246" s="22">
        <v>1.08704</v>
      </c>
      <c r="BD246">
        <f t="shared" si="46"/>
        <v>16.095185185185183</v>
      </c>
      <c r="BE246">
        <f t="shared" si="47"/>
        <v>17.518160507407408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0.40664699999999998</v>
      </c>
      <c r="H247" s="22">
        <v>7.4221500000000002</v>
      </c>
      <c r="I247" s="22">
        <v>-1.39069E-2</v>
      </c>
      <c r="J247" s="22">
        <v>237</v>
      </c>
      <c r="K247" s="22">
        <v>0.405945</v>
      </c>
      <c r="L247">
        <f t="shared" si="36"/>
        <v>17.169012345679011</v>
      </c>
      <c r="M247">
        <f t="shared" si="37"/>
        <v>6.9817273633333325</v>
      </c>
      <c r="N247" s="9"/>
      <c r="O247" s="22">
        <v>1.09344</v>
      </c>
      <c r="P247" s="22">
        <v>10.8385</v>
      </c>
      <c r="Q247" s="22">
        <v>-1.30005E-2</v>
      </c>
      <c r="R247" s="22">
        <v>237</v>
      </c>
      <c r="S247" s="22">
        <v>1.09222</v>
      </c>
      <c r="T247">
        <f t="shared" si="38"/>
        <v>16.049999999999997</v>
      </c>
      <c r="U247">
        <f t="shared" si="39"/>
        <v>17.549711999999996</v>
      </c>
      <c r="X247" s="9"/>
      <c r="Y247" s="22">
        <v>0.40664699999999998</v>
      </c>
      <c r="Z247" s="22">
        <v>15.9384</v>
      </c>
      <c r="AA247" s="22">
        <v>-1.38031E-2</v>
      </c>
      <c r="AB247" s="22">
        <v>237</v>
      </c>
      <c r="AC247" s="22">
        <v>0.40600599999999998</v>
      </c>
      <c r="AD247">
        <f t="shared" si="40"/>
        <v>17.040864197530862</v>
      </c>
      <c r="AE247">
        <f t="shared" si="41"/>
        <v>6.929616303333332</v>
      </c>
      <c r="AF247" s="9"/>
      <c r="AG247" s="22">
        <v>1.09344</v>
      </c>
      <c r="AH247" s="22">
        <v>19.354700000000001</v>
      </c>
      <c r="AI247" s="22">
        <v>-1.2970000000000001E-2</v>
      </c>
      <c r="AJ247" s="22">
        <v>237</v>
      </c>
      <c r="AK247" s="22">
        <v>1.09253</v>
      </c>
      <c r="AL247">
        <f t="shared" si="42"/>
        <v>16.012345679012348</v>
      </c>
      <c r="AM247">
        <f t="shared" si="43"/>
        <v>17.508539259259262</v>
      </c>
      <c r="AP247" s="9"/>
      <c r="AQ247" s="22">
        <v>0.40664699999999998</v>
      </c>
      <c r="AR247" s="22">
        <v>24.532599999999999</v>
      </c>
      <c r="AS247" s="22">
        <v>-1.3815300000000001E-2</v>
      </c>
      <c r="AT247" s="22">
        <v>237</v>
      </c>
      <c r="AU247" s="22">
        <v>0.405945</v>
      </c>
      <c r="AV247">
        <f t="shared" si="44"/>
        <v>17.055925925925926</v>
      </c>
      <c r="AW247">
        <f t="shared" si="45"/>
        <v>6.9357411099999995</v>
      </c>
      <c r="AX247" s="9"/>
      <c r="AY247" s="22">
        <v>1.09344</v>
      </c>
      <c r="AZ247" s="22">
        <v>27.948899999999998</v>
      </c>
      <c r="BA247" s="22">
        <v>-1.3021899999999999E-2</v>
      </c>
      <c r="BB247" s="22">
        <v>237</v>
      </c>
      <c r="BC247" s="22">
        <v>1.09253</v>
      </c>
      <c r="BD247">
        <f t="shared" si="46"/>
        <v>16.076419753086416</v>
      </c>
      <c r="BE247">
        <f t="shared" si="47"/>
        <v>17.578600414814812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0.401611</v>
      </c>
      <c r="H248" s="22">
        <v>7.43222</v>
      </c>
      <c r="I248" s="22">
        <v>-1.3909899999999999E-2</v>
      </c>
      <c r="J248" s="22">
        <v>238</v>
      </c>
      <c r="K248" s="22">
        <v>0.40096999999999999</v>
      </c>
      <c r="L248">
        <f t="shared" si="36"/>
        <v>17.172716049382714</v>
      </c>
      <c r="M248">
        <f t="shared" si="37"/>
        <v>6.8967516653086411</v>
      </c>
      <c r="N248" s="9"/>
      <c r="O248" s="22">
        <v>1.0984799999999999</v>
      </c>
      <c r="P248" s="22">
        <v>10.848599999999999</v>
      </c>
      <c r="Q248" s="22">
        <v>-1.2997399999999999E-2</v>
      </c>
      <c r="R248" s="22">
        <v>238</v>
      </c>
      <c r="S248" s="22">
        <v>1.09772</v>
      </c>
      <c r="T248">
        <f t="shared" si="38"/>
        <v>16.04617283950617</v>
      </c>
      <c r="U248">
        <f t="shared" si="39"/>
        <v>17.626399940740736</v>
      </c>
      <c r="X248" s="9"/>
      <c r="Y248" s="22">
        <v>0.401611</v>
      </c>
      <c r="Z248" s="22">
        <v>15.948399999999999</v>
      </c>
      <c r="AA248" s="22">
        <v>-1.3821399999999999E-2</v>
      </c>
      <c r="AB248" s="22">
        <v>238</v>
      </c>
      <c r="AC248" s="22">
        <v>0.40103100000000003</v>
      </c>
      <c r="AD248">
        <f t="shared" si="40"/>
        <v>17.063456790123453</v>
      </c>
      <c r="AE248">
        <f t="shared" si="41"/>
        <v>6.8528719449382702</v>
      </c>
      <c r="AF248" s="9"/>
      <c r="AG248" s="22">
        <v>1.0984799999999999</v>
      </c>
      <c r="AH248" s="22">
        <v>19.364799999999999</v>
      </c>
      <c r="AI248" s="22">
        <v>-1.29578E-2</v>
      </c>
      <c r="AJ248" s="22">
        <v>238</v>
      </c>
      <c r="AK248" s="22">
        <v>1.09741</v>
      </c>
      <c r="AL248">
        <f t="shared" si="42"/>
        <v>15.997283950617284</v>
      </c>
      <c r="AM248">
        <f t="shared" si="43"/>
        <v>17.572696474074071</v>
      </c>
      <c r="AP248" s="9"/>
      <c r="AQ248" s="22">
        <v>0.401611</v>
      </c>
      <c r="AR248" s="22">
        <v>24.5426</v>
      </c>
      <c r="AS248" s="22">
        <v>-1.3821399999999999E-2</v>
      </c>
      <c r="AT248" s="22">
        <v>238</v>
      </c>
      <c r="AU248" s="22">
        <v>0.401001</v>
      </c>
      <c r="AV248">
        <f t="shared" si="44"/>
        <v>17.063456790123453</v>
      </c>
      <c r="AW248">
        <f t="shared" si="45"/>
        <v>6.8528719449382702</v>
      </c>
      <c r="AX248" s="9"/>
      <c r="AY248" s="22">
        <v>1.0984799999999999</v>
      </c>
      <c r="AZ248" s="22">
        <v>27.959</v>
      </c>
      <c r="BA248" s="22">
        <v>-1.30127E-2</v>
      </c>
      <c r="BB248" s="22">
        <v>238</v>
      </c>
      <c r="BC248" s="22">
        <v>1.09772</v>
      </c>
      <c r="BD248">
        <f t="shared" si="46"/>
        <v>16.065061728395062</v>
      </c>
      <c r="BE248">
        <f t="shared" si="47"/>
        <v>17.647149007407407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0.39657599999999998</v>
      </c>
      <c r="H249" s="22">
        <v>7.4422899999999998</v>
      </c>
      <c r="I249" s="22">
        <v>-1.3909899999999999E-2</v>
      </c>
      <c r="J249" s="22">
        <v>239</v>
      </c>
      <c r="K249" s="22">
        <v>0.39593499999999998</v>
      </c>
      <c r="L249">
        <f t="shared" si="36"/>
        <v>17.172716049382714</v>
      </c>
      <c r="M249">
        <f t="shared" si="37"/>
        <v>6.8102870399999986</v>
      </c>
      <c r="N249" s="9"/>
      <c r="O249" s="22">
        <v>1.1035200000000001</v>
      </c>
      <c r="P249" s="22">
        <v>10.858599999999999</v>
      </c>
      <c r="Q249" s="22">
        <v>-1.2988299999999999E-2</v>
      </c>
      <c r="R249" s="22">
        <v>239</v>
      </c>
      <c r="S249" s="22">
        <v>1.1029100000000001</v>
      </c>
      <c r="T249">
        <f t="shared" si="38"/>
        <v>16.034938271604936</v>
      </c>
      <c r="U249">
        <f t="shared" si="39"/>
        <v>17.694875081481481</v>
      </c>
      <c r="X249" s="9"/>
      <c r="Y249" s="22">
        <v>0.39657599999999998</v>
      </c>
      <c r="Z249" s="22">
        <v>15.958500000000001</v>
      </c>
      <c r="AA249" s="22">
        <v>-1.38306E-2</v>
      </c>
      <c r="AB249" s="22">
        <v>239</v>
      </c>
      <c r="AC249" s="22">
        <v>0.39590500000000001</v>
      </c>
      <c r="AD249">
        <f t="shared" si="40"/>
        <v>17.074814814814815</v>
      </c>
      <c r="AE249">
        <f t="shared" si="41"/>
        <v>6.7714617599999993</v>
      </c>
      <c r="AF249" s="9"/>
      <c r="AG249" s="22">
        <v>1.1035200000000001</v>
      </c>
      <c r="AH249" s="22">
        <v>19.3748</v>
      </c>
      <c r="AI249" s="22">
        <v>-1.29456E-2</v>
      </c>
      <c r="AJ249" s="22">
        <v>239</v>
      </c>
      <c r="AK249" s="22">
        <v>1.1026</v>
      </c>
      <c r="AL249">
        <f t="shared" si="42"/>
        <v>15.982222222222221</v>
      </c>
      <c r="AM249">
        <f t="shared" si="43"/>
        <v>17.636701866666666</v>
      </c>
      <c r="AP249" s="9"/>
      <c r="AQ249" s="22">
        <v>0.39657599999999998</v>
      </c>
      <c r="AR249" s="22">
        <v>24.552700000000002</v>
      </c>
      <c r="AS249" s="22">
        <v>-1.38245E-2</v>
      </c>
      <c r="AT249" s="22">
        <v>239</v>
      </c>
      <c r="AU249" s="22">
        <v>0.39584399999999997</v>
      </c>
      <c r="AV249">
        <f t="shared" si="44"/>
        <v>17.067283950617281</v>
      </c>
      <c r="AW249">
        <f t="shared" si="45"/>
        <v>6.7684751999999984</v>
      </c>
      <c r="AX249" s="9"/>
      <c r="AY249" s="22">
        <v>1.1035200000000001</v>
      </c>
      <c r="AZ249" s="22">
        <v>27.969100000000001</v>
      </c>
      <c r="BA249" s="22">
        <v>-1.30066E-2</v>
      </c>
      <c r="BB249" s="22">
        <v>239</v>
      </c>
      <c r="BC249" s="22">
        <v>1.10168</v>
      </c>
      <c r="BD249">
        <f t="shared" si="46"/>
        <v>16.057530864197531</v>
      </c>
      <c r="BE249">
        <f t="shared" si="47"/>
        <v>17.71980645925926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0.39154099999999997</v>
      </c>
      <c r="H250" s="22">
        <v>7.4523599999999997</v>
      </c>
      <c r="I250" s="22">
        <v>-1.39191E-2</v>
      </c>
      <c r="J250" s="22">
        <v>240</v>
      </c>
      <c r="K250" s="22">
        <v>0.39090000000000003</v>
      </c>
      <c r="L250">
        <f t="shared" si="36"/>
        <v>17.184074074074076</v>
      </c>
      <c r="M250">
        <f t="shared" si="37"/>
        <v>6.7282695470370371</v>
      </c>
      <c r="N250" s="9"/>
      <c r="O250" s="22">
        <v>1.1085499999999999</v>
      </c>
      <c r="P250" s="22">
        <v>10.8687</v>
      </c>
      <c r="Q250" s="22">
        <v>-1.2982199999999999E-2</v>
      </c>
      <c r="R250" s="22">
        <v>240</v>
      </c>
      <c r="S250" s="22">
        <v>1.10748</v>
      </c>
      <c r="T250">
        <f t="shared" si="38"/>
        <v>16.027407407407406</v>
      </c>
      <c r="U250">
        <f t="shared" si="39"/>
        <v>17.767182481481477</v>
      </c>
      <c r="X250" s="9"/>
      <c r="Y250" s="22">
        <v>0.39154099999999997</v>
      </c>
      <c r="Z250" s="22">
        <v>15.9686</v>
      </c>
      <c r="AA250" s="22">
        <v>-1.38275E-2</v>
      </c>
      <c r="AB250" s="22">
        <v>240</v>
      </c>
      <c r="AC250" s="22">
        <v>0.39080799999999999</v>
      </c>
      <c r="AD250">
        <f t="shared" si="40"/>
        <v>17.070987654320987</v>
      </c>
      <c r="AE250">
        <f t="shared" si="41"/>
        <v>6.6839915771604934</v>
      </c>
      <c r="AF250" s="9"/>
      <c r="AG250" s="22">
        <v>1.1085499999999999</v>
      </c>
      <c r="AH250" s="22">
        <v>19.384899999999998</v>
      </c>
      <c r="AI250" s="22">
        <v>-1.29333E-2</v>
      </c>
      <c r="AJ250" s="22">
        <v>240</v>
      </c>
      <c r="AK250" s="22">
        <v>1.10748</v>
      </c>
      <c r="AL250">
        <f t="shared" si="42"/>
        <v>15.967037037037036</v>
      </c>
      <c r="AM250">
        <f t="shared" si="43"/>
        <v>17.700258907407406</v>
      </c>
      <c r="AP250" s="9"/>
      <c r="AQ250" s="22">
        <v>0.39154099999999997</v>
      </c>
      <c r="AR250" s="22">
        <v>24.562799999999999</v>
      </c>
      <c r="AS250" s="22">
        <v>-1.3821399999999999E-2</v>
      </c>
      <c r="AT250" s="22">
        <v>240</v>
      </c>
      <c r="AU250" s="22">
        <v>0.39090000000000003</v>
      </c>
      <c r="AV250">
        <f t="shared" si="44"/>
        <v>17.063456790123453</v>
      </c>
      <c r="AW250">
        <f t="shared" si="45"/>
        <v>6.6810429350617264</v>
      </c>
      <c r="AX250" s="9"/>
      <c r="AY250" s="22">
        <v>1.1085499999999999</v>
      </c>
      <c r="AZ250" s="22">
        <v>27.979099999999999</v>
      </c>
      <c r="BA250" s="22">
        <v>-1.3003499999999999E-2</v>
      </c>
      <c r="BB250" s="22">
        <v>240</v>
      </c>
      <c r="BC250" s="22">
        <v>1.1077900000000001</v>
      </c>
      <c r="BD250">
        <f t="shared" si="46"/>
        <v>16.0537037037037</v>
      </c>
      <c r="BE250">
        <f t="shared" si="47"/>
        <v>17.796333240740736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0.38650499999999999</v>
      </c>
      <c r="H251" s="22">
        <v>7.4624300000000003</v>
      </c>
      <c r="I251" s="22">
        <v>-1.39252E-2</v>
      </c>
      <c r="J251" s="22">
        <v>241</v>
      </c>
      <c r="K251" s="22">
        <v>0.38586399999999998</v>
      </c>
      <c r="L251">
        <f t="shared" si="36"/>
        <v>17.191604938271606</v>
      </c>
      <c r="M251">
        <f t="shared" si="37"/>
        <v>6.6446412666666665</v>
      </c>
      <c r="N251" s="9"/>
      <c r="O251" s="22">
        <v>1.1135900000000001</v>
      </c>
      <c r="P251" s="22">
        <v>10.8788</v>
      </c>
      <c r="Q251" s="22">
        <v>-1.2970000000000001E-2</v>
      </c>
      <c r="R251" s="22">
        <v>241</v>
      </c>
      <c r="S251" s="22">
        <v>1.1123700000000001</v>
      </c>
      <c r="T251">
        <f t="shared" si="38"/>
        <v>16.012345679012348</v>
      </c>
      <c r="U251">
        <f t="shared" si="39"/>
        <v>17.831188024691361</v>
      </c>
      <c r="X251" s="9"/>
      <c r="Y251" s="22">
        <v>0.38650499999999999</v>
      </c>
      <c r="Z251" s="22">
        <v>15.9786</v>
      </c>
      <c r="AA251" s="22">
        <v>-1.3815300000000001E-2</v>
      </c>
      <c r="AB251" s="22">
        <v>241</v>
      </c>
      <c r="AC251" s="22">
        <v>0.38586399999999998</v>
      </c>
      <c r="AD251">
        <f t="shared" si="40"/>
        <v>17.055925925925926</v>
      </c>
      <c r="AE251">
        <f t="shared" si="41"/>
        <v>6.5922006499999997</v>
      </c>
      <c r="AF251" s="9"/>
      <c r="AG251" s="22">
        <v>1.1135900000000001</v>
      </c>
      <c r="AH251" s="22">
        <v>19.395</v>
      </c>
      <c r="AI251" s="22">
        <v>-1.29181E-2</v>
      </c>
      <c r="AJ251" s="22">
        <v>241</v>
      </c>
      <c r="AK251" s="22">
        <v>1.11206</v>
      </c>
      <c r="AL251">
        <f t="shared" si="42"/>
        <v>15.94827160493827</v>
      </c>
      <c r="AM251">
        <f t="shared" si="43"/>
        <v>17.759835776543209</v>
      </c>
      <c r="AP251" s="9"/>
      <c r="AQ251" s="22">
        <v>0.38650499999999999</v>
      </c>
      <c r="AR251" s="22">
        <v>24.572900000000001</v>
      </c>
      <c r="AS251" s="22">
        <v>-1.38245E-2</v>
      </c>
      <c r="AT251" s="22">
        <v>241</v>
      </c>
      <c r="AU251" s="22">
        <v>0.38586399999999998</v>
      </c>
      <c r="AV251">
        <f t="shared" si="44"/>
        <v>17.067283950617281</v>
      </c>
      <c r="AW251">
        <f t="shared" si="45"/>
        <v>6.5965905833333318</v>
      </c>
      <c r="AX251" s="9"/>
      <c r="AY251" s="22">
        <v>1.1135900000000001</v>
      </c>
      <c r="AZ251" s="22">
        <v>27.9892</v>
      </c>
      <c r="BA251" s="22">
        <v>-1.2997399999999999E-2</v>
      </c>
      <c r="BB251" s="22">
        <v>241</v>
      </c>
      <c r="BC251" s="22">
        <v>1.1123700000000001</v>
      </c>
      <c r="BD251">
        <f t="shared" si="46"/>
        <v>16.04617283950617</v>
      </c>
      <c r="BE251">
        <f t="shared" si="47"/>
        <v>17.868857612345678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0.38146999999999998</v>
      </c>
      <c r="H252" s="22">
        <v>7.4725000000000001</v>
      </c>
      <c r="I252" s="22">
        <v>-1.39221E-2</v>
      </c>
      <c r="J252" s="22">
        <v>242</v>
      </c>
      <c r="K252" s="22">
        <v>0.380859</v>
      </c>
      <c r="L252">
        <f t="shared" si="36"/>
        <v>17.187777777777779</v>
      </c>
      <c r="M252">
        <f t="shared" si="37"/>
        <v>6.5566215888888886</v>
      </c>
      <c r="N252" s="9"/>
      <c r="O252" s="22">
        <v>1.1186199999999999</v>
      </c>
      <c r="P252" s="22">
        <v>10.8889</v>
      </c>
      <c r="Q252" s="22">
        <v>-1.2948599999999999E-2</v>
      </c>
      <c r="R252" s="22">
        <v>242</v>
      </c>
      <c r="S252" s="22">
        <v>1.11755</v>
      </c>
      <c r="T252">
        <f t="shared" si="38"/>
        <v>15.985925925925924</v>
      </c>
      <c r="U252">
        <f t="shared" si="39"/>
        <v>17.882176459259256</v>
      </c>
      <c r="X252" s="9"/>
      <c r="Y252" s="22">
        <v>0.38146999999999998</v>
      </c>
      <c r="Z252" s="22">
        <v>15.9887</v>
      </c>
      <c r="AA252" s="22">
        <v>-1.38184E-2</v>
      </c>
      <c r="AB252" s="22">
        <v>242</v>
      </c>
      <c r="AC252" s="22">
        <v>0.38079800000000003</v>
      </c>
      <c r="AD252">
        <f t="shared" si="40"/>
        <v>17.05975308641975</v>
      </c>
      <c r="AE252">
        <f t="shared" si="41"/>
        <v>6.5077840098765414</v>
      </c>
      <c r="AF252" s="9"/>
      <c r="AG252" s="22">
        <v>1.1186199999999999</v>
      </c>
      <c r="AH252" s="22">
        <v>19.405100000000001</v>
      </c>
      <c r="AI252" s="22">
        <v>-1.2908899999999999E-2</v>
      </c>
      <c r="AJ252" s="22">
        <v>242</v>
      </c>
      <c r="AK252" s="22">
        <v>1.11755</v>
      </c>
      <c r="AL252">
        <f t="shared" si="42"/>
        <v>15.936913580246911</v>
      </c>
      <c r="AM252">
        <f t="shared" si="43"/>
        <v>17.827350269135799</v>
      </c>
      <c r="AP252" s="9"/>
      <c r="AQ252" s="22">
        <v>0.38146999999999998</v>
      </c>
      <c r="AR252" s="22">
        <v>24.582899999999999</v>
      </c>
      <c r="AS252" s="22">
        <v>-1.38306E-2</v>
      </c>
      <c r="AT252" s="22">
        <v>242</v>
      </c>
      <c r="AU252" s="22">
        <v>0.38082899999999997</v>
      </c>
      <c r="AV252">
        <f t="shared" si="44"/>
        <v>17.074814814814815</v>
      </c>
      <c r="AW252">
        <f t="shared" si="45"/>
        <v>6.5135296074074072</v>
      </c>
      <c r="AX252" s="9"/>
      <c r="AY252" s="22">
        <v>1.1186199999999999</v>
      </c>
      <c r="AZ252" s="22">
        <v>27.999300000000002</v>
      </c>
      <c r="BA252" s="22">
        <v>-1.2988299999999999E-2</v>
      </c>
      <c r="BB252" s="22">
        <v>242</v>
      </c>
      <c r="BC252" s="22">
        <v>1.1172500000000001</v>
      </c>
      <c r="BD252">
        <f t="shared" si="46"/>
        <v>16.034938271604936</v>
      </c>
      <c r="BE252">
        <f t="shared" si="47"/>
        <v>17.937002649382713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0.37643399999999999</v>
      </c>
      <c r="H253" s="22">
        <v>7.4825699999999999</v>
      </c>
      <c r="I253" s="22">
        <v>-1.3916E-2</v>
      </c>
      <c r="J253" s="22">
        <v>243</v>
      </c>
      <c r="K253" s="22">
        <v>0.37582399999999999</v>
      </c>
      <c r="L253">
        <f t="shared" si="36"/>
        <v>17.180246913580245</v>
      </c>
      <c r="M253">
        <f t="shared" si="37"/>
        <v>6.4672290666666656</v>
      </c>
      <c r="N253" s="9"/>
      <c r="O253" s="22">
        <v>1.1236600000000001</v>
      </c>
      <c r="P253" s="22">
        <v>10.898899999999999</v>
      </c>
      <c r="Q253" s="22">
        <v>-1.29456E-2</v>
      </c>
      <c r="R253" s="22">
        <v>243</v>
      </c>
      <c r="S253" s="22">
        <v>1.1227400000000001</v>
      </c>
      <c r="T253">
        <f t="shared" si="38"/>
        <v>15.982222222222221</v>
      </c>
      <c r="U253">
        <f t="shared" si="39"/>
        <v>17.958583822222224</v>
      </c>
      <c r="X253" s="9"/>
      <c r="Y253" s="22">
        <v>0.37643399999999999</v>
      </c>
      <c r="Z253" s="22">
        <v>15.998799999999999</v>
      </c>
      <c r="AA253" s="22">
        <v>-1.38184E-2</v>
      </c>
      <c r="AB253" s="22">
        <v>243</v>
      </c>
      <c r="AC253" s="22">
        <v>0.37579299999999999</v>
      </c>
      <c r="AD253">
        <f t="shared" si="40"/>
        <v>17.05975308641975</v>
      </c>
      <c r="AE253">
        <f t="shared" si="41"/>
        <v>6.4218710933333325</v>
      </c>
      <c r="AF253" s="9"/>
      <c r="AG253" s="22">
        <v>1.1236600000000001</v>
      </c>
      <c r="AH253" s="22">
        <v>19.415099999999999</v>
      </c>
      <c r="AI253" s="22">
        <v>-1.2912E-2</v>
      </c>
      <c r="AJ253" s="22">
        <v>243</v>
      </c>
      <c r="AK253" s="22">
        <v>1.1227400000000001</v>
      </c>
      <c r="AL253">
        <f t="shared" si="42"/>
        <v>15.940740740740738</v>
      </c>
      <c r="AM253">
        <f t="shared" si="43"/>
        <v>17.91197274074074</v>
      </c>
      <c r="AP253" s="9"/>
      <c r="AQ253" s="22">
        <v>0.37643399999999999</v>
      </c>
      <c r="AR253" s="22">
        <v>24.593</v>
      </c>
      <c r="AS253" s="22">
        <v>-1.38336E-2</v>
      </c>
      <c r="AT253" s="22">
        <v>243</v>
      </c>
      <c r="AU253" s="22">
        <v>0.375946</v>
      </c>
      <c r="AV253">
        <f t="shared" si="44"/>
        <v>17.078518518518518</v>
      </c>
      <c r="AW253">
        <f t="shared" si="45"/>
        <v>6.4289350399999998</v>
      </c>
      <c r="AX253" s="9"/>
      <c r="AY253" s="22">
        <v>1.1236600000000001</v>
      </c>
      <c r="AZ253" s="22">
        <v>28.0093</v>
      </c>
      <c r="BA253" s="22">
        <v>-1.29669E-2</v>
      </c>
      <c r="BB253" s="22">
        <v>243</v>
      </c>
      <c r="BC253" s="22">
        <v>1.1227400000000001</v>
      </c>
      <c r="BD253">
        <f t="shared" si="46"/>
        <v>16.008518518518514</v>
      </c>
      <c r="BE253">
        <f t="shared" si="47"/>
        <v>17.988131918518516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0.37139899999999998</v>
      </c>
      <c r="H254" s="22">
        <v>7.4926500000000003</v>
      </c>
      <c r="I254" s="22">
        <v>-1.39069E-2</v>
      </c>
      <c r="J254" s="22">
        <v>244</v>
      </c>
      <c r="K254" s="22">
        <v>0.37075799999999998</v>
      </c>
      <c r="L254">
        <f t="shared" si="36"/>
        <v>17.169012345679011</v>
      </c>
      <c r="M254">
        <f t="shared" si="37"/>
        <v>6.3765540161728387</v>
      </c>
      <c r="N254" s="9"/>
      <c r="O254" s="22">
        <v>1.12869</v>
      </c>
      <c r="P254" s="22">
        <v>10.909000000000001</v>
      </c>
      <c r="Q254" s="22">
        <v>-1.2942499999999999E-2</v>
      </c>
      <c r="R254" s="22">
        <v>244</v>
      </c>
      <c r="S254" s="22">
        <v>1.1279300000000001</v>
      </c>
      <c r="T254">
        <f t="shared" si="38"/>
        <v>15.978395061728392</v>
      </c>
      <c r="U254">
        <f t="shared" si="39"/>
        <v>18.034654722222218</v>
      </c>
      <c r="X254" s="9"/>
      <c r="Y254" s="22">
        <v>0.37139899999999998</v>
      </c>
      <c r="Z254" s="22">
        <v>16.008800000000001</v>
      </c>
      <c r="AA254" s="22">
        <v>-1.3821399999999999E-2</v>
      </c>
      <c r="AB254" s="22">
        <v>244</v>
      </c>
      <c r="AC254" s="22">
        <v>0.37075799999999998</v>
      </c>
      <c r="AD254">
        <f t="shared" si="40"/>
        <v>17.063456790123453</v>
      </c>
      <c r="AE254">
        <f t="shared" si="41"/>
        <v>6.3373507883950602</v>
      </c>
      <c r="AF254" s="9"/>
      <c r="AG254" s="22">
        <v>1.12869</v>
      </c>
      <c r="AH254" s="22">
        <v>19.4252</v>
      </c>
      <c r="AI254" s="22">
        <v>-1.2908899999999999E-2</v>
      </c>
      <c r="AJ254" s="22">
        <v>244</v>
      </c>
      <c r="AK254" s="22">
        <v>1.1276200000000001</v>
      </c>
      <c r="AL254">
        <f t="shared" si="42"/>
        <v>15.936913580246911</v>
      </c>
      <c r="AM254">
        <f t="shared" si="43"/>
        <v>17.987834988888885</v>
      </c>
      <c r="AP254" s="9"/>
      <c r="AQ254" s="22">
        <v>0.37139899999999998</v>
      </c>
      <c r="AR254" s="22">
        <v>24.603100000000001</v>
      </c>
      <c r="AS254" s="22">
        <v>-1.38275E-2</v>
      </c>
      <c r="AT254" s="22">
        <v>244</v>
      </c>
      <c r="AU254" s="22">
        <v>0.37091099999999999</v>
      </c>
      <c r="AV254">
        <f t="shared" si="44"/>
        <v>17.070987654320987</v>
      </c>
      <c r="AW254">
        <f t="shared" si="45"/>
        <v>6.3401477438271598</v>
      </c>
      <c r="AX254" s="9"/>
      <c r="AY254" s="22">
        <v>1.12869</v>
      </c>
      <c r="AZ254" s="22">
        <v>28.019400000000001</v>
      </c>
      <c r="BA254" s="22">
        <v>-1.2948599999999999E-2</v>
      </c>
      <c r="BB254" s="22">
        <v>244</v>
      </c>
      <c r="BC254" s="22">
        <v>1.1279300000000001</v>
      </c>
      <c r="BD254">
        <f t="shared" si="46"/>
        <v>15.985925925925924</v>
      </c>
      <c r="BE254">
        <f t="shared" si="47"/>
        <v>18.043154733333331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0.36636400000000002</v>
      </c>
      <c r="H255" s="22">
        <v>7.5027200000000001</v>
      </c>
      <c r="I255" s="22">
        <v>-1.39069E-2</v>
      </c>
      <c r="J255" s="22">
        <v>245</v>
      </c>
      <c r="K255" s="22">
        <v>0.36572300000000002</v>
      </c>
      <c r="L255">
        <f t="shared" si="36"/>
        <v>17.169012345679011</v>
      </c>
      <c r="M255">
        <f t="shared" si="37"/>
        <v>6.2901080390123454</v>
      </c>
      <c r="N255" s="9"/>
      <c r="O255" s="22">
        <v>1.1337299999999999</v>
      </c>
      <c r="P255" s="22">
        <v>10.9191</v>
      </c>
      <c r="Q255" s="22">
        <v>-1.29303E-2</v>
      </c>
      <c r="R255" s="22">
        <v>245</v>
      </c>
      <c r="S255" s="22">
        <v>1.1322000000000001</v>
      </c>
      <c r="T255">
        <f t="shared" si="38"/>
        <v>15.963333333333333</v>
      </c>
      <c r="U255">
        <f t="shared" si="39"/>
        <v>18.098109899999997</v>
      </c>
      <c r="X255" s="9"/>
      <c r="Y255" s="22">
        <v>0.36636400000000002</v>
      </c>
      <c r="Z255" s="22">
        <v>16.018899999999999</v>
      </c>
      <c r="AA255" s="22">
        <v>-1.38245E-2</v>
      </c>
      <c r="AB255" s="22">
        <v>245</v>
      </c>
      <c r="AC255" s="22">
        <v>0.365784</v>
      </c>
      <c r="AD255">
        <f t="shared" si="40"/>
        <v>17.067283950617281</v>
      </c>
      <c r="AE255">
        <f t="shared" si="41"/>
        <v>6.2528384172839502</v>
      </c>
      <c r="AF255" s="9"/>
      <c r="AG255" s="22">
        <v>1.1337299999999999</v>
      </c>
      <c r="AH255" s="22">
        <v>19.435300000000002</v>
      </c>
      <c r="AI255" s="22">
        <v>-1.2887600000000001E-2</v>
      </c>
      <c r="AJ255" s="22">
        <v>245</v>
      </c>
      <c r="AK255" s="22">
        <v>1.1325099999999999</v>
      </c>
      <c r="AL255">
        <f t="shared" si="42"/>
        <v>15.910617283950618</v>
      </c>
      <c r="AM255">
        <f t="shared" si="43"/>
        <v>18.038344133333332</v>
      </c>
      <c r="AP255" s="9"/>
      <c r="AQ255" s="22">
        <v>0.36636400000000002</v>
      </c>
      <c r="AR255" s="22">
        <v>24.613099999999999</v>
      </c>
      <c r="AS255" s="22">
        <v>-1.38336E-2</v>
      </c>
      <c r="AT255" s="22">
        <v>245</v>
      </c>
      <c r="AU255" s="22">
        <v>0.36572300000000002</v>
      </c>
      <c r="AV255">
        <f t="shared" si="44"/>
        <v>17.078518518518518</v>
      </c>
      <c r="AW255">
        <f t="shared" si="45"/>
        <v>6.2569543585185183</v>
      </c>
      <c r="AX255" s="9"/>
      <c r="AY255" s="22">
        <v>1.1337299999999999</v>
      </c>
      <c r="AZ255" s="22">
        <v>28.029499999999999</v>
      </c>
      <c r="BA255" s="22">
        <v>-1.2942499999999999E-2</v>
      </c>
      <c r="BB255" s="22">
        <v>245</v>
      </c>
      <c r="BC255" s="22">
        <v>1.1328100000000001</v>
      </c>
      <c r="BD255">
        <f t="shared" si="46"/>
        <v>15.978395061728392</v>
      </c>
      <c r="BE255">
        <f t="shared" si="47"/>
        <v>18.115185833333328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0.36132799999999998</v>
      </c>
      <c r="H256" s="22">
        <v>7.5127899999999999</v>
      </c>
      <c r="I256" s="22">
        <v>-1.3909899999999999E-2</v>
      </c>
      <c r="J256" s="22">
        <v>246</v>
      </c>
      <c r="K256" s="22">
        <v>0.360626</v>
      </c>
      <c r="L256">
        <f t="shared" si="36"/>
        <v>17.172716049382714</v>
      </c>
      <c r="M256">
        <f t="shared" si="37"/>
        <v>6.204983144691357</v>
      </c>
      <c r="N256" s="9"/>
      <c r="O256" s="22">
        <v>1.13876</v>
      </c>
      <c r="P256" s="22">
        <v>10.9291</v>
      </c>
      <c r="Q256" s="22">
        <v>-1.29242E-2</v>
      </c>
      <c r="R256" s="22">
        <v>246</v>
      </c>
      <c r="S256" s="22">
        <v>1.1376999999999999</v>
      </c>
      <c r="T256">
        <f t="shared" si="38"/>
        <v>15.955802469135801</v>
      </c>
      <c r="U256">
        <f t="shared" si="39"/>
        <v>18.169829619753084</v>
      </c>
      <c r="X256" s="9"/>
      <c r="Y256" s="22">
        <v>0.36132799999999998</v>
      </c>
      <c r="Z256" s="22">
        <v>16.029</v>
      </c>
      <c r="AA256" s="22">
        <v>-1.38245E-2</v>
      </c>
      <c r="AB256" s="22">
        <v>246</v>
      </c>
      <c r="AC256" s="22">
        <v>0.36059600000000003</v>
      </c>
      <c r="AD256">
        <f t="shared" si="40"/>
        <v>17.067283950617281</v>
      </c>
      <c r="AE256">
        <f t="shared" si="41"/>
        <v>6.1668875753086407</v>
      </c>
      <c r="AF256" s="9"/>
      <c r="AG256" s="22">
        <v>1.13876</v>
      </c>
      <c r="AH256" s="22">
        <v>19.4453</v>
      </c>
      <c r="AI256" s="22">
        <v>-1.2860099999999999E-2</v>
      </c>
      <c r="AJ256" s="22">
        <v>246</v>
      </c>
      <c r="AK256" s="22">
        <v>1.1386099999999999</v>
      </c>
      <c r="AL256">
        <f t="shared" si="42"/>
        <v>15.876666666666663</v>
      </c>
      <c r="AM256">
        <f t="shared" si="43"/>
        <v>18.07971293333333</v>
      </c>
      <c r="AP256" s="9"/>
      <c r="AQ256" s="22">
        <v>0.36132799999999998</v>
      </c>
      <c r="AR256" s="22">
        <v>24.623200000000001</v>
      </c>
      <c r="AS256" s="22">
        <v>-1.38336E-2</v>
      </c>
      <c r="AT256" s="22">
        <v>246</v>
      </c>
      <c r="AU256" s="22">
        <v>0.36065700000000001</v>
      </c>
      <c r="AV256">
        <f t="shared" si="44"/>
        <v>17.078518518518518</v>
      </c>
      <c r="AW256">
        <f t="shared" si="45"/>
        <v>6.1709469392592586</v>
      </c>
      <c r="AX256" s="9"/>
      <c r="AY256" s="22">
        <v>1.13876</v>
      </c>
      <c r="AZ256" s="22">
        <v>28.0396</v>
      </c>
      <c r="BA256" s="22">
        <v>-1.2936400000000001E-2</v>
      </c>
      <c r="BB256" s="22">
        <v>246</v>
      </c>
      <c r="BC256" s="22">
        <v>1.1376999999999999</v>
      </c>
      <c r="BD256">
        <f t="shared" si="46"/>
        <v>15.970864197530865</v>
      </c>
      <c r="BE256">
        <f t="shared" si="47"/>
        <v>18.186981313580247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0.35629300000000003</v>
      </c>
      <c r="H257" s="22">
        <v>7.5228599999999997</v>
      </c>
      <c r="I257" s="22">
        <v>-1.3913E-2</v>
      </c>
      <c r="J257" s="22">
        <v>247</v>
      </c>
      <c r="K257" s="22">
        <v>0.355682</v>
      </c>
      <c r="L257">
        <f t="shared" si="36"/>
        <v>17.176543209876542</v>
      </c>
      <c r="M257">
        <f t="shared" si="37"/>
        <v>6.119882109876543</v>
      </c>
      <c r="N257" s="9"/>
      <c r="O257" s="22">
        <v>1.1437999999999999</v>
      </c>
      <c r="P257" s="22">
        <v>10.9392</v>
      </c>
      <c r="Q257" s="22">
        <v>-1.29059E-2</v>
      </c>
      <c r="R257" s="22">
        <v>247</v>
      </c>
      <c r="S257" s="22">
        <v>1.1428799999999999</v>
      </c>
      <c r="T257">
        <f t="shared" si="38"/>
        <v>15.933209876543209</v>
      </c>
      <c r="U257">
        <f t="shared" si="39"/>
        <v>18.224405456790123</v>
      </c>
      <c r="X257" s="9"/>
      <c r="Y257" s="22">
        <v>0.35629300000000003</v>
      </c>
      <c r="Z257" s="22">
        <v>16.039100000000001</v>
      </c>
      <c r="AA257" s="22">
        <v>-1.38367E-2</v>
      </c>
      <c r="AB257" s="22">
        <v>247</v>
      </c>
      <c r="AC257" s="22">
        <v>0.35565200000000002</v>
      </c>
      <c r="AD257">
        <f t="shared" si="40"/>
        <v>17.082345679012345</v>
      </c>
      <c r="AE257">
        <f t="shared" si="41"/>
        <v>6.0863201890123459</v>
      </c>
      <c r="AF257" s="9"/>
      <c r="AG257" s="22">
        <v>1.1437999999999999</v>
      </c>
      <c r="AH257" s="22">
        <v>19.455400000000001</v>
      </c>
      <c r="AI257" s="22">
        <v>-1.2847900000000001E-2</v>
      </c>
      <c r="AJ257" s="22">
        <v>247</v>
      </c>
      <c r="AK257" s="22">
        <v>1.1428799999999999</v>
      </c>
      <c r="AL257">
        <f t="shared" si="42"/>
        <v>15.861604938271604</v>
      </c>
      <c r="AM257">
        <f t="shared" si="43"/>
        <v>18.142503728395059</v>
      </c>
      <c r="AP257" s="9"/>
      <c r="AQ257" s="22">
        <v>0.35629300000000003</v>
      </c>
      <c r="AR257" s="22">
        <v>24.633299999999998</v>
      </c>
      <c r="AS257" s="22">
        <v>-1.38275E-2</v>
      </c>
      <c r="AT257" s="22">
        <v>247</v>
      </c>
      <c r="AU257" s="22">
        <v>0.355682</v>
      </c>
      <c r="AV257">
        <f t="shared" si="44"/>
        <v>17.070987654320987</v>
      </c>
      <c r="AW257">
        <f t="shared" si="45"/>
        <v>6.0822734043209881</v>
      </c>
      <c r="AX257" s="9"/>
      <c r="AY257" s="22">
        <v>1.1437999999999999</v>
      </c>
      <c r="AZ257" s="22">
        <v>28.049600000000002</v>
      </c>
      <c r="BA257" s="22">
        <v>-1.29303E-2</v>
      </c>
      <c r="BB257" s="22">
        <v>247</v>
      </c>
      <c r="BC257" s="22">
        <v>1.1422699999999999</v>
      </c>
      <c r="BD257">
        <f t="shared" si="46"/>
        <v>15.963333333333333</v>
      </c>
      <c r="BE257">
        <f t="shared" si="47"/>
        <v>18.258860666666664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0.35125699999999999</v>
      </c>
      <c r="H258" s="22">
        <v>7.5329300000000003</v>
      </c>
      <c r="I258" s="22">
        <v>-1.3913E-2</v>
      </c>
      <c r="J258" s="22">
        <v>248</v>
      </c>
      <c r="K258" s="22">
        <v>0.35052499999999998</v>
      </c>
      <c r="L258">
        <f t="shared" si="36"/>
        <v>17.176543209876542</v>
      </c>
      <c r="M258">
        <f t="shared" si="37"/>
        <v>6.033381038271604</v>
      </c>
      <c r="N258" s="9"/>
      <c r="O258" s="22">
        <v>1.14883</v>
      </c>
      <c r="P258" s="22">
        <v>10.949299999999999</v>
      </c>
      <c r="Q258" s="22">
        <v>-1.2887600000000001E-2</v>
      </c>
      <c r="R258" s="22">
        <v>248</v>
      </c>
      <c r="S258" s="22">
        <v>1.1474599999999999</v>
      </c>
      <c r="T258">
        <f t="shared" si="38"/>
        <v>15.910617283950618</v>
      </c>
      <c r="U258">
        <f t="shared" si="39"/>
        <v>18.278594454320988</v>
      </c>
      <c r="X258" s="9"/>
      <c r="Y258" s="22">
        <v>0.35125699999999999</v>
      </c>
      <c r="Z258" s="22">
        <v>16.049099999999999</v>
      </c>
      <c r="AA258" s="22">
        <v>-1.38397E-2</v>
      </c>
      <c r="AB258" s="22">
        <v>248</v>
      </c>
      <c r="AC258" s="22">
        <v>0.35058600000000001</v>
      </c>
      <c r="AD258">
        <f t="shared" si="40"/>
        <v>17.086049382716048</v>
      </c>
      <c r="AE258">
        <f t="shared" si="41"/>
        <v>6.001594448024691</v>
      </c>
      <c r="AF258" s="9"/>
      <c r="AG258" s="22">
        <v>1.14883</v>
      </c>
      <c r="AH258" s="22">
        <v>19.465499999999999</v>
      </c>
      <c r="AI258" s="22">
        <v>-1.28326E-2</v>
      </c>
      <c r="AJ258" s="22">
        <v>248</v>
      </c>
      <c r="AK258" s="22">
        <v>1.1474599999999999</v>
      </c>
      <c r="AL258">
        <f t="shared" si="42"/>
        <v>15.842716049382712</v>
      </c>
      <c r="AM258">
        <f t="shared" si="43"/>
        <v>18.200587479012341</v>
      </c>
      <c r="AP258" s="9"/>
      <c r="AQ258" s="22">
        <v>0.35125699999999999</v>
      </c>
      <c r="AR258" s="22">
        <v>24.6434</v>
      </c>
      <c r="AS258" s="22">
        <v>-1.38245E-2</v>
      </c>
      <c r="AT258" s="22">
        <v>248</v>
      </c>
      <c r="AU258" s="22">
        <v>0.35058600000000001</v>
      </c>
      <c r="AV258">
        <f t="shared" si="44"/>
        <v>17.067283950617281</v>
      </c>
      <c r="AW258">
        <f t="shared" si="45"/>
        <v>5.9950029586419742</v>
      </c>
      <c r="AX258" s="9"/>
      <c r="AY258" s="22">
        <v>1.14883</v>
      </c>
      <c r="AZ258" s="22">
        <v>28.059699999999999</v>
      </c>
      <c r="BA258" s="22">
        <v>-1.29272E-2</v>
      </c>
      <c r="BB258" s="22">
        <v>248</v>
      </c>
      <c r="BC258" s="22">
        <v>1.14777</v>
      </c>
      <c r="BD258">
        <f t="shared" si="46"/>
        <v>15.959506172839506</v>
      </c>
      <c r="BE258">
        <f t="shared" si="47"/>
        <v>18.334759476543208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0.34622199999999997</v>
      </c>
      <c r="H259" s="22">
        <v>7.5430000000000001</v>
      </c>
      <c r="I259" s="22">
        <v>-1.39069E-2</v>
      </c>
      <c r="J259" s="22">
        <v>249</v>
      </c>
      <c r="K259" s="22">
        <v>0.345551</v>
      </c>
      <c r="L259">
        <f t="shared" si="36"/>
        <v>17.169012345679011</v>
      </c>
      <c r="M259">
        <f t="shared" si="37"/>
        <v>5.9442897923456783</v>
      </c>
      <c r="N259" s="9"/>
      <c r="O259" s="22">
        <v>1.15387</v>
      </c>
      <c r="P259" s="22">
        <v>10.959300000000001</v>
      </c>
      <c r="Q259" s="22">
        <v>-1.28723E-2</v>
      </c>
      <c r="R259" s="22">
        <v>249</v>
      </c>
      <c r="S259" s="22">
        <v>1.15265</v>
      </c>
      <c r="T259">
        <f t="shared" si="38"/>
        <v>15.891728395061728</v>
      </c>
      <c r="U259">
        <f t="shared" si="39"/>
        <v>18.336988643209875</v>
      </c>
      <c r="X259" s="9"/>
      <c r="Y259" s="22">
        <v>0.34622199999999997</v>
      </c>
      <c r="Z259" s="22">
        <v>16.059200000000001</v>
      </c>
      <c r="AA259" s="22">
        <v>-1.38458E-2</v>
      </c>
      <c r="AB259" s="22">
        <v>249</v>
      </c>
      <c r="AC259" s="22">
        <v>0.345551</v>
      </c>
      <c r="AD259">
        <f t="shared" si="40"/>
        <v>17.093580246913579</v>
      </c>
      <c r="AE259">
        <f t="shared" si="41"/>
        <v>5.9181735402469124</v>
      </c>
      <c r="AF259" s="9"/>
      <c r="AG259" s="22">
        <v>1.15387</v>
      </c>
      <c r="AH259" s="22">
        <v>19.4756</v>
      </c>
      <c r="AI259" s="22">
        <v>-1.2814300000000001E-2</v>
      </c>
      <c r="AJ259" s="22">
        <v>249</v>
      </c>
      <c r="AK259" s="22">
        <v>1.1529499999999999</v>
      </c>
      <c r="AL259">
        <f t="shared" si="42"/>
        <v>15.820123456790125</v>
      </c>
      <c r="AM259">
        <f t="shared" si="43"/>
        <v>18.254365853086419</v>
      </c>
      <c r="AP259" s="9"/>
      <c r="AQ259" s="22">
        <v>0.34622199999999997</v>
      </c>
      <c r="AR259" s="22">
        <v>24.653400000000001</v>
      </c>
      <c r="AS259" s="22">
        <v>-1.38275E-2</v>
      </c>
      <c r="AT259" s="22">
        <v>249</v>
      </c>
      <c r="AU259" s="22">
        <v>0.34567300000000001</v>
      </c>
      <c r="AV259">
        <f t="shared" si="44"/>
        <v>17.070987654320987</v>
      </c>
      <c r="AW259">
        <f t="shared" si="45"/>
        <v>5.9103514876543208</v>
      </c>
      <c r="AX259" s="9"/>
      <c r="AY259" s="22">
        <v>1.15387</v>
      </c>
      <c r="AZ259" s="22">
        <v>28.069800000000001</v>
      </c>
      <c r="BA259" s="22">
        <v>-1.29181E-2</v>
      </c>
      <c r="BB259" s="22">
        <v>249</v>
      </c>
      <c r="BC259" s="22">
        <v>1.1529499999999999</v>
      </c>
      <c r="BD259">
        <f t="shared" si="46"/>
        <v>15.94827160493827</v>
      </c>
      <c r="BE259">
        <f t="shared" si="47"/>
        <v>18.40223215679012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0.34118700000000002</v>
      </c>
      <c r="H260" s="22">
        <v>7.55307</v>
      </c>
      <c r="I260" s="22">
        <v>-1.3903799999999999E-2</v>
      </c>
      <c r="J260" s="22">
        <v>250</v>
      </c>
      <c r="K260" s="22">
        <v>0.34051500000000001</v>
      </c>
      <c r="L260">
        <f t="shared" si="36"/>
        <v>17.165185185185184</v>
      </c>
      <c r="M260">
        <f t="shared" si="37"/>
        <v>5.8565380377777778</v>
      </c>
      <c r="N260" s="9"/>
      <c r="O260" s="22">
        <v>1.1589100000000001</v>
      </c>
      <c r="P260" s="22">
        <v>10.9694</v>
      </c>
      <c r="Q260" s="22">
        <v>-1.28662E-2</v>
      </c>
      <c r="R260" s="22">
        <v>250</v>
      </c>
      <c r="S260" s="22">
        <v>1.1575299999999999</v>
      </c>
      <c r="T260">
        <f t="shared" si="38"/>
        <v>15.884197530864196</v>
      </c>
      <c r="U260">
        <f t="shared" si="39"/>
        <v>18.408355360493825</v>
      </c>
      <c r="X260" s="9"/>
      <c r="Y260" s="22">
        <v>0.34118700000000002</v>
      </c>
      <c r="Z260" s="22">
        <v>16.069299999999998</v>
      </c>
      <c r="AA260" s="22">
        <v>-1.3848900000000001E-2</v>
      </c>
      <c r="AB260" s="22">
        <v>250</v>
      </c>
      <c r="AC260" s="22">
        <v>0.34054600000000002</v>
      </c>
      <c r="AD260">
        <f t="shared" si="40"/>
        <v>17.09740740740741</v>
      </c>
      <c r="AE260">
        <f t="shared" si="41"/>
        <v>5.8334131411111123</v>
      </c>
      <c r="AF260" s="9"/>
      <c r="AG260" s="22">
        <v>1.1589100000000001</v>
      </c>
      <c r="AH260" s="22">
        <v>19.485600000000002</v>
      </c>
      <c r="AI260" s="22">
        <v>-1.2799100000000001E-2</v>
      </c>
      <c r="AJ260" s="22">
        <v>250</v>
      </c>
      <c r="AK260" s="22">
        <v>1.15784</v>
      </c>
      <c r="AL260">
        <f t="shared" si="42"/>
        <v>15.801358024691359</v>
      </c>
      <c r="AM260">
        <f t="shared" si="43"/>
        <v>18.312351828395066</v>
      </c>
      <c r="AP260" s="9"/>
      <c r="AQ260" s="22">
        <v>0.34118700000000002</v>
      </c>
      <c r="AR260" s="22">
        <v>24.663499999999999</v>
      </c>
      <c r="AS260" s="22">
        <v>-1.38367E-2</v>
      </c>
      <c r="AT260" s="22">
        <v>250</v>
      </c>
      <c r="AU260" s="22">
        <v>0.34057599999999999</v>
      </c>
      <c r="AV260">
        <f t="shared" si="44"/>
        <v>17.082345679012345</v>
      </c>
      <c r="AW260">
        <f t="shared" si="45"/>
        <v>5.8282742751851853</v>
      </c>
      <c r="AX260" s="9"/>
      <c r="AY260" s="22">
        <v>1.1589100000000001</v>
      </c>
      <c r="AZ260" s="22">
        <v>28.079799999999999</v>
      </c>
      <c r="BA260" s="22">
        <v>-1.2908899999999999E-2</v>
      </c>
      <c r="BB260" s="22">
        <v>250</v>
      </c>
      <c r="BC260" s="22">
        <v>1.1581399999999999</v>
      </c>
      <c r="BD260">
        <f t="shared" si="46"/>
        <v>15.936913580246911</v>
      </c>
      <c r="BE260">
        <f t="shared" si="47"/>
        <v>18.469448517283951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0.33615099999999998</v>
      </c>
      <c r="H261" s="22">
        <v>7.5631399999999998</v>
      </c>
      <c r="I261" s="22">
        <v>-1.3897700000000001E-2</v>
      </c>
      <c r="J261" s="22">
        <v>251</v>
      </c>
      <c r="K261" s="22">
        <v>0.33550999999999997</v>
      </c>
      <c r="L261">
        <f t="shared" si="36"/>
        <v>17.157654320987653</v>
      </c>
      <c r="M261">
        <f t="shared" si="37"/>
        <v>5.7675626576543202</v>
      </c>
      <c r="N261" s="9"/>
      <c r="O261" s="22">
        <v>1.16394</v>
      </c>
      <c r="P261" s="22">
        <v>10.9795</v>
      </c>
      <c r="Q261" s="22">
        <v>-1.2851E-2</v>
      </c>
      <c r="R261" s="22">
        <v>251</v>
      </c>
      <c r="S261" s="22">
        <v>1.16211</v>
      </c>
      <c r="T261">
        <f t="shared" si="38"/>
        <v>15.865432098765432</v>
      </c>
      <c r="U261">
        <f t="shared" si="39"/>
        <v>18.466411037037037</v>
      </c>
      <c r="X261" s="9"/>
      <c r="Y261" s="22">
        <v>0.33615099999999998</v>
      </c>
      <c r="Z261" s="22">
        <v>16.0793</v>
      </c>
      <c r="AA261" s="22">
        <v>-1.38519E-2</v>
      </c>
      <c r="AB261" s="22">
        <v>251</v>
      </c>
      <c r="AC261" s="22">
        <v>0.33550999999999997</v>
      </c>
      <c r="AD261">
        <f t="shared" si="40"/>
        <v>17.101111111111113</v>
      </c>
      <c r="AE261">
        <f t="shared" si="41"/>
        <v>5.7485556011111116</v>
      </c>
      <c r="AF261" s="9"/>
      <c r="AG261" s="22">
        <v>1.16394</v>
      </c>
      <c r="AH261" s="22">
        <v>19.495699999999999</v>
      </c>
      <c r="AI261" s="22">
        <v>-1.2765500000000001E-2</v>
      </c>
      <c r="AJ261" s="22">
        <v>251</v>
      </c>
      <c r="AK261" s="22">
        <v>1.1630199999999999</v>
      </c>
      <c r="AL261">
        <f t="shared" si="42"/>
        <v>15.759876543209876</v>
      </c>
      <c r="AM261">
        <f t="shared" si="43"/>
        <v>18.343550703703702</v>
      </c>
      <c r="AP261" s="9"/>
      <c r="AQ261" s="22">
        <v>0.33615099999999998</v>
      </c>
      <c r="AR261" s="22">
        <v>24.6736</v>
      </c>
      <c r="AS261" s="22">
        <v>-1.3842800000000001E-2</v>
      </c>
      <c r="AT261" s="22">
        <v>251</v>
      </c>
      <c r="AU261" s="22">
        <v>0.33548</v>
      </c>
      <c r="AV261">
        <f t="shared" si="44"/>
        <v>17.089876543209876</v>
      </c>
      <c r="AW261">
        <f t="shared" si="45"/>
        <v>5.7447790898765421</v>
      </c>
      <c r="AX261" s="9"/>
      <c r="AY261" s="22">
        <v>1.16394</v>
      </c>
      <c r="AZ261" s="22">
        <v>28.0899</v>
      </c>
      <c r="BA261" s="22">
        <v>-1.2881500000000001E-2</v>
      </c>
      <c r="BB261" s="22">
        <v>251</v>
      </c>
      <c r="BC261" s="22">
        <v>1.16333</v>
      </c>
      <c r="BD261">
        <f t="shared" si="46"/>
        <v>15.903086419753087</v>
      </c>
      <c r="BE261">
        <f t="shared" si="47"/>
        <v>18.510238407407407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0.33111600000000002</v>
      </c>
      <c r="H262" s="22">
        <v>7.5732100000000004</v>
      </c>
      <c r="I262" s="22">
        <v>-1.39008E-2</v>
      </c>
      <c r="J262" s="22">
        <v>252</v>
      </c>
      <c r="K262" s="22">
        <v>0.33047500000000002</v>
      </c>
      <c r="L262">
        <f t="shared" si="36"/>
        <v>17.161481481481481</v>
      </c>
      <c r="M262">
        <f t="shared" si="37"/>
        <v>5.6824411022222225</v>
      </c>
      <c r="N262" s="9"/>
      <c r="O262" s="22">
        <v>1.1689799999999999</v>
      </c>
      <c r="P262" s="22">
        <v>10.989599999999999</v>
      </c>
      <c r="Q262" s="22">
        <v>-1.28357E-2</v>
      </c>
      <c r="R262" s="22">
        <v>252</v>
      </c>
      <c r="S262" s="22">
        <v>1.1676</v>
      </c>
      <c r="T262">
        <f t="shared" si="38"/>
        <v>15.846543209876542</v>
      </c>
      <c r="U262">
        <f t="shared" si="39"/>
        <v>18.524292081481477</v>
      </c>
      <c r="X262" s="9"/>
      <c r="Y262" s="22">
        <v>0.33111600000000002</v>
      </c>
      <c r="Z262" s="22">
        <v>16.089400000000001</v>
      </c>
      <c r="AA262" s="22">
        <v>-1.38397E-2</v>
      </c>
      <c r="AB262" s="22">
        <v>252</v>
      </c>
      <c r="AC262" s="22">
        <v>0.33050499999999999</v>
      </c>
      <c r="AD262">
        <f t="shared" si="40"/>
        <v>17.086049382716048</v>
      </c>
      <c r="AE262">
        <f t="shared" si="41"/>
        <v>5.657464327407407</v>
      </c>
      <c r="AF262" s="9"/>
      <c r="AG262" s="22">
        <v>1.1689799999999999</v>
      </c>
      <c r="AH262" s="22">
        <v>19.505800000000001</v>
      </c>
      <c r="AI262" s="22">
        <v>-1.2737999999999999E-2</v>
      </c>
      <c r="AJ262" s="22">
        <v>252</v>
      </c>
      <c r="AK262" s="22">
        <v>1.16821</v>
      </c>
      <c r="AL262">
        <f t="shared" si="42"/>
        <v>15.725925925925925</v>
      </c>
      <c r="AM262">
        <f t="shared" si="43"/>
        <v>18.383292888888885</v>
      </c>
      <c r="AP262" s="9"/>
      <c r="AQ262" s="22">
        <v>0.33111600000000002</v>
      </c>
      <c r="AR262" s="22">
        <v>24.683599999999998</v>
      </c>
      <c r="AS262" s="22">
        <v>-1.3858000000000001E-2</v>
      </c>
      <c r="AT262" s="22">
        <v>252</v>
      </c>
      <c r="AU262" s="22">
        <v>0.33041399999999999</v>
      </c>
      <c r="AV262">
        <f t="shared" si="44"/>
        <v>17.10864197530864</v>
      </c>
      <c r="AW262">
        <f t="shared" si="45"/>
        <v>5.6649450962962957</v>
      </c>
      <c r="AX262" s="9"/>
      <c r="AY262" s="22">
        <v>1.1689799999999999</v>
      </c>
      <c r="AZ262" s="22">
        <v>28.1</v>
      </c>
      <c r="BA262" s="22">
        <v>-1.28632E-2</v>
      </c>
      <c r="BB262" s="22">
        <v>252</v>
      </c>
      <c r="BC262" s="22">
        <v>1.16791</v>
      </c>
      <c r="BD262">
        <f t="shared" si="46"/>
        <v>15.880493827160493</v>
      </c>
      <c r="BE262">
        <f t="shared" si="47"/>
        <v>18.563979674074073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0.32607999999999998</v>
      </c>
      <c r="H263" s="22">
        <v>7.5832800000000002</v>
      </c>
      <c r="I263" s="22">
        <v>-1.3894699999999999E-2</v>
      </c>
      <c r="J263" s="22">
        <v>253</v>
      </c>
      <c r="K263" s="22">
        <v>0.325409</v>
      </c>
      <c r="L263">
        <f t="shared" si="36"/>
        <v>17.153950617283947</v>
      </c>
      <c r="M263">
        <f t="shared" si="37"/>
        <v>5.5935602172839491</v>
      </c>
      <c r="N263" s="9"/>
      <c r="O263" s="22">
        <v>1.17401</v>
      </c>
      <c r="P263" s="22">
        <v>10.999599999999999</v>
      </c>
      <c r="Q263" s="22">
        <v>-1.28174E-2</v>
      </c>
      <c r="R263" s="22">
        <v>253</v>
      </c>
      <c r="S263" s="22">
        <v>1.17279</v>
      </c>
      <c r="T263">
        <f t="shared" si="38"/>
        <v>15.82395061728395</v>
      </c>
      <c r="U263">
        <f t="shared" si="39"/>
        <v>18.577476264197529</v>
      </c>
      <c r="X263" s="9"/>
      <c r="Y263" s="22">
        <v>0.32607999999999998</v>
      </c>
      <c r="Z263" s="22">
        <v>16.099499999999999</v>
      </c>
      <c r="AA263" s="22">
        <v>-1.38519E-2</v>
      </c>
      <c r="AB263" s="22">
        <v>253</v>
      </c>
      <c r="AC263" s="22">
        <v>0.32546999999999998</v>
      </c>
      <c r="AD263">
        <f t="shared" si="40"/>
        <v>17.101111111111113</v>
      </c>
      <c r="AE263">
        <f t="shared" si="41"/>
        <v>5.5763303111111115</v>
      </c>
      <c r="AF263" s="9"/>
      <c r="AG263" s="22">
        <v>1.17401</v>
      </c>
      <c r="AH263" s="22">
        <v>19.515799999999999</v>
      </c>
      <c r="AI263" s="22">
        <v>-1.2716699999999999E-2</v>
      </c>
      <c r="AJ263" s="22">
        <v>253</v>
      </c>
      <c r="AK263" s="22">
        <v>1.17279</v>
      </c>
      <c r="AL263">
        <f t="shared" si="42"/>
        <v>15.699629629629626</v>
      </c>
      <c r="AM263">
        <f t="shared" si="43"/>
        <v>18.431522181481476</v>
      </c>
      <c r="AP263" s="9"/>
      <c r="AQ263" s="22">
        <v>0.32607999999999998</v>
      </c>
      <c r="AR263" s="22">
        <v>24.6937</v>
      </c>
      <c r="AS263" s="22">
        <v>-1.3858000000000001E-2</v>
      </c>
      <c r="AT263" s="22">
        <v>253</v>
      </c>
      <c r="AU263" s="22">
        <v>0.32553100000000001</v>
      </c>
      <c r="AV263">
        <f t="shared" si="44"/>
        <v>17.10864197530864</v>
      </c>
      <c r="AW263">
        <f t="shared" si="45"/>
        <v>5.5787859753086408</v>
      </c>
      <c r="AX263" s="9"/>
      <c r="AY263" s="22">
        <v>1.17401</v>
      </c>
      <c r="AZ263" s="22">
        <v>28.110099999999999</v>
      </c>
      <c r="BA263" s="22">
        <v>-1.2854000000000001E-2</v>
      </c>
      <c r="BB263" s="22">
        <v>253</v>
      </c>
      <c r="BC263" s="22">
        <v>1.1731</v>
      </c>
      <c r="BD263">
        <f t="shared" si="46"/>
        <v>15.869135802469136</v>
      </c>
      <c r="BE263">
        <f t="shared" si="47"/>
        <v>18.630524123456791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0.32104500000000002</v>
      </c>
      <c r="H264" s="22">
        <v>7.5933599999999997</v>
      </c>
      <c r="I264" s="22">
        <v>-1.3897700000000001E-2</v>
      </c>
      <c r="J264" s="22">
        <v>254</v>
      </c>
      <c r="K264" s="22">
        <v>0.32052599999999998</v>
      </c>
      <c r="L264">
        <f t="shared" si="36"/>
        <v>17.157654320987653</v>
      </c>
      <c r="M264">
        <f t="shared" si="37"/>
        <v>5.5083791314814814</v>
      </c>
      <c r="N264" s="9"/>
      <c r="O264" s="22">
        <v>1.1790499999999999</v>
      </c>
      <c r="P264" s="22">
        <v>11.0097</v>
      </c>
      <c r="Q264" s="22">
        <v>-1.28021E-2</v>
      </c>
      <c r="R264" s="22">
        <v>254</v>
      </c>
      <c r="S264" s="22">
        <v>1.17828</v>
      </c>
      <c r="T264">
        <f t="shared" si="38"/>
        <v>15.805061728395062</v>
      </c>
      <c r="U264">
        <f t="shared" si="39"/>
        <v>18.634958030864198</v>
      </c>
      <c r="X264" s="9"/>
      <c r="Y264" s="22">
        <v>0.32104500000000002</v>
      </c>
      <c r="Z264" s="22">
        <v>16.1096</v>
      </c>
      <c r="AA264" s="22">
        <v>-1.3861099999999999E-2</v>
      </c>
      <c r="AB264" s="22">
        <v>254</v>
      </c>
      <c r="AC264" s="22">
        <v>0.32040400000000002</v>
      </c>
      <c r="AD264">
        <f t="shared" si="40"/>
        <v>17.112469135802467</v>
      </c>
      <c r="AE264">
        <f t="shared" si="41"/>
        <v>5.4938726537037033</v>
      </c>
      <c r="AF264" s="9"/>
      <c r="AG264" s="22">
        <v>1.1790499999999999</v>
      </c>
      <c r="AH264" s="22">
        <v>19.5259</v>
      </c>
      <c r="AI264" s="22">
        <v>-1.26953E-2</v>
      </c>
      <c r="AJ264" s="22">
        <v>254</v>
      </c>
      <c r="AK264" s="22">
        <v>1.17828</v>
      </c>
      <c r="AL264">
        <f t="shared" si="42"/>
        <v>15.67320987654321</v>
      </c>
      <c r="AM264">
        <f t="shared" si="43"/>
        <v>18.479498104938269</v>
      </c>
      <c r="AP264" s="9"/>
      <c r="AQ264" s="22">
        <v>0.32104500000000002</v>
      </c>
      <c r="AR264" s="22">
        <v>24.703800000000001</v>
      </c>
      <c r="AS264" s="22">
        <v>-1.38519E-2</v>
      </c>
      <c r="AT264" s="22">
        <v>254</v>
      </c>
      <c r="AU264" s="22">
        <v>0.320465</v>
      </c>
      <c r="AV264">
        <f t="shared" si="44"/>
        <v>17.101111111111113</v>
      </c>
      <c r="AW264">
        <f t="shared" si="45"/>
        <v>5.4902262166666675</v>
      </c>
      <c r="AX264" s="9"/>
      <c r="AY264" s="22">
        <v>1.1790499999999999</v>
      </c>
      <c r="AZ264" s="22">
        <v>28.120100000000001</v>
      </c>
      <c r="BA264" s="22">
        <v>-1.2847900000000001E-2</v>
      </c>
      <c r="BB264" s="22">
        <v>254</v>
      </c>
      <c r="BC264" s="22">
        <v>1.17767</v>
      </c>
      <c r="BD264">
        <f t="shared" si="46"/>
        <v>15.861604938271604</v>
      </c>
      <c r="BE264">
        <f t="shared" si="47"/>
        <v>18.701625302469132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0.31601000000000001</v>
      </c>
      <c r="H265" s="22">
        <v>7.6034300000000004</v>
      </c>
      <c r="I265" s="22">
        <v>-1.38916E-2</v>
      </c>
      <c r="J265" s="22">
        <v>255</v>
      </c>
      <c r="K265" s="22">
        <v>0.31533800000000001</v>
      </c>
      <c r="L265">
        <f t="shared" si="36"/>
        <v>17.150123456790123</v>
      </c>
      <c r="M265">
        <f t="shared" si="37"/>
        <v>5.4196105135802473</v>
      </c>
      <c r="N265" s="9"/>
      <c r="O265" s="22">
        <v>1.18408</v>
      </c>
      <c r="P265" s="22">
        <v>11.0198</v>
      </c>
      <c r="Q265" s="22">
        <v>-1.27808E-2</v>
      </c>
      <c r="R265" s="22">
        <v>255</v>
      </c>
      <c r="S265" s="22">
        <v>1.1831700000000001</v>
      </c>
      <c r="T265">
        <f t="shared" si="38"/>
        <v>15.778765432098764</v>
      </c>
      <c r="U265">
        <f t="shared" si="39"/>
        <v>18.683320572839506</v>
      </c>
      <c r="X265" s="9"/>
      <c r="Y265" s="22">
        <v>0.31601000000000001</v>
      </c>
      <c r="Z265" s="22">
        <v>16.119599999999998</v>
      </c>
      <c r="AA265" s="22">
        <v>-1.3864100000000001E-2</v>
      </c>
      <c r="AB265" s="22">
        <v>255</v>
      </c>
      <c r="AC265" s="22">
        <v>0.31539899999999998</v>
      </c>
      <c r="AD265">
        <f t="shared" si="40"/>
        <v>17.11617283950617</v>
      </c>
      <c r="AE265">
        <f t="shared" si="41"/>
        <v>5.4088817790123453</v>
      </c>
      <c r="AF265" s="9"/>
      <c r="AG265" s="22">
        <v>1.18408</v>
      </c>
      <c r="AH265" s="22">
        <v>19.536000000000001</v>
      </c>
      <c r="AI265" s="22">
        <v>-1.2677000000000001E-2</v>
      </c>
      <c r="AJ265" s="22">
        <v>255</v>
      </c>
      <c r="AK265" s="22">
        <v>1.18286</v>
      </c>
      <c r="AL265">
        <f t="shared" si="42"/>
        <v>15.650617283950618</v>
      </c>
      <c r="AM265">
        <f t="shared" si="43"/>
        <v>18.531582913580248</v>
      </c>
      <c r="AP265" s="9"/>
      <c r="AQ265" s="22">
        <v>0.31601000000000001</v>
      </c>
      <c r="AR265" s="22">
        <v>24.713799999999999</v>
      </c>
      <c r="AS265" s="22">
        <v>-1.3854999999999999E-2</v>
      </c>
      <c r="AT265" s="22">
        <v>255</v>
      </c>
      <c r="AU265" s="22">
        <v>0.31536900000000001</v>
      </c>
      <c r="AV265">
        <f t="shared" si="44"/>
        <v>17.104938271604937</v>
      </c>
      <c r="AW265">
        <f t="shared" si="45"/>
        <v>5.4053315432098765</v>
      </c>
      <c r="AX265" s="9"/>
      <c r="AY265" s="22">
        <v>1.18408</v>
      </c>
      <c r="AZ265" s="22">
        <v>28.130199999999999</v>
      </c>
      <c r="BA265" s="22">
        <v>-1.28296E-2</v>
      </c>
      <c r="BB265" s="22">
        <v>255</v>
      </c>
      <c r="BC265" s="22">
        <v>1.1831700000000001</v>
      </c>
      <c r="BD265">
        <f t="shared" si="46"/>
        <v>15.839012345679013</v>
      </c>
      <c r="BE265">
        <f t="shared" si="47"/>
        <v>18.754657738271607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0.31097399999999997</v>
      </c>
      <c r="H266" s="22">
        <v>7.6135000000000002</v>
      </c>
      <c r="I266" s="22">
        <v>-1.38855E-2</v>
      </c>
      <c r="J266" s="22">
        <v>256</v>
      </c>
      <c r="K266" s="22">
        <v>0.31033300000000003</v>
      </c>
      <c r="L266">
        <f t="shared" si="36"/>
        <v>17.142592592592592</v>
      </c>
      <c r="M266">
        <f t="shared" si="37"/>
        <v>5.3309005888888885</v>
      </c>
      <c r="N266" s="9"/>
      <c r="O266" s="22">
        <v>1.18912</v>
      </c>
      <c r="P266" s="22">
        <v>11.0298</v>
      </c>
      <c r="Q266" s="22">
        <v>-1.27625E-2</v>
      </c>
      <c r="R266" s="22">
        <v>256</v>
      </c>
      <c r="S266" s="22">
        <v>1.18774</v>
      </c>
      <c r="T266">
        <f t="shared" si="38"/>
        <v>15.756172839506172</v>
      </c>
      <c r="U266">
        <f t="shared" si="39"/>
        <v>18.735980246913581</v>
      </c>
      <c r="X266" s="9"/>
      <c r="Y266" s="22">
        <v>0.31097399999999997</v>
      </c>
      <c r="Z266" s="22">
        <v>16.1297</v>
      </c>
      <c r="AA266" s="22">
        <v>-1.38733E-2</v>
      </c>
      <c r="AB266" s="22">
        <v>256</v>
      </c>
      <c r="AC266" s="22">
        <v>0.31033300000000003</v>
      </c>
      <c r="AD266">
        <f t="shared" si="40"/>
        <v>17.127530864197528</v>
      </c>
      <c r="AE266">
        <f t="shared" si="41"/>
        <v>5.3262167829629616</v>
      </c>
      <c r="AF266" s="9"/>
      <c r="AG266" s="22">
        <v>1.18912</v>
      </c>
      <c r="AH266" s="22">
        <v>19.546099999999999</v>
      </c>
      <c r="AI266" s="22">
        <v>-1.26648E-2</v>
      </c>
      <c r="AJ266" s="22">
        <v>256</v>
      </c>
      <c r="AK266" s="22">
        <v>1.1880500000000001</v>
      </c>
      <c r="AL266">
        <f t="shared" si="42"/>
        <v>15.635555555555555</v>
      </c>
      <c r="AM266">
        <f t="shared" si="43"/>
        <v>18.592551822222223</v>
      </c>
      <c r="AP266" s="9"/>
      <c r="AQ266" s="22">
        <v>0.31097399999999997</v>
      </c>
      <c r="AR266" s="22">
        <v>24.7239</v>
      </c>
      <c r="AS266" s="22">
        <v>-1.3864100000000001E-2</v>
      </c>
      <c r="AT266" s="22">
        <v>256</v>
      </c>
      <c r="AU266" s="22">
        <v>0.310394</v>
      </c>
      <c r="AV266">
        <f t="shared" si="44"/>
        <v>17.11617283950617</v>
      </c>
      <c r="AW266">
        <f t="shared" si="45"/>
        <v>5.3226847325925917</v>
      </c>
      <c r="AX266" s="9"/>
      <c r="AY266" s="22">
        <v>1.18912</v>
      </c>
      <c r="AZ266" s="22">
        <v>28.1403</v>
      </c>
      <c r="BA266" s="22">
        <v>-1.2811299999999999E-2</v>
      </c>
      <c r="BB266" s="22">
        <v>256</v>
      </c>
      <c r="BC266" s="22">
        <v>1.1880500000000001</v>
      </c>
      <c r="BD266">
        <f t="shared" si="46"/>
        <v>15.816419753086418</v>
      </c>
      <c r="BE266">
        <f t="shared" si="47"/>
        <v>18.807621056790122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0.30593900000000002</v>
      </c>
      <c r="H267" s="22">
        <v>7.62357</v>
      </c>
      <c r="I267" s="22">
        <v>-1.38916E-2</v>
      </c>
      <c r="J267" s="22">
        <v>257</v>
      </c>
      <c r="K267" s="22">
        <v>0.30538900000000002</v>
      </c>
      <c r="L267">
        <f t="shared" si="36"/>
        <v>17.150123456790123</v>
      </c>
      <c r="M267">
        <f t="shared" si="37"/>
        <v>5.246891620246914</v>
      </c>
      <c r="N267" s="9"/>
      <c r="O267" s="22">
        <v>1.19415</v>
      </c>
      <c r="P267" s="22">
        <v>11.039899999999999</v>
      </c>
      <c r="Q267" s="22">
        <v>-1.2735E-2</v>
      </c>
      <c r="R267" s="22">
        <v>257</v>
      </c>
      <c r="S267" s="22">
        <v>1.19293</v>
      </c>
      <c r="T267">
        <f t="shared" si="38"/>
        <v>15.722222222222221</v>
      </c>
      <c r="U267">
        <f t="shared" si="39"/>
        <v>18.774691666666666</v>
      </c>
      <c r="X267" s="9"/>
      <c r="Y267" s="22">
        <v>0.30593900000000002</v>
      </c>
      <c r="Z267" s="22">
        <v>16.139800000000001</v>
      </c>
      <c r="AA267" s="22">
        <v>-1.38824E-2</v>
      </c>
      <c r="AB267" s="22">
        <v>257</v>
      </c>
      <c r="AC267" s="22">
        <v>0.30526700000000001</v>
      </c>
      <c r="AD267">
        <f t="shared" si="40"/>
        <v>17.138765432098765</v>
      </c>
      <c r="AE267">
        <f t="shared" si="41"/>
        <v>5.2434167575308646</v>
      </c>
      <c r="AF267" s="9"/>
      <c r="AG267" s="22">
        <v>1.19415</v>
      </c>
      <c r="AH267" s="22">
        <v>19.556100000000001</v>
      </c>
      <c r="AI267" s="22">
        <v>-1.2655599999999999E-2</v>
      </c>
      <c r="AJ267" s="22">
        <v>257</v>
      </c>
      <c r="AK267" s="22">
        <v>1.19293</v>
      </c>
      <c r="AL267">
        <f t="shared" si="42"/>
        <v>15.624197530864196</v>
      </c>
      <c r="AM267">
        <f t="shared" si="43"/>
        <v>18.657635481481481</v>
      </c>
      <c r="AP267" s="9"/>
      <c r="AQ267" s="22">
        <v>0.30593900000000002</v>
      </c>
      <c r="AR267" s="22">
        <v>24.734000000000002</v>
      </c>
      <c r="AS267" s="22">
        <v>-1.3870199999999999E-2</v>
      </c>
      <c r="AT267" s="22">
        <v>257</v>
      </c>
      <c r="AU267" s="22">
        <v>0.30529800000000001</v>
      </c>
      <c r="AV267">
        <f t="shared" si="44"/>
        <v>17.123703703703701</v>
      </c>
      <c r="AW267">
        <f t="shared" si="45"/>
        <v>5.2388087874074065</v>
      </c>
      <c r="AX267" s="9"/>
      <c r="AY267" s="22">
        <v>1.19415</v>
      </c>
      <c r="AZ267" s="22">
        <v>28.150300000000001</v>
      </c>
      <c r="BA267" s="22">
        <v>-1.27869E-2</v>
      </c>
      <c r="BB267" s="22">
        <v>257</v>
      </c>
      <c r="BC267" s="22">
        <v>1.19293</v>
      </c>
      <c r="BD267">
        <f t="shared" si="46"/>
        <v>15.786296296296294</v>
      </c>
      <c r="BE267">
        <f t="shared" si="47"/>
        <v>18.851205722222222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0.30090299999999998</v>
      </c>
      <c r="H268" s="22">
        <v>7.6336399999999998</v>
      </c>
      <c r="I268" s="22">
        <v>-1.3894699999999999E-2</v>
      </c>
      <c r="J268" s="22">
        <v>258</v>
      </c>
      <c r="K268" s="22">
        <v>0.30029299999999998</v>
      </c>
      <c r="L268">
        <f t="shared" ref="L268:L331" si="48">-I268/$F$2*1000</f>
        <v>17.153950617283947</v>
      </c>
      <c r="M268">
        <f t="shared" ref="M268:M331" si="49">L268*G268</f>
        <v>5.1616752025925914</v>
      </c>
      <c r="N268" s="9"/>
      <c r="O268" s="22">
        <v>1.19919</v>
      </c>
      <c r="P268" s="22">
        <v>11.05</v>
      </c>
      <c r="Q268" s="22">
        <v>-1.2716699999999999E-2</v>
      </c>
      <c r="R268" s="22">
        <v>258</v>
      </c>
      <c r="S268" s="22">
        <v>1.19781</v>
      </c>
      <c r="T268">
        <f t="shared" ref="T268:T331" si="50">-Q268/$F$2*1000</f>
        <v>15.699629629629626</v>
      </c>
      <c r="U268">
        <f t="shared" ref="U268:U331" si="51">T268*O268</f>
        <v>18.82683885555555</v>
      </c>
      <c r="X268" s="9"/>
      <c r="Y268" s="22">
        <v>0.30090299999999998</v>
      </c>
      <c r="Z268" s="22">
        <v>16.149799999999999</v>
      </c>
      <c r="AA268" s="22">
        <v>-1.3876299999999999E-2</v>
      </c>
      <c r="AB268" s="22">
        <v>258</v>
      </c>
      <c r="AC268" s="22">
        <v>0.300201</v>
      </c>
      <c r="AD268">
        <f t="shared" ref="AD268:AD331" si="52">-AA268/$F$2*1000</f>
        <v>17.131234567901231</v>
      </c>
      <c r="AE268">
        <f t="shared" ref="AE268:AE331" si="53">AD268*Y268</f>
        <v>5.1548398751851838</v>
      </c>
      <c r="AF268" s="9"/>
      <c r="AG268" s="22">
        <v>1.19919</v>
      </c>
      <c r="AH268" s="22">
        <v>19.566199999999998</v>
      </c>
      <c r="AI268" s="22">
        <v>-1.26404E-2</v>
      </c>
      <c r="AJ268" s="22">
        <v>258</v>
      </c>
      <c r="AK268" s="22">
        <v>1.1981200000000001</v>
      </c>
      <c r="AL268">
        <f t="shared" ref="AL268:AL331" si="54">-AI268/$F$2*1000</f>
        <v>15.60543209876543</v>
      </c>
      <c r="AM268">
        <f t="shared" ref="AM268:AM331" si="55">AL268*AG268</f>
        <v>18.713878118518515</v>
      </c>
      <c r="AP268" s="9"/>
      <c r="AQ268" s="22">
        <v>0.30090299999999998</v>
      </c>
      <c r="AR268" s="22">
        <v>24.7441</v>
      </c>
      <c r="AS268" s="22">
        <v>-1.3876299999999999E-2</v>
      </c>
      <c r="AT268" s="22">
        <v>258</v>
      </c>
      <c r="AU268" s="22">
        <v>0.30029299999999998</v>
      </c>
      <c r="AV268">
        <f t="shared" ref="AV268:AV331" si="56">-AS268/$F$2*1000</f>
        <v>17.131234567901231</v>
      </c>
      <c r="AW268">
        <f t="shared" ref="AW268:AW331" si="57">AV268*AQ268</f>
        <v>5.1548398751851838</v>
      </c>
      <c r="AX268" s="9"/>
      <c r="AY268" s="22">
        <v>1.19919</v>
      </c>
      <c r="AZ268" s="22">
        <v>28.160399999999999</v>
      </c>
      <c r="BA268" s="22">
        <v>-1.2765500000000001E-2</v>
      </c>
      <c r="BB268" s="22">
        <v>258</v>
      </c>
      <c r="BC268" s="22">
        <v>1.1981200000000001</v>
      </c>
      <c r="BD268">
        <f t="shared" ref="BD268:BD331" si="58">-BA268/$F$2*1000</f>
        <v>15.759876543209876</v>
      </c>
      <c r="BE268">
        <f t="shared" ref="BE268:BE331" si="59">BD268*AY268</f>
        <v>18.899086351851849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0.29586800000000002</v>
      </c>
      <c r="H269" s="22">
        <v>7.6437099999999996</v>
      </c>
      <c r="I269" s="22">
        <v>-1.39008E-2</v>
      </c>
      <c r="J269" s="22">
        <v>259</v>
      </c>
      <c r="K269" s="22">
        <v>0.29522700000000002</v>
      </c>
      <c r="L269">
        <f t="shared" si="48"/>
        <v>17.161481481481481</v>
      </c>
      <c r="M269">
        <f t="shared" si="49"/>
        <v>5.0775332029629627</v>
      </c>
      <c r="N269" s="9"/>
      <c r="O269" s="22">
        <v>1.2042200000000001</v>
      </c>
      <c r="P269" s="22">
        <v>11.0601</v>
      </c>
      <c r="Q269" s="22">
        <v>-1.27014E-2</v>
      </c>
      <c r="R269" s="22">
        <v>259</v>
      </c>
      <c r="S269" s="22">
        <v>1.2030000000000001</v>
      </c>
      <c r="T269">
        <f t="shared" si="50"/>
        <v>15.680740740740738</v>
      </c>
      <c r="U269">
        <f t="shared" si="51"/>
        <v>18.883061614814814</v>
      </c>
      <c r="X269" s="9"/>
      <c r="Y269" s="22">
        <v>0.29586800000000002</v>
      </c>
      <c r="Z269" s="22">
        <v>16.1599</v>
      </c>
      <c r="AA269" s="22">
        <v>-1.38855E-2</v>
      </c>
      <c r="AB269" s="22">
        <v>259</v>
      </c>
      <c r="AC269" s="22">
        <v>0.29516599999999998</v>
      </c>
      <c r="AD269">
        <f t="shared" si="52"/>
        <v>17.142592592592592</v>
      </c>
      <c r="AE269">
        <f t="shared" si="53"/>
        <v>5.0719445851851859</v>
      </c>
      <c r="AF269" s="9"/>
      <c r="AG269" s="22">
        <v>1.2042200000000001</v>
      </c>
      <c r="AH269" s="22">
        <v>19.5763</v>
      </c>
      <c r="AI269" s="22">
        <v>-1.2634299999999999E-2</v>
      </c>
      <c r="AJ269" s="22">
        <v>259</v>
      </c>
      <c r="AK269" s="22">
        <v>1.2036100000000001</v>
      </c>
      <c r="AL269">
        <f t="shared" si="54"/>
        <v>15.5979012345679</v>
      </c>
      <c r="AM269">
        <f t="shared" si="55"/>
        <v>18.783304624691358</v>
      </c>
      <c r="AP269" s="9"/>
      <c r="AQ269" s="22">
        <v>0.29586800000000002</v>
      </c>
      <c r="AR269" s="22">
        <v>24.754100000000001</v>
      </c>
      <c r="AS269" s="22">
        <v>-1.38824E-2</v>
      </c>
      <c r="AT269" s="22">
        <v>259</v>
      </c>
      <c r="AU269" s="22">
        <v>0.29525800000000002</v>
      </c>
      <c r="AV269">
        <f t="shared" si="56"/>
        <v>17.138765432098765</v>
      </c>
      <c r="AW269">
        <f t="shared" si="57"/>
        <v>5.070812250864198</v>
      </c>
      <c r="AX269" s="9"/>
      <c r="AY269" s="22">
        <v>1.2042200000000001</v>
      </c>
      <c r="AZ269" s="22">
        <v>28.170500000000001</v>
      </c>
      <c r="BA269" s="22">
        <v>-1.2731900000000001E-2</v>
      </c>
      <c r="BB269" s="22">
        <v>259</v>
      </c>
      <c r="BC269" s="22">
        <v>1.2023900000000001</v>
      </c>
      <c r="BD269">
        <f t="shared" si="58"/>
        <v>15.718395061728396</v>
      </c>
      <c r="BE269">
        <f t="shared" si="59"/>
        <v>18.928405701234571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0.29083300000000001</v>
      </c>
      <c r="H270" s="22">
        <v>7.6537800000000002</v>
      </c>
      <c r="I270" s="22">
        <v>-1.3903799999999999E-2</v>
      </c>
      <c r="J270" s="22">
        <v>260</v>
      </c>
      <c r="K270" s="22">
        <v>0.290161</v>
      </c>
      <c r="L270">
        <f t="shared" si="48"/>
        <v>17.165185185185184</v>
      </c>
      <c r="M270">
        <f t="shared" si="49"/>
        <v>4.992202302962963</v>
      </c>
      <c r="N270" s="9"/>
      <c r="O270" s="22">
        <v>1.20926</v>
      </c>
      <c r="P270" s="22">
        <v>11.0701</v>
      </c>
      <c r="Q270" s="22">
        <v>-1.2683099999999999E-2</v>
      </c>
      <c r="R270" s="22">
        <v>260</v>
      </c>
      <c r="S270" s="22">
        <v>1.2078899999999999</v>
      </c>
      <c r="T270">
        <f t="shared" si="50"/>
        <v>15.658148148148147</v>
      </c>
      <c r="U270">
        <f t="shared" si="51"/>
        <v>18.93477222962963</v>
      </c>
      <c r="X270" s="9"/>
      <c r="Y270" s="22">
        <v>0.29083300000000001</v>
      </c>
      <c r="Z270" s="22">
        <v>16.170000000000002</v>
      </c>
      <c r="AA270" s="22">
        <v>-1.39008E-2</v>
      </c>
      <c r="AB270" s="22">
        <v>260</v>
      </c>
      <c r="AC270" s="22">
        <v>0.290161</v>
      </c>
      <c r="AD270">
        <f t="shared" si="52"/>
        <v>17.161481481481481</v>
      </c>
      <c r="AE270">
        <f t="shared" si="53"/>
        <v>4.9911251437037034</v>
      </c>
      <c r="AF270" s="9"/>
      <c r="AG270" s="22">
        <v>1.20926</v>
      </c>
      <c r="AH270" s="22">
        <v>19.586300000000001</v>
      </c>
      <c r="AI270" s="22">
        <v>-1.2628199999999999E-2</v>
      </c>
      <c r="AJ270" s="22">
        <v>260</v>
      </c>
      <c r="AK270" s="22">
        <v>1.2084999999999999</v>
      </c>
      <c r="AL270">
        <f t="shared" si="54"/>
        <v>15.590370370370369</v>
      </c>
      <c r="AM270">
        <f t="shared" si="55"/>
        <v>18.852811274074071</v>
      </c>
      <c r="AP270" s="9"/>
      <c r="AQ270" s="22">
        <v>0.29083300000000001</v>
      </c>
      <c r="AR270" s="22">
        <v>24.764199999999999</v>
      </c>
      <c r="AS270" s="22">
        <v>-1.38916E-2</v>
      </c>
      <c r="AT270" s="22">
        <v>260</v>
      </c>
      <c r="AU270" s="22">
        <v>0.29019200000000001</v>
      </c>
      <c r="AV270">
        <f t="shared" si="56"/>
        <v>17.150123456790123</v>
      </c>
      <c r="AW270">
        <f t="shared" si="57"/>
        <v>4.987821855308642</v>
      </c>
      <c r="AX270" s="9"/>
      <c r="AY270" s="22">
        <v>1.20926</v>
      </c>
      <c r="AZ270" s="22">
        <v>28.180499999999999</v>
      </c>
      <c r="BA270" s="22">
        <v>-1.27197E-2</v>
      </c>
      <c r="BB270" s="22">
        <v>260</v>
      </c>
      <c r="BC270" s="22">
        <v>1.2078899999999999</v>
      </c>
      <c r="BD270">
        <f t="shared" si="58"/>
        <v>15.703333333333333</v>
      </c>
      <c r="BE270">
        <f t="shared" si="59"/>
        <v>18.989412866666665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0.28579700000000002</v>
      </c>
      <c r="H271" s="22">
        <v>7.6638500000000001</v>
      </c>
      <c r="I271" s="22">
        <v>-1.39069E-2</v>
      </c>
      <c r="J271" s="22">
        <v>261</v>
      </c>
      <c r="K271" s="22">
        <v>0.285217</v>
      </c>
      <c r="L271">
        <f t="shared" si="48"/>
        <v>17.169012345679011</v>
      </c>
      <c r="M271">
        <f t="shared" si="49"/>
        <v>4.906852221358025</v>
      </c>
      <c r="N271" s="9"/>
      <c r="O271" s="22">
        <v>1.2142900000000001</v>
      </c>
      <c r="P271" s="22">
        <v>11.0802</v>
      </c>
      <c r="Q271" s="22">
        <v>-1.2677000000000001E-2</v>
      </c>
      <c r="R271" s="22">
        <v>261</v>
      </c>
      <c r="S271" s="22">
        <v>1.2130700000000001</v>
      </c>
      <c r="T271">
        <f t="shared" si="50"/>
        <v>15.650617283950618</v>
      </c>
      <c r="U271">
        <f t="shared" si="51"/>
        <v>19.004388061728399</v>
      </c>
      <c r="X271" s="9"/>
      <c r="Y271" s="22">
        <v>0.28579700000000002</v>
      </c>
      <c r="Z271" s="22">
        <v>16.180099999999999</v>
      </c>
      <c r="AA271" s="22">
        <v>-1.3909899999999999E-2</v>
      </c>
      <c r="AB271" s="22">
        <v>261</v>
      </c>
      <c r="AC271" s="22">
        <v>0.28518700000000002</v>
      </c>
      <c r="AD271">
        <f t="shared" si="52"/>
        <v>17.172716049382714</v>
      </c>
      <c r="AE271">
        <f t="shared" si="53"/>
        <v>4.9079107287654322</v>
      </c>
      <c r="AF271" s="9"/>
      <c r="AG271" s="22">
        <v>1.2142900000000001</v>
      </c>
      <c r="AH271" s="22">
        <v>19.596399999999999</v>
      </c>
      <c r="AI271" s="22">
        <v>-1.26129E-2</v>
      </c>
      <c r="AJ271" s="22">
        <v>261</v>
      </c>
      <c r="AK271" s="22">
        <v>1.2127699999999999</v>
      </c>
      <c r="AL271">
        <f t="shared" si="54"/>
        <v>15.571481481481479</v>
      </c>
      <c r="AM271">
        <f t="shared" si="55"/>
        <v>18.908294248148145</v>
      </c>
      <c r="AP271" s="9"/>
      <c r="AQ271" s="22">
        <v>0.28579700000000002</v>
      </c>
      <c r="AR271" s="22">
        <v>24.7743</v>
      </c>
      <c r="AS271" s="22">
        <v>-1.3897700000000001E-2</v>
      </c>
      <c r="AT271" s="22">
        <v>261</v>
      </c>
      <c r="AU271" s="22">
        <v>0.28512599999999999</v>
      </c>
      <c r="AV271">
        <f t="shared" si="56"/>
        <v>17.157654320987653</v>
      </c>
      <c r="AW271">
        <f t="shared" si="57"/>
        <v>4.9036061319753088</v>
      </c>
      <c r="AX271" s="9"/>
      <c r="AY271" s="22">
        <v>1.2142900000000001</v>
      </c>
      <c r="AZ271" s="22">
        <v>28.1906</v>
      </c>
      <c r="BA271" s="22">
        <v>-1.27014E-2</v>
      </c>
      <c r="BB271" s="22">
        <v>261</v>
      </c>
      <c r="BC271" s="22">
        <v>1.2133799999999999</v>
      </c>
      <c r="BD271">
        <f t="shared" si="58"/>
        <v>15.680740740740738</v>
      </c>
      <c r="BE271">
        <f t="shared" si="59"/>
        <v>19.040966674074074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0.28076200000000001</v>
      </c>
      <c r="H272" s="22">
        <v>7.6739199999999999</v>
      </c>
      <c r="I272" s="22">
        <v>-1.39069E-2</v>
      </c>
      <c r="J272" s="22">
        <v>262</v>
      </c>
      <c r="K272" s="22">
        <v>0.28002899999999997</v>
      </c>
      <c r="L272">
        <f t="shared" si="48"/>
        <v>17.169012345679011</v>
      </c>
      <c r="M272">
        <f t="shared" si="49"/>
        <v>4.8204062441975308</v>
      </c>
      <c r="N272" s="9"/>
      <c r="O272" s="22">
        <v>1.21933</v>
      </c>
      <c r="P272" s="22">
        <v>11.090299999999999</v>
      </c>
      <c r="Q272" s="22">
        <v>-1.26587E-2</v>
      </c>
      <c r="R272" s="22">
        <v>262</v>
      </c>
      <c r="S272" s="22">
        <v>1.2185699999999999</v>
      </c>
      <c r="T272">
        <f t="shared" si="50"/>
        <v>15.628024691358023</v>
      </c>
      <c r="U272">
        <f t="shared" si="51"/>
        <v>19.05571934691358</v>
      </c>
      <c r="X272" s="9"/>
      <c r="Y272" s="22">
        <v>0.28076200000000001</v>
      </c>
      <c r="Z272" s="22">
        <v>16.190100000000001</v>
      </c>
      <c r="AA272" s="22">
        <v>-1.3903799999999999E-2</v>
      </c>
      <c r="AB272" s="22">
        <v>262</v>
      </c>
      <c r="AC272" s="22">
        <v>0.28015099999999998</v>
      </c>
      <c r="AD272">
        <f t="shared" si="52"/>
        <v>17.165185185185184</v>
      </c>
      <c r="AE272">
        <f t="shared" si="53"/>
        <v>4.8193317229629624</v>
      </c>
      <c r="AF272" s="9"/>
      <c r="AG272" s="22">
        <v>1.21933</v>
      </c>
      <c r="AH272" s="22">
        <v>19.6065</v>
      </c>
      <c r="AI272" s="22">
        <v>-1.2588500000000001E-2</v>
      </c>
      <c r="AJ272" s="22">
        <v>262</v>
      </c>
      <c r="AK272" s="22">
        <v>1.2182599999999999</v>
      </c>
      <c r="AL272">
        <f t="shared" si="54"/>
        <v>15.541358024691359</v>
      </c>
      <c r="AM272">
        <f t="shared" si="55"/>
        <v>18.950044080246915</v>
      </c>
      <c r="AP272" s="9"/>
      <c r="AQ272" s="22">
        <v>0.28076200000000001</v>
      </c>
      <c r="AR272" s="22">
        <v>24.784300000000002</v>
      </c>
      <c r="AS272" s="22">
        <v>-1.3903799999999999E-2</v>
      </c>
      <c r="AT272" s="22">
        <v>262</v>
      </c>
      <c r="AU272" s="22">
        <v>0.28027299999999999</v>
      </c>
      <c r="AV272">
        <f t="shared" si="56"/>
        <v>17.165185185185184</v>
      </c>
      <c r="AW272">
        <f t="shared" si="57"/>
        <v>4.8193317229629624</v>
      </c>
      <c r="AX272" s="9"/>
      <c r="AY272" s="22">
        <v>1.21933</v>
      </c>
      <c r="AZ272" s="22">
        <v>28.200700000000001</v>
      </c>
      <c r="BA272" s="22">
        <v>-1.26678E-2</v>
      </c>
      <c r="BB272" s="22">
        <v>262</v>
      </c>
      <c r="BC272" s="22">
        <v>1.2185699999999999</v>
      </c>
      <c r="BD272">
        <f t="shared" si="58"/>
        <v>15.639259259259259</v>
      </c>
      <c r="BE272">
        <f t="shared" si="59"/>
        <v>19.069417992592591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0.27572600000000003</v>
      </c>
      <c r="H273" s="22">
        <v>7.6839899999999997</v>
      </c>
      <c r="I273" s="22">
        <v>-1.3909899999999999E-2</v>
      </c>
      <c r="J273" s="22">
        <v>263</v>
      </c>
      <c r="K273" s="22">
        <v>0.275146</v>
      </c>
      <c r="L273">
        <f t="shared" si="48"/>
        <v>17.172716049382714</v>
      </c>
      <c r="M273">
        <f t="shared" si="49"/>
        <v>4.7349643054320989</v>
      </c>
      <c r="N273" s="9"/>
      <c r="O273" s="22">
        <v>1.22437</v>
      </c>
      <c r="P273" s="22">
        <v>11.100300000000001</v>
      </c>
      <c r="Q273" s="22">
        <v>-1.2643400000000001E-2</v>
      </c>
      <c r="R273" s="22">
        <v>263</v>
      </c>
      <c r="S273" s="22">
        <v>1.2234499999999999</v>
      </c>
      <c r="T273">
        <f t="shared" si="50"/>
        <v>15.609135802469137</v>
      </c>
      <c r="U273">
        <f t="shared" si="51"/>
        <v>19.111357602469138</v>
      </c>
      <c r="X273" s="9"/>
      <c r="Y273" s="22">
        <v>0.27572600000000003</v>
      </c>
      <c r="Z273" s="22">
        <v>16.200199999999999</v>
      </c>
      <c r="AA273" s="22">
        <v>-1.3897700000000001E-2</v>
      </c>
      <c r="AB273" s="22">
        <v>263</v>
      </c>
      <c r="AC273" s="22">
        <v>0.27508500000000002</v>
      </c>
      <c r="AD273">
        <f t="shared" si="52"/>
        <v>17.157654320987653</v>
      </c>
      <c r="AE273">
        <f t="shared" si="53"/>
        <v>4.7308113953086419</v>
      </c>
      <c r="AF273" s="9"/>
      <c r="AG273" s="22">
        <v>1.22437</v>
      </c>
      <c r="AH273" s="22">
        <v>19.616599999999998</v>
      </c>
      <c r="AI273" s="22">
        <v>-1.25702E-2</v>
      </c>
      <c r="AJ273" s="22">
        <v>263</v>
      </c>
      <c r="AK273" s="22">
        <v>1.22437</v>
      </c>
      <c r="AL273">
        <f t="shared" si="54"/>
        <v>15.518765432098766</v>
      </c>
      <c r="AM273">
        <f t="shared" si="55"/>
        <v>19.000710832098765</v>
      </c>
      <c r="AP273" s="9"/>
      <c r="AQ273" s="22">
        <v>0.27572600000000003</v>
      </c>
      <c r="AR273" s="22">
        <v>24.7944</v>
      </c>
      <c r="AS273" s="22">
        <v>-1.3903799999999999E-2</v>
      </c>
      <c r="AT273" s="22">
        <v>263</v>
      </c>
      <c r="AU273" s="22">
        <v>0.27505499999999999</v>
      </c>
      <c r="AV273">
        <f t="shared" si="56"/>
        <v>17.165185185185184</v>
      </c>
      <c r="AW273">
        <f t="shared" si="57"/>
        <v>4.7328878503703704</v>
      </c>
      <c r="AX273" s="9"/>
      <c r="AY273" s="22">
        <v>1.22437</v>
      </c>
      <c r="AZ273" s="22">
        <v>28.210799999999999</v>
      </c>
      <c r="BA273" s="22">
        <v>-1.2649499999999999E-2</v>
      </c>
      <c r="BB273" s="22">
        <v>263</v>
      </c>
      <c r="BC273" s="22">
        <v>1.2225299999999999</v>
      </c>
      <c r="BD273">
        <f t="shared" si="58"/>
        <v>15.616666666666664</v>
      </c>
      <c r="BE273">
        <f t="shared" si="59"/>
        <v>19.120578166666661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0.27069100000000001</v>
      </c>
      <c r="H274" s="22">
        <v>7.69407</v>
      </c>
      <c r="I274" s="22">
        <v>-1.39069E-2</v>
      </c>
      <c r="J274" s="22">
        <v>264</v>
      </c>
      <c r="K274" s="22">
        <v>0.27005000000000001</v>
      </c>
      <c r="L274">
        <f t="shared" si="48"/>
        <v>17.169012345679011</v>
      </c>
      <c r="M274">
        <f t="shared" si="49"/>
        <v>4.6474971208641973</v>
      </c>
      <c r="N274" s="9"/>
      <c r="O274" s="22">
        <v>1.2294</v>
      </c>
      <c r="P274" s="22">
        <v>11.1104</v>
      </c>
      <c r="Q274" s="22">
        <v>-1.26312E-2</v>
      </c>
      <c r="R274" s="22">
        <v>264</v>
      </c>
      <c r="S274" s="22">
        <v>1.2283299999999999</v>
      </c>
      <c r="T274">
        <f t="shared" si="50"/>
        <v>15.594074074074072</v>
      </c>
      <c r="U274">
        <f t="shared" si="51"/>
        <v>19.171354666666666</v>
      </c>
      <c r="X274" s="9"/>
      <c r="Y274" s="22">
        <v>0.27069100000000001</v>
      </c>
      <c r="Z274" s="22">
        <v>16.2103</v>
      </c>
      <c r="AA274" s="22">
        <v>-1.3897700000000001E-2</v>
      </c>
      <c r="AB274" s="22">
        <v>264</v>
      </c>
      <c r="AC274" s="22">
        <v>0.27014199999999999</v>
      </c>
      <c r="AD274">
        <f t="shared" si="52"/>
        <v>17.157654320987653</v>
      </c>
      <c r="AE274">
        <f t="shared" si="53"/>
        <v>4.6444226058024691</v>
      </c>
      <c r="AF274" s="9"/>
      <c r="AG274" s="22">
        <v>1.2294</v>
      </c>
      <c r="AH274" s="22">
        <v>19.6266</v>
      </c>
      <c r="AI274" s="22">
        <v>-1.2554900000000001E-2</v>
      </c>
      <c r="AJ274" s="22">
        <v>264</v>
      </c>
      <c r="AK274" s="22">
        <v>1.22803</v>
      </c>
      <c r="AL274">
        <f t="shared" si="54"/>
        <v>15.499876543209876</v>
      </c>
      <c r="AM274">
        <f t="shared" si="55"/>
        <v>19.055548222222221</v>
      </c>
      <c r="AP274" s="9"/>
      <c r="AQ274" s="22">
        <v>0.27069100000000001</v>
      </c>
      <c r="AR274" s="22">
        <v>24.804500000000001</v>
      </c>
      <c r="AS274" s="22">
        <v>-1.3903799999999999E-2</v>
      </c>
      <c r="AT274" s="22">
        <v>264</v>
      </c>
      <c r="AU274" s="22">
        <v>0.27008100000000002</v>
      </c>
      <c r="AV274">
        <f t="shared" si="56"/>
        <v>17.165185185185184</v>
      </c>
      <c r="AW274">
        <f t="shared" si="57"/>
        <v>4.6464611429629628</v>
      </c>
      <c r="AX274" s="9"/>
      <c r="AY274" s="22">
        <v>1.2294</v>
      </c>
      <c r="AZ274" s="22">
        <v>28.220800000000001</v>
      </c>
      <c r="BA274" s="22">
        <v>-1.2622100000000001E-2</v>
      </c>
      <c r="BB274" s="22">
        <v>264</v>
      </c>
      <c r="BC274" s="22">
        <v>1.22864</v>
      </c>
      <c r="BD274">
        <f t="shared" si="58"/>
        <v>15.582839506172839</v>
      </c>
      <c r="BE274">
        <f t="shared" si="59"/>
        <v>19.157542888888887</v>
      </c>
    </row>
    <row r="275" spans="6:101">
      <c r="F275" s="9"/>
      <c r="G275" s="22">
        <v>0.265656</v>
      </c>
      <c r="H275" s="22">
        <v>7.7041399999999998</v>
      </c>
      <c r="I275" s="22">
        <v>-1.39069E-2</v>
      </c>
      <c r="J275" s="22">
        <v>265</v>
      </c>
      <c r="K275" s="22">
        <v>0.26510600000000001</v>
      </c>
      <c r="L275">
        <f t="shared" si="48"/>
        <v>17.169012345679011</v>
      </c>
      <c r="M275">
        <f t="shared" si="49"/>
        <v>4.5610511437037031</v>
      </c>
      <c r="N275" s="9"/>
      <c r="O275" s="22">
        <v>1.23444</v>
      </c>
      <c r="P275" s="22">
        <v>11.1205</v>
      </c>
      <c r="Q275" s="22">
        <v>-1.2616E-2</v>
      </c>
      <c r="R275" s="22">
        <v>265</v>
      </c>
      <c r="S275" s="22">
        <v>1.23322</v>
      </c>
      <c r="T275">
        <f t="shared" si="50"/>
        <v>15.575308641975308</v>
      </c>
      <c r="U275">
        <f t="shared" si="51"/>
        <v>19.226783999999999</v>
      </c>
      <c r="X275" s="9"/>
      <c r="Y275" s="22">
        <v>0.265656</v>
      </c>
      <c r="Z275" s="22">
        <v>16.220300000000002</v>
      </c>
      <c r="AA275" s="22">
        <v>-1.3897700000000001E-2</v>
      </c>
      <c r="AB275" s="22">
        <v>265</v>
      </c>
      <c r="AC275" s="22">
        <v>0.264984</v>
      </c>
      <c r="AD275">
        <f t="shared" si="52"/>
        <v>17.157654320987653</v>
      </c>
      <c r="AE275">
        <f t="shared" si="53"/>
        <v>4.5580338162962963</v>
      </c>
      <c r="AF275" s="9"/>
      <c r="AG275" s="22">
        <v>1.23444</v>
      </c>
      <c r="AH275" s="22">
        <v>19.636700000000001</v>
      </c>
      <c r="AI275" s="22">
        <v>-1.2539700000000001E-2</v>
      </c>
      <c r="AJ275" s="22">
        <v>265</v>
      </c>
      <c r="AK275" s="22">
        <v>1.23383</v>
      </c>
      <c r="AL275">
        <f t="shared" si="54"/>
        <v>15.48111111111111</v>
      </c>
      <c r="AM275">
        <f t="shared" si="55"/>
        <v>19.110502799999999</v>
      </c>
      <c r="AP275" s="9"/>
      <c r="AQ275" s="22">
        <v>0.265656</v>
      </c>
      <c r="AR275" s="22">
        <v>24.814599999999999</v>
      </c>
      <c r="AS275" s="22">
        <v>-1.39008E-2</v>
      </c>
      <c r="AT275" s="22">
        <v>265</v>
      </c>
      <c r="AU275" s="22">
        <v>0.26516699999999999</v>
      </c>
      <c r="AV275">
        <f t="shared" si="56"/>
        <v>17.161481481481481</v>
      </c>
      <c r="AW275">
        <f t="shared" si="57"/>
        <v>4.5590505244444444</v>
      </c>
      <c r="AX275" s="9"/>
      <c r="AY275" s="22">
        <v>1.23444</v>
      </c>
      <c r="AZ275" s="22">
        <v>28.230899999999998</v>
      </c>
      <c r="BA275" s="22">
        <v>-1.25916E-2</v>
      </c>
      <c r="BB275" s="22">
        <v>265</v>
      </c>
      <c r="BC275" s="22">
        <v>1.2335199999999999</v>
      </c>
      <c r="BD275">
        <f t="shared" si="58"/>
        <v>15.545185185185185</v>
      </c>
      <c r="BE275">
        <f t="shared" si="59"/>
        <v>19.189598399999998</v>
      </c>
    </row>
    <row r="276" spans="6:101">
      <c r="F276" s="9"/>
      <c r="G276" s="22">
        <v>0.26062000000000002</v>
      </c>
      <c r="H276" s="22">
        <v>7.7142099999999996</v>
      </c>
      <c r="I276" s="22">
        <v>-1.3903799999999999E-2</v>
      </c>
      <c r="J276" s="22">
        <v>266</v>
      </c>
      <c r="K276" s="22">
        <v>0.26003999999999999</v>
      </c>
      <c r="L276">
        <f t="shared" si="48"/>
        <v>17.165185185185184</v>
      </c>
      <c r="M276">
        <f t="shared" si="49"/>
        <v>4.4735905629629631</v>
      </c>
      <c r="N276" s="9"/>
      <c r="O276" s="22">
        <v>1.2394700000000001</v>
      </c>
      <c r="P276" s="22">
        <v>11.130599999999999</v>
      </c>
      <c r="Q276" s="22">
        <v>-1.2594599999999999E-2</v>
      </c>
      <c r="R276" s="22">
        <v>266</v>
      </c>
      <c r="S276" s="22">
        <v>1.23871</v>
      </c>
      <c r="T276">
        <f t="shared" si="50"/>
        <v>15.548888888888886</v>
      </c>
      <c r="U276">
        <f t="shared" si="51"/>
        <v>19.272381311111108</v>
      </c>
      <c r="X276" s="9"/>
      <c r="Y276" s="22">
        <v>0.26062000000000002</v>
      </c>
      <c r="Z276" s="22">
        <v>16.230399999999999</v>
      </c>
      <c r="AA276" s="22">
        <v>-1.3909899999999999E-2</v>
      </c>
      <c r="AB276" s="22">
        <v>266</v>
      </c>
      <c r="AC276" s="22">
        <v>0.26001000000000002</v>
      </c>
      <c r="AD276">
        <f t="shared" si="52"/>
        <v>17.172716049382714</v>
      </c>
      <c r="AE276">
        <f t="shared" si="53"/>
        <v>4.4755532567901231</v>
      </c>
      <c r="AF276" s="9"/>
      <c r="AG276" s="22">
        <v>1.2394700000000001</v>
      </c>
      <c r="AH276" s="22">
        <v>19.646799999999999</v>
      </c>
      <c r="AI276" s="22">
        <v>-1.2512199999999999E-2</v>
      </c>
      <c r="AJ276" s="22">
        <v>266</v>
      </c>
      <c r="AK276" s="22">
        <v>1.2381</v>
      </c>
      <c r="AL276">
        <f t="shared" si="54"/>
        <v>15.447160493827159</v>
      </c>
      <c r="AM276">
        <f t="shared" si="55"/>
        <v>19.146292017283951</v>
      </c>
      <c r="AP276" s="9"/>
      <c r="AQ276" s="22">
        <v>0.26062000000000002</v>
      </c>
      <c r="AR276" s="22">
        <v>24.8246</v>
      </c>
      <c r="AS276" s="22">
        <v>-1.3894699999999999E-2</v>
      </c>
      <c r="AT276" s="22">
        <v>266</v>
      </c>
      <c r="AU276" s="22">
        <v>0.25994899999999999</v>
      </c>
      <c r="AV276">
        <f t="shared" si="56"/>
        <v>17.153950617283947</v>
      </c>
      <c r="AW276">
        <f t="shared" si="57"/>
        <v>4.4706626098765421</v>
      </c>
      <c r="AX276" s="9"/>
      <c r="AY276" s="22">
        <v>1.2394700000000001</v>
      </c>
      <c r="AZ276" s="22">
        <v>28.241</v>
      </c>
      <c r="BA276" s="22">
        <v>-1.2567099999999999E-2</v>
      </c>
      <c r="BB276" s="22">
        <v>266</v>
      </c>
      <c r="BC276" s="22">
        <v>1.23871</v>
      </c>
      <c r="BD276">
        <f t="shared" si="58"/>
        <v>15.514938271604937</v>
      </c>
      <c r="BE276">
        <f t="shared" si="59"/>
        <v>19.230300539506171</v>
      </c>
    </row>
    <row r="277" spans="6:101">
      <c r="F277" s="9"/>
      <c r="G277" s="22">
        <v>0.25558500000000001</v>
      </c>
      <c r="H277" s="22">
        <v>7.7242800000000003</v>
      </c>
      <c r="I277" s="22">
        <v>-1.3894699999999999E-2</v>
      </c>
      <c r="J277" s="22">
        <v>267</v>
      </c>
      <c r="K277" s="22">
        <v>0.25488300000000003</v>
      </c>
      <c r="L277">
        <f t="shared" si="48"/>
        <v>17.153950617283947</v>
      </c>
      <c r="M277">
        <f t="shared" si="49"/>
        <v>4.3842924685185176</v>
      </c>
      <c r="N277" s="9"/>
      <c r="O277" s="22">
        <v>1.24451</v>
      </c>
      <c r="P277" s="22">
        <v>11.140599999999999</v>
      </c>
      <c r="Q277" s="22">
        <v>-1.25641E-2</v>
      </c>
      <c r="R277" s="22">
        <v>267</v>
      </c>
      <c r="S277" s="22">
        <v>1.2439</v>
      </c>
      <c r="T277">
        <f t="shared" si="50"/>
        <v>15.511234567901234</v>
      </c>
      <c r="U277">
        <f t="shared" si="51"/>
        <v>19.303886532098765</v>
      </c>
      <c r="X277" s="9"/>
      <c r="Y277" s="22">
        <v>0.25558500000000001</v>
      </c>
      <c r="Z277" s="22">
        <v>16.240500000000001</v>
      </c>
      <c r="AA277" s="22">
        <v>-1.3916E-2</v>
      </c>
      <c r="AB277" s="22">
        <v>267</v>
      </c>
      <c r="AC277" s="22">
        <v>0.25497399999999998</v>
      </c>
      <c r="AD277">
        <f t="shared" si="52"/>
        <v>17.180246913580245</v>
      </c>
      <c r="AE277">
        <f t="shared" si="53"/>
        <v>4.3910134074074065</v>
      </c>
      <c r="AF277" s="9"/>
      <c r="AG277" s="22">
        <v>1.24451</v>
      </c>
      <c r="AH277" s="22">
        <v>19.6568</v>
      </c>
      <c r="AI277" s="22">
        <v>-1.24908E-2</v>
      </c>
      <c r="AJ277" s="22">
        <v>267</v>
      </c>
      <c r="AK277" s="22">
        <v>1.24298</v>
      </c>
      <c r="AL277">
        <f t="shared" si="54"/>
        <v>15.42074074074074</v>
      </c>
      <c r="AM277">
        <f t="shared" si="55"/>
        <v>19.191266059259259</v>
      </c>
      <c r="AP277" s="9"/>
      <c r="AQ277" s="22">
        <v>0.25558500000000001</v>
      </c>
      <c r="AR277" s="22">
        <v>24.834700000000002</v>
      </c>
      <c r="AS277" s="22">
        <v>-1.3894699999999999E-2</v>
      </c>
      <c r="AT277" s="22">
        <v>267</v>
      </c>
      <c r="AU277" s="22">
        <v>0.25497399999999998</v>
      </c>
      <c r="AV277">
        <f t="shared" si="56"/>
        <v>17.153950617283947</v>
      </c>
      <c r="AW277">
        <f t="shared" si="57"/>
        <v>4.3842924685185176</v>
      </c>
      <c r="AX277" s="9"/>
      <c r="AY277" s="22">
        <v>1.24451</v>
      </c>
      <c r="AZ277" s="22">
        <v>28.251000000000001</v>
      </c>
      <c r="BA277" s="22">
        <v>-1.2548800000000001E-2</v>
      </c>
      <c r="BB277" s="22">
        <v>267</v>
      </c>
      <c r="BC277" s="22">
        <v>1.24329</v>
      </c>
      <c r="BD277">
        <f t="shared" si="58"/>
        <v>15.492345679012345</v>
      </c>
      <c r="BE277">
        <f t="shared" si="59"/>
        <v>19.280379120987654</v>
      </c>
    </row>
    <row r="278" spans="6:101">
      <c r="F278" s="9"/>
      <c r="G278" s="22">
        <v>0.25054900000000002</v>
      </c>
      <c r="H278" s="22">
        <v>7.7343500000000001</v>
      </c>
      <c r="I278" s="22">
        <v>-1.3897700000000001E-2</v>
      </c>
      <c r="J278" s="22">
        <v>268</v>
      </c>
      <c r="K278" s="22">
        <v>0.249969</v>
      </c>
      <c r="L278">
        <f t="shared" si="48"/>
        <v>17.157654320987653</v>
      </c>
      <c r="M278">
        <f t="shared" si="49"/>
        <v>4.2988331324691362</v>
      </c>
      <c r="N278" s="9"/>
      <c r="O278" s="22">
        <v>1.2495400000000001</v>
      </c>
      <c r="P278" s="22">
        <v>11.150700000000001</v>
      </c>
      <c r="Q278" s="22">
        <v>-1.2539700000000001E-2</v>
      </c>
      <c r="R278" s="22">
        <v>268</v>
      </c>
      <c r="S278" s="22">
        <v>1.24817</v>
      </c>
      <c r="T278">
        <f t="shared" si="50"/>
        <v>15.48111111111111</v>
      </c>
      <c r="U278">
        <f t="shared" si="51"/>
        <v>19.344267577777778</v>
      </c>
      <c r="X278" s="9"/>
      <c r="Y278" s="22">
        <v>0.25054900000000002</v>
      </c>
      <c r="Z278" s="22">
        <v>16.250599999999999</v>
      </c>
      <c r="AA278" s="22">
        <v>-1.3916E-2</v>
      </c>
      <c r="AB278" s="22">
        <v>268</v>
      </c>
      <c r="AC278" s="22">
        <v>0.249969</v>
      </c>
      <c r="AD278">
        <f t="shared" si="52"/>
        <v>17.180246913580245</v>
      </c>
      <c r="AE278">
        <f t="shared" si="53"/>
        <v>4.3044936839506169</v>
      </c>
      <c r="AF278" s="9"/>
      <c r="AG278" s="22">
        <v>1.2495400000000001</v>
      </c>
      <c r="AH278" s="22">
        <v>19.666899999999998</v>
      </c>
      <c r="AI278" s="22">
        <v>-1.2463399999999999E-2</v>
      </c>
      <c r="AJ278" s="22">
        <v>268</v>
      </c>
      <c r="AK278" s="22">
        <v>1.24878</v>
      </c>
      <c r="AL278">
        <f t="shared" si="54"/>
        <v>15.386913580246912</v>
      </c>
      <c r="AM278">
        <f t="shared" si="55"/>
        <v>19.226563995061728</v>
      </c>
      <c r="AP278" s="9"/>
      <c r="AQ278" s="22">
        <v>0.25054900000000002</v>
      </c>
      <c r="AR278" s="22">
        <v>24.844799999999999</v>
      </c>
      <c r="AS278" s="22">
        <v>-1.38916E-2</v>
      </c>
      <c r="AT278" s="22">
        <v>268</v>
      </c>
      <c r="AU278" s="22">
        <v>0.249969</v>
      </c>
      <c r="AV278">
        <f t="shared" si="56"/>
        <v>17.150123456790123</v>
      </c>
      <c r="AW278">
        <f t="shared" si="57"/>
        <v>4.296946281975309</v>
      </c>
      <c r="AX278" s="9"/>
      <c r="AY278" s="22">
        <v>1.2495400000000001</v>
      </c>
      <c r="AZ278" s="22">
        <v>28.261099999999999</v>
      </c>
      <c r="BA278" s="22">
        <v>-1.25366E-2</v>
      </c>
      <c r="BB278" s="22">
        <v>268</v>
      </c>
      <c r="BC278" s="22">
        <v>1.24847</v>
      </c>
      <c r="BD278">
        <f t="shared" si="58"/>
        <v>15.477283950617283</v>
      </c>
      <c r="BE278">
        <f t="shared" si="59"/>
        <v>19.339485387654321</v>
      </c>
    </row>
    <row r="279" spans="6:101">
      <c r="F279" s="9"/>
      <c r="G279" s="22">
        <v>0.24551400000000001</v>
      </c>
      <c r="H279" s="22">
        <v>7.7444199999999999</v>
      </c>
      <c r="I279" s="22">
        <v>-1.3903799999999999E-2</v>
      </c>
      <c r="J279" s="22">
        <v>269</v>
      </c>
      <c r="K279" s="22">
        <v>0.24502599999999999</v>
      </c>
      <c r="L279">
        <f t="shared" si="48"/>
        <v>17.165185185185184</v>
      </c>
      <c r="M279">
        <f t="shared" si="49"/>
        <v>4.2142932755555558</v>
      </c>
      <c r="N279" s="9"/>
      <c r="O279" s="22">
        <v>1.25458</v>
      </c>
      <c r="P279" s="22">
        <v>11.1608</v>
      </c>
      <c r="Q279" s="22">
        <v>-1.2512199999999999E-2</v>
      </c>
      <c r="R279" s="22">
        <v>269</v>
      </c>
      <c r="S279" s="22">
        <v>1.25336</v>
      </c>
      <c r="T279">
        <f t="shared" si="50"/>
        <v>15.447160493827159</v>
      </c>
      <c r="U279">
        <f t="shared" si="51"/>
        <v>19.379698612345678</v>
      </c>
      <c r="X279" s="9"/>
      <c r="Y279" s="22">
        <v>0.24551400000000001</v>
      </c>
      <c r="Z279" s="22">
        <v>16.2606</v>
      </c>
      <c r="AA279" s="22">
        <v>-1.3913E-2</v>
      </c>
      <c r="AB279" s="22">
        <v>269</v>
      </c>
      <c r="AC279" s="22">
        <v>0.24490400000000001</v>
      </c>
      <c r="AD279">
        <f t="shared" si="52"/>
        <v>17.176543209876542</v>
      </c>
      <c r="AE279">
        <f t="shared" si="53"/>
        <v>4.2170818296296293</v>
      </c>
      <c r="AF279" s="9"/>
      <c r="AG279" s="22">
        <v>1.25458</v>
      </c>
      <c r="AH279" s="22">
        <v>19.677</v>
      </c>
      <c r="AI279" s="22">
        <v>-1.2442E-2</v>
      </c>
      <c r="AJ279" s="22">
        <v>269</v>
      </c>
      <c r="AK279" s="22">
        <v>1.25366</v>
      </c>
      <c r="AL279">
        <f t="shared" si="54"/>
        <v>15.360493827160493</v>
      </c>
      <c r="AM279">
        <f t="shared" si="55"/>
        <v>19.270968345679012</v>
      </c>
      <c r="AP279" s="9"/>
      <c r="AQ279" s="22">
        <v>0.24551400000000001</v>
      </c>
      <c r="AR279" s="22">
        <v>24.854800000000001</v>
      </c>
      <c r="AS279" s="22">
        <v>-1.39008E-2</v>
      </c>
      <c r="AT279" s="22">
        <v>269</v>
      </c>
      <c r="AU279" s="22">
        <v>0.24484300000000001</v>
      </c>
      <c r="AV279">
        <f t="shared" si="56"/>
        <v>17.161481481481481</v>
      </c>
      <c r="AW279">
        <f t="shared" si="57"/>
        <v>4.2133839644444446</v>
      </c>
      <c r="AX279" s="9"/>
      <c r="AY279" s="22">
        <v>1.25458</v>
      </c>
      <c r="AZ279" s="22">
        <v>28.2712</v>
      </c>
      <c r="BA279" s="22">
        <v>-1.25153E-2</v>
      </c>
      <c r="BB279" s="22">
        <v>269</v>
      </c>
      <c r="BC279" s="22">
        <v>1.25397</v>
      </c>
      <c r="BD279">
        <f t="shared" si="58"/>
        <v>15.450987654320988</v>
      </c>
      <c r="BE279">
        <f t="shared" si="59"/>
        <v>19.384500091358024</v>
      </c>
    </row>
    <row r="280" spans="6:101">
      <c r="F280" s="9"/>
      <c r="G280" s="22">
        <v>0.240479</v>
      </c>
      <c r="H280" s="22">
        <v>7.7544899999999997</v>
      </c>
      <c r="I280" s="22">
        <v>-1.3913E-2</v>
      </c>
      <c r="J280" s="22">
        <v>270</v>
      </c>
      <c r="K280" s="22">
        <v>0.239899</v>
      </c>
      <c r="L280">
        <f t="shared" si="48"/>
        <v>17.176543209876542</v>
      </c>
      <c r="M280">
        <f t="shared" si="49"/>
        <v>4.1305979345679011</v>
      </c>
      <c r="N280" s="9"/>
      <c r="O280" s="22">
        <v>1.2596099999999999</v>
      </c>
      <c r="P280" s="22">
        <v>11.1708</v>
      </c>
      <c r="Q280" s="22">
        <v>-1.2478599999999999E-2</v>
      </c>
      <c r="R280" s="22">
        <v>270</v>
      </c>
      <c r="S280" s="22">
        <v>1.25885</v>
      </c>
      <c r="T280">
        <f t="shared" si="50"/>
        <v>15.405679012345677</v>
      </c>
      <c r="U280">
        <f t="shared" si="51"/>
        <v>19.405147340740736</v>
      </c>
      <c r="X280" s="9"/>
      <c r="Y280" s="22">
        <v>0.240479</v>
      </c>
      <c r="Z280" s="22">
        <v>16.270700000000001</v>
      </c>
      <c r="AA280" s="22">
        <v>-1.3909899999999999E-2</v>
      </c>
      <c r="AB280" s="22">
        <v>270</v>
      </c>
      <c r="AC280" s="22">
        <v>0.23980699999999999</v>
      </c>
      <c r="AD280">
        <f t="shared" si="52"/>
        <v>17.172716049382714</v>
      </c>
      <c r="AE280">
        <f t="shared" si="53"/>
        <v>4.1296775828395056</v>
      </c>
      <c r="AF280" s="9"/>
      <c r="AG280" s="22">
        <v>1.2596099999999999</v>
      </c>
      <c r="AH280" s="22">
        <v>19.687000000000001</v>
      </c>
      <c r="AI280" s="22">
        <v>-1.2417600000000001E-2</v>
      </c>
      <c r="AJ280" s="22">
        <v>270</v>
      </c>
      <c r="AK280" s="22">
        <v>1.25885</v>
      </c>
      <c r="AL280">
        <f t="shared" si="54"/>
        <v>15.330370370370371</v>
      </c>
      <c r="AM280">
        <f t="shared" si="55"/>
        <v>19.310287822222222</v>
      </c>
      <c r="AP280" s="9"/>
      <c r="AQ280" s="22">
        <v>0.240479</v>
      </c>
      <c r="AR280" s="22">
        <v>24.864899999999999</v>
      </c>
      <c r="AS280" s="22">
        <v>-1.3903799999999999E-2</v>
      </c>
      <c r="AT280" s="22">
        <v>270</v>
      </c>
      <c r="AU280" s="22">
        <v>0.239868</v>
      </c>
      <c r="AV280">
        <f t="shared" si="56"/>
        <v>17.165185185185184</v>
      </c>
      <c r="AW280">
        <f t="shared" si="57"/>
        <v>4.1278665681481481</v>
      </c>
      <c r="AX280" s="9"/>
      <c r="AY280" s="22">
        <v>1.2596099999999999</v>
      </c>
      <c r="AZ280" s="22">
        <v>28.281300000000002</v>
      </c>
      <c r="BA280" s="22">
        <v>-1.24969E-2</v>
      </c>
      <c r="BB280" s="22">
        <v>270</v>
      </c>
      <c r="BC280" s="22">
        <v>1.25854</v>
      </c>
      <c r="BD280">
        <f t="shared" si="58"/>
        <v>15.428271604938271</v>
      </c>
      <c r="BE280">
        <f t="shared" si="59"/>
        <v>19.433605196296295</v>
      </c>
    </row>
    <row r="281" spans="6:101">
      <c r="F281" s="9"/>
      <c r="G281" s="22">
        <v>0.23544300000000001</v>
      </c>
      <c r="H281" s="22">
        <v>7.7645600000000004</v>
      </c>
      <c r="I281" s="22">
        <v>-1.39221E-2</v>
      </c>
      <c r="J281" s="22">
        <v>271</v>
      </c>
      <c r="K281" s="22">
        <v>0.23477200000000001</v>
      </c>
      <c r="L281">
        <f t="shared" si="48"/>
        <v>17.187777777777779</v>
      </c>
      <c r="M281">
        <f t="shared" si="49"/>
        <v>4.0467419633333339</v>
      </c>
      <c r="N281" s="9"/>
      <c r="O281" s="22">
        <v>1.2646500000000001</v>
      </c>
      <c r="P281" s="22">
        <v>11.180899999999999</v>
      </c>
      <c r="Q281" s="22">
        <v>-1.24481E-2</v>
      </c>
      <c r="R281" s="22">
        <v>271</v>
      </c>
      <c r="S281" s="22">
        <v>1.26373</v>
      </c>
      <c r="T281">
        <f t="shared" si="50"/>
        <v>15.368024691358023</v>
      </c>
      <c r="U281">
        <f t="shared" si="51"/>
        <v>19.435172425925924</v>
      </c>
      <c r="X281" s="9"/>
      <c r="Y281" s="22">
        <v>0.23544300000000001</v>
      </c>
      <c r="Z281" s="22">
        <v>16.280799999999999</v>
      </c>
      <c r="AA281" s="22">
        <v>-1.3913E-2</v>
      </c>
      <c r="AB281" s="22">
        <v>271</v>
      </c>
      <c r="AC281" s="22">
        <v>0.23477200000000001</v>
      </c>
      <c r="AD281">
        <f t="shared" si="52"/>
        <v>17.176543209876542</v>
      </c>
      <c r="AE281">
        <f t="shared" si="53"/>
        <v>4.044096862962963</v>
      </c>
      <c r="AF281" s="9"/>
      <c r="AG281" s="22">
        <v>1.2646500000000001</v>
      </c>
      <c r="AH281" s="22">
        <v>19.697099999999999</v>
      </c>
      <c r="AI281" s="22">
        <v>-1.23932E-2</v>
      </c>
      <c r="AJ281" s="22">
        <v>271</v>
      </c>
      <c r="AK281" s="22">
        <v>1.2634300000000001</v>
      </c>
      <c r="AL281">
        <f t="shared" si="54"/>
        <v>15.300246913580246</v>
      </c>
      <c r="AM281">
        <f t="shared" si="55"/>
        <v>19.349457259259257</v>
      </c>
      <c r="AP281" s="9"/>
      <c r="AQ281" s="22">
        <v>0.23544300000000001</v>
      </c>
      <c r="AR281" s="22">
        <v>24.875</v>
      </c>
      <c r="AS281" s="22">
        <v>-1.39069E-2</v>
      </c>
      <c r="AT281" s="22">
        <v>271</v>
      </c>
      <c r="AU281" s="22">
        <v>0.23489399999999999</v>
      </c>
      <c r="AV281">
        <f t="shared" si="56"/>
        <v>17.169012345679011</v>
      </c>
      <c r="AW281">
        <f t="shared" si="57"/>
        <v>4.0423237737037034</v>
      </c>
      <c r="AX281" s="9"/>
      <c r="AY281" s="22">
        <v>1.2646500000000001</v>
      </c>
      <c r="AZ281" s="22">
        <v>28.2913</v>
      </c>
      <c r="BA281" s="22">
        <v>-1.24695E-2</v>
      </c>
      <c r="BB281" s="22">
        <v>271</v>
      </c>
      <c r="BC281" s="22">
        <v>1.26312</v>
      </c>
      <c r="BD281">
        <f t="shared" si="58"/>
        <v>15.394444444444444</v>
      </c>
      <c r="BE281">
        <f t="shared" si="59"/>
        <v>19.468584166666666</v>
      </c>
    </row>
    <row r="282" spans="6:101">
      <c r="F282" s="9"/>
      <c r="G282" s="22">
        <v>0.230408</v>
      </c>
      <c r="H282" s="22">
        <v>7.7746300000000002</v>
      </c>
      <c r="I282" s="22">
        <v>-1.39221E-2</v>
      </c>
      <c r="J282" s="22">
        <v>272</v>
      </c>
      <c r="K282" s="22">
        <v>0.229828</v>
      </c>
      <c r="L282">
        <f t="shared" si="48"/>
        <v>17.187777777777779</v>
      </c>
      <c r="M282">
        <f t="shared" si="49"/>
        <v>3.9602015022222226</v>
      </c>
      <c r="N282" s="9"/>
      <c r="O282" s="22">
        <v>1.2696799999999999</v>
      </c>
      <c r="P282" s="22">
        <v>11.191000000000001</v>
      </c>
      <c r="Q282" s="22">
        <v>-1.2417600000000001E-2</v>
      </c>
      <c r="R282" s="22">
        <v>272</v>
      </c>
      <c r="S282" s="22">
        <v>1.26892</v>
      </c>
      <c r="T282">
        <f t="shared" si="50"/>
        <v>15.330370370370371</v>
      </c>
      <c r="U282">
        <f t="shared" si="51"/>
        <v>19.464664651851852</v>
      </c>
      <c r="X282" s="9"/>
      <c r="Y282" s="22">
        <v>0.230408</v>
      </c>
      <c r="Z282" s="22">
        <v>16.290800000000001</v>
      </c>
      <c r="AA282" s="22">
        <v>-1.39191E-2</v>
      </c>
      <c r="AB282" s="22">
        <v>272</v>
      </c>
      <c r="AC282" s="22">
        <v>0.22985800000000001</v>
      </c>
      <c r="AD282">
        <f t="shared" si="52"/>
        <v>17.184074074074076</v>
      </c>
      <c r="AE282">
        <f t="shared" si="53"/>
        <v>3.9593481392592595</v>
      </c>
      <c r="AF282" s="9"/>
      <c r="AG282" s="22">
        <v>1.2696799999999999</v>
      </c>
      <c r="AH282" s="22">
        <v>19.7072</v>
      </c>
      <c r="AI282" s="22">
        <v>-1.2377900000000001E-2</v>
      </c>
      <c r="AJ282" s="22">
        <v>272</v>
      </c>
      <c r="AK282" s="22">
        <v>1.2686200000000001</v>
      </c>
      <c r="AL282">
        <f t="shared" si="54"/>
        <v>15.281358024691359</v>
      </c>
      <c r="AM282">
        <f t="shared" si="55"/>
        <v>19.402434656790124</v>
      </c>
      <c r="AP282" s="9"/>
      <c r="AQ282" s="22">
        <v>0.230408</v>
      </c>
      <c r="AR282" s="22">
        <v>24.885100000000001</v>
      </c>
      <c r="AS282" s="22">
        <v>-1.3913E-2</v>
      </c>
      <c r="AT282" s="22">
        <v>272</v>
      </c>
      <c r="AU282" s="22">
        <v>0.22985800000000001</v>
      </c>
      <c r="AV282">
        <f t="shared" si="56"/>
        <v>17.176543209876542</v>
      </c>
      <c r="AW282">
        <f t="shared" si="57"/>
        <v>3.9576129679012344</v>
      </c>
      <c r="AX282" s="9"/>
      <c r="AY282" s="22">
        <v>1.2696799999999999</v>
      </c>
      <c r="AZ282" s="22">
        <v>28.301400000000001</v>
      </c>
      <c r="BA282" s="22">
        <v>-1.24268E-2</v>
      </c>
      <c r="BB282" s="22">
        <v>272</v>
      </c>
      <c r="BC282" s="22">
        <v>1.26892</v>
      </c>
      <c r="BD282">
        <f t="shared" si="58"/>
        <v>15.341728395061727</v>
      </c>
      <c r="BE282">
        <f t="shared" si="59"/>
        <v>19.479085708641971</v>
      </c>
    </row>
    <row r="283" spans="6:101">
      <c r="F283" s="9"/>
      <c r="G283" s="22">
        <v>0.22537199999999999</v>
      </c>
      <c r="H283" s="22">
        <v>7.7847</v>
      </c>
      <c r="I283" s="22">
        <v>-1.39221E-2</v>
      </c>
      <c r="J283" s="22">
        <v>273</v>
      </c>
      <c r="K283" s="22">
        <v>0.22479199999999999</v>
      </c>
      <c r="L283">
        <f t="shared" si="48"/>
        <v>17.187777777777779</v>
      </c>
      <c r="M283">
        <f t="shared" si="49"/>
        <v>3.8736438533333333</v>
      </c>
      <c r="N283" s="9"/>
      <c r="O283" s="22">
        <v>1.2747200000000001</v>
      </c>
      <c r="P283" s="22">
        <v>11.2011</v>
      </c>
      <c r="Q283" s="22">
        <v>-1.23871E-2</v>
      </c>
      <c r="R283" s="22">
        <v>273</v>
      </c>
      <c r="S283" s="22">
        <v>1.2738</v>
      </c>
      <c r="T283">
        <f t="shared" si="50"/>
        <v>15.292716049382715</v>
      </c>
      <c r="U283">
        <f t="shared" si="51"/>
        <v>19.493931002469136</v>
      </c>
      <c r="X283" s="9"/>
      <c r="Y283" s="22">
        <v>0.22537199999999999</v>
      </c>
      <c r="Z283" s="22">
        <v>16.300899999999999</v>
      </c>
      <c r="AA283" s="22">
        <v>-1.39221E-2</v>
      </c>
      <c r="AB283" s="22">
        <v>273</v>
      </c>
      <c r="AC283" s="22">
        <v>0.224915</v>
      </c>
      <c r="AD283">
        <f t="shared" si="52"/>
        <v>17.187777777777779</v>
      </c>
      <c r="AE283">
        <f t="shared" si="53"/>
        <v>3.8736438533333333</v>
      </c>
      <c r="AF283" s="9"/>
      <c r="AG283" s="22">
        <v>1.2747200000000001</v>
      </c>
      <c r="AH283" s="22">
        <v>19.717300000000002</v>
      </c>
      <c r="AI283" s="22">
        <v>-1.23474E-2</v>
      </c>
      <c r="AJ283" s="22">
        <v>273</v>
      </c>
      <c r="AK283" s="22">
        <v>1.2735000000000001</v>
      </c>
      <c r="AL283">
        <f t="shared" si="54"/>
        <v>15.243703703703702</v>
      </c>
      <c r="AM283">
        <f t="shared" si="55"/>
        <v>19.431453985185183</v>
      </c>
      <c r="AP283" s="9"/>
      <c r="AQ283" s="22">
        <v>0.22537199999999999</v>
      </c>
      <c r="AR283" s="22">
        <v>24.895099999999999</v>
      </c>
      <c r="AS283" s="22">
        <v>-1.3913E-2</v>
      </c>
      <c r="AT283" s="22">
        <v>273</v>
      </c>
      <c r="AU283" s="22">
        <v>0.224823</v>
      </c>
      <c r="AV283">
        <f t="shared" si="56"/>
        <v>17.176543209876542</v>
      </c>
      <c r="AW283">
        <f t="shared" si="57"/>
        <v>3.8711118962962958</v>
      </c>
      <c r="AX283" s="9"/>
      <c r="AY283" s="22">
        <v>1.2747200000000001</v>
      </c>
      <c r="AZ283" s="22">
        <v>28.311499999999999</v>
      </c>
      <c r="BA283" s="22">
        <v>-1.23932E-2</v>
      </c>
      <c r="BB283" s="22">
        <v>273</v>
      </c>
      <c r="BC283" s="22">
        <v>1.2741100000000001</v>
      </c>
      <c r="BD283">
        <f t="shared" si="58"/>
        <v>15.300246913580246</v>
      </c>
      <c r="BE283">
        <f t="shared" si="59"/>
        <v>19.503530745679011</v>
      </c>
    </row>
    <row r="284" spans="6:101">
      <c r="F284" s="9"/>
      <c r="G284" s="22">
        <v>0.22033700000000001</v>
      </c>
      <c r="H284" s="22">
        <v>7.7947800000000003</v>
      </c>
      <c r="I284" s="22">
        <v>-1.39221E-2</v>
      </c>
      <c r="J284" s="22">
        <v>274</v>
      </c>
      <c r="K284" s="22">
        <v>0.21981800000000001</v>
      </c>
      <c r="L284">
        <f t="shared" si="48"/>
        <v>17.187777777777779</v>
      </c>
      <c r="M284">
        <f t="shared" si="49"/>
        <v>3.7871033922222224</v>
      </c>
      <c r="N284" s="9"/>
      <c r="O284" s="22">
        <v>1.2797499999999999</v>
      </c>
      <c r="P284" s="22">
        <v>11.2111</v>
      </c>
      <c r="Q284" s="22">
        <v>-1.2356600000000001E-2</v>
      </c>
      <c r="R284" s="22">
        <v>274</v>
      </c>
      <c r="S284" s="22">
        <v>1.2789900000000001</v>
      </c>
      <c r="T284">
        <f t="shared" si="50"/>
        <v>15.255061728395061</v>
      </c>
      <c r="U284">
        <f t="shared" si="51"/>
        <v>19.522665246913579</v>
      </c>
      <c r="X284" s="9"/>
      <c r="Y284" s="22">
        <v>0.22033700000000001</v>
      </c>
      <c r="Z284" s="22">
        <v>16.311</v>
      </c>
      <c r="AA284" s="22">
        <v>-1.3931300000000001E-2</v>
      </c>
      <c r="AB284" s="22">
        <v>274</v>
      </c>
      <c r="AC284" s="22">
        <v>0.21978800000000001</v>
      </c>
      <c r="AD284">
        <f t="shared" si="52"/>
        <v>17.199135802469137</v>
      </c>
      <c r="AE284">
        <f t="shared" si="53"/>
        <v>3.7896059853086421</v>
      </c>
      <c r="AF284" s="9"/>
      <c r="AG284" s="22">
        <v>1.2797499999999999</v>
      </c>
      <c r="AH284" s="22">
        <v>19.7273</v>
      </c>
      <c r="AI284" s="22">
        <v>-1.23169E-2</v>
      </c>
      <c r="AJ284" s="22">
        <v>274</v>
      </c>
      <c r="AK284" s="22">
        <v>1.2786900000000001</v>
      </c>
      <c r="AL284">
        <f t="shared" si="54"/>
        <v>15.206049382716049</v>
      </c>
      <c r="AM284">
        <f t="shared" si="55"/>
        <v>19.459941697530862</v>
      </c>
      <c r="AP284" s="9"/>
      <c r="AQ284" s="22">
        <v>0.22033700000000001</v>
      </c>
      <c r="AR284" s="22">
        <v>24.905200000000001</v>
      </c>
      <c r="AS284" s="22">
        <v>-1.3913E-2</v>
      </c>
      <c r="AT284" s="22">
        <v>274</v>
      </c>
      <c r="AU284" s="22">
        <v>0.219666</v>
      </c>
      <c r="AV284">
        <f t="shared" si="56"/>
        <v>17.176543209876542</v>
      </c>
      <c r="AW284">
        <f t="shared" si="57"/>
        <v>3.7846280012345677</v>
      </c>
      <c r="AX284" s="9"/>
      <c r="AY284" s="22">
        <v>1.2797499999999999</v>
      </c>
      <c r="AZ284" s="22">
        <v>28.3215</v>
      </c>
      <c r="BA284" s="22">
        <v>-1.23596E-2</v>
      </c>
      <c r="BB284" s="22">
        <v>274</v>
      </c>
      <c r="BC284" s="22">
        <v>1.2786900000000001</v>
      </c>
      <c r="BD284">
        <f t="shared" si="58"/>
        <v>15.258765432098766</v>
      </c>
      <c r="BE284">
        <f t="shared" si="59"/>
        <v>19.527405061728395</v>
      </c>
    </row>
    <row r="285" spans="6:101">
      <c r="F285" s="9"/>
      <c r="G285" s="22">
        <v>0.21530199999999999</v>
      </c>
      <c r="H285" s="22">
        <v>7.8048500000000001</v>
      </c>
      <c r="I285" s="22">
        <v>-1.39252E-2</v>
      </c>
      <c r="J285" s="22">
        <v>275</v>
      </c>
      <c r="K285" s="22">
        <v>0.21484400000000001</v>
      </c>
      <c r="L285">
        <f t="shared" si="48"/>
        <v>17.191604938271606</v>
      </c>
      <c r="M285">
        <f t="shared" si="49"/>
        <v>3.7013869264197532</v>
      </c>
      <c r="N285" s="9"/>
      <c r="O285" s="22">
        <v>1.2847900000000001</v>
      </c>
      <c r="P285" s="22">
        <v>11.2212</v>
      </c>
      <c r="Q285" s="22">
        <v>-1.2335199999999999E-2</v>
      </c>
      <c r="R285" s="22">
        <v>275</v>
      </c>
      <c r="S285" s="22">
        <v>1.2838700000000001</v>
      </c>
      <c r="T285">
        <f t="shared" si="50"/>
        <v>15.228641975308641</v>
      </c>
      <c r="U285">
        <f t="shared" si="51"/>
        <v>19.565606923456791</v>
      </c>
      <c r="X285" s="9"/>
      <c r="Y285" s="22">
        <v>0.21530199999999999</v>
      </c>
      <c r="Z285" s="22">
        <v>16.321100000000001</v>
      </c>
      <c r="AA285" s="22">
        <v>-1.39343E-2</v>
      </c>
      <c r="AB285" s="22">
        <v>275</v>
      </c>
      <c r="AC285" s="22">
        <v>0.21466099999999999</v>
      </c>
      <c r="AD285">
        <f t="shared" si="52"/>
        <v>17.202839506172836</v>
      </c>
      <c r="AE285">
        <f t="shared" si="53"/>
        <v>3.7038057513580238</v>
      </c>
      <c r="AF285" s="9"/>
      <c r="AG285" s="22">
        <v>1.2847900000000001</v>
      </c>
      <c r="AH285" s="22">
        <v>19.737400000000001</v>
      </c>
      <c r="AI285" s="22">
        <v>-1.22925E-2</v>
      </c>
      <c r="AJ285" s="22">
        <v>275</v>
      </c>
      <c r="AK285" s="22">
        <v>1.2835700000000001</v>
      </c>
      <c r="AL285">
        <f t="shared" si="54"/>
        <v>15.175925925925924</v>
      </c>
      <c r="AM285">
        <f t="shared" si="55"/>
        <v>19.49787787037037</v>
      </c>
      <c r="AP285" s="9"/>
      <c r="AQ285" s="22">
        <v>0.21530199999999999</v>
      </c>
      <c r="AR285" s="22">
        <v>24.915299999999998</v>
      </c>
      <c r="AS285" s="22">
        <v>-1.3909899999999999E-2</v>
      </c>
      <c r="AT285" s="22">
        <v>275</v>
      </c>
      <c r="AU285" s="22">
        <v>0.21469099999999999</v>
      </c>
      <c r="AV285">
        <f t="shared" si="56"/>
        <v>17.172716049382714</v>
      </c>
      <c r="AW285">
        <f t="shared" si="57"/>
        <v>3.6973201108641969</v>
      </c>
      <c r="AX285" s="9"/>
      <c r="AY285" s="22">
        <v>1.2847900000000001</v>
      </c>
      <c r="AZ285" s="22">
        <v>28.331600000000002</v>
      </c>
      <c r="BA285" s="22">
        <v>-1.23322E-2</v>
      </c>
      <c r="BB285" s="22">
        <v>275</v>
      </c>
      <c r="BC285" s="22">
        <v>1.2835700000000001</v>
      </c>
      <c r="BD285">
        <f t="shared" si="58"/>
        <v>15.224938271604938</v>
      </c>
      <c r="BE285">
        <f t="shared" si="59"/>
        <v>19.56084844197531</v>
      </c>
    </row>
    <row r="286" spans="6:101">
      <c r="F286" s="9"/>
      <c r="G286" s="22">
        <v>0.21026600000000001</v>
      </c>
      <c r="H286" s="22">
        <v>7.8149199999999999</v>
      </c>
      <c r="I286" s="22">
        <v>-1.3931300000000001E-2</v>
      </c>
      <c r="J286" s="22">
        <v>276</v>
      </c>
      <c r="K286" s="22">
        <v>0.20962500000000001</v>
      </c>
      <c r="L286">
        <f t="shared" si="48"/>
        <v>17.199135802469137</v>
      </c>
      <c r="M286">
        <f t="shared" si="49"/>
        <v>3.6163934886419757</v>
      </c>
      <c r="N286" s="9"/>
      <c r="O286" s="22">
        <v>1.28983</v>
      </c>
      <c r="P286" s="22">
        <v>11.231299999999999</v>
      </c>
      <c r="Q286" s="22">
        <v>-1.23108E-2</v>
      </c>
      <c r="R286" s="22">
        <v>276</v>
      </c>
      <c r="S286" s="22">
        <v>1.2890600000000001</v>
      </c>
      <c r="T286">
        <f t="shared" si="50"/>
        <v>15.198518518518517</v>
      </c>
      <c r="U286">
        <f t="shared" si="51"/>
        <v>19.60350514074074</v>
      </c>
      <c r="X286" s="9"/>
      <c r="Y286" s="22">
        <v>0.21026600000000001</v>
      </c>
      <c r="Z286" s="22">
        <v>16.331099999999999</v>
      </c>
      <c r="AA286" s="22">
        <v>-1.3937400000000001E-2</v>
      </c>
      <c r="AB286" s="22">
        <v>276</v>
      </c>
      <c r="AC286" s="22">
        <v>0.209595</v>
      </c>
      <c r="AD286">
        <f t="shared" si="52"/>
        <v>17.206666666666667</v>
      </c>
      <c r="AE286">
        <f t="shared" si="53"/>
        <v>3.6179769733333336</v>
      </c>
      <c r="AF286" s="9"/>
      <c r="AG286" s="22">
        <v>1.28983</v>
      </c>
      <c r="AH286" s="22">
        <v>19.747499999999999</v>
      </c>
      <c r="AI286" s="22">
        <v>-1.22772E-2</v>
      </c>
      <c r="AJ286" s="22">
        <v>276</v>
      </c>
      <c r="AK286" s="22">
        <v>1.2887599999999999</v>
      </c>
      <c r="AL286">
        <f t="shared" si="54"/>
        <v>15.157037037037037</v>
      </c>
      <c r="AM286">
        <f t="shared" si="55"/>
        <v>19.550001081481483</v>
      </c>
      <c r="AP286" s="9"/>
      <c r="AQ286" s="22">
        <v>0.21026600000000001</v>
      </c>
      <c r="AR286" s="22">
        <v>24.9253</v>
      </c>
      <c r="AS286" s="22">
        <v>-1.3903799999999999E-2</v>
      </c>
      <c r="AT286" s="22">
        <v>276</v>
      </c>
      <c r="AU286" s="22">
        <v>0.20965600000000001</v>
      </c>
      <c r="AV286">
        <f t="shared" si="56"/>
        <v>17.165185185185184</v>
      </c>
      <c r="AW286">
        <f t="shared" si="57"/>
        <v>3.6092548281481478</v>
      </c>
      <c r="AX286" s="9"/>
      <c r="AY286" s="22">
        <v>1.28983</v>
      </c>
      <c r="AZ286" s="22">
        <v>28.341699999999999</v>
      </c>
      <c r="BA286" s="22">
        <v>-1.23199E-2</v>
      </c>
      <c r="BB286" s="22">
        <v>276</v>
      </c>
      <c r="BC286" s="22">
        <v>1.2890600000000001</v>
      </c>
      <c r="BD286">
        <f t="shared" si="58"/>
        <v>15.209753086419752</v>
      </c>
      <c r="BE286">
        <f t="shared" si="59"/>
        <v>19.617995823456791</v>
      </c>
    </row>
    <row r="287" spans="6:101">
      <c r="F287" s="9"/>
      <c r="G287" s="22">
        <v>0.205231</v>
      </c>
      <c r="H287" s="22">
        <v>7.8249899999999997</v>
      </c>
      <c r="I287" s="22">
        <v>-1.39221E-2</v>
      </c>
      <c r="J287" s="22">
        <v>277</v>
      </c>
      <c r="K287" s="22">
        <v>0.204651</v>
      </c>
      <c r="L287">
        <f t="shared" si="48"/>
        <v>17.187777777777779</v>
      </c>
      <c r="M287">
        <f t="shared" si="49"/>
        <v>3.5274648211111113</v>
      </c>
      <c r="N287" s="9"/>
      <c r="O287" s="22">
        <v>1.2948599999999999</v>
      </c>
      <c r="P287" s="22">
        <v>11.241300000000001</v>
      </c>
      <c r="Q287" s="22">
        <v>-1.2280299999999999E-2</v>
      </c>
      <c r="R287" s="22">
        <v>277</v>
      </c>
      <c r="S287" s="22">
        <v>1.2942499999999999</v>
      </c>
      <c r="T287">
        <f t="shared" si="50"/>
        <v>15.160864197530863</v>
      </c>
      <c r="U287">
        <f t="shared" si="51"/>
        <v>19.631196614814812</v>
      </c>
      <c r="X287" s="9"/>
      <c r="Y287" s="22">
        <v>0.205231</v>
      </c>
      <c r="Z287" s="22">
        <v>16.341200000000001</v>
      </c>
      <c r="AA287" s="22">
        <v>-1.39404E-2</v>
      </c>
      <c r="AB287" s="22">
        <v>277</v>
      </c>
      <c r="AC287" s="22">
        <v>0.204651</v>
      </c>
      <c r="AD287">
        <f t="shared" si="52"/>
        <v>17.21037037037037</v>
      </c>
      <c r="AE287">
        <f t="shared" si="53"/>
        <v>3.5321015214814815</v>
      </c>
      <c r="AF287" s="9"/>
      <c r="AG287" s="22">
        <v>1.2948599999999999</v>
      </c>
      <c r="AH287" s="22">
        <v>19.7575</v>
      </c>
      <c r="AI287" s="22">
        <v>-1.2246699999999999E-2</v>
      </c>
      <c r="AJ287" s="22">
        <v>277</v>
      </c>
      <c r="AK287" s="22">
        <v>1.2936399999999999</v>
      </c>
      <c r="AL287">
        <f t="shared" si="54"/>
        <v>15.11938271604938</v>
      </c>
      <c r="AM287">
        <f t="shared" si="55"/>
        <v>19.577483903703698</v>
      </c>
      <c r="AP287" s="9"/>
      <c r="AQ287" s="22">
        <v>0.205231</v>
      </c>
      <c r="AR287" s="22">
        <v>24.935400000000001</v>
      </c>
      <c r="AS287" s="22">
        <v>-1.39069E-2</v>
      </c>
      <c r="AT287" s="22">
        <v>277</v>
      </c>
      <c r="AU287" s="22">
        <v>0.204651</v>
      </c>
      <c r="AV287">
        <f t="shared" si="56"/>
        <v>17.169012345679011</v>
      </c>
      <c r="AW287">
        <f t="shared" si="57"/>
        <v>3.5236135727160489</v>
      </c>
      <c r="AX287" s="9"/>
      <c r="AY287" s="22">
        <v>1.2948599999999999</v>
      </c>
      <c r="AZ287" s="22">
        <v>28.351800000000001</v>
      </c>
      <c r="BA287" s="22">
        <v>-1.2301599999999999E-2</v>
      </c>
      <c r="BB287" s="22">
        <v>277</v>
      </c>
      <c r="BC287" s="22">
        <v>1.2942499999999999</v>
      </c>
      <c r="BD287">
        <f t="shared" si="58"/>
        <v>15.187160493827157</v>
      </c>
      <c r="BE287">
        <f t="shared" si="59"/>
        <v>19.665246637037033</v>
      </c>
    </row>
    <row r="288" spans="6:101">
      <c r="F288" s="9"/>
      <c r="G288" s="22">
        <v>0.20019500000000001</v>
      </c>
      <c r="H288" s="22">
        <v>7.8350600000000004</v>
      </c>
      <c r="I288" s="22">
        <v>-1.39191E-2</v>
      </c>
      <c r="J288" s="22">
        <v>278</v>
      </c>
      <c r="K288" s="22">
        <v>0.19967699999999999</v>
      </c>
      <c r="L288">
        <f t="shared" si="48"/>
        <v>17.184074074074076</v>
      </c>
      <c r="M288">
        <f t="shared" si="49"/>
        <v>3.4401657092592597</v>
      </c>
      <c r="N288" s="9"/>
      <c r="O288" s="22">
        <v>1.2999000000000001</v>
      </c>
      <c r="P288" s="22">
        <v>11.2514</v>
      </c>
      <c r="Q288" s="22">
        <v>-1.2262E-2</v>
      </c>
      <c r="R288" s="22">
        <v>278</v>
      </c>
      <c r="S288" s="22">
        <v>1.2991299999999999</v>
      </c>
      <c r="T288">
        <f t="shared" si="50"/>
        <v>15.138271604938272</v>
      </c>
      <c r="U288">
        <f t="shared" si="51"/>
        <v>19.678239259259261</v>
      </c>
      <c r="X288" s="9"/>
      <c r="Y288" s="22">
        <v>0.20019500000000001</v>
      </c>
      <c r="Z288" s="22">
        <v>16.351299999999998</v>
      </c>
      <c r="AA288" s="22">
        <v>-1.39404E-2</v>
      </c>
      <c r="AB288" s="22">
        <v>278</v>
      </c>
      <c r="AC288" s="22">
        <v>0.19961499999999999</v>
      </c>
      <c r="AD288">
        <f t="shared" si="52"/>
        <v>17.21037037037037</v>
      </c>
      <c r="AE288">
        <f t="shared" si="53"/>
        <v>3.4454300962962963</v>
      </c>
      <c r="AF288" s="9"/>
      <c r="AG288" s="22">
        <v>1.2999000000000001</v>
      </c>
      <c r="AH288" s="22">
        <v>19.767600000000002</v>
      </c>
      <c r="AI288" s="22">
        <v>-1.22101E-2</v>
      </c>
      <c r="AJ288" s="22">
        <v>278</v>
      </c>
      <c r="AK288" s="22">
        <v>1.2997399999999999</v>
      </c>
      <c r="AL288">
        <f t="shared" si="54"/>
        <v>15.074197530864195</v>
      </c>
      <c r="AM288">
        <f t="shared" si="55"/>
        <v>19.594949370370369</v>
      </c>
      <c r="AP288" s="9"/>
      <c r="AQ288" s="22">
        <v>0.20019500000000001</v>
      </c>
      <c r="AR288" s="22">
        <v>24.945499999999999</v>
      </c>
      <c r="AS288" s="22">
        <v>-1.39191E-2</v>
      </c>
      <c r="AT288" s="22">
        <v>278</v>
      </c>
      <c r="AU288" s="22">
        <v>0.19961499999999999</v>
      </c>
      <c r="AV288">
        <f t="shared" si="56"/>
        <v>17.184074074074076</v>
      </c>
      <c r="AW288">
        <f t="shared" si="57"/>
        <v>3.4401657092592597</v>
      </c>
      <c r="AX288" s="9"/>
      <c r="AY288" s="22">
        <v>1.2999000000000001</v>
      </c>
      <c r="AZ288" s="22">
        <v>28.361799999999999</v>
      </c>
      <c r="BA288" s="22">
        <v>-1.22925E-2</v>
      </c>
      <c r="BB288" s="22">
        <v>278</v>
      </c>
      <c r="BC288" s="22">
        <v>1.2988299999999999</v>
      </c>
      <c r="BD288">
        <f t="shared" si="58"/>
        <v>15.175925925925924</v>
      </c>
      <c r="BE288">
        <f t="shared" si="59"/>
        <v>19.727186111111109</v>
      </c>
    </row>
    <row r="289" spans="6:57">
      <c r="F289" s="9"/>
      <c r="G289" s="22">
        <v>0.19516</v>
      </c>
      <c r="H289" s="22">
        <v>7.8451300000000002</v>
      </c>
      <c r="I289" s="22">
        <v>-1.39252E-2</v>
      </c>
      <c r="J289" s="22">
        <v>279</v>
      </c>
      <c r="K289" s="22">
        <v>0.19455</v>
      </c>
      <c r="L289">
        <f t="shared" si="48"/>
        <v>17.191604938271606</v>
      </c>
      <c r="M289">
        <f t="shared" si="49"/>
        <v>3.3551136197530869</v>
      </c>
      <c r="N289" s="9"/>
      <c r="O289" s="22">
        <v>1.3049299999999999</v>
      </c>
      <c r="P289" s="22">
        <v>11.2615</v>
      </c>
      <c r="Q289" s="22">
        <v>-1.22223E-2</v>
      </c>
      <c r="R289" s="22">
        <v>279</v>
      </c>
      <c r="S289" s="22">
        <v>1.30402</v>
      </c>
      <c r="T289">
        <f t="shared" si="50"/>
        <v>15.08925925925926</v>
      </c>
      <c r="U289">
        <f t="shared" si="51"/>
        <v>19.690427085185185</v>
      </c>
      <c r="X289" s="9"/>
      <c r="Y289" s="22">
        <v>0.19516</v>
      </c>
      <c r="Z289" s="22">
        <v>16.3613</v>
      </c>
      <c r="AA289" s="22">
        <v>-1.3937400000000001E-2</v>
      </c>
      <c r="AB289" s="22">
        <v>279</v>
      </c>
      <c r="AC289" s="22">
        <v>0.19455</v>
      </c>
      <c r="AD289">
        <f t="shared" si="52"/>
        <v>17.206666666666667</v>
      </c>
      <c r="AE289">
        <f t="shared" si="53"/>
        <v>3.3580530666666668</v>
      </c>
      <c r="AF289" s="9"/>
      <c r="AG289" s="22">
        <v>1.3049299999999999</v>
      </c>
      <c r="AH289" s="22">
        <v>19.777699999999999</v>
      </c>
      <c r="AI289" s="22">
        <v>-1.2191799999999999E-2</v>
      </c>
      <c r="AJ289" s="22">
        <v>279</v>
      </c>
      <c r="AK289" s="22">
        <v>1.3037099999999999</v>
      </c>
      <c r="AL289">
        <f t="shared" si="54"/>
        <v>15.051604938271602</v>
      </c>
      <c r="AM289">
        <f t="shared" si="55"/>
        <v>19.641290832098761</v>
      </c>
      <c r="AP289" s="9"/>
      <c r="AQ289" s="22">
        <v>0.19516</v>
      </c>
      <c r="AR289" s="22">
        <v>24.9556</v>
      </c>
      <c r="AS289" s="22">
        <v>-1.3931300000000001E-2</v>
      </c>
      <c r="AT289" s="22">
        <v>279</v>
      </c>
      <c r="AU289" s="22">
        <v>0.194519</v>
      </c>
      <c r="AV289">
        <f t="shared" si="56"/>
        <v>17.199135802469137</v>
      </c>
      <c r="AW289">
        <f t="shared" si="57"/>
        <v>3.3565833432098766</v>
      </c>
      <c r="AX289" s="9"/>
      <c r="AY289" s="22">
        <v>1.3049299999999999</v>
      </c>
      <c r="AZ289" s="22">
        <v>28.3719</v>
      </c>
      <c r="BA289" s="22">
        <v>-1.2262E-2</v>
      </c>
      <c r="BB289" s="22">
        <v>279</v>
      </c>
      <c r="BC289" s="22">
        <v>1.30402</v>
      </c>
      <c r="BD289">
        <f t="shared" si="58"/>
        <v>15.138271604938272</v>
      </c>
      <c r="BE289">
        <f t="shared" si="59"/>
        <v>19.754384765432096</v>
      </c>
    </row>
    <row r="290" spans="6:57">
      <c r="F290" s="9"/>
      <c r="G290" s="22">
        <v>0.19012499999999999</v>
      </c>
      <c r="H290" s="22">
        <v>7.8552</v>
      </c>
      <c r="I290" s="22">
        <v>-1.39343E-2</v>
      </c>
      <c r="J290" s="22">
        <v>280</v>
      </c>
      <c r="K290" s="22">
        <v>0.18957499999999999</v>
      </c>
      <c r="L290">
        <f t="shared" si="48"/>
        <v>17.202839506172836</v>
      </c>
      <c r="M290">
        <f t="shared" si="49"/>
        <v>3.2706898611111104</v>
      </c>
      <c r="N290" s="9"/>
      <c r="O290" s="22">
        <v>1.3099700000000001</v>
      </c>
      <c r="P290" s="22">
        <v>11.2715</v>
      </c>
      <c r="Q290" s="22">
        <v>-1.21887E-2</v>
      </c>
      <c r="R290" s="22">
        <v>280</v>
      </c>
      <c r="S290" s="22">
        <v>1.3091999999999999</v>
      </c>
      <c r="T290">
        <f t="shared" si="50"/>
        <v>15.047777777777776</v>
      </c>
      <c r="U290">
        <f t="shared" si="51"/>
        <v>19.712137455555556</v>
      </c>
      <c r="X290" s="9"/>
      <c r="Y290" s="22">
        <v>0.19012499999999999</v>
      </c>
      <c r="Z290" s="22">
        <v>16.371400000000001</v>
      </c>
      <c r="AA290" s="22">
        <v>-1.3937400000000001E-2</v>
      </c>
      <c r="AB290" s="22">
        <v>280</v>
      </c>
      <c r="AC290" s="22">
        <v>0.18951399999999999</v>
      </c>
      <c r="AD290">
        <f t="shared" si="52"/>
        <v>17.206666666666667</v>
      </c>
      <c r="AE290">
        <f t="shared" si="53"/>
        <v>3.2714174999999996</v>
      </c>
      <c r="AF290" s="9"/>
      <c r="AG290" s="22">
        <v>1.3099700000000001</v>
      </c>
      <c r="AH290" s="22">
        <v>19.787800000000001</v>
      </c>
      <c r="AI290" s="22">
        <v>-1.2164299999999999E-2</v>
      </c>
      <c r="AJ290" s="22">
        <v>280</v>
      </c>
      <c r="AK290" s="22">
        <v>1.3085899999999999</v>
      </c>
      <c r="AL290">
        <f t="shared" si="54"/>
        <v>15.017654320987653</v>
      </c>
      <c r="AM290">
        <f t="shared" si="55"/>
        <v>19.672676630864196</v>
      </c>
      <c r="AP290" s="9"/>
      <c r="AQ290" s="22">
        <v>0.19012499999999999</v>
      </c>
      <c r="AR290" s="22">
        <v>24.965599999999998</v>
      </c>
      <c r="AS290" s="22">
        <v>-1.39343E-2</v>
      </c>
      <c r="AT290" s="22">
        <v>280</v>
      </c>
      <c r="AU290" s="22">
        <v>0.18957499999999999</v>
      </c>
      <c r="AV290">
        <f t="shared" si="56"/>
        <v>17.202839506172836</v>
      </c>
      <c r="AW290">
        <f t="shared" si="57"/>
        <v>3.2706898611111104</v>
      </c>
      <c r="AX290" s="9"/>
      <c r="AY290" s="22">
        <v>1.3099700000000001</v>
      </c>
      <c r="AZ290" s="22">
        <v>28.382000000000001</v>
      </c>
      <c r="BA290" s="22">
        <v>-1.22223E-2</v>
      </c>
      <c r="BB290" s="22">
        <v>280</v>
      </c>
      <c r="BC290" s="22">
        <v>1.30951</v>
      </c>
      <c r="BD290">
        <f t="shared" si="58"/>
        <v>15.08925925925926</v>
      </c>
      <c r="BE290">
        <f t="shared" si="59"/>
        <v>19.766476951851853</v>
      </c>
    </row>
    <row r="291" spans="6:57">
      <c r="F291" s="9"/>
      <c r="G291" s="22">
        <v>0.185089</v>
      </c>
      <c r="H291" s="22">
        <v>7.8652699999999998</v>
      </c>
      <c r="I291" s="22">
        <v>-1.3937400000000001E-2</v>
      </c>
      <c r="J291" s="22">
        <v>281</v>
      </c>
      <c r="K291" s="22">
        <v>0.184448</v>
      </c>
      <c r="L291">
        <f t="shared" si="48"/>
        <v>17.206666666666667</v>
      </c>
      <c r="M291">
        <f t="shared" si="49"/>
        <v>3.1847647266666668</v>
      </c>
      <c r="N291" s="9"/>
      <c r="O291" s="22">
        <v>1.3149999999999999</v>
      </c>
      <c r="P291" s="22">
        <v>11.281599999999999</v>
      </c>
      <c r="Q291" s="22">
        <v>-1.21429E-2</v>
      </c>
      <c r="R291" s="22">
        <v>281</v>
      </c>
      <c r="S291" s="22">
        <v>1.3137799999999999</v>
      </c>
      <c r="T291">
        <f t="shared" si="50"/>
        <v>14.991234567901234</v>
      </c>
      <c r="U291">
        <f t="shared" si="51"/>
        <v>19.713473456790123</v>
      </c>
      <c r="X291" s="9"/>
      <c r="Y291" s="22">
        <v>0.185089</v>
      </c>
      <c r="Z291" s="22">
        <v>16.381499999999999</v>
      </c>
      <c r="AA291" s="22">
        <v>-1.3937400000000001E-2</v>
      </c>
      <c r="AB291" s="22">
        <v>281</v>
      </c>
      <c r="AC291" s="22">
        <v>0.18454000000000001</v>
      </c>
      <c r="AD291">
        <f t="shared" si="52"/>
        <v>17.206666666666667</v>
      </c>
      <c r="AE291">
        <f t="shared" si="53"/>
        <v>3.1847647266666668</v>
      </c>
      <c r="AF291" s="9"/>
      <c r="AG291" s="22">
        <v>1.3149999999999999</v>
      </c>
      <c r="AH291" s="22">
        <v>19.797799999999999</v>
      </c>
      <c r="AI291" s="22">
        <v>-1.21368E-2</v>
      </c>
      <c r="AJ291" s="22">
        <v>281</v>
      </c>
      <c r="AK291" s="22">
        <v>1.31409</v>
      </c>
      <c r="AL291">
        <f t="shared" si="54"/>
        <v>14.983703703703702</v>
      </c>
      <c r="AM291">
        <f t="shared" si="55"/>
        <v>19.703570370370368</v>
      </c>
      <c r="AP291" s="9"/>
      <c r="AQ291" s="22">
        <v>0.185089</v>
      </c>
      <c r="AR291" s="22">
        <v>24.9757</v>
      </c>
      <c r="AS291" s="22">
        <v>-1.39343E-2</v>
      </c>
      <c r="AT291" s="22">
        <v>281</v>
      </c>
      <c r="AU291" s="22">
        <v>0.18457000000000001</v>
      </c>
      <c r="AV291">
        <f t="shared" si="56"/>
        <v>17.202839506172836</v>
      </c>
      <c r="AW291">
        <f t="shared" si="57"/>
        <v>3.1840563613580239</v>
      </c>
      <c r="AX291" s="9"/>
      <c r="AY291" s="22">
        <v>1.3149999999999999</v>
      </c>
      <c r="AZ291" s="22">
        <v>28.391999999999999</v>
      </c>
      <c r="BA291" s="22">
        <v>-1.2197899999999999E-2</v>
      </c>
      <c r="BB291" s="22">
        <v>281</v>
      </c>
      <c r="BC291" s="22">
        <v>1.3143899999999999</v>
      </c>
      <c r="BD291">
        <f t="shared" si="58"/>
        <v>15.059135802469134</v>
      </c>
      <c r="BE291">
        <f t="shared" si="59"/>
        <v>19.802763580246911</v>
      </c>
    </row>
    <row r="292" spans="6:57">
      <c r="F292" s="9"/>
      <c r="G292" s="22">
        <v>0.18005399999999999</v>
      </c>
      <c r="H292" s="22">
        <v>7.8753399999999996</v>
      </c>
      <c r="I292" s="22">
        <v>-1.39404E-2</v>
      </c>
      <c r="J292" s="22">
        <v>282</v>
      </c>
      <c r="K292" s="22">
        <v>0.17947399999999999</v>
      </c>
      <c r="L292">
        <f t="shared" si="48"/>
        <v>17.21037037037037</v>
      </c>
      <c r="M292">
        <f t="shared" si="49"/>
        <v>3.0987960266666663</v>
      </c>
      <c r="N292" s="9"/>
      <c r="O292" s="22">
        <v>1.3200400000000001</v>
      </c>
      <c r="P292" s="22">
        <v>11.291700000000001</v>
      </c>
      <c r="Q292" s="22">
        <v>-1.2103300000000001E-2</v>
      </c>
      <c r="R292" s="22">
        <v>282</v>
      </c>
      <c r="S292" s="22">
        <v>1.31897</v>
      </c>
      <c r="T292">
        <f t="shared" si="50"/>
        <v>14.942345679012346</v>
      </c>
      <c r="U292">
        <f t="shared" si="51"/>
        <v>19.724493990123459</v>
      </c>
      <c r="X292" s="9"/>
      <c r="Y292" s="22">
        <v>0.18005399999999999</v>
      </c>
      <c r="Z292" s="22">
        <v>16.391500000000001</v>
      </c>
      <c r="AA292" s="22">
        <v>-1.3943499999999999E-2</v>
      </c>
      <c r="AB292" s="22">
        <v>282</v>
      </c>
      <c r="AC292" s="22">
        <v>0.179535</v>
      </c>
      <c r="AD292">
        <f t="shared" si="52"/>
        <v>17.214197530864197</v>
      </c>
      <c r="AE292">
        <f t="shared" si="53"/>
        <v>3.0994851222222222</v>
      </c>
      <c r="AF292" s="9"/>
      <c r="AG292" s="22">
        <v>1.3200400000000001</v>
      </c>
      <c r="AH292" s="22">
        <v>19.8079</v>
      </c>
      <c r="AI292" s="22">
        <v>-1.20941E-2</v>
      </c>
      <c r="AJ292" s="22">
        <v>282</v>
      </c>
      <c r="AK292" s="22">
        <v>1.31958</v>
      </c>
      <c r="AL292">
        <f t="shared" si="54"/>
        <v>14.930987654320987</v>
      </c>
      <c r="AM292">
        <f t="shared" si="55"/>
        <v>19.709500943209878</v>
      </c>
      <c r="AP292" s="9"/>
      <c r="AQ292" s="22">
        <v>0.18005399999999999</v>
      </c>
      <c r="AR292" s="22">
        <v>24.985800000000001</v>
      </c>
      <c r="AS292" s="22">
        <v>-1.39252E-2</v>
      </c>
      <c r="AT292" s="22">
        <v>282</v>
      </c>
      <c r="AU292" s="22">
        <v>0.179535</v>
      </c>
      <c r="AV292">
        <f t="shared" si="56"/>
        <v>17.191604938271606</v>
      </c>
      <c r="AW292">
        <f t="shared" si="57"/>
        <v>3.0954172355555558</v>
      </c>
      <c r="AX292" s="9"/>
      <c r="AY292" s="22">
        <v>1.3200400000000001</v>
      </c>
      <c r="AZ292" s="22">
        <v>28.402100000000001</v>
      </c>
      <c r="BA292" s="22">
        <v>-1.2149E-2</v>
      </c>
      <c r="BB292" s="22">
        <v>282</v>
      </c>
      <c r="BC292" s="22">
        <v>1.3186599999999999</v>
      </c>
      <c r="BD292">
        <f t="shared" si="58"/>
        <v>14.998765432098764</v>
      </c>
      <c r="BE292">
        <f t="shared" si="59"/>
        <v>19.798970320987653</v>
      </c>
    </row>
    <row r="293" spans="6:57">
      <c r="F293" s="9"/>
      <c r="G293" s="22">
        <v>0.17501800000000001</v>
      </c>
      <c r="H293" s="22">
        <v>7.8854100000000003</v>
      </c>
      <c r="I293" s="22">
        <v>-1.39404E-2</v>
      </c>
      <c r="J293" s="22">
        <v>283</v>
      </c>
      <c r="K293" s="22">
        <v>0.174377</v>
      </c>
      <c r="L293">
        <f t="shared" si="48"/>
        <v>17.21037037037037</v>
      </c>
      <c r="M293">
        <f t="shared" si="49"/>
        <v>3.0121246014814815</v>
      </c>
      <c r="N293" s="9"/>
      <c r="O293" s="22">
        <v>1.32507</v>
      </c>
      <c r="P293" s="22">
        <v>11.3018</v>
      </c>
      <c r="Q293" s="22">
        <v>-1.2069699999999999E-2</v>
      </c>
      <c r="R293" s="22">
        <v>283</v>
      </c>
      <c r="S293" s="22">
        <v>1.32355</v>
      </c>
      <c r="T293">
        <f t="shared" si="50"/>
        <v>14.900864197530863</v>
      </c>
      <c r="U293">
        <f t="shared" si="51"/>
        <v>19.744688122222222</v>
      </c>
      <c r="X293" s="9"/>
      <c r="Y293" s="22">
        <v>0.17501800000000001</v>
      </c>
      <c r="Z293" s="22">
        <v>16.401599999999998</v>
      </c>
      <c r="AA293" s="22">
        <v>-1.39404E-2</v>
      </c>
      <c r="AB293" s="22">
        <v>283</v>
      </c>
      <c r="AC293" s="22">
        <v>0.17452999999999999</v>
      </c>
      <c r="AD293">
        <f t="shared" si="52"/>
        <v>17.21037037037037</v>
      </c>
      <c r="AE293">
        <f t="shared" si="53"/>
        <v>3.0121246014814815</v>
      </c>
      <c r="AF293" s="9"/>
      <c r="AG293" s="22">
        <v>1.32507</v>
      </c>
      <c r="AH293" s="22">
        <v>19.818000000000001</v>
      </c>
      <c r="AI293" s="22">
        <v>-1.20605E-2</v>
      </c>
      <c r="AJ293" s="22">
        <v>283</v>
      </c>
      <c r="AK293" s="22">
        <v>1.32446</v>
      </c>
      <c r="AL293">
        <f t="shared" si="54"/>
        <v>14.889506172839505</v>
      </c>
      <c r="AM293">
        <f t="shared" si="55"/>
        <v>19.729637944444441</v>
      </c>
      <c r="AP293" s="9"/>
      <c r="AQ293" s="22">
        <v>0.17501800000000001</v>
      </c>
      <c r="AR293" s="22">
        <v>24.995799999999999</v>
      </c>
      <c r="AS293" s="22">
        <v>-1.39221E-2</v>
      </c>
      <c r="AT293" s="22">
        <v>283</v>
      </c>
      <c r="AU293" s="22">
        <v>0.174347</v>
      </c>
      <c r="AV293">
        <f t="shared" si="56"/>
        <v>17.187777777777779</v>
      </c>
      <c r="AW293">
        <f t="shared" si="57"/>
        <v>3.0081704911111116</v>
      </c>
      <c r="AX293" s="9"/>
      <c r="AY293" s="22">
        <v>1.32507</v>
      </c>
      <c r="AZ293" s="22">
        <v>28.412199999999999</v>
      </c>
      <c r="BA293" s="22">
        <v>-1.21338E-2</v>
      </c>
      <c r="BB293" s="22">
        <v>283</v>
      </c>
      <c r="BC293" s="22">
        <v>1.32416</v>
      </c>
      <c r="BD293">
        <f t="shared" si="58"/>
        <v>14.979999999999999</v>
      </c>
      <c r="BE293">
        <f t="shared" si="59"/>
        <v>19.849548599999999</v>
      </c>
    </row>
    <row r="294" spans="6:57">
      <c r="F294" s="9"/>
      <c r="G294" s="22">
        <v>0.169983</v>
      </c>
      <c r="H294" s="22">
        <v>7.8954899999999997</v>
      </c>
      <c r="I294" s="22">
        <v>-1.3943499999999999E-2</v>
      </c>
      <c r="J294" s="22">
        <v>284</v>
      </c>
      <c r="K294" s="22">
        <v>0.169464</v>
      </c>
      <c r="L294">
        <f t="shared" si="48"/>
        <v>17.214197530864197</v>
      </c>
      <c r="M294">
        <f t="shared" si="49"/>
        <v>2.9261209388888889</v>
      </c>
      <c r="N294" s="9"/>
      <c r="O294" s="22">
        <v>1.3301099999999999</v>
      </c>
      <c r="P294" s="22">
        <v>11.3118</v>
      </c>
      <c r="Q294" s="22">
        <v>-1.2042199999999999E-2</v>
      </c>
      <c r="R294" s="22">
        <v>284</v>
      </c>
      <c r="S294" s="22">
        <v>1.32935</v>
      </c>
      <c r="T294">
        <f t="shared" si="50"/>
        <v>14.866913580246912</v>
      </c>
      <c r="U294">
        <f t="shared" si="51"/>
        <v>19.77463042222222</v>
      </c>
      <c r="X294" s="9"/>
      <c r="Y294" s="22">
        <v>0.169983</v>
      </c>
      <c r="Z294" s="22">
        <v>16.4117</v>
      </c>
      <c r="AA294" s="22">
        <v>-1.39343E-2</v>
      </c>
      <c r="AB294" s="22">
        <v>284</v>
      </c>
      <c r="AC294" s="22">
        <v>0.169434</v>
      </c>
      <c r="AD294">
        <f t="shared" si="52"/>
        <v>17.202839506172836</v>
      </c>
      <c r="AE294">
        <f t="shared" si="53"/>
        <v>2.9241902677777771</v>
      </c>
      <c r="AF294" s="9"/>
      <c r="AG294" s="22">
        <v>1.3301099999999999</v>
      </c>
      <c r="AH294" s="22">
        <v>19.827999999999999</v>
      </c>
      <c r="AI294" s="22">
        <v>-1.2030000000000001E-2</v>
      </c>
      <c r="AJ294" s="22">
        <v>284</v>
      </c>
      <c r="AK294" s="22">
        <v>1.32935</v>
      </c>
      <c r="AL294">
        <f t="shared" si="54"/>
        <v>14.851851851851853</v>
      </c>
      <c r="AM294">
        <f t="shared" si="55"/>
        <v>19.754596666666668</v>
      </c>
      <c r="AP294" s="9"/>
      <c r="AQ294" s="22">
        <v>0.169983</v>
      </c>
      <c r="AR294" s="22">
        <v>25.0059</v>
      </c>
      <c r="AS294" s="22">
        <v>-1.39191E-2</v>
      </c>
      <c r="AT294" s="22">
        <v>284</v>
      </c>
      <c r="AU294" s="22">
        <v>0.169403</v>
      </c>
      <c r="AV294">
        <f t="shared" si="56"/>
        <v>17.184074074074076</v>
      </c>
      <c r="AW294">
        <f t="shared" si="57"/>
        <v>2.9210004633333333</v>
      </c>
      <c r="AX294" s="9"/>
      <c r="AY294" s="22">
        <v>1.3301099999999999</v>
      </c>
      <c r="AZ294" s="22">
        <v>28.4223</v>
      </c>
      <c r="BA294" s="22">
        <v>-1.2109399999999999E-2</v>
      </c>
      <c r="BB294" s="22">
        <v>284</v>
      </c>
      <c r="BC294" s="22">
        <v>1.32904</v>
      </c>
      <c r="BD294">
        <f t="shared" si="58"/>
        <v>14.949876543209875</v>
      </c>
      <c r="BE294">
        <f t="shared" si="59"/>
        <v>19.884980288888887</v>
      </c>
    </row>
    <row r="295" spans="6:57">
      <c r="F295" s="9"/>
      <c r="G295" s="22">
        <v>0.16494800000000001</v>
      </c>
      <c r="H295" s="22">
        <v>7.9055600000000004</v>
      </c>
      <c r="I295" s="22">
        <v>-1.3937400000000001E-2</v>
      </c>
      <c r="J295" s="22">
        <v>285</v>
      </c>
      <c r="K295" s="22">
        <v>0.16436799999999999</v>
      </c>
      <c r="L295">
        <f t="shared" si="48"/>
        <v>17.206666666666667</v>
      </c>
      <c r="M295">
        <f t="shared" si="49"/>
        <v>2.8382052533333337</v>
      </c>
      <c r="N295" s="9"/>
      <c r="O295" s="22">
        <v>1.33514</v>
      </c>
      <c r="P295" s="22">
        <v>11.321899999999999</v>
      </c>
      <c r="Q295" s="22">
        <v>-1.20178E-2</v>
      </c>
      <c r="R295" s="22">
        <v>285</v>
      </c>
      <c r="S295" s="22">
        <v>1.33392</v>
      </c>
      <c r="T295">
        <f t="shared" si="50"/>
        <v>14.836790123456788</v>
      </c>
      <c r="U295">
        <f t="shared" si="51"/>
        <v>19.809191965432095</v>
      </c>
      <c r="X295" s="9"/>
      <c r="Y295" s="22">
        <v>0.16494800000000001</v>
      </c>
      <c r="Z295" s="22">
        <v>16.421800000000001</v>
      </c>
      <c r="AA295" s="22">
        <v>-1.3931300000000001E-2</v>
      </c>
      <c r="AB295" s="22">
        <v>285</v>
      </c>
      <c r="AC295" s="22">
        <v>0.16433700000000001</v>
      </c>
      <c r="AD295">
        <f t="shared" si="52"/>
        <v>17.199135802469137</v>
      </c>
      <c r="AE295">
        <f t="shared" si="53"/>
        <v>2.8369630523456792</v>
      </c>
      <c r="AF295" s="9"/>
      <c r="AG295" s="22">
        <v>1.33514</v>
      </c>
      <c r="AH295" s="22">
        <v>19.838100000000001</v>
      </c>
      <c r="AI295" s="22">
        <v>-1.19934E-2</v>
      </c>
      <c r="AJ295" s="22">
        <v>285</v>
      </c>
      <c r="AK295" s="22">
        <v>1.33423</v>
      </c>
      <c r="AL295">
        <f t="shared" si="54"/>
        <v>14.806666666666667</v>
      </c>
      <c r="AM295">
        <f t="shared" si="55"/>
        <v>19.768972933333334</v>
      </c>
      <c r="AP295" s="9"/>
      <c r="AQ295" s="22">
        <v>0.16494800000000001</v>
      </c>
      <c r="AR295" s="22">
        <v>25.015999999999998</v>
      </c>
      <c r="AS295" s="22">
        <v>-1.39252E-2</v>
      </c>
      <c r="AT295" s="22">
        <v>285</v>
      </c>
      <c r="AU295" s="22">
        <v>0.16436799999999999</v>
      </c>
      <c r="AV295">
        <f t="shared" si="56"/>
        <v>17.191604938271606</v>
      </c>
      <c r="AW295">
        <f t="shared" si="57"/>
        <v>2.8357208513580252</v>
      </c>
      <c r="AX295" s="9"/>
      <c r="AY295" s="22">
        <v>1.33514</v>
      </c>
      <c r="AZ295" s="22">
        <v>28.432300000000001</v>
      </c>
      <c r="BA295" s="22">
        <v>-1.2085E-2</v>
      </c>
      <c r="BB295" s="22">
        <v>285</v>
      </c>
      <c r="BC295" s="22">
        <v>1.33392</v>
      </c>
      <c r="BD295">
        <f t="shared" si="58"/>
        <v>14.919753086419753</v>
      </c>
      <c r="BE295">
        <f t="shared" si="59"/>
        <v>19.919959135802468</v>
      </c>
    </row>
    <row r="296" spans="6:57">
      <c r="F296" s="9"/>
      <c r="G296" s="22">
        <v>0.159912</v>
      </c>
      <c r="H296" s="22">
        <v>7.9156300000000002</v>
      </c>
      <c r="I296" s="22">
        <v>-1.3937400000000001E-2</v>
      </c>
      <c r="J296" s="22">
        <v>286</v>
      </c>
      <c r="K296" s="22">
        <v>0.15942400000000001</v>
      </c>
      <c r="L296">
        <f t="shared" si="48"/>
        <v>17.206666666666667</v>
      </c>
      <c r="M296">
        <f t="shared" si="49"/>
        <v>2.75155248</v>
      </c>
      <c r="N296" s="9"/>
      <c r="O296" s="22">
        <v>1.3401799999999999</v>
      </c>
      <c r="P296" s="22">
        <v>11.332000000000001</v>
      </c>
      <c r="Q296" s="22">
        <v>-1.19781E-2</v>
      </c>
      <c r="R296" s="22">
        <v>286</v>
      </c>
      <c r="S296" s="22">
        <v>1.33911</v>
      </c>
      <c r="T296">
        <f t="shared" si="50"/>
        <v>14.787777777777777</v>
      </c>
      <c r="U296">
        <f t="shared" si="51"/>
        <v>19.818284022222219</v>
      </c>
      <c r="X296" s="9"/>
      <c r="Y296" s="22">
        <v>0.159912</v>
      </c>
      <c r="Z296" s="22">
        <v>16.431799999999999</v>
      </c>
      <c r="AA296" s="22">
        <v>-1.3931300000000001E-2</v>
      </c>
      <c r="AB296" s="22">
        <v>286</v>
      </c>
      <c r="AC296" s="22">
        <v>0.15939300000000001</v>
      </c>
      <c r="AD296">
        <f t="shared" si="52"/>
        <v>17.199135802469137</v>
      </c>
      <c r="AE296">
        <f t="shared" si="53"/>
        <v>2.7503482044444447</v>
      </c>
      <c r="AF296" s="9"/>
      <c r="AG296" s="22">
        <v>1.3401799999999999</v>
      </c>
      <c r="AH296" s="22">
        <v>19.848199999999999</v>
      </c>
      <c r="AI296" s="22">
        <v>-1.1953699999999999E-2</v>
      </c>
      <c r="AJ296" s="22">
        <v>286</v>
      </c>
      <c r="AK296" s="22">
        <v>1.33911</v>
      </c>
      <c r="AL296">
        <f t="shared" si="54"/>
        <v>14.757654320987653</v>
      </c>
      <c r="AM296">
        <f t="shared" si="55"/>
        <v>19.777913167901232</v>
      </c>
      <c r="AP296" s="9"/>
      <c r="AQ296" s="22">
        <v>0.159912</v>
      </c>
      <c r="AR296" s="22">
        <v>25.026</v>
      </c>
      <c r="AS296" s="22">
        <v>-1.39282E-2</v>
      </c>
      <c r="AT296" s="22">
        <v>286</v>
      </c>
      <c r="AU296" s="22">
        <v>0.15942400000000001</v>
      </c>
      <c r="AV296">
        <f t="shared" si="56"/>
        <v>17.195308641975309</v>
      </c>
      <c r="AW296">
        <f t="shared" si="57"/>
        <v>2.7497361955555557</v>
      </c>
      <c r="AX296" s="9"/>
      <c r="AY296" s="22">
        <v>1.3401799999999999</v>
      </c>
      <c r="AZ296" s="22">
        <v>28.442399999999999</v>
      </c>
      <c r="BA296" s="22">
        <v>-1.2042199999999999E-2</v>
      </c>
      <c r="BB296" s="22">
        <v>286</v>
      </c>
      <c r="BC296" s="22">
        <v>1.3400300000000001</v>
      </c>
      <c r="BD296">
        <f t="shared" si="58"/>
        <v>14.866913580246912</v>
      </c>
      <c r="BE296">
        <f t="shared" si="59"/>
        <v>19.924340241975305</v>
      </c>
    </row>
    <row r="297" spans="6:57">
      <c r="F297" s="9"/>
      <c r="G297" s="22">
        <v>0.15487699999999999</v>
      </c>
      <c r="H297" s="22">
        <v>7.9257</v>
      </c>
      <c r="I297" s="22">
        <v>-1.39404E-2</v>
      </c>
      <c r="J297" s="22">
        <v>287</v>
      </c>
      <c r="K297" s="22">
        <v>0.154388</v>
      </c>
      <c r="L297">
        <f t="shared" si="48"/>
        <v>17.21037037037037</v>
      </c>
      <c r="M297">
        <f t="shared" si="49"/>
        <v>2.6654905318518516</v>
      </c>
      <c r="N297" s="9"/>
      <c r="O297" s="22">
        <v>1.34521</v>
      </c>
      <c r="P297" s="22">
        <v>11.342000000000001</v>
      </c>
      <c r="Q297" s="22">
        <v>-1.1935400000000001E-2</v>
      </c>
      <c r="R297" s="22">
        <v>287</v>
      </c>
      <c r="S297" s="22">
        <v>1.34399</v>
      </c>
      <c r="T297">
        <f t="shared" si="50"/>
        <v>14.735061728395062</v>
      </c>
      <c r="U297">
        <f t="shared" si="51"/>
        <v>19.821752387654321</v>
      </c>
      <c r="X297" s="9"/>
      <c r="Y297" s="22">
        <v>0.15487699999999999</v>
      </c>
      <c r="Z297" s="22">
        <v>16.4419</v>
      </c>
      <c r="AA297" s="22">
        <v>-1.39343E-2</v>
      </c>
      <c r="AB297" s="22">
        <v>287</v>
      </c>
      <c r="AC297" s="22">
        <v>0.15423600000000001</v>
      </c>
      <c r="AD297">
        <f t="shared" si="52"/>
        <v>17.202839506172836</v>
      </c>
      <c r="AE297">
        <f t="shared" si="53"/>
        <v>2.6643241741975303</v>
      </c>
      <c r="AF297" s="9"/>
      <c r="AG297" s="22">
        <v>1.34521</v>
      </c>
      <c r="AH297" s="22">
        <v>19.8583</v>
      </c>
      <c r="AI297" s="22">
        <v>-1.1926300000000001E-2</v>
      </c>
      <c r="AJ297" s="22">
        <v>287</v>
      </c>
      <c r="AK297" s="22">
        <v>1.3443000000000001</v>
      </c>
      <c r="AL297">
        <f t="shared" si="54"/>
        <v>14.723827160493826</v>
      </c>
      <c r="AM297">
        <f t="shared" si="55"/>
        <v>19.8066395345679</v>
      </c>
      <c r="AP297" s="9"/>
      <c r="AQ297" s="22">
        <v>0.15487699999999999</v>
      </c>
      <c r="AR297" s="22">
        <v>25.036100000000001</v>
      </c>
      <c r="AS297" s="22">
        <v>-1.39282E-2</v>
      </c>
      <c r="AT297" s="22">
        <v>287</v>
      </c>
      <c r="AU297" s="22">
        <v>0.15429699999999999</v>
      </c>
      <c r="AV297">
        <f t="shared" si="56"/>
        <v>17.195308641975309</v>
      </c>
      <c r="AW297">
        <f t="shared" si="57"/>
        <v>2.6631578165432099</v>
      </c>
      <c r="AX297" s="9"/>
      <c r="AY297" s="22">
        <v>1.34521</v>
      </c>
      <c r="AZ297" s="22">
        <v>28.452500000000001</v>
      </c>
      <c r="BA297" s="22">
        <v>-1.20026E-2</v>
      </c>
      <c r="BB297" s="22">
        <v>287</v>
      </c>
      <c r="BC297" s="22">
        <v>1.34399</v>
      </c>
      <c r="BD297">
        <f t="shared" si="58"/>
        <v>14.818024691358024</v>
      </c>
      <c r="BE297">
        <f t="shared" si="59"/>
        <v>19.933354995061727</v>
      </c>
    </row>
    <row r="298" spans="6:57">
      <c r="F298" s="9"/>
      <c r="G298" s="22">
        <v>0.149841</v>
      </c>
      <c r="H298" s="22">
        <v>7.9357699999999998</v>
      </c>
      <c r="I298" s="22">
        <v>-1.3946500000000001E-2</v>
      </c>
      <c r="J298" s="22">
        <v>288</v>
      </c>
      <c r="K298" s="22">
        <v>0.14932300000000001</v>
      </c>
      <c r="L298">
        <f t="shared" si="48"/>
        <v>17.217901234567901</v>
      </c>
      <c r="M298">
        <f t="shared" si="49"/>
        <v>2.5799475388888888</v>
      </c>
      <c r="N298" s="9"/>
      <c r="O298" s="22">
        <v>1.35025</v>
      </c>
      <c r="P298" s="22">
        <v>11.3521</v>
      </c>
      <c r="Q298" s="22">
        <v>-1.1892700000000001E-2</v>
      </c>
      <c r="R298" s="22">
        <v>288</v>
      </c>
      <c r="S298" s="22">
        <v>1.34918</v>
      </c>
      <c r="T298">
        <f t="shared" si="50"/>
        <v>14.682345679012347</v>
      </c>
      <c r="U298">
        <f t="shared" si="51"/>
        <v>19.824837253086422</v>
      </c>
      <c r="X298" s="9"/>
      <c r="Y298" s="22">
        <v>0.149841</v>
      </c>
      <c r="Z298" s="22">
        <v>16.452000000000002</v>
      </c>
      <c r="AA298" s="22">
        <v>-1.3937400000000001E-2</v>
      </c>
      <c r="AB298" s="22">
        <v>288</v>
      </c>
      <c r="AC298" s="22">
        <v>0.14932300000000001</v>
      </c>
      <c r="AD298">
        <f t="shared" si="52"/>
        <v>17.206666666666667</v>
      </c>
      <c r="AE298">
        <f t="shared" si="53"/>
        <v>2.5782641399999999</v>
      </c>
      <c r="AF298" s="9"/>
      <c r="AG298" s="22">
        <v>1.35025</v>
      </c>
      <c r="AH298" s="22">
        <v>19.868300000000001</v>
      </c>
      <c r="AI298" s="22">
        <v>-1.18896E-2</v>
      </c>
      <c r="AJ298" s="22">
        <v>288</v>
      </c>
      <c r="AK298" s="22">
        <v>1.3494900000000001</v>
      </c>
      <c r="AL298">
        <f t="shared" si="54"/>
        <v>14.678518518518517</v>
      </c>
      <c r="AM298">
        <f t="shared" si="55"/>
        <v>19.819669629629626</v>
      </c>
      <c r="AP298" s="9"/>
      <c r="AQ298" s="22">
        <v>0.149841</v>
      </c>
      <c r="AR298" s="22">
        <v>25.046199999999999</v>
      </c>
      <c r="AS298" s="22">
        <v>-1.3931300000000001E-2</v>
      </c>
      <c r="AT298" s="22">
        <v>288</v>
      </c>
      <c r="AU298" s="22">
        <v>0.14935300000000001</v>
      </c>
      <c r="AV298">
        <f t="shared" si="56"/>
        <v>17.199135802469137</v>
      </c>
      <c r="AW298">
        <f t="shared" si="57"/>
        <v>2.5771357077777779</v>
      </c>
      <c r="AX298" s="9"/>
      <c r="AY298" s="22">
        <v>1.35025</v>
      </c>
      <c r="AZ298" s="22">
        <v>28.462499999999999</v>
      </c>
      <c r="BA298" s="22">
        <v>-1.1947599999999999E-2</v>
      </c>
      <c r="BB298" s="22">
        <v>288</v>
      </c>
      <c r="BC298" s="22">
        <v>1.34918</v>
      </c>
      <c r="BD298">
        <f t="shared" si="58"/>
        <v>14.750123456790122</v>
      </c>
      <c r="BE298">
        <f t="shared" si="59"/>
        <v>19.916354197530861</v>
      </c>
    </row>
    <row r="299" spans="6:57">
      <c r="F299" s="9"/>
      <c r="G299" s="22">
        <v>0.14480599999999999</v>
      </c>
      <c r="H299" s="22">
        <v>7.9458399999999996</v>
      </c>
      <c r="I299" s="22">
        <v>-1.3943499999999999E-2</v>
      </c>
      <c r="J299" s="22">
        <v>289</v>
      </c>
      <c r="K299" s="22">
        <v>0.144287</v>
      </c>
      <c r="L299">
        <f t="shared" si="48"/>
        <v>17.214197530864197</v>
      </c>
      <c r="M299">
        <f t="shared" si="49"/>
        <v>2.4927190876543208</v>
      </c>
      <c r="N299" s="9"/>
      <c r="O299" s="22">
        <v>1.3552900000000001</v>
      </c>
      <c r="P299" s="22">
        <v>11.3622</v>
      </c>
      <c r="Q299" s="22">
        <v>-1.18408E-2</v>
      </c>
      <c r="R299" s="22">
        <v>289</v>
      </c>
      <c r="S299" s="22">
        <v>1.35406</v>
      </c>
      <c r="T299">
        <f t="shared" si="50"/>
        <v>14.618271604938272</v>
      </c>
      <c r="U299">
        <f t="shared" si="51"/>
        <v>19.811997323456794</v>
      </c>
      <c r="X299" s="9"/>
      <c r="Y299" s="22">
        <v>0.14480599999999999</v>
      </c>
      <c r="Z299" s="22">
        <v>16.462</v>
      </c>
      <c r="AA299" s="22">
        <v>-1.3943499999999999E-2</v>
      </c>
      <c r="AB299" s="22">
        <v>289</v>
      </c>
      <c r="AC299" s="22">
        <v>0.144287</v>
      </c>
      <c r="AD299">
        <f t="shared" si="52"/>
        <v>17.214197530864197</v>
      </c>
      <c r="AE299">
        <f t="shared" si="53"/>
        <v>2.4927190876543208</v>
      </c>
      <c r="AF299" s="9"/>
      <c r="AG299" s="22">
        <v>1.3552900000000001</v>
      </c>
      <c r="AH299" s="22">
        <v>19.878399999999999</v>
      </c>
      <c r="AI299" s="22">
        <v>-1.18469E-2</v>
      </c>
      <c r="AJ299" s="22">
        <v>289</v>
      </c>
      <c r="AK299" s="22">
        <v>1.3543700000000001</v>
      </c>
      <c r="AL299">
        <f t="shared" si="54"/>
        <v>14.625802469135802</v>
      </c>
      <c r="AM299">
        <f t="shared" si="55"/>
        <v>19.822203828395065</v>
      </c>
      <c r="AP299" s="9"/>
      <c r="AQ299" s="22">
        <v>0.14480599999999999</v>
      </c>
      <c r="AR299" s="22">
        <v>25.0563</v>
      </c>
      <c r="AS299" s="22">
        <v>-1.39252E-2</v>
      </c>
      <c r="AT299" s="22">
        <v>289</v>
      </c>
      <c r="AU299" s="22">
        <v>0.144257</v>
      </c>
      <c r="AV299">
        <f t="shared" si="56"/>
        <v>17.191604938271606</v>
      </c>
      <c r="AW299">
        <f t="shared" si="57"/>
        <v>2.489447544691358</v>
      </c>
      <c r="AX299" s="9"/>
      <c r="AY299" s="22">
        <v>1.3552900000000001</v>
      </c>
      <c r="AZ299" s="22">
        <v>28.4726</v>
      </c>
      <c r="BA299" s="22">
        <v>-1.19019E-2</v>
      </c>
      <c r="BB299" s="22">
        <v>289</v>
      </c>
      <c r="BC299" s="22">
        <v>1.3537600000000001</v>
      </c>
      <c r="BD299">
        <f t="shared" si="58"/>
        <v>14.693703703703703</v>
      </c>
      <c r="BE299">
        <f t="shared" si="59"/>
        <v>19.914229692592592</v>
      </c>
    </row>
    <row r="300" spans="6:57">
      <c r="F300" s="9"/>
      <c r="G300" s="22">
        <v>0.13977100000000001</v>
      </c>
      <c r="H300" s="22">
        <v>7.9559100000000003</v>
      </c>
      <c r="I300" s="22">
        <v>-1.39404E-2</v>
      </c>
      <c r="J300" s="22">
        <v>290</v>
      </c>
      <c r="K300" s="22">
        <v>0.13922100000000001</v>
      </c>
      <c r="L300">
        <f t="shared" si="48"/>
        <v>17.21037037037037</v>
      </c>
      <c r="M300">
        <f t="shared" si="49"/>
        <v>2.4055106770370371</v>
      </c>
      <c r="N300" s="9"/>
      <c r="O300" s="22">
        <v>1.36032</v>
      </c>
      <c r="P300" s="22">
        <v>11.372299999999999</v>
      </c>
      <c r="Q300" s="22">
        <v>-1.18011E-2</v>
      </c>
      <c r="R300" s="22">
        <v>290</v>
      </c>
      <c r="S300" s="22">
        <v>1.3595600000000001</v>
      </c>
      <c r="T300">
        <f t="shared" si="50"/>
        <v>14.56925925925926</v>
      </c>
      <c r="U300">
        <f t="shared" si="51"/>
        <v>19.818854755555556</v>
      </c>
      <c r="X300" s="9"/>
      <c r="Y300" s="22">
        <v>0.13977100000000001</v>
      </c>
      <c r="Z300" s="22">
        <v>16.472100000000001</v>
      </c>
      <c r="AA300" s="22">
        <v>-1.3943499999999999E-2</v>
      </c>
      <c r="AB300" s="22">
        <v>290</v>
      </c>
      <c r="AC300" s="22">
        <v>0.13925199999999999</v>
      </c>
      <c r="AD300">
        <f t="shared" si="52"/>
        <v>17.214197530864197</v>
      </c>
      <c r="AE300">
        <f t="shared" si="53"/>
        <v>2.4060456030864197</v>
      </c>
      <c r="AF300" s="9"/>
      <c r="AG300" s="22">
        <v>1.36032</v>
      </c>
      <c r="AH300" s="22">
        <v>19.888500000000001</v>
      </c>
      <c r="AI300" s="22">
        <v>-1.1798100000000001E-2</v>
      </c>
      <c r="AJ300" s="22">
        <v>290</v>
      </c>
      <c r="AK300" s="22">
        <v>1.3589500000000001</v>
      </c>
      <c r="AL300">
        <f t="shared" si="54"/>
        <v>14.565555555555555</v>
      </c>
      <c r="AM300">
        <f t="shared" si="55"/>
        <v>19.813816533333334</v>
      </c>
      <c r="AP300" s="9"/>
      <c r="AQ300" s="22">
        <v>0.13977100000000001</v>
      </c>
      <c r="AR300" s="22">
        <v>25.066299999999998</v>
      </c>
      <c r="AS300" s="22">
        <v>-1.39191E-2</v>
      </c>
      <c r="AT300" s="22">
        <v>290</v>
      </c>
      <c r="AU300" s="22">
        <v>0.13922100000000001</v>
      </c>
      <c r="AV300">
        <f t="shared" si="56"/>
        <v>17.184074074074076</v>
      </c>
      <c r="AW300">
        <f t="shared" si="57"/>
        <v>2.4018352174074078</v>
      </c>
      <c r="AX300" s="9"/>
      <c r="AY300" s="22">
        <v>1.36032</v>
      </c>
      <c r="AZ300" s="22">
        <v>28.482700000000001</v>
      </c>
      <c r="BA300" s="22">
        <v>-1.1849999999999999E-2</v>
      </c>
      <c r="BB300" s="22">
        <v>290</v>
      </c>
      <c r="BC300" s="22">
        <v>1.3589500000000001</v>
      </c>
      <c r="BD300">
        <f t="shared" si="58"/>
        <v>14.629629629629628</v>
      </c>
      <c r="BE300">
        <f t="shared" si="59"/>
        <v>19.900977777777776</v>
      </c>
    </row>
    <row r="301" spans="6:57">
      <c r="F301" s="9"/>
      <c r="G301" s="22">
        <v>0.13473499999999999</v>
      </c>
      <c r="H301" s="22">
        <v>7.9659800000000001</v>
      </c>
      <c r="I301" s="22">
        <v>-1.3946500000000001E-2</v>
      </c>
      <c r="J301" s="22">
        <v>291</v>
      </c>
      <c r="K301" s="22">
        <v>0.134155</v>
      </c>
      <c r="L301">
        <f t="shared" si="48"/>
        <v>17.217901234567901</v>
      </c>
      <c r="M301">
        <f t="shared" si="49"/>
        <v>2.3198539228395059</v>
      </c>
      <c r="N301" s="9"/>
      <c r="O301" s="22">
        <v>1.3653599999999999</v>
      </c>
      <c r="P301" s="22">
        <v>11.382300000000001</v>
      </c>
      <c r="Q301" s="22">
        <v>-1.17523E-2</v>
      </c>
      <c r="R301" s="22">
        <v>291</v>
      </c>
      <c r="S301" s="22">
        <v>1.3644400000000001</v>
      </c>
      <c r="T301">
        <f t="shared" si="50"/>
        <v>14.509012345679011</v>
      </c>
      <c r="U301">
        <f t="shared" si="51"/>
        <v>19.810025096296293</v>
      </c>
      <c r="X301" s="9"/>
      <c r="Y301" s="22">
        <v>0.13473499999999999</v>
      </c>
      <c r="Z301" s="22">
        <v>16.482199999999999</v>
      </c>
      <c r="AA301" s="22">
        <v>-1.3943499999999999E-2</v>
      </c>
      <c r="AB301" s="22">
        <v>291</v>
      </c>
      <c r="AC301" s="22">
        <v>0.13424700000000001</v>
      </c>
      <c r="AD301">
        <f t="shared" si="52"/>
        <v>17.214197530864197</v>
      </c>
      <c r="AE301">
        <f t="shared" si="53"/>
        <v>2.3193549043209876</v>
      </c>
      <c r="AF301" s="9"/>
      <c r="AG301" s="22">
        <v>1.3653599999999999</v>
      </c>
      <c r="AH301" s="22">
        <v>19.898499999999999</v>
      </c>
      <c r="AI301" s="22">
        <v>-1.17523E-2</v>
      </c>
      <c r="AJ301" s="22">
        <v>291</v>
      </c>
      <c r="AK301" s="22">
        <v>1.3647499999999999</v>
      </c>
      <c r="AL301">
        <f t="shared" si="54"/>
        <v>14.509012345679011</v>
      </c>
      <c r="AM301">
        <f t="shared" si="55"/>
        <v>19.810025096296293</v>
      </c>
      <c r="AP301" s="9"/>
      <c r="AQ301" s="22">
        <v>0.13473499999999999</v>
      </c>
      <c r="AR301" s="22">
        <v>25.0764</v>
      </c>
      <c r="AS301" s="22">
        <v>-1.39282E-2</v>
      </c>
      <c r="AT301" s="22">
        <v>291</v>
      </c>
      <c r="AU301" s="22">
        <v>0.134186</v>
      </c>
      <c r="AV301">
        <f t="shared" si="56"/>
        <v>17.195308641975309</v>
      </c>
      <c r="AW301">
        <f t="shared" si="57"/>
        <v>2.3168099098765431</v>
      </c>
      <c r="AX301" s="9"/>
      <c r="AY301" s="22">
        <v>1.3653599999999999</v>
      </c>
      <c r="AZ301" s="22">
        <v>28.492799999999999</v>
      </c>
      <c r="BA301" s="22">
        <v>-1.1798100000000001E-2</v>
      </c>
      <c r="BB301" s="22">
        <v>291</v>
      </c>
      <c r="BC301" s="22">
        <v>1.3641399999999999</v>
      </c>
      <c r="BD301">
        <f t="shared" si="58"/>
        <v>14.565555555555555</v>
      </c>
      <c r="BE301">
        <f t="shared" si="59"/>
        <v>19.887226933333331</v>
      </c>
    </row>
    <row r="302" spans="6:57">
      <c r="F302" s="9"/>
      <c r="G302" s="22">
        <v>0.12970000000000001</v>
      </c>
      <c r="H302" s="22">
        <v>7.9760499999999999</v>
      </c>
      <c r="I302" s="22">
        <v>-1.3952600000000001E-2</v>
      </c>
      <c r="J302" s="22">
        <v>292</v>
      </c>
      <c r="K302" s="22">
        <v>0.129272</v>
      </c>
      <c r="L302">
        <f t="shared" si="48"/>
        <v>17.225432098765431</v>
      </c>
      <c r="M302">
        <f t="shared" si="49"/>
        <v>2.2341385432098764</v>
      </c>
      <c r="N302" s="9"/>
      <c r="O302" s="22">
        <v>1.37039</v>
      </c>
      <c r="P302" s="22">
        <v>11.3924</v>
      </c>
      <c r="Q302" s="22">
        <v>-1.1715700000000001E-2</v>
      </c>
      <c r="R302" s="22">
        <v>292</v>
      </c>
      <c r="S302" s="22">
        <v>1.3690199999999999</v>
      </c>
      <c r="T302">
        <f t="shared" si="50"/>
        <v>14.463827160493826</v>
      </c>
      <c r="U302">
        <f t="shared" si="51"/>
        <v>19.821084102469136</v>
      </c>
      <c r="X302" s="9"/>
      <c r="Y302" s="22">
        <v>0.12970000000000001</v>
      </c>
      <c r="Z302" s="22">
        <v>16.4923</v>
      </c>
      <c r="AA302" s="22">
        <v>-1.3946500000000001E-2</v>
      </c>
      <c r="AB302" s="22">
        <v>292</v>
      </c>
      <c r="AC302" s="22">
        <v>0.12921099999999999</v>
      </c>
      <c r="AD302">
        <f t="shared" si="52"/>
        <v>17.217901234567901</v>
      </c>
      <c r="AE302">
        <f t="shared" si="53"/>
        <v>2.2331617901234568</v>
      </c>
      <c r="AF302" s="9"/>
      <c r="AG302" s="22">
        <v>1.37039</v>
      </c>
      <c r="AH302" s="22">
        <v>19.9086</v>
      </c>
      <c r="AI302" s="22">
        <v>-1.16974E-2</v>
      </c>
      <c r="AJ302" s="22">
        <v>292</v>
      </c>
      <c r="AK302" s="22">
        <v>1.3702399999999999</v>
      </c>
      <c r="AL302">
        <f t="shared" si="54"/>
        <v>14.441234567901233</v>
      </c>
      <c r="AM302">
        <f t="shared" si="55"/>
        <v>19.790123439506171</v>
      </c>
      <c r="AP302" s="9"/>
      <c r="AQ302" s="22">
        <v>0.12970000000000001</v>
      </c>
      <c r="AR302" s="22">
        <v>25.086500000000001</v>
      </c>
      <c r="AS302" s="22">
        <v>-1.3931300000000001E-2</v>
      </c>
      <c r="AT302" s="22">
        <v>292</v>
      </c>
      <c r="AU302" s="22">
        <v>0.12908900000000001</v>
      </c>
      <c r="AV302">
        <f t="shared" si="56"/>
        <v>17.199135802469137</v>
      </c>
      <c r="AW302">
        <f t="shared" si="57"/>
        <v>2.2307279135802474</v>
      </c>
      <c r="AX302" s="9"/>
      <c r="AY302" s="22">
        <v>1.37039</v>
      </c>
      <c r="AZ302" s="22">
        <v>28.502800000000001</v>
      </c>
      <c r="BA302" s="22">
        <v>-1.1749300000000001E-2</v>
      </c>
      <c r="BB302" s="22">
        <v>292</v>
      </c>
      <c r="BC302" s="22">
        <v>1.3693200000000001</v>
      </c>
      <c r="BD302">
        <f t="shared" si="58"/>
        <v>14.505308641975308</v>
      </c>
      <c r="BE302">
        <f t="shared" si="59"/>
        <v>19.877929909876542</v>
      </c>
    </row>
    <row r="303" spans="6:57">
      <c r="F303" s="9"/>
      <c r="G303" s="22">
        <v>0.124664</v>
      </c>
      <c r="H303" s="22">
        <v>7.9861199999999997</v>
      </c>
      <c r="I303" s="22">
        <v>-1.39496E-2</v>
      </c>
      <c r="J303" s="22">
        <v>293</v>
      </c>
      <c r="K303" s="22">
        <v>0.124084</v>
      </c>
      <c r="L303">
        <f t="shared" si="48"/>
        <v>17.221728395061724</v>
      </c>
      <c r="M303">
        <f t="shared" si="49"/>
        <v>2.1469295486419746</v>
      </c>
      <c r="N303" s="9"/>
      <c r="O303" s="22">
        <v>1.3754299999999999</v>
      </c>
      <c r="P303" s="22">
        <v>11.4025</v>
      </c>
      <c r="Q303" s="22">
        <v>-1.16577E-2</v>
      </c>
      <c r="R303" s="22">
        <v>293</v>
      </c>
      <c r="S303" s="22">
        <v>1.3742099999999999</v>
      </c>
      <c r="T303">
        <f t="shared" si="50"/>
        <v>14.392222222222221</v>
      </c>
      <c r="U303">
        <f t="shared" si="51"/>
        <v>19.795494211111109</v>
      </c>
      <c r="X303" s="9"/>
      <c r="Y303" s="22">
        <v>0.124664</v>
      </c>
      <c r="Z303" s="22">
        <v>16.502300000000002</v>
      </c>
      <c r="AA303" s="22">
        <v>-1.3958699999999999E-2</v>
      </c>
      <c r="AB303" s="22">
        <v>293</v>
      </c>
      <c r="AC303" s="22">
        <v>0.124115</v>
      </c>
      <c r="AD303">
        <f t="shared" si="52"/>
        <v>17.232962962962961</v>
      </c>
      <c r="AE303">
        <f t="shared" si="53"/>
        <v>2.1483300948148147</v>
      </c>
      <c r="AF303" s="9"/>
      <c r="AG303" s="22">
        <v>1.3754299999999999</v>
      </c>
      <c r="AH303" s="22">
        <v>19.918700000000001</v>
      </c>
      <c r="AI303" s="22">
        <v>-1.16455E-2</v>
      </c>
      <c r="AJ303" s="22">
        <v>293</v>
      </c>
      <c r="AK303" s="22">
        <v>1.3745099999999999</v>
      </c>
      <c r="AL303">
        <f t="shared" si="54"/>
        <v>14.37716049382716</v>
      </c>
      <c r="AM303">
        <f t="shared" si="55"/>
        <v>19.774777858024692</v>
      </c>
      <c r="AP303" s="9"/>
      <c r="AQ303" s="22">
        <v>0.124664</v>
      </c>
      <c r="AR303" s="22">
        <v>25.096499999999999</v>
      </c>
      <c r="AS303" s="22">
        <v>-1.39404E-2</v>
      </c>
      <c r="AT303" s="22">
        <v>293</v>
      </c>
      <c r="AU303" s="22">
        <v>0.124084</v>
      </c>
      <c r="AV303">
        <f t="shared" si="56"/>
        <v>17.21037037037037</v>
      </c>
      <c r="AW303">
        <f t="shared" si="57"/>
        <v>2.1455136118518516</v>
      </c>
      <c r="AX303" s="9"/>
      <c r="AY303" s="22">
        <v>1.3754299999999999</v>
      </c>
      <c r="AZ303" s="22">
        <v>28.512899999999998</v>
      </c>
      <c r="BA303" s="22">
        <v>-1.17035E-2</v>
      </c>
      <c r="BB303" s="22">
        <v>293</v>
      </c>
      <c r="BC303" s="22">
        <v>1.3745099999999999</v>
      </c>
      <c r="BD303">
        <f t="shared" si="58"/>
        <v>14.448765432098766</v>
      </c>
      <c r="BE303">
        <f t="shared" si="59"/>
        <v>19.873265438271606</v>
      </c>
    </row>
    <row r="304" spans="6:57">
      <c r="F304" s="9"/>
      <c r="G304" s="22">
        <v>0.119629</v>
      </c>
      <c r="H304" s="22">
        <v>7.9962</v>
      </c>
      <c r="I304" s="22">
        <v>-1.3946500000000001E-2</v>
      </c>
      <c r="J304" s="22">
        <v>294</v>
      </c>
      <c r="K304" s="22">
        <v>0.119049</v>
      </c>
      <c r="L304">
        <f t="shared" si="48"/>
        <v>17.217901234567901</v>
      </c>
      <c r="M304">
        <f t="shared" si="49"/>
        <v>2.0597603067901233</v>
      </c>
      <c r="N304" s="9"/>
      <c r="O304" s="22">
        <v>1.38046</v>
      </c>
      <c r="P304" s="22">
        <v>11.4125</v>
      </c>
      <c r="Q304" s="22">
        <v>-1.16089E-2</v>
      </c>
      <c r="R304" s="22">
        <v>294</v>
      </c>
      <c r="S304" s="22">
        <v>1.3793899999999999</v>
      </c>
      <c r="T304">
        <f t="shared" si="50"/>
        <v>14.331975308641976</v>
      </c>
      <c r="U304">
        <f t="shared" si="51"/>
        <v>19.784718634567902</v>
      </c>
      <c r="X304" s="9"/>
      <c r="Y304" s="22">
        <v>0.119629</v>
      </c>
      <c r="Z304" s="22">
        <v>16.5124</v>
      </c>
      <c r="AA304" s="22">
        <v>-1.39679E-2</v>
      </c>
      <c r="AB304" s="22">
        <v>294</v>
      </c>
      <c r="AC304" s="22">
        <v>0.11908000000000001</v>
      </c>
      <c r="AD304">
        <f t="shared" si="52"/>
        <v>17.244320987654319</v>
      </c>
      <c r="AE304">
        <f t="shared" si="53"/>
        <v>2.0629208754320985</v>
      </c>
      <c r="AF304" s="9"/>
      <c r="AG304" s="22">
        <v>1.38046</v>
      </c>
      <c r="AH304" s="22">
        <v>19.928799999999999</v>
      </c>
      <c r="AI304" s="22">
        <v>-1.1593600000000001E-2</v>
      </c>
      <c r="AJ304" s="22">
        <v>294</v>
      </c>
      <c r="AK304" s="22">
        <v>1.3796999999999999</v>
      </c>
      <c r="AL304">
        <f t="shared" si="54"/>
        <v>14.313086419753086</v>
      </c>
      <c r="AM304">
        <f t="shared" si="55"/>
        <v>19.758643279012347</v>
      </c>
      <c r="AP304" s="9"/>
      <c r="AQ304" s="22">
        <v>0.119629</v>
      </c>
      <c r="AR304" s="22">
        <v>25.1066</v>
      </c>
      <c r="AS304" s="22">
        <v>-1.3943499999999999E-2</v>
      </c>
      <c r="AT304" s="22">
        <v>294</v>
      </c>
      <c r="AU304" s="22">
        <v>0.11908000000000001</v>
      </c>
      <c r="AV304">
        <f t="shared" si="56"/>
        <v>17.214197530864197</v>
      </c>
      <c r="AW304">
        <f t="shared" si="57"/>
        <v>2.0593172364197532</v>
      </c>
      <c r="AX304" s="9"/>
      <c r="AY304" s="22">
        <v>1.38046</v>
      </c>
      <c r="AZ304" s="22">
        <v>28.523</v>
      </c>
      <c r="BA304" s="22">
        <v>-1.16486E-2</v>
      </c>
      <c r="BB304" s="22">
        <v>294</v>
      </c>
      <c r="BC304" s="22">
        <v>1.3793899999999999</v>
      </c>
      <c r="BD304">
        <f t="shared" si="58"/>
        <v>14.380987654320988</v>
      </c>
      <c r="BE304">
        <f t="shared" si="59"/>
        <v>19.852378217283952</v>
      </c>
    </row>
    <row r="305" spans="6:57">
      <c r="F305" s="9"/>
      <c r="G305" s="22">
        <v>0.114594</v>
      </c>
      <c r="H305" s="22">
        <v>8.0062700000000007</v>
      </c>
      <c r="I305" s="22">
        <v>-1.39404E-2</v>
      </c>
      <c r="J305" s="22">
        <v>295</v>
      </c>
      <c r="K305" s="22">
        <v>0.11404400000000001</v>
      </c>
      <c r="L305">
        <f t="shared" si="48"/>
        <v>17.21037037037037</v>
      </c>
      <c r="M305">
        <f t="shared" si="49"/>
        <v>1.9722051822222222</v>
      </c>
      <c r="N305" s="9"/>
      <c r="O305" s="22">
        <v>1.3855</v>
      </c>
      <c r="P305" s="22">
        <v>11.422599999999999</v>
      </c>
      <c r="Q305" s="22">
        <v>-1.1554E-2</v>
      </c>
      <c r="R305" s="22">
        <v>295</v>
      </c>
      <c r="S305" s="22">
        <v>1.38428</v>
      </c>
      <c r="T305">
        <f t="shared" si="50"/>
        <v>14.264197530864198</v>
      </c>
      <c r="U305">
        <f t="shared" si="51"/>
        <v>19.763045679012347</v>
      </c>
      <c r="X305" s="9"/>
      <c r="Y305" s="22">
        <v>0.114594</v>
      </c>
      <c r="Z305" s="22">
        <v>16.522500000000001</v>
      </c>
      <c r="AA305" s="22">
        <v>-1.39679E-2</v>
      </c>
      <c r="AB305" s="22">
        <v>295</v>
      </c>
      <c r="AC305" s="22">
        <v>0.114105</v>
      </c>
      <c r="AD305">
        <f t="shared" si="52"/>
        <v>17.244320987654319</v>
      </c>
      <c r="AE305">
        <f t="shared" si="53"/>
        <v>1.9760957192592592</v>
      </c>
      <c r="AF305" s="9"/>
      <c r="AG305" s="22">
        <v>1.3855</v>
      </c>
      <c r="AH305" s="22">
        <v>19.938800000000001</v>
      </c>
      <c r="AI305" s="22">
        <v>-1.15479E-2</v>
      </c>
      <c r="AJ305" s="22">
        <v>295</v>
      </c>
      <c r="AK305" s="22">
        <v>1.3845799999999999</v>
      </c>
      <c r="AL305">
        <f t="shared" si="54"/>
        <v>14.256666666666666</v>
      </c>
      <c r="AM305">
        <f t="shared" si="55"/>
        <v>19.752611666666667</v>
      </c>
      <c r="AP305" s="9"/>
      <c r="AQ305" s="22">
        <v>0.114594</v>
      </c>
      <c r="AR305" s="22">
        <v>25.116700000000002</v>
      </c>
      <c r="AS305" s="22">
        <v>-1.3952600000000001E-2</v>
      </c>
      <c r="AT305" s="22">
        <v>295</v>
      </c>
      <c r="AU305" s="22">
        <v>0.114075</v>
      </c>
      <c r="AV305">
        <f t="shared" si="56"/>
        <v>17.225432098765431</v>
      </c>
      <c r="AW305">
        <f t="shared" si="57"/>
        <v>1.9739311659259258</v>
      </c>
      <c r="AX305" s="9"/>
      <c r="AY305" s="22">
        <v>1.3855</v>
      </c>
      <c r="AZ305" s="22">
        <v>28.533000000000001</v>
      </c>
      <c r="BA305" s="22">
        <v>-1.15967E-2</v>
      </c>
      <c r="BB305" s="22">
        <v>295</v>
      </c>
      <c r="BC305" s="22">
        <v>1.38428</v>
      </c>
      <c r="BD305">
        <f t="shared" si="58"/>
        <v>14.316913580246911</v>
      </c>
      <c r="BE305">
        <f t="shared" si="59"/>
        <v>19.836083765432097</v>
      </c>
    </row>
    <row r="306" spans="6:57">
      <c r="F306" s="9"/>
      <c r="G306" s="22">
        <v>0.109558</v>
      </c>
      <c r="H306" s="22">
        <v>8.0163399999999996</v>
      </c>
      <c r="I306" s="22">
        <v>-1.3931300000000001E-2</v>
      </c>
      <c r="J306" s="22">
        <v>296</v>
      </c>
      <c r="K306" s="22">
        <v>0.10900899999999999</v>
      </c>
      <c r="L306">
        <f t="shared" si="48"/>
        <v>17.199135802469137</v>
      </c>
      <c r="M306">
        <f t="shared" si="49"/>
        <v>1.8843029202469137</v>
      </c>
      <c r="N306" s="9"/>
      <c r="O306" s="22">
        <v>1.39053</v>
      </c>
      <c r="P306" s="22">
        <v>11.432700000000001</v>
      </c>
      <c r="Q306" s="22">
        <v>-1.14868E-2</v>
      </c>
      <c r="R306" s="22">
        <v>296</v>
      </c>
      <c r="S306" s="22">
        <v>1.38947</v>
      </c>
      <c r="T306">
        <f t="shared" si="50"/>
        <v>14.181234567901233</v>
      </c>
      <c r="U306">
        <f t="shared" si="51"/>
        <v>19.719432103703703</v>
      </c>
      <c r="X306" s="9"/>
      <c r="Y306" s="22">
        <v>0.109558</v>
      </c>
      <c r="Z306" s="22">
        <v>16.532499999999999</v>
      </c>
      <c r="AA306" s="22">
        <v>-1.3964799999999999E-2</v>
      </c>
      <c r="AB306" s="22">
        <v>296</v>
      </c>
      <c r="AC306" s="22">
        <v>0.10897800000000001</v>
      </c>
      <c r="AD306">
        <f t="shared" si="52"/>
        <v>17.240493827160492</v>
      </c>
      <c r="AE306">
        <f t="shared" si="53"/>
        <v>1.8888340227160492</v>
      </c>
      <c r="AF306" s="9"/>
      <c r="AG306" s="22">
        <v>1.39053</v>
      </c>
      <c r="AH306" s="22">
        <v>19.948899999999998</v>
      </c>
      <c r="AI306" s="22">
        <v>-1.1489900000000001E-2</v>
      </c>
      <c r="AJ306" s="22">
        <v>296</v>
      </c>
      <c r="AK306" s="22">
        <v>1.38947</v>
      </c>
      <c r="AL306">
        <f t="shared" si="54"/>
        <v>14.185061728395063</v>
      </c>
      <c r="AM306">
        <f t="shared" si="55"/>
        <v>19.724753885185187</v>
      </c>
      <c r="AP306" s="9"/>
      <c r="AQ306" s="22">
        <v>0.109558</v>
      </c>
      <c r="AR306" s="22">
        <v>25.126799999999999</v>
      </c>
      <c r="AS306" s="22">
        <v>-1.3952600000000001E-2</v>
      </c>
      <c r="AT306" s="22">
        <v>296</v>
      </c>
      <c r="AU306" s="22">
        <v>0.10900899999999999</v>
      </c>
      <c r="AV306">
        <f t="shared" si="56"/>
        <v>17.225432098765431</v>
      </c>
      <c r="AW306">
        <f t="shared" si="57"/>
        <v>1.8871838898765432</v>
      </c>
      <c r="AX306" s="9"/>
      <c r="AY306" s="22">
        <v>1.39053</v>
      </c>
      <c r="AZ306" s="22">
        <v>28.543099999999999</v>
      </c>
      <c r="BA306" s="22">
        <v>-1.1538700000000001E-2</v>
      </c>
      <c r="BB306" s="22">
        <v>296</v>
      </c>
      <c r="BC306" s="22">
        <v>1.3897699999999999</v>
      </c>
      <c r="BD306">
        <f t="shared" si="58"/>
        <v>14.245308641975308</v>
      </c>
      <c r="BE306">
        <f t="shared" si="59"/>
        <v>19.808529025925925</v>
      </c>
    </row>
    <row r="307" spans="6:57">
      <c r="F307" s="9"/>
      <c r="G307" s="22">
        <v>0.104523</v>
      </c>
      <c r="H307" s="22">
        <v>8.0264100000000003</v>
      </c>
      <c r="I307" s="22">
        <v>-1.3931300000000001E-2</v>
      </c>
      <c r="J307" s="22">
        <v>297</v>
      </c>
      <c r="K307" s="22">
        <v>0.104004</v>
      </c>
      <c r="L307">
        <f t="shared" si="48"/>
        <v>17.199135802469137</v>
      </c>
      <c r="M307">
        <f t="shared" si="49"/>
        <v>1.7977052714814816</v>
      </c>
      <c r="N307" s="9"/>
      <c r="O307" s="22">
        <v>1.39557</v>
      </c>
      <c r="P307" s="22">
        <v>11.4428</v>
      </c>
      <c r="Q307" s="22">
        <v>-1.1422699999999999E-2</v>
      </c>
      <c r="R307" s="22">
        <v>297</v>
      </c>
      <c r="S307" s="22">
        <v>1.39435</v>
      </c>
      <c r="T307">
        <f t="shared" si="50"/>
        <v>14.102098765432096</v>
      </c>
      <c r="U307">
        <f t="shared" si="51"/>
        <v>19.680465974074071</v>
      </c>
      <c r="X307" s="9"/>
      <c r="Y307" s="22">
        <v>0.104523</v>
      </c>
      <c r="Z307" s="22">
        <v>16.5426</v>
      </c>
      <c r="AA307" s="22">
        <v>-1.39618E-2</v>
      </c>
      <c r="AB307" s="22">
        <v>297</v>
      </c>
      <c r="AC307" s="22">
        <v>0.103973</v>
      </c>
      <c r="AD307">
        <f t="shared" si="52"/>
        <v>17.236790123456789</v>
      </c>
      <c r="AE307">
        <f t="shared" si="53"/>
        <v>1.801641014074074</v>
      </c>
      <c r="AF307" s="9"/>
      <c r="AG307" s="22">
        <v>1.39557</v>
      </c>
      <c r="AH307" s="22">
        <v>19.959</v>
      </c>
      <c r="AI307" s="22">
        <v>-1.1441E-2</v>
      </c>
      <c r="AJ307" s="22">
        <v>297</v>
      </c>
      <c r="AK307" s="22">
        <v>1.3946499999999999</v>
      </c>
      <c r="AL307">
        <f t="shared" si="54"/>
        <v>14.124691358024689</v>
      </c>
      <c r="AM307">
        <f t="shared" si="55"/>
        <v>19.711995518518517</v>
      </c>
      <c r="AP307" s="9"/>
      <c r="AQ307" s="22">
        <v>0.104523</v>
      </c>
      <c r="AR307" s="22">
        <v>25.136800000000001</v>
      </c>
      <c r="AS307" s="22">
        <v>-1.3952600000000001E-2</v>
      </c>
      <c r="AT307" s="22">
        <v>297</v>
      </c>
      <c r="AU307" s="22">
        <v>0.103851</v>
      </c>
      <c r="AV307">
        <f t="shared" si="56"/>
        <v>17.225432098765431</v>
      </c>
      <c r="AW307">
        <f t="shared" si="57"/>
        <v>1.8004538392592593</v>
      </c>
      <c r="AX307" s="9"/>
      <c r="AY307" s="22">
        <v>1.39557</v>
      </c>
      <c r="AZ307" s="22">
        <v>28.5532</v>
      </c>
      <c r="BA307" s="22">
        <v>-1.14746E-2</v>
      </c>
      <c r="BB307" s="22">
        <v>297</v>
      </c>
      <c r="BC307" s="22">
        <v>1.3946499999999999</v>
      </c>
      <c r="BD307">
        <f t="shared" si="58"/>
        <v>14.166172839506173</v>
      </c>
      <c r="BE307">
        <f t="shared" si="59"/>
        <v>19.769885829629629</v>
      </c>
    </row>
    <row r="308" spans="6:57">
      <c r="F308" s="9"/>
      <c r="G308" s="22">
        <v>9.9487300000000001E-2</v>
      </c>
      <c r="H308" s="22">
        <v>8.0364799999999992</v>
      </c>
      <c r="I308" s="22">
        <v>-1.39404E-2</v>
      </c>
      <c r="J308" s="22">
        <v>298</v>
      </c>
      <c r="K308" s="22">
        <v>9.8968500000000001E-2</v>
      </c>
      <c r="L308">
        <f t="shared" si="48"/>
        <v>17.21037037037037</v>
      </c>
      <c r="M308">
        <f t="shared" si="49"/>
        <v>1.7122132801481482</v>
      </c>
      <c r="N308" s="9"/>
      <c r="O308" s="22">
        <v>1.4006000000000001</v>
      </c>
      <c r="P308" s="22">
        <v>11.4528</v>
      </c>
      <c r="Q308" s="22">
        <v>-1.1367800000000001E-2</v>
      </c>
      <c r="R308" s="22">
        <v>298</v>
      </c>
      <c r="S308" s="22">
        <v>1.39954</v>
      </c>
      <c r="T308">
        <f t="shared" si="50"/>
        <v>14.03432098765432</v>
      </c>
      <c r="U308">
        <f t="shared" si="51"/>
        <v>19.656469975308642</v>
      </c>
      <c r="X308" s="9"/>
      <c r="Y308" s="22">
        <v>9.9487300000000001E-2</v>
      </c>
      <c r="Z308" s="22">
        <v>16.552700000000002</v>
      </c>
      <c r="AA308" s="22">
        <v>-1.39618E-2</v>
      </c>
      <c r="AB308" s="22">
        <v>298</v>
      </c>
      <c r="AC308" s="22">
        <v>9.9060099999999998E-2</v>
      </c>
      <c r="AD308">
        <f t="shared" si="52"/>
        <v>17.236790123456789</v>
      </c>
      <c r="AE308">
        <f t="shared" si="53"/>
        <v>1.7148417100493827</v>
      </c>
      <c r="AF308" s="9"/>
      <c r="AG308" s="22">
        <v>1.4006000000000001</v>
      </c>
      <c r="AH308" s="22">
        <v>19.969000000000001</v>
      </c>
      <c r="AI308" s="22">
        <v>-1.13922E-2</v>
      </c>
      <c r="AJ308" s="22">
        <v>298</v>
      </c>
      <c r="AK308" s="22">
        <v>1.39954</v>
      </c>
      <c r="AL308">
        <f t="shared" si="54"/>
        <v>14.064444444444444</v>
      </c>
      <c r="AM308">
        <f t="shared" si="55"/>
        <v>19.698660888888888</v>
      </c>
      <c r="AP308" s="9"/>
      <c r="AQ308" s="22">
        <v>9.9487300000000001E-2</v>
      </c>
      <c r="AR308" s="22">
        <v>25.146899999999999</v>
      </c>
      <c r="AS308" s="22">
        <v>-1.3952600000000001E-2</v>
      </c>
      <c r="AT308" s="22">
        <v>298</v>
      </c>
      <c r="AU308" s="22">
        <v>9.8907499999999995E-2</v>
      </c>
      <c r="AV308">
        <f t="shared" si="56"/>
        <v>17.225432098765431</v>
      </c>
      <c r="AW308">
        <f t="shared" si="57"/>
        <v>1.713711730839506</v>
      </c>
      <c r="AX308" s="9"/>
      <c r="AY308" s="22">
        <v>1.4006000000000001</v>
      </c>
      <c r="AZ308" s="22">
        <v>28.563199999999998</v>
      </c>
      <c r="BA308" s="22">
        <v>-1.13983E-2</v>
      </c>
      <c r="BB308" s="22">
        <v>298</v>
      </c>
      <c r="BC308" s="22">
        <v>1.40015</v>
      </c>
      <c r="BD308">
        <f t="shared" si="58"/>
        <v>14.071975308641976</v>
      </c>
      <c r="BE308">
        <f t="shared" si="59"/>
        <v>19.709208617283952</v>
      </c>
    </row>
    <row r="309" spans="6:57">
      <c r="F309" s="9"/>
      <c r="G309" s="22">
        <v>9.4451900000000005E-2</v>
      </c>
      <c r="H309" s="22">
        <v>8.0465499999999999</v>
      </c>
      <c r="I309" s="22">
        <v>-1.3946500000000001E-2</v>
      </c>
      <c r="J309" s="22">
        <v>299</v>
      </c>
      <c r="K309" s="22">
        <v>9.38721E-2</v>
      </c>
      <c r="L309">
        <f t="shared" si="48"/>
        <v>17.217901234567901</v>
      </c>
      <c r="M309">
        <f t="shared" si="49"/>
        <v>1.626263485617284</v>
      </c>
      <c r="N309" s="9"/>
      <c r="O309" s="22">
        <v>1.40564</v>
      </c>
      <c r="P309" s="22">
        <v>11.462899999999999</v>
      </c>
      <c r="Q309" s="22">
        <v>-1.13037E-2</v>
      </c>
      <c r="R309" s="22">
        <v>299</v>
      </c>
      <c r="S309" s="22">
        <v>1.40503</v>
      </c>
      <c r="T309">
        <f t="shared" si="50"/>
        <v>13.955185185185183</v>
      </c>
      <c r="U309">
        <f t="shared" si="51"/>
        <v>19.615966503703699</v>
      </c>
      <c r="X309" s="9"/>
      <c r="Y309" s="22">
        <v>9.4451900000000005E-2</v>
      </c>
      <c r="Z309" s="22">
        <v>16.562799999999999</v>
      </c>
      <c r="AA309" s="22">
        <v>-1.3964799999999999E-2</v>
      </c>
      <c r="AB309" s="22">
        <v>299</v>
      </c>
      <c r="AC309" s="22">
        <v>9.3933100000000005E-2</v>
      </c>
      <c r="AD309">
        <f t="shared" si="52"/>
        <v>17.240493827160492</v>
      </c>
      <c r="AE309">
        <f t="shared" si="53"/>
        <v>1.6283973989135803</v>
      </c>
      <c r="AF309" s="9"/>
      <c r="AG309" s="22">
        <v>1.40564</v>
      </c>
      <c r="AH309" s="22">
        <v>19.979099999999999</v>
      </c>
      <c r="AI309" s="22">
        <v>-1.1340299999999999E-2</v>
      </c>
      <c r="AJ309" s="22">
        <v>299</v>
      </c>
      <c r="AK309" s="22">
        <v>1.40472</v>
      </c>
      <c r="AL309">
        <f t="shared" si="54"/>
        <v>14.000370370370367</v>
      </c>
      <c r="AM309">
        <f t="shared" si="55"/>
        <v>19.679480607407402</v>
      </c>
      <c r="AP309" s="9"/>
      <c r="AQ309" s="22">
        <v>9.4451900000000005E-2</v>
      </c>
      <c r="AR309" s="22">
        <v>25.157</v>
      </c>
      <c r="AS309" s="22">
        <v>-1.39557E-2</v>
      </c>
      <c r="AT309" s="22">
        <v>299</v>
      </c>
      <c r="AU309" s="22">
        <v>9.3933100000000005E-2</v>
      </c>
      <c r="AV309">
        <f t="shared" si="56"/>
        <v>17.229259259259258</v>
      </c>
      <c r="AW309">
        <f t="shared" si="57"/>
        <v>1.6273362726296297</v>
      </c>
      <c r="AX309" s="9"/>
      <c r="AY309" s="22">
        <v>1.40564</v>
      </c>
      <c r="AZ309" s="22">
        <v>28.5733</v>
      </c>
      <c r="BA309" s="22">
        <v>-1.13434E-2</v>
      </c>
      <c r="BB309" s="22">
        <v>299</v>
      </c>
      <c r="BC309" s="22">
        <v>1.40442</v>
      </c>
      <c r="BD309">
        <f t="shared" si="58"/>
        <v>14.004197530864197</v>
      </c>
      <c r="BE309">
        <f t="shared" si="59"/>
        <v>19.684860217283948</v>
      </c>
    </row>
    <row r="310" spans="6:57">
      <c r="F310" s="9"/>
      <c r="G310" s="22">
        <v>8.9416499999999996E-2</v>
      </c>
      <c r="H310" s="22">
        <v>8.0566200000000006</v>
      </c>
      <c r="I310" s="22">
        <v>-1.39496E-2</v>
      </c>
      <c r="J310" s="22">
        <v>300</v>
      </c>
      <c r="K310" s="22">
        <v>8.8867199999999993E-2</v>
      </c>
      <c r="L310">
        <f t="shared" si="48"/>
        <v>17.221728395061724</v>
      </c>
      <c r="M310">
        <f t="shared" si="49"/>
        <v>1.5399066770370367</v>
      </c>
      <c r="N310" s="9"/>
      <c r="O310" s="22">
        <v>1.4106799999999999</v>
      </c>
      <c r="P310" s="22">
        <v>11.473000000000001</v>
      </c>
      <c r="Q310" s="22">
        <v>-1.1239600000000001E-2</v>
      </c>
      <c r="R310" s="22">
        <v>300</v>
      </c>
      <c r="S310" s="22">
        <v>1.40991</v>
      </c>
      <c r="T310">
        <f t="shared" si="50"/>
        <v>13.876049382716049</v>
      </c>
      <c r="U310">
        <f t="shared" si="51"/>
        <v>19.574665343209876</v>
      </c>
      <c r="X310" s="9"/>
      <c r="Y310" s="22">
        <v>8.9416499999999996E-2</v>
      </c>
      <c r="Z310" s="22">
        <v>16.572800000000001</v>
      </c>
      <c r="AA310" s="22">
        <v>-1.3964799999999999E-2</v>
      </c>
      <c r="AB310" s="22">
        <v>300</v>
      </c>
      <c r="AC310" s="22">
        <v>8.8928199999999999E-2</v>
      </c>
      <c r="AD310">
        <f t="shared" si="52"/>
        <v>17.240493827160492</v>
      </c>
      <c r="AE310">
        <f t="shared" si="53"/>
        <v>1.5415846162962961</v>
      </c>
      <c r="AF310" s="9"/>
      <c r="AG310" s="22">
        <v>1.4106799999999999</v>
      </c>
      <c r="AH310" s="22">
        <v>19.9892</v>
      </c>
      <c r="AI310" s="22">
        <v>-1.12701E-2</v>
      </c>
      <c r="AJ310" s="22">
        <v>300</v>
      </c>
      <c r="AK310" s="22">
        <v>1.40991</v>
      </c>
      <c r="AL310">
        <f t="shared" si="54"/>
        <v>13.913703703703703</v>
      </c>
      <c r="AM310">
        <f t="shared" si="55"/>
        <v>19.62778354074074</v>
      </c>
      <c r="AP310" s="9"/>
      <c r="AQ310" s="22">
        <v>8.9416499999999996E-2</v>
      </c>
      <c r="AR310" s="22">
        <v>25.167000000000002</v>
      </c>
      <c r="AS310" s="22">
        <v>-1.3974E-2</v>
      </c>
      <c r="AT310" s="22">
        <v>300</v>
      </c>
      <c r="AU310" s="22">
        <v>8.8867199999999993E-2</v>
      </c>
      <c r="AV310">
        <f t="shared" si="56"/>
        <v>17.251851851851853</v>
      </c>
      <c r="AW310">
        <f t="shared" si="57"/>
        <v>1.5426002111111112</v>
      </c>
      <c r="AX310" s="9"/>
      <c r="AY310" s="22">
        <v>1.4106799999999999</v>
      </c>
      <c r="AZ310" s="22">
        <v>28.583400000000001</v>
      </c>
      <c r="BA310" s="22">
        <v>-1.12885E-2</v>
      </c>
      <c r="BB310" s="22">
        <v>300</v>
      </c>
      <c r="BC310" s="22">
        <v>1.41022</v>
      </c>
      <c r="BD310">
        <f t="shared" si="58"/>
        <v>13.936419753086419</v>
      </c>
      <c r="BE310">
        <f t="shared" si="59"/>
        <v>19.659828617283949</v>
      </c>
    </row>
    <row r="311" spans="6:57">
      <c r="F311" s="9"/>
      <c r="G311" s="22">
        <v>8.4381100000000001E-2</v>
      </c>
      <c r="H311" s="22">
        <v>8.0666899999999995</v>
      </c>
      <c r="I311" s="22">
        <v>-1.3952600000000001E-2</v>
      </c>
      <c r="J311" s="22">
        <v>301</v>
      </c>
      <c r="K311" s="22">
        <v>8.3831799999999998E-2</v>
      </c>
      <c r="L311">
        <f t="shared" si="48"/>
        <v>17.225432098765431</v>
      </c>
      <c r="M311">
        <f t="shared" si="49"/>
        <v>1.4535009084691357</v>
      </c>
      <c r="N311" s="9"/>
      <c r="O311" s="22">
        <v>1.41571</v>
      </c>
      <c r="P311" s="22">
        <v>11.483000000000001</v>
      </c>
      <c r="Q311" s="22">
        <v>-1.1163299999999999E-2</v>
      </c>
      <c r="R311" s="22">
        <v>301</v>
      </c>
      <c r="S311" s="22">
        <v>1.41418</v>
      </c>
      <c r="T311">
        <f t="shared" si="50"/>
        <v>13.781851851851851</v>
      </c>
      <c r="U311">
        <f t="shared" si="51"/>
        <v>19.511105485185183</v>
      </c>
      <c r="X311" s="9"/>
      <c r="Y311" s="22">
        <v>8.4381100000000001E-2</v>
      </c>
      <c r="Z311" s="22">
        <v>16.582899999999999</v>
      </c>
      <c r="AA311" s="22">
        <v>-1.39679E-2</v>
      </c>
      <c r="AB311" s="22">
        <v>301</v>
      </c>
      <c r="AC311" s="22">
        <v>8.3770800000000006E-2</v>
      </c>
      <c r="AD311">
        <f t="shared" si="52"/>
        <v>17.244320987654319</v>
      </c>
      <c r="AE311">
        <f t="shared" si="53"/>
        <v>1.455094773691358</v>
      </c>
      <c r="AF311" s="9"/>
      <c r="AG311" s="22">
        <v>1.41571</v>
      </c>
      <c r="AH311" s="22">
        <v>19.999199999999998</v>
      </c>
      <c r="AI311" s="22">
        <v>-1.1196899999999999E-2</v>
      </c>
      <c r="AJ311" s="22">
        <v>301</v>
      </c>
      <c r="AK311" s="22">
        <v>1.41449</v>
      </c>
      <c r="AL311">
        <f t="shared" si="54"/>
        <v>13.823333333333332</v>
      </c>
      <c r="AM311">
        <f t="shared" si="55"/>
        <v>19.569831233333332</v>
      </c>
      <c r="AP311" s="9"/>
      <c r="AQ311" s="22">
        <v>8.4381100000000001E-2</v>
      </c>
      <c r="AR311" s="22">
        <v>25.177099999999999</v>
      </c>
      <c r="AS311" s="22">
        <v>-1.3980100000000001E-2</v>
      </c>
      <c r="AT311" s="22">
        <v>301</v>
      </c>
      <c r="AU311" s="22">
        <v>8.3923300000000006E-2</v>
      </c>
      <c r="AV311">
        <f t="shared" si="56"/>
        <v>17.259382716049384</v>
      </c>
      <c r="AW311">
        <f t="shared" si="57"/>
        <v>1.4563656989012346</v>
      </c>
      <c r="AX311" s="9"/>
      <c r="AY311" s="22">
        <v>1.41571</v>
      </c>
      <c r="AZ311" s="22">
        <v>28.593499999999999</v>
      </c>
      <c r="BA311" s="22">
        <v>-1.12274E-2</v>
      </c>
      <c r="BB311" s="22">
        <v>301</v>
      </c>
      <c r="BC311" s="22">
        <v>1.41449</v>
      </c>
      <c r="BD311">
        <f t="shared" si="58"/>
        <v>13.860987654320986</v>
      </c>
      <c r="BE311">
        <f t="shared" si="59"/>
        <v>19.623138832098764</v>
      </c>
    </row>
    <row r="312" spans="6:57">
      <c r="F312" s="9"/>
      <c r="G312" s="22">
        <v>7.9345700000000005E-2</v>
      </c>
      <c r="H312" s="22">
        <v>8.0767600000000002</v>
      </c>
      <c r="I312" s="22">
        <v>-1.3958699999999999E-2</v>
      </c>
      <c r="J312" s="22">
        <v>302</v>
      </c>
      <c r="K312" s="22">
        <v>7.8887899999999997E-2</v>
      </c>
      <c r="L312">
        <f t="shared" si="48"/>
        <v>17.232962962962961</v>
      </c>
      <c r="M312">
        <f t="shared" si="49"/>
        <v>1.3673615093703704</v>
      </c>
      <c r="N312" s="9"/>
      <c r="O312" s="22">
        <v>1.42075</v>
      </c>
      <c r="P312" s="22">
        <v>11.4931</v>
      </c>
      <c r="Q312" s="22">
        <v>-1.10931E-2</v>
      </c>
      <c r="R312" s="22">
        <v>302</v>
      </c>
      <c r="S312" s="22">
        <v>1.41998</v>
      </c>
      <c r="T312">
        <f t="shared" si="50"/>
        <v>13.695185185185183</v>
      </c>
      <c r="U312">
        <f t="shared" si="51"/>
        <v>19.457434351851848</v>
      </c>
      <c r="X312" s="9"/>
      <c r="Y312" s="22">
        <v>7.9345700000000005E-2</v>
      </c>
      <c r="Z312" s="22">
        <v>16.593</v>
      </c>
      <c r="AA312" s="22">
        <v>-1.3977099999999999E-2</v>
      </c>
      <c r="AB312" s="22">
        <v>302</v>
      </c>
      <c r="AC312" s="22">
        <v>7.87659E-2</v>
      </c>
      <c r="AD312">
        <f t="shared" si="52"/>
        <v>17.255679012345677</v>
      </c>
      <c r="AE312">
        <f t="shared" si="53"/>
        <v>1.3691639302098766</v>
      </c>
      <c r="AF312" s="9"/>
      <c r="AG312" s="22">
        <v>1.42075</v>
      </c>
      <c r="AH312" s="22">
        <v>20.0093</v>
      </c>
      <c r="AI312" s="22">
        <v>-1.11237E-2</v>
      </c>
      <c r="AJ312" s="22">
        <v>302</v>
      </c>
      <c r="AK312" s="22">
        <v>1.4196800000000001</v>
      </c>
      <c r="AL312">
        <f t="shared" si="54"/>
        <v>13.732962962962963</v>
      </c>
      <c r="AM312">
        <f t="shared" si="55"/>
        <v>19.511107129629629</v>
      </c>
      <c r="AP312" s="9"/>
      <c r="AQ312" s="22">
        <v>7.9345700000000005E-2</v>
      </c>
      <c r="AR312" s="22">
        <v>25.187200000000001</v>
      </c>
      <c r="AS312" s="22">
        <v>-1.39893E-2</v>
      </c>
      <c r="AT312" s="22">
        <v>302</v>
      </c>
      <c r="AU312" s="22">
        <v>7.8857399999999994E-2</v>
      </c>
      <c r="AV312">
        <f t="shared" si="56"/>
        <v>17.270740740740738</v>
      </c>
      <c r="AW312">
        <f t="shared" si="57"/>
        <v>1.3703590135925925</v>
      </c>
      <c r="AX312" s="9"/>
      <c r="AY312" s="22">
        <v>1.42075</v>
      </c>
      <c r="AZ312" s="22">
        <v>28.6035</v>
      </c>
      <c r="BA312" s="22">
        <v>-1.11603E-2</v>
      </c>
      <c r="BB312" s="22">
        <v>302</v>
      </c>
      <c r="BC312" s="22">
        <v>1.41998</v>
      </c>
      <c r="BD312">
        <f t="shared" si="58"/>
        <v>13.778148148148148</v>
      </c>
      <c r="BE312">
        <f t="shared" si="59"/>
        <v>19.575303981481479</v>
      </c>
    </row>
    <row r="313" spans="6:57">
      <c r="F313" s="9"/>
      <c r="G313" s="22">
        <v>7.4310299999999996E-2</v>
      </c>
      <c r="H313" s="22">
        <v>8.0868300000000009</v>
      </c>
      <c r="I313" s="22">
        <v>-1.39618E-2</v>
      </c>
      <c r="J313" s="22">
        <v>303</v>
      </c>
      <c r="K313" s="22">
        <v>7.3760999999999993E-2</v>
      </c>
      <c r="L313">
        <f t="shared" si="48"/>
        <v>17.236790123456789</v>
      </c>
      <c r="M313">
        <f t="shared" si="49"/>
        <v>1.2808710451111109</v>
      </c>
      <c r="N313" s="9"/>
      <c r="O313" s="22">
        <v>1.42578</v>
      </c>
      <c r="P313" s="22">
        <v>11.5032</v>
      </c>
      <c r="Q313" s="22">
        <v>-1.10046E-2</v>
      </c>
      <c r="R313" s="22">
        <v>303</v>
      </c>
      <c r="S313" s="22">
        <v>1.42456</v>
      </c>
      <c r="T313">
        <f t="shared" si="50"/>
        <v>13.585925925925926</v>
      </c>
      <c r="U313">
        <f t="shared" si="51"/>
        <v>19.370541466666666</v>
      </c>
      <c r="X313" s="9"/>
      <c r="Y313" s="22">
        <v>7.4310299999999996E-2</v>
      </c>
      <c r="Z313" s="22">
        <v>16.603000000000002</v>
      </c>
      <c r="AA313" s="22">
        <v>-1.3983199999999999E-2</v>
      </c>
      <c r="AB313" s="22">
        <v>303</v>
      </c>
      <c r="AC313" s="22">
        <v>7.3760999999999993E-2</v>
      </c>
      <c r="AD313">
        <f t="shared" si="52"/>
        <v>17.263209876543208</v>
      </c>
      <c r="AE313">
        <f t="shared" si="53"/>
        <v>1.2828343048888886</v>
      </c>
      <c r="AF313" s="9"/>
      <c r="AG313" s="22">
        <v>1.42578</v>
      </c>
      <c r="AH313" s="22">
        <v>20.019400000000001</v>
      </c>
      <c r="AI313" s="22">
        <v>-1.10443E-2</v>
      </c>
      <c r="AJ313" s="22">
        <v>303</v>
      </c>
      <c r="AK313" s="22">
        <v>1.42456</v>
      </c>
      <c r="AL313">
        <f t="shared" si="54"/>
        <v>13.634938271604938</v>
      </c>
      <c r="AM313">
        <f t="shared" si="55"/>
        <v>19.44042228888889</v>
      </c>
      <c r="AP313" s="9"/>
      <c r="AQ313" s="22">
        <v>7.4310299999999996E-2</v>
      </c>
      <c r="AR313" s="22">
        <v>25.197299999999998</v>
      </c>
      <c r="AS313" s="22">
        <v>-1.3992299999999999E-2</v>
      </c>
      <c r="AT313" s="22">
        <v>303</v>
      </c>
      <c r="AU313" s="22">
        <v>7.3730500000000004E-2</v>
      </c>
      <c r="AV313">
        <f t="shared" si="56"/>
        <v>17.274444444444445</v>
      </c>
      <c r="AW313">
        <f t="shared" si="57"/>
        <v>1.2836691489999998</v>
      </c>
      <c r="AX313" s="9"/>
      <c r="AY313" s="22">
        <v>1.42578</v>
      </c>
      <c r="AZ313" s="22">
        <v>28.613600000000002</v>
      </c>
      <c r="BA313" s="22">
        <v>-1.1087E-2</v>
      </c>
      <c r="BB313" s="22">
        <v>303</v>
      </c>
      <c r="BC313" s="22">
        <v>1.42456</v>
      </c>
      <c r="BD313">
        <f t="shared" si="58"/>
        <v>13.687654320987654</v>
      </c>
      <c r="BE313">
        <f t="shared" si="59"/>
        <v>19.515583777777778</v>
      </c>
    </row>
    <row r="314" spans="6:57">
      <c r="F314" s="9"/>
      <c r="G314" s="22">
        <v>6.92749E-2</v>
      </c>
      <c r="H314" s="22">
        <v>8.0969099999999994</v>
      </c>
      <c r="I314" s="22">
        <v>-1.39709E-2</v>
      </c>
      <c r="J314" s="22">
        <v>304</v>
      </c>
      <c r="K314" s="22">
        <v>6.8786600000000003E-2</v>
      </c>
      <c r="L314">
        <f t="shared" si="48"/>
        <v>17.248024691358022</v>
      </c>
      <c r="M314">
        <f t="shared" si="49"/>
        <v>1.1948551856913578</v>
      </c>
      <c r="N314" s="9"/>
      <c r="O314" s="22">
        <v>1.43082</v>
      </c>
      <c r="P314" s="22">
        <v>11.513299999999999</v>
      </c>
      <c r="Q314" s="22">
        <v>-1.0925300000000001E-2</v>
      </c>
      <c r="R314" s="22">
        <v>304</v>
      </c>
      <c r="S314" s="22">
        <v>1.43005</v>
      </c>
      <c r="T314">
        <f t="shared" si="50"/>
        <v>13.488024691358024</v>
      </c>
      <c r="U314">
        <f t="shared" si="51"/>
        <v>19.298935488888887</v>
      </c>
      <c r="X314" s="9"/>
      <c r="Y314" s="22">
        <v>6.92749E-2</v>
      </c>
      <c r="Z314" s="22">
        <v>16.613099999999999</v>
      </c>
      <c r="AA314" s="22">
        <v>-1.3983199999999999E-2</v>
      </c>
      <c r="AB314" s="22">
        <v>304</v>
      </c>
      <c r="AC314" s="22">
        <v>6.8786600000000003E-2</v>
      </c>
      <c r="AD314">
        <f t="shared" si="52"/>
        <v>17.263209876543208</v>
      </c>
      <c r="AE314">
        <f t="shared" si="53"/>
        <v>1.1959071378765431</v>
      </c>
      <c r="AF314" s="9"/>
      <c r="AG314" s="22">
        <v>1.43082</v>
      </c>
      <c r="AH314" s="22">
        <v>20.029499999999999</v>
      </c>
      <c r="AI314" s="22">
        <v>-1.0974100000000001E-2</v>
      </c>
      <c r="AJ314" s="22">
        <v>304</v>
      </c>
      <c r="AK314" s="22">
        <v>1.4297500000000001</v>
      </c>
      <c r="AL314">
        <f t="shared" si="54"/>
        <v>13.548271604938272</v>
      </c>
      <c r="AM314">
        <f t="shared" si="55"/>
        <v>19.385137977777777</v>
      </c>
      <c r="AP314" s="9"/>
      <c r="AQ314" s="22">
        <v>6.92749E-2</v>
      </c>
      <c r="AR314" s="22">
        <v>25.2073</v>
      </c>
      <c r="AS314" s="22">
        <v>-1.3992299999999999E-2</v>
      </c>
      <c r="AT314" s="22">
        <v>304</v>
      </c>
      <c r="AU314" s="22">
        <v>6.8695099999999995E-2</v>
      </c>
      <c r="AV314">
        <f t="shared" si="56"/>
        <v>17.274444444444445</v>
      </c>
      <c r="AW314">
        <f t="shared" si="57"/>
        <v>1.1966854114444445</v>
      </c>
      <c r="AX314" s="9"/>
      <c r="AY314" s="22">
        <v>1.43082</v>
      </c>
      <c r="AZ314" s="22">
        <v>28.623699999999999</v>
      </c>
      <c r="BA314" s="22">
        <v>-1.10168E-2</v>
      </c>
      <c r="BB314" s="22">
        <v>304</v>
      </c>
      <c r="BC314" s="22">
        <v>1.43005</v>
      </c>
      <c r="BD314">
        <f t="shared" si="58"/>
        <v>13.600987654320987</v>
      </c>
      <c r="BE314">
        <f t="shared" si="59"/>
        <v>19.460565155555553</v>
      </c>
    </row>
    <row r="315" spans="6:57">
      <c r="F315" s="9"/>
      <c r="G315" s="22">
        <v>6.4239500000000005E-2</v>
      </c>
      <c r="H315" s="22">
        <v>8.1069800000000001</v>
      </c>
      <c r="I315" s="22">
        <v>-1.39893E-2</v>
      </c>
      <c r="J315" s="22">
        <v>305</v>
      </c>
      <c r="K315" s="22">
        <v>6.3720700000000005E-2</v>
      </c>
      <c r="L315">
        <f t="shared" si="48"/>
        <v>17.270740740740738</v>
      </c>
      <c r="M315">
        <f t="shared" si="49"/>
        <v>1.1094637498148148</v>
      </c>
      <c r="N315" s="9"/>
      <c r="O315" s="22">
        <v>1.4358500000000001</v>
      </c>
      <c r="P315" s="22">
        <v>11.523300000000001</v>
      </c>
      <c r="Q315" s="22">
        <v>-1.08337E-2</v>
      </c>
      <c r="R315" s="22">
        <v>305</v>
      </c>
      <c r="S315" s="22">
        <v>1.4346300000000001</v>
      </c>
      <c r="T315">
        <f t="shared" si="50"/>
        <v>13.374938271604938</v>
      </c>
      <c r="U315">
        <f t="shared" si="51"/>
        <v>19.204405117283951</v>
      </c>
      <c r="X315" s="9"/>
      <c r="Y315" s="22">
        <v>6.4239500000000005E-2</v>
      </c>
      <c r="Z315" s="22">
        <v>16.623200000000001</v>
      </c>
      <c r="AA315" s="22">
        <v>-1.3983199999999999E-2</v>
      </c>
      <c r="AB315" s="22">
        <v>305</v>
      </c>
      <c r="AC315" s="22">
        <v>6.3690200000000002E-2</v>
      </c>
      <c r="AD315">
        <f t="shared" si="52"/>
        <v>17.263209876543208</v>
      </c>
      <c r="AE315">
        <f t="shared" si="53"/>
        <v>1.1089799708641974</v>
      </c>
      <c r="AF315" s="9"/>
      <c r="AG315" s="22">
        <v>1.4358500000000001</v>
      </c>
      <c r="AH315" s="22">
        <v>20.0395</v>
      </c>
      <c r="AI315" s="22">
        <v>-1.0888699999999999E-2</v>
      </c>
      <c r="AJ315" s="22">
        <v>305</v>
      </c>
      <c r="AK315" s="22">
        <v>1.4346300000000001</v>
      </c>
      <c r="AL315">
        <f t="shared" si="54"/>
        <v>13.442839506172838</v>
      </c>
      <c r="AM315">
        <f t="shared" si="55"/>
        <v>19.30190110493827</v>
      </c>
      <c r="AP315" s="9"/>
      <c r="AQ315" s="22">
        <v>6.4239500000000005E-2</v>
      </c>
      <c r="AR315" s="22">
        <v>25.217400000000001</v>
      </c>
      <c r="AS315" s="22">
        <v>-1.3998399999999999E-2</v>
      </c>
      <c r="AT315" s="22">
        <v>305</v>
      </c>
      <c r="AU315" s="22">
        <v>6.3690200000000002E-2</v>
      </c>
      <c r="AV315">
        <f t="shared" si="56"/>
        <v>17.281975308641975</v>
      </c>
      <c r="AW315">
        <f t="shared" si="57"/>
        <v>1.1101854528395063</v>
      </c>
      <c r="AX315" s="9"/>
      <c r="AY315" s="22">
        <v>1.4358500000000001</v>
      </c>
      <c r="AZ315" s="22">
        <v>28.633700000000001</v>
      </c>
      <c r="BA315" s="22">
        <v>-1.0925300000000001E-2</v>
      </c>
      <c r="BB315" s="22">
        <v>305</v>
      </c>
      <c r="BC315" s="22">
        <v>1.4349400000000001</v>
      </c>
      <c r="BD315">
        <f t="shared" si="58"/>
        <v>13.488024691358024</v>
      </c>
      <c r="BE315">
        <f t="shared" si="59"/>
        <v>19.366780253086421</v>
      </c>
    </row>
    <row r="316" spans="6:57">
      <c r="F316" s="9"/>
      <c r="G316" s="22">
        <v>5.9204100000000003E-2</v>
      </c>
      <c r="H316" s="22">
        <v>8.1170500000000008</v>
      </c>
      <c r="I316" s="22">
        <v>-1.40015E-2</v>
      </c>
      <c r="J316" s="22">
        <v>306</v>
      </c>
      <c r="K316" s="22">
        <v>5.8593800000000001E-2</v>
      </c>
      <c r="L316">
        <f t="shared" si="48"/>
        <v>17.285802469135803</v>
      </c>
      <c r="M316">
        <f t="shared" si="49"/>
        <v>1.0233903779629629</v>
      </c>
      <c r="N316" s="9"/>
      <c r="O316" s="22">
        <v>1.44089</v>
      </c>
      <c r="P316" s="22">
        <v>11.5334</v>
      </c>
      <c r="Q316" s="22">
        <v>-1.07513E-2</v>
      </c>
      <c r="R316" s="22">
        <v>306</v>
      </c>
      <c r="S316" s="22">
        <v>1.4404300000000001</v>
      </c>
      <c r="T316">
        <f t="shared" si="50"/>
        <v>13.273209876543209</v>
      </c>
      <c r="U316">
        <f t="shared" si="51"/>
        <v>19.125235379012345</v>
      </c>
      <c r="X316" s="9"/>
      <c r="Y316" s="22">
        <v>5.9204100000000003E-2</v>
      </c>
      <c r="Z316" s="22">
        <v>16.633299999999998</v>
      </c>
      <c r="AA316" s="22">
        <v>-1.3983199999999999E-2</v>
      </c>
      <c r="AB316" s="22">
        <v>306</v>
      </c>
      <c r="AC316" s="22">
        <v>5.8624299999999997E-2</v>
      </c>
      <c r="AD316">
        <f t="shared" si="52"/>
        <v>17.263209876543208</v>
      </c>
      <c r="AE316">
        <f t="shared" si="53"/>
        <v>1.0220528038518517</v>
      </c>
      <c r="AF316" s="9"/>
      <c r="AG316" s="22">
        <v>1.44089</v>
      </c>
      <c r="AH316" s="22">
        <v>20.049600000000002</v>
      </c>
      <c r="AI316" s="22">
        <v>-1.08185E-2</v>
      </c>
      <c r="AJ316" s="22">
        <v>306</v>
      </c>
      <c r="AK316" s="22">
        <v>1.4395100000000001</v>
      </c>
      <c r="AL316">
        <f t="shared" si="54"/>
        <v>13.356172839506172</v>
      </c>
      <c r="AM316">
        <f t="shared" si="55"/>
        <v>19.244775882716048</v>
      </c>
      <c r="AP316" s="9"/>
      <c r="AQ316" s="22">
        <v>5.9204100000000003E-2</v>
      </c>
      <c r="AR316" s="22">
        <v>25.227499999999999</v>
      </c>
      <c r="AS316" s="22">
        <v>-1.3998399999999999E-2</v>
      </c>
      <c r="AT316" s="22">
        <v>306</v>
      </c>
      <c r="AU316" s="22">
        <v>5.86548E-2</v>
      </c>
      <c r="AV316">
        <f t="shared" si="56"/>
        <v>17.281975308641975</v>
      </c>
      <c r="AW316">
        <f t="shared" si="57"/>
        <v>1.0231637943703704</v>
      </c>
      <c r="AX316" s="9"/>
      <c r="AY316" s="22">
        <v>1.44089</v>
      </c>
      <c r="AZ316" s="22">
        <v>28.643799999999999</v>
      </c>
      <c r="BA316" s="22">
        <v>-1.08398E-2</v>
      </c>
      <c r="BB316" s="22">
        <v>306</v>
      </c>
      <c r="BC316" s="22">
        <v>1.4401200000000001</v>
      </c>
      <c r="BD316">
        <f t="shared" si="58"/>
        <v>13.38246913580247</v>
      </c>
      <c r="BE316">
        <f t="shared" si="59"/>
        <v>19.282665953086422</v>
      </c>
    </row>
    <row r="317" spans="6:57">
      <c r="F317" s="9"/>
      <c r="G317" s="22">
        <v>5.41687E-2</v>
      </c>
      <c r="H317" s="22">
        <v>8.1271199999999997</v>
      </c>
      <c r="I317" s="22">
        <v>-1.40076E-2</v>
      </c>
      <c r="J317" s="22">
        <v>307</v>
      </c>
      <c r="K317" s="22">
        <v>5.3558300000000003E-2</v>
      </c>
      <c r="L317">
        <f t="shared" si="48"/>
        <v>17.293333333333333</v>
      </c>
      <c r="M317">
        <f t="shared" si="49"/>
        <v>0.9367573853333333</v>
      </c>
      <c r="N317" s="9"/>
      <c r="O317" s="22">
        <v>1.4459200000000001</v>
      </c>
      <c r="P317" s="22">
        <v>11.5435</v>
      </c>
      <c r="Q317" s="22">
        <v>-1.06506E-2</v>
      </c>
      <c r="R317" s="22">
        <v>307</v>
      </c>
      <c r="S317" s="22">
        <v>1.4453100000000001</v>
      </c>
      <c r="T317">
        <f t="shared" si="50"/>
        <v>13.148888888888887</v>
      </c>
      <c r="U317">
        <f t="shared" si="51"/>
        <v>19.012241422222221</v>
      </c>
      <c r="X317" s="9"/>
      <c r="Y317" s="22">
        <v>5.41687E-2</v>
      </c>
      <c r="Z317" s="22">
        <v>16.6433</v>
      </c>
      <c r="AA317" s="22">
        <v>-1.3983199999999999E-2</v>
      </c>
      <c r="AB317" s="22">
        <v>307</v>
      </c>
      <c r="AC317" s="22">
        <v>5.3619399999999998E-2</v>
      </c>
      <c r="AD317">
        <f t="shared" si="52"/>
        <v>17.263209876543208</v>
      </c>
      <c r="AE317">
        <f t="shared" si="53"/>
        <v>0.935125636839506</v>
      </c>
      <c r="AF317" s="9"/>
      <c r="AG317" s="22">
        <v>1.4459200000000001</v>
      </c>
      <c r="AH317" s="22">
        <v>20.059699999999999</v>
      </c>
      <c r="AI317" s="22">
        <v>-1.07391E-2</v>
      </c>
      <c r="AJ317" s="22">
        <v>307</v>
      </c>
      <c r="AK317" s="22">
        <v>1.4456199999999999</v>
      </c>
      <c r="AL317">
        <f t="shared" si="54"/>
        <v>13.258148148148148</v>
      </c>
      <c r="AM317">
        <f t="shared" si="55"/>
        <v>19.170221570370373</v>
      </c>
      <c r="AP317" s="9"/>
      <c r="AQ317" s="22">
        <v>5.41687E-2</v>
      </c>
      <c r="AR317" s="22">
        <v>25.237500000000001</v>
      </c>
      <c r="AS317" s="22">
        <v>-1.40015E-2</v>
      </c>
      <c r="AT317" s="22">
        <v>307</v>
      </c>
      <c r="AU317" s="22">
        <v>5.3558300000000003E-2</v>
      </c>
      <c r="AV317">
        <f t="shared" si="56"/>
        <v>17.285802469135803</v>
      </c>
      <c r="AW317">
        <f t="shared" si="57"/>
        <v>0.93634944820987653</v>
      </c>
      <c r="AX317" s="9"/>
      <c r="AY317" s="22">
        <v>1.4459200000000001</v>
      </c>
      <c r="AZ317" s="22">
        <v>28.6539</v>
      </c>
      <c r="BA317" s="22">
        <v>-1.07361E-2</v>
      </c>
      <c r="BB317" s="22">
        <v>307</v>
      </c>
      <c r="BC317" s="22">
        <v>1.4450099999999999</v>
      </c>
      <c r="BD317">
        <f t="shared" si="58"/>
        <v>13.254444444444443</v>
      </c>
      <c r="BE317">
        <f t="shared" si="59"/>
        <v>19.164866311111112</v>
      </c>
    </row>
    <row r="318" spans="6:57">
      <c r="F318" s="9"/>
      <c r="G318" s="22">
        <v>4.9133299999999998E-2</v>
      </c>
      <c r="H318" s="22">
        <v>8.1371900000000004</v>
      </c>
      <c r="I318" s="22">
        <v>-1.40045E-2</v>
      </c>
      <c r="J318" s="22">
        <v>308</v>
      </c>
      <c r="K318" s="22">
        <v>4.9020399999999999E-2</v>
      </c>
      <c r="L318">
        <f t="shared" si="48"/>
        <v>17.289506172839506</v>
      </c>
      <c r="M318">
        <f t="shared" si="49"/>
        <v>0.84949049364197526</v>
      </c>
      <c r="N318" s="9"/>
      <c r="O318" s="22">
        <v>1.45096</v>
      </c>
      <c r="P318" s="22">
        <v>11.5535</v>
      </c>
      <c r="Q318" s="22">
        <v>-1.05743E-2</v>
      </c>
      <c r="R318" s="22">
        <v>308</v>
      </c>
      <c r="S318" s="22">
        <v>1.4501999999999999</v>
      </c>
      <c r="T318">
        <f t="shared" si="50"/>
        <v>13.054691358024691</v>
      </c>
      <c r="U318">
        <f t="shared" si="51"/>
        <v>18.941834972839505</v>
      </c>
      <c r="X318" s="9"/>
      <c r="Y318" s="22">
        <v>4.9133299999999998E-2</v>
      </c>
      <c r="Z318" s="22">
        <v>16.653400000000001</v>
      </c>
      <c r="AA318" s="22">
        <v>-1.3983199999999999E-2</v>
      </c>
      <c r="AB318" s="22">
        <v>308</v>
      </c>
      <c r="AC318" s="22">
        <v>4.9050900000000001E-2</v>
      </c>
      <c r="AD318">
        <f t="shared" si="52"/>
        <v>17.263209876543208</v>
      </c>
      <c r="AE318">
        <f t="shared" si="53"/>
        <v>0.8481984698271603</v>
      </c>
      <c r="AF318" s="9"/>
      <c r="AG318" s="22">
        <v>1.45096</v>
      </c>
      <c r="AH318" s="22">
        <v>20.069700000000001</v>
      </c>
      <c r="AI318" s="22">
        <v>-1.06537E-2</v>
      </c>
      <c r="AJ318" s="22">
        <v>308</v>
      </c>
      <c r="AK318" s="22">
        <v>1.4504999999999999</v>
      </c>
      <c r="AL318">
        <f t="shared" si="54"/>
        <v>13.152716049382715</v>
      </c>
      <c r="AM318">
        <f t="shared" si="55"/>
        <v>19.084064879012345</v>
      </c>
      <c r="AP318" s="9"/>
      <c r="AQ318" s="22">
        <v>4.9133299999999998E-2</v>
      </c>
      <c r="AR318" s="22">
        <v>25.247599999999998</v>
      </c>
      <c r="AS318" s="22">
        <v>-1.3998399999999999E-2</v>
      </c>
      <c r="AT318" s="22">
        <v>308</v>
      </c>
      <c r="AU318" s="22">
        <v>4.90692E-2</v>
      </c>
      <c r="AV318">
        <f t="shared" si="56"/>
        <v>17.281975308641975</v>
      </c>
      <c r="AW318">
        <f t="shared" si="57"/>
        <v>0.84912047743209873</v>
      </c>
      <c r="AX318" s="9"/>
      <c r="AY318" s="22">
        <v>1.45096</v>
      </c>
      <c r="AZ318" s="22">
        <v>28.664000000000001</v>
      </c>
      <c r="BA318" s="22">
        <v>-1.06415E-2</v>
      </c>
      <c r="BB318" s="22">
        <v>308</v>
      </c>
      <c r="BC318" s="22">
        <v>1.4498899999999999</v>
      </c>
      <c r="BD318">
        <f t="shared" si="58"/>
        <v>13.137654320987654</v>
      </c>
      <c r="BE318">
        <f t="shared" si="59"/>
        <v>19.062210913580245</v>
      </c>
    </row>
    <row r="319" spans="6:57">
      <c r="F319" s="9"/>
      <c r="G319" s="22">
        <v>4.4097900000000002E-2</v>
      </c>
      <c r="H319" s="22">
        <v>8.1472599999999993</v>
      </c>
      <c r="I319" s="22">
        <v>-1.40076E-2</v>
      </c>
      <c r="J319" s="22">
        <v>309</v>
      </c>
      <c r="K319" s="22">
        <v>4.3985000000000003E-2</v>
      </c>
      <c r="L319">
        <f t="shared" si="48"/>
        <v>17.293333333333333</v>
      </c>
      <c r="M319">
        <f t="shared" si="49"/>
        <v>0.762599684</v>
      </c>
      <c r="N319" s="9"/>
      <c r="O319" s="22">
        <v>1.4559899999999999</v>
      </c>
      <c r="P319" s="22">
        <v>11.563599999999999</v>
      </c>
      <c r="Q319" s="22">
        <v>-1.04858E-2</v>
      </c>
      <c r="R319" s="22">
        <v>309</v>
      </c>
      <c r="S319" s="22">
        <v>1.4556899999999999</v>
      </c>
      <c r="T319">
        <f t="shared" si="50"/>
        <v>12.945432098765432</v>
      </c>
      <c r="U319">
        <f t="shared" si="51"/>
        <v>18.848419681481481</v>
      </c>
      <c r="X319" s="9"/>
      <c r="Y319" s="22">
        <v>4.4097900000000002E-2</v>
      </c>
      <c r="Z319" s="22">
        <v>16.663499999999999</v>
      </c>
      <c r="AA319" s="22">
        <v>-1.3986200000000001E-2</v>
      </c>
      <c r="AB319" s="22">
        <v>309</v>
      </c>
      <c r="AC319" s="22">
        <v>4.3942299999999997E-2</v>
      </c>
      <c r="AD319">
        <f t="shared" si="52"/>
        <v>17.266913580246914</v>
      </c>
      <c r="AE319">
        <f t="shared" si="53"/>
        <v>0.76143462837037046</v>
      </c>
      <c r="AF319" s="9"/>
      <c r="AG319" s="22">
        <v>1.4559899999999999</v>
      </c>
      <c r="AH319" s="22">
        <v>20.079799999999999</v>
      </c>
      <c r="AI319" s="22">
        <v>-1.0549899999999999E-2</v>
      </c>
      <c r="AJ319" s="22">
        <v>309</v>
      </c>
      <c r="AK319" s="22">
        <v>1.4550799999999999</v>
      </c>
      <c r="AL319">
        <f t="shared" si="54"/>
        <v>13.024567901234567</v>
      </c>
      <c r="AM319">
        <f t="shared" si="55"/>
        <v>18.963640618518514</v>
      </c>
      <c r="AP319" s="9"/>
      <c r="AQ319" s="22">
        <v>4.4097900000000002E-2</v>
      </c>
      <c r="AR319" s="22">
        <v>25.2577</v>
      </c>
      <c r="AS319" s="22">
        <v>-1.3992299999999999E-2</v>
      </c>
      <c r="AT319" s="22">
        <v>309</v>
      </c>
      <c r="AU319" s="22">
        <v>4.3939199999999998E-2</v>
      </c>
      <c r="AV319">
        <f t="shared" si="56"/>
        <v>17.274444444444445</v>
      </c>
      <c r="AW319">
        <f t="shared" si="57"/>
        <v>0.76176672366666676</v>
      </c>
      <c r="AX319" s="9"/>
      <c r="AY319" s="22">
        <v>1.4559899999999999</v>
      </c>
      <c r="AZ319" s="22">
        <v>28.673999999999999</v>
      </c>
      <c r="BA319" s="22">
        <v>-1.0543800000000001E-2</v>
      </c>
      <c r="BB319" s="22">
        <v>309</v>
      </c>
      <c r="BC319" s="22">
        <v>1.4553799999999999</v>
      </c>
      <c r="BD319">
        <f t="shared" si="58"/>
        <v>13.017037037037037</v>
      </c>
      <c r="BE319">
        <f t="shared" si="59"/>
        <v>18.952675755555553</v>
      </c>
    </row>
    <row r="320" spans="6:57">
      <c r="F320" s="9"/>
      <c r="G320" s="22">
        <v>3.90625E-2</v>
      </c>
      <c r="H320" s="22">
        <v>8.15733</v>
      </c>
      <c r="I320" s="22">
        <v>-1.40137E-2</v>
      </c>
      <c r="J320" s="22">
        <v>310</v>
      </c>
      <c r="K320" s="22">
        <v>3.9007600000000003E-2</v>
      </c>
      <c r="L320">
        <f t="shared" si="48"/>
        <v>17.300864197530863</v>
      </c>
      <c r="M320">
        <f t="shared" si="49"/>
        <v>0.67581500771604941</v>
      </c>
      <c r="N320" s="9"/>
      <c r="O320" s="22">
        <v>1.4610300000000001</v>
      </c>
      <c r="P320" s="22">
        <v>11.573700000000001</v>
      </c>
      <c r="Q320" s="22">
        <v>-1.03821E-2</v>
      </c>
      <c r="R320" s="22">
        <v>310</v>
      </c>
      <c r="S320" s="22">
        <v>1.4605699999999999</v>
      </c>
      <c r="T320">
        <f t="shared" si="50"/>
        <v>12.817407407407407</v>
      </c>
      <c r="U320">
        <f t="shared" si="51"/>
        <v>18.726616744444446</v>
      </c>
      <c r="X320" s="9"/>
      <c r="Y320" s="22">
        <v>3.90625E-2</v>
      </c>
      <c r="Z320" s="22">
        <v>16.673500000000001</v>
      </c>
      <c r="AA320" s="22">
        <v>-1.3986200000000001E-2</v>
      </c>
      <c r="AB320" s="22">
        <v>310</v>
      </c>
      <c r="AC320" s="22">
        <v>3.89679E-2</v>
      </c>
      <c r="AD320">
        <f t="shared" si="52"/>
        <v>17.266913580246914</v>
      </c>
      <c r="AE320">
        <f t="shared" si="53"/>
        <v>0.67448881172839514</v>
      </c>
      <c r="AF320" s="9"/>
      <c r="AG320" s="22">
        <v>1.4610300000000001</v>
      </c>
      <c r="AH320" s="22">
        <v>20.0899</v>
      </c>
      <c r="AI320" s="22">
        <v>-1.0440100000000001E-2</v>
      </c>
      <c r="AJ320" s="22">
        <v>310</v>
      </c>
      <c r="AK320" s="22">
        <v>1.46027</v>
      </c>
      <c r="AL320">
        <f t="shared" si="54"/>
        <v>12.889012345679014</v>
      </c>
      <c r="AM320">
        <f t="shared" si="55"/>
        <v>18.83123370740741</v>
      </c>
      <c r="AP320" s="9"/>
      <c r="AQ320" s="22">
        <v>3.90625E-2</v>
      </c>
      <c r="AR320" s="22">
        <v>25.267800000000001</v>
      </c>
      <c r="AS320" s="22">
        <v>-1.3980100000000001E-2</v>
      </c>
      <c r="AT320" s="22">
        <v>310</v>
      </c>
      <c r="AU320" s="22">
        <v>3.8922100000000001E-2</v>
      </c>
      <c r="AV320">
        <f t="shared" si="56"/>
        <v>17.259382716049384</v>
      </c>
      <c r="AW320">
        <f t="shared" si="57"/>
        <v>0.67419463734567908</v>
      </c>
      <c r="AX320" s="9"/>
      <c r="AY320" s="22">
        <v>1.4610300000000001</v>
      </c>
      <c r="AZ320" s="22">
        <v>28.684100000000001</v>
      </c>
      <c r="BA320" s="22">
        <v>-1.02661E-2</v>
      </c>
      <c r="BB320" s="22">
        <v>310</v>
      </c>
      <c r="BC320" s="22">
        <v>1.4599599999999999</v>
      </c>
      <c r="BD320">
        <f t="shared" si="58"/>
        <v>12.674197530864197</v>
      </c>
      <c r="BE320">
        <f t="shared" si="59"/>
        <v>18.517382818518517</v>
      </c>
    </row>
    <row r="321" spans="6:57">
      <c r="F321" s="9"/>
      <c r="G321" s="22">
        <v>3.4027099999999998E-2</v>
      </c>
      <c r="H321" s="22">
        <v>8.1674000000000007</v>
      </c>
      <c r="I321" s="22">
        <v>-1.40167E-2</v>
      </c>
      <c r="J321" s="22">
        <v>311</v>
      </c>
      <c r="K321" s="22">
        <v>3.4002699999999997E-2</v>
      </c>
      <c r="L321">
        <f t="shared" si="48"/>
        <v>17.304567901234567</v>
      </c>
      <c r="M321">
        <f t="shared" si="49"/>
        <v>0.58882426243209873</v>
      </c>
      <c r="N321" s="9"/>
      <c r="O321" s="22">
        <v>1.4660599999999999</v>
      </c>
      <c r="P321" s="22">
        <v>11.5838</v>
      </c>
      <c r="Q321" s="22">
        <v>-1.0263100000000001E-2</v>
      </c>
      <c r="R321" s="22">
        <v>311</v>
      </c>
      <c r="S321" s="22">
        <v>1.46454</v>
      </c>
      <c r="T321">
        <f t="shared" si="50"/>
        <v>12.670493827160493</v>
      </c>
      <c r="U321">
        <f t="shared" si="51"/>
        <v>18.575704180246913</v>
      </c>
      <c r="X321" s="9"/>
      <c r="Y321" s="22">
        <v>3.4027099999999998E-2</v>
      </c>
      <c r="Z321" s="22">
        <v>16.683599999999998</v>
      </c>
      <c r="AA321" s="22">
        <v>-1.39893E-2</v>
      </c>
      <c r="AB321" s="22">
        <v>311</v>
      </c>
      <c r="AC321" s="22">
        <v>3.3959999999999997E-2</v>
      </c>
      <c r="AD321">
        <f t="shared" si="52"/>
        <v>17.270740740740738</v>
      </c>
      <c r="AE321">
        <f t="shared" si="53"/>
        <v>0.58767322225925911</v>
      </c>
      <c r="AF321" s="9"/>
      <c r="AG321" s="22">
        <v>1.4660599999999999</v>
      </c>
      <c r="AH321" s="22">
        <v>20.100000000000001</v>
      </c>
      <c r="AI321" s="22">
        <v>-1.0311900000000001E-2</v>
      </c>
      <c r="AJ321" s="22">
        <v>311</v>
      </c>
      <c r="AK321" s="22">
        <v>1.4648399999999999</v>
      </c>
      <c r="AL321">
        <f t="shared" si="54"/>
        <v>12.730740740740741</v>
      </c>
      <c r="AM321">
        <f t="shared" si="55"/>
        <v>18.664029770370369</v>
      </c>
      <c r="AP321" s="9"/>
      <c r="AQ321" s="22">
        <v>3.4027099999999998E-2</v>
      </c>
      <c r="AR321" s="22">
        <v>25.277799999999999</v>
      </c>
      <c r="AS321" s="22">
        <v>-1.3983199999999999E-2</v>
      </c>
      <c r="AT321" s="22">
        <v>311</v>
      </c>
      <c r="AU321" s="22">
        <v>3.38959E-2</v>
      </c>
      <c r="AV321">
        <f t="shared" si="56"/>
        <v>17.263209876543208</v>
      </c>
      <c r="AW321">
        <f t="shared" si="57"/>
        <v>0.58741696879012328</v>
      </c>
      <c r="AX321" s="9"/>
      <c r="AY321" s="22">
        <v>1.4660599999999999</v>
      </c>
      <c r="AZ321" s="22">
        <v>28.694199999999999</v>
      </c>
      <c r="BA321" s="22">
        <v>-1.02997E-2</v>
      </c>
      <c r="BB321" s="22">
        <v>311</v>
      </c>
      <c r="BC321" s="22">
        <v>1.46576</v>
      </c>
      <c r="BD321">
        <f t="shared" si="58"/>
        <v>12.715679012345678</v>
      </c>
      <c r="BE321">
        <f t="shared" si="59"/>
        <v>18.641948372839504</v>
      </c>
    </row>
    <row r="322" spans="6:57">
      <c r="F322" s="9"/>
      <c r="G322" s="22">
        <v>2.8991699999999999E-2</v>
      </c>
      <c r="H322" s="22">
        <v>8.1774699999999996</v>
      </c>
      <c r="I322" s="22">
        <v>-1.40167E-2</v>
      </c>
      <c r="J322" s="22">
        <v>312</v>
      </c>
      <c r="K322" s="22">
        <v>2.8875700000000001E-2</v>
      </c>
      <c r="L322">
        <f t="shared" si="48"/>
        <v>17.304567901234567</v>
      </c>
      <c r="M322">
        <f t="shared" si="49"/>
        <v>0.50168884122222213</v>
      </c>
      <c r="N322" s="9"/>
      <c r="O322" s="22">
        <v>1.4711000000000001</v>
      </c>
      <c r="P322" s="22">
        <v>11.5938</v>
      </c>
      <c r="Q322" s="22">
        <v>-1.0144E-2</v>
      </c>
      <c r="R322" s="22">
        <v>312</v>
      </c>
      <c r="S322" s="22">
        <v>1.47034</v>
      </c>
      <c r="T322">
        <f t="shared" si="50"/>
        <v>12.523456790123456</v>
      </c>
      <c r="U322">
        <f t="shared" si="51"/>
        <v>18.423257283950615</v>
      </c>
      <c r="X322" s="9"/>
      <c r="Y322" s="22">
        <v>2.8991699999999999E-2</v>
      </c>
      <c r="Z322" s="22">
        <v>16.6937</v>
      </c>
      <c r="AA322" s="22">
        <v>-1.39893E-2</v>
      </c>
      <c r="AB322" s="22">
        <v>312</v>
      </c>
      <c r="AC322" s="22">
        <v>2.8830000000000001E-2</v>
      </c>
      <c r="AD322">
        <f t="shared" si="52"/>
        <v>17.270740740740738</v>
      </c>
      <c r="AE322">
        <f t="shared" si="53"/>
        <v>0.50070813433333328</v>
      </c>
      <c r="AF322" s="9"/>
      <c r="AG322" s="22">
        <v>1.4711000000000001</v>
      </c>
      <c r="AH322" s="22">
        <v>20.11</v>
      </c>
      <c r="AI322" s="22">
        <v>-1.0195900000000001E-2</v>
      </c>
      <c r="AJ322" s="22">
        <v>312</v>
      </c>
      <c r="AK322" s="22">
        <v>1.47034</v>
      </c>
      <c r="AL322">
        <f t="shared" si="54"/>
        <v>12.587530864197531</v>
      </c>
      <c r="AM322">
        <f t="shared" si="55"/>
        <v>18.517516654320989</v>
      </c>
      <c r="AP322" s="9"/>
      <c r="AQ322" s="22">
        <v>2.8991699999999999E-2</v>
      </c>
      <c r="AR322" s="22">
        <v>25.2879</v>
      </c>
      <c r="AS322" s="22">
        <v>-1.3992299999999999E-2</v>
      </c>
      <c r="AT322" s="22">
        <v>312</v>
      </c>
      <c r="AU322" s="22">
        <v>2.8897099999999998E-2</v>
      </c>
      <c r="AV322">
        <f t="shared" si="56"/>
        <v>17.274444444444445</v>
      </c>
      <c r="AW322">
        <f t="shared" si="57"/>
        <v>0.50081551099999999</v>
      </c>
      <c r="AX322" s="9"/>
      <c r="AY322" s="22">
        <v>1.4711000000000001</v>
      </c>
      <c r="AZ322" s="22">
        <v>28.7042</v>
      </c>
      <c r="BA322" s="22">
        <v>-1.0174600000000001E-2</v>
      </c>
      <c r="BB322" s="22">
        <v>312</v>
      </c>
      <c r="BC322" s="22">
        <v>1.47095</v>
      </c>
      <c r="BD322">
        <f t="shared" si="58"/>
        <v>12.561234567901234</v>
      </c>
      <c r="BE322">
        <f t="shared" si="59"/>
        <v>18.478832172839507</v>
      </c>
    </row>
    <row r="323" spans="6:57">
      <c r="F323" s="9"/>
      <c r="G323" s="22">
        <v>2.39563E-2</v>
      </c>
      <c r="H323" s="22">
        <v>8.1875400000000003</v>
      </c>
      <c r="I323" s="22">
        <v>-1.40137E-2</v>
      </c>
      <c r="J323" s="22">
        <v>313</v>
      </c>
      <c r="K323" s="22">
        <v>2.3767099999999999E-2</v>
      </c>
      <c r="L323">
        <f t="shared" si="48"/>
        <v>17.300864197530863</v>
      </c>
      <c r="M323">
        <f t="shared" si="49"/>
        <v>0.41446469297530864</v>
      </c>
      <c r="N323" s="9"/>
      <c r="O323" s="22">
        <v>1.47614</v>
      </c>
      <c r="P323" s="22">
        <v>11.603899999999999</v>
      </c>
      <c r="Q323" s="22">
        <v>-1.0009799999999999E-2</v>
      </c>
      <c r="R323" s="22">
        <v>313</v>
      </c>
      <c r="S323" s="22">
        <v>1.4755199999999999</v>
      </c>
      <c r="T323">
        <f t="shared" si="50"/>
        <v>12.357777777777777</v>
      </c>
      <c r="U323">
        <f t="shared" si="51"/>
        <v>18.241810088888887</v>
      </c>
      <c r="X323" s="9"/>
      <c r="Y323" s="22">
        <v>2.39563E-2</v>
      </c>
      <c r="Z323" s="22">
        <v>16.703700000000001</v>
      </c>
      <c r="AA323" s="22">
        <v>-1.39954E-2</v>
      </c>
      <c r="AB323" s="22">
        <v>313</v>
      </c>
      <c r="AC323" s="22">
        <v>2.3809799999999999E-2</v>
      </c>
      <c r="AD323">
        <f t="shared" si="52"/>
        <v>17.278271604938272</v>
      </c>
      <c r="AE323">
        <f t="shared" si="53"/>
        <v>0.41392345804938274</v>
      </c>
      <c r="AF323" s="9"/>
      <c r="AG323" s="22">
        <v>1.47614</v>
      </c>
      <c r="AH323" s="22">
        <v>20.120100000000001</v>
      </c>
      <c r="AI323" s="22">
        <v>-1.0064699999999999E-2</v>
      </c>
      <c r="AJ323" s="22">
        <v>313</v>
      </c>
      <c r="AK323" s="22">
        <v>1.4755199999999999</v>
      </c>
      <c r="AL323">
        <f t="shared" si="54"/>
        <v>12.425555555555555</v>
      </c>
      <c r="AM323">
        <f t="shared" si="55"/>
        <v>18.341859577777775</v>
      </c>
      <c r="AP323" s="9"/>
      <c r="AQ323" s="22">
        <v>2.39563E-2</v>
      </c>
      <c r="AR323" s="22">
        <v>25.297999999999998</v>
      </c>
      <c r="AS323" s="22">
        <v>-1.39954E-2</v>
      </c>
      <c r="AT323" s="22">
        <v>313</v>
      </c>
      <c r="AU323" s="22">
        <v>2.38464E-2</v>
      </c>
      <c r="AV323">
        <f t="shared" si="56"/>
        <v>17.278271604938272</v>
      </c>
      <c r="AW323">
        <f t="shared" si="57"/>
        <v>0.41392345804938274</v>
      </c>
      <c r="AX323" s="9"/>
      <c r="AY323" s="22">
        <v>1.47614</v>
      </c>
      <c r="AZ323" s="22">
        <v>28.714300000000001</v>
      </c>
      <c r="BA323" s="22">
        <v>-1.01166E-2</v>
      </c>
      <c r="BB323" s="22">
        <v>313</v>
      </c>
      <c r="BC323" s="22">
        <v>1.4749099999999999</v>
      </c>
      <c r="BD323">
        <f t="shared" si="58"/>
        <v>12.489629629629629</v>
      </c>
      <c r="BE323">
        <f t="shared" si="59"/>
        <v>18.436441881481482</v>
      </c>
    </row>
    <row r="324" spans="6:57">
      <c r="F324" s="9"/>
      <c r="G324" s="22">
        <v>1.8920900000000001E-2</v>
      </c>
      <c r="H324" s="22">
        <v>8.1976200000000006</v>
      </c>
      <c r="I324" s="22">
        <v>-1.40076E-2</v>
      </c>
      <c r="J324" s="22">
        <v>314</v>
      </c>
      <c r="K324" s="22">
        <v>1.8753100000000002E-2</v>
      </c>
      <c r="L324">
        <f t="shared" si="48"/>
        <v>17.293333333333333</v>
      </c>
      <c r="M324">
        <f t="shared" si="49"/>
        <v>0.32720543066666669</v>
      </c>
      <c r="N324" s="9"/>
      <c r="O324" s="22">
        <v>1.4811700000000001</v>
      </c>
      <c r="P324" s="22">
        <v>11.614000000000001</v>
      </c>
      <c r="Q324" s="22">
        <v>-9.8754900000000007E-3</v>
      </c>
      <c r="R324" s="22">
        <v>314</v>
      </c>
      <c r="S324" s="22">
        <v>1.48041</v>
      </c>
      <c r="T324">
        <f t="shared" si="50"/>
        <v>12.191962962962963</v>
      </c>
      <c r="U324">
        <f t="shared" si="51"/>
        <v>18.058369781851852</v>
      </c>
      <c r="X324" s="9"/>
      <c r="Y324" s="22">
        <v>1.8920900000000001E-2</v>
      </c>
      <c r="Z324" s="22">
        <v>16.713799999999999</v>
      </c>
      <c r="AA324" s="22">
        <v>-1.39954E-2</v>
      </c>
      <c r="AB324" s="22">
        <v>314</v>
      </c>
      <c r="AC324" s="22">
        <v>1.8798800000000001E-2</v>
      </c>
      <c r="AD324">
        <f t="shared" si="52"/>
        <v>17.278271604938272</v>
      </c>
      <c r="AE324">
        <f t="shared" si="53"/>
        <v>0.32692044920987656</v>
      </c>
      <c r="AF324" s="9"/>
      <c r="AG324" s="22">
        <v>1.4811700000000001</v>
      </c>
      <c r="AH324" s="22">
        <v>20.130199999999999</v>
      </c>
      <c r="AI324" s="22">
        <v>-9.9395799999999999E-3</v>
      </c>
      <c r="AJ324" s="22">
        <v>314</v>
      </c>
      <c r="AK324" s="22">
        <v>1.48041</v>
      </c>
      <c r="AL324">
        <f t="shared" si="54"/>
        <v>12.271086419753086</v>
      </c>
      <c r="AM324">
        <f t="shared" si="55"/>
        <v>18.17556507234568</v>
      </c>
      <c r="AP324" s="9"/>
      <c r="AQ324" s="22">
        <v>1.8920900000000001E-2</v>
      </c>
      <c r="AR324" s="22">
        <v>25.308</v>
      </c>
      <c r="AS324" s="22">
        <v>-1.40106E-2</v>
      </c>
      <c r="AT324" s="22">
        <v>314</v>
      </c>
      <c r="AU324" s="22">
        <v>1.8792699999999999E-2</v>
      </c>
      <c r="AV324">
        <f t="shared" si="56"/>
        <v>17.297037037037036</v>
      </c>
      <c r="AW324">
        <f t="shared" si="57"/>
        <v>0.32727550807407407</v>
      </c>
      <c r="AX324" s="9"/>
      <c r="AY324" s="22">
        <v>1.4811700000000001</v>
      </c>
      <c r="AZ324" s="22">
        <v>28.724399999999999</v>
      </c>
      <c r="BA324" s="22">
        <v>-9.9822999999999995E-3</v>
      </c>
      <c r="BB324" s="22">
        <v>314</v>
      </c>
      <c r="BC324" s="22">
        <v>1.4801</v>
      </c>
      <c r="BD324">
        <f t="shared" si="58"/>
        <v>12.323827160493826</v>
      </c>
      <c r="BE324">
        <f t="shared" si="59"/>
        <v>18.25368307530864</v>
      </c>
    </row>
    <row r="325" spans="6:57">
      <c r="F325" s="9"/>
      <c r="G325" s="22">
        <v>1.38855E-2</v>
      </c>
      <c r="H325" s="22">
        <v>8.2076899999999995</v>
      </c>
      <c r="I325" s="22">
        <v>-1.40106E-2</v>
      </c>
      <c r="J325" s="22">
        <v>315</v>
      </c>
      <c r="K325" s="22">
        <v>1.3726800000000001E-2</v>
      </c>
      <c r="L325">
        <f t="shared" si="48"/>
        <v>17.297037037037036</v>
      </c>
      <c r="M325">
        <f t="shared" si="49"/>
        <v>0.24017800777777776</v>
      </c>
      <c r="N325" s="9"/>
      <c r="O325" s="22">
        <v>1.48621</v>
      </c>
      <c r="P325" s="22">
        <v>11.624000000000001</v>
      </c>
      <c r="Q325" s="22">
        <v>-9.7351099999999999E-3</v>
      </c>
      <c r="R325" s="22">
        <v>315</v>
      </c>
      <c r="S325" s="22">
        <v>1.4856</v>
      </c>
      <c r="T325">
        <f t="shared" si="50"/>
        <v>12.018654320987654</v>
      </c>
      <c r="U325">
        <f t="shared" si="51"/>
        <v>17.862244238395061</v>
      </c>
      <c r="X325" s="9"/>
      <c r="Y325" s="22">
        <v>1.38855E-2</v>
      </c>
      <c r="Z325" s="22">
        <v>16.7239</v>
      </c>
      <c r="AA325" s="22">
        <v>-1.3998399999999999E-2</v>
      </c>
      <c r="AB325" s="22">
        <v>315</v>
      </c>
      <c r="AC325" s="22">
        <v>1.3736E-2</v>
      </c>
      <c r="AD325">
        <f t="shared" si="52"/>
        <v>17.281975308641975</v>
      </c>
      <c r="AE325">
        <f t="shared" si="53"/>
        <v>0.23996886814814816</v>
      </c>
      <c r="AF325" s="9"/>
      <c r="AG325" s="22">
        <v>1.48621</v>
      </c>
      <c r="AH325" s="22">
        <v>20.1402</v>
      </c>
      <c r="AI325" s="22">
        <v>-9.7930900000000008E-3</v>
      </c>
      <c r="AJ325" s="22">
        <v>315</v>
      </c>
      <c r="AK325" s="22">
        <v>1.48529</v>
      </c>
      <c r="AL325">
        <f t="shared" si="54"/>
        <v>12.090234567901234</v>
      </c>
      <c r="AM325">
        <f t="shared" si="55"/>
        <v>17.968627517160492</v>
      </c>
      <c r="AP325" s="9"/>
      <c r="AQ325" s="22">
        <v>1.38855E-2</v>
      </c>
      <c r="AR325" s="22">
        <v>25.318100000000001</v>
      </c>
      <c r="AS325" s="22">
        <v>-1.4019800000000001E-2</v>
      </c>
      <c r="AT325" s="22">
        <v>315</v>
      </c>
      <c r="AU325" s="22">
        <v>1.37909E-2</v>
      </c>
      <c r="AV325">
        <f t="shared" si="56"/>
        <v>17.308395061728394</v>
      </c>
      <c r="AW325">
        <f t="shared" si="57"/>
        <v>0.24033571962962963</v>
      </c>
      <c r="AX325" s="9"/>
      <c r="AY325" s="22">
        <v>1.48621</v>
      </c>
      <c r="AZ325" s="22">
        <v>28.734500000000001</v>
      </c>
      <c r="BA325" s="22">
        <v>-9.8419200000000005E-3</v>
      </c>
      <c r="BB325" s="22">
        <v>315</v>
      </c>
      <c r="BC325" s="22">
        <v>1.48499</v>
      </c>
      <c r="BD325">
        <f t="shared" si="58"/>
        <v>12.150518518518519</v>
      </c>
      <c r="BE325">
        <f t="shared" si="59"/>
        <v>18.058222127407408</v>
      </c>
    </row>
    <row r="326" spans="6:57">
      <c r="F326" s="9"/>
      <c r="G326" s="22">
        <v>8.8500999999999996E-3</v>
      </c>
      <c r="H326" s="22">
        <v>8.2177600000000002</v>
      </c>
      <c r="I326" s="22">
        <v>-1.40137E-2</v>
      </c>
      <c r="J326" s="22">
        <v>316</v>
      </c>
      <c r="K326" s="22">
        <v>8.6669899999999994E-3</v>
      </c>
      <c r="L326">
        <f t="shared" si="48"/>
        <v>17.300864197530863</v>
      </c>
      <c r="M326">
        <f t="shared" si="49"/>
        <v>0.15311437823456789</v>
      </c>
      <c r="N326" s="9"/>
      <c r="O326" s="22">
        <v>1.4912399999999999</v>
      </c>
      <c r="P326" s="22">
        <v>11.6341</v>
      </c>
      <c r="Q326" s="22">
        <v>-9.5886200000000008E-3</v>
      </c>
      <c r="R326" s="22">
        <v>316</v>
      </c>
      <c r="S326" s="22">
        <v>1.49017</v>
      </c>
      <c r="T326">
        <f t="shared" si="50"/>
        <v>11.837802469135802</v>
      </c>
      <c r="U326">
        <f t="shared" si="51"/>
        <v>17.653004554074073</v>
      </c>
      <c r="X326" s="9"/>
      <c r="Y326" s="22">
        <v>8.8500999999999996E-3</v>
      </c>
      <c r="Z326" s="22">
        <v>16.734000000000002</v>
      </c>
      <c r="AA326" s="22">
        <v>-1.40015E-2</v>
      </c>
      <c r="AB326" s="22">
        <v>316</v>
      </c>
      <c r="AC326" s="22">
        <v>8.7066699999999997E-3</v>
      </c>
      <c r="AD326">
        <f t="shared" si="52"/>
        <v>17.285802469135803</v>
      </c>
      <c r="AE326">
        <f t="shared" si="53"/>
        <v>0.15298108043209876</v>
      </c>
      <c r="AF326" s="9"/>
      <c r="AG326" s="22">
        <v>1.4912399999999999</v>
      </c>
      <c r="AH326" s="22">
        <v>20.150300000000001</v>
      </c>
      <c r="AI326" s="22">
        <v>-9.6496599999999991E-3</v>
      </c>
      <c r="AJ326" s="22">
        <v>316</v>
      </c>
      <c r="AK326" s="22">
        <v>1.49048</v>
      </c>
      <c r="AL326">
        <f t="shared" si="54"/>
        <v>11.913160493827158</v>
      </c>
      <c r="AM326">
        <f t="shared" si="55"/>
        <v>17.765381454814811</v>
      </c>
      <c r="AP326" s="9"/>
      <c r="AQ326" s="22">
        <v>8.8500999999999996E-3</v>
      </c>
      <c r="AR326" s="22">
        <v>25.328199999999999</v>
      </c>
      <c r="AS326" s="22">
        <v>-1.4025900000000001E-2</v>
      </c>
      <c r="AT326" s="22">
        <v>316</v>
      </c>
      <c r="AU326" s="22">
        <v>8.6639400000000002E-3</v>
      </c>
      <c r="AV326">
        <f t="shared" si="56"/>
        <v>17.315925925925924</v>
      </c>
      <c r="AW326">
        <f t="shared" si="57"/>
        <v>0.15324767603703701</v>
      </c>
      <c r="AX326" s="9"/>
      <c r="AY326" s="22">
        <v>1.4912399999999999</v>
      </c>
      <c r="AZ326" s="22">
        <v>28.744499999999999</v>
      </c>
      <c r="BA326" s="22">
        <v>-9.6252400000000002E-3</v>
      </c>
      <c r="BB326" s="22">
        <v>316</v>
      </c>
      <c r="BC326" s="22">
        <v>1.48956</v>
      </c>
      <c r="BD326">
        <f t="shared" si="58"/>
        <v>11.883012345679012</v>
      </c>
      <c r="BE326">
        <f t="shared" si="59"/>
        <v>17.72042333037037</v>
      </c>
    </row>
    <row r="327" spans="6:57">
      <c r="F327" s="9"/>
      <c r="G327" s="22">
        <v>3.8146999999999999E-3</v>
      </c>
      <c r="H327" s="22">
        <v>8.2278300000000009</v>
      </c>
      <c r="I327" s="22">
        <v>-1.40106E-2</v>
      </c>
      <c r="J327" s="22">
        <v>317</v>
      </c>
      <c r="K327" s="22">
        <v>3.67126E-3</v>
      </c>
      <c r="L327">
        <f t="shared" si="48"/>
        <v>17.297037037037036</v>
      </c>
      <c r="M327">
        <f t="shared" si="49"/>
        <v>6.5983007185185183E-2</v>
      </c>
      <c r="N327" s="9"/>
      <c r="O327" s="22">
        <v>1.4962800000000001</v>
      </c>
      <c r="P327" s="22">
        <v>11.6442</v>
      </c>
      <c r="Q327" s="22">
        <v>-9.41467E-3</v>
      </c>
      <c r="R327" s="22">
        <v>317</v>
      </c>
      <c r="S327" s="22">
        <v>1.4950600000000001</v>
      </c>
      <c r="T327">
        <f t="shared" si="50"/>
        <v>11.623049382716047</v>
      </c>
      <c r="U327">
        <f t="shared" si="51"/>
        <v>17.391336330370368</v>
      </c>
      <c r="X327" s="9"/>
      <c r="Y327" s="22">
        <v>3.8146999999999999E-3</v>
      </c>
      <c r="Z327" s="22">
        <v>16.744</v>
      </c>
      <c r="AA327" s="22">
        <v>-1.40045E-2</v>
      </c>
      <c r="AB327" s="22">
        <v>317</v>
      </c>
      <c r="AC327" s="22">
        <v>3.6376999999999998E-3</v>
      </c>
      <c r="AD327">
        <f t="shared" si="52"/>
        <v>17.289506172839506</v>
      </c>
      <c r="AE327">
        <f t="shared" si="53"/>
        <v>6.5954279197530857E-2</v>
      </c>
      <c r="AF327" s="9"/>
      <c r="AG327" s="22">
        <v>1.4962800000000001</v>
      </c>
      <c r="AH327" s="22">
        <v>20.160399999999999</v>
      </c>
      <c r="AI327" s="22">
        <v>-9.4879200000000004E-3</v>
      </c>
      <c r="AJ327" s="22">
        <v>317</v>
      </c>
      <c r="AK327" s="22">
        <v>1.49536</v>
      </c>
      <c r="AL327">
        <f t="shared" si="54"/>
        <v>11.71348148148148</v>
      </c>
      <c r="AM327">
        <f t="shared" si="55"/>
        <v>17.526648071111111</v>
      </c>
      <c r="AP327" s="9"/>
      <c r="AQ327" s="22">
        <v>3.8146999999999999E-3</v>
      </c>
      <c r="AR327" s="22">
        <v>25.338200000000001</v>
      </c>
      <c r="AS327" s="22">
        <v>-1.4019800000000001E-2</v>
      </c>
      <c r="AT327" s="22">
        <v>317</v>
      </c>
      <c r="AU327" s="22">
        <v>3.6682099999999999E-3</v>
      </c>
      <c r="AV327">
        <f t="shared" si="56"/>
        <v>17.308395061728394</v>
      </c>
      <c r="AW327">
        <f t="shared" si="57"/>
        <v>6.6026334641975298E-2</v>
      </c>
      <c r="AX327" s="9"/>
      <c r="AY327" s="22">
        <v>1.4962800000000001</v>
      </c>
      <c r="AZ327" s="22">
        <v>28.7546</v>
      </c>
      <c r="BA327" s="22">
        <v>-9.4482400000000001E-3</v>
      </c>
      <c r="BB327" s="22">
        <v>317</v>
      </c>
      <c r="BC327" s="22">
        <v>1.4950600000000001</v>
      </c>
      <c r="BD327">
        <f t="shared" si="58"/>
        <v>11.664493827160493</v>
      </c>
      <c r="BE327">
        <f t="shared" si="59"/>
        <v>17.453348823703703</v>
      </c>
    </row>
    <row r="328" spans="6:57">
      <c r="F328" s="9"/>
      <c r="G328" s="22">
        <v>-1.2206999999999999E-3</v>
      </c>
      <c r="H328" s="22">
        <v>8.2378999999999998</v>
      </c>
      <c r="I328" s="22">
        <v>-1.40076E-2</v>
      </c>
      <c r="J328" s="22">
        <v>318</v>
      </c>
      <c r="K328" s="22">
        <v>-1.37634E-3</v>
      </c>
      <c r="L328">
        <f t="shared" si="48"/>
        <v>17.293333333333333</v>
      </c>
      <c r="M328">
        <f t="shared" si="49"/>
        <v>-2.1109971999999998E-2</v>
      </c>
      <c r="N328" s="9"/>
      <c r="O328" s="22">
        <v>1.5013099999999999</v>
      </c>
      <c r="P328" s="22">
        <v>11.654199999999999</v>
      </c>
      <c r="Q328" s="22">
        <v>-9.2254599999999996E-3</v>
      </c>
      <c r="R328" s="22">
        <v>318</v>
      </c>
      <c r="S328" s="22">
        <v>1.5005500000000001</v>
      </c>
      <c r="T328">
        <f t="shared" si="50"/>
        <v>11.389456790123456</v>
      </c>
      <c r="U328">
        <f t="shared" si="51"/>
        <v>17.099105373580244</v>
      </c>
      <c r="X328" s="9"/>
      <c r="Y328" s="22">
        <v>-1.2206999999999999E-3</v>
      </c>
      <c r="Z328" s="22">
        <v>16.754100000000001</v>
      </c>
      <c r="AA328" s="22">
        <v>-1.40076E-2</v>
      </c>
      <c r="AB328" s="22">
        <v>318</v>
      </c>
      <c r="AC328" s="22">
        <v>-1.4801E-3</v>
      </c>
      <c r="AD328">
        <f t="shared" si="52"/>
        <v>17.293333333333333</v>
      </c>
      <c r="AE328">
        <f t="shared" si="53"/>
        <v>-2.1109971999999998E-2</v>
      </c>
      <c r="AF328" s="9"/>
      <c r="AG328" s="22">
        <v>1.5013099999999999</v>
      </c>
      <c r="AH328" s="22">
        <v>20.170500000000001</v>
      </c>
      <c r="AI328" s="22">
        <v>-9.3139599999999996E-3</v>
      </c>
      <c r="AJ328" s="22">
        <v>318</v>
      </c>
      <c r="AK328" s="22">
        <v>1.50085</v>
      </c>
      <c r="AL328">
        <f t="shared" si="54"/>
        <v>11.498716049382715</v>
      </c>
      <c r="AM328">
        <f t="shared" si="55"/>
        <v>17.263137392098763</v>
      </c>
      <c r="AP328" s="9"/>
      <c r="AQ328" s="22">
        <v>-1.2206999999999999E-3</v>
      </c>
      <c r="AR328" s="22">
        <v>25.348299999999998</v>
      </c>
      <c r="AS328" s="22">
        <v>-1.40137E-2</v>
      </c>
      <c r="AT328" s="22">
        <v>318</v>
      </c>
      <c r="AU328" s="22">
        <v>-1.44958E-3</v>
      </c>
      <c r="AV328">
        <f t="shared" si="56"/>
        <v>17.300864197530863</v>
      </c>
      <c r="AW328">
        <f t="shared" si="57"/>
        <v>-2.1119164925925922E-2</v>
      </c>
      <c r="AX328" s="9"/>
      <c r="AY328" s="22">
        <v>1.5013099999999999</v>
      </c>
      <c r="AZ328" s="22">
        <v>28.764700000000001</v>
      </c>
      <c r="BA328" s="22">
        <v>-9.2681900000000008E-3</v>
      </c>
      <c r="BB328" s="22">
        <v>318</v>
      </c>
      <c r="BC328" s="22">
        <v>1.49963</v>
      </c>
      <c r="BD328">
        <f t="shared" si="58"/>
        <v>11.44220987654321</v>
      </c>
      <c r="BE328">
        <f t="shared" si="59"/>
        <v>17.178304109753086</v>
      </c>
    </row>
    <row r="329" spans="6:57">
      <c r="F329" s="9"/>
      <c r="G329" s="22">
        <v>-6.2560999999999997E-3</v>
      </c>
      <c r="H329" s="22">
        <v>8.2479700000000005</v>
      </c>
      <c r="I329" s="22">
        <v>-1.40015E-2</v>
      </c>
      <c r="J329" s="22">
        <v>319</v>
      </c>
      <c r="K329" s="22">
        <v>-6.4971899999999999E-3</v>
      </c>
      <c r="L329">
        <f t="shared" si="48"/>
        <v>17.285802469135803</v>
      </c>
      <c r="M329">
        <f t="shared" si="49"/>
        <v>-0.10814170882716048</v>
      </c>
      <c r="N329" s="9"/>
      <c r="O329" s="22">
        <v>1.5063500000000001</v>
      </c>
      <c r="P329" s="22">
        <v>11.664300000000001</v>
      </c>
      <c r="Q329" s="22">
        <v>-9.0240500000000005E-3</v>
      </c>
      <c r="R329" s="22">
        <v>319</v>
      </c>
      <c r="S329" s="22">
        <v>1.50543</v>
      </c>
      <c r="T329">
        <f t="shared" si="50"/>
        <v>11.140802469135803</v>
      </c>
      <c r="U329">
        <f t="shared" si="51"/>
        <v>16.781947799382717</v>
      </c>
      <c r="X329" s="9"/>
      <c r="Y329" s="22">
        <v>-6.2560999999999997E-3</v>
      </c>
      <c r="Z329" s="22">
        <v>16.764199999999999</v>
      </c>
      <c r="AA329" s="22">
        <v>-1.40106E-2</v>
      </c>
      <c r="AB329" s="22">
        <v>319</v>
      </c>
      <c r="AC329" s="22">
        <v>-6.5521199999999998E-3</v>
      </c>
      <c r="AD329">
        <f t="shared" si="52"/>
        <v>17.297037037037036</v>
      </c>
      <c r="AE329">
        <f t="shared" si="53"/>
        <v>-0.10821199340740739</v>
      </c>
      <c r="AF329" s="9"/>
      <c r="AG329" s="22">
        <v>1.5063500000000001</v>
      </c>
      <c r="AH329" s="22">
        <v>20.180499999999999</v>
      </c>
      <c r="AI329" s="22">
        <v>-9.1125500000000005E-3</v>
      </c>
      <c r="AJ329" s="22">
        <v>319</v>
      </c>
      <c r="AK329" s="22">
        <v>1.50543</v>
      </c>
      <c r="AL329">
        <f t="shared" si="54"/>
        <v>11.250061728395062</v>
      </c>
      <c r="AM329">
        <f t="shared" si="55"/>
        <v>16.946530484567901</v>
      </c>
      <c r="AP329" s="9"/>
      <c r="AQ329" s="22">
        <v>-6.2560999999999997E-3</v>
      </c>
      <c r="AR329" s="22">
        <v>25.3584</v>
      </c>
      <c r="AS329" s="22">
        <v>-1.40076E-2</v>
      </c>
      <c r="AT329" s="22">
        <v>319</v>
      </c>
      <c r="AU329" s="22">
        <v>-6.4178500000000001E-3</v>
      </c>
      <c r="AV329">
        <f t="shared" si="56"/>
        <v>17.293333333333333</v>
      </c>
      <c r="AW329">
        <f t="shared" si="57"/>
        <v>-0.10818882266666666</v>
      </c>
      <c r="AX329" s="9"/>
      <c r="AY329" s="22">
        <v>1.5063500000000001</v>
      </c>
      <c r="AZ329" s="22">
        <v>28.774699999999999</v>
      </c>
      <c r="BA329" s="22">
        <v>-9.1094999999999995E-3</v>
      </c>
      <c r="BB329" s="22">
        <v>319</v>
      </c>
      <c r="BC329" s="22">
        <v>1.50665</v>
      </c>
      <c r="BD329">
        <f t="shared" si="58"/>
        <v>11.246296296296293</v>
      </c>
      <c r="BE329">
        <f t="shared" si="59"/>
        <v>16.940858425925921</v>
      </c>
    </row>
    <row r="330" spans="6:57">
      <c r="F330" s="9"/>
      <c r="G330" s="22">
        <v>-1.1291499999999999E-2</v>
      </c>
      <c r="H330" s="22">
        <v>8.2580399999999994</v>
      </c>
      <c r="I330" s="22">
        <v>-1.40015E-2</v>
      </c>
      <c r="J330" s="22">
        <v>320</v>
      </c>
      <c r="K330" s="22">
        <v>-1.1499000000000001E-2</v>
      </c>
      <c r="L330">
        <f t="shared" si="48"/>
        <v>17.285802469135803</v>
      </c>
      <c r="M330">
        <f t="shared" si="49"/>
        <v>-0.1951826385802469</v>
      </c>
      <c r="N330" s="9"/>
      <c r="O330" s="22">
        <v>1.5113799999999999</v>
      </c>
      <c r="P330" s="22">
        <v>11.6744</v>
      </c>
      <c r="Q330" s="22">
        <v>-8.8165299999999995E-3</v>
      </c>
      <c r="R330" s="22">
        <v>320</v>
      </c>
      <c r="S330" s="22">
        <v>1.5106200000000001</v>
      </c>
      <c r="T330">
        <f t="shared" si="50"/>
        <v>10.884604938271604</v>
      </c>
      <c r="U330">
        <f t="shared" si="51"/>
        <v>16.450774211604937</v>
      </c>
      <c r="X330" s="9"/>
      <c r="Y330" s="22">
        <v>-1.1291499999999999E-2</v>
      </c>
      <c r="Z330" s="22">
        <v>16.7742</v>
      </c>
      <c r="AA330" s="22">
        <v>-1.40106E-2</v>
      </c>
      <c r="AB330" s="22">
        <v>320</v>
      </c>
      <c r="AC330" s="22">
        <v>-1.1538700000000001E-2</v>
      </c>
      <c r="AD330">
        <f t="shared" si="52"/>
        <v>17.297037037037036</v>
      </c>
      <c r="AE330">
        <f t="shared" si="53"/>
        <v>-0.19530949370370368</v>
      </c>
      <c r="AF330" s="9"/>
      <c r="AG330" s="22">
        <v>1.5113799999999999</v>
      </c>
      <c r="AH330" s="22">
        <v>20.1906</v>
      </c>
      <c r="AI330" s="22">
        <v>-8.8958700000000002E-3</v>
      </c>
      <c r="AJ330" s="22">
        <v>320</v>
      </c>
      <c r="AK330" s="22">
        <v>1.5109300000000001</v>
      </c>
      <c r="AL330">
        <f t="shared" si="54"/>
        <v>10.982555555555555</v>
      </c>
      <c r="AM330">
        <f t="shared" si="55"/>
        <v>16.598814815555553</v>
      </c>
      <c r="AP330" s="9"/>
      <c r="AQ330" s="22">
        <v>-1.1291499999999999E-2</v>
      </c>
      <c r="AR330" s="22">
        <v>25.368500000000001</v>
      </c>
      <c r="AS330" s="22">
        <v>-1.40045E-2</v>
      </c>
      <c r="AT330" s="22">
        <v>320</v>
      </c>
      <c r="AU330" s="22">
        <v>-1.1587500000000001E-2</v>
      </c>
      <c r="AV330">
        <f t="shared" si="56"/>
        <v>17.289506172839506</v>
      </c>
      <c r="AW330">
        <f t="shared" si="57"/>
        <v>-0.19522445895061727</v>
      </c>
      <c r="AX330" s="9"/>
      <c r="AY330" s="22">
        <v>1.5113799999999999</v>
      </c>
      <c r="AZ330" s="22">
        <v>28.784800000000001</v>
      </c>
      <c r="BA330" s="22">
        <v>-8.8470500000000004E-3</v>
      </c>
      <c r="BB330" s="22">
        <v>320</v>
      </c>
      <c r="BC330" s="22">
        <v>1.5106200000000001</v>
      </c>
      <c r="BD330">
        <f t="shared" si="58"/>
        <v>10.922283950617285</v>
      </c>
      <c r="BE330">
        <f t="shared" si="59"/>
        <v>16.507721517283951</v>
      </c>
    </row>
    <row r="331" spans="6:57">
      <c r="F331" s="9"/>
      <c r="G331" s="22">
        <v>-1.6326899999999998E-2</v>
      </c>
      <c r="H331" s="22">
        <v>8.2681100000000001</v>
      </c>
      <c r="I331" s="22">
        <v>-1.40045E-2</v>
      </c>
      <c r="J331" s="22">
        <v>321</v>
      </c>
      <c r="K331" s="22">
        <v>-1.6491700000000001E-2</v>
      </c>
      <c r="L331">
        <f t="shared" si="48"/>
        <v>17.289506172839506</v>
      </c>
      <c r="M331">
        <f t="shared" si="49"/>
        <v>-0.28228403833333332</v>
      </c>
      <c r="N331" s="9"/>
      <c r="O331" s="22">
        <v>1.5164200000000001</v>
      </c>
      <c r="P331" s="22">
        <v>11.6845</v>
      </c>
      <c r="Q331" s="22">
        <v>-8.5937500000000007E-3</v>
      </c>
      <c r="R331" s="22">
        <v>321</v>
      </c>
      <c r="S331" s="22">
        <v>1.5158100000000001</v>
      </c>
      <c r="T331">
        <f t="shared" si="50"/>
        <v>10.609567901234568</v>
      </c>
      <c r="U331">
        <f t="shared" si="51"/>
        <v>16.088560956790126</v>
      </c>
      <c r="X331" s="9"/>
      <c r="Y331" s="22">
        <v>-1.6326899999999998E-2</v>
      </c>
      <c r="Z331" s="22">
        <v>16.784300000000002</v>
      </c>
      <c r="AA331" s="22">
        <v>-1.40137E-2</v>
      </c>
      <c r="AB331" s="22">
        <v>321</v>
      </c>
      <c r="AC331" s="22">
        <v>-1.6567999999999999E-2</v>
      </c>
      <c r="AD331">
        <f t="shared" si="52"/>
        <v>17.300864197530863</v>
      </c>
      <c r="AE331">
        <f t="shared" si="53"/>
        <v>-0.28246947966666663</v>
      </c>
      <c r="AF331" s="9"/>
      <c r="AG331" s="22">
        <v>1.5164200000000001</v>
      </c>
      <c r="AH331" s="22">
        <v>20.200700000000001</v>
      </c>
      <c r="AI331" s="22">
        <v>-8.6303700000000001E-3</v>
      </c>
      <c r="AJ331" s="22">
        <v>321</v>
      </c>
      <c r="AK331" s="22">
        <v>1.5155000000000001</v>
      </c>
      <c r="AL331">
        <f t="shared" si="54"/>
        <v>10.654777777777777</v>
      </c>
      <c r="AM331">
        <f t="shared" si="55"/>
        <v>16.157118117777777</v>
      </c>
      <c r="AP331" s="9"/>
      <c r="AQ331" s="22">
        <v>-1.6326899999999998E-2</v>
      </c>
      <c r="AR331" s="22">
        <v>25.378499999999999</v>
      </c>
      <c r="AS331" s="22">
        <v>-1.3998399999999999E-2</v>
      </c>
      <c r="AT331" s="22">
        <v>321</v>
      </c>
      <c r="AU331" s="22">
        <v>-1.66473E-2</v>
      </c>
      <c r="AV331">
        <f t="shared" si="56"/>
        <v>17.281975308641975</v>
      </c>
      <c r="AW331">
        <f t="shared" si="57"/>
        <v>-0.28216108266666662</v>
      </c>
      <c r="AX331" s="9"/>
      <c r="AY331" s="22">
        <v>1.5164200000000001</v>
      </c>
      <c r="AZ331" s="22">
        <v>28.794899999999998</v>
      </c>
      <c r="BA331" s="22">
        <v>-8.6364700000000003E-3</v>
      </c>
      <c r="BB331" s="22">
        <v>321</v>
      </c>
      <c r="BC331" s="22">
        <v>1.5145900000000001</v>
      </c>
      <c r="BD331">
        <f t="shared" si="58"/>
        <v>10.662308641975308</v>
      </c>
      <c r="BE331">
        <f t="shared" si="59"/>
        <v>16.168538070864198</v>
      </c>
    </row>
    <row r="332" spans="6:57">
      <c r="F332" s="9"/>
      <c r="G332" s="22">
        <v>-2.1362300000000001E-2</v>
      </c>
      <c r="H332" s="22">
        <v>8.2781800000000008</v>
      </c>
      <c r="I332" s="22">
        <v>-1.40106E-2</v>
      </c>
      <c r="J332" s="22">
        <v>322</v>
      </c>
      <c r="K332" s="22">
        <v>-2.16125E-2</v>
      </c>
      <c r="L332">
        <f t="shared" ref="L332:L348" si="60">-I332/$F$2*1000</f>
        <v>17.297037037037036</v>
      </c>
      <c r="M332">
        <f t="shared" ref="M332:M348" si="61">L332*G332</f>
        <v>-0.36950449429629628</v>
      </c>
      <c r="N332" s="9"/>
      <c r="O332" s="22">
        <v>1.52145</v>
      </c>
      <c r="P332" s="22">
        <v>11.6945</v>
      </c>
      <c r="Q332" s="22">
        <v>-8.3282500000000006E-3</v>
      </c>
      <c r="R332" s="22">
        <v>322</v>
      </c>
      <c r="S332" s="22">
        <v>1.5206900000000001</v>
      </c>
      <c r="T332">
        <f t="shared" ref="T332:T348" si="62">-Q332/$F$2*1000</f>
        <v>10.281790123456791</v>
      </c>
      <c r="U332">
        <f t="shared" ref="U332:U348" si="63">T332*O332</f>
        <v>15.643229583333333</v>
      </c>
      <c r="X332" s="9"/>
      <c r="Y332" s="22">
        <v>-2.1362300000000001E-2</v>
      </c>
      <c r="Z332" s="22">
        <v>16.7944</v>
      </c>
      <c r="AA332" s="22">
        <v>-1.40167E-2</v>
      </c>
      <c r="AB332" s="22">
        <v>322</v>
      </c>
      <c r="AC332" s="22">
        <v>-2.1600299999999999E-2</v>
      </c>
      <c r="AD332">
        <f t="shared" ref="AD332:AD348" si="64">-AA332/$F$2*1000</f>
        <v>17.304567901234567</v>
      </c>
      <c r="AE332">
        <f t="shared" ref="AE332:AE348" si="65">AD332*Y332</f>
        <v>-0.36966537087654322</v>
      </c>
      <c r="AF332" s="9"/>
      <c r="AG332" s="22">
        <v>1.52145</v>
      </c>
      <c r="AH332" s="22">
        <v>20.210699999999999</v>
      </c>
      <c r="AI332" s="22">
        <v>-8.3953900000000008E-3</v>
      </c>
      <c r="AJ332" s="22">
        <v>322</v>
      </c>
      <c r="AK332" s="22">
        <v>1.5213000000000001</v>
      </c>
      <c r="AL332">
        <f t="shared" ref="AL332:AL348" si="66">-AI332/$F$2*1000</f>
        <v>10.364679012345681</v>
      </c>
      <c r="AM332">
        <f t="shared" ref="AM332:AM348" si="67">AL332*AG332</f>
        <v>15.769340883333335</v>
      </c>
      <c r="AP332" s="9"/>
      <c r="AQ332" s="22">
        <v>-2.1362300000000001E-2</v>
      </c>
      <c r="AR332" s="22">
        <v>25.3886</v>
      </c>
      <c r="AS332" s="22">
        <v>-1.39954E-2</v>
      </c>
      <c r="AT332" s="22">
        <v>322</v>
      </c>
      <c r="AU332" s="22">
        <v>-2.16095E-2</v>
      </c>
      <c r="AV332">
        <f t="shared" ref="AV332:AV348" si="68">-AS332/$F$2*1000</f>
        <v>17.278271604938272</v>
      </c>
      <c r="AW332">
        <f t="shared" ref="AW332:AW348" si="69">AV332*AQ332</f>
        <v>-0.36910362150617287</v>
      </c>
      <c r="AX332" s="9"/>
      <c r="AY332" s="22">
        <v>1.52145</v>
      </c>
      <c r="AZ332" s="22">
        <v>28.805</v>
      </c>
      <c r="BA332" s="22">
        <v>-8.3221400000000004E-3</v>
      </c>
      <c r="BB332" s="22">
        <v>322</v>
      </c>
      <c r="BC332" s="22">
        <v>1.5203899999999999</v>
      </c>
      <c r="BD332">
        <f t="shared" ref="BD332:BD348" si="70">-BA332/$F$2*1000</f>
        <v>10.274246913580248</v>
      </c>
      <c r="BE332">
        <f t="shared" ref="BE332:BE348" si="71">BD332*AY332</f>
        <v>15.631752966666667</v>
      </c>
    </row>
    <row r="333" spans="6:57">
      <c r="F333" s="9"/>
      <c r="G333" s="22">
        <v>-2.63977E-2</v>
      </c>
      <c r="H333" s="22">
        <v>8.2882499999999997</v>
      </c>
      <c r="I333" s="22">
        <v>-1.40137E-2</v>
      </c>
      <c r="J333" s="22">
        <v>323</v>
      </c>
      <c r="K333" s="22">
        <v>-2.6663200000000001E-2</v>
      </c>
      <c r="L333">
        <f t="shared" si="60"/>
        <v>17.300864197530863</v>
      </c>
      <c r="M333">
        <f t="shared" si="61"/>
        <v>-0.45670302282716047</v>
      </c>
      <c r="N333" s="9"/>
      <c r="O333" s="22">
        <v>1.5264899999999999</v>
      </c>
      <c r="P333" s="22">
        <v>11.704599999999999</v>
      </c>
      <c r="Q333" s="22">
        <v>-8.0596899999999996E-3</v>
      </c>
      <c r="R333" s="22">
        <v>323</v>
      </c>
      <c r="S333" s="22">
        <v>1.5255700000000001</v>
      </c>
      <c r="T333">
        <f t="shared" si="62"/>
        <v>9.9502345679012336</v>
      </c>
      <c r="U333">
        <f t="shared" si="63"/>
        <v>15.188933565555553</v>
      </c>
      <c r="X333" s="9"/>
      <c r="Y333" s="22">
        <v>-2.63977E-2</v>
      </c>
      <c r="Z333" s="22">
        <v>16.804500000000001</v>
      </c>
      <c r="AA333" s="22">
        <v>-1.4019800000000001E-2</v>
      </c>
      <c r="AB333" s="22">
        <v>323</v>
      </c>
      <c r="AC333" s="22">
        <v>-2.6635699999999998E-2</v>
      </c>
      <c r="AD333">
        <f t="shared" si="64"/>
        <v>17.308395061728394</v>
      </c>
      <c r="AE333">
        <f t="shared" si="65"/>
        <v>-0.45690182032098764</v>
      </c>
      <c r="AF333" s="9"/>
      <c r="AG333" s="22">
        <v>1.5264899999999999</v>
      </c>
      <c r="AH333" s="22">
        <v>20.220800000000001</v>
      </c>
      <c r="AI333" s="22">
        <v>-8.1115700000000002E-3</v>
      </c>
      <c r="AJ333" s="22">
        <v>323</v>
      </c>
      <c r="AK333" s="22">
        <v>1.5249600000000001</v>
      </c>
      <c r="AL333">
        <f t="shared" si="66"/>
        <v>10.014283950617283</v>
      </c>
      <c r="AM333">
        <f t="shared" si="67"/>
        <v>15.286704307777775</v>
      </c>
      <c r="AP333" s="9"/>
      <c r="AQ333" s="22">
        <v>-2.63977E-2</v>
      </c>
      <c r="AR333" s="22">
        <v>25.398700000000002</v>
      </c>
      <c r="AS333" s="22">
        <v>-1.3998399999999999E-2</v>
      </c>
      <c r="AT333" s="22">
        <v>323</v>
      </c>
      <c r="AU333" s="22">
        <v>-2.6638800000000001E-2</v>
      </c>
      <c r="AV333">
        <f t="shared" si="68"/>
        <v>17.281975308641975</v>
      </c>
      <c r="AW333">
        <f t="shared" si="69"/>
        <v>-0.45620439960493825</v>
      </c>
      <c r="AX333" s="9"/>
      <c r="AY333" s="22">
        <v>1.5264899999999999</v>
      </c>
      <c r="AZ333" s="22">
        <v>28.815000000000001</v>
      </c>
      <c r="BA333" s="22">
        <v>-8.1146199999999995E-3</v>
      </c>
      <c r="BB333" s="22">
        <v>323</v>
      </c>
      <c r="BC333" s="22">
        <v>1.5252699999999999</v>
      </c>
      <c r="BD333">
        <f t="shared" si="70"/>
        <v>10.018049382716047</v>
      </c>
      <c r="BE333">
        <f t="shared" si="71"/>
        <v>15.292452202222217</v>
      </c>
    </row>
    <row r="334" spans="6:57">
      <c r="F334" s="9"/>
      <c r="G334" s="22">
        <v>-3.1433099999999999E-2</v>
      </c>
      <c r="H334" s="22">
        <v>8.29833</v>
      </c>
      <c r="I334" s="22">
        <v>-1.40106E-2</v>
      </c>
      <c r="J334" s="22">
        <v>324</v>
      </c>
      <c r="K334" s="22">
        <v>-3.1701699999999999E-2</v>
      </c>
      <c r="L334">
        <f t="shared" si="60"/>
        <v>17.297037037037036</v>
      </c>
      <c r="M334">
        <f t="shared" si="61"/>
        <v>-0.5436994948888888</v>
      </c>
      <c r="N334" s="9"/>
      <c r="O334" s="22">
        <v>1.53152</v>
      </c>
      <c r="P334" s="22">
        <v>11.714700000000001</v>
      </c>
      <c r="Q334" s="22">
        <v>-7.7514599999999999E-3</v>
      </c>
      <c r="R334" s="22">
        <v>324</v>
      </c>
      <c r="S334" s="22">
        <v>1.5304599999999999</v>
      </c>
      <c r="T334">
        <f t="shared" si="62"/>
        <v>9.5697037037037038</v>
      </c>
      <c r="U334">
        <f t="shared" si="63"/>
        <v>14.656192616296297</v>
      </c>
      <c r="X334" s="9"/>
      <c r="Y334" s="22">
        <v>-3.1433099999999999E-2</v>
      </c>
      <c r="Z334" s="22">
        <v>16.814499999999999</v>
      </c>
      <c r="AA334" s="22">
        <v>-1.40228E-2</v>
      </c>
      <c r="AB334" s="22">
        <v>324</v>
      </c>
      <c r="AC334" s="22">
        <v>-3.1704700000000002E-2</v>
      </c>
      <c r="AD334">
        <f t="shared" si="64"/>
        <v>17.312098765432097</v>
      </c>
      <c r="AE334">
        <f t="shared" si="65"/>
        <v>-0.54417293170370362</v>
      </c>
      <c r="AF334" s="9"/>
      <c r="AG334" s="22">
        <v>1.53152</v>
      </c>
      <c r="AH334" s="22">
        <v>20.230899999999998</v>
      </c>
      <c r="AI334" s="22">
        <v>-7.8338599999999998E-3</v>
      </c>
      <c r="AJ334" s="22">
        <v>324</v>
      </c>
      <c r="AK334" s="22">
        <v>1.5304599999999999</v>
      </c>
      <c r="AL334">
        <f t="shared" si="66"/>
        <v>9.6714320987654308</v>
      </c>
      <c r="AM334">
        <f t="shared" si="67"/>
        <v>14.811991687901232</v>
      </c>
      <c r="AP334" s="9"/>
      <c r="AQ334" s="22">
        <v>-3.1433099999999999E-2</v>
      </c>
      <c r="AR334" s="22">
        <v>25.4087</v>
      </c>
      <c r="AS334" s="22">
        <v>-1.40106E-2</v>
      </c>
      <c r="AT334" s="22">
        <v>324</v>
      </c>
      <c r="AU334" s="22">
        <v>-3.1738299999999997E-2</v>
      </c>
      <c r="AV334">
        <f t="shared" si="68"/>
        <v>17.297037037037036</v>
      </c>
      <c r="AW334">
        <f t="shared" si="69"/>
        <v>-0.5436994948888888</v>
      </c>
      <c r="AX334" s="9"/>
      <c r="AY334" s="22">
        <v>1.53152</v>
      </c>
      <c r="AZ334" s="22">
        <v>28.825099999999999</v>
      </c>
      <c r="BA334" s="22">
        <v>-7.8491199999999994E-3</v>
      </c>
      <c r="BB334" s="22">
        <v>324</v>
      </c>
      <c r="BC334" s="22">
        <v>1.5313699999999999</v>
      </c>
      <c r="BD334">
        <f t="shared" si="70"/>
        <v>9.6902716049382693</v>
      </c>
      <c r="BE334">
        <f t="shared" si="71"/>
        <v>14.840844768395058</v>
      </c>
    </row>
    <row r="335" spans="6:57">
      <c r="F335" s="9"/>
      <c r="G335" s="22">
        <v>-3.6468500000000001E-2</v>
      </c>
      <c r="H335" s="22">
        <v>8.3084000000000007</v>
      </c>
      <c r="I335" s="22">
        <v>-1.40106E-2</v>
      </c>
      <c r="J335" s="22">
        <v>325</v>
      </c>
      <c r="K335" s="22">
        <v>-3.66364E-2</v>
      </c>
      <c r="L335">
        <f t="shared" si="60"/>
        <v>17.297037037037036</v>
      </c>
      <c r="M335">
        <f t="shared" si="61"/>
        <v>-0.63079699518518517</v>
      </c>
      <c r="N335" s="9"/>
      <c r="O335" s="22">
        <v>1.5365599999999999</v>
      </c>
      <c r="P335" s="22">
        <v>11.7247</v>
      </c>
      <c r="Q335" s="22">
        <v>-7.4371300000000001E-3</v>
      </c>
      <c r="R335" s="22">
        <v>325</v>
      </c>
      <c r="S335" s="22">
        <v>1.5356399999999999</v>
      </c>
      <c r="T335">
        <f t="shared" si="62"/>
        <v>9.1816419753086418</v>
      </c>
      <c r="U335">
        <f t="shared" si="63"/>
        <v>14.108143793580245</v>
      </c>
      <c r="X335" s="9"/>
      <c r="Y335" s="22">
        <v>-3.6468500000000001E-2</v>
      </c>
      <c r="Z335" s="22">
        <v>16.8246</v>
      </c>
      <c r="AA335" s="22">
        <v>-1.40228E-2</v>
      </c>
      <c r="AB335" s="22">
        <v>325</v>
      </c>
      <c r="AC335" s="22">
        <v>-3.6740099999999998E-2</v>
      </c>
      <c r="AD335">
        <f t="shared" si="64"/>
        <v>17.312098765432097</v>
      </c>
      <c r="AE335">
        <f t="shared" si="65"/>
        <v>-0.63134627382716046</v>
      </c>
      <c r="AF335" s="9"/>
      <c r="AG335" s="22">
        <v>1.5365599999999999</v>
      </c>
      <c r="AH335" s="22">
        <v>20.241</v>
      </c>
      <c r="AI335" s="22">
        <v>-7.4798599999999996E-3</v>
      </c>
      <c r="AJ335" s="22">
        <v>325</v>
      </c>
      <c r="AK335" s="22">
        <v>1.5353399999999999</v>
      </c>
      <c r="AL335">
        <f t="shared" si="66"/>
        <v>9.2343950617283941</v>
      </c>
      <c r="AM335">
        <f t="shared" si="67"/>
        <v>14.18920207604938</v>
      </c>
      <c r="AP335" s="9"/>
      <c r="AQ335" s="22">
        <v>-3.6468500000000001E-2</v>
      </c>
      <c r="AR335" s="22">
        <v>25.418800000000001</v>
      </c>
      <c r="AS335" s="22">
        <v>-1.40137E-2</v>
      </c>
      <c r="AT335" s="22">
        <v>325</v>
      </c>
      <c r="AU335" s="22">
        <v>-3.6734000000000003E-2</v>
      </c>
      <c r="AV335">
        <f t="shared" si="68"/>
        <v>17.300864197530863</v>
      </c>
      <c r="AW335">
        <f t="shared" si="69"/>
        <v>-0.63093656598765435</v>
      </c>
      <c r="AX335" s="9"/>
      <c r="AY335" s="22">
        <v>1.5365599999999999</v>
      </c>
      <c r="AZ335" s="22">
        <v>28.8352</v>
      </c>
      <c r="BA335" s="22">
        <v>-7.4798599999999996E-3</v>
      </c>
      <c r="BB335" s="22">
        <v>325</v>
      </c>
      <c r="BC335" s="22">
        <v>1.5356399999999999</v>
      </c>
      <c r="BD335">
        <f t="shared" si="70"/>
        <v>9.2343950617283941</v>
      </c>
      <c r="BE335">
        <f t="shared" si="71"/>
        <v>14.18920207604938</v>
      </c>
    </row>
    <row r="336" spans="6:57">
      <c r="F336" s="9"/>
      <c r="G336" s="22">
        <v>-4.1503900000000003E-2</v>
      </c>
      <c r="H336" s="22">
        <v>8.3184699999999996</v>
      </c>
      <c r="I336" s="22">
        <v>-1.40167E-2</v>
      </c>
      <c r="J336" s="22">
        <v>326</v>
      </c>
      <c r="K336" s="22">
        <v>-4.1830399999999997E-2</v>
      </c>
      <c r="L336">
        <f t="shared" si="60"/>
        <v>17.304567901234567</v>
      </c>
      <c r="M336">
        <f t="shared" si="61"/>
        <v>-0.71820705571604937</v>
      </c>
      <c r="N336" s="9"/>
      <c r="O336" s="22">
        <v>1.5416000000000001</v>
      </c>
      <c r="P336" s="22">
        <v>11.7348</v>
      </c>
      <c r="Q336" s="22">
        <v>-7.0556600000000001E-3</v>
      </c>
      <c r="R336" s="22">
        <v>326</v>
      </c>
      <c r="S336" s="22">
        <v>1.5408299999999999</v>
      </c>
      <c r="T336">
        <f t="shared" si="62"/>
        <v>8.7106913580246914</v>
      </c>
      <c r="U336">
        <f t="shared" si="63"/>
        <v>13.428401797530865</v>
      </c>
      <c r="X336" s="9"/>
      <c r="Y336" s="22">
        <v>-4.1503900000000003E-2</v>
      </c>
      <c r="Z336" s="22">
        <v>16.834700000000002</v>
      </c>
      <c r="AA336" s="22">
        <v>-1.40228E-2</v>
      </c>
      <c r="AB336" s="22">
        <v>326</v>
      </c>
      <c r="AC336" s="22">
        <v>-4.1848799999999999E-2</v>
      </c>
      <c r="AD336">
        <f t="shared" si="64"/>
        <v>17.312098765432097</v>
      </c>
      <c r="AE336">
        <f t="shared" si="65"/>
        <v>-0.71851961595061731</v>
      </c>
      <c r="AF336" s="9"/>
      <c r="AG336" s="22">
        <v>1.5416000000000001</v>
      </c>
      <c r="AH336" s="22">
        <v>20.251000000000001</v>
      </c>
      <c r="AI336" s="22">
        <v>-7.1319599999999997E-3</v>
      </c>
      <c r="AJ336" s="22">
        <v>326</v>
      </c>
      <c r="AK336" s="22">
        <v>1.5402199999999999</v>
      </c>
      <c r="AL336">
        <f t="shared" si="66"/>
        <v>8.8048888888888879</v>
      </c>
      <c r="AM336">
        <f t="shared" si="67"/>
        <v>13.573616711111111</v>
      </c>
      <c r="AP336" s="9"/>
      <c r="AQ336" s="22">
        <v>-4.1503900000000003E-2</v>
      </c>
      <c r="AR336" s="22">
        <v>25.428899999999999</v>
      </c>
      <c r="AS336" s="22">
        <v>-1.40167E-2</v>
      </c>
      <c r="AT336" s="22">
        <v>326</v>
      </c>
      <c r="AU336" s="22">
        <v>-4.1778599999999999E-2</v>
      </c>
      <c r="AV336">
        <f t="shared" si="68"/>
        <v>17.304567901234567</v>
      </c>
      <c r="AW336">
        <f t="shared" si="69"/>
        <v>-0.71820705571604937</v>
      </c>
      <c r="AX336" s="9"/>
      <c r="AY336" s="22">
        <v>1.5416000000000001</v>
      </c>
      <c r="AZ336" s="22">
        <v>28.845199999999998</v>
      </c>
      <c r="BA336" s="22">
        <v>-7.14111E-3</v>
      </c>
      <c r="BB336" s="22">
        <v>326</v>
      </c>
      <c r="BC336" s="22">
        <v>1.5408299999999999</v>
      </c>
      <c r="BD336">
        <f t="shared" si="70"/>
        <v>8.8161851851851836</v>
      </c>
      <c r="BE336">
        <f t="shared" si="71"/>
        <v>13.59103108148148</v>
      </c>
    </row>
    <row r="337" spans="6:57">
      <c r="F337" s="9"/>
      <c r="G337" s="22">
        <v>-4.6539299999999999E-2</v>
      </c>
      <c r="H337" s="22">
        <v>8.3285400000000003</v>
      </c>
      <c r="I337" s="22">
        <v>-1.40167E-2</v>
      </c>
      <c r="J337" s="22">
        <v>327</v>
      </c>
      <c r="K337" s="22">
        <v>-4.6881100000000002E-2</v>
      </c>
      <c r="L337">
        <f t="shared" si="60"/>
        <v>17.304567901234567</v>
      </c>
      <c r="M337">
        <f t="shared" si="61"/>
        <v>-0.80534247692592587</v>
      </c>
      <c r="N337" s="9"/>
      <c r="O337" s="22">
        <v>1.5466299999999999</v>
      </c>
      <c r="P337" s="22">
        <v>11.744899999999999</v>
      </c>
      <c r="Q337" s="22">
        <v>-6.6223100000000002E-3</v>
      </c>
      <c r="R337" s="22">
        <v>327</v>
      </c>
      <c r="S337" s="22">
        <v>1.54541</v>
      </c>
      <c r="T337">
        <f t="shared" si="62"/>
        <v>8.1756913580246895</v>
      </c>
      <c r="U337">
        <f t="shared" si="63"/>
        <v>12.644769525061726</v>
      </c>
      <c r="X337" s="9"/>
      <c r="Y337" s="22">
        <v>-4.6539299999999999E-2</v>
      </c>
      <c r="Z337" s="22">
        <v>16.8447</v>
      </c>
      <c r="AA337" s="22">
        <v>-1.4025900000000001E-2</v>
      </c>
      <c r="AB337" s="22">
        <v>327</v>
      </c>
      <c r="AC337" s="22">
        <v>-4.7006199999999998E-2</v>
      </c>
      <c r="AD337">
        <f t="shared" si="64"/>
        <v>17.315925925925924</v>
      </c>
      <c r="AE337">
        <f t="shared" si="65"/>
        <v>-0.80587107144444436</v>
      </c>
      <c r="AF337" s="9"/>
      <c r="AG337" s="22">
        <v>1.5466299999999999</v>
      </c>
      <c r="AH337" s="22">
        <v>20.261099999999999</v>
      </c>
      <c r="AI337" s="22">
        <v>-6.7169200000000004E-3</v>
      </c>
      <c r="AJ337" s="22">
        <v>327</v>
      </c>
      <c r="AK337" s="22">
        <v>1.54572</v>
      </c>
      <c r="AL337">
        <f t="shared" si="66"/>
        <v>8.2924938271604951</v>
      </c>
      <c r="AM337">
        <f t="shared" si="67"/>
        <v>12.825419727901236</v>
      </c>
      <c r="AP337" s="9"/>
      <c r="AQ337" s="22">
        <v>-4.6539299999999999E-2</v>
      </c>
      <c r="AR337" s="22">
        <v>25.439</v>
      </c>
      <c r="AS337" s="22">
        <v>-1.40137E-2</v>
      </c>
      <c r="AT337" s="22">
        <v>327</v>
      </c>
      <c r="AU337" s="22">
        <v>-4.6826199999999998E-2</v>
      </c>
      <c r="AV337">
        <f t="shared" si="68"/>
        <v>17.300864197530863</v>
      </c>
      <c r="AW337">
        <f t="shared" si="69"/>
        <v>-0.80517010914814813</v>
      </c>
      <c r="AX337" s="9"/>
      <c r="AY337" s="22">
        <v>1.5466299999999999</v>
      </c>
      <c r="AZ337" s="22">
        <v>28.8553</v>
      </c>
      <c r="BA337" s="22">
        <v>-6.7260699999999998E-3</v>
      </c>
      <c r="BB337" s="22">
        <v>327</v>
      </c>
      <c r="BC337" s="22">
        <v>1.54572</v>
      </c>
      <c r="BD337">
        <f t="shared" si="70"/>
        <v>8.3037901234567908</v>
      </c>
      <c r="BE337">
        <f t="shared" si="71"/>
        <v>12.842890918641976</v>
      </c>
    </row>
    <row r="338" spans="6:57">
      <c r="F338" s="9"/>
      <c r="G338" s="22">
        <v>-5.1574700000000001E-2</v>
      </c>
      <c r="H338" s="22">
        <v>8.3386099999999992</v>
      </c>
      <c r="I338" s="22">
        <v>-1.40137E-2</v>
      </c>
      <c r="J338" s="22">
        <v>328</v>
      </c>
      <c r="K338" s="22">
        <v>-5.2062999999999998E-2</v>
      </c>
      <c r="L338">
        <f t="shared" si="60"/>
        <v>17.300864197530863</v>
      </c>
      <c r="M338">
        <f t="shared" si="61"/>
        <v>-0.89228688072839502</v>
      </c>
      <c r="N338" s="9"/>
      <c r="O338" s="22">
        <v>1.5516700000000001</v>
      </c>
      <c r="P338" s="22">
        <v>11.755000000000001</v>
      </c>
      <c r="Q338" s="22">
        <v>-6.2133800000000001E-3</v>
      </c>
      <c r="R338" s="22">
        <v>328</v>
      </c>
      <c r="S338" s="22">
        <v>1.5506</v>
      </c>
      <c r="T338">
        <f t="shared" si="62"/>
        <v>7.6708395061728396</v>
      </c>
      <c r="U338">
        <f t="shared" si="63"/>
        <v>11.90261153654321</v>
      </c>
      <c r="X338" s="9"/>
      <c r="Y338" s="22">
        <v>-5.1574700000000001E-2</v>
      </c>
      <c r="Z338" s="22">
        <v>16.854800000000001</v>
      </c>
      <c r="AA338" s="22">
        <v>-1.4025900000000001E-2</v>
      </c>
      <c r="AB338" s="22">
        <v>328</v>
      </c>
      <c r="AC338" s="22">
        <v>-5.2093500000000001E-2</v>
      </c>
      <c r="AD338">
        <f t="shared" si="64"/>
        <v>17.315925925925924</v>
      </c>
      <c r="AE338">
        <f t="shared" si="65"/>
        <v>-0.89306368485185184</v>
      </c>
      <c r="AF338" s="9"/>
      <c r="AG338" s="22">
        <v>1.5516700000000001</v>
      </c>
      <c r="AH338" s="22">
        <v>20.2712</v>
      </c>
      <c r="AI338" s="22">
        <v>-6.3201899999999998E-3</v>
      </c>
      <c r="AJ338" s="22">
        <v>328</v>
      </c>
      <c r="AK338" s="22">
        <v>1.5508999999999999</v>
      </c>
      <c r="AL338">
        <f t="shared" si="66"/>
        <v>7.8027037037037035</v>
      </c>
      <c r="AM338">
        <f t="shared" si="67"/>
        <v>12.107221255925927</v>
      </c>
      <c r="AP338" s="9"/>
      <c r="AQ338" s="22">
        <v>-5.1574700000000001E-2</v>
      </c>
      <c r="AR338" s="22">
        <v>25.449000000000002</v>
      </c>
      <c r="AS338" s="22">
        <v>-1.40076E-2</v>
      </c>
      <c r="AT338" s="22">
        <v>328</v>
      </c>
      <c r="AU338" s="22">
        <v>-5.2093500000000001E-2</v>
      </c>
      <c r="AV338">
        <f t="shared" si="68"/>
        <v>17.293333333333333</v>
      </c>
      <c r="AW338">
        <f t="shared" si="69"/>
        <v>-0.89189847866666672</v>
      </c>
      <c r="AX338" s="9"/>
      <c r="AY338" s="22">
        <v>1.5516700000000001</v>
      </c>
      <c r="AZ338" s="22">
        <v>28.865400000000001</v>
      </c>
      <c r="BA338" s="22">
        <v>-6.21033E-3</v>
      </c>
      <c r="BB338" s="22">
        <v>328</v>
      </c>
      <c r="BC338" s="22">
        <v>1.54999</v>
      </c>
      <c r="BD338">
        <f t="shared" si="70"/>
        <v>7.6670740740740735</v>
      </c>
      <c r="BE338">
        <f t="shared" si="71"/>
        <v>11.896768828518518</v>
      </c>
    </row>
    <row r="339" spans="6:57">
      <c r="F339" s="9"/>
      <c r="G339" s="22">
        <v>-5.6610099999999997E-2</v>
      </c>
      <c r="H339" s="22">
        <v>8.3486799999999999</v>
      </c>
      <c r="I339" s="22">
        <v>-1.40137E-2</v>
      </c>
      <c r="J339" s="22">
        <v>329</v>
      </c>
      <c r="K339" s="22">
        <v>-5.6976300000000001E-2</v>
      </c>
      <c r="L339">
        <f t="shared" si="60"/>
        <v>17.300864197530863</v>
      </c>
      <c r="M339">
        <f t="shared" si="61"/>
        <v>-0.9794036523086419</v>
      </c>
      <c r="N339" s="9"/>
      <c r="O339" s="22">
        <v>1.5567</v>
      </c>
      <c r="P339" s="22">
        <v>11.765000000000001</v>
      </c>
      <c r="Q339" s="22">
        <v>-5.6640600000000003E-3</v>
      </c>
      <c r="R339" s="22">
        <v>329</v>
      </c>
      <c r="S339" s="22">
        <v>1.55579</v>
      </c>
      <c r="T339">
        <f t="shared" si="62"/>
        <v>6.9926666666666657</v>
      </c>
      <c r="U339">
        <f t="shared" si="63"/>
        <v>10.885484199999999</v>
      </c>
      <c r="X339" s="9"/>
      <c r="Y339" s="22">
        <v>-5.6610099999999997E-2</v>
      </c>
      <c r="Z339" s="22">
        <v>16.864899999999999</v>
      </c>
      <c r="AA339" s="22">
        <v>-1.4019800000000001E-2</v>
      </c>
      <c r="AB339" s="22">
        <v>329</v>
      </c>
      <c r="AC339" s="22">
        <v>-5.7067899999999998E-2</v>
      </c>
      <c r="AD339">
        <f t="shared" si="64"/>
        <v>17.308395061728394</v>
      </c>
      <c r="AE339">
        <f t="shared" si="65"/>
        <v>-0.97982997528395044</v>
      </c>
      <c r="AF339" s="9"/>
      <c r="AG339" s="22">
        <v>1.5567</v>
      </c>
      <c r="AH339" s="22">
        <v>20.281199999999998</v>
      </c>
      <c r="AI339" s="22">
        <v>-5.7830800000000003E-3</v>
      </c>
      <c r="AJ339" s="22">
        <v>329</v>
      </c>
      <c r="AK339" s="22">
        <v>1.55609</v>
      </c>
      <c r="AL339">
        <f t="shared" si="66"/>
        <v>7.1396049382716056</v>
      </c>
      <c r="AM339">
        <f t="shared" si="67"/>
        <v>11.114223007407409</v>
      </c>
      <c r="AP339" s="9"/>
      <c r="AQ339" s="22">
        <v>-5.6610099999999997E-2</v>
      </c>
      <c r="AR339" s="22">
        <v>25.459099999999999</v>
      </c>
      <c r="AS339" s="22">
        <v>-1.40106E-2</v>
      </c>
      <c r="AT339" s="22">
        <v>329</v>
      </c>
      <c r="AU339" s="22">
        <v>-5.7037400000000002E-2</v>
      </c>
      <c r="AV339">
        <f t="shared" si="68"/>
        <v>17.297037037037036</v>
      </c>
      <c r="AW339">
        <f t="shared" si="69"/>
        <v>-0.97918699637037021</v>
      </c>
      <c r="AX339" s="9"/>
      <c r="AY339" s="22">
        <v>1.5567</v>
      </c>
      <c r="AZ339" s="22">
        <v>28.875399999999999</v>
      </c>
      <c r="BA339" s="22">
        <v>-5.7342499999999998E-3</v>
      </c>
      <c r="BB339" s="22">
        <v>329</v>
      </c>
      <c r="BC339" s="22">
        <v>1.55548</v>
      </c>
      <c r="BD339">
        <f t="shared" si="70"/>
        <v>7.0793209876543202</v>
      </c>
      <c r="BE339">
        <f t="shared" si="71"/>
        <v>11.02037898148148</v>
      </c>
    </row>
    <row r="340" spans="6:57">
      <c r="F340" s="9"/>
      <c r="G340" s="22">
        <v>-6.1645499999999999E-2</v>
      </c>
      <c r="H340" s="22">
        <v>8.3587500000000006</v>
      </c>
      <c r="I340" s="22">
        <v>-1.40137E-2</v>
      </c>
      <c r="J340" s="22">
        <v>330</v>
      </c>
      <c r="K340" s="22">
        <v>-6.2164299999999999E-2</v>
      </c>
      <c r="L340">
        <f t="shared" si="60"/>
        <v>17.300864197530863</v>
      </c>
      <c r="M340">
        <f t="shared" si="61"/>
        <v>-1.0665204238888888</v>
      </c>
      <c r="N340" s="9"/>
      <c r="O340" s="22">
        <v>1.5617399999999999</v>
      </c>
      <c r="P340" s="22">
        <v>11.7751</v>
      </c>
      <c r="Q340" s="22">
        <v>-5.0781300000000001E-3</v>
      </c>
      <c r="R340" s="22">
        <v>330</v>
      </c>
      <c r="S340" s="22">
        <v>1.56067</v>
      </c>
      <c r="T340">
        <f t="shared" si="62"/>
        <v>6.2692962962962966</v>
      </c>
      <c r="U340">
        <f t="shared" si="63"/>
        <v>9.7910107977777781</v>
      </c>
      <c r="X340" s="9"/>
      <c r="Y340" s="22">
        <v>-6.1645499999999999E-2</v>
      </c>
      <c r="Z340" s="22">
        <v>16.875</v>
      </c>
      <c r="AA340" s="22">
        <v>-1.40228E-2</v>
      </c>
      <c r="AB340" s="22">
        <v>330</v>
      </c>
      <c r="AC340" s="22">
        <v>-6.2011700000000003E-2</v>
      </c>
      <c r="AD340">
        <f t="shared" si="64"/>
        <v>17.312098765432097</v>
      </c>
      <c r="AE340">
        <f t="shared" si="65"/>
        <v>-1.0672129844444442</v>
      </c>
      <c r="AF340" s="9"/>
      <c r="AG340" s="22">
        <v>1.5617399999999999</v>
      </c>
      <c r="AH340" s="22">
        <v>20.2913</v>
      </c>
      <c r="AI340" s="22">
        <v>-5.1940900000000002E-3</v>
      </c>
      <c r="AJ340" s="22">
        <v>330</v>
      </c>
      <c r="AK340" s="22">
        <v>1.56067</v>
      </c>
      <c r="AL340">
        <f t="shared" si="66"/>
        <v>6.412456790123457</v>
      </c>
      <c r="AM340">
        <f t="shared" si="67"/>
        <v>10.014590267407407</v>
      </c>
      <c r="AP340" s="9"/>
      <c r="AQ340" s="22">
        <v>-6.1645499999999999E-2</v>
      </c>
      <c r="AR340" s="22">
        <v>25.469200000000001</v>
      </c>
      <c r="AS340" s="22">
        <v>-1.40167E-2</v>
      </c>
      <c r="AT340" s="22">
        <v>330</v>
      </c>
      <c r="AU340" s="22">
        <v>-6.2133800000000003E-2</v>
      </c>
      <c r="AV340">
        <f t="shared" si="68"/>
        <v>17.304567901234567</v>
      </c>
      <c r="AW340">
        <f t="shared" si="69"/>
        <v>-1.0667487405555554</v>
      </c>
      <c r="AX340" s="9"/>
      <c r="AY340" s="22">
        <v>1.5617399999999999</v>
      </c>
      <c r="AZ340" s="22">
        <v>28.8855</v>
      </c>
      <c r="BA340" s="22">
        <v>-5.0964399999999998E-3</v>
      </c>
      <c r="BB340" s="22">
        <v>330</v>
      </c>
      <c r="BC340" s="22">
        <v>1.56128</v>
      </c>
      <c r="BD340">
        <f t="shared" si="70"/>
        <v>6.2919012345679004</v>
      </c>
      <c r="BE340">
        <f t="shared" si="71"/>
        <v>9.8263138340740728</v>
      </c>
    </row>
    <row r="341" spans="6:57">
      <c r="F341" s="9"/>
      <c r="G341" s="22">
        <v>-6.6680900000000001E-2</v>
      </c>
      <c r="H341" s="22">
        <v>8.3688199999999995</v>
      </c>
      <c r="I341" s="22">
        <v>-1.4019800000000001E-2</v>
      </c>
      <c r="J341" s="22">
        <v>331</v>
      </c>
      <c r="K341" s="22">
        <v>-6.7108200000000007E-2</v>
      </c>
      <c r="L341">
        <f t="shared" si="60"/>
        <v>17.308395061728394</v>
      </c>
      <c r="M341">
        <f t="shared" si="61"/>
        <v>-1.1541393602716048</v>
      </c>
      <c r="N341" s="9"/>
      <c r="O341" s="22">
        <v>1.56677</v>
      </c>
      <c r="P341" s="22">
        <v>11.7852</v>
      </c>
      <c r="Q341" s="22">
        <v>-4.3081700000000001E-3</v>
      </c>
      <c r="R341" s="22">
        <v>331</v>
      </c>
      <c r="S341" s="22">
        <v>1.56616</v>
      </c>
      <c r="T341">
        <f t="shared" si="62"/>
        <v>5.3187283950617283</v>
      </c>
      <c r="U341">
        <f t="shared" si="63"/>
        <v>8.3332240875308639</v>
      </c>
      <c r="X341" s="9"/>
      <c r="Y341" s="22">
        <v>-6.6680900000000001E-2</v>
      </c>
      <c r="Z341" s="22">
        <v>16.885000000000002</v>
      </c>
      <c r="AA341" s="22">
        <v>-1.4025900000000001E-2</v>
      </c>
      <c r="AB341" s="22">
        <v>331</v>
      </c>
      <c r="AC341" s="22">
        <v>-6.7138699999999996E-2</v>
      </c>
      <c r="AD341">
        <f t="shared" si="64"/>
        <v>17.315925925925924</v>
      </c>
      <c r="AE341">
        <f t="shared" si="65"/>
        <v>-1.154641525074074</v>
      </c>
      <c r="AF341" s="9"/>
      <c r="AG341" s="22">
        <v>1.56677</v>
      </c>
      <c r="AH341" s="22">
        <v>20.301400000000001</v>
      </c>
      <c r="AI341" s="22">
        <v>-4.50287E-3</v>
      </c>
      <c r="AJ341" s="22">
        <v>331</v>
      </c>
      <c r="AK341" s="22">
        <v>1.56586</v>
      </c>
      <c r="AL341">
        <f t="shared" si="66"/>
        <v>5.5590987654320978</v>
      </c>
      <c r="AM341">
        <f t="shared" si="67"/>
        <v>8.7098291727160486</v>
      </c>
      <c r="AP341" s="9"/>
      <c r="AQ341" s="22">
        <v>-6.6680900000000001E-2</v>
      </c>
      <c r="AR341" s="22">
        <v>25.479199999999999</v>
      </c>
      <c r="AS341" s="22">
        <v>-1.4019800000000001E-2</v>
      </c>
      <c r="AT341" s="22">
        <v>331</v>
      </c>
      <c r="AU341" s="22">
        <v>-6.7260700000000007E-2</v>
      </c>
      <c r="AV341">
        <f t="shared" si="68"/>
        <v>17.308395061728394</v>
      </c>
      <c r="AW341">
        <f t="shared" si="69"/>
        <v>-1.1541393602716048</v>
      </c>
      <c r="AX341" s="9"/>
      <c r="AY341" s="22">
        <v>1.56677</v>
      </c>
      <c r="AZ341" s="22">
        <v>28.895600000000002</v>
      </c>
      <c r="BA341" s="22">
        <v>-4.3893400000000003E-3</v>
      </c>
      <c r="BB341" s="22">
        <v>331</v>
      </c>
      <c r="BC341" s="22">
        <v>1.56555</v>
      </c>
      <c r="BD341">
        <f t="shared" si="70"/>
        <v>5.4189382716049384</v>
      </c>
      <c r="BE341">
        <f t="shared" si="71"/>
        <v>8.4902299158024697</v>
      </c>
    </row>
    <row r="342" spans="6:57">
      <c r="F342" s="9"/>
      <c r="G342" s="22">
        <v>-7.1716299999999997E-2</v>
      </c>
      <c r="H342" s="22">
        <v>8.3788900000000002</v>
      </c>
      <c r="I342" s="22">
        <v>-1.40289E-2</v>
      </c>
      <c r="J342" s="22">
        <v>332</v>
      </c>
      <c r="K342" s="22">
        <v>-7.2174100000000005E-2</v>
      </c>
      <c r="L342">
        <f t="shared" si="60"/>
        <v>17.319629629629631</v>
      </c>
      <c r="M342">
        <f t="shared" si="61"/>
        <v>-1.2420997544074075</v>
      </c>
      <c r="N342" s="9"/>
      <c r="O342" s="22">
        <v>1.5718099999999999</v>
      </c>
      <c r="P342" s="22">
        <v>11.795199999999999</v>
      </c>
      <c r="Q342" s="22">
        <v>-3.4475700000000001E-3</v>
      </c>
      <c r="R342" s="22">
        <v>332</v>
      </c>
      <c r="S342" s="22">
        <v>1.57043</v>
      </c>
      <c r="T342">
        <f t="shared" si="62"/>
        <v>4.2562592592592594</v>
      </c>
      <c r="U342">
        <f t="shared" si="63"/>
        <v>6.6900308662962962</v>
      </c>
      <c r="X342" s="9"/>
      <c r="Y342" s="22">
        <v>-7.1716299999999997E-2</v>
      </c>
      <c r="Z342" s="22">
        <v>16.895099999999999</v>
      </c>
      <c r="AA342" s="22">
        <v>-1.4031999999999999E-2</v>
      </c>
      <c r="AB342" s="22">
        <v>332</v>
      </c>
      <c r="AC342" s="22">
        <v>-7.2174100000000005E-2</v>
      </c>
      <c r="AD342">
        <f t="shared" si="64"/>
        <v>17.323456790123455</v>
      </c>
      <c r="AE342">
        <f t="shared" si="65"/>
        <v>-1.2423742241975306</v>
      </c>
      <c r="AF342" s="9"/>
      <c r="AG342" s="22">
        <v>1.5718099999999999</v>
      </c>
      <c r="AH342" s="22">
        <v>20.311399999999999</v>
      </c>
      <c r="AI342" s="22">
        <v>-3.68469E-3</v>
      </c>
      <c r="AJ342" s="22">
        <v>332</v>
      </c>
      <c r="AK342" s="22">
        <v>1.57043</v>
      </c>
      <c r="AL342">
        <f t="shared" si="66"/>
        <v>4.5490000000000004</v>
      </c>
      <c r="AM342">
        <f t="shared" si="67"/>
        <v>7.1501636900000003</v>
      </c>
      <c r="AP342" s="9"/>
      <c r="AQ342" s="22">
        <v>-7.1716299999999997E-2</v>
      </c>
      <c r="AR342" s="22">
        <v>25.4893</v>
      </c>
      <c r="AS342" s="22">
        <v>-1.40228E-2</v>
      </c>
      <c r="AT342" s="22">
        <v>332</v>
      </c>
      <c r="AU342" s="22">
        <v>-7.2082499999999994E-2</v>
      </c>
      <c r="AV342">
        <f t="shared" si="68"/>
        <v>17.312098765432097</v>
      </c>
      <c r="AW342">
        <f t="shared" si="69"/>
        <v>-1.2415596686913579</v>
      </c>
      <c r="AX342" s="9"/>
      <c r="AY342" s="22">
        <v>1.5718099999999999</v>
      </c>
      <c r="AZ342" s="22">
        <v>28.9057</v>
      </c>
      <c r="BA342" s="22">
        <v>-3.4521500000000002E-3</v>
      </c>
      <c r="BB342" s="22">
        <v>332</v>
      </c>
      <c r="BC342" s="22">
        <v>1.57074</v>
      </c>
      <c r="BD342">
        <f t="shared" si="70"/>
        <v>4.2619135802469135</v>
      </c>
      <c r="BE342">
        <f t="shared" si="71"/>
        <v>6.698918384567901</v>
      </c>
    </row>
    <row r="343" spans="6:57">
      <c r="F343" s="9"/>
      <c r="G343" s="22">
        <v>-7.6751700000000006E-2</v>
      </c>
      <c r="H343" s="22">
        <v>8.3889600000000009</v>
      </c>
      <c r="I343" s="22">
        <v>-1.40381E-2</v>
      </c>
      <c r="J343" s="22">
        <v>333</v>
      </c>
      <c r="K343" s="22">
        <v>-7.7178999999999998E-2</v>
      </c>
      <c r="L343">
        <f t="shared" si="60"/>
        <v>17.330987654320985</v>
      </c>
      <c r="M343">
        <f t="shared" si="61"/>
        <v>-1.3301827651481481</v>
      </c>
      <c r="N343" s="9"/>
      <c r="O343" s="22">
        <v>1.57684</v>
      </c>
      <c r="P343" s="22">
        <v>11.805300000000001</v>
      </c>
      <c r="Q343" s="22">
        <v>-2.3446700000000001E-3</v>
      </c>
      <c r="R343" s="22">
        <v>333</v>
      </c>
      <c r="S343" s="22">
        <v>1.57562</v>
      </c>
      <c r="T343">
        <f t="shared" si="62"/>
        <v>2.8946543209876543</v>
      </c>
      <c r="U343">
        <f t="shared" si="63"/>
        <v>4.5644067195061728</v>
      </c>
      <c r="X343" s="9"/>
      <c r="Y343" s="22">
        <v>-7.6751700000000006E-2</v>
      </c>
      <c r="Z343" s="22">
        <v>16.905200000000001</v>
      </c>
      <c r="AA343" s="22">
        <v>-1.4031999999999999E-2</v>
      </c>
      <c r="AB343" s="22">
        <v>333</v>
      </c>
      <c r="AC343" s="22">
        <v>-7.72095E-2</v>
      </c>
      <c r="AD343">
        <f t="shared" si="64"/>
        <v>17.323456790123455</v>
      </c>
      <c r="AE343">
        <f t="shared" si="65"/>
        <v>-1.3296047585185184</v>
      </c>
      <c r="AF343" s="9"/>
      <c r="AG343" s="22">
        <v>1.57684</v>
      </c>
      <c r="AH343" s="22">
        <v>20.3215</v>
      </c>
      <c r="AI343" s="22">
        <v>-2.56836E-3</v>
      </c>
      <c r="AJ343" s="22">
        <v>333</v>
      </c>
      <c r="AK343" s="22">
        <v>1.57562</v>
      </c>
      <c r="AL343">
        <f t="shared" si="66"/>
        <v>3.1708148148148148</v>
      </c>
      <c r="AM343">
        <f t="shared" si="67"/>
        <v>4.9998676325925926</v>
      </c>
      <c r="AP343" s="9"/>
      <c r="AQ343" s="22">
        <v>-7.6751700000000006E-2</v>
      </c>
      <c r="AR343" s="22">
        <v>25.499400000000001</v>
      </c>
      <c r="AS343" s="22">
        <v>-1.4019800000000001E-2</v>
      </c>
      <c r="AT343" s="22">
        <v>333</v>
      </c>
      <c r="AU343" s="22">
        <v>-7.7240000000000003E-2</v>
      </c>
      <c r="AV343">
        <f t="shared" si="68"/>
        <v>17.308395061728394</v>
      </c>
      <c r="AW343">
        <f t="shared" si="69"/>
        <v>-1.3284487452592593</v>
      </c>
      <c r="AX343" s="9"/>
      <c r="AY343" s="22">
        <v>1.57684</v>
      </c>
      <c r="AZ343" s="22">
        <v>28.915700000000001</v>
      </c>
      <c r="BA343" s="22">
        <v>-2.2970600000000001E-3</v>
      </c>
      <c r="BB343" s="22">
        <v>333</v>
      </c>
      <c r="BC343" s="22">
        <v>1.57501</v>
      </c>
      <c r="BD343">
        <f t="shared" si="70"/>
        <v>2.8358765432098765</v>
      </c>
      <c r="BE343">
        <f t="shared" si="71"/>
        <v>4.4717235683950616</v>
      </c>
    </row>
    <row r="344" spans="6:57">
      <c r="F344" s="9"/>
      <c r="G344" s="22">
        <v>-8.1787100000000001E-2</v>
      </c>
      <c r="H344" s="22">
        <v>8.3990399999999994</v>
      </c>
      <c r="I344" s="22">
        <v>-1.40442E-2</v>
      </c>
      <c r="J344" s="22">
        <v>334</v>
      </c>
      <c r="K344" s="22">
        <v>-8.2214400000000007E-2</v>
      </c>
      <c r="L344">
        <f t="shared" si="60"/>
        <v>17.338518518518516</v>
      </c>
      <c r="M344">
        <f t="shared" si="61"/>
        <v>-1.4180671479259257</v>
      </c>
      <c r="N344" s="9"/>
      <c r="O344" s="22">
        <v>1.58188</v>
      </c>
      <c r="P344" s="22">
        <v>11.8154</v>
      </c>
      <c r="Q344" s="22">
        <v>-9.6801799999999996E-4</v>
      </c>
      <c r="R344" s="22">
        <v>334</v>
      </c>
      <c r="S344" s="22">
        <v>1.58142</v>
      </c>
      <c r="T344">
        <f t="shared" si="62"/>
        <v>1.1950839506172839</v>
      </c>
      <c r="U344">
        <f t="shared" si="63"/>
        <v>1.8904793998024689</v>
      </c>
      <c r="X344" s="9"/>
      <c r="Y344" s="22">
        <v>-8.1787100000000001E-2</v>
      </c>
      <c r="Z344" s="22">
        <v>16.915199999999999</v>
      </c>
      <c r="AA344" s="22">
        <v>-1.4031999999999999E-2</v>
      </c>
      <c r="AB344" s="22">
        <v>334</v>
      </c>
      <c r="AC344" s="22">
        <v>-8.2244899999999996E-2</v>
      </c>
      <c r="AD344">
        <f t="shared" si="64"/>
        <v>17.323456790123455</v>
      </c>
      <c r="AE344">
        <f t="shared" si="65"/>
        <v>-1.416835292839506</v>
      </c>
      <c r="AF344" s="9"/>
      <c r="AG344" s="22">
        <v>1.58188</v>
      </c>
      <c r="AH344" s="22">
        <v>20.331600000000002</v>
      </c>
      <c r="AI344" s="22">
        <v>-1.3619999999999999E-3</v>
      </c>
      <c r="AJ344" s="22">
        <v>334</v>
      </c>
      <c r="AK344" s="22">
        <v>1.58081</v>
      </c>
      <c r="AL344">
        <f t="shared" si="66"/>
        <v>1.6814814814814814</v>
      </c>
      <c r="AM344">
        <f t="shared" si="67"/>
        <v>2.6599019259259258</v>
      </c>
      <c r="AP344" s="9"/>
      <c r="AQ344" s="22">
        <v>-8.1787100000000001E-2</v>
      </c>
      <c r="AR344" s="22">
        <v>25.509499999999999</v>
      </c>
      <c r="AS344" s="22">
        <v>-1.4025900000000001E-2</v>
      </c>
      <c r="AT344" s="22">
        <v>334</v>
      </c>
      <c r="AU344" s="22">
        <v>-8.2244899999999996E-2</v>
      </c>
      <c r="AV344">
        <f t="shared" si="68"/>
        <v>17.315925925925924</v>
      </c>
      <c r="AW344">
        <f t="shared" si="69"/>
        <v>-1.4162193652962962</v>
      </c>
      <c r="AX344" s="9"/>
      <c r="AY344" s="22">
        <v>1.58188</v>
      </c>
      <c r="AZ344" s="22">
        <v>28.925799999999999</v>
      </c>
      <c r="BA344" s="22">
        <v>-7.2937000000000002E-4</v>
      </c>
      <c r="BB344" s="22">
        <v>334</v>
      </c>
      <c r="BC344" s="22">
        <v>1.5802</v>
      </c>
      <c r="BD344">
        <f t="shared" si="70"/>
        <v>0.90045679012345681</v>
      </c>
      <c r="BE344">
        <f t="shared" si="71"/>
        <v>1.4244145871604939</v>
      </c>
    </row>
    <row r="345" spans="6:57">
      <c r="F345" s="9"/>
      <c r="G345" s="22">
        <v>-8.6822499999999997E-2</v>
      </c>
      <c r="H345" s="22">
        <v>8.4091100000000001</v>
      </c>
      <c r="I345" s="22">
        <v>-1.4047199999999999E-2</v>
      </c>
      <c r="J345" s="22">
        <v>335</v>
      </c>
      <c r="K345" s="22">
        <v>-8.7310799999999994E-2</v>
      </c>
      <c r="L345">
        <f t="shared" si="60"/>
        <v>17.342222222222222</v>
      </c>
      <c r="M345">
        <f t="shared" si="61"/>
        <v>-1.5056950888888889</v>
      </c>
      <c r="N345" s="9"/>
      <c r="O345" s="22">
        <v>1.58691</v>
      </c>
      <c r="P345" s="22">
        <v>11.8255</v>
      </c>
      <c r="Q345" s="22">
        <v>7.8247099999999997E-4</v>
      </c>
      <c r="R345" s="22">
        <v>335</v>
      </c>
      <c r="S345" s="22">
        <v>1.5866100000000001</v>
      </c>
      <c r="T345">
        <f t="shared" si="62"/>
        <v>-0.96601358024691353</v>
      </c>
      <c r="U345">
        <f t="shared" si="63"/>
        <v>-1.5329766106296296</v>
      </c>
      <c r="X345" s="9"/>
      <c r="Y345" s="22">
        <v>-8.6822499999999997E-2</v>
      </c>
      <c r="Z345" s="22">
        <v>16.9253</v>
      </c>
      <c r="AA345" s="22">
        <v>-1.4035000000000001E-2</v>
      </c>
      <c r="AB345" s="22">
        <v>335</v>
      </c>
      <c r="AC345" s="22">
        <v>-8.7219199999999997E-2</v>
      </c>
      <c r="AD345">
        <f t="shared" si="64"/>
        <v>17.327160493827162</v>
      </c>
      <c r="AE345">
        <f t="shared" si="65"/>
        <v>-1.5043873919753086</v>
      </c>
      <c r="AF345" s="9"/>
      <c r="AG345" s="22">
        <v>1.58691</v>
      </c>
      <c r="AH345" s="22">
        <v>20.341699999999999</v>
      </c>
      <c r="AI345" s="22">
        <v>4.27246E-4</v>
      </c>
      <c r="AJ345" s="22">
        <v>335</v>
      </c>
      <c r="AK345" s="22">
        <v>1.5860000000000001</v>
      </c>
      <c r="AL345">
        <f t="shared" si="66"/>
        <v>-0.52746419753086415</v>
      </c>
      <c r="AM345">
        <f t="shared" si="67"/>
        <v>-0.83703820970370368</v>
      </c>
      <c r="AP345" s="9"/>
      <c r="AQ345" s="22">
        <v>-8.6822499999999997E-2</v>
      </c>
      <c r="AR345" s="22">
        <v>25.519500000000001</v>
      </c>
      <c r="AS345" s="22">
        <v>-1.40381E-2</v>
      </c>
      <c r="AT345" s="22">
        <v>335</v>
      </c>
      <c r="AU345" s="22">
        <v>-8.7310799999999994E-2</v>
      </c>
      <c r="AV345">
        <f t="shared" si="68"/>
        <v>17.330987654320985</v>
      </c>
      <c r="AW345">
        <f t="shared" si="69"/>
        <v>-1.5047196756172836</v>
      </c>
      <c r="AX345" s="9"/>
      <c r="AY345" s="22">
        <v>1.58691</v>
      </c>
      <c r="AZ345" s="22">
        <v>28.9359</v>
      </c>
      <c r="BA345" s="22">
        <v>1.11786E-3</v>
      </c>
      <c r="BB345" s="22">
        <v>335</v>
      </c>
      <c r="BC345" s="22">
        <v>1.58569</v>
      </c>
      <c r="BD345">
        <f t="shared" si="70"/>
        <v>-1.380074074074074</v>
      </c>
      <c r="BE345">
        <f t="shared" si="71"/>
        <v>-2.1900533488888887</v>
      </c>
    </row>
    <row r="346" spans="6:57">
      <c r="F346" s="9"/>
      <c r="G346" s="22">
        <v>-9.1857900000000006E-2</v>
      </c>
      <c r="H346" s="22">
        <v>8.4191800000000008</v>
      </c>
      <c r="I346" s="22">
        <v>-1.40564E-2</v>
      </c>
      <c r="J346" s="22">
        <v>336</v>
      </c>
      <c r="K346" s="22">
        <v>-9.2285199999999998E-2</v>
      </c>
      <c r="L346">
        <f t="shared" si="60"/>
        <v>17.35358024691358</v>
      </c>
      <c r="M346">
        <f t="shared" si="61"/>
        <v>-1.5940634389629631</v>
      </c>
      <c r="N346" s="9"/>
      <c r="O346" s="22">
        <v>1.59195</v>
      </c>
      <c r="P346" s="22">
        <v>11.8355</v>
      </c>
      <c r="Q346" s="22">
        <v>2.9946899999999999E-3</v>
      </c>
      <c r="R346" s="22">
        <v>336</v>
      </c>
      <c r="S346" s="22">
        <v>1.5914900000000001</v>
      </c>
      <c r="T346">
        <f t="shared" si="62"/>
        <v>-3.6971481481481479</v>
      </c>
      <c r="U346">
        <f t="shared" si="63"/>
        <v>-5.885674994444444</v>
      </c>
      <c r="X346" s="9"/>
      <c r="Y346" s="22">
        <v>-9.1857900000000006E-2</v>
      </c>
      <c r="Z346" s="22">
        <v>16.935400000000001</v>
      </c>
      <c r="AA346" s="22">
        <v>-1.4035000000000001E-2</v>
      </c>
      <c r="AB346" s="22">
        <v>336</v>
      </c>
      <c r="AC346" s="22">
        <v>-9.2346200000000003E-2</v>
      </c>
      <c r="AD346">
        <f t="shared" si="64"/>
        <v>17.327160493827162</v>
      </c>
      <c r="AE346">
        <f t="shared" si="65"/>
        <v>-1.5916365759259261</v>
      </c>
      <c r="AF346" s="9"/>
      <c r="AG346" s="22">
        <v>1.59195</v>
      </c>
      <c r="AH346" s="22">
        <v>20.351700000000001</v>
      </c>
      <c r="AI346" s="22">
        <v>2.53265E-3</v>
      </c>
      <c r="AJ346" s="22">
        <v>336</v>
      </c>
      <c r="AK346" s="22">
        <v>1.5908800000000001</v>
      </c>
      <c r="AL346">
        <f t="shared" si="66"/>
        <v>-3.1267283950617282</v>
      </c>
      <c r="AM346">
        <f t="shared" si="67"/>
        <v>-4.9775952685185185</v>
      </c>
      <c r="AP346" s="9"/>
      <c r="AQ346" s="22">
        <v>-9.1857900000000006E-2</v>
      </c>
      <c r="AR346" s="22">
        <v>25.529599999999999</v>
      </c>
      <c r="AS346" s="22">
        <v>-1.40442E-2</v>
      </c>
      <c r="AT346" s="22">
        <v>336</v>
      </c>
      <c r="AU346" s="22">
        <v>-9.2376700000000006E-2</v>
      </c>
      <c r="AV346">
        <f t="shared" si="68"/>
        <v>17.338518518518516</v>
      </c>
      <c r="AW346">
        <f t="shared" si="69"/>
        <v>-1.5926799002222221</v>
      </c>
      <c r="AX346" s="9"/>
      <c r="AY346" s="22">
        <v>1.59195</v>
      </c>
      <c r="AZ346" s="22">
        <v>28.945900000000002</v>
      </c>
      <c r="BA346" s="22">
        <v>3.65936E-3</v>
      </c>
      <c r="BB346" s="22">
        <v>336</v>
      </c>
      <c r="BC346" s="22">
        <v>1.5905800000000001</v>
      </c>
      <c r="BD346">
        <f t="shared" si="70"/>
        <v>-4.5177283950617273</v>
      </c>
      <c r="BE346">
        <f t="shared" si="71"/>
        <v>-7.1919977185185164</v>
      </c>
    </row>
    <row r="347" spans="6:57">
      <c r="F347" s="9"/>
      <c r="G347" s="22">
        <v>-9.6893300000000002E-2</v>
      </c>
      <c r="H347" s="22">
        <v>8.4292499999999997</v>
      </c>
      <c r="I347" s="22">
        <v>-1.40594E-2</v>
      </c>
      <c r="J347" s="22">
        <v>337</v>
      </c>
      <c r="K347" s="22">
        <v>-9.7412100000000001E-2</v>
      </c>
      <c r="L347">
        <f t="shared" si="60"/>
        <v>17.357283950617283</v>
      </c>
      <c r="M347">
        <f t="shared" si="61"/>
        <v>-1.6818045210123456</v>
      </c>
      <c r="N347" s="9"/>
      <c r="O347" s="22">
        <v>1.5969800000000001</v>
      </c>
      <c r="P347" s="22">
        <v>11.845599999999999</v>
      </c>
      <c r="Q347" s="22">
        <v>5.6487999999999998E-3</v>
      </c>
      <c r="R347" s="22">
        <v>337</v>
      </c>
      <c r="S347" s="22">
        <v>1.5966800000000001</v>
      </c>
      <c r="T347">
        <f t="shared" si="62"/>
        <v>-6.9738271604938271</v>
      </c>
      <c r="U347">
        <f t="shared" si="63"/>
        <v>-11.137062498765433</v>
      </c>
      <c r="X347" s="9"/>
      <c r="Y347" s="22">
        <v>-9.6893300000000002E-2</v>
      </c>
      <c r="Z347" s="22">
        <v>16.945499999999999</v>
      </c>
      <c r="AA347" s="22">
        <v>-1.4035000000000001E-2</v>
      </c>
      <c r="AB347" s="22">
        <v>337</v>
      </c>
      <c r="AC347" s="22">
        <v>-9.7320599999999993E-2</v>
      </c>
      <c r="AD347">
        <f t="shared" si="64"/>
        <v>17.327160493827162</v>
      </c>
      <c r="AE347">
        <f t="shared" si="65"/>
        <v>-1.6788857598765434</v>
      </c>
      <c r="AF347" s="9"/>
      <c r="AG347" s="22">
        <v>1.5969800000000001</v>
      </c>
      <c r="AH347" s="22">
        <v>20.361799999999999</v>
      </c>
      <c r="AI347" s="22">
        <v>5.2215600000000001E-3</v>
      </c>
      <c r="AJ347" s="22">
        <v>337</v>
      </c>
      <c r="AK347" s="22">
        <v>1.5960700000000001</v>
      </c>
      <c r="AL347">
        <f t="shared" si="66"/>
        <v>-6.4463703703703699</v>
      </c>
      <c r="AM347">
        <f t="shared" si="67"/>
        <v>-10.294724554074074</v>
      </c>
      <c r="AP347" s="9"/>
      <c r="AQ347" s="22">
        <v>-9.6893300000000002E-2</v>
      </c>
      <c r="AR347" s="22">
        <v>25.5397</v>
      </c>
      <c r="AS347" s="22">
        <v>-1.40442E-2</v>
      </c>
      <c r="AT347" s="22">
        <v>337</v>
      </c>
      <c r="AU347" s="22">
        <v>-9.7412100000000001E-2</v>
      </c>
      <c r="AV347">
        <f t="shared" si="68"/>
        <v>17.338518518518516</v>
      </c>
      <c r="AW347">
        <f t="shared" si="69"/>
        <v>-1.6799862763703701</v>
      </c>
      <c r="AX347" s="9"/>
      <c r="AY347" s="22">
        <v>1.5969800000000001</v>
      </c>
      <c r="AZ347" s="22">
        <v>28.956</v>
      </c>
      <c r="BA347" s="22">
        <v>6.67725E-3</v>
      </c>
      <c r="BB347" s="22">
        <v>337</v>
      </c>
      <c r="BC347" s="22">
        <v>1.5951500000000001</v>
      </c>
      <c r="BD347">
        <f t="shared" si="70"/>
        <v>-8.2435185185185187</v>
      </c>
      <c r="BE347">
        <f t="shared" si="71"/>
        <v>-13.164734203703704</v>
      </c>
    </row>
    <row r="348" spans="6:57">
      <c r="F348" s="9"/>
      <c r="G348" s="22">
        <v>-0.10192900000000001</v>
      </c>
      <c r="H348" s="22">
        <v>8.4393200000000004</v>
      </c>
      <c r="I348" s="22">
        <v>-1.40625E-2</v>
      </c>
      <c r="J348" s="22">
        <v>338</v>
      </c>
      <c r="K348" s="22">
        <v>-0.102386</v>
      </c>
      <c r="L348">
        <f t="shared" si="60"/>
        <v>17.361111111111111</v>
      </c>
      <c r="M348">
        <f t="shared" si="61"/>
        <v>-1.7696006944444445</v>
      </c>
      <c r="N348" s="9"/>
      <c r="O348" s="22">
        <v>1.60202</v>
      </c>
      <c r="P348" s="22">
        <v>11.855700000000001</v>
      </c>
      <c r="Q348" s="22">
        <v>8.9019800000000003E-3</v>
      </c>
      <c r="R348" s="22">
        <v>338</v>
      </c>
      <c r="S348" s="22">
        <v>1.6006499999999999</v>
      </c>
      <c r="T348">
        <f t="shared" si="62"/>
        <v>-10.990098765432098</v>
      </c>
      <c r="U348">
        <f t="shared" si="63"/>
        <v>-17.606358024197529</v>
      </c>
      <c r="X348" s="9"/>
      <c r="Y348" s="22">
        <v>-0.10192900000000001</v>
      </c>
      <c r="Z348" s="22">
        <v>16.955500000000001</v>
      </c>
      <c r="AA348" s="22">
        <v>-1.4035000000000001E-2</v>
      </c>
      <c r="AB348" s="22">
        <v>338</v>
      </c>
      <c r="AC348" s="22">
        <v>-0.102448</v>
      </c>
      <c r="AD348">
        <f t="shared" si="64"/>
        <v>17.327160493827162</v>
      </c>
      <c r="AE348">
        <f t="shared" si="65"/>
        <v>-1.7661401419753089</v>
      </c>
      <c r="AF348" s="9"/>
      <c r="AG348" s="22">
        <v>1.60202</v>
      </c>
      <c r="AH348" s="22">
        <v>20.3719</v>
      </c>
      <c r="AI348" s="22">
        <v>8.4686299999999996E-3</v>
      </c>
      <c r="AJ348" s="22">
        <v>338</v>
      </c>
      <c r="AK348" s="22">
        <v>1.6009500000000001</v>
      </c>
      <c r="AL348">
        <f t="shared" si="66"/>
        <v>-10.455098765432098</v>
      </c>
      <c r="AM348">
        <f t="shared" si="67"/>
        <v>-16.749277324197529</v>
      </c>
      <c r="AP348" s="9"/>
      <c r="AQ348" s="22">
        <v>-0.10192900000000001</v>
      </c>
      <c r="AR348" s="22">
        <v>25.549700000000001</v>
      </c>
      <c r="AS348" s="22">
        <v>-1.40442E-2</v>
      </c>
      <c r="AT348" s="22">
        <v>338</v>
      </c>
      <c r="AU348" s="22">
        <v>-0.102448</v>
      </c>
      <c r="AV348">
        <f t="shared" si="68"/>
        <v>17.338518518518516</v>
      </c>
      <c r="AW348">
        <f t="shared" si="69"/>
        <v>-1.7672978540740738</v>
      </c>
      <c r="AX348" s="9"/>
      <c r="AY348" s="22">
        <v>1.60202</v>
      </c>
      <c r="AZ348" s="22">
        <v>28.966100000000001</v>
      </c>
      <c r="BA348" s="22">
        <v>1.07635E-2</v>
      </c>
      <c r="BB348" s="22">
        <v>338</v>
      </c>
      <c r="BC348" s="22">
        <v>1.6003400000000001</v>
      </c>
      <c r="BD348">
        <f t="shared" si="70"/>
        <v>-13.288271604938272</v>
      </c>
      <c r="BE348">
        <f t="shared" si="71"/>
        <v>-21.288076876543212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3"/>
  <sheetViews>
    <sheetView tabSelected="1" workbookViewId="0">
      <selection activeCell="A4" sqref="A4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20230104T210000</v>
      </c>
      <c r="B3">
        <f ca="1">INDEX(INDIRECT(A3&amp;"!A11"):INDIRECT(A3&amp;"!A21"),MATCH(E3,INDIRECT(A3&amp;"!D11"):INDIRECT(A3&amp;"!D21"),0))</f>
        <v>1.5869599053917443</v>
      </c>
      <c r="C3">
        <f ca="1">INDEX(INDIRECT(A3&amp;"!B11"):INDIRECT(A3&amp;"!B21"),MATCH(E3,INDIRECT(A3&amp;"!D11"):INDIRECT(A3&amp;"!D21"),0))</f>
        <v>17.329159065699308</v>
      </c>
      <c r="D3">
        <f ca="1">INDEX(INDIRECT(A3&amp;"!C11"):INDIRECT(A3&amp;"!C21"),MATCH(E3,INDIRECT(A3&amp;"!D11"):INDIRECT(A3&amp;"!D21"),0))</f>
        <v>0.74823465848102988</v>
      </c>
      <c r="E3">
        <f t="shared" ref="E3" ca="1" si="0">MAX(INDIRECT(A3&amp; "!D11"),INDIRECT(A3 &amp; "!D13"),INDIRECT(A3 &amp; "!D15"),INDIRECT(A3 &amp; "!D17"),INDIRECT(A3 &amp; "!D19"),INDIRECT(A3 &amp; "!D21"))</f>
        <v>20.576962380246911</v>
      </c>
      <c r="G3">
        <f ca="1">INDEX(INDIRECT(A3&amp;"!A12"):INDIRECT(A3&amp;"!A22"),MATCH(J3,INDIRECT(A3&amp;"!D12"):INDIRECT(A3&amp;"!D22"),0))</f>
        <v>1.5823677004487802</v>
      </c>
      <c r="H3">
        <f ca="1">INDEX(INDIRECT(A3&amp;"!B12"):INDIRECT(A3&amp;"!B22"),MATCH(J3,INDIRECT(A3&amp;"!D12"):INDIRECT(A3&amp;"!D22"),0))</f>
        <v>17.275739177173158</v>
      </c>
      <c r="I3">
        <f ca="1">INDEX(INDIRECT(A3&amp;"!C12"):INDIRECT(A3&amp;"!C22"),MATCH(J3,INDIRECT(A3&amp;"!D12"):INDIRECT(A3&amp;"!D22"),0))</f>
        <v>0.72918269458953422</v>
      </c>
      <c r="J3">
        <f t="shared" ref="J3" ca="1" si="1">MAX(INDIRECT(A3&amp; "!D12"),INDIRECT(A3 &amp; "!D14"),INDIRECT(A3 &amp; "!D16"),INDIRECT(A3 &amp; "!D18"),INDIRECT(A3 &amp; "!D20"),,INDIRECT(A3 &amp; "!D22"))</f>
        <v>19.93335499506173</v>
      </c>
      <c r="L3">
        <f ca="1">INDEX(INDIRECT(A3&amp;"!E11"):INDIRECT(A3&amp;"!E21"),MATCH(E3,INDIRECT(A3&amp;"!D11"):INDIRECT(A3&amp;"!D21"),0))</f>
        <v>3.1278056172324984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NEW</vt:lpstr>
      <vt:lpstr>20230104T210000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2023-01-04T13:17:44Z</dcterms:modified>
</cp:coreProperties>
</file>