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L:\2022Dec\newcell\stability\mpp\"/>
    </mc:Choice>
  </mc:AlternateContent>
  <xr:revisionPtr revIDLastSave="0" documentId="13_ncr:1_{57F41A23-53A5-43C4-9149-872B5150C7EB}" xr6:coauthVersionLast="47" xr6:coauthVersionMax="47" xr10:uidLastSave="{00000000-0000-0000-0000-000000000000}"/>
  <bookViews>
    <workbookView xWindow="-24792" yWindow="-648" windowWidth="23040" windowHeight="12204" tabRatio="760" activeTab="1" xr2:uid="{00000000-000D-0000-FFFF-FFFF00000000}"/>
  </bookViews>
  <sheets>
    <sheet name="NEW" sheetId="64" r:id="rId1"/>
    <sheet name="20230104T210000" sheetId="66" r:id="rId2"/>
    <sheet name="Sheet2" sheetId="63" r:id="rId3"/>
  </sheet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 s="1"/>
  <c r="BD185" i="66"/>
  <c r="BE185" i="66"/>
  <c r="BD186" i="66"/>
  <c r="BE186" i="66" s="1"/>
  <c r="BD187" i="66"/>
  <c r="BE187" i="66"/>
  <c r="BD188" i="66"/>
  <c r="BE188" i="66" s="1"/>
  <c r="BD189" i="66"/>
  <c r="BE189" i="66" s="1"/>
  <c r="BD190" i="66"/>
  <c r="BE190" i="66" s="1"/>
  <c r="BD191" i="66"/>
  <c r="BE191" i="66"/>
  <c r="BD192" i="66"/>
  <c r="BE192" i="66" s="1"/>
  <c r="BD193" i="66"/>
  <c r="BE193" i="66"/>
  <c r="BD194" i="66"/>
  <c r="BE194" i="66"/>
  <c r="BD195" i="66"/>
  <c r="BE195" i="66"/>
  <c r="BD196" i="66"/>
  <c r="BE196" i="66" s="1"/>
  <c r="BD197" i="66"/>
  <c r="BE197" i="66"/>
  <c r="BD198" i="66"/>
  <c r="BE198" i="66" s="1"/>
  <c r="BD199" i="66"/>
  <c r="BE199" i="66"/>
  <c r="BD200" i="66"/>
  <c r="BE200" i="66"/>
  <c r="BD201" i="66"/>
  <c r="BE201" i="66" s="1"/>
  <c r="BD202" i="66"/>
  <c r="BE202" i="66" s="1"/>
  <c r="BD203" i="66"/>
  <c r="BE203" i="66"/>
  <c r="BD204" i="66"/>
  <c r="BE204" i="66" s="1"/>
  <c r="BD205" i="66"/>
  <c r="BE205" i="66"/>
  <c r="BD206" i="66"/>
  <c r="BE206" i="66"/>
  <c r="BD207" i="66"/>
  <c r="BE207" i="66" s="1"/>
  <c r="BD208" i="66"/>
  <c r="BE208" i="66" s="1"/>
  <c r="BD209" i="66"/>
  <c r="BE209" i="66"/>
  <c r="BD210" i="66"/>
  <c r="BE210" i="66" s="1"/>
  <c r="BD211" i="66"/>
  <c r="BE211" i="66"/>
  <c r="BD212" i="66"/>
  <c r="BE212" i="66"/>
  <c r="BD213" i="66"/>
  <c r="BE213" i="66" s="1"/>
  <c r="BD214" i="66"/>
  <c r="BE214" i="66" s="1"/>
  <c r="BD215" i="66"/>
  <c r="BE215" i="66"/>
  <c r="BD216" i="66"/>
  <c r="BE216" i="66" s="1"/>
  <c r="BD217" i="66"/>
  <c r="BE217" i="66"/>
  <c r="BD218" i="66"/>
  <c r="BE218" i="66"/>
  <c r="BD219" i="66"/>
  <c r="BE219" i="66" s="1"/>
  <c r="BD220" i="66"/>
  <c r="BE220" i="66" s="1"/>
  <c r="BD221" i="66"/>
  <c r="BE221" i="66"/>
  <c r="BD222" i="66"/>
  <c r="BE222" i="66" s="1"/>
  <c r="BD223" i="66"/>
  <c r="BE223" i="66"/>
  <c r="BD224" i="66"/>
  <c r="BE224" i="66" s="1"/>
  <c r="BD225" i="66"/>
  <c r="BE225" i="66" s="1"/>
  <c r="BD226" i="66"/>
  <c r="BE226" i="66" s="1"/>
  <c r="BD227" i="66"/>
  <c r="BE227" i="66"/>
  <c r="BD228" i="66"/>
  <c r="BE228" i="66" s="1"/>
  <c r="BD229" i="66"/>
  <c r="BE229" i="66"/>
  <c r="BD230" i="66"/>
  <c r="BE230" i="66" s="1"/>
  <c r="BD231" i="66"/>
  <c r="BE231" i="66" s="1"/>
  <c r="BD232" i="66"/>
  <c r="BE232" i="66" s="1"/>
  <c r="BD233" i="66"/>
  <c r="BE233" i="66"/>
  <c r="BD234" i="66"/>
  <c r="BE234" i="66" s="1"/>
  <c r="BD235" i="66"/>
  <c r="BE235" i="66"/>
  <c r="BD236" i="66"/>
  <c r="BE236" i="66" s="1"/>
  <c r="BD237" i="66"/>
  <c r="BE237" i="66" s="1"/>
  <c r="BD238" i="66"/>
  <c r="BE238" i="66" s="1"/>
  <c r="BD239" i="66"/>
  <c r="BE239" i="66"/>
  <c r="BD240" i="66"/>
  <c r="BE240" i="66" s="1"/>
  <c r="BD241" i="66"/>
  <c r="BE241" i="66"/>
  <c r="BD242" i="66"/>
  <c r="BE242" i="66" s="1"/>
  <c r="BD243" i="66"/>
  <c r="BE243" i="66" s="1"/>
  <c r="BD244" i="66"/>
  <c r="BE244" i="66" s="1"/>
  <c r="BD245" i="66"/>
  <c r="BE245" i="66"/>
  <c r="BD246" i="66"/>
  <c r="BE246" i="66" s="1"/>
  <c r="BD247" i="66"/>
  <c r="BE247" i="66"/>
  <c r="BD248" i="66"/>
  <c r="BE248" i="66" s="1"/>
  <c r="BD249" i="66"/>
  <c r="BE249" i="66" s="1"/>
  <c r="BD250" i="66"/>
  <c r="BE250" i="66" s="1"/>
  <c r="BD251" i="66"/>
  <c r="BE251" i="66"/>
  <c r="BD252" i="66"/>
  <c r="BE252" i="66" s="1"/>
  <c r="BD253" i="66"/>
  <c r="BE253" i="66"/>
  <c r="BD254" i="66"/>
  <c r="BE254" i="66"/>
  <c r="BD255" i="66"/>
  <c r="BE255" i="66" s="1"/>
  <c r="BD256" i="66"/>
  <c r="BE256" i="66" s="1"/>
  <c r="BD257" i="66"/>
  <c r="BE257" i="66"/>
  <c r="BD258" i="66"/>
  <c r="BE258" i="66" s="1"/>
  <c r="BD259" i="66"/>
  <c r="BE259" i="66"/>
  <c r="BD260" i="66"/>
  <c r="BE260" i="66"/>
  <c r="BD261" i="66"/>
  <c r="BE261" i="66" s="1"/>
  <c r="BD262" i="66"/>
  <c r="BE262" i="66" s="1"/>
  <c r="BD263" i="66"/>
  <c r="BE263" i="66"/>
  <c r="BD264" i="66"/>
  <c r="BE264" i="66" s="1"/>
  <c r="BD265" i="66"/>
  <c r="BE265" i="66"/>
  <c r="BD266" i="66"/>
  <c r="BE266" i="66"/>
  <c r="BD267" i="66"/>
  <c r="BE267" i="66" s="1"/>
  <c r="BD268" i="66"/>
  <c r="BE268" i="66" s="1"/>
  <c r="BD269" i="66"/>
  <c r="BE269" i="66"/>
  <c r="BD270" i="66"/>
  <c r="BE270" i="66" s="1"/>
  <c r="BD271" i="66"/>
  <c r="BE271" i="66"/>
  <c r="BD272" i="66"/>
  <c r="BE272" i="66"/>
  <c r="BD273" i="66"/>
  <c r="BE273" i="66" s="1"/>
  <c r="BD274" i="66"/>
  <c r="BE274" i="66" s="1"/>
  <c r="BD275" i="66"/>
  <c r="BE275" i="66"/>
  <c r="BD276" i="66"/>
  <c r="BE276" i="66" s="1"/>
  <c r="BD277" i="66"/>
  <c r="BE277" i="66"/>
  <c r="BD278" i="66"/>
  <c r="BE278" i="66"/>
  <c r="BD279" i="66"/>
  <c r="BE279" i="66" s="1"/>
  <c r="BD280" i="66"/>
  <c r="BE280" i="66" s="1"/>
  <c r="BD281" i="66"/>
  <c r="BE281" i="66"/>
  <c r="BD282" i="66"/>
  <c r="BE282" i="66" s="1"/>
  <c r="BD283" i="66"/>
  <c r="BE283" i="66"/>
  <c r="BD284" i="66"/>
  <c r="BE284" i="66" s="1"/>
  <c r="BD285" i="66"/>
  <c r="BE285" i="66" s="1"/>
  <c r="BD286" i="66"/>
  <c r="BE286" i="66" s="1"/>
  <c r="BD287" i="66"/>
  <c r="BE287" i="66"/>
  <c r="BD288" i="66"/>
  <c r="BE288" i="66" s="1"/>
  <c r="BD289" i="66"/>
  <c r="BE289" i="66"/>
  <c r="BD290" i="66"/>
  <c r="BE290" i="66" s="1"/>
  <c r="BD291" i="66"/>
  <c r="BE291" i="66" s="1"/>
  <c r="BD292" i="66"/>
  <c r="BE292" i="66" s="1"/>
  <c r="BD293" i="66"/>
  <c r="BE293" i="66"/>
  <c r="BD294" i="66"/>
  <c r="BE294" i="66" s="1"/>
  <c r="BD295" i="66"/>
  <c r="BE295" i="66"/>
  <c r="BD296" i="66"/>
  <c r="BE296" i="66" s="1"/>
  <c r="BD297" i="66"/>
  <c r="BE297" i="66" s="1"/>
  <c r="BD298" i="66"/>
  <c r="BE298" i="66" s="1"/>
  <c r="BD299" i="66"/>
  <c r="BE299" i="66"/>
  <c r="BD300" i="66"/>
  <c r="BE300" i="66" s="1"/>
  <c r="BD301" i="66"/>
  <c r="BE301" i="66"/>
  <c r="BD302" i="66"/>
  <c r="BE302" i="66" s="1"/>
  <c r="BD303" i="66"/>
  <c r="BE303" i="66"/>
  <c r="BD304" i="66"/>
  <c r="BE304" i="66" s="1"/>
  <c r="BD305" i="66"/>
  <c r="BE305" i="66"/>
  <c r="BD306" i="66"/>
  <c r="BE306" i="66" s="1"/>
  <c r="BD307" i="66"/>
  <c r="BE307" i="66"/>
  <c r="BD308" i="66"/>
  <c r="BE308" i="66" s="1"/>
  <c r="BD309" i="66"/>
  <c r="BE309" i="66"/>
  <c r="BD310" i="66"/>
  <c r="BE310" i="66" s="1"/>
  <c r="BD311" i="66"/>
  <c r="BE311" i="66"/>
  <c r="BD312" i="66"/>
  <c r="BE312" i="66" s="1"/>
  <c r="BD313" i="66"/>
  <c r="BE313" i="66"/>
  <c r="BD314" i="66"/>
  <c r="BE314" i="66" s="1"/>
  <c r="BD315" i="66"/>
  <c r="BE315" i="66" s="1"/>
  <c r="BD316" i="66"/>
  <c r="BE316" i="66" s="1"/>
  <c r="BD317" i="66"/>
  <c r="BE317" i="66"/>
  <c r="BD318" i="66"/>
  <c r="BE318" i="66" s="1"/>
  <c r="BD319" i="66"/>
  <c r="BE319" i="66"/>
  <c r="BD320" i="66"/>
  <c r="BE320" i="66" s="1"/>
  <c r="BD321" i="66"/>
  <c r="BE321" i="66" s="1"/>
  <c r="BD322" i="66"/>
  <c r="BE322" i="66" s="1"/>
  <c r="BD323" i="66"/>
  <c r="BE323" i="66"/>
  <c r="BD324" i="66"/>
  <c r="BE324" i="66" s="1"/>
  <c r="BD325" i="66"/>
  <c r="BE325" i="66"/>
  <c r="BD326" i="66"/>
  <c r="BE326" i="66" s="1"/>
  <c r="BD327" i="66"/>
  <c r="BE327" i="66" s="1"/>
  <c r="BD328" i="66"/>
  <c r="BE328" i="66" s="1"/>
  <c r="BD329" i="66"/>
  <c r="BE329" i="66"/>
  <c r="BD330" i="66"/>
  <c r="BE330" i="66" s="1"/>
  <c r="BD331" i="66"/>
  <c r="BE331" i="66"/>
  <c r="BD332" i="66"/>
  <c r="BE332" i="66"/>
  <c r="BD333" i="66"/>
  <c r="BE333" i="66" s="1"/>
  <c r="BD334" i="66"/>
  <c r="BE334" i="66" s="1"/>
  <c r="BD335" i="66"/>
  <c r="BE335" i="66"/>
  <c r="BD336" i="66"/>
  <c r="BE336" i="66" s="1"/>
  <c r="BD337" i="66"/>
  <c r="BE337" i="66"/>
  <c r="BD338" i="66"/>
  <c r="BE338" i="66"/>
  <c r="BD339" i="66"/>
  <c r="BE339" i="66" s="1"/>
  <c r="BD340" i="66"/>
  <c r="BE340" i="66" s="1"/>
  <c r="BD341" i="66"/>
  <c r="BE341" i="66"/>
  <c r="BD342" i="66"/>
  <c r="BE342" i="66" s="1"/>
  <c r="BD343" i="66"/>
  <c r="BE343" i="66"/>
  <c r="BD344" i="66"/>
  <c r="BE344" i="66" s="1"/>
  <c r="BD345" i="66"/>
  <c r="BE345" i="66" s="1"/>
  <c r="BD346" i="66"/>
  <c r="BE346" i="66" s="1"/>
  <c r="BD347" i="66"/>
  <c r="BE347" i="66"/>
  <c r="BD348" i="66"/>
  <c r="BE348" i="66" s="1"/>
  <c r="BD349" i="66"/>
  <c r="BE349" i="66"/>
  <c r="BD350" i="66"/>
  <c r="BE350" i="66" s="1"/>
  <c r="BD351" i="66"/>
  <c r="BE351" i="66" s="1"/>
  <c r="BD352" i="66"/>
  <c r="BE352" i="66" s="1"/>
  <c r="BD353" i="66"/>
  <c r="BE353" i="66"/>
  <c r="BD354" i="66"/>
  <c r="BE354" i="66" s="1"/>
  <c r="BD355" i="66"/>
  <c r="BE355" i="66"/>
  <c r="BD356" i="66"/>
  <c r="BE356" i="66" s="1"/>
  <c r="BD357" i="66"/>
  <c r="BE357" i="66" s="1"/>
  <c r="BD358" i="66"/>
  <c r="BE358" i="66" s="1"/>
  <c r="BD359" i="66"/>
  <c r="BE359" i="66"/>
  <c r="BD360" i="66"/>
  <c r="BE360" i="66" s="1"/>
  <c r="BD361" i="66"/>
  <c r="BE361" i="66"/>
  <c r="BD362" i="66"/>
  <c r="BE362" i="66" s="1"/>
  <c r="BD363" i="66"/>
  <c r="BE363" i="66" s="1"/>
  <c r="BD364" i="66"/>
  <c r="BE364" i="66" s="1"/>
  <c r="BD365" i="66"/>
  <c r="BE365" i="66"/>
  <c r="BD366" i="66"/>
  <c r="BE366" i="66" s="1"/>
  <c r="BD367" i="66"/>
  <c r="BE367" i="66"/>
  <c r="BD368" i="66"/>
  <c r="BE368" i="66" s="1"/>
  <c r="BD369" i="66"/>
  <c r="BE369" i="66" s="1"/>
  <c r="BD370" i="66"/>
  <c r="BE370" i="66" s="1"/>
  <c r="BD371" i="66"/>
  <c r="BE371" i="66"/>
  <c r="BD372" i="66"/>
  <c r="BE372" i="66" s="1"/>
  <c r="BD373" i="66"/>
  <c r="BE373" i="66"/>
  <c r="BD374" i="66"/>
  <c r="BE374" i="66" s="1"/>
  <c r="BD375" i="66"/>
  <c r="BE375" i="66" s="1"/>
  <c r="BD376" i="66"/>
  <c r="BE376" i="66" s="1"/>
  <c r="BD377" i="66"/>
  <c r="BE377" i="66"/>
  <c r="BD378" i="66"/>
  <c r="BE378" i="66" s="1"/>
  <c r="BD379" i="66"/>
  <c r="BE379" i="66"/>
  <c r="BD380" i="66"/>
  <c r="BE380" i="66" s="1"/>
  <c r="BD381" i="66"/>
  <c r="BE381" i="66" s="1"/>
  <c r="BD382" i="66"/>
  <c r="BE382" i="66" s="1"/>
  <c r="BD383" i="66"/>
  <c r="BE383" i="66"/>
  <c r="BD384" i="66"/>
  <c r="BE384" i="66" s="1"/>
  <c r="BD385" i="66"/>
  <c r="BE385" i="66"/>
  <c r="BD386" i="66"/>
  <c r="BE386" i="66" s="1"/>
  <c r="BD387" i="66"/>
  <c r="BE387" i="66" s="1"/>
  <c r="BD388" i="66"/>
  <c r="BE388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/>
  <c r="AV184" i="66"/>
  <c r="AW184" i="66" s="1"/>
  <c r="AV185" i="66"/>
  <c r="AW185" i="66"/>
  <c r="AV186" i="66"/>
  <c r="AW186" i="66" s="1"/>
  <c r="AV187" i="66"/>
  <c r="AW187" i="66"/>
  <c r="AV188" i="66"/>
  <c r="AW188" i="66" s="1"/>
  <c r="AV189" i="66"/>
  <c r="AW189" i="66"/>
  <c r="AV190" i="66"/>
  <c r="AW190" i="66" s="1"/>
  <c r="AV191" i="66"/>
  <c r="AW191" i="66"/>
  <c r="AV192" i="66"/>
  <c r="AW192" i="66" s="1"/>
  <c r="AV193" i="66"/>
  <c r="AW193" i="66"/>
  <c r="AV194" i="66"/>
  <c r="AW194" i="66" s="1"/>
  <c r="AV195" i="66"/>
  <c r="AW195" i="66"/>
  <c r="AV196" i="66"/>
  <c r="AW196" i="66" s="1"/>
  <c r="AV197" i="66"/>
  <c r="AW197" i="66" s="1"/>
  <c r="AV198" i="66"/>
  <c r="AW198" i="66" s="1"/>
  <c r="AV199" i="66"/>
  <c r="AW199" i="66"/>
  <c r="AV200" i="66"/>
  <c r="AW200" i="66" s="1"/>
  <c r="AV201" i="66"/>
  <c r="AW201" i="66"/>
  <c r="AV202" i="66"/>
  <c r="AW202" i="66" s="1"/>
  <c r="AV203" i="66"/>
  <c r="AW203" i="66" s="1"/>
  <c r="AV204" i="66"/>
  <c r="AW204" i="66" s="1"/>
  <c r="AV205" i="66"/>
  <c r="AW205" i="66"/>
  <c r="AV206" i="66"/>
  <c r="AW206" i="66" s="1"/>
  <c r="AV207" i="66"/>
  <c r="AW207" i="66"/>
  <c r="AV208" i="66"/>
  <c r="AW208" i="66" s="1"/>
  <c r="AV209" i="66"/>
  <c r="AW209" i="66" s="1"/>
  <c r="AV210" i="66"/>
  <c r="AW210" i="66" s="1"/>
  <c r="AV211" i="66"/>
  <c r="AW211" i="66"/>
  <c r="AV212" i="66"/>
  <c r="AW212" i="66" s="1"/>
  <c r="AV213" i="66"/>
  <c r="AW213" i="66"/>
  <c r="AV214" i="66"/>
  <c r="AW214" i="66" s="1"/>
  <c r="AV215" i="66"/>
  <c r="AW215" i="66" s="1"/>
  <c r="AV216" i="66"/>
  <c r="AW216" i="66" s="1"/>
  <c r="AV217" i="66"/>
  <c r="AW217" i="66"/>
  <c r="AV218" i="66"/>
  <c r="AW218" i="66" s="1"/>
  <c r="AV219" i="66"/>
  <c r="AW219" i="66" s="1"/>
  <c r="AV220" i="66"/>
  <c r="AW220" i="66" s="1"/>
  <c r="AV221" i="66"/>
  <c r="AW221" i="66"/>
  <c r="AV222" i="66"/>
  <c r="AW222" i="66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 s="1"/>
  <c r="AL185" i="66"/>
  <c r="AM185" i="66" s="1"/>
  <c r="AL186" i="66"/>
  <c r="AM186" i="66"/>
  <c r="AL187" i="66"/>
  <c r="AM187" i="66"/>
  <c r="AL188" i="66"/>
  <c r="AM188" i="66"/>
  <c r="AL189" i="66"/>
  <c r="AM189" i="66" s="1"/>
  <c r="AL190" i="66"/>
  <c r="AM190" i="66" s="1"/>
  <c r="AL191" i="66"/>
  <c r="AM191" i="66" s="1"/>
  <c r="AL192" i="66"/>
  <c r="AM192" i="66"/>
  <c r="AL193" i="66"/>
  <c r="AM193" i="66"/>
  <c r="AL194" i="66"/>
  <c r="AM194" i="66"/>
  <c r="AL195" i="66"/>
  <c r="AM195" i="66"/>
  <c r="AL196" i="66"/>
  <c r="AM196" i="66" s="1"/>
  <c r="AL197" i="66"/>
  <c r="AM197" i="66" s="1"/>
  <c r="AL198" i="66"/>
  <c r="AM198" i="66"/>
  <c r="AL199" i="66"/>
  <c r="AM199" i="66"/>
  <c r="AL200" i="66"/>
  <c r="AM200" i="66"/>
  <c r="AL201" i="66"/>
  <c r="AM201" i="66" s="1"/>
  <c r="AL202" i="66"/>
  <c r="AM202" i="66" s="1"/>
  <c r="AL203" i="66"/>
  <c r="AM203" i="66" s="1"/>
  <c r="AL204" i="66"/>
  <c r="AM204" i="66"/>
  <c r="AL205" i="66"/>
  <c r="AM205" i="66"/>
  <c r="AL206" i="66"/>
  <c r="AM206" i="66"/>
  <c r="AL207" i="66"/>
  <c r="AM207" i="66" s="1"/>
  <c r="AL208" i="66"/>
  <c r="AM208" i="66" s="1"/>
  <c r="AL209" i="66"/>
  <c r="AM209" i="66" s="1"/>
  <c r="AL210" i="66"/>
  <c r="AM210" i="66"/>
  <c r="AL211" i="66"/>
  <c r="AM211" i="66"/>
  <c r="AL212" i="66"/>
  <c r="AM212" i="66"/>
  <c r="AL213" i="66"/>
  <c r="AM213" i="66"/>
  <c r="AL214" i="66"/>
  <c r="AM214" i="66" s="1"/>
  <c r="AL215" i="66"/>
  <c r="AM215" i="66" s="1"/>
  <c r="AL216" i="66"/>
  <c r="AM216" i="66"/>
  <c r="AL217" i="66"/>
  <c r="AM217" i="66"/>
  <c r="AL218" i="66"/>
  <c r="AM218" i="66"/>
  <c r="AL219" i="66"/>
  <c r="AM219" i="66"/>
  <c r="AL220" i="66"/>
  <c r="AM220" i="66" s="1"/>
  <c r="AL221" i="66"/>
  <c r="AM221" i="66" s="1"/>
  <c r="AL222" i="66"/>
  <c r="AM222" i="66"/>
  <c r="AL223" i="66"/>
  <c r="AM223" i="66"/>
  <c r="AL224" i="66"/>
  <c r="AM224" i="66"/>
  <c r="AL225" i="66"/>
  <c r="AM225" i="66" s="1"/>
  <c r="AL226" i="66"/>
  <c r="AM226" i="66" s="1"/>
  <c r="AL227" i="66"/>
  <c r="AM227" i="66" s="1"/>
  <c r="AL228" i="66"/>
  <c r="AM228" i="66"/>
  <c r="AL229" i="66"/>
  <c r="AM229" i="66"/>
  <c r="AL230" i="66"/>
  <c r="AM230" i="66"/>
  <c r="AL231" i="66"/>
  <c r="AM231" i="66"/>
  <c r="AL232" i="66"/>
  <c r="AM232" i="66" s="1"/>
  <c r="AL233" i="66"/>
  <c r="AM233" i="66" s="1"/>
  <c r="AL234" i="66"/>
  <c r="AM234" i="66"/>
  <c r="AL235" i="66"/>
  <c r="AM235" i="66"/>
  <c r="AL236" i="66"/>
  <c r="AM236" i="66"/>
  <c r="AL237" i="66"/>
  <c r="AM237" i="66" s="1"/>
  <c r="AL238" i="66"/>
  <c r="AM238" i="66" s="1"/>
  <c r="AL239" i="66"/>
  <c r="AM239" i="66" s="1"/>
  <c r="AL240" i="66"/>
  <c r="AM240" i="66"/>
  <c r="AL241" i="66"/>
  <c r="AM241" i="66"/>
  <c r="AL242" i="66"/>
  <c r="AM242" i="66"/>
  <c r="AL243" i="66"/>
  <c r="AM243" i="66" s="1"/>
  <c r="AL244" i="66"/>
  <c r="AM244" i="66" s="1"/>
  <c r="AL245" i="66"/>
  <c r="AM245" i="66" s="1"/>
  <c r="AL246" i="66"/>
  <c r="AM246" i="66"/>
  <c r="AL247" i="66"/>
  <c r="AM247" i="66"/>
  <c r="AL248" i="66"/>
  <c r="AM248" i="66"/>
  <c r="AL249" i="66"/>
  <c r="AM249" i="66"/>
  <c r="AL250" i="66"/>
  <c r="AM250" i="66" s="1"/>
  <c r="AL251" i="66"/>
  <c r="AM251" i="66" s="1"/>
  <c r="AL252" i="66"/>
  <c r="AM252" i="66"/>
  <c r="AL253" i="66"/>
  <c r="AM253" i="66"/>
  <c r="AL254" i="66"/>
  <c r="AM254" i="66"/>
  <c r="AL255" i="66"/>
  <c r="AM255" i="66"/>
  <c r="AL256" i="66"/>
  <c r="AM256" i="66" s="1"/>
  <c r="AL257" i="66"/>
  <c r="AM257" i="66" s="1"/>
  <c r="AL258" i="66"/>
  <c r="AM258" i="66"/>
  <c r="AL259" i="66"/>
  <c r="AM259" i="66"/>
  <c r="AL260" i="66"/>
  <c r="AM260" i="66"/>
  <c r="AL261" i="66"/>
  <c r="AM261" i="66" s="1"/>
  <c r="AL262" i="66"/>
  <c r="AM262" i="66" s="1"/>
  <c r="AL263" i="66"/>
  <c r="AM263" i="66" s="1"/>
  <c r="AL264" i="66"/>
  <c r="AM264" i="66"/>
  <c r="AL265" i="66"/>
  <c r="AM265" i="66"/>
  <c r="AL266" i="66"/>
  <c r="AM266" i="66"/>
  <c r="AL267" i="66"/>
  <c r="AM267" i="66"/>
  <c r="AL268" i="66"/>
  <c r="AM268" i="66" s="1"/>
  <c r="AL269" i="66"/>
  <c r="AM269" i="66" s="1"/>
  <c r="AL270" i="66"/>
  <c r="AM270" i="66"/>
  <c r="AL271" i="66"/>
  <c r="AM271" i="66"/>
  <c r="AL272" i="66"/>
  <c r="AM272" i="66"/>
  <c r="AL273" i="66"/>
  <c r="AM273" i="66" s="1"/>
  <c r="AL274" i="66"/>
  <c r="AM274" i="66" s="1"/>
  <c r="AL275" i="66"/>
  <c r="AM275" i="66" s="1"/>
  <c r="AL276" i="66"/>
  <c r="AM276" i="66"/>
  <c r="AL277" i="66"/>
  <c r="AM277" i="66"/>
  <c r="AL278" i="66"/>
  <c r="AM278" i="66"/>
  <c r="AL279" i="66"/>
  <c r="AM279" i="66" s="1"/>
  <c r="AL280" i="66"/>
  <c r="AM280" i="66" s="1"/>
  <c r="AL281" i="66"/>
  <c r="AM281" i="66" s="1"/>
  <c r="AL282" i="66"/>
  <c r="AM282" i="66"/>
  <c r="AL283" i="66"/>
  <c r="AM283" i="66"/>
  <c r="AL284" i="66"/>
  <c r="AM284" i="66"/>
  <c r="AL285" i="66"/>
  <c r="AM285" i="66"/>
  <c r="AL286" i="66"/>
  <c r="AM286" i="66" s="1"/>
  <c r="AL287" i="66"/>
  <c r="AM287" i="66" s="1"/>
  <c r="AL288" i="66"/>
  <c r="AM288" i="66"/>
  <c r="AL289" i="66"/>
  <c r="AM289" i="66"/>
  <c r="AL290" i="66"/>
  <c r="AM290" i="66"/>
  <c r="AL291" i="66"/>
  <c r="AM291" i="66"/>
  <c r="AL292" i="66"/>
  <c r="AM292" i="66" s="1"/>
  <c r="AL293" i="66"/>
  <c r="AM293" i="66" s="1"/>
  <c r="AL294" i="66"/>
  <c r="AM294" i="66"/>
  <c r="AL295" i="66"/>
  <c r="AM295" i="66"/>
  <c r="AL296" i="66"/>
  <c r="AM296" i="66"/>
  <c r="AL297" i="66"/>
  <c r="AM297" i="66" s="1"/>
  <c r="AL298" i="66"/>
  <c r="AM298" i="66" s="1"/>
  <c r="AL299" i="66"/>
  <c r="AM299" i="66" s="1"/>
  <c r="AL300" i="66"/>
  <c r="AM300" i="66"/>
  <c r="AL301" i="66"/>
  <c r="AM301" i="66"/>
  <c r="AL302" i="66"/>
  <c r="AM302" i="66"/>
  <c r="AL303" i="66"/>
  <c r="AM303" i="66"/>
  <c r="AL304" i="66"/>
  <c r="AM304" i="66" s="1"/>
  <c r="AL305" i="66"/>
  <c r="AM305" i="66" s="1"/>
  <c r="AL306" i="66"/>
  <c r="AM306" i="66"/>
  <c r="AL307" i="66"/>
  <c r="AM307" i="66"/>
  <c r="AL308" i="66"/>
  <c r="AM308" i="66"/>
  <c r="AL309" i="66"/>
  <c r="AM309" i="66" s="1"/>
  <c r="AL310" i="66"/>
  <c r="AM310" i="66" s="1"/>
  <c r="AL311" i="66"/>
  <c r="AM311" i="66" s="1"/>
  <c r="AL312" i="66"/>
  <c r="AM312" i="66"/>
  <c r="AL313" i="66"/>
  <c r="AM313" i="66"/>
  <c r="AL314" i="66"/>
  <c r="AM314" i="66"/>
  <c r="AL315" i="66"/>
  <c r="AM315" i="66" s="1"/>
  <c r="AL316" i="66"/>
  <c r="AM316" i="66" s="1"/>
  <c r="AL317" i="66"/>
  <c r="AM317" i="66" s="1"/>
  <c r="AL318" i="66"/>
  <c r="AM318" i="66"/>
  <c r="AL319" i="66"/>
  <c r="AM319" i="66"/>
  <c r="AL320" i="66"/>
  <c r="AM320" i="66"/>
  <c r="AL321" i="66"/>
  <c r="AM321" i="66"/>
  <c r="AL322" i="66"/>
  <c r="AM322" i="66" s="1"/>
  <c r="AL323" i="66"/>
  <c r="AM323" i="66" s="1"/>
  <c r="AL324" i="66"/>
  <c r="AM324" i="66"/>
  <c r="AL325" i="66"/>
  <c r="AM325" i="66"/>
  <c r="AL326" i="66"/>
  <c r="AM326" i="66"/>
  <c r="AL327" i="66"/>
  <c r="AM327" i="66"/>
  <c r="AL328" i="66"/>
  <c r="AM328" i="66" s="1"/>
  <c r="AL329" i="66"/>
  <c r="AM329" i="66" s="1"/>
  <c r="AL330" i="66"/>
  <c r="AM330" i="66"/>
  <c r="AL331" i="66"/>
  <c r="AM331" i="66"/>
  <c r="AL332" i="66"/>
  <c r="AM332" i="66"/>
  <c r="AL333" i="66"/>
  <c r="AM333" i="66" s="1"/>
  <c r="AL334" i="66"/>
  <c r="AM334" i="66" s="1"/>
  <c r="AL335" i="66"/>
  <c r="AM335" i="66" s="1"/>
  <c r="AL336" i="66"/>
  <c r="AM336" i="66"/>
  <c r="AL337" i="66"/>
  <c r="AM337" i="66"/>
  <c r="AL338" i="66"/>
  <c r="AM338" i="66"/>
  <c r="AL339" i="66"/>
  <c r="AM339" i="66"/>
  <c r="AL340" i="66"/>
  <c r="AM340" i="66" s="1"/>
  <c r="AL341" i="66"/>
  <c r="AM341" i="66" s="1"/>
  <c r="AL342" i="66"/>
  <c r="AM342" i="66"/>
  <c r="AL343" i="66"/>
  <c r="AM343" i="66"/>
  <c r="AL344" i="66"/>
  <c r="AM344" i="66"/>
  <c r="AL345" i="66"/>
  <c r="AM345" i="66" s="1"/>
  <c r="AL346" i="66"/>
  <c r="AM346" i="66" s="1"/>
  <c r="AL347" i="66"/>
  <c r="AM347" i="66" s="1"/>
  <c r="AL348" i="66"/>
  <c r="AM348" i="66"/>
  <c r="AL349" i="66"/>
  <c r="AM349" i="66"/>
  <c r="AL350" i="66"/>
  <c r="AM350" i="66"/>
  <c r="AL351" i="66"/>
  <c r="AM351" i="66" s="1"/>
  <c r="AL352" i="66"/>
  <c r="AM352" i="66" s="1"/>
  <c r="AL353" i="66"/>
  <c r="AM353" i="66" s="1"/>
  <c r="AL354" i="66"/>
  <c r="AM354" i="66"/>
  <c r="AL355" i="66"/>
  <c r="AM355" i="66"/>
  <c r="AL356" i="66"/>
  <c r="AM356" i="66"/>
  <c r="AL357" i="66"/>
  <c r="AM357" i="66"/>
  <c r="AL358" i="66"/>
  <c r="AM358" i="66" s="1"/>
  <c r="AL359" i="66"/>
  <c r="AM359" i="66" s="1"/>
  <c r="AL360" i="66"/>
  <c r="AM360" i="66"/>
  <c r="AL361" i="66"/>
  <c r="AM361" i="66"/>
  <c r="AL362" i="66"/>
  <c r="AM362" i="66"/>
  <c r="AL363" i="66"/>
  <c r="AM363" i="66"/>
  <c r="AL364" i="66"/>
  <c r="AM364" i="66" s="1"/>
  <c r="AL365" i="66"/>
  <c r="AM365" i="66" s="1"/>
  <c r="AL366" i="66"/>
  <c r="AM366" i="66"/>
  <c r="AL367" i="66"/>
  <c r="AM367" i="66"/>
  <c r="AL368" i="66"/>
  <c r="AM368" i="66"/>
  <c r="AL369" i="66"/>
  <c r="AM369" i="66" s="1"/>
  <c r="AL370" i="66"/>
  <c r="AM370" i="66" s="1"/>
  <c r="AL371" i="66"/>
  <c r="AM371" i="66" s="1"/>
  <c r="AL372" i="66"/>
  <c r="AM372" i="66"/>
  <c r="AL373" i="66"/>
  <c r="AM373" i="66"/>
  <c r="AL374" i="66"/>
  <c r="AM374" i="66"/>
  <c r="AL375" i="66"/>
  <c r="AM375" i="66"/>
  <c r="AL376" i="66"/>
  <c r="AM376" i="66" s="1"/>
  <c r="AL377" i="66"/>
  <c r="AM377" i="66" s="1"/>
  <c r="AL378" i="66"/>
  <c r="AM378" i="66"/>
  <c r="AL379" i="66"/>
  <c r="AM379" i="66"/>
  <c r="AL380" i="66"/>
  <c r="AM380" i="66"/>
  <c r="AL381" i="66"/>
  <c r="AM381" i="66" s="1"/>
  <c r="AL382" i="66"/>
  <c r="AM382" i="66" s="1"/>
  <c r="AL383" i="66"/>
  <c r="AM383" i="66" s="1"/>
  <c r="AL384" i="66"/>
  <c r="AM384" i="66"/>
  <c r="AL385" i="66"/>
  <c r="AM385" i="66"/>
  <c r="AL386" i="66"/>
  <c r="AM386" i="66"/>
  <c r="AL387" i="66"/>
  <c r="AM387" i="66" s="1"/>
  <c r="AL388" i="66"/>
  <c r="AM38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 s="1"/>
  <c r="AD187" i="66"/>
  <c r="AE187" i="66" s="1"/>
  <c r="AD188" i="66"/>
  <c r="AE188" i="66"/>
  <c r="AD189" i="66"/>
  <c r="AE189" i="66"/>
  <c r="AD190" i="66"/>
  <c r="AE190" i="66"/>
  <c r="AD191" i="66"/>
  <c r="AE191" i="66"/>
  <c r="AD192" i="66"/>
  <c r="AE192" i="66" s="1"/>
  <c r="AD193" i="66"/>
  <c r="AE193" i="66" s="1"/>
  <c r="AD194" i="66"/>
  <c r="AE194" i="66"/>
  <c r="AD195" i="66"/>
  <c r="AE195" i="66"/>
  <c r="AD196" i="66"/>
  <c r="AE196" i="66"/>
  <c r="AD197" i="66"/>
  <c r="AE197" i="66"/>
  <c r="AD198" i="66"/>
  <c r="AE198" i="66" s="1"/>
  <c r="AD199" i="66"/>
  <c r="AE199" i="66" s="1"/>
  <c r="AD200" i="66"/>
  <c r="AE200" i="66"/>
  <c r="AD201" i="66"/>
  <c r="AE201" i="66"/>
  <c r="AD202" i="66"/>
  <c r="AE202" i="66"/>
  <c r="AD203" i="66"/>
  <c r="AE203" i="66" s="1"/>
  <c r="AD204" i="66"/>
  <c r="AE204" i="66" s="1"/>
  <c r="AD205" i="66"/>
  <c r="AE205" i="66" s="1"/>
  <c r="AD206" i="66"/>
  <c r="AE206" i="66"/>
  <c r="AD207" i="66"/>
  <c r="AE207" i="66"/>
  <c r="AD208" i="66"/>
  <c r="AE208" i="66"/>
  <c r="AD209" i="66"/>
  <c r="AE209" i="66" s="1"/>
  <c r="AD210" i="66"/>
  <c r="AE210" i="66" s="1"/>
  <c r="AD211" i="66"/>
  <c r="AE211" i="66" s="1"/>
  <c r="AD212" i="66"/>
  <c r="AE212" i="66"/>
  <c r="AD213" i="66"/>
  <c r="AE213" i="66"/>
  <c r="AD214" i="66"/>
  <c r="AE214" i="66"/>
  <c r="AD215" i="66"/>
  <c r="AE215" i="66"/>
  <c r="AD216" i="66"/>
  <c r="AE216" i="66" s="1"/>
  <c r="AD217" i="66"/>
  <c r="AE217" i="66" s="1"/>
  <c r="AD218" i="66"/>
  <c r="AE218" i="66"/>
  <c r="AD219" i="66"/>
  <c r="AE219" i="66"/>
  <c r="AD220" i="66"/>
  <c r="AE220" i="66"/>
  <c r="AD221" i="66"/>
  <c r="AA4" i="66" s="1"/>
  <c r="AC4" i="66" s="1"/>
  <c r="AE221" i="66"/>
  <c r="AD222" i="66"/>
  <c r="AE222" i="66" s="1"/>
  <c r="AD223" i="66"/>
  <c r="AE223" i="66" s="1"/>
  <c r="AD224" i="66"/>
  <c r="AE224" i="66"/>
  <c r="AD225" i="66"/>
  <c r="AE225" i="66"/>
  <c r="AD226" i="66"/>
  <c r="AE226" i="66"/>
  <c r="AD227" i="66"/>
  <c r="AE227" i="66"/>
  <c r="AD228" i="66"/>
  <c r="AE228" i="66" s="1"/>
  <c r="AD229" i="66"/>
  <c r="AE229" i="66" s="1"/>
  <c r="AD230" i="66"/>
  <c r="AE230" i="66"/>
  <c r="AD231" i="66"/>
  <c r="AE231" i="66"/>
  <c r="AD232" i="66"/>
  <c r="AE232" i="66"/>
  <c r="AD233" i="66"/>
  <c r="AE233" i="66"/>
  <c r="AD234" i="66"/>
  <c r="AE234" i="66" s="1"/>
  <c r="AD235" i="66"/>
  <c r="AE235" i="66" s="1"/>
  <c r="AD236" i="66"/>
  <c r="AE236" i="66"/>
  <c r="AD237" i="66"/>
  <c r="AE237" i="66"/>
  <c r="AD238" i="66"/>
  <c r="AE238" i="66"/>
  <c r="AD239" i="66"/>
  <c r="AE239" i="66" s="1"/>
  <c r="AD240" i="66"/>
  <c r="AE240" i="66" s="1"/>
  <c r="AD241" i="66"/>
  <c r="AE241" i="66" s="1"/>
  <c r="AD242" i="66"/>
  <c r="AE242" i="66"/>
  <c r="AD243" i="66"/>
  <c r="AE243" i="66"/>
  <c r="AD244" i="66"/>
  <c r="AE244" i="66"/>
  <c r="AD245" i="66"/>
  <c r="AE245" i="66" s="1"/>
  <c r="AD246" i="66"/>
  <c r="AE246" i="66" s="1"/>
  <c r="AD247" i="66"/>
  <c r="AE247" i="66" s="1"/>
  <c r="AD248" i="66"/>
  <c r="AE248" i="66"/>
  <c r="AD249" i="66"/>
  <c r="AE249" i="66"/>
  <c r="AD250" i="66"/>
  <c r="AE250" i="66"/>
  <c r="AD251" i="66"/>
  <c r="AE251" i="66"/>
  <c r="AD252" i="66"/>
  <c r="AE252" i="66" s="1"/>
  <c r="AD253" i="66"/>
  <c r="AE253" i="66" s="1"/>
  <c r="AD254" i="66"/>
  <c r="AE254" i="66"/>
  <c r="AD255" i="66"/>
  <c r="AE255" i="66"/>
  <c r="AD256" i="66"/>
  <c r="AE256" i="66"/>
  <c r="AD257" i="66"/>
  <c r="AE257" i="66"/>
  <c r="AD258" i="66"/>
  <c r="AE258" i="66" s="1"/>
  <c r="AD259" i="66"/>
  <c r="AE259" i="66" s="1"/>
  <c r="AD260" i="66"/>
  <c r="AE260" i="66"/>
  <c r="AD261" i="66"/>
  <c r="AE261" i="66"/>
  <c r="AD262" i="66"/>
  <c r="AE262" i="66"/>
  <c r="AD263" i="66"/>
  <c r="AE263" i="66"/>
  <c r="AD264" i="66"/>
  <c r="AE264" i="66" s="1"/>
  <c r="AD265" i="66"/>
  <c r="AE265" i="66" s="1"/>
  <c r="AD266" i="66"/>
  <c r="AE266" i="66"/>
  <c r="AD267" i="66"/>
  <c r="AE267" i="66"/>
  <c r="AD268" i="66"/>
  <c r="AE268" i="66"/>
  <c r="AD269" i="66"/>
  <c r="AE269" i="66"/>
  <c r="AD270" i="66"/>
  <c r="AE270" i="66" s="1"/>
  <c r="AD271" i="66"/>
  <c r="AE271" i="66" s="1"/>
  <c r="AD272" i="66"/>
  <c r="AE272" i="66"/>
  <c r="AD273" i="66"/>
  <c r="AE273" i="66"/>
  <c r="AD274" i="66"/>
  <c r="AE274" i="66"/>
  <c r="AD275" i="66"/>
  <c r="AE275" i="66" s="1"/>
  <c r="AD276" i="66"/>
  <c r="AE276" i="66" s="1"/>
  <c r="AD277" i="66"/>
  <c r="AE277" i="66" s="1"/>
  <c r="AD278" i="66"/>
  <c r="AE278" i="66"/>
  <c r="AD279" i="66"/>
  <c r="AE279" i="66"/>
  <c r="AD280" i="66"/>
  <c r="AE280" i="66"/>
  <c r="AD281" i="66"/>
  <c r="AE281" i="66" s="1"/>
  <c r="AD282" i="66"/>
  <c r="AE282" i="66" s="1"/>
  <c r="AD283" i="66"/>
  <c r="AE283" i="66" s="1"/>
  <c r="AD284" i="66"/>
  <c r="AE284" i="66"/>
  <c r="AD285" i="66"/>
  <c r="AE285" i="66"/>
  <c r="AD286" i="66"/>
  <c r="AE286" i="66"/>
  <c r="AD287" i="66"/>
  <c r="AE287" i="66"/>
  <c r="AD288" i="66"/>
  <c r="AE288" i="66" s="1"/>
  <c r="AD289" i="66"/>
  <c r="AE289" i="66" s="1"/>
  <c r="AD290" i="66"/>
  <c r="AE290" i="66"/>
  <c r="AD291" i="66"/>
  <c r="AE291" i="66"/>
  <c r="AD292" i="66"/>
  <c r="AE292" i="66"/>
  <c r="AD293" i="66"/>
  <c r="AE293" i="66"/>
  <c r="AD294" i="66"/>
  <c r="AE294" i="66" s="1"/>
  <c r="AD295" i="66"/>
  <c r="AE295" i="66" s="1"/>
  <c r="AD296" i="66"/>
  <c r="AE296" i="66"/>
  <c r="AD297" i="66"/>
  <c r="AE297" i="66"/>
  <c r="AD298" i="66"/>
  <c r="AE298" i="66"/>
  <c r="AD299" i="66"/>
  <c r="AE299" i="66"/>
  <c r="AD300" i="66"/>
  <c r="AE300" i="66" s="1"/>
  <c r="AD301" i="66"/>
  <c r="AE301" i="66" s="1"/>
  <c r="AD302" i="66"/>
  <c r="AE302" i="66"/>
  <c r="AD303" i="66"/>
  <c r="AE303" i="66"/>
  <c r="AD304" i="66"/>
  <c r="AE304" i="66"/>
  <c r="AD305" i="66"/>
  <c r="AE305" i="66"/>
  <c r="AD306" i="66"/>
  <c r="AE306" i="66" s="1"/>
  <c r="AD307" i="66"/>
  <c r="AE307" i="66" s="1"/>
  <c r="AD308" i="66"/>
  <c r="AE308" i="66"/>
  <c r="AD309" i="66"/>
  <c r="AE309" i="66"/>
  <c r="AD310" i="66"/>
  <c r="AE310" i="66"/>
  <c r="AD311" i="66"/>
  <c r="AE311" i="66" s="1"/>
  <c r="AD312" i="66"/>
  <c r="AE312" i="66" s="1"/>
  <c r="AD313" i="66"/>
  <c r="AE313" i="66" s="1"/>
  <c r="AD314" i="66"/>
  <c r="AE314" i="66"/>
  <c r="AD315" i="66"/>
  <c r="AE315" i="66"/>
  <c r="AD316" i="66"/>
  <c r="AE316" i="66"/>
  <c r="AD317" i="66"/>
  <c r="AE317" i="66" s="1"/>
  <c r="AD318" i="66"/>
  <c r="AE318" i="66" s="1"/>
  <c r="AD319" i="66"/>
  <c r="AE319" i="66" s="1"/>
  <c r="AD320" i="66"/>
  <c r="AE320" i="66"/>
  <c r="AD321" i="66"/>
  <c r="AE321" i="66"/>
  <c r="AD322" i="66"/>
  <c r="AE322" i="66"/>
  <c r="AD323" i="66"/>
  <c r="AE323" i="66"/>
  <c r="AD324" i="66"/>
  <c r="AE324" i="66" s="1"/>
  <c r="AD325" i="66"/>
  <c r="AE325" i="66" s="1"/>
  <c r="AD326" i="66"/>
  <c r="AE326" i="66"/>
  <c r="AD327" i="66"/>
  <c r="AE327" i="66"/>
  <c r="AD328" i="66"/>
  <c r="AE328" i="66"/>
  <c r="AD329" i="66"/>
  <c r="AE329" i="66"/>
  <c r="AD330" i="66"/>
  <c r="AE330" i="66" s="1"/>
  <c r="AD331" i="66"/>
  <c r="AE331" i="66" s="1"/>
  <c r="AD332" i="66"/>
  <c r="AE332" i="66"/>
  <c r="AD333" i="66"/>
  <c r="AE333" i="66" s="1"/>
  <c r="AD334" i="66"/>
  <c r="AE334" i="66"/>
  <c r="AD335" i="66"/>
  <c r="AE335" i="66"/>
  <c r="AD336" i="66"/>
  <c r="AE336" i="66" s="1"/>
  <c r="AD337" i="66"/>
  <c r="AE337" i="66" s="1"/>
  <c r="AD338" i="66"/>
  <c r="AE338" i="66"/>
  <c r="AD339" i="66"/>
  <c r="AE339" i="66" s="1"/>
  <c r="AD340" i="66"/>
  <c r="AE340" i="66" s="1"/>
  <c r="AD341" i="66"/>
  <c r="AE341" i="66"/>
  <c r="AD342" i="66"/>
  <c r="AE342" i="66" s="1"/>
  <c r="AD343" i="66"/>
  <c r="AE343" i="66" s="1"/>
  <c r="AD344" i="66"/>
  <c r="AE344" i="66"/>
  <c r="AD345" i="66"/>
  <c r="AE345" i="66"/>
  <c r="AD346" i="66"/>
  <c r="AE346" i="66" s="1"/>
  <c r="AD347" i="66"/>
  <c r="AE347" i="66" s="1"/>
  <c r="AD348" i="66"/>
  <c r="AE348" i="66" s="1"/>
  <c r="AD349" i="66"/>
  <c r="AE349" i="66" s="1"/>
  <c r="AD350" i="66"/>
  <c r="AE350" i="66"/>
  <c r="AD351" i="66"/>
  <c r="AE351" i="66"/>
  <c r="AD352" i="66"/>
  <c r="AE352" i="66"/>
  <c r="AD353" i="66"/>
  <c r="AE353" i="66" s="1"/>
  <c r="AD354" i="66"/>
  <c r="AE354" i="66" s="1"/>
  <c r="AD355" i="66"/>
  <c r="AE355" i="66" s="1"/>
  <c r="AD356" i="66"/>
  <c r="AE356" i="66"/>
  <c r="AD357" i="66"/>
  <c r="AE357" i="66"/>
  <c r="AD358" i="66"/>
  <c r="AE358" i="66"/>
  <c r="AD359" i="66"/>
  <c r="AE359" i="66"/>
  <c r="AD360" i="66"/>
  <c r="AE360" i="66" s="1"/>
  <c r="AD361" i="66"/>
  <c r="AE361" i="66" s="1"/>
  <c r="AD362" i="66"/>
  <c r="AE362" i="66" s="1"/>
  <c r="AD363" i="66"/>
  <c r="AE363" i="66"/>
  <c r="AD364" i="66"/>
  <c r="AE364" i="66"/>
  <c r="AD365" i="66"/>
  <c r="AE365" i="66"/>
  <c r="AD366" i="66"/>
  <c r="AE366" i="66" s="1"/>
  <c r="AD367" i="66"/>
  <c r="AE367" i="66" s="1"/>
  <c r="AD368" i="66"/>
  <c r="AE368" i="66" s="1"/>
  <c r="AD369" i="66"/>
  <c r="AE369" i="66" s="1"/>
  <c r="AD370" i="66"/>
  <c r="AE370" i="66"/>
  <c r="AD371" i="66"/>
  <c r="AE371" i="66"/>
  <c r="AD372" i="66"/>
  <c r="AE372" i="66" s="1"/>
  <c r="AD373" i="66"/>
  <c r="AE373" i="66" s="1"/>
  <c r="AD374" i="66"/>
  <c r="AE374" i="66"/>
  <c r="AD375" i="66"/>
  <c r="AE375" i="66" s="1"/>
  <c r="AD376" i="66"/>
  <c r="AE376" i="66" s="1"/>
  <c r="AD377" i="66"/>
  <c r="AE377" i="66"/>
  <c r="AD378" i="66"/>
  <c r="AE378" i="66" s="1"/>
  <c r="AD379" i="66"/>
  <c r="AE379" i="66" s="1"/>
  <c r="AD380" i="66"/>
  <c r="AE380" i="66"/>
  <c r="AD381" i="66"/>
  <c r="AE381" i="66"/>
  <c r="AD382" i="66"/>
  <c r="AE382" i="66" s="1"/>
  <c r="AD383" i="66"/>
  <c r="AE383" i="66" s="1"/>
  <c r="AD384" i="66"/>
  <c r="AE384" i="66" s="1"/>
  <c r="AD385" i="66"/>
  <c r="AE385" i="66" s="1"/>
  <c r="AD386" i="66"/>
  <c r="AE386" i="66"/>
  <c r="AD387" i="66"/>
  <c r="AE387" i="66"/>
  <c r="AD388" i="66"/>
  <c r="AE388" i="66"/>
  <c r="T12" i="66"/>
  <c r="U12" i="66" s="1"/>
  <c r="T13" i="66"/>
  <c r="U13" i="66" s="1"/>
  <c r="T14" i="66"/>
  <c r="U14" i="66" s="1"/>
  <c r="T15" i="66"/>
  <c r="U15" i="66"/>
  <c r="T16" i="66"/>
  <c r="U16" i="66"/>
  <c r="T17" i="66"/>
  <c r="S7" i="66" s="1"/>
  <c r="U17" i="66"/>
  <c r="T18" i="66"/>
  <c r="U18" i="66"/>
  <c r="T19" i="66"/>
  <c r="U19" i="66" s="1"/>
  <c r="T20" i="66"/>
  <c r="U20" i="66" s="1"/>
  <c r="T21" i="66"/>
  <c r="U21" i="66" s="1"/>
  <c r="T22" i="66"/>
  <c r="U22" i="66"/>
  <c r="T23" i="66"/>
  <c r="U23" i="66"/>
  <c r="T24" i="66"/>
  <c r="U24" i="66"/>
  <c r="T25" i="66"/>
  <c r="U25" i="66" s="1"/>
  <c r="T26" i="66"/>
  <c r="U26" i="66" s="1"/>
  <c r="T27" i="66"/>
  <c r="U27" i="66" s="1"/>
  <c r="T28" i="66"/>
  <c r="U28" i="66" s="1"/>
  <c r="T29" i="66"/>
  <c r="U29" i="66"/>
  <c r="T30" i="66"/>
  <c r="U30" i="66"/>
  <c r="T31" i="66"/>
  <c r="U31" i="66" s="1"/>
  <c r="T32" i="66"/>
  <c r="U32" i="66" s="1"/>
  <c r="T33" i="66"/>
  <c r="U33" i="66"/>
  <c r="T34" i="66"/>
  <c r="U34" i="66" s="1"/>
  <c r="T35" i="66"/>
  <c r="U35" i="66" s="1"/>
  <c r="T36" i="66"/>
  <c r="U36" i="66"/>
  <c r="T37" i="66"/>
  <c r="U37" i="66" s="1"/>
  <c r="T38" i="66"/>
  <c r="U38" i="66" s="1"/>
  <c r="T39" i="66"/>
  <c r="U39" i="66"/>
  <c r="T40" i="66"/>
  <c r="U40" i="66"/>
  <c r="T41" i="66"/>
  <c r="U41" i="66" s="1"/>
  <c r="T42" i="66"/>
  <c r="U42" i="66" s="1"/>
  <c r="T43" i="66"/>
  <c r="U43" i="66" s="1"/>
  <c r="T44" i="66"/>
  <c r="U44" i="66" s="1"/>
  <c r="T45" i="66"/>
  <c r="U45" i="66"/>
  <c r="T46" i="66"/>
  <c r="U46" i="66"/>
  <c r="T47" i="66"/>
  <c r="U47" i="66"/>
  <c r="T48" i="66"/>
  <c r="U48" i="66" s="1"/>
  <c r="T49" i="66"/>
  <c r="U49" i="66" s="1"/>
  <c r="T50" i="66"/>
  <c r="U50" i="66" s="1"/>
  <c r="T51" i="66"/>
  <c r="U51" i="66"/>
  <c r="T52" i="66"/>
  <c r="U52" i="66"/>
  <c r="T53" i="66"/>
  <c r="U53" i="66"/>
  <c r="T54" i="66"/>
  <c r="U54" i="66"/>
  <c r="T55" i="66"/>
  <c r="U55" i="66" s="1"/>
  <c r="T56" i="66"/>
  <c r="U56" i="66" s="1"/>
  <c r="T57" i="66"/>
  <c r="U57" i="66" s="1"/>
  <c r="T58" i="66"/>
  <c r="U58" i="66"/>
  <c r="T59" i="66"/>
  <c r="U59" i="66"/>
  <c r="T60" i="66"/>
  <c r="U60" i="66"/>
  <c r="T61" i="66"/>
  <c r="U61" i="66" s="1"/>
  <c r="T62" i="66"/>
  <c r="U62" i="66" s="1"/>
  <c r="T63" i="66"/>
  <c r="U63" i="66" s="1"/>
  <c r="T64" i="66"/>
  <c r="U64" i="66" s="1"/>
  <c r="T65" i="66"/>
  <c r="U65" i="66"/>
  <c r="T66" i="66"/>
  <c r="U66" i="66"/>
  <c r="T67" i="66"/>
  <c r="U67" i="66" s="1"/>
  <c r="T68" i="66"/>
  <c r="U68" i="66" s="1"/>
  <c r="T69" i="66"/>
  <c r="U69" i="66"/>
  <c r="T70" i="66"/>
  <c r="U70" i="66" s="1"/>
  <c r="T71" i="66"/>
  <c r="U71" i="66" s="1"/>
  <c r="T72" i="66"/>
  <c r="U72" i="66"/>
  <c r="T73" i="66"/>
  <c r="U73" i="66" s="1"/>
  <c r="T74" i="66"/>
  <c r="U74" i="66" s="1"/>
  <c r="T75" i="66"/>
  <c r="U75" i="66"/>
  <c r="T76" i="66"/>
  <c r="U76" i="66"/>
  <c r="T77" i="66"/>
  <c r="U77" i="66" s="1"/>
  <c r="T78" i="66"/>
  <c r="U78" i="66" s="1"/>
  <c r="T79" i="66"/>
  <c r="U79" i="66" s="1"/>
  <c r="T80" i="66"/>
  <c r="U80" i="66" s="1"/>
  <c r="T81" i="66"/>
  <c r="U81" i="66"/>
  <c r="T82" i="66"/>
  <c r="U82" i="66"/>
  <c r="T83" i="66"/>
  <c r="U83" i="66"/>
  <c r="T84" i="66"/>
  <c r="U84" i="66" s="1"/>
  <c r="T85" i="66"/>
  <c r="U85" i="66" s="1"/>
  <c r="T86" i="66"/>
  <c r="U86" i="66" s="1"/>
  <c r="T87" i="66"/>
  <c r="U87" i="66"/>
  <c r="T88" i="66"/>
  <c r="U88" i="66"/>
  <c r="T89" i="66"/>
  <c r="U89" i="66"/>
  <c r="T90" i="66"/>
  <c r="U90" i="66"/>
  <c r="T91" i="66"/>
  <c r="U91" i="66" s="1"/>
  <c r="T92" i="66"/>
  <c r="U92" i="66" s="1"/>
  <c r="T93" i="66"/>
  <c r="U93" i="66" s="1"/>
  <c r="T94" i="66"/>
  <c r="U94" i="66"/>
  <c r="T95" i="66"/>
  <c r="U95" i="66"/>
  <c r="T96" i="66"/>
  <c r="U96" i="66"/>
  <c r="T97" i="66"/>
  <c r="U97" i="66" s="1"/>
  <c r="T98" i="66"/>
  <c r="U98" i="66" s="1"/>
  <c r="T99" i="66"/>
  <c r="U99" i="66" s="1"/>
  <c r="T100" i="66"/>
  <c r="U100" i="66" s="1"/>
  <c r="T101" i="66"/>
  <c r="U101" i="66"/>
  <c r="T102" i="66"/>
  <c r="U102" i="66"/>
  <c r="T103" i="66"/>
  <c r="U103" i="66" s="1"/>
  <c r="T104" i="66"/>
  <c r="U104" i="66" s="1"/>
  <c r="T105" i="66"/>
  <c r="U105" i="66"/>
  <c r="T106" i="66"/>
  <c r="U106" i="66" s="1"/>
  <c r="T107" i="66"/>
  <c r="U107" i="66" s="1"/>
  <c r="T108" i="66"/>
  <c r="U108" i="66"/>
  <c r="T109" i="66"/>
  <c r="U109" i="66"/>
  <c r="T110" i="66"/>
  <c r="U110" i="66"/>
  <c r="T111" i="66"/>
  <c r="U111" i="66"/>
  <c r="T112" i="66"/>
  <c r="U112" i="66" s="1"/>
  <c r="T113" i="66"/>
  <c r="U113" i="66" s="1"/>
  <c r="T114" i="66"/>
  <c r="U114" i="66"/>
  <c r="T115" i="66"/>
  <c r="U115" i="66"/>
  <c r="T116" i="66"/>
  <c r="U116" i="66"/>
  <c r="T117" i="66"/>
  <c r="U117" i="66"/>
  <c r="T118" i="66"/>
  <c r="U118" i="66" s="1"/>
  <c r="T119" i="66"/>
  <c r="U119" i="66" s="1"/>
  <c r="T120" i="66"/>
  <c r="U120" i="66"/>
  <c r="T121" i="66"/>
  <c r="U121" i="66"/>
  <c r="T122" i="66"/>
  <c r="U122" i="66"/>
  <c r="T123" i="66"/>
  <c r="U123" i="66"/>
  <c r="T124" i="66"/>
  <c r="U124" i="66" s="1"/>
  <c r="T125" i="66"/>
  <c r="U125" i="66" s="1"/>
  <c r="T126" i="66"/>
  <c r="U126" i="66"/>
  <c r="T127" i="66"/>
  <c r="U127" i="66"/>
  <c r="T128" i="66"/>
  <c r="U128" i="66"/>
  <c r="T129" i="66"/>
  <c r="U129" i="66"/>
  <c r="T130" i="66"/>
  <c r="U130" i="66" s="1"/>
  <c r="T131" i="66"/>
  <c r="U131" i="66" s="1"/>
  <c r="T132" i="66"/>
  <c r="U132" i="66"/>
  <c r="T133" i="66"/>
  <c r="U133" i="66"/>
  <c r="T134" i="66"/>
  <c r="U134" i="66"/>
  <c r="T135" i="66"/>
  <c r="U135" i="66"/>
  <c r="T136" i="66"/>
  <c r="U136" i="66" s="1"/>
  <c r="T137" i="66"/>
  <c r="U137" i="66" s="1"/>
  <c r="T138" i="66"/>
  <c r="U138" i="66"/>
  <c r="T139" i="66"/>
  <c r="U139" i="66"/>
  <c r="T140" i="66"/>
  <c r="U140" i="66"/>
  <c r="T141" i="66"/>
  <c r="U141" i="66"/>
  <c r="T142" i="66"/>
  <c r="U142" i="66" s="1"/>
  <c r="T143" i="66"/>
  <c r="U143" i="66" s="1"/>
  <c r="T144" i="66"/>
  <c r="U144" i="66"/>
  <c r="T145" i="66"/>
  <c r="U145" i="66"/>
  <c r="T146" i="66"/>
  <c r="U146" i="66"/>
  <c r="T147" i="66"/>
  <c r="U147" i="66"/>
  <c r="T148" i="66"/>
  <c r="U148" i="66" s="1"/>
  <c r="T149" i="66"/>
  <c r="U149" i="66" s="1"/>
  <c r="T150" i="66"/>
  <c r="U150" i="66"/>
  <c r="T151" i="66"/>
  <c r="U151" i="66"/>
  <c r="T152" i="66"/>
  <c r="U152" i="66"/>
  <c r="T153" i="66"/>
  <c r="U153" i="66"/>
  <c r="T154" i="66"/>
  <c r="U154" i="66" s="1"/>
  <c r="T155" i="66"/>
  <c r="U155" i="66" s="1"/>
  <c r="T156" i="66"/>
  <c r="U156" i="66"/>
  <c r="T157" i="66"/>
  <c r="U157" i="66"/>
  <c r="T158" i="66"/>
  <c r="U158" i="66"/>
  <c r="T159" i="66"/>
  <c r="U159" i="66"/>
  <c r="T160" i="66"/>
  <c r="U160" i="66" s="1"/>
  <c r="T161" i="66"/>
  <c r="U161" i="66" s="1"/>
  <c r="T162" i="66"/>
  <c r="U162" i="66"/>
  <c r="T163" i="66"/>
  <c r="U163" i="66"/>
  <c r="T164" i="66"/>
  <c r="U164" i="66"/>
  <c r="T165" i="66"/>
  <c r="U165" i="66"/>
  <c r="T166" i="66"/>
  <c r="U166" i="66" s="1"/>
  <c r="T167" i="66"/>
  <c r="U167" i="66" s="1"/>
  <c r="T168" i="66"/>
  <c r="U168" i="66"/>
  <c r="T169" i="66"/>
  <c r="U169" i="66"/>
  <c r="T170" i="66"/>
  <c r="U170" i="66"/>
  <c r="T171" i="66"/>
  <c r="U171" i="66"/>
  <c r="T172" i="66"/>
  <c r="U172" i="66" s="1"/>
  <c r="T173" i="66"/>
  <c r="U173" i="66" s="1"/>
  <c r="T174" i="66"/>
  <c r="U174" i="66"/>
  <c r="T175" i="66"/>
  <c r="U175" i="66"/>
  <c r="T176" i="66"/>
  <c r="U176" i="66"/>
  <c r="T177" i="66"/>
  <c r="U177" i="66"/>
  <c r="T178" i="66"/>
  <c r="U178" i="66" s="1"/>
  <c r="T179" i="66"/>
  <c r="U179" i="66" s="1"/>
  <c r="T180" i="66"/>
  <c r="U180" i="66"/>
  <c r="T181" i="66"/>
  <c r="U181" i="66"/>
  <c r="T182" i="66"/>
  <c r="U182" i="66"/>
  <c r="T183" i="66"/>
  <c r="U183" i="66"/>
  <c r="T184" i="66"/>
  <c r="U184" i="66" s="1"/>
  <c r="T185" i="66"/>
  <c r="U185" i="66" s="1"/>
  <c r="T186" i="66"/>
  <c r="U186" i="66"/>
  <c r="T187" i="66"/>
  <c r="U187" i="66"/>
  <c r="T188" i="66"/>
  <c r="U188" i="66"/>
  <c r="T189" i="66"/>
  <c r="U189" i="66"/>
  <c r="T190" i="66"/>
  <c r="U190" i="66" s="1"/>
  <c r="T191" i="66"/>
  <c r="U191" i="66" s="1"/>
  <c r="T192" i="66"/>
  <c r="U192" i="66"/>
  <c r="T193" i="66"/>
  <c r="U193" i="66"/>
  <c r="T194" i="66"/>
  <c r="U194" i="66"/>
  <c r="T195" i="66"/>
  <c r="U195" i="66"/>
  <c r="T196" i="66"/>
  <c r="U196" i="66" s="1"/>
  <c r="T197" i="66"/>
  <c r="U197" i="66" s="1"/>
  <c r="T198" i="66"/>
  <c r="U198" i="66" s="1"/>
  <c r="T199" i="66"/>
  <c r="U199" i="66"/>
  <c r="T200" i="66"/>
  <c r="U200" i="66"/>
  <c r="T201" i="66"/>
  <c r="U201" i="66"/>
  <c r="T202" i="66"/>
  <c r="U202" i="66" s="1"/>
  <c r="T203" i="66"/>
  <c r="U203" i="66" s="1"/>
  <c r="T204" i="66"/>
  <c r="U204" i="66" s="1"/>
  <c r="T205" i="66"/>
  <c r="U205" i="66"/>
  <c r="T206" i="66"/>
  <c r="U206" i="66"/>
  <c r="T207" i="66"/>
  <c r="U207" i="66"/>
  <c r="T208" i="66"/>
  <c r="U208" i="66" s="1"/>
  <c r="T209" i="66"/>
  <c r="U209" i="66" s="1"/>
  <c r="T210" i="66"/>
  <c r="U210" i="66" s="1"/>
  <c r="T211" i="66"/>
  <c r="U211" i="66"/>
  <c r="T212" i="66"/>
  <c r="U212" i="66"/>
  <c r="T213" i="66"/>
  <c r="U213" i="66"/>
  <c r="T214" i="66"/>
  <c r="U214" i="66" s="1"/>
  <c r="T215" i="66"/>
  <c r="U215" i="66" s="1"/>
  <c r="T216" i="66"/>
  <c r="U216" i="66" s="1"/>
  <c r="T217" i="66"/>
  <c r="U217" i="66"/>
  <c r="T218" i="66"/>
  <c r="U218" i="66"/>
  <c r="T219" i="66"/>
  <c r="U219" i="66"/>
  <c r="T220" i="66"/>
  <c r="U220" i="66" s="1"/>
  <c r="T221" i="66"/>
  <c r="U221" i="66" s="1"/>
  <c r="T222" i="66"/>
  <c r="U222" i="66" s="1"/>
  <c r="T223" i="66"/>
  <c r="U223" i="66"/>
  <c r="T224" i="66"/>
  <c r="U224" i="66"/>
  <c r="T225" i="66"/>
  <c r="U225" i="66"/>
  <c r="T226" i="66"/>
  <c r="U226" i="66" s="1"/>
  <c r="T227" i="66"/>
  <c r="U227" i="66" s="1"/>
  <c r="T228" i="66"/>
  <c r="U228" i="66" s="1"/>
  <c r="T229" i="66"/>
  <c r="U229" i="66"/>
  <c r="T230" i="66"/>
  <c r="U230" i="66"/>
  <c r="T231" i="66"/>
  <c r="U231" i="66"/>
  <c r="T232" i="66"/>
  <c r="U232" i="66" s="1"/>
  <c r="T233" i="66"/>
  <c r="U233" i="66" s="1"/>
  <c r="T234" i="66"/>
  <c r="U234" i="66" s="1"/>
  <c r="T235" i="66"/>
  <c r="U235" i="66"/>
  <c r="T236" i="66"/>
  <c r="U236" i="66"/>
  <c r="T237" i="66"/>
  <c r="U237" i="66"/>
  <c r="T238" i="66"/>
  <c r="U238" i="66" s="1"/>
  <c r="T239" i="66"/>
  <c r="U239" i="66" s="1"/>
  <c r="T240" i="66"/>
  <c r="U240" i="66" s="1"/>
  <c r="T241" i="66"/>
  <c r="U241" i="66"/>
  <c r="T242" i="66"/>
  <c r="U242" i="66"/>
  <c r="T243" i="66"/>
  <c r="U243" i="66"/>
  <c r="T244" i="66"/>
  <c r="U244" i="66" s="1"/>
  <c r="T245" i="66"/>
  <c r="U245" i="66" s="1"/>
  <c r="T246" i="66"/>
  <c r="U246" i="66" s="1"/>
  <c r="T247" i="66"/>
  <c r="U247" i="66"/>
  <c r="T248" i="66"/>
  <c r="U248" i="66"/>
  <c r="T249" i="66"/>
  <c r="U249" i="66"/>
  <c r="T250" i="66"/>
  <c r="U250" i="66" s="1"/>
  <c r="T251" i="66"/>
  <c r="U251" i="66" s="1"/>
  <c r="T252" i="66"/>
  <c r="U252" i="66" s="1"/>
  <c r="T253" i="66"/>
  <c r="U253" i="66"/>
  <c r="T254" i="66"/>
  <c r="U254" i="66"/>
  <c r="T255" i="66"/>
  <c r="U255" i="66"/>
  <c r="T256" i="66"/>
  <c r="U256" i="66" s="1"/>
  <c r="T257" i="66"/>
  <c r="U257" i="66" s="1"/>
  <c r="T258" i="66"/>
  <c r="U258" i="66" s="1"/>
  <c r="T259" i="66"/>
  <c r="U259" i="66"/>
  <c r="T260" i="66"/>
  <c r="U260" i="66"/>
  <c r="T261" i="66"/>
  <c r="U261" i="66"/>
  <c r="T262" i="66"/>
  <c r="U262" i="66" s="1"/>
  <c r="T263" i="66"/>
  <c r="U263" i="66" s="1"/>
  <c r="T264" i="66"/>
  <c r="U264" i="66" s="1"/>
  <c r="T265" i="66"/>
  <c r="U265" i="66"/>
  <c r="T266" i="66"/>
  <c r="U266" i="66"/>
  <c r="T267" i="66"/>
  <c r="U267" i="66"/>
  <c r="T268" i="66"/>
  <c r="U268" i="66" s="1"/>
  <c r="T269" i="66"/>
  <c r="U269" i="66" s="1"/>
  <c r="T270" i="66"/>
  <c r="U270" i="66" s="1"/>
  <c r="T271" i="66"/>
  <c r="U271" i="66"/>
  <c r="T272" i="66"/>
  <c r="U272" i="66"/>
  <c r="T273" i="66"/>
  <c r="U273" i="66"/>
  <c r="T274" i="66"/>
  <c r="U274" i="66" s="1"/>
  <c r="T275" i="66"/>
  <c r="U275" i="66" s="1"/>
  <c r="T276" i="66"/>
  <c r="U276" i="66" s="1"/>
  <c r="T277" i="66"/>
  <c r="U277" i="66"/>
  <c r="T278" i="66"/>
  <c r="U278" i="66"/>
  <c r="T279" i="66"/>
  <c r="U279" i="66"/>
  <c r="T280" i="66"/>
  <c r="U280" i="66" s="1"/>
  <c r="T281" i="66"/>
  <c r="U281" i="66" s="1"/>
  <c r="T282" i="66"/>
  <c r="U282" i="66" s="1"/>
  <c r="T283" i="66"/>
  <c r="U283" i="66"/>
  <c r="T284" i="66"/>
  <c r="U284" i="66"/>
  <c r="T285" i="66"/>
  <c r="U285" i="66"/>
  <c r="T286" i="66"/>
  <c r="U286" i="66" s="1"/>
  <c r="T287" i="66"/>
  <c r="U287" i="66" s="1"/>
  <c r="T288" i="66"/>
  <c r="U288" i="66" s="1"/>
  <c r="T289" i="66"/>
  <c r="U289" i="66"/>
  <c r="T290" i="66"/>
  <c r="U290" i="66"/>
  <c r="T291" i="66"/>
  <c r="U291" i="66"/>
  <c r="T292" i="66"/>
  <c r="U292" i="66" s="1"/>
  <c r="T293" i="66"/>
  <c r="U293" i="66" s="1"/>
  <c r="T294" i="66"/>
  <c r="U294" i="66" s="1"/>
  <c r="T295" i="66"/>
  <c r="U295" i="66"/>
  <c r="T296" i="66"/>
  <c r="U296" i="66"/>
  <c r="T297" i="66"/>
  <c r="U297" i="66"/>
  <c r="T298" i="66"/>
  <c r="U298" i="66" s="1"/>
  <c r="T299" i="66"/>
  <c r="U299" i="66" s="1"/>
  <c r="T300" i="66"/>
  <c r="U300" i="66" s="1"/>
  <c r="T301" i="66"/>
  <c r="U301" i="66"/>
  <c r="T302" i="66"/>
  <c r="U302" i="66"/>
  <c r="T303" i="66"/>
  <c r="U303" i="66"/>
  <c r="T304" i="66"/>
  <c r="U304" i="66" s="1"/>
  <c r="T305" i="66"/>
  <c r="U305" i="66" s="1"/>
  <c r="T306" i="66"/>
  <c r="U306" i="66" s="1"/>
  <c r="T307" i="66"/>
  <c r="U307" i="66"/>
  <c r="T308" i="66"/>
  <c r="U308" i="66"/>
  <c r="T309" i="66"/>
  <c r="U309" i="66"/>
  <c r="T310" i="66"/>
  <c r="U310" i="66" s="1"/>
  <c r="T311" i="66"/>
  <c r="U311" i="66" s="1"/>
  <c r="T312" i="66"/>
  <c r="U312" i="66" s="1"/>
  <c r="T313" i="66"/>
  <c r="U313" i="66"/>
  <c r="T314" i="66"/>
  <c r="U314" i="66"/>
  <c r="T315" i="66"/>
  <c r="U315" i="66"/>
  <c r="T316" i="66"/>
  <c r="U316" i="66" s="1"/>
  <c r="T317" i="66"/>
  <c r="U317" i="66" s="1"/>
  <c r="T318" i="66"/>
  <c r="U318" i="66" s="1"/>
  <c r="T319" i="66"/>
  <c r="U319" i="66"/>
  <c r="T320" i="66"/>
  <c r="U320" i="66"/>
  <c r="T321" i="66"/>
  <c r="U321" i="66"/>
  <c r="T322" i="66"/>
  <c r="U322" i="66" s="1"/>
  <c r="T323" i="66"/>
  <c r="U323" i="66" s="1"/>
  <c r="T324" i="66"/>
  <c r="U324" i="66" s="1"/>
  <c r="T325" i="66"/>
  <c r="U325" i="66"/>
  <c r="T326" i="66"/>
  <c r="U326" i="66"/>
  <c r="T327" i="66"/>
  <c r="U327" i="66"/>
  <c r="T328" i="66"/>
  <c r="U328" i="66" s="1"/>
  <c r="T329" i="66"/>
  <c r="U329" i="66" s="1"/>
  <c r="T330" i="66"/>
  <c r="U330" i="66" s="1"/>
  <c r="T331" i="66"/>
  <c r="U331" i="66"/>
  <c r="T332" i="66"/>
  <c r="U332" i="66"/>
  <c r="T333" i="66"/>
  <c r="U333" i="66"/>
  <c r="T334" i="66"/>
  <c r="U334" i="66" s="1"/>
  <c r="T335" i="66"/>
  <c r="U335" i="66" s="1"/>
  <c r="T336" i="66"/>
  <c r="U336" i="66" s="1"/>
  <c r="T337" i="66"/>
  <c r="U337" i="66"/>
  <c r="T338" i="66"/>
  <c r="U338" i="66"/>
  <c r="T339" i="66"/>
  <c r="U339" i="66"/>
  <c r="T340" i="66"/>
  <c r="U340" i="66" s="1"/>
  <c r="T341" i="66"/>
  <c r="U341" i="66" s="1"/>
  <c r="T342" i="66"/>
  <c r="U342" i="66" s="1"/>
  <c r="T343" i="66"/>
  <c r="U343" i="66"/>
  <c r="T344" i="66"/>
  <c r="U344" i="66"/>
  <c r="T345" i="66"/>
  <c r="U345" i="66"/>
  <c r="T346" i="66"/>
  <c r="U346" i="66" s="1"/>
  <c r="T347" i="66"/>
  <c r="U347" i="66" s="1"/>
  <c r="T348" i="66"/>
  <c r="U348" i="66" s="1"/>
  <c r="T349" i="66"/>
  <c r="U349" i="66"/>
  <c r="T350" i="66"/>
  <c r="U350" i="66"/>
  <c r="T351" i="66"/>
  <c r="U351" i="66"/>
  <c r="T352" i="66"/>
  <c r="U352" i="66" s="1"/>
  <c r="T353" i="66"/>
  <c r="U353" i="66" s="1"/>
  <c r="T354" i="66"/>
  <c r="U354" i="66" s="1"/>
  <c r="T355" i="66"/>
  <c r="U355" i="66"/>
  <c r="T356" i="66"/>
  <c r="U356" i="66"/>
  <c r="T357" i="66"/>
  <c r="U357" i="66"/>
  <c r="T358" i="66"/>
  <c r="U358" i="66" s="1"/>
  <c r="T359" i="66"/>
  <c r="U359" i="66" s="1"/>
  <c r="T360" i="66"/>
  <c r="U360" i="66" s="1"/>
  <c r="T361" i="66"/>
  <c r="U361" i="66"/>
  <c r="T362" i="66"/>
  <c r="U362" i="66"/>
  <c r="T363" i="66"/>
  <c r="U363" i="66"/>
  <c r="T364" i="66"/>
  <c r="U364" i="66" s="1"/>
  <c r="T365" i="66"/>
  <c r="U365" i="66" s="1"/>
  <c r="T366" i="66"/>
  <c r="U366" i="66" s="1"/>
  <c r="T367" i="66"/>
  <c r="U367" i="66"/>
  <c r="T368" i="66"/>
  <c r="U368" i="66"/>
  <c r="T369" i="66"/>
  <c r="U369" i="66"/>
  <c r="T370" i="66"/>
  <c r="U370" i="66" s="1"/>
  <c r="T371" i="66"/>
  <c r="U371" i="66" s="1"/>
  <c r="T372" i="66"/>
  <c r="U372" i="66" s="1"/>
  <c r="T373" i="66"/>
  <c r="U373" i="66"/>
  <c r="T374" i="66"/>
  <c r="U374" i="66"/>
  <c r="T375" i="66"/>
  <c r="U375" i="66"/>
  <c r="T376" i="66"/>
  <c r="U376" i="66" s="1"/>
  <c r="T377" i="66"/>
  <c r="U377" i="66" s="1"/>
  <c r="T378" i="66"/>
  <c r="U378" i="66" s="1"/>
  <c r="T379" i="66"/>
  <c r="U379" i="66"/>
  <c r="T380" i="66"/>
  <c r="U380" i="66"/>
  <c r="T381" i="66"/>
  <c r="U381" i="66"/>
  <c r="T382" i="66"/>
  <c r="U382" i="66" s="1"/>
  <c r="T383" i="66"/>
  <c r="U383" i="66" s="1"/>
  <c r="T384" i="66"/>
  <c r="U384" i="66" s="1"/>
  <c r="T385" i="66"/>
  <c r="U385" i="66"/>
  <c r="T386" i="66"/>
  <c r="U386" i="66"/>
  <c r="T387" i="66"/>
  <c r="U387" i="66"/>
  <c r="T388" i="66"/>
  <c r="U38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/>
  <c r="L184" i="66"/>
  <c r="M184" i="66"/>
  <c r="L185" i="66"/>
  <c r="M185" i="66"/>
  <c r="L186" i="66"/>
  <c r="M186" i="66" s="1"/>
  <c r="L187" i="66"/>
  <c r="M187" i="66" s="1"/>
  <c r="L188" i="66"/>
  <c r="M188" i="66" s="1"/>
  <c r="L189" i="66"/>
  <c r="M189" i="66"/>
  <c r="L190" i="66"/>
  <c r="M190" i="66"/>
  <c r="L191" i="66"/>
  <c r="M191" i="66"/>
  <c r="L192" i="66"/>
  <c r="M192" i="66" s="1"/>
  <c r="L193" i="66"/>
  <c r="M193" i="66" s="1"/>
  <c r="L194" i="66"/>
  <c r="M194" i="66" s="1"/>
  <c r="L195" i="66"/>
  <c r="M195" i="66"/>
  <c r="L196" i="66"/>
  <c r="M196" i="66"/>
  <c r="L197" i="66"/>
  <c r="M197" i="66"/>
  <c r="L198" i="66"/>
  <c r="M198" i="66" s="1"/>
  <c r="L199" i="66"/>
  <c r="M199" i="66"/>
  <c r="L200" i="66"/>
  <c r="M200" i="66"/>
  <c r="L201" i="66"/>
  <c r="M201" i="66"/>
  <c r="L202" i="66"/>
  <c r="M202" i="66"/>
  <c r="L203" i="66"/>
  <c r="M203" i="66" s="1"/>
  <c r="L204" i="66"/>
  <c r="M204" i="66" s="1"/>
  <c r="L205" i="66"/>
  <c r="M205" i="66"/>
  <c r="L206" i="66"/>
  <c r="M206" i="66"/>
  <c r="L207" i="66"/>
  <c r="M207" i="66"/>
  <c r="L208" i="66"/>
  <c r="M208" i="66"/>
  <c r="L209" i="66"/>
  <c r="M209" i="66" s="1"/>
  <c r="L210" i="66"/>
  <c r="M210" i="66" s="1"/>
  <c r="L211" i="66"/>
  <c r="M211" i="66"/>
  <c r="L212" i="66"/>
  <c r="M212" i="66"/>
  <c r="L213" i="66"/>
  <c r="M213" i="66"/>
  <c r="L214" i="66"/>
  <c r="M214" i="66"/>
  <c r="L215" i="66"/>
  <c r="M215" i="66" s="1"/>
  <c r="L216" i="66"/>
  <c r="M216" i="66" s="1"/>
  <c r="L217" i="66"/>
  <c r="M217" i="66"/>
  <c r="L218" i="66"/>
  <c r="M218" i="66"/>
  <c r="L219" i="66"/>
  <c r="M219" i="66"/>
  <c r="L220" i="66"/>
  <c r="M220" i="66"/>
  <c r="L221" i="66"/>
  <c r="M221" i="66" s="1"/>
  <c r="L222" i="66"/>
  <c r="M222" i="66" s="1"/>
  <c r="L223" i="66"/>
  <c r="M223" i="66"/>
  <c r="L224" i="66"/>
  <c r="M224" i="66"/>
  <c r="L225" i="66"/>
  <c r="M225" i="66"/>
  <c r="L226" i="66"/>
  <c r="M226" i="66"/>
  <c r="L227" i="66"/>
  <c r="M227" i="66" s="1"/>
  <c r="L228" i="66"/>
  <c r="M228" i="66" s="1"/>
  <c r="L229" i="66"/>
  <c r="M229" i="66"/>
  <c r="L230" i="66"/>
  <c r="M230" i="66"/>
  <c r="L231" i="66"/>
  <c r="M231" i="66"/>
  <c r="L232" i="66"/>
  <c r="M232" i="66"/>
  <c r="L233" i="66"/>
  <c r="M233" i="66" s="1"/>
  <c r="L234" i="66"/>
  <c r="M234" i="66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/>
  <c r="L263" i="66"/>
  <c r="M263" i="66"/>
  <c r="L264" i="66"/>
  <c r="M264" i="66"/>
  <c r="L265" i="66"/>
  <c r="M265" i="66" s="1"/>
  <c r="L266" i="66"/>
  <c r="M266" i="66" s="1"/>
  <c r="L267" i="66"/>
  <c r="M267" i="66" s="1"/>
  <c r="L268" i="66"/>
  <c r="M268" i="66"/>
  <c r="L269" i="66"/>
  <c r="M269" i="66"/>
  <c r="L270" i="66"/>
  <c r="M270" i="66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F7" i="66"/>
  <c r="BV7" i="66"/>
  <c r="BN7" i="66"/>
  <c r="BM7" i="66" s="1"/>
  <c r="BD7" i="66"/>
  <c r="AV7" i="66"/>
  <c r="AU7" i="66" s="1"/>
  <c r="AL7" i="66"/>
  <c r="AD7" i="66"/>
  <c r="AC7" i="66" s="1"/>
  <c r="T7" i="66"/>
  <c r="L7" i="66"/>
  <c r="FG6" i="66"/>
  <c r="FF6" i="66" s="1"/>
  <c r="EY6" i="66"/>
  <c r="EX6" i="66" s="1"/>
  <c r="EP6" i="66"/>
  <c r="EO6" i="66" s="1"/>
  <c r="EH6" i="66"/>
  <c r="EG6" i="66" s="1"/>
  <c r="DX6" i="66"/>
  <c r="DW6" i="66" s="1"/>
  <c r="DP6" i="66"/>
  <c r="DO6" i="66"/>
  <c r="DF6" i="66"/>
  <c r="DE6" i="66" s="1"/>
  <c r="CX6" i="66"/>
  <c r="CW6" i="66" s="1"/>
  <c r="BN6" i="66"/>
  <c r="BM6" i="66" s="1"/>
  <c r="BD6" i="66"/>
  <c r="AV6" i="66"/>
  <c r="AU6" i="66" s="1"/>
  <c r="AL6" i="66"/>
  <c r="T6" i="66"/>
  <c r="L6" i="66"/>
  <c r="EZ5" i="66"/>
  <c r="EQ5" i="66"/>
  <c r="EI5" i="66"/>
  <c r="DY5" i="66"/>
  <c r="DG5" i="66"/>
  <c r="CY5" i="66"/>
  <c r="CO5" i="66"/>
  <c r="BO5" i="66"/>
  <c r="EX4" i="66"/>
  <c r="EV4" i="66"/>
  <c r="EM4" i="66"/>
  <c r="EO4" i="66" s="1"/>
  <c r="EE4" i="66"/>
  <c r="EG4" i="66" s="1"/>
  <c r="DU4" i="66"/>
  <c r="DW4" i="66" s="1"/>
  <c r="DC4" i="66"/>
  <c r="DE4" i="66" s="1"/>
  <c r="CW4" i="66"/>
  <c r="CU4" i="66"/>
  <c r="BK4" i="66"/>
  <c r="BM4" i="66" s="1"/>
  <c r="AS4" i="66"/>
  <c r="AU4" i="66" s="1"/>
  <c r="EZ3" i="66"/>
  <c r="EV3" i="66"/>
  <c r="EQ3" i="66"/>
  <c r="EM3" i="66"/>
  <c r="EI3" i="66"/>
  <c r="EE3" i="66"/>
  <c r="DY3" i="66"/>
  <c r="DU3" i="66"/>
  <c r="DM3" i="66"/>
  <c r="DG3" i="66"/>
  <c r="DC3" i="66"/>
  <c r="CY3" i="66"/>
  <c r="CU3" i="66"/>
  <c r="CW3" i="66" s="1"/>
  <c r="CK3" i="66"/>
  <c r="BO3" i="66"/>
  <c r="BK3" i="66"/>
  <c r="BA3" i="66"/>
  <c r="AS3" i="66"/>
  <c r="AU3" i="66" s="1"/>
  <c r="BS4" i="66" l="1"/>
  <c r="BU4" i="66" s="1"/>
  <c r="CC4" i="66"/>
  <c r="CE4" i="66" s="1"/>
  <c r="DQ5" i="66"/>
  <c r="BC7" i="66"/>
  <c r="BM3" i="66"/>
  <c r="BK6" i="66" s="1"/>
  <c r="A17" i="66" s="1"/>
  <c r="EX3" i="66"/>
  <c r="EV6" i="66" s="1"/>
  <c r="CU6" i="66"/>
  <c r="A21" i="66" s="1"/>
  <c r="BC6" i="66"/>
  <c r="AY2" i="66" s="1"/>
  <c r="DM6" i="66"/>
  <c r="CK4" i="66"/>
  <c r="CM4" i="66" s="1"/>
  <c r="FD4" i="66"/>
  <c r="FF4" i="66" s="1"/>
  <c r="BW3" i="66"/>
  <c r="DO3" i="66"/>
  <c r="FD3" i="66"/>
  <c r="CE7" i="66"/>
  <c r="U9" i="66"/>
  <c r="BU7" i="66"/>
  <c r="CF6" i="66"/>
  <c r="CE6" i="66" s="1"/>
  <c r="CM7" i="66"/>
  <c r="CN9" i="66" s="1"/>
  <c r="B20" i="66" s="1"/>
  <c r="AE9" i="66"/>
  <c r="I3" i="66"/>
  <c r="K3" i="66" s="1"/>
  <c r="I6" i="66" s="1"/>
  <c r="A11" i="66" s="1"/>
  <c r="FH5" i="66"/>
  <c r="CN6" i="66"/>
  <c r="CM6" i="66" s="1"/>
  <c r="AM9" i="66"/>
  <c r="AM7" i="66" s="1"/>
  <c r="BS3" i="66"/>
  <c r="BV6" i="66"/>
  <c r="BU6" i="66" s="1"/>
  <c r="CC3" i="66"/>
  <c r="DQ3" i="66"/>
  <c r="FH3" i="66"/>
  <c r="Q3" i="66"/>
  <c r="I4" i="66"/>
  <c r="K4" i="66" s="1"/>
  <c r="AA3" i="66"/>
  <c r="AC3" i="66" s="1"/>
  <c r="AA6" i="66" s="1"/>
  <c r="A13" i="66" s="1"/>
  <c r="CG3" i="66"/>
  <c r="DM4" i="66"/>
  <c r="DO4" i="66" s="1"/>
  <c r="K6" i="66"/>
  <c r="L9" i="66" s="1"/>
  <c r="B11" i="66" s="1"/>
  <c r="K7" i="66"/>
  <c r="S6" i="66"/>
  <c r="O2" i="66" s="1"/>
  <c r="BW5" i="66"/>
  <c r="BE9" i="66"/>
  <c r="CO3" i="66"/>
  <c r="EG3" i="66"/>
  <c r="EE6" i="66" s="1"/>
  <c r="BA4" i="66"/>
  <c r="BC4" i="66" s="1"/>
  <c r="CG5" i="66"/>
  <c r="AD6" i="66"/>
  <c r="AC6" i="66" s="1"/>
  <c r="Y2" i="66" s="1"/>
  <c r="AQ2" i="66"/>
  <c r="AW9" i="66"/>
  <c r="AS6" i="66"/>
  <c r="A15" i="66" s="1"/>
  <c r="AI4" i="66"/>
  <c r="AK4" i="66" s="1"/>
  <c r="AI3" i="66"/>
  <c r="AK6" i="66"/>
  <c r="AK7" i="66"/>
  <c r="AL9" i="66" s="1"/>
  <c r="B14" i="66" s="1"/>
  <c r="U3" i="66"/>
  <c r="Q4" i="66"/>
  <c r="S4" i="66" s="1"/>
  <c r="M9" i="66"/>
  <c r="G2" i="66"/>
  <c r="S3" i="66"/>
  <c r="BC3" i="66"/>
  <c r="BU3" i="66"/>
  <c r="CM3" i="66"/>
  <c r="CK6" i="66" s="1"/>
  <c r="DE3" i="66"/>
  <c r="DC6" i="66" s="1"/>
  <c r="DW3" i="66"/>
  <c r="DU6" i="66" s="1"/>
  <c r="DX4" i="66" s="1"/>
  <c r="DX2" i="66" s="1"/>
  <c r="EO3" i="66"/>
  <c r="EM6" i="66" s="1"/>
  <c r="EP4" i="66" s="1"/>
  <c r="EP2" i="66" s="1"/>
  <c r="FF3" i="66"/>
  <c r="FD6" i="66" s="1"/>
  <c r="FG4" i="66" s="1"/>
  <c r="FG2" i="66" s="1"/>
  <c r="O4" i="66"/>
  <c r="AQ4" i="66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Y9" i="66"/>
  <c r="T9" i="66"/>
  <c r="B12" i="66" s="1"/>
  <c r="BV9" i="66"/>
  <c r="B18" i="66" s="1"/>
  <c r="DF9" i="66"/>
  <c r="B22" i="66" s="1"/>
  <c r="DX9" i="66"/>
  <c r="EP9" i="66"/>
  <c r="FG9" i="66"/>
  <c r="EY4" i="66" l="1"/>
  <c r="EY2" i="66" s="1"/>
  <c r="EV9" i="66" s="1"/>
  <c r="BS6" i="66"/>
  <c r="BA6" i="66"/>
  <c r="AE7" i="66"/>
  <c r="AE3" i="66"/>
  <c r="AE5" i="66"/>
  <c r="AD9" i="66"/>
  <c r="B13" i="66" s="1"/>
  <c r="AK3" i="66"/>
  <c r="AI6" i="66" s="1"/>
  <c r="A14" i="66" s="1"/>
  <c r="AM5" i="66"/>
  <c r="BE7" i="66"/>
  <c r="BE5" i="66"/>
  <c r="BE3" i="66"/>
  <c r="U7" i="66"/>
  <c r="U5" i="66"/>
  <c r="CE3" i="66"/>
  <c r="CC6" i="66" s="1"/>
  <c r="BD9" i="66"/>
  <c r="B16" i="66" s="1"/>
  <c r="Y4" i="66"/>
  <c r="AM3" i="66"/>
  <c r="AL4" i="66" s="1"/>
  <c r="EH4" i="66"/>
  <c r="EH2" i="66" s="1"/>
  <c r="EE9" i="66" s="1"/>
  <c r="E25" i="66" s="1"/>
  <c r="AY4" i="66"/>
  <c r="AW7" i="66"/>
  <c r="AW5" i="66"/>
  <c r="AW3" i="66"/>
  <c r="AG2" i="66"/>
  <c r="Q6" i="66"/>
  <c r="A12" i="66" s="1"/>
  <c r="G4" i="66"/>
  <c r="M5" i="66"/>
  <c r="M7" i="66"/>
  <c r="M3" i="66"/>
  <c r="L4" i="66" s="1"/>
  <c r="A22" i="66"/>
  <c r="DF4" i="66"/>
  <c r="A18" i="66"/>
  <c r="BV4" i="66"/>
  <c r="A20" i="66"/>
  <c r="CN4" i="66"/>
  <c r="A16" i="66"/>
  <c r="BD4" i="66"/>
  <c r="T4" i="66"/>
  <c r="BN4" i="66"/>
  <c r="AV4" i="66"/>
  <c r="CX4" i="66"/>
  <c r="AD4" i="66"/>
  <c r="A19" i="66" l="1"/>
  <c r="CF4" i="66"/>
  <c r="CF2" i="66" s="1"/>
  <c r="D19" i="66" s="1"/>
  <c r="AG4" i="66"/>
  <c r="C13" i="66"/>
  <c r="AD2" i="66"/>
  <c r="C15" i="66"/>
  <c r="AV2" i="66"/>
  <c r="C17" i="66"/>
  <c r="C19" i="66"/>
  <c r="BN2" i="66"/>
  <c r="C12" i="66"/>
  <c r="T2" i="66"/>
  <c r="D12" i="66" s="1"/>
  <c r="C16" i="66"/>
  <c r="BD2" i="66"/>
  <c r="D16" i="66" s="1"/>
  <c r="C20" i="66"/>
  <c r="CN2" i="66"/>
  <c r="D20" i="66" s="1"/>
  <c r="C14" i="66"/>
  <c r="AL2" i="66"/>
  <c r="D14" i="66" s="1"/>
  <c r="C18" i="66"/>
  <c r="BV2" i="66"/>
  <c r="D18" i="66" s="1"/>
  <c r="C22" i="66"/>
  <c r="DF2" i="66"/>
  <c r="D22" i="66" s="1"/>
  <c r="C21" i="66"/>
  <c r="CX2" i="66"/>
  <c r="C11" i="66"/>
  <c r="L2" i="66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CC9" i="66" l="1"/>
  <c r="E19" i="66" s="1"/>
  <c r="D15" i="66"/>
  <c r="AS9" i="66"/>
  <c r="E15" i="66" s="1"/>
  <c r="D13" i="66"/>
  <c r="AA9" i="66"/>
  <c r="E13" i="66" s="1"/>
  <c r="D11" i="66"/>
  <c r="I9" i="66"/>
  <c r="E11" i="66" s="1"/>
  <c r="D21" i="66"/>
  <c r="CU9" i="66"/>
  <c r="E21" i="66" s="1"/>
  <c r="D17" i="66"/>
  <c r="BK9" i="66"/>
  <c r="E17" i="66" s="1"/>
  <c r="DW6" i="64"/>
  <c r="DX9" i="64" s="1"/>
  <c r="EP9" i="64"/>
  <c r="FF6" i="64"/>
  <c r="FG9" i="64" s="1"/>
  <c r="EX6" i="64"/>
  <c r="EY9" i="64" s="1"/>
  <c r="EG6" i="64"/>
  <c r="EH9" i="64" s="1"/>
  <c r="DO6" i="64"/>
  <c r="DP9" i="64" s="1"/>
  <c r="A3" i="63"/>
  <c r="FG11" i="64" l="1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I3" i="64"/>
  <c r="L9" i="64"/>
  <c r="B11" i="64" s="1"/>
  <c r="A2" i="63" a="1"/>
  <c r="DM6" i="64" l="1"/>
  <c r="AQ2" i="64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W5" i="64"/>
  <c r="AC3" i="64"/>
  <c r="Y4" i="64" s="1"/>
  <c r="M7" i="64"/>
  <c r="M5" i="64"/>
  <c r="M3" i="64"/>
  <c r="I6" i="64"/>
  <c r="A11" i="64" s="1"/>
  <c r="A2" i="63"/>
  <c r="AI6" i="64" l="1"/>
  <c r="A14" i="64" s="1"/>
  <c r="AA6" i="64"/>
  <c r="A13" i="64" s="1"/>
  <c r="AY4" i="64"/>
  <c r="O4" i="64"/>
  <c r="AV4" i="64"/>
  <c r="EY4" i="64"/>
  <c r="EY2" i="64" s="1"/>
  <c r="EV9" i="64" s="1"/>
  <c r="AG2" i="64"/>
  <c r="CF4" i="64"/>
  <c r="CF2" i="64" s="1"/>
  <c r="CC9" i="64" s="1"/>
  <c r="BD4" i="64"/>
  <c r="BD2" i="64" s="1"/>
  <c r="D16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2" i="64" l="1"/>
  <c r="D15" i="64"/>
  <c r="C16" i="64"/>
  <c r="C20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J2" i="63"/>
  <c r="E3" i="63"/>
  <c r="E2" i="63"/>
  <c r="B2" i="63"/>
  <c r="I3" i="63"/>
  <c r="H3" i="63"/>
  <c r="D2" i="63"/>
  <c r="L2" i="63"/>
  <c r="D3" i="63"/>
  <c r="L3" i="63"/>
  <c r="C2" i="63"/>
  <c r="G2" i="63"/>
  <c r="G3" i="63"/>
  <c r="C3" i="63"/>
  <c r="B3" i="63"/>
  <c r="I2" i="63"/>
  <c r="H2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<sst xmlns="http://schemas.openxmlformats.org/spreadsheetml/2006/main" count="826" uniqueCount="46">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</sst>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6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6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6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6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6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6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-0.38969336957654316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-0.38751161820123453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-0.38597431540617277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-0.1234567901234568</v>
      </c>
      <c r="M11">
        <f>L11*G11</f>
        <v>-0.14998765432098768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4.1059382716049377</v>
      </c>
      <c r="U11">
        <f>T11*O11</f>
        <v>-0.38969336957654316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H388"/>
  <sheetViews>
    <sheetView tabSelected="1" topLeftCell="AN1" workbookViewId="0">
      <selection activeCell="BD11" sqref="BD11:BE388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454.99747252736944</v>
      </c>
      <c r="H2" s="2"/>
      <c r="I2" s="6" t="s">
        <v>12</v>
      </c>
      <c r="J2" s="2"/>
      <c r="K2" s="7" t="s">
        <v>13</v>
      </c>
      <c r="L2" s="3">
        <f>L4*I6*L9/100*100</f>
        <v>28.42981029135802</v>
      </c>
      <c r="M2" s="8" t="s">
        <v>14</v>
      </c>
      <c r="N2" s="9"/>
      <c r="O2" s="2">
        <f>ABS(S7-S6)/ABS(T7-T6)*1000</f>
        <v>464.29155978247155</v>
      </c>
      <c r="P2" s="2"/>
      <c r="Q2" s="6" t="s">
        <v>15</v>
      </c>
      <c r="R2" s="2"/>
      <c r="S2" s="7" t="s">
        <v>13</v>
      </c>
      <c r="T2" s="3">
        <f>T4*Q6*T9/100*100</f>
        <v>28.297354109876537</v>
      </c>
      <c r="U2" s="8" t="s">
        <v>14</v>
      </c>
      <c r="X2" s="9"/>
      <c r="Y2" s="2">
        <f>ABS(AC7-AC6)/ABS(AD7-AD6)*1000</f>
        <v>664.17742622985702</v>
      </c>
      <c r="Z2" s="2"/>
      <c r="AA2" s="6" t="s">
        <v>12</v>
      </c>
      <c r="AB2" s="2"/>
      <c r="AC2" s="7" t="s">
        <v>13</v>
      </c>
      <c r="AD2" s="3">
        <f>AD4*AA6*AD9/100*100</f>
        <v>28.45206018888889</v>
      </c>
      <c r="AE2" s="8" t="s">
        <v>14</v>
      </c>
      <c r="AF2" s="9"/>
      <c r="AG2" s="2">
        <f>ABS(AK7-AK6)/ABS(AL7-AL6)*1000</f>
        <v>711.59004590134157</v>
      </c>
      <c r="AH2" s="2"/>
      <c r="AI2" s="6" t="s">
        <v>15</v>
      </c>
      <c r="AJ2" s="2"/>
      <c r="AK2" s="7" t="s">
        <v>13</v>
      </c>
      <c r="AL2" s="3">
        <f>AL4*AI6*AL9/100*100</f>
        <v>28.370395718518516</v>
      </c>
      <c r="AM2" s="8" t="s">
        <v>14</v>
      </c>
      <c r="AP2" s="9"/>
      <c r="AQ2" s="2">
        <f>ABS(AU7-AU6)/ABS(AV7-AV6)*1000</f>
        <v>321.14707377043317</v>
      </c>
      <c r="AR2" s="2"/>
      <c r="AS2" s="6" t="s">
        <v>12</v>
      </c>
      <c r="AT2" s="2"/>
      <c r="AU2" s="7" t="s">
        <v>13</v>
      </c>
      <c r="AV2" s="3">
        <f>AV4*AS6*AV9/100*100</f>
        <v>28.436882833333339</v>
      </c>
      <c r="AW2" s="8" t="s">
        <v>14</v>
      </c>
      <c r="AX2" s="9"/>
      <c r="AY2" s="2">
        <f>ABS(BC7-BC6)/ABS(BD7-BD6)*1000</f>
        <v>630.94857049213465</v>
      </c>
      <c r="AZ2" s="2"/>
      <c r="BA2" s="6" t="s">
        <v>15</v>
      </c>
      <c r="BB2" s="2"/>
      <c r="BC2" s="7" t="s">
        <v>13</v>
      </c>
      <c r="BD2" s="3">
        <f>BD4*BA6*BD9/100*100</f>
        <v>28.366593024691351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1.77887</v>
      </c>
      <c r="J3" s="2"/>
      <c r="K3" s="10">
        <f>INDEX(L11:L1056,MATCH(I3,K11:K1056,0))</f>
        <v>-0.58134074074074071</v>
      </c>
      <c r="L3" s="26" t="s">
        <v>16</v>
      </c>
      <c r="M3" s="11">
        <f>M9</f>
        <v>28.42981029135802</v>
      </c>
      <c r="N3" s="9"/>
      <c r="O3" s="2" t="s">
        <v>44</v>
      </c>
      <c r="P3" s="2"/>
      <c r="Q3" s="2">
        <f>INDEX(S11:S1056,MATCH(0,T11:T1056,-1))</f>
        <v>1.7675799999999999</v>
      </c>
      <c r="R3" s="2"/>
      <c r="S3" s="10">
        <f>INDEX(T11:T1056,MATCH(Q3,S11:S1056,0))</f>
        <v>2.9587037037037036</v>
      </c>
      <c r="T3" s="26" t="s">
        <v>16</v>
      </c>
      <c r="U3" s="11">
        <f>U9</f>
        <v>28.29735410987654</v>
      </c>
      <c r="X3" s="9"/>
      <c r="Y3" s="2" t="s">
        <v>44</v>
      </c>
      <c r="Z3" s="2"/>
      <c r="AA3" s="2">
        <f>INDEX(AC11:AC856,MATCH(0,AD11:AD856,1))</f>
        <v>1.7791699999999999</v>
      </c>
      <c r="AB3" s="2"/>
      <c r="AC3" s="10">
        <f>INDEX(AD11:AD1056,MATCH(AA3,AC11:AC1056,0))</f>
        <v>-7.8818271604938257</v>
      </c>
      <c r="AD3" s="26" t="s">
        <v>16</v>
      </c>
      <c r="AE3" s="11">
        <f>AE9</f>
        <v>28.452060188888886</v>
      </c>
      <c r="AF3" s="9"/>
      <c r="AG3" s="2" t="s">
        <v>44</v>
      </c>
      <c r="AH3" s="2"/>
      <c r="AI3" s="2">
        <f>INDEX(AK11:AK1056,MATCH(0,AL11:AL1056,-1))</f>
        <v>1.7678799999999999</v>
      </c>
      <c r="AJ3" s="2"/>
      <c r="AK3" s="10">
        <f>INDEX(AL11:AL1056,MATCH(AI3,AK11:AK1056,0))</f>
        <v>0.45791481481481477</v>
      </c>
      <c r="AL3" s="26" t="s">
        <v>16</v>
      </c>
      <c r="AM3" s="11">
        <f>AM9</f>
        <v>28.370395718518516</v>
      </c>
      <c r="AP3" s="9"/>
      <c r="AQ3" s="2" t="s">
        <v>44</v>
      </c>
      <c r="AR3" s="2"/>
      <c r="AS3" s="2">
        <f>INDEX(AU11:AU856,MATCH(0,AV11:AV856,1))</f>
        <v>1.77399</v>
      </c>
      <c r="AT3" s="2"/>
      <c r="AU3" s="10">
        <f>INDEX(AV11:AV1056,MATCH(AS3,AU11:AU1056,0))</f>
        <v>-3.6881111111111107</v>
      </c>
      <c r="AV3" s="26" t="s">
        <v>16</v>
      </c>
      <c r="AW3" s="11">
        <f>AW9</f>
        <v>28.436882833333332</v>
      </c>
      <c r="AX3" s="9"/>
      <c r="AY3" s="2" t="s">
        <v>44</v>
      </c>
      <c r="AZ3" s="2"/>
      <c r="BA3" s="2">
        <f>INDEX(BC11:BC1056,MATCH(0,BD11:BD1056,-1))</f>
        <v>1.7629999999999999</v>
      </c>
      <c r="BB3" s="2"/>
      <c r="BC3" s="10">
        <f>INDEX(BD11:BD1056,MATCH(BA3,BC11:BC1056,0))</f>
        <v>2.7774814814814812</v>
      </c>
      <c r="BD3" s="26" t="s">
        <v>16</v>
      </c>
      <c r="BE3" s="11">
        <f>BE9</f>
        <v>28.366593024691351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1.2398214973767152</v>
      </c>
      <c r="H4" s="2"/>
      <c r="I4" s="2">
        <f>INDEX(K11:K1000,1+MATCH(0,L11:L856,1))</f>
        <v>1.77338</v>
      </c>
      <c r="J4" s="2"/>
      <c r="K4" s="10">
        <f>INDEX(L11:L1056,MATCH(I4,K11:K1056,0))</f>
        <v>3.8467160493827159</v>
      </c>
      <c r="L4" s="25">
        <f>M3/(I6*L9)</f>
        <v>0.78595682259101207</v>
      </c>
      <c r="M4" s="8" t="s">
        <v>17</v>
      </c>
      <c r="N4" s="9"/>
      <c r="O4" s="2">
        <f>ABS(Q3-Q4)/ABS(S3-S4)*1000</f>
        <v>0.96559777019417892</v>
      </c>
      <c r="P4" s="2"/>
      <c r="Q4" s="2">
        <f>INDEX(S11:S856,1+MATCH(0,T11:T856,-1))</f>
        <v>1.7724599999999999</v>
      </c>
      <c r="R4" s="2"/>
      <c r="S4" s="10">
        <f>INDEX(T11:T856,MATCH(Q4,S11:S856,0))</f>
        <v>-2.09516049382716</v>
      </c>
      <c r="T4" s="25">
        <f>U3/(Q6*T9)</f>
        <v>0.78568810053533833</v>
      </c>
      <c r="U4" s="8" t="s">
        <v>17</v>
      </c>
      <c r="X4" s="9"/>
      <c r="Y4" s="2">
        <f>ABS(AA3-AA4)/ABS(AC3-AC4)*1000</f>
        <v>0.60680947444386113</v>
      </c>
      <c r="Z4" s="2"/>
      <c r="AA4" s="2">
        <f>INDEX(AC11:AC1000,1+MATCH(0,AD11:AD856,1))</f>
        <v>1.7742899999999999</v>
      </c>
      <c r="AB4" s="2"/>
      <c r="AC4" s="10">
        <f>INDEX(AD11:AD1056,MATCH(AA4,AC11:AC1056,0))</f>
        <v>0.1602358024691358</v>
      </c>
      <c r="AD4" s="25">
        <f>AE3/(AA6*AD9)</f>
        <v>0.78482759719191475</v>
      </c>
      <c r="AE4" s="8" t="s">
        <v>17</v>
      </c>
      <c r="AF4" s="9"/>
      <c r="AG4" s="2">
        <f>ABS(AI3-AI4)/ABS(AK3-AK4)*1000</f>
        <v>0.6280589235167362</v>
      </c>
      <c r="AH4" s="2"/>
      <c r="AI4" s="2">
        <f>INDEX(AK11:AK856,1+MATCH(0,AL11:AL856,-1))</f>
        <v>1.7718499999999999</v>
      </c>
      <c r="AJ4" s="2"/>
      <c r="AK4" s="10">
        <f>INDEX(AL11:AL856,MATCH(AI4,AK11:AK856,0))</f>
        <v>-5.8631481481481478</v>
      </c>
      <c r="AL4" s="25">
        <f>AM3/(AI6*AL9)</f>
        <v>0.78511612563772315</v>
      </c>
      <c r="AM4" s="8" t="s">
        <v>17</v>
      </c>
      <c r="AP4" s="9"/>
      <c r="AQ4" s="2">
        <f>ABS(AS3-AS4)/ABS(AU3-AU4)*1000</f>
        <v>0.916393257155797</v>
      </c>
      <c r="AR4" s="2"/>
      <c r="AS4" s="2">
        <f>INDEX(AU11:AU1000,1+MATCH(0,AV11:AV856,1))</f>
        <v>1.7684899999999999</v>
      </c>
      <c r="AT4" s="2"/>
      <c r="AU4" s="10">
        <f>INDEX(AV11:AV1056,MATCH(AS4,AU11:AU1056,0))</f>
        <v>2.3136790123456787</v>
      </c>
      <c r="AV4" s="25">
        <f>AW3/(AS6*AV9)</f>
        <v>0.78525474975313792</v>
      </c>
      <c r="AW4" s="8" t="s">
        <v>17</v>
      </c>
      <c r="AX4" s="9"/>
      <c r="AY4" s="2">
        <f>ABS(BA3-BA4)/ABS(BC3-BC4)*1000</f>
        <v>0.94123762120267807</v>
      </c>
      <c r="AZ4" s="2"/>
      <c r="BA4" s="2">
        <f>INDEX(BC11:BC856,1+MATCH(0,BD11:BD856,-1))</f>
        <v>1.7672699999999999</v>
      </c>
      <c r="BB4" s="2"/>
      <c r="BC4" s="10">
        <f>INDEX(BD11:BD856,MATCH(BA4,BC11:BC856,0))</f>
        <v>-1.7590987654320984</v>
      </c>
      <c r="BD4" s="25">
        <f>BE3/(BA6*BD9)</f>
        <v>0.78486303746956465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17.455308641975307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17.553209876543207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17.523086419753085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17.598518518518517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17.568271604938271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17.651234567901231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1.7781492412523288</v>
      </c>
      <c r="J6" s="25"/>
      <c r="K6" s="2">
        <f>INDEX(K11:K1056,MATCH(L6,L11:L1056,0))</f>
        <v>2.31934E-3</v>
      </c>
      <c r="L6" s="10">
        <f>INDEX(L11:L1056,MATCH(0,K11:K1056,-1))</f>
        <v>20.337530864197529</v>
      </c>
      <c r="M6" s="8" t="s">
        <v>22</v>
      </c>
      <c r="N6" s="9"/>
      <c r="O6" s="2"/>
      <c r="P6" s="2"/>
      <c r="Q6" s="27">
        <f>(Q3-Q4)/(S3-S4)*(-S4)+Q4</f>
        <v>1.7704369176989614</v>
      </c>
      <c r="R6" s="27"/>
      <c r="S6" s="2">
        <f>INDEX(S11:S1056,MATCH(T6,T11:T1056,0))</f>
        <v>-4.4494599999999997E-3</v>
      </c>
      <c r="T6" s="10">
        <f>INDEX(T11:T1056,MATCH(0,S11:S1056,1))</f>
        <v>20.352592592592593</v>
      </c>
      <c r="U6" s="8" t="s">
        <v>22</v>
      </c>
      <c r="X6" s="9"/>
      <c r="Y6" s="2"/>
      <c r="Z6" s="2"/>
      <c r="AA6" s="25">
        <f>(AA3-AA4)/(AC3-AC4)*(-AC4)+AA4</f>
        <v>1.7743872326030834</v>
      </c>
      <c r="AB6" s="25"/>
      <c r="AC6" s="2">
        <f>INDEX(AC11:AC1056,MATCH(AD6,AD11:AD1056,0))</f>
        <v>2.1026600000000001E-3</v>
      </c>
      <c r="AD6" s="10">
        <f>INDEX(AD11:AD1056,MATCH(0,AC11:AC1056,-1))</f>
        <v>20.427901234567901</v>
      </c>
      <c r="AE6" s="8" t="s">
        <v>22</v>
      </c>
      <c r="AF6" s="9"/>
      <c r="AG6" s="2"/>
      <c r="AH6" s="2"/>
      <c r="AI6" s="27">
        <f>(AI3-AI4)/(AK3-AK4)*(-AK4)+AI4</f>
        <v>1.7681675974856548</v>
      </c>
      <c r="AJ6" s="27"/>
      <c r="AK6" s="2">
        <f>INDEX(AK11:AK1056,MATCH(AL6,AL11:AL1056,0))</f>
        <v>-4.54712E-3</v>
      </c>
      <c r="AL6" s="10">
        <f>INDEX(AL11:AL1056,MATCH(0,AK11:AK1056,1))</f>
        <v>20.442962962962962</v>
      </c>
      <c r="AM6" s="8" t="s">
        <v>22</v>
      </c>
      <c r="AP6" s="9"/>
      <c r="AQ6" s="2"/>
      <c r="AR6" s="2"/>
      <c r="AS6" s="25">
        <f>(AS3-AS4)/(AU3-AU4)*(-AU4)+AS4</f>
        <v>1.7706102398461363</v>
      </c>
      <c r="AT6" s="25"/>
      <c r="AU6" s="2">
        <f>INDEX(AU11:AU1056,MATCH(AV6,AV11:AV1056,0))</f>
        <v>1.86462E-3</v>
      </c>
      <c r="AV6" s="10">
        <f>INDEX(AV11:AV1056,MATCH(0,AU11:AU1056,-1))</f>
        <v>20.44679012345679</v>
      </c>
      <c r="AW6" s="8" t="s">
        <v>22</v>
      </c>
      <c r="AX6" s="9"/>
      <c r="AY6" s="2"/>
      <c r="AZ6" s="2"/>
      <c r="BA6" s="27">
        <f>(BA3-BA4)/(BC3-BC4)*(-BC4)+BA4</f>
        <v>1.7656142700625641</v>
      </c>
      <c r="BB6" s="27"/>
      <c r="BC6" s="2">
        <f>INDEX(BC11:BC1056,MATCH(BD6,BD11:BD1056,0))</f>
        <v>-4.37317E-3</v>
      </c>
      <c r="BD6" s="10">
        <f>INDEX(BD11:BD1056,MATCH(0,BC11:BC1056,1))</f>
        <v>20.476913580246908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-2.7923599999999998E-3</v>
      </c>
      <c r="L7" s="10">
        <f>INDEX(L11:L856,1+MATCH(0,K11:K856,-1))</f>
        <v>20.348765432098766</v>
      </c>
      <c r="M7" s="12">
        <f>INDEX(K11:K1056,MATCH(M9,M11:M1056,0))</f>
        <v>1.6274999999999999</v>
      </c>
      <c r="N7" s="9"/>
      <c r="O7" s="2"/>
      <c r="P7" s="2"/>
      <c r="Q7" s="2"/>
      <c r="R7" s="2"/>
      <c r="S7" s="2">
        <f>INDEX(S11:S1056,MATCH(T7,T11:T1056,0))</f>
        <v>8.2397500000000001E-4</v>
      </c>
      <c r="T7" s="10">
        <f>INDEX(T11:T1056,1+MATCH(0,S11:S1056,1))</f>
        <v>20.341234567901232</v>
      </c>
      <c r="U7" s="12">
        <f>INDEX(S11:S1056,MATCH(U9,U11:U1056,0))</f>
        <v>1.6110199999999999</v>
      </c>
      <c r="X7" s="9"/>
      <c r="Y7" s="2"/>
      <c r="Z7" s="2"/>
      <c r="AA7" s="2"/>
      <c r="AB7" s="2"/>
      <c r="AC7" s="2">
        <f>INDEX(AC11:AC856,MATCH(AD7,AD11:AD856,1))</f>
        <v>-2.89917E-3</v>
      </c>
      <c r="AD7" s="10">
        <f>INDEX(AD11:AD856,1+MATCH(0,AC11:AC856,-1))</f>
        <v>20.435432098765428</v>
      </c>
      <c r="AE7" s="12">
        <f>INDEX(AC11:AC1056,MATCH(AE9,AE11:AE1056,0))</f>
        <v>1.62323</v>
      </c>
      <c r="AF7" s="9"/>
      <c r="AG7" s="2"/>
      <c r="AH7" s="2"/>
      <c r="AI7" s="2"/>
      <c r="AJ7" s="2"/>
      <c r="AK7" s="2">
        <f>INDEX(AK11:AK1056,MATCH(AL7,AL11:AL1056,0))</f>
        <v>8.1176800000000004E-4</v>
      </c>
      <c r="AL7" s="10">
        <f>INDEX(AL11:AL1056,1+MATCH(0,AK11:AK1056,1))</f>
        <v>20.435432098765428</v>
      </c>
      <c r="AM7" s="12">
        <f>INDEX(AK11:AK1056,MATCH(AM9,AM11:AM1056,0))</f>
        <v>1.6113299999999999</v>
      </c>
      <c r="AP7" s="9"/>
      <c r="AQ7" s="2"/>
      <c r="AR7" s="2"/>
      <c r="AS7" s="2"/>
      <c r="AT7" s="2"/>
      <c r="AU7" s="2">
        <f>INDEX(AU11:AU856,MATCH(AV7,AV11:AV856,1))</f>
        <v>-2.97241E-3</v>
      </c>
      <c r="AV7" s="10">
        <f>INDEX(AV11:AV856,1+MATCH(0,AU11:AU856,-1))</f>
        <v>20.461851851851854</v>
      </c>
      <c r="AW7" s="12">
        <f>INDEX(AU11:AU1056,MATCH(AW9,AW11:AW1056,0))</f>
        <v>1.6180399999999999</v>
      </c>
      <c r="AX7" s="9"/>
      <c r="AY7" s="2"/>
      <c r="AZ7" s="2"/>
      <c r="BA7" s="2"/>
      <c r="BB7" s="2"/>
      <c r="BC7" s="2">
        <f>INDEX(BC11:BC1056,MATCH(BD7,BD11:BD1056,0))</f>
        <v>3.7841799999999999E-4</v>
      </c>
      <c r="BD7" s="10">
        <f>INDEX(BD11:BD1056,1+MATCH(0,BC11:BC1056,1))</f>
        <v>20.469382716049381</v>
      </c>
      <c r="BE7" s="12">
        <f>INDEX(BC11:BC1056,MATCH(BE9,BE11:BE1056,0))</f>
        <v>1.6064499999999999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0.46590596322672972</v>
      </c>
      <c r="J9" s="2"/>
      <c r="K9" s="2"/>
      <c r="L9" s="3">
        <f>(L6-L7)/(K6-K7)*(-K7)+L7</f>
        <v>20.342628343062888</v>
      </c>
      <c r="M9" s="15">
        <f>MAX(M11:M1056)</f>
        <v>28.42981029135802</v>
      </c>
      <c r="N9" s="9"/>
      <c r="O9" s="2"/>
      <c r="P9" s="2"/>
      <c r="Q9" s="2"/>
      <c r="R9" s="2"/>
      <c r="S9" s="2"/>
      <c r="T9" s="3">
        <f>(T6-T7)/(S6-S7)*(-S7)+T7</f>
        <v>20.34300926094193</v>
      </c>
      <c r="U9" s="15">
        <f>MAX(U11:U1056)</f>
        <v>28.29735410987654</v>
      </c>
      <c r="X9" s="9"/>
      <c r="Y9" s="2"/>
      <c r="Z9" s="2"/>
      <c r="AA9" s="14">
        <f>(MAX(AD2,AL2)-MIN(AD2,AL2))/MAX(AD2,AL2)%</f>
        <v>0.28702480533295571</v>
      </c>
      <c r="AB9" s="2"/>
      <c r="AC9" s="2"/>
      <c r="AD9" s="3">
        <f>(AD6-AD7)/(AC6-AC7)*(-AC7)+AD7</f>
        <v>20.431067045263902</v>
      </c>
      <c r="AE9" s="15">
        <f>MAX(AE11:AE1056)</f>
        <v>28.452060188888886</v>
      </c>
      <c r="AF9" s="9"/>
      <c r="AG9" s="2"/>
      <c r="AH9" s="2"/>
      <c r="AI9" s="2"/>
      <c r="AJ9" s="2"/>
      <c r="AK9" s="2"/>
      <c r="AL9" s="3">
        <f>(AL6-AL7)/(AK6-AK7)*(-AK7)+AL7</f>
        <v>20.43657287919747</v>
      </c>
      <c r="AM9" s="15">
        <f>MAX(AM11:AM1056)</f>
        <v>28.370395718518516</v>
      </c>
      <c r="AP9" s="9"/>
      <c r="AQ9" s="2"/>
      <c r="AR9" s="2"/>
      <c r="AS9" s="14">
        <f>(MAX(AV2,BD2)-MIN(AV2,BD2))/MAX(AV2,BD2)%</f>
        <v>0.24717831786961922</v>
      </c>
      <c r="AT9" s="2"/>
      <c r="AU9" s="2"/>
      <c r="AV9" s="3">
        <f>(AV6-AV7)/(AU6-AU7)*(-AU7)+AV7</f>
        <v>20.452596248289591</v>
      </c>
      <c r="AW9" s="15">
        <f>MAX(AW11:AW1056)</f>
        <v>28.436882833333332</v>
      </c>
      <c r="AX9" s="9"/>
      <c r="AY9" s="2"/>
      <c r="AZ9" s="2"/>
      <c r="BA9" s="2"/>
      <c r="BB9" s="2"/>
      <c r="BC9" s="2"/>
      <c r="BD9" s="3">
        <f>(BD6-BD7)/(BC6-BC7)*(-BC7)+BD7</f>
        <v>20.469982476501656</v>
      </c>
      <c r="BE9" s="15">
        <f>MAX(BE11:BE1056)</f>
        <v>28.366593024691351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1.7781492412523288</v>
      </c>
      <c r="B11" s="18">
        <f>IFERROR(L9,0)</f>
        <v>20.342628343062888</v>
      </c>
      <c r="C11" s="19">
        <f>IFERROR(L4,0)</f>
        <v>0.78595682259101207</v>
      </c>
      <c r="D11" s="20">
        <f>IFERROR(L2,0)</f>
        <v>28.42981029135802</v>
      </c>
      <c r="E11" s="20">
        <f>IFERROR(I9,0)</f>
        <v>0.46590596322672972</v>
      </c>
      <c r="F11" s="9"/>
      <c r="G11" s="21">
        <v>1.7948900000000001</v>
      </c>
      <c r="H11" s="21">
        <v>4.9923900000000003</v>
      </c>
      <c r="I11" s="21">
        <v>2.8695700000000001E-2</v>
      </c>
      <c r="J11" s="21">
        <v>1</v>
      </c>
      <c r="K11" s="21">
        <v>1.79504</v>
      </c>
      <c r="L11">
        <f>-I11/$F$2*1000</f>
        <v>-35.426790123456783</v>
      </c>
      <c r="M11">
        <f>L11*G11</f>
        <v>-63.587191324691346</v>
      </c>
      <c r="N11" s="9"/>
      <c r="O11" s="21">
        <v>-9.49097E-2</v>
      </c>
      <c r="P11" s="21">
        <v>8.8115799999999993</v>
      </c>
      <c r="Q11" s="21">
        <v>-1.66199E-2</v>
      </c>
      <c r="R11" s="21">
        <v>1</v>
      </c>
      <c r="S11" s="21">
        <v>-9.5275899999999997E-2</v>
      </c>
      <c r="T11">
        <f>-Q11/$F$2*1000</f>
        <v>20.518395061728395</v>
      </c>
      <c r="U11">
        <f>T11*O11</f>
        <v>-1.9473947197901234</v>
      </c>
      <c r="V11" s="22"/>
      <c r="W11" s="23"/>
      <c r="X11" s="9"/>
      <c r="Y11" s="21">
        <v>1.7948900000000001</v>
      </c>
      <c r="Z11" s="21">
        <v>14.3711</v>
      </c>
      <c r="AA11" s="21">
        <v>3.8546799999999999E-2</v>
      </c>
      <c r="AB11" s="21">
        <v>1</v>
      </c>
      <c r="AC11" s="21">
        <v>1.79474</v>
      </c>
      <c r="AD11">
        <f>-AA11/$F$2*1000</f>
        <v>-47.58864197530864</v>
      </c>
      <c r="AE11">
        <f>AD11*Y11</f>
        <v>-85.416377595061732</v>
      </c>
      <c r="AF11" s="9"/>
      <c r="AG11" s="21">
        <v>-9.49097E-2</v>
      </c>
      <c r="AH11" s="21">
        <v>18.190300000000001</v>
      </c>
      <c r="AI11" s="21">
        <v>-1.6711400000000001E-2</v>
      </c>
      <c r="AJ11" s="21">
        <v>1</v>
      </c>
      <c r="AK11" s="21">
        <v>-9.5397899999999994E-2</v>
      </c>
      <c r="AL11">
        <f>-AI11/$F$2*1000</f>
        <v>20.631358024691359</v>
      </c>
      <c r="AM11">
        <f>AL11*AG11</f>
        <v>-1.9581160007160494</v>
      </c>
      <c r="AP11" s="9"/>
      <c r="AQ11" s="21">
        <v>1.7948900000000001</v>
      </c>
      <c r="AR11" s="21">
        <v>23.707799999999999</v>
      </c>
      <c r="AS11" s="21">
        <v>4.51294E-2</v>
      </c>
      <c r="AT11" s="21">
        <v>1</v>
      </c>
      <c r="AU11" s="21">
        <v>1.79474</v>
      </c>
      <c r="AV11">
        <f>-AS11/$F$2*1000</f>
        <v>-55.715308641975305</v>
      </c>
      <c r="AW11">
        <f>AV11*AQ11</f>
        <v>-100.00285032839506</v>
      </c>
      <c r="AX11" s="9"/>
      <c r="AY11" s="21">
        <v>-9.49097E-2</v>
      </c>
      <c r="AZ11" s="21">
        <v>27.527000000000001</v>
      </c>
      <c r="BA11" s="21">
        <v>-1.67175E-2</v>
      </c>
      <c r="BB11" s="21">
        <v>1</v>
      </c>
      <c r="BC11" s="21">
        <v>-9.5397899999999994E-2</v>
      </c>
      <c r="BD11">
        <f>-BA11/$F$2*1000</f>
        <v>20.638888888888886</v>
      </c>
      <c r="BE11">
        <f>BD11*AY11</f>
        <v>-1.9588307527777775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1.7704369176989614</v>
      </c>
      <c r="B12" s="18">
        <f>IFERROR(T9,0)</f>
        <v>20.34300926094193</v>
      </c>
      <c r="C12" s="19">
        <f>IFERROR(T4,0)</f>
        <v>0.78568810053533833</v>
      </c>
      <c r="D12" s="20">
        <f>IFERROR(T2,0)</f>
        <v>28.297354109876537</v>
      </c>
      <c r="E12" s="20"/>
      <c r="F12" s="9"/>
      <c r="G12" s="21">
        <v>1.78986</v>
      </c>
      <c r="H12" s="21">
        <v>5.0024600000000001</v>
      </c>
      <c r="I12" s="21">
        <v>1.7251599999999999E-2</v>
      </c>
      <c r="J12" s="21">
        <v>2</v>
      </c>
      <c r="K12" s="21">
        <v>1.78955</v>
      </c>
      <c r="L12">
        <f t="shared" ref="L12:L75" si="0">-I12/$F$2*1000</f>
        <v>-21.298271604938272</v>
      </c>
      <c r="M12">
        <f t="shared" ref="M12:M75" si="1">L12*G12</f>
        <v>-38.120924414814816</v>
      </c>
      <c r="N12" s="9"/>
      <c r="O12" s="21">
        <v>-8.9874300000000004E-2</v>
      </c>
      <c r="P12" s="21">
        <v>8.82165</v>
      </c>
      <c r="Q12" s="21">
        <v>-1.6613800000000001E-2</v>
      </c>
      <c r="R12" s="21">
        <v>2</v>
      </c>
      <c r="S12" s="21">
        <v>-9.0362499999999998E-2</v>
      </c>
      <c r="T12">
        <f t="shared" ref="T12:T75" si="2">-Q12/$F$2*1000</f>
        <v>20.510864197530864</v>
      </c>
      <c r="U12">
        <f t="shared" ref="U12:U75" si="3">T12*O12</f>
        <v>-1.8433995621481483</v>
      </c>
      <c r="V12" s="22"/>
      <c r="W12" s="23"/>
      <c r="X12" s="9"/>
      <c r="Y12" s="21">
        <v>1.78986</v>
      </c>
      <c r="Z12" s="21">
        <v>14.3812</v>
      </c>
      <c r="AA12" s="21">
        <v>2.66144E-2</v>
      </c>
      <c r="AB12" s="21">
        <v>2</v>
      </c>
      <c r="AC12" s="21">
        <v>1.78986</v>
      </c>
      <c r="AD12">
        <f t="shared" ref="AD12:AD75" si="4">-AA12/$F$2*1000</f>
        <v>-32.85728395061728</v>
      </c>
      <c r="AE12">
        <f t="shared" ref="AE12:AE75" si="5">AD12*Y12</f>
        <v>-58.809938251851847</v>
      </c>
      <c r="AF12" s="9"/>
      <c r="AG12" s="21">
        <v>-8.9874300000000004E-2</v>
      </c>
      <c r="AH12" s="21">
        <v>18.200299999999999</v>
      </c>
      <c r="AI12" s="21">
        <v>-1.6708400000000002E-2</v>
      </c>
      <c r="AJ12" s="21">
        <v>2</v>
      </c>
      <c r="AK12" s="21">
        <v>-9.0240500000000001E-2</v>
      </c>
      <c r="AL12">
        <f t="shared" ref="AL12:AL75" si="6">-AI12/$F$2*1000</f>
        <v>20.627654320987656</v>
      </c>
      <c r="AM12">
        <f t="shared" ref="AM12:AM75" si="7">AL12*AG12</f>
        <v>-1.853895992740741</v>
      </c>
      <c r="AP12" s="9"/>
      <c r="AQ12" s="21">
        <v>1.78986</v>
      </c>
      <c r="AR12" s="21">
        <v>23.7179</v>
      </c>
      <c r="AS12" s="21">
        <v>3.2955900000000003E-2</v>
      </c>
      <c r="AT12" s="21">
        <v>2</v>
      </c>
      <c r="AU12" s="21">
        <v>1.79047</v>
      </c>
      <c r="AV12">
        <f t="shared" ref="AV12:AV75" si="8">-AS12/$F$2*1000</f>
        <v>-40.686296296296298</v>
      </c>
      <c r="AW12">
        <f t="shared" ref="AW12:AW75" si="9">AV12*AQ12</f>
        <v>-72.822774288888894</v>
      </c>
      <c r="AX12" s="9"/>
      <c r="AY12" s="21">
        <v>-8.9874300000000004E-2</v>
      </c>
      <c r="AZ12" s="21">
        <v>27.537099999999999</v>
      </c>
      <c r="BA12" s="21">
        <v>-1.6708400000000002E-2</v>
      </c>
      <c r="BB12" s="21">
        <v>2</v>
      </c>
      <c r="BC12" s="21">
        <v>-9.0301500000000007E-2</v>
      </c>
      <c r="BD12">
        <f t="shared" ref="BD12:BD75" si="10">-BA12/$F$2*1000</f>
        <v>20.627654320987656</v>
      </c>
      <c r="BE12">
        <f t="shared" ref="BE12:BE75" si="11">BD12*AY12</f>
        <v>-1.853895992740741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1.7743872326030834</v>
      </c>
      <c r="B13" s="18">
        <f>IFERROR(AD9,0)</f>
        <v>20.431067045263902</v>
      </c>
      <c r="C13" s="19">
        <f>IFERROR(AD4,0)</f>
        <v>0.78482759719191475</v>
      </c>
      <c r="D13" s="20">
        <f>IFERROR(AD2,0)</f>
        <v>28.45206018888889</v>
      </c>
      <c r="E13" s="20">
        <f>IFERROR(AA9,0)</f>
        <v>0.28702480533295571</v>
      </c>
      <c r="F13" s="9"/>
      <c r="G13" s="21">
        <v>1.7848200000000001</v>
      </c>
      <c r="H13" s="21">
        <v>5.0125299999999999</v>
      </c>
      <c r="I13" s="21">
        <v>7.5469999999999999E-3</v>
      </c>
      <c r="J13" s="21">
        <v>3</v>
      </c>
      <c r="K13" s="21">
        <v>1.78406</v>
      </c>
      <c r="L13">
        <f t="shared" si="0"/>
        <v>-9.3172839506172842</v>
      </c>
      <c r="M13">
        <f t="shared" si="1"/>
        <v>-16.629674740740743</v>
      </c>
      <c r="N13" s="9"/>
      <c r="O13" s="21">
        <v>-8.4838899999999995E-2</v>
      </c>
      <c r="P13" s="21">
        <v>8.8317200000000007</v>
      </c>
      <c r="Q13" s="21">
        <v>-1.6604600000000001E-2</v>
      </c>
      <c r="R13" s="21">
        <v>3</v>
      </c>
      <c r="S13" s="21">
        <v>-8.5266099999999997E-2</v>
      </c>
      <c r="T13">
        <f t="shared" si="2"/>
        <v>20.499506172839506</v>
      </c>
      <c r="U13">
        <f t="shared" si="3"/>
        <v>-1.7391555542469135</v>
      </c>
      <c r="V13" s="22"/>
      <c r="W13" s="23"/>
      <c r="X13" s="9"/>
      <c r="Y13" s="21">
        <v>1.7848200000000001</v>
      </c>
      <c r="Z13" s="21">
        <v>14.3912</v>
      </c>
      <c r="AA13" s="21">
        <v>1.5655499999999999E-2</v>
      </c>
      <c r="AB13" s="21">
        <v>3</v>
      </c>
      <c r="AC13" s="21">
        <v>1.78467</v>
      </c>
      <c r="AD13">
        <f t="shared" si="4"/>
        <v>-19.327777777777776</v>
      </c>
      <c r="AE13">
        <f t="shared" si="5"/>
        <v>-34.49660433333333</v>
      </c>
      <c r="AF13" s="9"/>
      <c r="AG13" s="21">
        <v>-8.4838899999999995E-2</v>
      </c>
      <c r="AH13" s="21">
        <v>18.2104</v>
      </c>
      <c r="AI13" s="21">
        <v>-1.6693099999999999E-2</v>
      </c>
      <c r="AJ13" s="21">
        <v>3</v>
      </c>
      <c r="AK13" s="21">
        <v>-8.5205100000000006E-2</v>
      </c>
      <c r="AL13">
        <f t="shared" si="6"/>
        <v>20.608765432098764</v>
      </c>
      <c r="AM13">
        <f t="shared" si="7"/>
        <v>-1.7484249896172837</v>
      </c>
      <c r="AP13" s="9"/>
      <c r="AQ13" s="21">
        <v>1.7848200000000001</v>
      </c>
      <c r="AR13" s="21">
        <v>23.728000000000002</v>
      </c>
      <c r="AS13" s="21">
        <v>2.1221899999999998E-2</v>
      </c>
      <c r="AT13" s="21">
        <v>3</v>
      </c>
      <c r="AU13" s="21">
        <v>1.78467</v>
      </c>
      <c r="AV13">
        <f t="shared" si="8"/>
        <v>-26.199876543209875</v>
      </c>
      <c r="AW13">
        <f t="shared" si="9"/>
        <v>-46.762063651851854</v>
      </c>
      <c r="AX13" s="9"/>
      <c r="AY13" s="21">
        <v>-8.4838899999999995E-2</v>
      </c>
      <c r="AZ13" s="21">
        <v>27.5471</v>
      </c>
      <c r="BA13" s="21">
        <v>-1.6705299999999999E-2</v>
      </c>
      <c r="BB13" s="21">
        <v>3</v>
      </c>
      <c r="BC13" s="21">
        <v>-8.5510299999999997E-2</v>
      </c>
      <c r="BD13">
        <f t="shared" si="10"/>
        <v>20.623827160493825</v>
      </c>
      <c r="BE13">
        <f t="shared" si="11"/>
        <v>-1.7497028100864194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1.7681675974856548</v>
      </c>
      <c r="B14" s="18">
        <f>IFERROR(AL9,0)</f>
        <v>20.43657287919747</v>
      </c>
      <c r="C14" s="19">
        <f>IFERROR(AL4,0)</f>
        <v>0.78511612563772315</v>
      </c>
      <c r="D14" s="20">
        <f>IFERROR(AL2,0)</f>
        <v>28.370395718518516</v>
      </c>
      <c r="E14" s="20"/>
      <c r="F14" s="9"/>
      <c r="G14" s="21">
        <v>1.77979</v>
      </c>
      <c r="H14" s="21">
        <v>5.0225999999999997</v>
      </c>
      <c r="I14" s="21">
        <v>4.70886E-4</v>
      </c>
      <c r="J14" s="21">
        <v>4</v>
      </c>
      <c r="K14" s="21">
        <v>1.77887</v>
      </c>
      <c r="L14">
        <f t="shared" si="0"/>
        <v>-0.58134074074074071</v>
      </c>
      <c r="M14">
        <f t="shared" si="1"/>
        <v>-1.034664436962963</v>
      </c>
      <c r="N14" s="9"/>
      <c r="O14" s="21">
        <v>-7.9803499999999999E-2</v>
      </c>
      <c r="P14" s="21">
        <v>8.8417899999999996</v>
      </c>
      <c r="Q14" s="21">
        <v>-1.6598499999999999E-2</v>
      </c>
      <c r="R14" s="21">
        <v>4</v>
      </c>
      <c r="S14" s="21">
        <v>-8.0200199999999999E-2</v>
      </c>
      <c r="T14">
        <f t="shared" si="2"/>
        <v>20.491975308641972</v>
      </c>
      <c r="U14">
        <f t="shared" si="3"/>
        <v>-1.6353313515432097</v>
      </c>
      <c r="V14" s="22"/>
      <c r="W14" s="23"/>
      <c r="X14" s="9"/>
      <c r="Y14" s="21">
        <v>1.77979</v>
      </c>
      <c r="Z14" s="21">
        <v>14.401300000000001</v>
      </c>
      <c r="AA14" s="21">
        <v>6.38428E-3</v>
      </c>
      <c r="AB14" s="21">
        <v>4</v>
      </c>
      <c r="AC14" s="21">
        <v>1.7791699999999999</v>
      </c>
      <c r="AD14">
        <f t="shared" si="4"/>
        <v>-7.8818271604938257</v>
      </c>
      <c r="AE14">
        <f t="shared" si="5"/>
        <v>-14.027997161975305</v>
      </c>
      <c r="AF14" s="9"/>
      <c r="AG14" s="21">
        <v>-7.9803499999999999E-2</v>
      </c>
      <c r="AH14" s="21">
        <v>18.220500000000001</v>
      </c>
      <c r="AI14" s="21">
        <v>-1.6668700000000002E-2</v>
      </c>
      <c r="AJ14" s="21">
        <v>4</v>
      </c>
      <c r="AK14" s="21">
        <v>-8.0352800000000002E-2</v>
      </c>
      <c r="AL14">
        <f t="shared" si="6"/>
        <v>20.578641975308642</v>
      </c>
      <c r="AM14">
        <f t="shared" si="7"/>
        <v>-1.6422476548765432</v>
      </c>
      <c r="AP14" s="9"/>
      <c r="AQ14" s="21">
        <v>1.77979</v>
      </c>
      <c r="AR14" s="21">
        <v>23.738</v>
      </c>
      <c r="AS14" s="21">
        <v>1.10229E-2</v>
      </c>
      <c r="AT14" s="21">
        <v>4</v>
      </c>
      <c r="AU14" s="21">
        <v>1.78009</v>
      </c>
      <c r="AV14">
        <f t="shared" si="8"/>
        <v>-13.608518518518519</v>
      </c>
      <c r="AW14">
        <f t="shared" si="9"/>
        <v>-24.220305174074074</v>
      </c>
      <c r="AX14" s="9"/>
      <c r="AY14" s="21">
        <v>-7.9803499999999999E-2</v>
      </c>
      <c r="AZ14" s="21">
        <v>27.557200000000002</v>
      </c>
      <c r="BA14" s="21">
        <v>-1.6696200000000001E-2</v>
      </c>
      <c r="BB14" s="21">
        <v>4</v>
      </c>
      <c r="BC14" s="21">
        <v>-8.0383300000000005E-2</v>
      </c>
      <c r="BD14">
        <f t="shared" si="10"/>
        <v>20.612592592592591</v>
      </c>
      <c r="BE14">
        <f t="shared" si="11"/>
        <v>-1.6449570329629628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1.7706102398461363</v>
      </c>
      <c r="B15" s="18">
        <f>IFERROR(AV9,0)</f>
        <v>20.452596248289591</v>
      </c>
      <c r="C15" s="19">
        <f>IFERROR(AV4,0)</f>
        <v>0.78525474975313792</v>
      </c>
      <c r="D15" s="20">
        <f>IFERROR(AV2,0)</f>
        <v>28.436882833333339</v>
      </c>
      <c r="E15" s="20">
        <f>IFERROR(AS9,0)</f>
        <v>0.24717831786961922</v>
      </c>
      <c r="F15" s="9"/>
      <c r="G15" s="21">
        <v>1.77475</v>
      </c>
      <c r="H15" s="21">
        <v>5.0326700000000004</v>
      </c>
      <c r="I15" s="21">
        <v>-3.1158399999999999E-3</v>
      </c>
      <c r="J15" s="21">
        <v>5</v>
      </c>
      <c r="K15" s="21">
        <v>1.77338</v>
      </c>
      <c r="L15">
        <f t="shared" si="0"/>
        <v>3.8467160493827159</v>
      </c>
      <c r="M15">
        <f t="shared" si="1"/>
        <v>6.8269593086419755</v>
      </c>
      <c r="N15" s="9"/>
      <c r="O15" s="21">
        <v>-7.4768100000000004E-2</v>
      </c>
      <c r="P15" s="21">
        <v>8.8518699999999999</v>
      </c>
      <c r="Q15" s="21">
        <v>-1.6595499999999999E-2</v>
      </c>
      <c r="R15" s="21">
        <v>5</v>
      </c>
      <c r="S15" s="21">
        <v>-7.5317400000000007E-2</v>
      </c>
      <c r="T15">
        <f t="shared" si="2"/>
        <v>20.488271604938269</v>
      </c>
      <c r="U15">
        <f t="shared" si="3"/>
        <v>-1.5318691401851852</v>
      </c>
      <c r="V15" s="22"/>
      <c r="W15" s="23"/>
      <c r="X15" s="9"/>
      <c r="Y15" s="21">
        <v>1.77475</v>
      </c>
      <c r="Z15" s="21">
        <v>14.4114</v>
      </c>
      <c r="AA15" s="21">
        <v>-1.29791E-4</v>
      </c>
      <c r="AB15" s="21">
        <v>5</v>
      </c>
      <c r="AC15" s="21">
        <v>1.7742899999999999</v>
      </c>
      <c r="AD15">
        <f t="shared" si="4"/>
        <v>0.1602358024691358</v>
      </c>
      <c r="AE15">
        <f t="shared" si="5"/>
        <v>0.28437849043209878</v>
      </c>
      <c r="AF15" s="9"/>
      <c r="AG15" s="21">
        <v>-7.4768100000000004E-2</v>
      </c>
      <c r="AH15" s="21">
        <v>18.230599999999999</v>
      </c>
      <c r="AI15" s="21">
        <v>-1.66626E-2</v>
      </c>
      <c r="AJ15" s="21">
        <v>5</v>
      </c>
      <c r="AK15" s="21">
        <v>-7.5103799999999998E-2</v>
      </c>
      <c r="AL15">
        <f t="shared" si="6"/>
        <v>20.571111111111108</v>
      </c>
      <c r="AM15">
        <f t="shared" si="7"/>
        <v>-1.5380628926666666</v>
      </c>
      <c r="AP15" s="9"/>
      <c r="AQ15" s="21">
        <v>1.77475</v>
      </c>
      <c r="AR15" s="21">
        <v>23.748100000000001</v>
      </c>
      <c r="AS15" s="21">
        <v>2.98737E-3</v>
      </c>
      <c r="AT15" s="21">
        <v>5</v>
      </c>
      <c r="AU15" s="21">
        <v>1.77399</v>
      </c>
      <c r="AV15">
        <f t="shared" si="8"/>
        <v>-3.6881111111111107</v>
      </c>
      <c r="AW15">
        <f t="shared" si="9"/>
        <v>-6.5454751944444443</v>
      </c>
      <c r="AX15" s="9"/>
      <c r="AY15" s="21">
        <v>-7.4768100000000004E-2</v>
      </c>
      <c r="AZ15" s="21">
        <v>27.567299999999999</v>
      </c>
      <c r="BA15" s="21">
        <v>-1.6690099999999999E-2</v>
      </c>
      <c r="BB15" s="21">
        <v>5</v>
      </c>
      <c r="BC15" s="21">
        <v>-7.5195300000000007E-2</v>
      </c>
      <c r="BD15">
        <f t="shared" si="10"/>
        <v>20.605061728395061</v>
      </c>
      <c r="BE15">
        <f t="shared" si="11"/>
        <v>-1.5406013158148149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1.7656142700625641</v>
      </c>
      <c r="B16" s="18">
        <f>IFERROR(BD9,0)</f>
        <v>20.469982476501656</v>
      </c>
      <c r="C16" s="19">
        <f>IFERROR(BD4,0)</f>
        <v>0.78486303746956465</v>
      </c>
      <c r="D16" s="20">
        <f>IFERROR(BD2,0)</f>
        <v>28.366593024691351</v>
      </c>
      <c r="E16" s="20"/>
      <c r="F16" s="9"/>
      <c r="G16" s="21">
        <v>1.7697099999999999</v>
      </c>
      <c r="H16" s="21">
        <v>5.0427499999999998</v>
      </c>
      <c r="I16" s="21">
        <v>-5.36499E-3</v>
      </c>
      <c r="J16" s="21">
        <v>6</v>
      </c>
      <c r="K16" s="21">
        <v>1.7687999999999999</v>
      </c>
      <c r="L16">
        <f t="shared" si="0"/>
        <v>6.623444444444444</v>
      </c>
      <c r="M16">
        <f t="shared" si="1"/>
        <v>11.721575867777776</v>
      </c>
      <c r="N16" s="9"/>
      <c r="O16" s="21">
        <v>-6.9732699999999995E-2</v>
      </c>
      <c r="P16" s="21">
        <v>8.8619400000000006</v>
      </c>
      <c r="Q16" s="21">
        <v>-1.6586299999999998E-2</v>
      </c>
      <c r="R16" s="21">
        <v>6</v>
      </c>
      <c r="S16" s="21">
        <v>-7.0343000000000003E-2</v>
      </c>
      <c r="T16">
        <f t="shared" si="2"/>
        <v>20.476913580246908</v>
      </c>
      <c r="U16">
        <f t="shared" si="3"/>
        <v>-1.4279104716172835</v>
      </c>
      <c r="V16" s="22"/>
      <c r="W16" s="23"/>
      <c r="X16" s="9"/>
      <c r="Y16" s="21">
        <v>1.7697099999999999</v>
      </c>
      <c r="Z16" s="21">
        <v>14.4214</v>
      </c>
      <c r="AA16" s="21">
        <v>-3.41705E-3</v>
      </c>
      <c r="AB16" s="21">
        <v>6</v>
      </c>
      <c r="AC16" s="21">
        <v>1.7687999999999999</v>
      </c>
      <c r="AD16">
        <f t="shared" si="4"/>
        <v>4.2185802469135805</v>
      </c>
      <c r="AE16">
        <f t="shared" si="5"/>
        <v>7.4656636487654318</v>
      </c>
      <c r="AF16" s="9"/>
      <c r="AG16" s="21">
        <v>-6.9732699999999995E-2</v>
      </c>
      <c r="AH16" s="21">
        <v>18.240600000000001</v>
      </c>
      <c r="AI16" s="21">
        <v>-1.6656500000000001E-2</v>
      </c>
      <c r="AJ16" s="21">
        <v>6</v>
      </c>
      <c r="AK16" s="21">
        <v>-7.0068400000000003E-2</v>
      </c>
      <c r="AL16">
        <f t="shared" si="6"/>
        <v>20.563580246913581</v>
      </c>
      <c r="AM16">
        <f t="shared" si="7"/>
        <v>-1.4339539722839505</v>
      </c>
      <c r="AP16" s="9"/>
      <c r="AQ16" s="21">
        <v>1.7697099999999999</v>
      </c>
      <c r="AR16" s="21">
        <v>23.758199999999999</v>
      </c>
      <c r="AS16" s="21">
        <v>-1.87408E-3</v>
      </c>
      <c r="AT16" s="21">
        <v>6</v>
      </c>
      <c r="AU16" s="21">
        <v>1.7684899999999999</v>
      </c>
      <c r="AV16">
        <f t="shared" si="8"/>
        <v>2.3136790123456787</v>
      </c>
      <c r="AW16">
        <f t="shared" si="9"/>
        <v>4.0945408849382705</v>
      </c>
      <c r="AX16" s="9"/>
      <c r="AY16" s="21">
        <v>-6.9732699999999995E-2</v>
      </c>
      <c r="AZ16" s="21">
        <v>27.577400000000001</v>
      </c>
      <c r="BA16" s="21">
        <v>-1.6684000000000001E-2</v>
      </c>
      <c r="BB16" s="21">
        <v>6</v>
      </c>
      <c r="BC16" s="21">
        <v>-7.0159899999999997E-2</v>
      </c>
      <c r="BD16">
        <f t="shared" si="10"/>
        <v>20.597530864197534</v>
      </c>
      <c r="BE16">
        <f t="shared" si="11"/>
        <v>-1.4363214404938272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1.76468</v>
      </c>
      <c r="H17" s="21">
        <v>5.0528199999999996</v>
      </c>
      <c r="I17" s="21">
        <v>-6.9702100000000001E-3</v>
      </c>
      <c r="J17" s="21">
        <v>7</v>
      </c>
      <c r="K17" s="21">
        <v>1.7639199999999999</v>
      </c>
      <c r="L17">
        <f t="shared" si="0"/>
        <v>8.6051975308641957</v>
      </c>
      <c r="M17">
        <f t="shared" si="1"/>
        <v>15.185419978765429</v>
      </c>
      <c r="N17" s="9"/>
      <c r="O17" s="21">
        <v>-6.4697299999999999E-2</v>
      </c>
      <c r="P17" s="21">
        <v>8.8720099999999995</v>
      </c>
      <c r="Q17" s="21">
        <v>-1.65802E-2</v>
      </c>
      <c r="R17" s="21">
        <v>7</v>
      </c>
      <c r="S17" s="21">
        <v>-6.5338099999999996E-2</v>
      </c>
      <c r="T17">
        <f t="shared" si="2"/>
        <v>20.469382716049381</v>
      </c>
      <c r="U17">
        <f t="shared" si="3"/>
        <v>-1.3243137943950616</v>
      </c>
      <c r="V17" s="22"/>
      <c r="W17" s="23"/>
      <c r="X17" s="9"/>
      <c r="Y17" s="21">
        <v>1.76468</v>
      </c>
      <c r="Z17" s="21">
        <v>14.4315</v>
      </c>
      <c r="AA17" s="21">
        <v>-5.4901100000000003E-3</v>
      </c>
      <c r="AB17" s="21">
        <v>7</v>
      </c>
      <c r="AC17" s="21">
        <v>1.7629999999999999</v>
      </c>
      <c r="AD17">
        <f t="shared" si="4"/>
        <v>6.7779135802469135</v>
      </c>
      <c r="AE17">
        <f t="shared" si="5"/>
        <v>11.960848536790124</v>
      </c>
      <c r="AF17" s="9"/>
      <c r="AG17" s="21">
        <v>-6.4697299999999999E-2</v>
      </c>
      <c r="AH17" s="21">
        <v>18.250699999999998</v>
      </c>
      <c r="AI17" s="21">
        <v>-1.6650399999999999E-2</v>
      </c>
      <c r="AJ17" s="21">
        <v>7</v>
      </c>
      <c r="AK17" s="21">
        <v>-6.5124500000000002E-2</v>
      </c>
      <c r="AL17">
        <f t="shared" si="6"/>
        <v>20.556049382716047</v>
      </c>
      <c r="AM17">
        <f t="shared" si="7"/>
        <v>-1.3299208937283948</v>
      </c>
      <c r="AP17" s="9"/>
      <c r="AQ17" s="21">
        <v>1.76468</v>
      </c>
      <c r="AR17" s="21">
        <v>23.7682</v>
      </c>
      <c r="AS17" s="21">
        <v>-4.4412200000000001E-3</v>
      </c>
      <c r="AT17" s="21">
        <v>7</v>
      </c>
      <c r="AU17" s="21">
        <v>1.7633099999999999</v>
      </c>
      <c r="AV17">
        <f t="shared" si="8"/>
        <v>5.4829876543209872</v>
      </c>
      <c r="AW17">
        <f t="shared" si="9"/>
        <v>9.6757186538271593</v>
      </c>
      <c r="AX17" s="9"/>
      <c r="AY17" s="21">
        <v>-6.4697299999999999E-2</v>
      </c>
      <c r="AZ17" s="21">
        <v>27.587399999999999</v>
      </c>
      <c r="BA17" s="21">
        <v>-1.66748E-2</v>
      </c>
      <c r="BB17" s="21">
        <v>7</v>
      </c>
      <c r="BC17" s="21">
        <v>-6.5124500000000002E-2</v>
      </c>
      <c r="BD17">
        <f t="shared" si="10"/>
        <v>20.586172839506172</v>
      </c>
      <c r="BE17">
        <f t="shared" si="11"/>
        <v>-1.3318698000493827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1.7596400000000001</v>
      </c>
      <c r="H18" s="21">
        <v>5.0628900000000003</v>
      </c>
      <c r="I18" s="21">
        <v>-8.2000700000000003E-3</v>
      </c>
      <c r="J18" s="21">
        <v>8</v>
      </c>
      <c r="K18" s="21">
        <v>1.7590300000000001</v>
      </c>
      <c r="L18">
        <f t="shared" si="0"/>
        <v>10.123543209876544</v>
      </c>
      <c r="M18">
        <f t="shared" si="1"/>
        <v>17.813791573827164</v>
      </c>
      <c r="N18" s="9"/>
      <c r="O18" s="21">
        <v>-5.9661899999999997E-2</v>
      </c>
      <c r="P18" s="21">
        <v>8.8820800000000002</v>
      </c>
      <c r="Q18" s="21">
        <v>-1.6570999999999999E-2</v>
      </c>
      <c r="R18" s="21">
        <v>8</v>
      </c>
      <c r="S18" s="21">
        <v>-6.0058599999999997E-2</v>
      </c>
      <c r="T18">
        <f t="shared" si="2"/>
        <v>20.45802469135802</v>
      </c>
      <c r="U18">
        <f t="shared" si="3"/>
        <v>-1.2205646233333329</v>
      </c>
      <c r="V18" s="22"/>
      <c r="W18" s="23"/>
      <c r="X18" s="9"/>
      <c r="Y18" s="21">
        <v>1.7596400000000001</v>
      </c>
      <c r="Z18" s="21">
        <v>14.441599999999999</v>
      </c>
      <c r="AA18" s="21">
        <v>-7.0770299999999998E-3</v>
      </c>
      <c r="AB18" s="21">
        <v>8</v>
      </c>
      <c r="AC18" s="21">
        <v>1.7587299999999999</v>
      </c>
      <c r="AD18">
        <f t="shared" si="4"/>
        <v>8.7370740740740729</v>
      </c>
      <c r="AE18">
        <f t="shared" si="5"/>
        <v>15.374105023703702</v>
      </c>
      <c r="AF18" s="9"/>
      <c r="AG18" s="21">
        <v>-5.9661899999999997E-2</v>
      </c>
      <c r="AH18" s="21">
        <v>18.2608</v>
      </c>
      <c r="AI18" s="21">
        <v>-1.6641199999999998E-2</v>
      </c>
      <c r="AJ18" s="21">
        <v>8</v>
      </c>
      <c r="AK18" s="21">
        <v>-5.9966999999999999E-2</v>
      </c>
      <c r="AL18">
        <f t="shared" si="6"/>
        <v>20.544691358024686</v>
      </c>
      <c r="AM18">
        <f t="shared" si="7"/>
        <v>-1.2257353213333329</v>
      </c>
      <c r="AP18" s="9"/>
      <c r="AQ18" s="21">
        <v>1.7596400000000001</v>
      </c>
      <c r="AR18" s="21">
        <v>23.778300000000002</v>
      </c>
      <c r="AS18" s="21">
        <v>-6.2530499999999996E-3</v>
      </c>
      <c r="AT18" s="21">
        <v>8</v>
      </c>
      <c r="AU18" s="21">
        <v>1.7581199999999999</v>
      </c>
      <c r="AV18">
        <f t="shared" si="8"/>
        <v>7.7198148148148142</v>
      </c>
      <c r="AW18">
        <f t="shared" si="9"/>
        <v>13.584094940740741</v>
      </c>
      <c r="AX18" s="9"/>
      <c r="AY18" s="21">
        <v>-5.9661899999999997E-2</v>
      </c>
      <c r="AZ18" s="21">
        <v>27.5975</v>
      </c>
      <c r="BA18" s="21">
        <v>-1.6665599999999999E-2</v>
      </c>
      <c r="BB18" s="21">
        <v>8</v>
      </c>
      <c r="BC18" s="21">
        <v>-6.0089099999999999E-2</v>
      </c>
      <c r="BD18">
        <f t="shared" si="10"/>
        <v>20.574814814814815</v>
      </c>
      <c r="BE18">
        <f t="shared" si="11"/>
        <v>-1.227532544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1.75461</v>
      </c>
      <c r="H19" s="21">
        <v>5.0729600000000001</v>
      </c>
      <c r="I19" s="21">
        <v>-9.1552700000000001E-3</v>
      </c>
      <c r="J19" s="21">
        <v>9</v>
      </c>
      <c r="K19" s="21">
        <v>1.7535400000000001</v>
      </c>
      <c r="L19">
        <f t="shared" si="0"/>
        <v>11.302802469135802</v>
      </c>
      <c r="M19">
        <f t="shared" si="1"/>
        <v>19.832010240370369</v>
      </c>
      <c r="N19" s="9"/>
      <c r="O19" s="21">
        <v>-5.4626500000000001E-2</v>
      </c>
      <c r="P19" s="21">
        <v>8.8921500000000009</v>
      </c>
      <c r="Q19" s="21">
        <v>-1.65649E-2</v>
      </c>
      <c r="R19" s="21">
        <v>9</v>
      </c>
      <c r="S19" s="21">
        <v>-5.52063E-2</v>
      </c>
      <c r="T19">
        <f t="shared" si="2"/>
        <v>20.450493827160493</v>
      </c>
      <c r="U19">
        <f t="shared" si="3"/>
        <v>-1.1171389010493826</v>
      </c>
      <c r="V19" s="22"/>
      <c r="W19" s="23"/>
      <c r="X19" s="9"/>
      <c r="Y19" s="21">
        <v>1.75461</v>
      </c>
      <c r="Z19" s="21">
        <v>14.451700000000001</v>
      </c>
      <c r="AA19" s="21">
        <v>-8.2672100000000005E-3</v>
      </c>
      <c r="AB19" s="21">
        <v>9</v>
      </c>
      <c r="AC19" s="21">
        <v>1.7535400000000001</v>
      </c>
      <c r="AD19">
        <f t="shared" si="4"/>
        <v>10.206432098765431</v>
      </c>
      <c r="AE19">
        <f t="shared" si="5"/>
        <v>17.908307824814813</v>
      </c>
      <c r="AF19" s="9"/>
      <c r="AG19" s="21">
        <v>-5.4626500000000001E-2</v>
      </c>
      <c r="AH19" s="21">
        <v>18.270800000000001</v>
      </c>
      <c r="AI19" s="21">
        <v>-1.66351E-2</v>
      </c>
      <c r="AJ19" s="21">
        <v>9</v>
      </c>
      <c r="AK19" s="21">
        <v>-5.5175799999999997E-2</v>
      </c>
      <c r="AL19">
        <f t="shared" si="6"/>
        <v>20.537160493827159</v>
      </c>
      <c r="AM19">
        <f t="shared" si="7"/>
        <v>-1.1218731977160494</v>
      </c>
      <c r="AP19" s="9"/>
      <c r="AQ19" s="21">
        <v>1.75461</v>
      </c>
      <c r="AR19" s="21">
        <v>23.788399999999999</v>
      </c>
      <c r="AS19" s="21">
        <v>-7.6171900000000002E-3</v>
      </c>
      <c r="AT19" s="21">
        <v>9</v>
      </c>
      <c r="AU19" s="21">
        <v>1.7544599999999999</v>
      </c>
      <c r="AV19">
        <f t="shared" si="8"/>
        <v>9.4039382716049396</v>
      </c>
      <c r="AW19">
        <f t="shared" si="9"/>
        <v>16.500244130740743</v>
      </c>
      <c r="AX19" s="9"/>
      <c r="AY19" s="21">
        <v>-5.4626500000000001E-2</v>
      </c>
      <c r="AZ19" s="21">
        <v>27.607600000000001</v>
      </c>
      <c r="BA19" s="21">
        <v>-1.6659500000000001E-2</v>
      </c>
      <c r="BB19" s="21">
        <v>9</v>
      </c>
      <c r="BC19" s="21">
        <v>-5.4931599999999997E-2</v>
      </c>
      <c r="BD19">
        <f t="shared" si="10"/>
        <v>20.567283950617284</v>
      </c>
      <c r="BE19">
        <f t="shared" si="11"/>
        <v>-1.1235187367283952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1.7495700000000001</v>
      </c>
      <c r="H20" s="21">
        <v>5.0830299999999999</v>
      </c>
      <c r="I20" s="21">
        <v>-9.6374500000000005E-3</v>
      </c>
      <c r="J20" s="21">
        <v>10</v>
      </c>
      <c r="K20" s="21">
        <v>1.7474400000000001</v>
      </c>
      <c r="L20">
        <f t="shared" si="0"/>
        <v>11.898086419753087</v>
      </c>
      <c r="M20">
        <f t="shared" si="1"/>
        <v>20.81653505740741</v>
      </c>
      <c r="N20" s="9"/>
      <c r="O20" s="21">
        <v>-4.9591099999999999E-2</v>
      </c>
      <c r="P20" s="21">
        <v>8.9022199999999998</v>
      </c>
      <c r="Q20" s="21">
        <v>-1.6555799999999999E-2</v>
      </c>
      <c r="R20" s="21">
        <v>10</v>
      </c>
      <c r="S20" s="21">
        <v>-5.0048799999999997E-2</v>
      </c>
      <c r="T20">
        <f t="shared" si="2"/>
        <v>20.439259259259259</v>
      </c>
      <c r="U20">
        <f t="shared" si="3"/>
        <v>-1.0136053498518518</v>
      </c>
      <c r="V20" s="22"/>
      <c r="W20" s="23"/>
      <c r="X20" s="9"/>
      <c r="Y20" s="21">
        <v>1.7495700000000001</v>
      </c>
      <c r="Z20" s="21">
        <v>14.4617</v>
      </c>
      <c r="AA20" s="21">
        <v>-9.2254599999999996E-3</v>
      </c>
      <c r="AB20" s="21">
        <v>10</v>
      </c>
      <c r="AC20" s="21">
        <v>1.7486600000000001</v>
      </c>
      <c r="AD20">
        <f t="shared" si="4"/>
        <v>11.389456790123456</v>
      </c>
      <c r="AE20">
        <f t="shared" si="5"/>
        <v>19.926651916296294</v>
      </c>
      <c r="AF20" s="9"/>
      <c r="AG20" s="21">
        <v>-4.9591099999999999E-2</v>
      </c>
      <c r="AH20" s="21">
        <v>18.280899999999999</v>
      </c>
      <c r="AI20" s="21">
        <v>-1.6625999999999998E-2</v>
      </c>
      <c r="AJ20" s="21">
        <v>10</v>
      </c>
      <c r="AK20" s="21">
        <v>-4.9255399999999998E-2</v>
      </c>
      <c r="AL20">
        <f t="shared" si="6"/>
        <v>20.525925925925922</v>
      </c>
      <c r="AM20">
        <f t="shared" si="7"/>
        <v>-1.017903245185185</v>
      </c>
      <c r="AP20" s="9"/>
      <c r="AQ20" s="21">
        <v>1.7495700000000001</v>
      </c>
      <c r="AR20" s="21">
        <v>23.798500000000001</v>
      </c>
      <c r="AS20" s="21">
        <v>-8.7005599999999995E-3</v>
      </c>
      <c r="AT20" s="21">
        <v>10</v>
      </c>
      <c r="AU20" s="21">
        <v>1.7486600000000001</v>
      </c>
      <c r="AV20">
        <f t="shared" si="8"/>
        <v>10.741432098765431</v>
      </c>
      <c r="AW20">
        <f t="shared" si="9"/>
        <v>18.792887357037035</v>
      </c>
      <c r="AX20" s="9"/>
      <c r="AY20" s="21">
        <v>-4.9591099999999999E-2</v>
      </c>
      <c r="AZ20" s="21">
        <v>27.617599999999999</v>
      </c>
      <c r="BA20" s="21">
        <v>-1.6656500000000001E-2</v>
      </c>
      <c r="BB20" s="21">
        <v>10</v>
      </c>
      <c r="BC20" s="21">
        <v>-4.9896200000000002E-2</v>
      </c>
      <c r="BD20">
        <f t="shared" si="10"/>
        <v>20.563580246913581</v>
      </c>
      <c r="BE20">
        <f t="shared" si="11"/>
        <v>-1.0197705643827162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1.74454</v>
      </c>
      <c r="H21" s="21">
        <v>5.0930999999999997</v>
      </c>
      <c r="I21" s="21">
        <v>-1.04034E-2</v>
      </c>
      <c r="J21" s="21">
        <v>11</v>
      </c>
      <c r="K21" s="21">
        <v>1.74377</v>
      </c>
      <c r="L21">
        <f t="shared" si="0"/>
        <v>12.843703703703703</v>
      </c>
      <c r="M21">
        <f t="shared" si="1"/>
        <v>22.406354859259256</v>
      </c>
      <c r="N21" s="9"/>
      <c r="O21" s="21">
        <v>-4.4555699999999997E-2</v>
      </c>
      <c r="P21" s="21">
        <v>8.9122900000000005</v>
      </c>
      <c r="Q21" s="21">
        <v>-1.6546600000000002E-2</v>
      </c>
      <c r="R21" s="21">
        <v>11</v>
      </c>
      <c r="S21" s="21">
        <v>-4.4830299999999997E-2</v>
      </c>
      <c r="T21">
        <f t="shared" si="2"/>
        <v>20.427901234567901</v>
      </c>
      <c r="U21">
        <f t="shared" si="3"/>
        <v>-0.91017943903703702</v>
      </c>
      <c r="V21" s="22"/>
      <c r="W21" s="23"/>
      <c r="X21" s="9"/>
      <c r="Y21" s="21">
        <v>1.74454</v>
      </c>
      <c r="Z21" s="21">
        <v>14.4718</v>
      </c>
      <c r="AA21" s="21">
        <v>-9.8602299999999993E-3</v>
      </c>
      <c r="AB21" s="21">
        <v>11</v>
      </c>
      <c r="AC21" s="21">
        <v>1.74377</v>
      </c>
      <c r="AD21">
        <f t="shared" si="4"/>
        <v>12.173123456790123</v>
      </c>
      <c r="AE21">
        <f t="shared" si="5"/>
        <v>21.23650079530864</v>
      </c>
      <c r="AF21" s="9"/>
      <c r="AG21" s="21">
        <v>-4.4555699999999997E-2</v>
      </c>
      <c r="AH21" s="21">
        <v>18.291</v>
      </c>
      <c r="AI21" s="21">
        <v>-1.6616800000000001E-2</v>
      </c>
      <c r="AJ21" s="21">
        <v>11</v>
      </c>
      <c r="AK21" s="21">
        <v>-4.4924899999999997E-2</v>
      </c>
      <c r="AL21">
        <f t="shared" si="6"/>
        <v>20.514567901234567</v>
      </c>
      <c r="AM21">
        <f t="shared" si="7"/>
        <v>-0.91404093303703693</v>
      </c>
      <c r="AP21" s="9"/>
      <c r="AQ21" s="21">
        <v>1.74454</v>
      </c>
      <c r="AR21" s="21">
        <v>23.808499999999999</v>
      </c>
      <c r="AS21" s="21">
        <v>-9.5275900000000007E-3</v>
      </c>
      <c r="AT21" s="21">
        <v>11</v>
      </c>
      <c r="AU21" s="21">
        <v>1.74377</v>
      </c>
      <c r="AV21">
        <f t="shared" si="8"/>
        <v>11.762456790123457</v>
      </c>
      <c r="AW21">
        <f t="shared" si="9"/>
        <v>20.520076368641973</v>
      </c>
      <c r="AX21" s="9"/>
      <c r="AY21" s="21">
        <v>-4.4555699999999997E-2</v>
      </c>
      <c r="AZ21" s="21">
        <v>27.627700000000001</v>
      </c>
      <c r="BA21" s="21">
        <v>-1.66473E-2</v>
      </c>
      <c r="BB21" s="21">
        <v>11</v>
      </c>
      <c r="BC21" s="21">
        <v>-4.5013400000000002E-2</v>
      </c>
      <c r="BD21">
        <f t="shared" si="10"/>
        <v>20.552222222222223</v>
      </c>
      <c r="BE21">
        <f t="shared" si="11"/>
        <v>-0.91571864766666666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1.7395</v>
      </c>
      <c r="H22" s="21">
        <v>5.1031700000000004</v>
      </c>
      <c r="I22" s="21">
        <v>-1.08521E-2</v>
      </c>
      <c r="J22" s="21">
        <v>12</v>
      </c>
      <c r="K22" s="21">
        <v>1.7392000000000001</v>
      </c>
      <c r="L22">
        <f t="shared" si="0"/>
        <v>13.397654320987654</v>
      </c>
      <c r="M22">
        <f t="shared" si="1"/>
        <v>23.305219691358023</v>
      </c>
      <c r="N22" s="9"/>
      <c r="O22" s="21">
        <v>-3.9520300000000001E-2</v>
      </c>
      <c r="P22" s="21">
        <v>8.9223599999999994</v>
      </c>
      <c r="Q22" s="21">
        <v>-1.65405E-2</v>
      </c>
      <c r="R22" s="21">
        <v>12</v>
      </c>
      <c r="S22" s="21">
        <v>-3.9773599999999999E-2</v>
      </c>
      <c r="T22">
        <f t="shared" si="2"/>
        <v>20.420370370370371</v>
      </c>
      <c r="U22">
        <f t="shared" si="3"/>
        <v>-0.80701916314814814</v>
      </c>
      <c r="V22" s="22"/>
      <c r="W22" s="23"/>
      <c r="X22" s="9"/>
      <c r="Y22" s="21">
        <v>1.7395</v>
      </c>
      <c r="Z22" s="21">
        <v>14.4819</v>
      </c>
      <c r="AA22" s="21">
        <v>-1.0406500000000001E-2</v>
      </c>
      <c r="AB22" s="21">
        <v>12</v>
      </c>
      <c r="AC22" s="21">
        <v>1.73889</v>
      </c>
      <c r="AD22">
        <f t="shared" si="4"/>
        <v>12.84753086419753</v>
      </c>
      <c r="AE22">
        <f t="shared" si="5"/>
        <v>22.348279938271606</v>
      </c>
      <c r="AF22" s="9"/>
      <c r="AG22" s="21">
        <v>-3.9520300000000001E-2</v>
      </c>
      <c r="AH22" s="21">
        <v>18.301100000000002</v>
      </c>
      <c r="AI22" s="21">
        <v>-1.6610699999999999E-2</v>
      </c>
      <c r="AJ22" s="21">
        <v>12</v>
      </c>
      <c r="AK22" s="21">
        <v>-3.9865100000000001E-2</v>
      </c>
      <c r="AL22">
        <f t="shared" si="6"/>
        <v>20.507037037037037</v>
      </c>
      <c r="AM22">
        <f t="shared" si="7"/>
        <v>-0.81044425581481483</v>
      </c>
      <c r="AP22" s="9"/>
      <c r="AQ22" s="21">
        <v>1.7395</v>
      </c>
      <c r="AR22" s="21">
        <v>23.8186</v>
      </c>
      <c r="AS22" s="21">
        <v>-1.0134900000000001E-2</v>
      </c>
      <c r="AT22" s="21">
        <v>12</v>
      </c>
      <c r="AU22" s="21">
        <v>1.7392000000000001</v>
      </c>
      <c r="AV22">
        <f t="shared" si="8"/>
        <v>12.512222222222221</v>
      </c>
      <c r="AW22">
        <f t="shared" si="9"/>
        <v>21.765010555555552</v>
      </c>
      <c r="AX22" s="9"/>
      <c r="AY22" s="21">
        <v>-3.9520300000000001E-2</v>
      </c>
      <c r="AZ22" s="21">
        <v>27.637799999999999</v>
      </c>
      <c r="BA22" s="21">
        <v>-1.6641199999999998E-2</v>
      </c>
      <c r="BB22" s="21">
        <v>12</v>
      </c>
      <c r="BC22" s="21">
        <v>-4.0148900000000001E-2</v>
      </c>
      <c r="BD22">
        <f t="shared" si="10"/>
        <v>20.544691358024686</v>
      </c>
      <c r="BE22">
        <f t="shared" si="11"/>
        <v>-0.81193236587654305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1.73447</v>
      </c>
      <c r="H23" s="21">
        <v>5.1132400000000002</v>
      </c>
      <c r="I23" s="21">
        <v>-1.12335E-2</v>
      </c>
      <c r="J23" s="21">
        <v>13</v>
      </c>
      <c r="K23" s="21">
        <v>1.7340100000000001</v>
      </c>
      <c r="L23">
        <f t="shared" si="0"/>
        <v>13.868518518518519</v>
      </c>
      <c r="M23">
        <f t="shared" si="1"/>
        <v>24.054529314814815</v>
      </c>
      <c r="N23" s="9"/>
      <c r="O23" s="21">
        <v>-3.4484899999999999E-2</v>
      </c>
      <c r="P23" s="21">
        <v>8.9324300000000001</v>
      </c>
      <c r="Q23" s="21">
        <v>-1.6531400000000002E-2</v>
      </c>
      <c r="R23" s="21">
        <v>13</v>
      </c>
      <c r="S23" s="21">
        <v>-3.48206E-2</v>
      </c>
      <c r="T23">
        <f t="shared" si="2"/>
        <v>20.409135802469137</v>
      </c>
      <c r="U23">
        <f t="shared" si="3"/>
        <v>-0.70380700723456791</v>
      </c>
      <c r="V23" s="22"/>
      <c r="W23" s="23"/>
      <c r="X23" s="9"/>
      <c r="Y23" s="21">
        <v>1.73447</v>
      </c>
      <c r="Z23" s="21">
        <v>14.491899999999999</v>
      </c>
      <c r="AA23" s="21">
        <v>-1.0842900000000001E-2</v>
      </c>
      <c r="AB23" s="21">
        <v>13</v>
      </c>
      <c r="AC23" s="21">
        <v>1.7337</v>
      </c>
      <c r="AD23">
        <f t="shared" si="4"/>
        <v>13.386296296296297</v>
      </c>
      <c r="AE23">
        <f t="shared" si="5"/>
        <v>23.218129337037038</v>
      </c>
      <c r="AF23" s="9"/>
      <c r="AG23" s="21">
        <v>-3.4484899999999999E-2</v>
      </c>
      <c r="AH23" s="21">
        <v>18.3111</v>
      </c>
      <c r="AI23" s="21">
        <v>-1.6601600000000001E-2</v>
      </c>
      <c r="AJ23" s="21">
        <v>13</v>
      </c>
      <c r="AK23" s="21">
        <v>-3.46191E-2</v>
      </c>
      <c r="AL23">
        <f t="shared" si="6"/>
        <v>20.495802469135803</v>
      </c>
      <c r="AM23">
        <f t="shared" si="7"/>
        <v>-0.70679569856790125</v>
      </c>
      <c r="AP23" s="9"/>
      <c r="AQ23" s="21">
        <v>1.73447</v>
      </c>
      <c r="AR23" s="21">
        <v>23.828700000000001</v>
      </c>
      <c r="AS23" s="21">
        <v>-1.0632300000000001E-2</v>
      </c>
      <c r="AT23" s="21">
        <v>13</v>
      </c>
      <c r="AU23" s="21">
        <v>1.7334000000000001</v>
      </c>
      <c r="AV23">
        <f t="shared" si="8"/>
        <v>13.126296296296296</v>
      </c>
      <c r="AW23">
        <f t="shared" si="9"/>
        <v>22.767167137037035</v>
      </c>
      <c r="AX23" s="9"/>
      <c r="AY23" s="21">
        <v>-3.4484899999999999E-2</v>
      </c>
      <c r="AZ23" s="21">
        <v>27.6479</v>
      </c>
      <c r="BA23" s="21">
        <v>-1.66351E-2</v>
      </c>
      <c r="BB23" s="21">
        <v>13</v>
      </c>
      <c r="BC23" s="21">
        <v>-3.4594699999999999E-2</v>
      </c>
      <c r="BD23">
        <f t="shared" si="10"/>
        <v>20.537160493827159</v>
      </c>
      <c r="BE23">
        <f t="shared" si="11"/>
        <v>-0.70822192591358013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1.72943</v>
      </c>
      <c r="H24" s="21">
        <v>5.12331</v>
      </c>
      <c r="I24" s="21">
        <v>-1.1587500000000001E-2</v>
      </c>
      <c r="J24" s="21">
        <v>14</v>
      </c>
      <c r="K24" s="21">
        <v>1.72943</v>
      </c>
      <c r="L24">
        <f t="shared" si="0"/>
        <v>14.305555555555555</v>
      </c>
      <c r="M24">
        <f t="shared" si="1"/>
        <v>24.740456944444443</v>
      </c>
      <c r="N24" s="9"/>
      <c r="O24" s="21">
        <v>-2.94495E-2</v>
      </c>
      <c r="P24" s="21">
        <v>8.9425000000000008</v>
      </c>
      <c r="Q24" s="21">
        <v>-1.65253E-2</v>
      </c>
      <c r="R24" s="21">
        <v>14</v>
      </c>
      <c r="S24" s="21">
        <v>-2.9861499999999999E-2</v>
      </c>
      <c r="T24">
        <f t="shared" si="2"/>
        <v>20.401604938271603</v>
      </c>
      <c r="U24">
        <f t="shared" si="3"/>
        <v>-0.60081706462962958</v>
      </c>
      <c r="V24" s="22"/>
      <c r="W24" s="23"/>
      <c r="X24" s="9"/>
      <c r="Y24" s="21">
        <v>1.72943</v>
      </c>
      <c r="Z24" s="21">
        <v>14.502000000000001</v>
      </c>
      <c r="AA24" s="21">
        <v>-1.12427E-2</v>
      </c>
      <c r="AB24" s="21">
        <v>14</v>
      </c>
      <c r="AC24" s="21">
        <v>1.72821</v>
      </c>
      <c r="AD24">
        <f t="shared" si="4"/>
        <v>13.879876543209877</v>
      </c>
      <c r="AE24">
        <f t="shared" si="5"/>
        <v>24.004274890123458</v>
      </c>
      <c r="AF24" s="9"/>
      <c r="AG24" s="21">
        <v>-2.94495E-2</v>
      </c>
      <c r="AH24" s="21">
        <v>18.321200000000001</v>
      </c>
      <c r="AI24" s="21">
        <v>-1.6595499999999999E-2</v>
      </c>
      <c r="AJ24" s="21">
        <v>14</v>
      </c>
      <c r="AK24" s="21">
        <v>-2.9583700000000001E-2</v>
      </c>
      <c r="AL24">
        <f t="shared" si="6"/>
        <v>20.488271604938269</v>
      </c>
      <c r="AM24">
        <f t="shared" si="7"/>
        <v>-0.6033693546296296</v>
      </c>
      <c r="AP24" s="9"/>
      <c r="AQ24" s="21">
        <v>1.72943</v>
      </c>
      <c r="AR24" s="21">
        <v>23.838699999999999</v>
      </c>
      <c r="AS24" s="21">
        <v>-1.10413E-2</v>
      </c>
      <c r="AT24" s="21">
        <v>14</v>
      </c>
      <c r="AU24" s="21">
        <v>1.72821</v>
      </c>
      <c r="AV24">
        <f t="shared" si="8"/>
        <v>13.631234567901235</v>
      </c>
      <c r="AW24">
        <f t="shared" si="9"/>
        <v>23.574265998765433</v>
      </c>
      <c r="AX24" s="9"/>
      <c r="AY24" s="21">
        <v>-2.94495E-2</v>
      </c>
      <c r="AZ24" s="21">
        <v>27.657900000000001</v>
      </c>
      <c r="BA24" s="21">
        <v>-1.6622899999999999E-2</v>
      </c>
      <c r="BB24" s="21">
        <v>14</v>
      </c>
      <c r="BC24" s="21">
        <v>-2.9727199999999999E-2</v>
      </c>
      <c r="BD24">
        <f t="shared" si="10"/>
        <v>20.522098765432094</v>
      </c>
      <c r="BE24">
        <f t="shared" si="11"/>
        <v>-0.60436554759259242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1.7243999999999999</v>
      </c>
      <c r="H25" s="21">
        <v>5.1333799999999998</v>
      </c>
      <c r="I25" s="21">
        <v>-1.1865199999999999E-2</v>
      </c>
      <c r="J25" s="21">
        <v>15</v>
      </c>
      <c r="K25" s="21">
        <v>1.72363</v>
      </c>
      <c r="L25">
        <f t="shared" si="0"/>
        <v>14.648395061728394</v>
      </c>
      <c r="M25">
        <f t="shared" si="1"/>
        <v>25.25969244444444</v>
      </c>
      <c r="N25" s="9"/>
      <c r="O25" s="21">
        <v>-2.4414100000000001E-2</v>
      </c>
      <c r="P25" s="21">
        <v>8.9525799999999993</v>
      </c>
      <c r="Q25" s="21">
        <v>-1.6516099999999999E-2</v>
      </c>
      <c r="R25" s="21">
        <v>15</v>
      </c>
      <c r="S25" s="21">
        <v>-2.4517799999999999E-2</v>
      </c>
      <c r="T25">
        <f t="shared" si="2"/>
        <v>20.390246913580242</v>
      </c>
      <c r="U25">
        <f t="shared" si="3"/>
        <v>-0.49780952717283938</v>
      </c>
      <c r="V25" s="22"/>
      <c r="W25" s="23"/>
      <c r="X25" s="9"/>
      <c r="Y25" s="21">
        <v>1.7243999999999999</v>
      </c>
      <c r="Z25" s="21">
        <v>14.5121</v>
      </c>
      <c r="AA25" s="21">
        <v>-1.1587500000000001E-2</v>
      </c>
      <c r="AB25" s="21">
        <v>15</v>
      </c>
      <c r="AC25" s="21">
        <v>1.72363</v>
      </c>
      <c r="AD25">
        <f t="shared" si="4"/>
        <v>14.305555555555555</v>
      </c>
      <c r="AE25">
        <f t="shared" si="5"/>
        <v>24.668499999999998</v>
      </c>
      <c r="AF25" s="9"/>
      <c r="AG25" s="21">
        <v>-2.4414100000000001E-2</v>
      </c>
      <c r="AH25" s="21">
        <v>18.331299999999999</v>
      </c>
      <c r="AI25" s="21">
        <v>-1.6586299999999998E-2</v>
      </c>
      <c r="AJ25" s="21">
        <v>15</v>
      </c>
      <c r="AK25" s="21">
        <v>-2.4972500000000002E-2</v>
      </c>
      <c r="AL25">
        <f t="shared" si="6"/>
        <v>20.476913580246908</v>
      </c>
      <c r="AM25">
        <f t="shared" si="7"/>
        <v>-0.49992541583950606</v>
      </c>
      <c r="AP25" s="9"/>
      <c r="AQ25" s="21">
        <v>1.7243999999999999</v>
      </c>
      <c r="AR25" s="21">
        <v>23.848800000000001</v>
      </c>
      <c r="AS25" s="21">
        <v>-1.1413599999999999E-2</v>
      </c>
      <c r="AT25" s="21">
        <v>15</v>
      </c>
      <c r="AU25" s="21">
        <v>1.72302</v>
      </c>
      <c r="AV25">
        <f t="shared" si="8"/>
        <v>14.090864197530863</v>
      </c>
      <c r="AW25">
        <f t="shared" si="9"/>
        <v>24.29828622222222</v>
      </c>
      <c r="AX25" s="9"/>
      <c r="AY25" s="21">
        <v>-2.4414100000000001E-2</v>
      </c>
      <c r="AZ25" s="21">
        <v>27.667999999999999</v>
      </c>
      <c r="BA25" s="21">
        <v>-1.6613800000000001E-2</v>
      </c>
      <c r="BB25" s="21">
        <v>15</v>
      </c>
      <c r="BC25" s="21">
        <v>-2.5027500000000001E-2</v>
      </c>
      <c r="BD25">
        <f t="shared" si="10"/>
        <v>20.510864197530864</v>
      </c>
      <c r="BE25">
        <f t="shared" si="11"/>
        <v>-0.50075428960493829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1.71936</v>
      </c>
      <c r="H26" s="21">
        <v>5.1434600000000001</v>
      </c>
      <c r="I26" s="21">
        <v>-1.2124599999999999E-2</v>
      </c>
      <c r="J26" s="21">
        <v>16</v>
      </c>
      <c r="K26" s="21">
        <v>1.71906</v>
      </c>
      <c r="L26">
        <f t="shared" si="0"/>
        <v>14.968641975308641</v>
      </c>
      <c r="M26">
        <f t="shared" si="1"/>
        <v>25.736484266666665</v>
      </c>
      <c r="N26" s="9"/>
      <c r="O26" s="21">
        <v>-1.9378699999999999E-2</v>
      </c>
      <c r="P26" s="21">
        <v>8.96265</v>
      </c>
      <c r="Q26" s="21">
        <v>-1.651E-2</v>
      </c>
      <c r="R26" s="21">
        <v>16</v>
      </c>
      <c r="S26" s="21">
        <v>-1.9622799999999999E-2</v>
      </c>
      <c r="T26">
        <f t="shared" si="2"/>
        <v>20.382716049382715</v>
      </c>
      <c r="U26">
        <f t="shared" si="3"/>
        <v>-0.3949905395061728</v>
      </c>
      <c r="V26" s="22"/>
      <c r="W26" s="23"/>
      <c r="X26" s="9"/>
      <c r="Y26" s="21">
        <v>1.71936</v>
      </c>
      <c r="Z26" s="21">
        <v>14.5222</v>
      </c>
      <c r="AA26" s="21">
        <v>-1.1886600000000001E-2</v>
      </c>
      <c r="AB26" s="21">
        <v>16</v>
      </c>
      <c r="AC26" s="21">
        <v>1.71844</v>
      </c>
      <c r="AD26">
        <f t="shared" si="4"/>
        <v>14.674814814814814</v>
      </c>
      <c r="AE26">
        <f t="shared" si="5"/>
        <v>25.2312896</v>
      </c>
      <c r="AF26" s="9"/>
      <c r="AG26" s="21">
        <v>-1.9378699999999999E-2</v>
      </c>
      <c r="AH26" s="21">
        <v>18.3413</v>
      </c>
      <c r="AI26" s="21">
        <v>-1.65802E-2</v>
      </c>
      <c r="AJ26" s="21">
        <v>16</v>
      </c>
      <c r="AK26" s="21">
        <v>-1.9644200000000001E-2</v>
      </c>
      <c r="AL26">
        <f t="shared" si="6"/>
        <v>20.469382716049381</v>
      </c>
      <c r="AM26">
        <f t="shared" si="7"/>
        <v>-0.39667002683950614</v>
      </c>
      <c r="AP26" s="9"/>
      <c r="AQ26" s="21">
        <v>1.71936</v>
      </c>
      <c r="AR26" s="21">
        <v>23.858899999999998</v>
      </c>
      <c r="AS26" s="21">
        <v>-1.17126E-2</v>
      </c>
      <c r="AT26" s="21">
        <v>16</v>
      </c>
      <c r="AU26" s="21">
        <v>1.71875</v>
      </c>
      <c r="AV26">
        <f t="shared" si="8"/>
        <v>14.459999999999999</v>
      </c>
      <c r="AW26">
        <f t="shared" si="9"/>
        <v>24.861945599999999</v>
      </c>
      <c r="AX26" s="9"/>
      <c r="AY26" s="21">
        <v>-1.9378699999999999E-2</v>
      </c>
      <c r="AZ26" s="21">
        <v>27.678100000000001</v>
      </c>
      <c r="BA26" s="21">
        <v>-1.66077E-2</v>
      </c>
      <c r="BB26" s="21">
        <v>16</v>
      </c>
      <c r="BC26" s="21">
        <v>-1.85028E-2</v>
      </c>
      <c r="BD26">
        <f t="shared" si="10"/>
        <v>20.50333333333333</v>
      </c>
      <c r="BE26">
        <f t="shared" si="11"/>
        <v>-0.39732794566666657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1.7143200000000001</v>
      </c>
      <c r="H27" s="21">
        <v>5.1535299999999999</v>
      </c>
      <c r="I27" s="21">
        <v>-1.23596E-2</v>
      </c>
      <c r="J27" s="21">
        <v>17</v>
      </c>
      <c r="K27" s="21">
        <v>1.71387</v>
      </c>
      <c r="L27">
        <f t="shared" si="0"/>
        <v>15.258765432098766</v>
      </c>
      <c r="M27">
        <f t="shared" si="1"/>
        <v>26.158406755555557</v>
      </c>
      <c r="N27" s="9"/>
      <c r="O27" s="21">
        <v>-1.43433E-2</v>
      </c>
      <c r="P27" s="21">
        <v>8.9727200000000007</v>
      </c>
      <c r="Q27" s="21">
        <v>-1.6500899999999999E-2</v>
      </c>
      <c r="R27" s="21">
        <v>17</v>
      </c>
      <c r="S27" s="21">
        <v>-1.45416E-2</v>
      </c>
      <c r="T27">
        <f t="shared" si="2"/>
        <v>20.371481481481482</v>
      </c>
      <c r="U27">
        <f t="shared" si="3"/>
        <v>-0.29219427033333334</v>
      </c>
      <c r="X27" s="9"/>
      <c r="Y27" s="21">
        <v>1.7143200000000001</v>
      </c>
      <c r="Z27" s="21">
        <v>14.5322</v>
      </c>
      <c r="AA27" s="21">
        <v>-1.2146000000000001E-2</v>
      </c>
      <c r="AB27" s="21">
        <v>17</v>
      </c>
      <c r="AC27" s="21">
        <v>1.71387</v>
      </c>
      <c r="AD27">
        <f t="shared" si="4"/>
        <v>14.995061728395061</v>
      </c>
      <c r="AE27">
        <f t="shared" si="5"/>
        <v>25.706334222222221</v>
      </c>
      <c r="AF27" s="9"/>
      <c r="AG27" s="21">
        <v>-1.43433E-2</v>
      </c>
      <c r="AH27" s="21">
        <v>18.351400000000002</v>
      </c>
      <c r="AI27" s="21">
        <v>-1.6570999999999999E-2</v>
      </c>
      <c r="AJ27" s="21">
        <v>17</v>
      </c>
      <c r="AK27" s="21">
        <v>-1.4413499999999999E-2</v>
      </c>
      <c r="AL27">
        <f t="shared" si="6"/>
        <v>20.45802469135802</v>
      </c>
      <c r="AM27">
        <f t="shared" si="7"/>
        <v>-0.29343558555555549</v>
      </c>
      <c r="AP27" s="9"/>
      <c r="AQ27" s="21">
        <v>1.7143200000000001</v>
      </c>
      <c r="AR27" s="21">
        <v>23.8689</v>
      </c>
      <c r="AS27" s="21">
        <v>-1.19965E-2</v>
      </c>
      <c r="AT27" s="21">
        <v>17</v>
      </c>
      <c r="AU27" s="21">
        <v>1.71356</v>
      </c>
      <c r="AV27">
        <f t="shared" si="8"/>
        <v>14.810493827160494</v>
      </c>
      <c r="AW27">
        <f t="shared" si="9"/>
        <v>25.38992577777778</v>
      </c>
      <c r="AX27" s="9"/>
      <c r="AY27" s="21">
        <v>-1.43433E-2</v>
      </c>
      <c r="AZ27" s="21">
        <v>27.688099999999999</v>
      </c>
      <c r="BA27" s="21">
        <v>-1.6601600000000001E-2</v>
      </c>
      <c r="BB27" s="21">
        <v>17</v>
      </c>
      <c r="BC27" s="21">
        <v>-1.43982E-2</v>
      </c>
      <c r="BD27">
        <f t="shared" si="10"/>
        <v>20.495802469135803</v>
      </c>
      <c r="BE27">
        <f t="shared" si="11"/>
        <v>-0.29397744355555555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1.70929</v>
      </c>
      <c r="H28" s="21">
        <v>5.1635999999999997</v>
      </c>
      <c r="I28" s="21">
        <v>-1.25519E-2</v>
      </c>
      <c r="J28" s="21">
        <v>18</v>
      </c>
      <c r="K28" s="21">
        <v>1.7083699999999999</v>
      </c>
      <c r="L28">
        <f t="shared" si="0"/>
        <v>15.496172839506173</v>
      </c>
      <c r="M28">
        <f t="shared" si="1"/>
        <v>26.487453272839506</v>
      </c>
      <c r="N28" s="9"/>
      <c r="O28" s="21">
        <v>-9.3078599999999994E-3</v>
      </c>
      <c r="P28" s="21">
        <v>8.9827899999999996</v>
      </c>
      <c r="Q28" s="21">
        <v>-1.6491700000000001E-2</v>
      </c>
      <c r="R28" s="21">
        <v>18</v>
      </c>
      <c r="S28" s="21">
        <v>-9.4879200000000004E-3</v>
      </c>
      <c r="T28">
        <f t="shared" si="2"/>
        <v>20.360123456790124</v>
      </c>
      <c r="U28">
        <f t="shared" si="3"/>
        <v>-0.1895091787185185</v>
      </c>
      <c r="X28" s="9"/>
      <c r="Y28" s="21">
        <v>1.70929</v>
      </c>
      <c r="Z28" s="21">
        <v>14.542299999999999</v>
      </c>
      <c r="AA28" s="21">
        <v>-1.2374899999999999E-2</v>
      </c>
      <c r="AB28" s="21">
        <v>18</v>
      </c>
      <c r="AC28" s="21">
        <v>1.7083699999999999</v>
      </c>
      <c r="AD28">
        <f t="shared" si="4"/>
        <v>15.277654320987653</v>
      </c>
      <c r="AE28">
        <f t="shared" si="5"/>
        <v>26.113941754320983</v>
      </c>
      <c r="AF28" s="9"/>
      <c r="AG28" s="21">
        <v>-9.3078599999999994E-3</v>
      </c>
      <c r="AH28" s="21">
        <v>18.361499999999999</v>
      </c>
      <c r="AI28" s="21">
        <v>-1.6567999999999999E-2</v>
      </c>
      <c r="AJ28" s="21">
        <v>18</v>
      </c>
      <c r="AK28" s="21">
        <v>-9.5367400000000001E-3</v>
      </c>
      <c r="AL28">
        <f t="shared" si="6"/>
        <v>20.454320987654317</v>
      </c>
      <c r="AM28">
        <f t="shared" si="7"/>
        <v>-0.1903859561481481</v>
      </c>
      <c r="AP28" s="9"/>
      <c r="AQ28" s="21">
        <v>1.70929</v>
      </c>
      <c r="AR28" s="21">
        <v>23.879000000000001</v>
      </c>
      <c r="AS28" s="21">
        <v>-1.22375E-2</v>
      </c>
      <c r="AT28" s="21">
        <v>18</v>
      </c>
      <c r="AU28" s="21">
        <v>1.70807</v>
      </c>
      <c r="AV28">
        <f t="shared" si="8"/>
        <v>15.108024691358024</v>
      </c>
      <c r="AW28">
        <f t="shared" si="9"/>
        <v>25.823995524691355</v>
      </c>
      <c r="AX28" s="9"/>
      <c r="AY28" s="21">
        <v>-9.3078599999999994E-3</v>
      </c>
      <c r="AZ28" s="21">
        <v>27.6982</v>
      </c>
      <c r="BA28" s="21">
        <v>-1.65924E-2</v>
      </c>
      <c r="BB28" s="21">
        <v>18</v>
      </c>
      <c r="BC28" s="21">
        <v>-9.5886200000000008E-3</v>
      </c>
      <c r="BD28">
        <f t="shared" si="10"/>
        <v>20.484444444444446</v>
      </c>
      <c r="BE28">
        <f t="shared" si="11"/>
        <v>-0.19066634106666666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1.70425</v>
      </c>
      <c r="H29" s="21">
        <v>5.1736700000000004</v>
      </c>
      <c r="I29" s="21">
        <v>-1.2731900000000001E-2</v>
      </c>
      <c r="J29" s="21">
        <v>19</v>
      </c>
      <c r="K29" s="21">
        <v>1.7034899999999999</v>
      </c>
      <c r="L29">
        <f t="shared" si="0"/>
        <v>15.718395061728396</v>
      </c>
      <c r="M29">
        <f t="shared" si="1"/>
        <v>26.78807478395062</v>
      </c>
      <c r="N29" s="9"/>
      <c r="O29" s="21">
        <v>-4.2724599999999996E-3</v>
      </c>
      <c r="P29" s="21">
        <v>8.9928600000000003</v>
      </c>
      <c r="Q29" s="21">
        <v>-1.64856E-2</v>
      </c>
      <c r="R29" s="21">
        <v>19</v>
      </c>
      <c r="S29" s="21">
        <v>-4.4494599999999997E-3</v>
      </c>
      <c r="T29">
        <f t="shared" si="2"/>
        <v>20.352592592592593</v>
      </c>
      <c r="U29">
        <f t="shared" si="3"/>
        <v>-8.6955637748148143E-2</v>
      </c>
      <c r="X29" s="9"/>
      <c r="Y29" s="21">
        <v>1.70425</v>
      </c>
      <c r="Z29" s="21">
        <v>14.5524</v>
      </c>
      <c r="AA29" s="21">
        <v>-1.2588500000000001E-2</v>
      </c>
      <c r="AB29" s="21">
        <v>19</v>
      </c>
      <c r="AC29" s="21">
        <v>1.7028799999999999</v>
      </c>
      <c r="AD29">
        <f t="shared" si="4"/>
        <v>15.541358024691359</v>
      </c>
      <c r="AE29">
        <f t="shared" si="5"/>
        <v>26.486359413580249</v>
      </c>
      <c r="AF29" s="9"/>
      <c r="AG29" s="21">
        <v>-4.2724599999999996E-3</v>
      </c>
      <c r="AH29" s="21">
        <v>18.371600000000001</v>
      </c>
      <c r="AI29" s="21">
        <v>-1.6558799999999999E-2</v>
      </c>
      <c r="AJ29" s="21">
        <v>19</v>
      </c>
      <c r="AK29" s="21">
        <v>-4.54712E-3</v>
      </c>
      <c r="AL29">
        <f t="shared" si="6"/>
        <v>20.442962962962962</v>
      </c>
      <c r="AM29">
        <f t="shared" si="7"/>
        <v>-8.734174154074073E-2</v>
      </c>
      <c r="AP29" s="9"/>
      <c r="AQ29" s="21">
        <v>1.70425</v>
      </c>
      <c r="AR29" s="21">
        <v>23.889099999999999</v>
      </c>
      <c r="AS29" s="21">
        <v>-1.2466400000000001E-2</v>
      </c>
      <c r="AT29" s="21">
        <v>19</v>
      </c>
      <c r="AU29" s="21">
        <v>1.7034899999999999</v>
      </c>
      <c r="AV29">
        <f t="shared" si="8"/>
        <v>15.390617283950617</v>
      </c>
      <c r="AW29">
        <f t="shared" si="9"/>
        <v>26.229459506172837</v>
      </c>
      <c r="AX29" s="9"/>
      <c r="AY29" s="21">
        <v>-4.2724599999999996E-3</v>
      </c>
      <c r="AZ29" s="21">
        <v>27.708300000000001</v>
      </c>
      <c r="BA29" s="21">
        <v>-1.6586299999999998E-2</v>
      </c>
      <c r="BB29" s="21">
        <v>19</v>
      </c>
      <c r="BC29" s="21">
        <v>-4.37317E-3</v>
      </c>
      <c r="BD29">
        <f t="shared" si="10"/>
        <v>20.476913580246908</v>
      </c>
      <c r="BE29">
        <f t="shared" si="11"/>
        <v>-8.7486794195061696E-2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1.69922</v>
      </c>
      <c r="H30" s="21">
        <v>5.1837400000000002</v>
      </c>
      <c r="I30" s="21">
        <v>-1.2893699999999999E-2</v>
      </c>
      <c r="J30" s="21">
        <v>20</v>
      </c>
      <c r="K30" s="21">
        <v>1.698</v>
      </c>
      <c r="L30">
        <f t="shared" si="0"/>
        <v>15.918148148148147</v>
      </c>
      <c r="M30">
        <f t="shared" si="1"/>
        <v>27.048435696296291</v>
      </c>
      <c r="N30" s="9"/>
      <c r="O30" s="21">
        <v>7.6293900000000002E-4</v>
      </c>
      <c r="P30" s="21">
        <v>9.0029299999999992</v>
      </c>
      <c r="Q30" s="21">
        <v>-1.6476399999999999E-2</v>
      </c>
      <c r="R30" s="21">
        <v>20</v>
      </c>
      <c r="S30" s="21">
        <v>8.2397500000000001E-4</v>
      </c>
      <c r="T30">
        <f t="shared" si="2"/>
        <v>20.341234567901232</v>
      </c>
      <c r="U30">
        <f t="shared" si="3"/>
        <v>1.5519121159999998E-2</v>
      </c>
      <c r="X30" s="9"/>
      <c r="Y30" s="21">
        <v>1.69922</v>
      </c>
      <c r="Z30" s="21">
        <v>14.5624</v>
      </c>
      <c r="AA30" s="21">
        <v>-1.2771599999999999E-2</v>
      </c>
      <c r="AB30" s="21">
        <v>20</v>
      </c>
      <c r="AC30" s="21">
        <v>1.6982999999999999</v>
      </c>
      <c r="AD30">
        <f t="shared" si="4"/>
        <v>15.767407407407408</v>
      </c>
      <c r="AE30">
        <f t="shared" si="5"/>
        <v>26.792294014814814</v>
      </c>
      <c r="AF30" s="9"/>
      <c r="AG30" s="21">
        <v>7.6293900000000002E-4</v>
      </c>
      <c r="AH30" s="21">
        <v>18.381599999999999</v>
      </c>
      <c r="AI30" s="21">
        <v>-1.65527E-2</v>
      </c>
      <c r="AJ30" s="21">
        <v>20</v>
      </c>
      <c r="AK30" s="21">
        <v>8.1176800000000004E-4</v>
      </c>
      <c r="AL30">
        <f t="shared" si="6"/>
        <v>20.435432098765428</v>
      </c>
      <c r="AM30">
        <f t="shared" si="7"/>
        <v>1.5590988129999997E-2</v>
      </c>
      <c r="AP30" s="9"/>
      <c r="AQ30" s="21">
        <v>1.69922</v>
      </c>
      <c r="AR30" s="21">
        <v>23.8992</v>
      </c>
      <c r="AS30" s="21">
        <v>-1.26648E-2</v>
      </c>
      <c r="AT30" s="21">
        <v>20</v>
      </c>
      <c r="AU30" s="21">
        <v>1.6982999999999999</v>
      </c>
      <c r="AV30">
        <f t="shared" si="8"/>
        <v>15.635555555555555</v>
      </c>
      <c r="AW30">
        <f t="shared" si="9"/>
        <v>26.56824871111111</v>
      </c>
      <c r="AX30" s="9"/>
      <c r="AY30" s="21">
        <v>7.6293900000000002E-4</v>
      </c>
      <c r="AZ30" s="21">
        <v>27.718399999999999</v>
      </c>
      <c r="BA30" s="21">
        <v>-1.65802E-2</v>
      </c>
      <c r="BB30" s="21">
        <v>20</v>
      </c>
      <c r="BC30" s="21">
        <v>3.7841799999999999E-4</v>
      </c>
      <c r="BD30">
        <f t="shared" si="10"/>
        <v>20.469382716049381</v>
      </c>
      <c r="BE30">
        <f t="shared" si="11"/>
        <v>1.561689038E-2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1.69418</v>
      </c>
      <c r="H31" s="21">
        <v>5.19381</v>
      </c>
      <c r="I31" s="21">
        <v>-1.30432E-2</v>
      </c>
      <c r="J31" s="21">
        <v>21</v>
      </c>
      <c r="K31" s="21">
        <v>1.69373</v>
      </c>
      <c r="L31">
        <f t="shared" si="0"/>
        <v>16.102716049382714</v>
      </c>
      <c r="M31">
        <f t="shared" si="1"/>
        <v>27.280899476543208</v>
      </c>
      <c r="N31" s="9"/>
      <c r="O31" s="21">
        <v>5.7983399999999999E-3</v>
      </c>
      <c r="P31" s="21">
        <v>9.0129999999999999</v>
      </c>
      <c r="Q31" s="21">
        <v>-1.64703E-2</v>
      </c>
      <c r="R31" s="21">
        <v>21</v>
      </c>
      <c r="S31" s="21">
        <v>5.5786100000000003E-3</v>
      </c>
      <c r="T31">
        <f t="shared" si="2"/>
        <v>20.333703703703701</v>
      </c>
      <c r="U31">
        <f t="shared" si="3"/>
        <v>0.11790172753333332</v>
      </c>
      <c r="X31" s="9"/>
      <c r="Y31" s="21">
        <v>1.69418</v>
      </c>
      <c r="Z31" s="21">
        <v>14.5725</v>
      </c>
      <c r="AA31" s="21">
        <v>-1.2948599999999999E-2</v>
      </c>
      <c r="AB31" s="21">
        <v>21</v>
      </c>
      <c r="AC31" s="21">
        <v>1.6934199999999999</v>
      </c>
      <c r="AD31">
        <f t="shared" si="4"/>
        <v>15.985925925925924</v>
      </c>
      <c r="AE31">
        <f t="shared" si="5"/>
        <v>27.083035985185184</v>
      </c>
      <c r="AF31" s="9"/>
      <c r="AG31" s="21">
        <v>5.7983399999999999E-3</v>
      </c>
      <c r="AH31" s="21">
        <v>18.3917</v>
      </c>
      <c r="AI31" s="21">
        <v>-1.6543599999999999E-2</v>
      </c>
      <c r="AJ31" s="21">
        <v>21</v>
      </c>
      <c r="AK31" s="21">
        <v>5.6182899999999997E-3</v>
      </c>
      <c r="AL31">
        <f t="shared" si="6"/>
        <v>20.424197530864195</v>
      </c>
      <c r="AM31">
        <f t="shared" si="7"/>
        <v>0.11842644151111109</v>
      </c>
      <c r="AP31" s="9"/>
      <c r="AQ31" s="21">
        <v>1.69418</v>
      </c>
      <c r="AR31" s="21">
        <v>23.909199999999998</v>
      </c>
      <c r="AS31" s="21">
        <v>-1.2854000000000001E-2</v>
      </c>
      <c r="AT31" s="21">
        <v>21</v>
      </c>
      <c r="AU31" s="21">
        <v>1.6934199999999999</v>
      </c>
      <c r="AV31">
        <f t="shared" si="8"/>
        <v>15.869135802469136</v>
      </c>
      <c r="AW31">
        <f t="shared" si="9"/>
        <v>26.885172493827163</v>
      </c>
      <c r="AX31" s="9"/>
      <c r="AY31" s="21">
        <v>5.7983399999999999E-3</v>
      </c>
      <c r="AZ31" s="21">
        <v>27.728400000000001</v>
      </c>
      <c r="BA31" s="21">
        <v>-1.6570999999999999E-2</v>
      </c>
      <c r="BB31" s="21">
        <v>21</v>
      </c>
      <c r="BC31" s="21">
        <v>5.7922399999999997E-3</v>
      </c>
      <c r="BD31">
        <f t="shared" si="10"/>
        <v>20.45802469135802</v>
      </c>
      <c r="BE31">
        <f t="shared" si="11"/>
        <v>0.11862258288888886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1.6891499999999999</v>
      </c>
      <c r="H32" s="21">
        <v>5.2038799999999998</v>
      </c>
      <c r="I32" s="21">
        <v>-1.31775E-2</v>
      </c>
      <c r="J32" s="21">
        <v>22</v>
      </c>
      <c r="K32" s="21">
        <v>1.6876199999999999</v>
      </c>
      <c r="L32">
        <f t="shared" si="0"/>
        <v>16.268518518518519</v>
      </c>
      <c r="M32">
        <f t="shared" si="1"/>
        <v>27.479968055555556</v>
      </c>
      <c r="N32" s="9"/>
      <c r="O32" s="21">
        <v>1.08337E-2</v>
      </c>
      <c r="P32" s="21">
        <v>9.0230700000000006</v>
      </c>
      <c r="Q32" s="21">
        <v>-1.6461199999999999E-2</v>
      </c>
      <c r="R32" s="21">
        <v>22</v>
      </c>
      <c r="S32" s="21">
        <v>1.05804E-2</v>
      </c>
      <c r="T32">
        <f t="shared" si="2"/>
        <v>20.322469135802464</v>
      </c>
      <c r="U32">
        <f t="shared" si="3"/>
        <v>0.22016753387654314</v>
      </c>
      <c r="X32" s="9"/>
      <c r="Y32" s="21">
        <v>1.6891499999999999</v>
      </c>
      <c r="Z32" s="21">
        <v>14.582599999999999</v>
      </c>
      <c r="AA32" s="21">
        <v>-1.30951E-2</v>
      </c>
      <c r="AB32" s="21">
        <v>22</v>
      </c>
      <c r="AC32" s="21">
        <v>1.6879299999999999</v>
      </c>
      <c r="AD32">
        <f t="shared" si="4"/>
        <v>16.166790123456789</v>
      </c>
      <c r="AE32">
        <f t="shared" si="5"/>
        <v>27.308133537037033</v>
      </c>
      <c r="AF32" s="9"/>
      <c r="AG32" s="21">
        <v>1.08337E-2</v>
      </c>
      <c r="AH32" s="21">
        <v>18.401800000000001</v>
      </c>
      <c r="AI32" s="21">
        <v>-1.65375E-2</v>
      </c>
      <c r="AJ32" s="21">
        <v>22</v>
      </c>
      <c r="AK32" s="21">
        <v>1.07513E-2</v>
      </c>
      <c r="AL32">
        <f t="shared" si="6"/>
        <v>20.416666666666668</v>
      </c>
      <c r="AM32">
        <f t="shared" si="7"/>
        <v>0.22118804166666667</v>
      </c>
      <c r="AP32" s="9"/>
      <c r="AQ32" s="21">
        <v>1.6891499999999999</v>
      </c>
      <c r="AR32" s="21">
        <v>23.9193</v>
      </c>
      <c r="AS32" s="21">
        <v>-1.30127E-2</v>
      </c>
      <c r="AT32" s="21">
        <v>22</v>
      </c>
      <c r="AU32" s="21">
        <v>1.6879299999999999</v>
      </c>
      <c r="AV32">
        <f t="shared" si="8"/>
        <v>16.065061728395062</v>
      </c>
      <c r="AW32">
        <f t="shared" si="9"/>
        <v>27.136299018518518</v>
      </c>
      <c r="AX32" s="9"/>
      <c r="AY32" s="21">
        <v>1.08337E-2</v>
      </c>
      <c r="AZ32" s="21">
        <v>27.738499999999998</v>
      </c>
      <c r="BA32" s="21">
        <v>-1.65649E-2</v>
      </c>
      <c r="BB32" s="21">
        <v>22</v>
      </c>
      <c r="BC32" s="21">
        <v>1.08063E-2</v>
      </c>
      <c r="BD32">
        <f t="shared" si="10"/>
        <v>20.450493827160493</v>
      </c>
      <c r="BE32">
        <f t="shared" si="11"/>
        <v>0.22155451497530862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1.68411</v>
      </c>
      <c r="H33" s="21">
        <v>5.2139499999999996</v>
      </c>
      <c r="I33" s="21">
        <v>-1.3302599999999999E-2</v>
      </c>
      <c r="J33" s="21">
        <v>23</v>
      </c>
      <c r="K33" s="21">
        <v>1.6833499999999999</v>
      </c>
      <c r="L33">
        <f t="shared" si="0"/>
        <v>16.422962962962963</v>
      </c>
      <c r="M33">
        <f t="shared" si="1"/>
        <v>27.658076155555555</v>
      </c>
      <c r="N33" s="9"/>
      <c r="O33" s="21">
        <v>1.5869100000000001E-2</v>
      </c>
      <c r="P33" s="21">
        <v>9.0331399999999995</v>
      </c>
      <c r="Q33" s="21">
        <v>-1.64551E-2</v>
      </c>
      <c r="R33" s="21">
        <v>23</v>
      </c>
      <c r="S33" s="21">
        <v>1.55975E-2</v>
      </c>
      <c r="T33">
        <f t="shared" si="2"/>
        <v>20.314938271604937</v>
      </c>
      <c r="U33">
        <f t="shared" si="3"/>
        <v>0.32237978692592595</v>
      </c>
      <c r="X33" s="9"/>
      <c r="Y33" s="21">
        <v>1.68411</v>
      </c>
      <c r="Z33" s="21">
        <v>14.592599999999999</v>
      </c>
      <c r="AA33" s="21">
        <v>-1.3229400000000001E-2</v>
      </c>
      <c r="AB33" s="21">
        <v>23</v>
      </c>
      <c r="AC33" s="21">
        <v>1.6836500000000001</v>
      </c>
      <c r="AD33">
        <f t="shared" si="4"/>
        <v>16.332592592592594</v>
      </c>
      <c r="AE33">
        <f t="shared" si="5"/>
        <v>27.505882511111114</v>
      </c>
      <c r="AF33" s="9"/>
      <c r="AG33" s="21">
        <v>1.5869100000000001E-2</v>
      </c>
      <c r="AH33" s="21">
        <v>18.411799999999999</v>
      </c>
      <c r="AI33" s="21">
        <v>-1.6528299999999999E-2</v>
      </c>
      <c r="AJ33" s="21">
        <v>23</v>
      </c>
      <c r="AK33" s="21">
        <v>1.5661600000000001E-2</v>
      </c>
      <c r="AL33">
        <f t="shared" si="6"/>
        <v>20.405308641975306</v>
      </c>
      <c r="AM33">
        <f t="shared" si="7"/>
        <v>0.32381388337037037</v>
      </c>
      <c r="AP33" s="9"/>
      <c r="AQ33" s="21">
        <v>1.68411</v>
      </c>
      <c r="AR33" s="21">
        <v>23.929400000000001</v>
      </c>
      <c r="AS33" s="21">
        <v>-1.3162200000000001E-2</v>
      </c>
      <c r="AT33" s="21">
        <v>23</v>
      </c>
      <c r="AU33" s="21">
        <v>1.6833499999999999</v>
      </c>
      <c r="AV33">
        <f t="shared" si="8"/>
        <v>16.249629629629627</v>
      </c>
      <c r="AW33">
        <f t="shared" si="9"/>
        <v>27.366163755555551</v>
      </c>
      <c r="AX33" s="9"/>
      <c r="AY33" s="21">
        <v>1.5869100000000001E-2</v>
      </c>
      <c r="AZ33" s="21">
        <v>27.7486</v>
      </c>
      <c r="BA33" s="21">
        <v>-1.6558799999999999E-2</v>
      </c>
      <c r="BB33" s="21">
        <v>23</v>
      </c>
      <c r="BC33" s="21">
        <v>1.51825E-2</v>
      </c>
      <c r="BD33">
        <f t="shared" si="10"/>
        <v>20.442962962962962</v>
      </c>
      <c r="BE33">
        <f t="shared" si="11"/>
        <v>0.32441142355555558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1.6790799999999999</v>
      </c>
      <c r="H34" s="21">
        <v>5.2240200000000003</v>
      </c>
      <c r="I34" s="21">
        <v>-1.34155E-2</v>
      </c>
      <c r="J34" s="21">
        <v>24</v>
      </c>
      <c r="K34" s="21">
        <v>1.6781600000000001</v>
      </c>
      <c r="L34">
        <f t="shared" si="0"/>
        <v>16.562345679012346</v>
      </c>
      <c r="M34">
        <f t="shared" si="1"/>
        <v>27.809503382716048</v>
      </c>
      <c r="N34" s="9"/>
      <c r="O34" s="21">
        <v>2.0904499999999999E-2</v>
      </c>
      <c r="P34" s="21">
        <v>9.0432100000000002</v>
      </c>
      <c r="Q34" s="21">
        <v>-1.6448999999999998E-2</v>
      </c>
      <c r="R34" s="21">
        <v>24</v>
      </c>
      <c r="S34" s="21">
        <v>2.0834399999999999E-2</v>
      </c>
      <c r="T34">
        <f t="shared" si="2"/>
        <v>20.307407407407403</v>
      </c>
      <c r="U34">
        <f t="shared" si="3"/>
        <v>0.42451619814814806</v>
      </c>
      <c r="X34" s="9"/>
      <c r="Y34" s="21">
        <v>1.6790799999999999</v>
      </c>
      <c r="Z34" s="21">
        <v>14.6027</v>
      </c>
      <c r="AA34" s="21">
        <v>-1.33575E-2</v>
      </c>
      <c r="AB34" s="21">
        <v>24</v>
      </c>
      <c r="AC34" s="21">
        <v>1.6775500000000001</v>
      </c>
      <c r="AD34">
        <f t="shared" si="4"/>
        <v>16.49074074074074</v>
      </c>
      <c r="AE34">
        <f t="shared" si="5"/>
        <v>27.68927296296296</v>
      </c>
      <c r="AF34" s="9"/>
      <c r="AG34" s="21">
        <v>2.0904499999999999E-2</v>
      </c>
      <c r="AH34" s="21">
        <v>18.421900000000001</v>
      </c>
      <c r="AI34" s="21">
        <v>-1.6519200000000001E-2</v>
      </c>
      <c r="AJ34" s="21">
        <v>24</v>
      </c>
      <c r="AK34" s="21">
        <v>2.09137E-2</v>
      </c>
      <c r="AL34">
        <f t="shared" si="6"/>
        <v>20.394074074074076</v>
      </c>
      <c r="AM34">
        <f t="shared" si="7"/>
        <v>0.42632792148148152</v>
      </c>
      <c r="AP34" s="9"/>
      <c r="AQ34" s="21">
        <v>1.6790799999999999</v>
      </c>
      <c r="AR34" s="21">
        <v>23.939399999999999</v>
      </c>
      <c r="AS34" s="21">
        <v>-1.3290400000000001E-2</v>
      </c>
      <c r="AT34" s="21">
        <v>24</v>
      </c>
      <c r="AU34" s="21">
        <v>1.6775500000000001</v>
      </c>
      <c r="AV34">
        <f t="shared" si="8"/>
        <v>16.407901234567902</v>
      </c>
      <c r="AW34">
        <f t="shared" si="9"/>
        <v>27.55017880493827</v>
      </c>
      <c r="AX34" s="9"/>
      <c r="AY34" s="21">
        <v>2.0904499999999999E-2</v>
      </c>
      <c r="AZ34" s="21">
        <v>27.758600000000001</v>
      </c>
      <c r="BA34" s="21">
        <v>-1.65527E-2</v>
      </c>
      <c r="BB34" s="21">
        <v>24</v>
      </c>
      <c r="BC34" s="21">
        <v>2.1331800000000001E-2</v>
      </c>
      <c r="BD34">
        <f t="shared" si="10"/>
        <v>20.435432098765428</v>
      </c>
      <c r="BE34">
        <f t="shared" si="11"/>
        <v>0.42719249030864187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1.67404</v>
      </c>
      <c r="H35" s="21">
        <v>5.2340900000000001</v>
      </c>
      <c r="I35" s="21">
        <v>-1.35193E-2</v>
      </c>
      <c r="J35" s="21">
        <v>25</v>
      </c>
      <c r="K35" s="21">
        <v>1.6729700000000001</v>
      </c>
      <c r="L35">
        <f t="shared" si="0"/>
        <v>16.690493827160495</v>
      </c>
      <c r="M35">
        <f t="shared" si="1"/>
        <v>27.940554286419754</v>
      </c>
      <c r="N35" s="9"/>
      <c r="O35" s="21">
        <v>2.5939899999999998E-2</v>
      </c>
      <c r="P35" s="21">
        <v>9.0532900000000005</v>
      </c>
      <c r="Q35" s="21">
        <v>-1.6439800000000001E-2</v>
      </c>
      <c r="R35" s="21">
        <v>25</v>
      </c>
      <c r="S35" s="21">
        <v>2.5637799999999999E-2</v>
      </c>
      <c r="T35">
        <f t="shared" si="2"/>
        <v>20.296049382716049</v>
      </c>
      <c r="U35">
        <f t="shared" si="3"/>
        <v>0.52647749138271605</v>
      </c>
      <c r="X35" s="9"/>
      <c r="Y35" s="21">
        <v>1.67404</v>
      </c>
      <c r="Z35" s="21">
        <v>14.6128</v>
      </c>
      <c r="AA35" s="21">
        <v>-1.34644E-2</v>
      </c>
      <c r="AB35" s="21">
        <v>25</v>
      </c>
      <c r="AC35" s="21">
        <v>1.6726700000000001</v>
      </c>
      <c r="AD35">
        <f t="shared" si="4"/>
        <v>16.622716049382717</v>
      </c>
      <c r="AE35">
        <f t="shared" si="5"/>
        <v>27.827091575308643</v>
      </c>
      <c r="AF35" s="9"/>
      <c r="AG35" s="21">
        <v>2.5939899999999998E-2</v>
      </c>
      <c r="AH35" s="21">
        <v>18.431999999999999</v>
      </c>
      <c r="AI35" s="21">
        <v>-1.6513099999999999E-2</v>
      </c>
      <c r="AJ35" s="21">
        <v>25</v>
      </c>
      <c r="AK35" s="21">
        <v>2.59583E-2</v>
      </c>
      <c r="AL35">
        <f t="shared" si="6"/>
        <v>20.386543209876539</v>
      </c>
      <c r="AM35">
        <f t="shared" si="7"/>
        <v>0.52882489220987638</v>
      </c>
      <c r="AP35" s="9"/>
      <c r="AQ35" s="21">
        <v>1.67404</v>
      </c>
      <c r="AR35" s="21">
        <v>23.9495</v>
      </c>
      <c r="AS35" s="21">
        <v>-1.3412500000000001E-2</v>
      </c>
      <c r="AT35" s="21">
        <v>25</v>
      </c>
      <c r="AU35" s="21">
        <v>1.6732800000000001</v>
      </c>
      <c r="AV35">
        <f t="shared" si="8"/>
        <v>16.558641975308642</v>
      </c>
      <c r="AW35">
        <f t="shared" si="9"/>
        <v>27.719829012345681</v>
      </c>
      <c r="AX35" s="9"/>
      <c r="AY35" s="21">
        <v>2.5939899999999998E-2</v>
      </c>
      <c r="AZ35" s="21">
        <v>27.768699999999999</v>
      </c>
      <c r="BA35" s="21">
        <v>-1.6543599999999999E-2</v>
      </c>
      <c r="BB35" s="21">
        <v>25</v>
      </c>
      <c r="BC35" s="21">
        <v>2.5384500000000001E-2</v>
      </c>
      <c r="BD35">
        <f t="shared" si="10"/>
        <v>20.424197530864195</v>
      </c>
      <c r="BE35">
        <f t="shared" si="11"/>
        <v>0.52980164153086406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1.6690100000000001</v>
      </c>
      <c r="H36" s="21">
        <v>5.2441700000000004</v>
      </c>
      <c r="I36" s="21">
        <v>-1.36078E-2</v>
      </c>
      <c r="J36" s="21">
        <v>26</v>
      </c>
      <c r="K36" s="21">
        <v>1.6684000000000001</v>
      </c>
      <c r="L36">
        <f t="shared" si="0"/>
        <v>16.799753086419752</v>
      </c>
      <c r="M36">
        <f t="shared" si="1"/>
        <v>28.038955898765433</v>
      </c>
      <c r="N36" s="9"/>
      <c r="O36" s="21">
        <v>3.0975300000000001E-2</v>
      </c>
      <c r="P36" s="21">
        <v>9.0633599999999994</v>
      </c>
      <c r="Q36" s="21">
        <v>-1.6433699999999999E-2</v>
      </c>
      <c r="R36" s="21">
        <v>26</v>
      </c>
      <c r="S36" s="21">
        <v>3.0914299999999999E-2</v>
      </c>
      <c r="T36">
        <f t="shared" si="2"/>
        <v>20.288518518518515</v>
      </c>
      <c r="U36">
        <f t="shared" si="3"/>
        <v>0.62844294766666653</v>
      </c>
      <c r="X36" s="9"/>
      <c r="Y36" s="21">
        <v>1.6690100000000001</v>
      </c>
      <c r="Z36" s="21">
        <v>14.6229</v>
      </c>
      <c r="AA36" s="21">
        <v>-1.35712E-2</v>
      </c>
      <c r="AB36" s="21">
        <v>26</v>
      </c>
      <c r="AC36" s="21">
        <v>1.6680900000000001</v>
      </c>
      <c r="AD36">
        <f t="shared" si="4"/>
        <v>16.754567901234566</v>
      </c>
      <c r="AE36">
        <f t="shared" si="5"/>
        <v>27.963541372839504</v>
      </c>
      <c r="AF36" s="9"/>
      <c r="AG36" s="21">
        <v>3.0975300000000001E-2</v>
      </c>
      <c r="AH36" s="21">
        <v>18.4421</v>
      </c>
      <c r="AI36" s="21">
        <v>-1.6507000000000001E-2</v>
      </c>
      <c r="AJ36" s="21">
        <v>26</v>
      </c>
      <c r="AK36" s="21">
        <v>3.0569499999999999E-2</v>
      </c>
      <c r="AL36">
        <f t="shared" si="6"/>
        <v>20.379012345679012</v>
      </c>
      <c r="AM36">
        <f t="shared" si="7"/>
        <v>0.63124602111111117</v>
      </c>
      <c r="AP36" s="9"/>
      <c r="AQ36" s="21">
        <v>1.6690100000000001</v>
      </c>
      <c r="AR36" s="21">
        <v>23.959599999999998</v>
      </c>
      <c r="AS36" s="21">
        <v>-1.3516200000000001E-2</v>
      </c>
      <c r="AT36" s="21">
        <v>26</v>
      </c>
      <c r="AU36" s="21">
        <v>1.6680900000000001</v>
      </c>
      <c r="AV36">
        <f t="shared" si="8"/>
        <v>16.686666666666664</v>
      </c>
      <c r="AW36">
        <f t="shared" si="9"/>
        <v>27.850213533333331</v>
      </c>
      <c r="AX36" s="9"/>
      <c r="AY36" s="21">
        <v>3.0975300000000001E-2</v>
      </c>
      <c r="AZ36" s="21">
        <v>27.7788</v>
      </c>
      <c r="BA36" s="21">
        <v>-1.6534400000000001E-2</v>
      </c>
      <c r="BB36" s="21">
        <v>26</v>
      </c>
      <c r="BC36" s="21">
        <v>3.06915E-2</v>
      </c>
      <c r="BD36">
        <f t="shared" si="10"/>
        <v>20.412839506172837</v>
      </c>
      <c r="BE36">
        <f t="shared" si="11"/>
        <v>0.63229382755555552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1.6639699999999999</v>
      </c>
      <c r="H37" s="21">
        <v>5.2542400000000002</v>
      </c>
      <c r="I37" s="21">
        <v>-1.36963E-2</v>
      </c>
      <c r="J37" s="21">
        <v>27</v>
      </c>
      <c r="K37" s="21">
        <v>1.6626000000000001</v>
      </c>
      <c r="L37">
        <f t="shared" si="0"/>
        <v>16.90901234567901</v>
      </c>
      <c r="M37">
        <f t="shared" si="1"/>
        <v>28.136089272839502</v>
      </c>
      <c r="N37" s="9"/>
      <c r="O37" s="21">
        <v>3.60107E-2</v>
      </c>
      <c r="P37" s="21">
        <v>9.0734300000000001</v>
      </c>
      <c r="Q37" s="21">
        <v>-1.6424600000000001E-2</v>
      </c>
      <c r="R37" s="21">
        <v>27</v>
      </c>
      <c r="S37" s="21">
        <v>3.5980199999999997E-2</v>
      </c>
      <c r="T37">
        <f t="shared" si="2"/>
        <v>20.277283950617282</v>
      </c>
      <c r="U37">
        <f t="shared" si="3"/>
        <v>0.73019918916049376</v>
      </c>
      <c r="X37" s="9"/>
      <c r="Y37" s="21">
        <v>1.6639699999999999</v>
      </c>
      <c r="Z37" s="21">
        <v>14.632899999999999</v>
      </c>
      <c r="AA37" s="21">
        <v>-1.3665800000000001E-2</v>
      </c>
      <c r="AB37" s="21">
        <v>27</v>
      </c>
      <c r="AC37" s="21">
        <v>1.6626000000000001</v>
      </c>
      <c r="AD37">
        <f t="shared" si="4"/>
        <v>16.871358024691357</v>
      </c>
      <c r="AE37">
        <f t="shared" si="5"/>
        <v>28.073433612345678</v>
      </c>
      <c r="AF37" s="9"/>
      <c r="AG37" s="21">
        <v>3.60107E-2</v>
      </c>
      <c r="AH37" s="21">
        <v>18.452100000000002</v>
      </c>
      <c r="AI37" s="21">
        <v>-1.64978E-2</v>
      </c>
      <c r="AJ37" s="21">
        <v>27</v>
      </c>
      <c r="AK37" s="21">
        <v>3.6083999999999998E-2</v>
      </c>
      <c r="AL37">
        <f t="shared" si="6"/>
        <v>20.367654320987651</v>
      </c>
      <c r="AM37">
        <f t="shared" si="7"/>
        <v>0.73345348945679001</v>
      </c>
      <c r="AP37" s="9"/>
      <c r="AQ37" s="21">
        <v>1.6639699999999999</v>
      </c>
      <c r="AR37" s="21">
        <v>23.9697</v>
      </c>
      <c r="AS37" s="21">
        <v>-1.3623E-2</v>
      </c>
      <c r="AT37" s="21">
        <v>27</v>
      </c>
      <c r="AU37" s="21">
        <v>1.6629</v>
      </c>
      <c r="AV37">
        <f t="shared" si="8"/>
        <v>16.818518518518516</v>
      </c>
      <c r="AW37">
        <f t="shared" si="9"/>
        <v>27.985510259259254</v>
      </c>
      <c r="AX37" s="9"/>
      <c r="AY37" s="21">
        <v>3.60107E-2</v>
      </c>
      <c r="AZ37" s="21">
        <v>27.788799999999998</v>
      </c>
      <c r="BA37" s="21">
        <v>-1.6528299999999999E-2</v>
      </c>
      <c r="BB37" s="21">
        <v>27</v>
      </c>
      <c r="BC37" s="21">
        <v>3.6303700000000001E-2</v>
      </c>
      <c r="BD37">
        <f t="shared" si="10"/>
        <v>20.405308641975306</v>
      </c>
      <c r="BE37">
        <f t="shared" si="11"/>
        <v>0.73480944791358016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1.6589400000000001</v>
      </c>
      <c r="H38" s="21">
        <v>5.26431</v>
      </c>
      <c r="I38" s="21">
        <v>-1.37787E-2</v>
      </c>
      <c r="J38" s="21">
        <v>28</v>
      </c>
      <c r="K38" s="21">
        <v>1.65802</v>
      </c>
      <c r="L38">
        <f t="shared" si="0"/>
        <v>17.01074074074074</v>
      </c>
      <c r="M38">
        <f t="shared" si="1"/>
        <v>28.219798244444444</v>
      </c>
      <c r="N38" s="9"/>
      <c r="O38" s="21">
        <v>4.1046100000000002E-2</v>
      </c>
      <c r="P38" s="21">
        <v>9.0835000000000008</v>
      </c>
      <c r="Q38" s="21">
        <v>-1.6418499999999999E-2</v>
      </c>
      <c r="R38" s="21">
        <v>28</v>
      </c>
      <c r="S38" s="21">
        <v>4.1131599999999997E-2</v>
      </c>
      <c r="T38">
        <f t="shared" si="2"/>
        <v>20.269753086419751</v>
      </c>
      <c r="U38">
        <f t="shared" si="3"/>
        <v>0.8319943121604938</v>
      </c>
      <c r="X38" s="9"/>
      <c r="Y38" s="21">
        <v>1.6589400000000001</v>
      </c>
      <c r="Z38" s="21">
        <v>14.643000000000001</v>
      </c>
      <c r="AA38" s="21">
        <v>-1.3754300000000001E-2</v>
      </c>
      <c r="AB38" s="21">
        <v>28</v>
      </c>
      <c r="AC38" s="21">
        <v>1.65771</v>
      </c>
      <c r="AD38">
        <f t="shared" si="4"/>
        <v>16.980617283950615</v>
      </c>
      <c r="AE38">
        <f t="shared" si="5"/>
        <v>28.169825237037035</v>
      </c>
      <c r="AF38" s="9"/>
      <c r="AG38" s="21">
        <v>4.1046100000000002E-2</v>
      </c>
      <c r="AH38" s="21">
        <v>18.462199999999999</v>
      </c>
      <c r="AI38" s="21">
        <v>-1.6488599999999999E-2</v>
      </c>
      <c r="AJ38" s="21">
        <v>28</v>
      </c>
      <c r="AK38" s="21">
        <v>4.0948499999999999E-2</v>
      </c>
      <c r="AL38">
        <f t="shared" si="6"/>
        <v>20.356296296296293</v>
      </c>
      <c r="AM38">
        <f t="shared" si="7"/>
        <v>0.83554657340740734</v>
      </c>
      <c r="AP38" s="9"/>
      <c r="AQ38" s="21">
        <v>1.6589400000000001</v>
      </c>
      <c r="AR38" s="21">
        <v>23.979700000000001</v>
      </c>
      <c r="AS38" s="21">
        <v>-1.37146E-2</v>
      </c>
      <c r="AT38" s="21">
        <v>28</v>
      </c>
      <c r="AU38" s="21">
        <v>1.65802</v>
      </c>
      <c r="AV38">
        <f t="shared" si="8"/>
        <v>16.931604938271605</v>
      </c>
      <c r="AW38">
        <f t="shared" si="9"/>
        <v>28.088516696296296</v>
      </c>
      <c r="AX38" s="9"/>
      <c r="AY38" s="21">
        <v>4.1046100000000002E-2</v>
      </c>
      <c r="AZ38" s="21">
        <v>27.7989</v>
      </c>
      <c r="BA38" s="21">
        <v>-1.6522200000000001E-2</v>
      </c>
      <c r="BB38" s="21">
        <v>28</v>
      </c>
      <c r="BC38" s="21">
        <v>4.0792799999999997E-2</v>
      </c>
      <c r="BD38">
        <f t="shared" si="10"/>
        <v>20.39777777777778</v>
      </c>
      <c r="BE38">
        <f t="shared" si="11"/>
        <v>0.83724922644444455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1.6538999999999999</v>
      </c>
      <c r="H39" s="21">
        <v>5.2743799999999998</v>
      </c>
      <c r="I39" s="21">
        <v>-1.3848900000000001E-2</v>
      </c>
      <c r="J39" s="21">
        <v>29</v>
      </c>
      <c r="K39" s="21">
        <v>1.65283</v>
      </c>
      <c r="L39">
        <f t="shared" si="0"/>
        <v>17.09740740740741</v>
      </c>
      <c r="M39">
        <f t="shared" si="1"/>
        <v>28.277402111111112</v>
      </c>
      <c r="N39" s="9"/>
      <c r="O39" s="21">
        <v>4.6081499999999997E-2</v>
      </c>
      <c r="P39" s="21">
        <v>9.0935699999999997</v>
      </c>
      <c r="Q39" s="21">
        <v>-1.6406299999999999E-2</v>
      </c>
      <c r="R39" s="21">
        <v>29</v>
      </c>
      <c r="S39" s="21">
        <v>4.6014399999999997E-2</v>
      </c>
      <c r="T39">
        <f t="shared" si="2"/>
        <v>20.254691358024687</v>
      </c>
      <c r="U39">
        <f t="shared" si="3"/>
        <v>0.93336655981481453</v>
      </c>
      <c r="X39" s="9"/>
      <c r="Y39" s="21">
        <v>1.6538999999999999</v>
      </c>
      <c r="Z39" s="21">
        <v>14.6531</v>
      </c>
      <c r="AA39" s="21">
        <v>-1.38367E-2</v>
      </c>
      <c r="AB39" s="21">
        <v>29</v>
      </c>
      <c r="AC39" s="21">
        <v>1.65283</v>
      </c>
      <c r="AD39">
        <f t="shared" si="4"/>
        <v>17.082345679012345</v>
      </c>
      <c r="AE39">
        <f t="shared" si="5"/>
        <v>28.252491518518518</v>
      </c>
      <c r="AF39" s="9"/>
      <c r="AG39" s="21">
        <v>4.6081499999999997E-2</v>
      </c>
      <c r="AH39" s="21">
        <v>18.472300000000001</v>
      </c>
      <c r="AI39" s="21">
        <v>-1.6482500000000001E-2</v>
      </c>
      <c r="AJ39" s="21">
        <v>29</v>
      </c>
      <c r="AK39" s="21">
        <v>4.6020499999999999E-2</v>
      </c>
      <c r="AL39">
        <f t="shared" si="6"/>
        <v>20.348765432098766</v>
      </c>
      <c r="AM39">
        <f t="shared" si="7"/>
        <v>0.93770163425925923</v>
      </c>
      <c r="AP39" s="9"/>
      <c r="AQ39" s="21">
        <v>1.6538999999999999</v>
      </c>
      <c r="AR39" s="21">
        <v>23.989799999999999</v>
      </c>
      <c r="AS39" s="21">
        <v>-1.38E-2</v>
      </c>
      <c r="AT39" s="21">
        <v>29</v>
      </c>
      <c r="AU39" s="21">
        <v>1.6531400000000001</v>
      </c>
      <c r="AV39">
        <f t="shared" si="8"/>
        <v>17.037037037037035</v>
      </c>
      <c r="AW39">
        <f t="shared" si="9"/>
        <v>28.17755555555555</v>
      </c>
      <c r="AX39" s="9"/>
      <c r="AY39" s="21">
        <v>4.6081499999999997E-2</v>
      </c>
      <c r="AZ39" s="21">
        <v>27.809000000000001</v>
      </c>
      <c r="BA39" s="21">
        <v>-1.6513099999999999E-2</v>
      </c>
      <c r="BB39" s="21">
        <v>29</v>
      </c>
      <c r="BC39" s="21">
        <v>4.6423300000000001E-2</v>
      </c>
      <c r="BD39">
        <f t="shared" si="10"/>
        <v>20.386543209876539</v>
      </c>
      <c r="BE39">
        <f t="shared" si="11"/>
        <v>0.93944249092592569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1.64886</v>
      </c>
      <c r="H40" s="21">
        <v>5.2844499999999996</v>
      </c>
      <c r="I40" s="21">
        <v>-1.3916E-2</v>
      </c>
      <c r="J40" s="21">
        <v>30</v>
      </c>
      <c r="K40" s="21">
        <v>1.64764</v>
      </c>
      <c r="L40">
        <f t="shared" si="0"/>
        <v>17.180246913580245</v>
      </c>
      <c r="M40">
        <f t="shared" si="1"/>
        <v>28.327821925925921</v>
      </c>
      <c r="N40" s="9"/>
      <c r="O40" s="21">
        <v>5.11169E-2</v>
      </c>
      <c r="P40" s="21">
        <v>9.1036400000000004</v>
      </c>
      <c r="Q40" s="21">
        <v>-1.6400100000000001E-2</v>
      </c>
      <c r="R40" s="21">
        <v>30</v>
      </c>
      <c r="S40" s="21">
        <v>5.1037600000000002E-2</v>
      </c>
      <c r="T40">
        <f t="shared" si="2"/>
        <v>20.247037037037035</v>
      </c>
      <c r="U40">
        <f t="shared" si="3"/>
        <v>1.0349657675185184</v>
      </c>
      <c r="X40" s="9"/>
      <c r="Y40" s="21">
        <v>1.64886</v>
      </c>
      <c r="Z40" s="21">
        <v>14.6631</v>
      </c>
      <c r="AA40" s="21">
        <v>-1.3909899999999999E-2</v>
      </c>
      <c r="AB40" s="21">
        <v>30</v>
      </c>
      <c r="AC40" s="21">
        <v>1.64764</v>
      </c>
      <c r="AD40">
        <f t="shared" si="4"/>
        <v>17.172716049382714</v>
      </c>
      <c r="AE40">
        <f t="shared" si="5"/>
        <v>28.315404585185181</v>
      </c>
      <c r="AF40" s="9"/>
      <c r="AG40" s="21">
        <v>5.11169E-2</v>
      </c>
      <c r="AH40" s="21">
        <v>18.482299999999999</v>
      </c>
      <c r="AI40" s="21">
        <v>-1.6476399999999999E-2</v>
      </c>
      <c r="AJ40" s="21">
        <v>30</v>
      </c>
      <c r="AK40" s="21">
        <v>5.1004000000000001E-2</v>
      </c>
      <c r="AL40">
        <f t="shared" si="6"/>
        <v>20.341234567901232</v>
      </c>
      <c r="AM40">
        <f t="shared" si="7"/>
        <v>1.0397808532839505</v>
      </c>
      <c r="AP40" s="9"/>
      <c r="AQ40" s="21">
        <v>1.64886</v>
      </c>
      <c r="AR40" s="21">
        <v>23.9999</v>
      </c>
      <c r="AS40" s="21">
        <v>-1.38794E-2</v>
      </c>
      <c r="AT40" s="21">
        <v>30</v>
      </c>
      <c r="AU40" s="21">
        <v>1.64795</v>
      </c>
      <c r="AV40">
        <f t="shared" si="8"/>
        <v>17.135061728395058</v>
      </c>
      <c r="AW40">
        <f t="shared" si="9"/>
        <v>28.253317881481475</v>
      </c>
      <c r="AX40" s="9"/>
      <c r="AY40" s="21">
        <v>5.11169E-2</v>
      </c>
      <c r="AZ40" s="21">
        <v>27.819099999999999</v>
      </c>
      <c r="BA40" s="21">
        <v>-1.6503899999999998E-2</v>
      </c>
      <c r="BB40" s="21">
        <v>30</v>
      </c>
      <c r="BC40" s="21">
        <v>5.1068099999999998E-2</v>
      </c>
      <c r="BD40">
        <f t="shared" si="10"/>
        <v>20.375185185185181</v>
      </c>
      <c r="BE40">
        <f t="shared" si="11"/>
        <v>1.0415163035925923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1.6438299999999999</v>
      </c>
      <c r="H41" s="21">
        <v>5.2945200000000003</v>
      </c>
      <c r="I41" s="21">
        <v>-1.3980100000000001E-2</v>
      </c>
      <c r="J41" s="21">
        <v>31</v>
      </c>
      <c r="K41" s="21">
        <v>1.64246</v>
      </c>
      <c r="L41">
        <f t="shared" si="0"/>
        <v>17.259382716049384</v>
      </c>
      <c r="M41">
        <f t="shared" si="1"/>
        <v>28.371491090123456</v>
      </c>
      <c r="N41" s="9"/>
      <c r="O41" s="21">
        <v>5.6152300000000002E-2</v>
      </c>
      <c r="P41" s="21">
        <v>9.1137099999999993</v>
      </c>
      <c r="Q41" s="21">
        <v>-1.6397100000000001E-2</v>
      </c>
      <c r="R41" s="21">
        <v>31</v>
      </c>
      <c r="S41" s="21">
        <v>5.5511499999999998E-2</v>
      </c>
      <c r="T41">
        <f t="shared" si="2"/>
        <v>20.243333333333332</v>
      </c>
      <c r="U41">
        <f t="shared" si="3"/>
        <v>1.1367097263333332</v>
      </c>
      <c r="X41" s="9"/>
      <c r="Y41" s="21">
        <v>1.6438299999999999</v>
      </c>
      <c r="Z41" s="21">
        <v>14.6732</v>
      </c>
      <c r="AA41" s="21">
        <v>-1.3974E-2</v>
      </c>
      <c r="AB41" s="21">
        <v>31</v>
      </c>
      <c r="AC41" s="21">
        <v>1.64307</v>
      </c>
      <c r="AD41">
        <f t="shared" si="4"/>
        <v>17.251851851851853</v>
      </c>
      <c r="AE41">
        <f t="shared" si="5"/>
        <v>28.359111629629631</v>
      </c>
      <c r="AF41" s="9"/>
      <c r="AG41" s="21">
        <v>5.6152300000000002E-2</v>
      </c>
      <c r="AH41" s="21">
        <v>18.4924</v>
      </c>
      <c r="AI41" s="21">
        <v>-1.6467300000000001E-2</v>
      </c>
      <c r="AJ41" s="21">
        <v>31</v>
      </c>
      <c r="AK41" s="21">
        <v>5.5877700000000002E-2</v>
      </c>
      <c r="AL41">
        <f t="shared" si="6"/>
        <v>20.330000000000002</v>
      </c>
      <c r="AM41">
        <f t="shared" si="7"/>
        <v>1.1415762590000003</v>
      </c>
      <c r="AP41" s="9"/>
      <c r="AQ41" s="21">
        <v>1.6438299999999999</v>
      </c>
      <c r="AR41" s="21">
        <v>24.009899999999998</v>
      </c>
      <c r="AS41" s="21">
        <v>-1.39496E-2</v>
      </c>
      <c r="AT41" s="21">
        <v>31</v>
      </c>
      <c r="AU41" s="21">
        <v>1.64276</v>
      </c>
      <c r="AV41">
        <f t="shared" si="8"/>
        <v>17.221728395061724</v>
      </c>
      <c r="AW41">
        <f t="shared" si="9"/>
        <v>28.309593787654311</v>
      </c>
      <c r="AX41" s="9"/>
      <c r="AY41" s="21">
        <v>5.6152300000000002E-2</v>
      </c>
      <c r="AZ41" s="21">
        <v>27.8291</v>
      </c>
      <c r="BA41" s="21">
        <v>-1.64978E-2</v>
      </c>
      <c r="BB41" s="21">
        <v>31</v>
      </c>
      <c r="BC41" s="21">
        <v>5.5786099999999998E-2</v>
      </c>
      <c r="BD41">
        <f t="shared" si="10"/>
        <v>20.367654320987651</v>
      </c>
      <c r="BE41">
        <f t="shared" si="11"/>
        <v>1.1436906357283949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1.63879</v>
      </c>
      <c r="H42" s="21">
        <v>5.3045900000000001</v>
      </c>
      <c r="I42" s="21">
        <v>-1.40381E-2</v>
      </c>
      <c r="J42" s="21">
        <v>32</v>
      </c>
      <c r="K42" s="21">
        <v>1.63757</v>
      </c>
      <c r="L42">
        <f t="shared" si="0"/>
        <v>17.330987654320985</v>
      </c>
      <c r="M42">
        <f t="shared" si="1"/>
        <v>28.401849258024686</v>
      </c>
      <c r="N42" s="9"/>
      <c r="O42" s="21">
        <v>6.1187699999999998E-2</v>
      </c>
      <c r="P42" s="21">
        <v>9.12378</v>
      </c>
      <c r="Q42" s="21">
        <v>-1.63879E-2</v>
      </c>
      <c r="R42" s="21">
        <v>32</v>
      </c>
      <c r="S42" s="21">
        <v>6.0607899999999999E-2</v>
      </c>
      <c r="T42">
        <f t="shared" si="2"/>
        <v>20.231975308641974</v>
      </c>
      <c r="U42">
        <f t="shared" si="3"/>
        <v>1.2379480355925925</v>
      </c>
      <c r="X42" s="9"/>
      <c r="Y42" s="21">
        <v>1.63879</v>
      </c>
      <c r="Z42" s="21">
        <v>14.683299999999999</v>
      </c>
      <c r="AA42" s="21">
        <v>-1.4031999999999999E-2</v>
      </c>
      <c r="AB42" s="21">
        <v>32</v>
      </c>
      <c r="AC42" s="21">
        <v>1.63727</v>
      </c>
      <c r="AD42">
        <f t="shared" si="4"/>
        <v>17.323456790123455</v>
      </c>
      <c r="AE42">
        <f t="shared" si="5"/>
        <v>28.389507753086416</v>
      </c>
      <c r="AF42" s="9"/>
      <c r="AG42" s="21">
        <v>6.1187699999999998E-2</v>
      </c>
      <c r="AH42" s="21">
        <v>18.502500000000001</v>
      </c>
      <c r="AI42" s="21">
        <v>-1.6461199999999999E-2</v>
      </c>
      <c r="AJ42" s="21">
        <v>32</v>
      </c>
      <c r="AK42" s="21">
        <v>6.0577400000000003E-2</v>
      </c>
      <c r="AL42">
        <f t="shared" si="6"/>
        <v>20.322469135802464</v>
      </c>
      <c r="AM42">
        <f t="shared" si="7"/>
        <v>1.2434851447407405</v>
      </c>
      <c r="AP42" s="9"/>
      <c r="AQ42" s="21">
        <v>1.63879</v>
      </c>
      <c r="AR42" s="21">
        <v>24.02</v>
      </c>
      <c r="AS42" s="21">
        <v>-1.4019800000000001E-2</v>
      </c>
      <c r="AT42" s="21">
        <v>32</v>
      </c>
      <c r="AU42" s="21">
        <v>1.63818</v>
      </c>
      <c r="AV42">
        <f t="shared" si="8"/>
        <v>17.308395061728394</v>
      </c>
      <c r="AW42">
        <f t="shared" si="9"/>
        <v>28.364824743209873</v>
      </c>
      <c r="AX42" s="9"/>
      <c r="AY42" s="21">
        <v>6.1187699999999998E-2</v>
      </c>
      <c r="AZ42" s="21">
        <v>27.839200000000002</v>
      </c>
      <c r="BA42" s="21">
        <v>-1.6488599999999999E-2</v>
      </c>
      <c r="BB42" s="21">
        <v>32</v>
      </c>
      <c r="BC42" s="21">
        <v>6.0333299999999999E-2</v>
      </c>
      <c r="BD42">
        <f t="shared" si="10"/>
        <v>20.356296296296293</v>
      </c>
      <c r="BE42">
        <f t="shared" si="11"/>
        <v>1.2455549508888886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1.6337600000000001</v>
      </c>
      <c r="H43" s="21">
        <v>5.3146599999999999</v>
      </c>
      <c r="I43" s="21">
        <v>-1.4093E-2</v>
      </c>
      <c r="J43" s="21">
        <v>33</v>
      </c>
      <c r="K43" s="21">
        <v>1.633</v>
      </c>
      <c r="L43">
        <f t="shared" si="0"/>
        <v>17.398765432098763</v>
      </c>
      <c r="M43">
        <f t="shared" si="1"/>
        <v>28.425407012345676</v>
      </c>
      <c r="N43" s="9"/>
      <c r="O43" s="21">
        <v>6.6223099999999993E-2</v>
      </c>
      <c r="P43" s="21">
        <v>9.1338500000000007</v>
      </c>
      <c r="Q43" s="21">
        <v>-1.6381799999999998E-2</v>
      </c>
      <c r="R43" s="21">
        <v>33</v>
      </c>
      <c r="S43" s="21">
        <v>6.5673800000000004E-2</v>
      </c>
      <c r="T43">
        <f t="shared" si="2"/>
        <v>20.22444444444444</v>
      </c>
      <c r="U43">
        <f t="shared" si="3"/>
        <v>1.3393254068888885</v>
      </c>
      <c r="X43" s="9"/>
      <c r="Y43" s="21">
        <v>1.6337600000000001</v>
      </c>
      <c r="Z43" s="21">
        <v>14.6934</v>
      </c>
      <c r="AA43" s="21">
        <v>-1.40991E-2</v>
      </c>
      <c r="AB43" s="21">
        <v>33</v>
      </c>
      <c r="AC43" s="21">
        <v>1.633</v>
      </c>
      <c r="AD43">
        <f t="shared" si="4"/>
        <v>17.406296296296293</v>
      </c>
      <c r="AE43">
        <f t="shared" si="5"/>
        <v>28.437710637037036</v>
      </c>
      <c r="AF43" s="9"/>
      <c r="AG43" s="21">
        <v>6.6223099999999993E-2</v>
      </c>
      <c r="AH43" s="21">
        <v>18.512499999999999</v>
      </c>
      <c r="AI43" s="21">
        <v>-1.64551E-2</v>
      </c>
      <c r="AJ43" s="21">
        <v>33</v>
      </c>
      <c r="AK43" s="21">
        <v>6.5490699999999999E-2</v>
      </c>
      <c r="AL43">
        <f t="shared" si="6"/>
        <v>20.314938271604937</v>
      </c>
      <c r="AM43">
        <f t="shared" si="7"/>
        <v>1.3453181886543208</v>
      </c>
      <c r="AP43" s="9"/>
      <c r="AQ43" s="21">
        <v>1.6337600000000001</v>
      </c>
      <c r="AR43" s="21">
        <v>24.030100000000001</v>
      </c>
      <c r="AS43" s="21">
        <v>-1.4080799999999999E-2</v>
      </c>
      <c r="AT43" s="21">
        <v>33</v>
      </c>
      <c r="AU43" s="21">
        <v>1.633</v>
      </c>
      <c r="AV43">
        <f t="shared" si="8"/>
        <v>17.383703703703702</v>
      </c>
      <c r="AW43">
        <f t="shared" si="9"/>
        <v>28.400799762962961</v>
      </c>
      <c r="AX43" s="9"/>
      <c r="AY43" s="21">
        <v>6.6223099999999993E-2</v>
      </c>
      <c r="AZ43" s="21">
        <v>27.849299999999999</v>
      </c>
      <c r="BA43" s="21">
        <v>-1.6482500000000001E-2</v>
      </c>
      <c r="BB43" s="21">
        <v>33</v>
      </c>
      <c r="BC43" s="21">
        <v>6.5216099999999999E-2</v>
      </c>
      <c r="BD43">
        <f t="shared" si="10"/>
        <v>20.348765432098766</v>
      </c>
      <c r="BE43">
        <f t="shared" si="11"/>
        <v>1.3475583280864196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1.6287199999999999</v>
      </c>
      <c r="H44" s="21">
        <v>5.3247299999999997</v>
      </c>
      <c r="I44" s="21">
        <v>-1.41388E-2</v>
      </c>
      <c r="J44" s="21">
        <v>34</v>
      </c>
      <c r="K44" s="21">
        <v>1.6274999999999999</v>
      </c>
      <c r="L44">
        <f t="shared" si="0"/>
        <v>17.455308641975307</v>
      </c>
      <c r="M44">
        <f t="shared" si="1"/>
        <v>28.42981029135802</v>
      </c>
      <c r="N44" s="9"/>
      <c r="O44" s="21">
        <v>7.1258500000000002E-2</v>
      </c>
      <c r="P44" s="21">
        <v>9.1439199999999996</v>
      </c>
      <c r="Q44" s="21">
        <v>-1.63757E-2</v>
      </c>
      <c r="R44" s="21">
        <v>34</v>
      </c>
      <c r="S44" s="21">
        <v>7.0587200000000003E-2</v>
      </c>
      <c r="T44">
        <f t="shared" si="2"/>
        <v>20.216913580246914</v>
      </c>
      <c r="U44">
        <f t="shared" si="3"/>
        <v>1.4406269363580246</v>
      </c>
      <c r="X44" s="9"/>
      <c r="Y44" s="21">
        <v>1.6287199999999999</v>
      </c>
      <c r="Z44" s="21">
        <v>14.7034</v>
      </c>
      <c r="AA44" s="21">
        <v>-1.41449E-2</v>
      </c>
      <c r="AB44" s="21">
        <v>34</v>
      </c>
      <c r="AC44" s="21">
        <v>1.6274999999999999</v>
      </c>
      <c r="AD44">
        <f t="shared" si="4"/>
        <v>17.462839506172838</v>
      </c>
      <c r="AE44">
        <f t="shared" si="5"/>
        <v>28.442075960493824</v>
      </c>
      <c r="AF44" s="9"/>
      <c r="AG44" s="21">
        <v>7.1258500000000002E-2</v>
      </c>
      <c r="AH44" s="21">
        <v>18.522600000000001</v>
      </c>
      <c r="AI44" s="21">
        <v>-1.6445899999999999E-2</v>
      </c>
      <c r="AJ44" s="21">
        <v>34</v>
      </c>
      <c r="AK44" s="21">
        <v>7.0861800000000003E-2</v>
      </c>
      <c r="AL44">
        <f t="shared" si="6"/>
        <v>20.30358024691358</v>
      </c>
      <c r="AM44">
        <f t="shared" si="7"/>
        <v>1.4468026730246915</v>
      </c>
      <c r="AP44" s="9"/>
      <c r="AQ44" s="21">
        <v>1.6287199999999999</v>
      </c>
      <c r="AR44" s="21">
        <v>24.040199999999999</v>
      </c>
      <c r="AS44" s="21">
        <v>-1.4135699999999999E-2</v>
      </c>
      <c r="AT44" s="21">
        <v>34</v>
      </c>
      <c r="AU44" s="21">
        <v>1.6272</v>
      </c>
      <c r="AV44">
        <f t="shared" si="8"/>
        <v>17.45148148148148</v>
      </c>
      <c r="AW44">
        <f t="shared" si="9"/>
        <v>28.423576918518513</v>
      </c>
      <c r="AX44" s="9"/>
      <c r="AY44" s="21">
        <v>7.1258500000000002E-2</v>
      </c>
      <c r="AZ44" s="21">
        <v>27.859300000000001</v>
      </c>
      <c r="BA44" s="21">
        <v>-1.6476399999999999E-2</v>
      </c>
      <c r="BB44" s="21">
        <v>34</v>
      </c>
      <c r="BC44" s="21">
        <v>7.0770299999999994E-2</v>
      </c>
      <c r="BD44">
        <f t="shared" si="10"/>
        <v>20.341234567901232</v>
      </c>
      <c r="BE44">
        <f t="shared" si="11"/>
        <v>1.44948586345679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1.6236900000000001</v>
      </c>
      <c r="H45" s="21">
        <v>5.3348000000000004</v>
      </c>
      <c r="I45" s="21">
        <v>-1.41815E-2</v>
      </c>
      <c r="J45" s="21">
        <v>35</v>
      </c>
      <c r="K45" s="21">
        <v>1.62262</v>
      </c>
      <c r="L45">
        <f t="shared" si="0"/>
        <v>17.508024691358024</v>
      </c>
      <c r="M45">
        <f t="shared" si="1"/>
        <v>28.427604611111111</v>
      </c>
      <c r="N45" s="9"/>
      <c r="O45" s="21">
        <v>7.6293899999999998E-2</v>
      </c>
      <c r="P45" s="21">
        <v>9.1539999999999999</v>
      </c>
      <c r="Q45" s="21">
        <v>-1.6366599999999999E-2</v>
      </c>
      <c r="R45" s="21">
        <v>35</v>
      </c>
      <c r="S45" s="21">
        <v>7.5805700000000004E-2</v>
      </c>
      <c r="T45">
        <f t="shared" si="2"/>
        <v>20.205679012345676</v>
      </c>
      <c r="U45">
        <f t="shared" si="3"/>
        <v>1.5415700539999997</v>
      </c>
      <c r="X45" s="9"/>
      <c r="Y45" s="21">
        <v>1.6236900000000001</v>
      </c>
      <c r="Z45" s="21">
        <v>14.7135</v>
      </c>
      <c r="AA45" s="21">
        <v>-1.41937E-2</v>
      </c>
      <c r="AB45" s="21">
        <v>35</v>
      </c>
      <c r="AC45" s="21">
        <v>1.62323</v>
      </c>
      <c r="AD45">
        <f t="shared" si="4"/>
        <v>17.523086419753085</v>
      </c>
      <c r="AE45">
        <f t="shared" si="5"/>
        <v>28.452060188888886</v>
      </c>
      <c r="AF45" s="9"/>
      <c r="AG45" s="21">
        <v>7.6293899999999998E-2</v>
      </c>
      <c r="AH45" s="21">
        <v>18.532699999999998</v>
      </c>
      <c r="AI45" s="21">
        <v>-1.6439800000000001E-2</v>
      </c>
      <c r="AJ45" s="21">
        <v>35</v>
      </c>
      <c r="AK45" s="21">
        <v>7.5775099999999998E-2</v>
      </c>
      <c r="AL45">
        <f t="shared" si="6"/>
        <v>20.296049382716049</v>
      </c>
      <c r="AM45">
        <f t="shared" si="7"/>
        <v>1.5484647619999998</v>
      </c>
      <c r="AP45" s="9"/>
      <c r="AQ45" s="21">
        <v>1.6236900000000001</v>
      </c>
      <c r="AR45" s="21">
        <v>24.0502</v>
      </c>
      <c r="AS45" s="21">
        <v>-1.41846E-2</v>
      </c>
      <c r="AT45" s="21">
        <v>35</v>
      </c>
      <c r="AU45" s="21">
        <v>1.62323</v>
      </c>
      <c r="AV45">
        <f t="shared" si="8"/>
        <v>17.511851851851851</v>
      </c>
      <c r="AW45">
        <f t="shared" si="9"/>
        <v>28.433818733333332</v>
      </c>
      <c r="AX45" s="9"/>
      <c r="AY45" s="21">
        <v>7.6293899999999998E-2</v>
      </c>
      <c r="AZ45" s="21">
        <v>27.869399999999999</v>
      </c>
      <c r="BA45" s="21">
        <v>-1.64703E-2</v>
      </c>
      <c r="BB45" s="21">
        <v>35</v>
      </c>
      <c r="BC45" s="21">
        <v>7.5408900000000001E-2</v>
      </c>
      <c r="BD45">
        <f t="shared" si="10"/>
        <v>20.333703703703701</v>
      </c>
      <c r="BE45">
        <f t="shared" si="11"/>
        <v>1.5513375569999999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1.6186499999999999</v>
      </c>
      <c r="H46" s="21">
        <v>5.3448799999999999</v>
      </c>
      <c r="I46" s="21">
        <v>-1.42212E-2</v>
      </c>
      <c r="J46" s="21">
        <v>36</v>
      </c>
      <c r="K46" s="21">
        <v>1.61774</v>
      </c>
      <c r="L46">
        <f t="shared" si="0"/>
        <v>17.557037037037034</v>
      </c>
      <c r="M46">
        <f t="shared" si="1"/>
        <v>28.418697999999996</v>
      </c>
      <c r="N46" s="9"/>
      <c r="O46" s="21">
        <v>8.1329299999999993E-2</v>
      </c>
      <c r="P46" s="21">
        <v>9.1640700000000006</v>
      </c>
      <c r="Q46" s="21">
        <v>-1.63605E-2</v>
      </c>
      <c r="R46" s="21">
        <v>36</v>
      </c>
      <c r="S46" s="21">
        <v>8.0902100000000005E-2</v>
      </c>
      <c r="T46">
        <f t="shared" si="2"/>
        <v>20.198148148148146</v>
      </c>
      <c r="U46">
        <f t="shared" si="3"/>
        <v>1.642701250185185</v>
      </c>
      <c r="X46" s="9"/>
      <c r="Y46" s="21">
        <v>1.6186499999999999</v>
      </c>
      <c r="Z46" s="21">
        <v>14.723599999999999</v>
      </c>
      <c r="AA46" s="21">
        <v>-1.4236499999999999E-2</v>
      </c>
      <c r="AB46" s="21">
        <v>36</v>
      </c>
      <c r="AC46" s="21">
        <v>1.61713</v>
      </c>
      <c r="AD46">
        <f t="shared" si="4"/>
        <v>17.575925925925926</v>
      </c>
      <c r="AE46">
        <f t="shared" si="5"/>
        <v>28.449272499999999</v>
      </c>
      <c r="AF46" s="9"/>
      <c r="AG46" s="21">
        <v>8.1329299999999993E-2</v>
      </c>
      <c r="AH46" s="21">
        <v>18.5428</v>
      </c>
      <c r="AI46" s="21">
        <v>-1.6433699999999999E-2</v>
      </c>
      <c r="AJ46" s="21">
        <v>36</v>
      </c>
      <c r="AK46" s="21">
        <v>8.0810499999999993E-2</v>
      </c>
      <c r="AL46">
        <f t="shared" si="6"/>
        <v>20.288518518518515</v>
      </c>
      <c r="AM46">
        <f t="shared" si="7"/>
        <v>1.6500510091481477</v>
      </c>
      <c r="AP46" s="9"/>
      <c r="AQ46" s="21">
        <v>1.6186499999999999</v>
      </c>
      <c r="AR46" s="21">
        <v>24.060300000000002</v>
      </c>
      <c r="AS46" s="21">
        <v>-1.42303E-2</v>
      </c>
      <c r="AT46" s="21">
        <v>36</v>
      </c>
      <c r="AU46" s="21">
        <v>1.6180399999999999</v>
      </c>
      <c r="AV46">
        <f t="shared" si="8"/>
        <v>17.568271604938271</v>
      </c>
      <c r="AW46">
        <f t="shared" si="9"/>
        <v>28.436882833333332</v>
      </c>
      <c r="AX46" s="9"/>
      <c r="AY46" s="21">
        <v>8.1329299999999993E-2</v>
      </c>
      <c r="AZ46" s="21">
        <v>27.8795</v>
      </c>
      <c r="BA46" s="21">
        <v>-1.6464199999999998E-2</v>
      </c>
      <c r="BB46" s="21">
        <v>36</v>
      </c>
      <c r="BC46" s="21">
        <v>8.0841099999999999E-2</v>
      </c>
      <c r="BD46">
        <f t="shared" si="10"/>
        <v>20.326172839506171</v>
      </c>
      <c r="BE46">
        <f t="shared" si="11"/>
        <v>1.6531134087160491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1.6136200000000001</v>
      </c>
      <c r="H47" s="21">
        <v>5.3549499999999997</v>
      </c>
      <c r="I47" s="21">
        <v>-1.4257799999999999E-2</v>
      </c>
      <c r="J47" s="21">
        <v>37</v>
      </c>
      <c r="K47" s="21">
        <v>1.6125499999999999</v>
      </c>
      <c r="L47">
        <f t="shared" si="0"/>
        <v>17.60222222222222</v>
      </c>
      <c r="M47">
        <f t="shared" si="1"/>
        <v>28.403297822222221</v>
      </c>
      <c r="N47" s="9"/>
      <c r="O47" s="21">
        <v>8.6364700000000003E-2</v>
      </c>
      <c r="P47" s="21">
        <v>9.1741399999999995</v>
      </c>
      <c r="Q47" s="21">
        <v>-1.6354400000000002E-2</v>
      </c>
      <c r="R47" s="21">
        <v>37</v>
      </c>
      <c r="S47" s="21">
        <v>8.5784899999999997E-2</v>
      </c>
      <c r="T47">
        <f t="shared" si="2"/>
        <v>20.190617283950619</v>
      </c>
      <c r="U47">
        <f t="shared" si="3"/>
        <v>1.74375660454321</v>
      </c>
      <c r="X47" s="9"/>
      <c r="Y47" s="21">
        <v>1.6136200000000001</v>
      </c>
      <c r="Z47" s="21">
        <v>14.733599999999999</v>
      </c>
      <c r="AA47" s="21">
        <v>-1.4279200000000001E-2</v>
      </c>
      <c r="AB47" s="21">
        <v>37</v>
      </c>
      <c r="AC47" s="21">
        <v>1.6128499999999999</v>
      </c>
      <c r="AD47">
        <f t="shared" si="4"/>
        <v>17.628641975308639</v>
      </c>
      <c r="AE47">
        <f t="shared" si="5"/>
        <v>28.445929264197527</v>
      </c>
      <c r="AF47" s="9"/>
      <c r="AG47" s="21">
        <v>8.6364700000000003E-2</v>
      </c>
      <c r="AH47" s="21">
        <v>18.552800000000001</v>
      </c>
      <c r="AI47" s="21">
        <v>-1.6427600000000001E-2</v>
      </c>
      <c r="AJ47" s="21">
        <v>37</v>
      </c>
      <c r="AK47" s="21">
        <v>8.5754399999999995E-2</v>
      </c>
      <c r="AL47">
        <f t="shared" si="6"/>
        <v>20.280987654320988</v>
      </c>
      <c r="AM47">
        <f t="shared" si="7"/>
        <v>1.7515614144691358</v>
      </c>
      <c r="AP47" s="9"/>
      <c r="AQ47" s="21">
        <v>1.6136200000000001</v>
      </c>
      <c r="AR47" s="21">
        <v>24.070399999999999</v>
      </c>
      <c r="AS47" s="21">
        <v>-1.42731E-2</v>
      </c>
      <c r="AT47" s="21">
        <v>37</v>
      </c>
      <c r="AU47" s="21">
        <v>1.6125499999999999</v>
      </c>
      <c r="AV47">
        <f t="shared" si="8"/>
        <v>17.621111111111112</v>
      </c>
      <c r="AW47">
        <f t="shared" si="9"/>
        <v>28.433777311111115</v>
      </c>
      <c r="AX47" s="9"/>
      <c r="AY47" s="21">
        <v>8.6364700000000003E-2</v>
      </c>
      <c r="AZ47" s="21">
        <v>27.889600000000002</v>
      </c>
      <c r="BA47" s="21">
        <v>-1.64581E-2</v>
      </c>
      <c r="BB47" s="21">
        <v>37</v>
      </c>
      <c r="BC47" s="21">
        <v>8.5723900000000006E-2</v>
      </c>
      <c r="BD47">
        <f t="shared" si="10"/>
        <v>20.31864197530864</v>
      </c>
      <c r="BE47">
        <f t="shared" si="11"/>
        <v>1.7548134186049382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1.6085799999999999</v>
      </c>
      <c r="H48" s="21">
        <v>5.3650200000000003</v>
      </c>
      <c r="I48" s="21">
        <v>-1.4294400000000001E-2</v>
      </c>
      <c r="J48" s="21">
        <v>38</v>
      </c>
      <c r="K48" s="21">
        <v>1.6082799999999999</v>
      </c>
      <c r="L48">
        <f t="shared" si="0"/>
        <v>17.647407407407407</v>
      </c>
      <c r="M48">
        <f t="shared" si="1"/>
        <v>28.387266607407405</v>
      </c>
      <c r="N48" s="9"/>
      <c r="O48" s="21">
        <v>9.1400099999999998E-2</v>
      </c>
      <c r="P48" s="21">
        <v>9.1842100000000002</v>
      </c>
      <c r="Q48" s="21">
        <v>-1.6345200000000001E-2</v>
      </c>
      <c r="R48" s="21">
        <v>38</v>
      </c>
      <c r="S48" s="21">
        <v>9.0850799999999995E-2</v>
      </c>
      <c r="T48">
        <f t="shared" si="2"/>
        <v>20.179259259259258</v>
      </c>
      <c r="U48">
        <f t="shared" si="3"/>
        <v>1.8443863142222221</v>
      </c>
      <c r="X48" s="9"/>
      <c r="Y48" s="21">
        <v>1.6085799999999999</v>
      </c>
      <c r="Z48" s="21">
        <v>14.7437</v>
      </c>
      <c r="AA48" s="21">
        <v>-1.43158E-2</v>
      </c>
      <c r="AB48" s="21">
        <v>38</v>
      </c>
      <c r="AC48" s="21">
        <v>1.6073599999999999</v>
      </c>
      <c r="AD48">
        <f t="shared" si="4"/>
        <v>17.673827160493826</v>
      </c>
      <c r="AE48">
        <f t="shared" si="5"/>
        <v>28.429764893827155</v>
      </c>
      <c r="AF48" s="9"/>
      <c r="AG48" s="21">
        <v>9.1400099999999998E-2</v>
      </c>
      <c r="AH48" s="21">
        <v>18.562899999999999</v>
      </c>
      <c r="AI48" s="21">
        <v>-1.64154E-2</v>
      </c>
      <c r="AJ48" s="21">
        <v>38</v>
      </c>
      <c r="AK48" s="21">
        <v>9.0881299999999998E-2</v>
      </c>
      <c r="AL48">
        <f t="shared" si="6"/>
        <v>20.265925925925924</v>
      </c>
      <c r="AM48">
        <f t="shared" si="7"/>
        <v>1.852307656222222</v>
      </c>
      <c r="AP48" s="9"/>
      <c r="AQ48" s="21">
        <v>1.6085799999999999</v>
      </c>
      <c r="AR48" s="21">
        <v>24.080400000000001</v>
      </c>
      <c r="AS48" s="21">
        <v>-1.43097E-2</v>
      </c>
      <c r="AT48" s="21">
        <v>38</v>
      </c>
      <c r="AU48" s="21">
        <v>1.6079699999999999</v>
      </c>
      <c r="AV48">
        <f t="shared" si="8"/>
        <v>17.666296296296295</v>
      </c>
      <c r="AW48">
        <f t="shared" si="9"/>
        <v>28.417650896296294</v>
      </c>
      <c r="AX48" s="9"/>
      <c r="AY48" s="21">
        <v>9.1400099999999998E-2</v>
      </c>
      <c r="AZ48" s="21">
        <v>27.8996</v>
      </c>
      <c r="BA48" s="21">
        <v>-1.6448999999999998E-2</v>
      </c>
      <c r="BB48" s="21">
        <v>38</v>
      </c>
      <c r="BC48" s="21">
        <v>9.1033900000000001E-2</v>
      </c>
      <c r="BD48">
        <f t="shared" si="10"/>
        <v>20.307407407407403</v>
      </c>
      <c r="BE48">
        <f t="shared" si="11"/>
        <v>1.8560990677777773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1.60355</v>
      </c>
      <c r="H49" s="21">
        <v>5.3750900000000001</v>
      </c>
      <c r="I49" s="21">
        <v>-1.4324999999999999E-2</v>
      </c>
      <c r="J49" s="21">
        <v>39</v>
      </c>
      <c r="K49" s="21">
        <v>1.6030899999999999</v>
      </c>
      <c r="L49">
        <f t="shared" si="0"/>
        <v>17.685185185185183</v>
      </c>
      <c r="M49">
        <f t="shared" si="1"/>
        <v>28.359078703703702</v>
      </c>
      <c r="N49" s="9"/>
      <c r="O49" s="21">
        <v>9.6435499999999993E-2</v>
      </c>
      <c r="P49" s="21">
        <v>9.1942799999999991</v>
      </c>
      <c r="Q49" s="21">
        <v>-1.6339099999999999E-2</v>
      </c>
      <c r="R49" s="21">
        <v>39</v>
      </c>
      <c r="S49" s="21">
        <v>9.5581100000000002E-2</v>
      </c>
      <c r="T49">
        <f t="shared" si="2"/>
        <v>20.171728395061727</v>
      </c>
      <c r="U49">
        <f t="shared" si="3"/>
        <v>1.9452707136419751</v>
      </c>
      <c r="X49" s="9"/>
      <c r="Y49" s="21">
        <v>1.60355</v>
      </c>
      <c r="Z49" s="21">
        <v>14.7538</v>
      </c>
      <c r="AA49" s="21">
        <v>-1.43494E-2</v>
      </c>
      <c r="AB49" s="21">
        <v>39</v>
      </c>
      <c r="AC49" s="21">
        <v>1.6027800000000001</v>
      </c>
      <c r="AD49">
        <f t="shared" si="4"/>
        <v>17.715308641975309</v>
      </c>
      <c r="AE49">
        <f t="shared" si="5"/>
        <v>28.407383172839506</v>
      </c>
      <c r="AF49" s="9"/>
      <c r="AG49" s="21">
        <v>9.6435499999999993E-2</v>
      </c>
      <c r="AH49" s="21">
        <v>18.573</v>
      </c>
      <c r="AI49" s="21">
        <v>-1.6409300000000002E-2</v>
      </c>
      <c r="AJ49" s="21">
        <v>39</v>
      </c>
      <c r="AK49" s="21">
        <v>9.5733600000000002E-2</v>
      </c>
      <c r="AL49">
        <f t="shared" si="6"/>
        <v>20.258395061728397</v>
      </c>
      <c r="AM49">
        <f t="shared" si="7"/>
        <v>1.9536284569753086</v>
      </c>
      <c r="AP49" s="9"/>
      <c r="AQ49" s="21">
        <v>1.60355</v>
      </c>
      <c r="AR49" s="21">
        <v>24.090499999999999</v>
      </c>
      <c r="AS49" s="21">
        <v>-1.43433E-2</v>
      </c>
      <c r="AT49" s="21">
        <v>39</v>
      </c>
      <c r="AU49" s="21">
        <v>1.6027800000000001</v>
      </c>
      <c r="AV49">
        <f t="shared" si="8"/>
        <v>17.707777777777778</v>
      </c>
      <c r="AW49">
        <f t="shared" si="9"/>
        <v>28.395307055555556</v>
      </c>
      <c r="AX49" s="9"/>
      <c r="AY49" s="21">
        <v>9.6435499999999993E-2</v>
      </c>
      <c r="AZ49" s="21">
        <v>27.909700000000001</v>
      </c>
      <c r="BA49" s="21">
        <v>-1.6445899999999999E-2</v>
      </c>
      <c r="BB49" s="21">
        <v>39</v>
      </c>
      <c r="BC49" s="21">
        <v>9.5855700000000002E-2</v>
      </c>
      <c r="BD49">
        <f t="shared" si="10"/>
        <v>20.30358024691358</v>
      </c>
      <c r="BE49">
        <f t="shared" si="11"/>
        <v>1.9579859129012345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1.5985100000000001</v>
      </c>
      <c r="H50" s="21">
        <v>5.3851599999999999</v>
      </c>
      <c r="I50" s="21">
        <v>-1.43555E-2</v>
      </c>
      <c r="J50" s="21">
        <v>40</v>
      </c>
      <c r="K50" s="21">
        <v>1.5972900000000001</v>
      </c>
      <c r="L50">
        <f t="shared" si="0"/>
        <v>17.722839506172836</v>
      </c>
      <c r="M50">
        <f t="shared" si="1"/>
        <v>28.330136179012342</v>
      </c>
      <c r="N50" s="9"/>
      <c r="O50" s="21">
        <v>0.10147100000000001</v>
      </c>
      <c r="P50" s="21">
        <v>9.2043499999999998</v>
      </c>
      <c r="Q50" s="21">
        <v>-1.6333E-2</v>
      </c>
      <c r="R50" s="21">
        <v>40</v>
      </c>
      <c r="S50" s="21">
        <v>0.10089099999999999</v>
      </c>
      <c r="T50">
        <f t="shared" si="2"/>
        <v>20.164197530864197</v>
      </c>
      <c r="U50">
        <f t="shared" si="3"/>
        <v>2.0460812876543208</v>
      </c>
      <c r="X50" s="9"/>
      <c r="Y50" s="21">
        <v>1.5985100000000001</v>
      </c>
      <c r="Z50" s="21">
        <v>14.7639</v>
      </c>
      <c r="AA50" s="21">
        <v>-1.4382900000000001E-2</v>
      </c>
      <c r="AB50" s="21">
        <v>40</v>
      </c>
      <c r="AC50" s="21">
        <v>1.5969800000000001</v>
      </c>
      <c r="AD50">
        <f t="shared" si="4"/>
        <v>17.756666666666668</v>
      </c>
      <c r="AE50">
        <f t="shared" si="5"/>
        <v>28.384209233333337</v>
      </c>
      <c r="AF50" s="9"/>
      <c r="AG50" s="21">
        <v>0.10147100000000001</v>
      </c>
      <c r="AH50" s="21">
        <v>18.582999999999998</v>
      </c>
      <c r="AI50" s="21">
        <v>-1.6400100000000001E-2</v>
      </c>
      <c r="AJ50" s="21">
        <v>40</v>
      </c>
      <c r="AK50" s="21">
        <v>0.101074</v>
      </c>
      <c r="AL50">
        <f t="shared" si="6"/>
        <v>20.247037037037035</v>
      </c>
      <c r="AM50">
        <f t="shared" si="7"/>
        <v>2.054487095185185</v>
      </c>
      <c r="AP50" s="9"/>
      <c r="AQ50" s="21">
        <v>1.5985100000000001</v>
      </c>
      <c r="AR50" s="21">
        <v>24.1006</v>
      </c>
      <c r="AS50" s="21">
        <v>-1.4379899999999999E-2</v>
      </c>
      <c r="AT50" s="21">
        <v>40</v>
      </c>
      <c r="AU50" s="21">
        <v>1.5969800000000001</v>
      </c>
      <c r="AV50">
        <f t="shared" si="8"/>
        <v>17.752962962962961</v>
      </c>
      <c r="AW50">
        <f t="shared" si="9"/>
        <v>28.378288825925924</v>
      </c>
      <c r="AX50" s="9"/>
      <c r="AY50" s="21">
        <v>0.10147100000000001</v>
      </c>
      <c r="AZ50" s="21">
        <v>27.919799999999999</v>
      </c>
      <c r="BA50" s="21">
        <v>-1.6439800000000001E-2</v>
      </c>
      <c r="BB50" s="21">
        <v>40</v>
      </c>
      <c r="BC50" s="21">
        <v>0.100952</v>
      </c>
      <c r="BD50">
        <f t="shared" si="10"/>
        <v>20.296049382716049</v>
      </c>
      <c r="BE50">
        <f t="shared" si="11"/>
        <v>2.0594604269135801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1.59348</v>
      </c>
      <c r="H51" s="21">
        <v>5.3952299999999997</v>
      </c>
      <c r="I51" s="21">
        <v>-1.4382900000000001E-2</v>
      </c>
      <c r="J51" s="21">
        <v>41</v>
      </c>
      <c r="K51" s="21">
        <v>1.5924100000000001</v>
      </c>
      <c r="L51">
        <f t="shared" si="0"/>
        <v>17.756666666666668</v>
      </c>
      <c r="M51">
        <f t="shared" si="1"/>
        <v>28.294893200000001</v>
      </c>
      <c r="N51" s="9"/>
      <c r="O51" s="21">
        <v>0.106506</v>
      </c>
      <c r="P51" s="21">
        <v>9.2144200000000005</v>
      </c>
      <c r="Q51" s="21">
        <v>-1.6326899999999998E-2</v>
      </c>
      <c r="R51" s="21">
        <v>41</v>
      </c>
      <c r="S51" s="21">
        <v>0.106018</v>
      </c>
      <c r="T51">
        <f t="shared" si="2"/>
        <v>20.156666666666663</v>
      </c>
      <c r="U51">
        <f t="shared" si="3"/>
        <v>2.1468059399999997</v>
      </c>
      <c r="X51" s="9"/>
      <c r="Y51" s="21">
        <v>1.59348</v>
      </c>
      <c r="Z51" s="21">
        <v>14.773899999999999</v>
      </c>
      <c r="AA51" s="21">
        <v>-1.4413499999999999E-2</v>
      </c>
      <c r="AB51" s="21">
        <v>41</v>
      </c>
      <c r="AC51" s="21">
        <v>1.5930200000000001</v>
      </c>
      <c r="AD51">
        <f t="shared" si="4"/>
        <v>17.794444444444444</v>
      </c>
      <c r="AE51">
        <f t="shared" si="5"/>
        <v>28.355091333333334</v>
      </c>
      <c r="AF51" s="9"/>
      <c r="AG51" s="21">
        <v>0.106506</v>
      </c>
      <c r="AH51" s="21">
        <v>18.5931</v>
      </c>
      <c r="AI51" s="21">
        <v>-1.6393999999999999E-2</v>
      </c>
      <c r="AJ51" s="21">
        <v>41</v>
      </c>
      <c r="AK51" s="21">
        <v>0.105988</v>
      </c>
      <c r="AL51">
        <f t="shared" si="6"/>
        <v>20.239506172839505</v>
      </c>
      <c r="AM51">
        <f t="shared" si="7"/>
        <v>2.1556288444444442</v>
      </c>
      <c r="AP51" s="9"/>
      <c r="AQ51" s="21">
        <v>1.59348</v>
      </c>
      <c r="AR51" s="21">
        <v>24.110700000000001</v>
      </c>
      <c r="AS51" s="21">
        <v>-1.44104E-2</v>
      </c>
      <c r="AT51" s="21">
        <v>41</v>
      </c>
      <c r="AU51" s="21">
        <v>1.5921000000000001</v>
      </c>
      <c r="AV51">
        <f t="shared" si="8"/>
        <v>17.790617283950617</v>
      </c>
      <c r="AW51">
        <f t="shared" si="9"/>
        <v>28.34899282962963</v>
      </c>
      <c r="AX51" s="9"/>
      <c r="AY51" s="21">
        <v>0.106506</v>
      </c>
      <c r="AZ51" s="21">
        <v>27.9298</v>
      </c>
      <c r="BA51" s="21">
        <v>-1.6430699999999999E-2</v>
      </c>
      <c r="BB51" s="21">
        <v>41</v>
      </c>
      <c r="BC51" s="21">
        <v>0.106018</v>
      </c>
      <c r="BD51">
        <f t="shared" si="10"/>
        <v>20.284814814814816</v>
      </c>
      <c r="BE51">
        <f t="shared" si="11"/>
        <v>2.1604544866666666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1.5884400000000001</v>
      </c>
      <c r="H52" s="21">
        <v>5.4053000000000004</v>
      </c>
      <c r="I52" s="21">
        <v>-1.44073E-2</v>
      </c>
      <c r="J52" s="21">
        <v>42</v>
      </c>
      <c r="K52" s="21">
        <v>1.5872200000000001</v>
      </c>
      <c r="L52">
        <f t="shared" si="0"/>
        <v>17.78679012345679</v>
      </c>
      <c r="M52">
        <f t="shared" si="1"/>
        <v>28.253248903703703</v>
      </c>
      <c r="N52" s="9"/>
      <c r="O52" s="21">
        <v>0.111542</v>
      </c>
      <c r="P52" s="21">
        <v>9.2244899999999994</v>
      </c>
      <c r="Q52" s="21">
        <v>-1.6317700000000001E-2</v>
      </c>
      <c r="R52" s="21">
        <v>42</v>
      </c>
      <c r="S52" s="21">
        <v>0.110901</v>
      </c>
      <c r="T52">
        <f t="shared" si="2"/>
        <v>20.145308641975308</v>
      </c>
      <c r="U52">
        <f t="shared" si="3"/>
        <v>2.2470480165432098</v>
      </c>
      <c r="X52" s="9"/>
      <c r="Y52" s="21">
        <v>1.5884400000000001</v>
      </c>
      <c r="Z52" s="21">
        <v>14.784000000000001</v>
      </c>
      <c r="AA52" s="21">
        <v>-1.44379E-2</v>
      </c>
      <c r="AB52" s="21">
        <v>42</v>
      </c>
      <c r="AC52" s="21">
        <v>1.5872200000000001</v>
      </c>
      <c r="AD52">
        <f t="shared" si="4"/>
        <v>17.824567901234566</v>
      </c>
      <c r="AE52">
        <f t="shared" si="5"/>
        <v>28.313256637037036</v>
      </c>
      <c r="AF52" s="9"/>
      <c r="AG52" s="21">
        <v>0.111542</v>
      </c>
      <c r="AH52" s="21">
        <v>18.603200000000001</v>
      </c>
      <c r="AI52" s="21">
        <v>-1.63879E-2</v>
      </c>
      <c r="AJ52" s="21">
        <v>42</v>
      </c>
      <c r="AK52" s="21">
        <v>0.110901</v>
      </c>
      <c r="AL52">
        <f t="shared" si="6"/>
        <v>20.231975308641974</v>
      </c>
      <c r="AM52">
        <f t="shared" si="7"/>
        <v>2.2567149898765431</v>
      </c>
      <c r="AP52" s="9"/>
      <c r="AQ52" s="21">
        <v>1.5884400000000001</v>
      </c>
      <c r="AR52" s="21">
        <v>24.120699999999999</v>
      </c>
      <c r="AS52" s="21">
        <v>-1.44379E-2</v>
      </c>
      <c r="AT52" s="21">
        <v>42</v>
      </c>
      <c r="AU52" s="21">
        <v>1.5878300000000001</v>
      </c>
      <c r="AV52">
        <f t="shared" si="8"/>
        <v>17.824567901234566</v>
      </c>
      <c r="AW52">
        <f t="shared" si="9"/>
        <v>28.313256637037036</v>
      </c>
      <c r="AX52" s="9"/>
      <c r="AY52" s="21">
        <v>0.111542</v>
      </c>
      <c r="AZ52" s="21">
        <v>27.939900000000002</v>
      </c>
      <c r="BA52" s="21">
        <v>-1.6421499999999999E-2</v>
      </c>
      <c r="BB52" s="21">
        <v>42</v>
      </c>
      <c r="BC52" s="21">
        <v>0.110901</v>
      </c>
      <c r="BD52">
        <f t="shared" si="10"/>
        <v>20.273456790123454</v>
      </c>
      <c r="BE52">
        <f t="shared" si="11"/>
        <v>2.2613419172839504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1.5833999999999999</v>
      </c>
      <c r="H53" s="21">
        <v>5.4153700000000002</v>
      </c>
      <c r="I53" s="21">
        <v>-1.44257E-2</v>
      </c>
      <c r="J53" s="21">
        <v>43</v>
      </c>
      <c r="K53" s="21">
        <v>1.58264</v>
      </c>
      <c r="L53">
        <f t="shared" si="0"/>
        <v>17.809506172839505</v>
      </c>
      <c r="M53">
        <f t="shared" si="1"/>
        <v>28.199572074074069</v>
      </c>
      <c r="N53" s="9"/>
      <c r="O53" s="21">
        <v>0.116577</v>
      </c>
      <c r="P53" s="21">
        <v>9.2345600000000001</v>
      </c>
      <c r="Q53" s="21">
        <v>-1.6311599999999999E-2</v>
      </c>
      <c r="R53" s="21">
        <v>43</v>
      </c>
      <c r="S53" s="21">
        <v>0.11602800000000001</v>
      </c>
      <c r="T53">
        <f t="shared" si="2"/>
        <v>20.137777777777774</v>
      </c>
      <c r="U53">
        <f t="shared" si="3"/>
        <v>2.3476017199999997</v>
      </c>
      <c r="X53" s="9"/>
      <c r="Y53" s="21">
        <v>1.5833999999999999</v>
      </c>
      <c r="Z53" s="21">
        <v>14.7941</v>
      </c>
      <c r="AA53" s="21">
        <v>-1.44653E-2</v>
      </c>
      <c r="AB53" s="21">
        <v>43</v>
      </c>
      <c r="AC53" s="21">
        <v>1.58264</v>
      </c>
      <c r="AD53">
        <f t="shared" si="4"/>
        <v>17.858395061728395</v>
      </c>
      <c r="AE53">
        <f t="shared" si="5"/>
        <v>28.276982740740738</v>
      </c>
      <c r="AF53" s="9"/>
      <c r="AG53" s="21">
        <v>0.116577</v>
      </c>
      <c r="AH53" s="21">
        <v>18.613299999999999</v>
      </c>
      <c r="AI53" s="21">
        <v>-1.6381799999999998E-2</v>
      </c>
      <c r="AJ53" s="21">
        <v>43</v>
      </c>
      <c r="AK53" s="21">
        <v>0.116089</v>
      </c>
      <c r="AL53">
        <f t="shared" si="6"/>
        <v>20.22444444444444</v>
      </c>
      <c r="AM53">
        <f t="shared" si="7"/>
        <v>2.3577050599999994</v>
      </c>
      <c r="AP53" s="9"/>
      <c r="AQ53" s="21">
        <v>1.5833999999999999</v>
      </c>
      <c r="AR53" s="21">
        <v>24.130800000000001</v>
      </c>
      <c r="AS53" s="21">
        <v>-1.44653E-2</v>
      </c>
      <c r="AT53" s="21">
        <v>43</v>
      </c>
      <c r="AU53" s="21">
        <v>1.5829500000000001</v>
      </c>
      <c r="AV53">
        <f t="shared" si="8"/>
        <v>17.858395061728395</v>
      </c>
      <c r="AW53">
        <f t="shared" si="9"/>
        <v>28.276982740740738</v>
      </c>
      <c r="AX53" s="9"/>
      <c r="AY53" s="21">
        <v>0.116577</v>
      </c>
      <c r="AZ53" s="21">
        <v>27.95</v>
      </c>
      <c r="BA53" s="21">
        <v>-1.6418499999999999E-2</v>
      </c>
      <c r="BB53" s="21">
        <v>43</v>
      </c>
      <c r="BC53" s="21">
        <v>0.11621099999999999</v>
      </c>
      <c r="BD53">
        <f t="shared" si="10"/>
        <v>20.269753086419751</v>
      </c>
      <c r="BE53">
        <f t="shared" si="11"/>
        <v>2.3629870055555555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1.5783700000000001</v>
      </c>
      <c r="H54" s="21">
        <v>5.42544</v>
      </c>
      <c r="I54" s="21">
        <v>-1.4444E-2</v>
      </c>
      <c r="J54" s="21">
        <v>44</v>
      </c>
      <c r="K54" s="21">
        <v>1.57745</v>
      </c>
      <c r="L54">
        <f t="shared" si="0"/>
        <v>17.832098765432097</v>
      </c>
      <c r="M54">
        <f t="shared" si="1"/>
        <v>28.14564972839506</v>
      </c>
      <c r="N54" s="9"/>
      <c r="O54" s="21">
        <v>0.121613</v>
      </c>
      <c r="P54" s="21">
        <v>9.2446300000000008</v>
      </c>
      <c r="Q54" s="21">
        <v>-1.6302500000000001E-2</v>
      </c>
      <c r="R54" s="21">
        <v>44</v>
      </c>
      <c r="S54" s="21">
        <v>0.121002</v>
      </c>
      <c r="T54">
        <f t="shared" si="2"/>
        <v>20.126543209876544</v>
      </c>
      <c r="U54">
        <f t="shared" si="3"/>
        <v>2.4476492993827161</v>
      </c>
      <c r="X54" s="9"/>
      <c r="Y54" s="21">
        <v>1.5783700000000001</v>
      </c>
      <c r="Z54" s="21">
        <v>14.8041</v>
      </c>
      <c r="AA54" s="21">
        <v>-1.44867E-2</v>
      </c>
      <c r="AB54" s="21">
        <v>44</v>
      </c>
      <c r="AC54" s="21">
        <v>1.57745</v>
      </c>
      <c r="AD54">
        <f t="shared" si="4"/>
        <v>17.884814814814817</v>
      </c>
      <c r="AE54">
        <f t="shared" si="5"/>
        <v>28.228855159259265</v>
      </c>
      <c r="AF54" s="9"/>
      <c r="AG54" s="21">
        <v>0.121613</v>
      </c>
      <c r="AH54" s="21">
        <v>18.6233</v>
      </c>
      <c r="AI54" s="21">
        <v>-1.63757E-2</v>
      </c>
      <c r="AJ54" s="21">
        <v>44</v>
      </c>
      <c r="AK54" s="21">
        <v>0.121124</v>
      </c>
      <c r="AL54">
        <f t="shared" si="6"/>
        <v>20.216913580246914</v>
      </c>
      <c r="AM54">
        <f t="shared" si="7"/>
        <v>2.4586395112345678</v>
      </c>
      <c r="AP54" s="9"/>
      <c r="AQ54" s="21">
        <v>1.5783700000000001</v>
      </c>
      <c r="AR54" s="21">
        <v>24.140899999999998</v>
      </c>
      <c r="AS54" s="21">
        <v>-1.4489699999999999E-2</v>
      </c>
      <c r="AT54" s="21">
        <v>44</v>
      </c>
      <c r="AU54" s="21">
        <v>1.57745</v>
      </c>
      <c r="AV54">
        <f t="shared" si="8"/>
        <v>17.888518518518516</v>
      </c>
      <c r="AW54">
        <f t="shared" si="9"/>
        <v>28.234700974074073</v>
      </c>
      <c r="AX54" s="9"/>
      <c r="AY54" s="21">
        <v>0.121613</v>
      </c>
      <c r="AZ54" s="21">
        <v>27.960100000000001</v>
      </c>
      <c r="BA54" s="21">
        <v>-1.6412400000000001E-2</v>
      </c>
      <c r="BB54" s="21">
        <v>44</v>
      </c>
      <c r="BC54" s="21">
        <v>0.12088</v>
      </c>
      <c r="BD54">
        <f t="shared" si="10"/>
        <v>20.262222222222224</v>
      </c>
      <c r="BE54">
        <f t="shared" si="11"/>
        <v>2.4641496311111113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1.5733299999999999</v>
      </c>
      <c r="H55" s="21">
        <v>5.4355099999999998</v>
      </c>
      <c r="I55" s="21">
        <v>-1.44592E-2</v>
      </c>
      <c r="J55" s="21">
        <v>45</v>
      </c>
      <c r="K55" s="21">
        <v>1.57257</v>
      </c>
      <c r="L55">
        <f t="shared" si="0"/>
        <v>17.850864197530864</v>
      </c>
      <c r="M55">
        <f t="shared" si="1"/>
        <v>28.085300167901234</v>
      </c>
      <c r="N55" s="9"/>
      <c r="O55" s="21">
        <v>0.12664800000000001</v>
      </c>
      <c r="P55" s="21">
        <v>9.2547099999999993</v>
      </c>
      <c r="Q55" s="21">
        <v>-1.6296399999999999E-2</v>
      </c>
      <c r="R55" s="21">
        <v>45</v>
      </c>
      <c r="S55" s="21">
        <v>0.12597700000000001</v>
      </c>
      <c r="T55">
        <f t="shared" si="2"/>
        <v>20.119012345679007</v>
      </c>
      <c r="U55">
        <f t="shared" si="3"/>
        <v>2.5480326755555551</v>
      </c>
      <c r="X55" s="9"/>
      <c r="Y55" s="21">
        <v>1.5733299999999999</v>
      </c>
      <c r="Z55" s="21">
        <v>14.8142</v>
      </c>
      <c r="AA55" s="21">
        <v>-1.4508099999999999E-2</v>
      </c>
      <c r="AB55" s="21">
        <v>45</v>
      </c>
      <c r="AC55" s="21">
        <v>1.5722700000000001</v>
      </c>
      <c r="AD55">
        <f t="shared" si="4"/>
        <v>17.911234567901232</v>
      </c>
      <c r="AE55">
        <f t="shared" si="5"/>
        <v>28.180282682716044</v>
      </c>
      <c r="AF55" s="9"/>
      <c r="AG55" s="21">
        <v>0.12664800000000001</v>
      </c>
      <c r="AH55" s="21">
        <v>18.633400000000002</v>
      </c>
      <c r="AI55" s="21">
        <v>-1.6366599999999999E-2</v>
      </c>
      <c r="AJ55" s="21">
        <v>45</v>
      </c>
      <c r="AK55" s="21">
        <v>0.12609899999999999</v>
      </c>
      <c r="AL55">
        <f t="shared" si="6"/>
        <v>20.205679012345676</v>
      </c>
      <c r="AM55">
        <f t="shared" si="7"/>
        <v>2.5590088355555554</v>
      </c>
      <c r="AP55" s="9"/>
      <c r="AQ55" s="21">
        <v>1.5733299999999999</v>
      </c>
      <c r="AR55" s="21">
        <v>24.1509</v>
      </c>
      <c r="AS55" s="21">
        <v>-1.4511100000000001E-2</v>
      </c>
      <c r="AT55" s="21">
        <v>45</v>
      </c>
      <c r="AU55" s="21">
        <v>1.57257</v>
      </c>
      <c r="AV55">
        <f t="shared" si="8"/>
        <v>17.914938271604939</v>
      </c>
      <c r="AW55">
        <f t="shared" si="9"/>
        <v>28.186109830864197</v>
      </c>
      <c r="AX55" s="9"/>
      <c r="AY55" s="21">
        <v>0.12664800000000001</v>
      </c>
      <c r="AZ55" s="21">
        <v>27.970099999999999</v>
      </c>
      <c r="BA55" s="21">
        <v>-1.6406299999999999E-2</v>
      </c>
      <c r="BB55" s="21">
        <v>45</v>
      </c>
      <c r="BC55" s="21">
        <v>0.12609899999999999</v>
      </c>
      <c r="BD55">
        <f t="shared" si="10"/>
        <v>20.254691358024687</v>
      </c>
      <c r="BE55">
        <f t="shared" si="11"/>
        <v>2.5652161511111107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1.5683</v>
      </c>
      <c r="H56" s="21">
        <v>5.4455900000000002</v>
      </c>
      <c r="I56" s="21">
        <v>-1.4477500000000001E-2</v>
      </c>
      <c r="J56" s="21">
        <v>46</v>
      </c>
      <c r="K56" s="21">
        <v>1.56708</v>
      </c>
      <c r="L56">
        <f t="shared" si="0"/>
        <v>17.873456790123456</v>
      </c>
      <c r="M56">
        <f t="shared" si="1"/>
        <v>28.030942283950615</v>
      </c>
      <c r="N56" s="9"/>
      <c r="O56" s="21">
        <v>0.13168299999999999</v>
      </c>
      <c r="P56" s="21">
        <v>9.26478</v>
      </c>
      <c r="Q56" s="21">
        <v>-1.6287200000000002E-2</v>
      </c>
      <c r="R56" s="21">
        <v>46</v>
      </c>
      <c r="S56" s="21">
        <v>0.13119500000000001</v>
      </c>
      <c r="T56">
        <f t="shared" si="2"/>
        <v>20.107654320987656</v>
      </c>
      <c r="U56">
        <f t="shared" si="3"/>
        <v>2.6478362439506173</v>
      </c>
      <c r="X56" s="9"/>
      <c r="Y56" s="21">
        <v>1.5683</v>
      </c>
      <c r="Z56" s="21">
        <v>14.824299999999999</v>
      </c>
      <c r="AA56" s="21">
        <v>-1.4523299999999999E-2</v>
      </c>
      <c r="AB56" s="21">
        <v>46</v>
      </c>
      <c r="AC56" s="21">
        <v>1.56738</v>
      </c>
      <c r="AD56">
        <f t="shared" si="4"/>
        <v>17.93</v>
      </c>
      <c r="AE56">
        <f t="shared" si="5"/>
        <v>28.119619</v>
      </c>
      <c r="AF56" s="9"/>
      <c r="AG56" s="21">
        <v>0.13168299999999999</v>
      </c>
      <c r="AH56" s="21">
        <v>18.6435</v>
      </c>
      <c r="AI56" s="21">
        <v>-1.63635E-2</v>
      </c>
      <c r="AJ56" s="21">
        <v>46</v>
      </c>
      <c r="AK56" s="21">
        <v>0.13092000000000001</v>
      </c>
      <c r="AL56">
        <f t="shared" si="6"/>
        <v>20.201851851851849</v>
      </c>
      <c r="AM56">
        <f t="shared" si="7"/>
        <v>2.660240457407407</v>
      </c>
      <c r="AP56" s="9"/>
      <c r="AQ56" s="21">
        <v>1.5683</v>
      </c>
      <c r="AR56" s="21">
        <v>24.161000000000001</v>
      </c>
      <c r="AS56" s="21">
        <v>-1.45325E-2</v>
      </c>
      <c r="AT56" s="21">
        <v>46</v>
      </c>
      <c r="AU56" s="21">
        <v>1.56738</v>
      </c>
      <c r="AV56">
        <f t="shared" si="8"/>
        <v>17.941358024691358</v>
      </c>
      <c r="AW56">
        <f t="shared" si="9"/>
        <v>28.137431790123458</v>
      </c>
      <c r="AX56" s="9"/>
      <c r="AY56" s="21">
        <v>0.13168299999999999</v>
      </c>
      <c r="AZ56" s="21">
        <v>27.9802</v>
      </c>
      <c r="BA56" s="21">
        <v>-1.6397100000000001E-2</v>
      </c>
      <c r="BB56" s="21">
        <v>46</v>
      </c>
      <c r="BC56" s="21">
        <v>0.13095100000000001</v>
      </c>
      <c r="BD56">
        <f t="shared" si="10"/>
        <v>20.243333333333332</v>
      </c>
      <c r="BE56">
        <f t="shared" si="11"/>
        <v>2.6657028633333333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1.5632600000000001</v>
      </c>
      <c r="H57" s="21">
        <v>5.45566</v>
      </c>
      <c r="I57" s="21">
        <v>-1.44928E-2</v>
      </c>
      <c r="J57" s="21">
        <v>47</v>
      </c>
      <c r="K57" s="21">
        <v>1.5625</v>
      </c>
      <c r="L57">
        <f t="shared" si="0"/>
        <v>17.892345679012344</v>
      </c>
      <c r="M57">
        <f t="shared" si="1"/>
        <v>27.97038830617284</v>
      </c>
      <c r="N57" s="9"/>
      <c r="O57" s="21">
        <v>0.13671900000000001</v>
      </c>
      <c r="P57" s="21">
        <v>9.2748500000000007</v>
      </c>
      <c r="Q57" s="21">
        <v>-1.62811E-2</v>
      </c>
      <c r="R57" s="21">
        <v>47</v>
      </c>
      <c r="S57" s="21">
        <v>0.13610800000000001</v>
      </c>
      <c r="T57">
        <f t="shared" si="2"/>
        <v>20.100123456790122</v>
      </c>
      <c r="U57">
        <f t="shared" si="3"/>
        <v>2.7480687788888889</v>
      </c>
      <c r="X57" s="9"/>
      <c r="Y57" s="21">
        <v>1.5632600000000001</v>
      </c>
      <c r="Z57" s="21">
        <v>14.8344</v>
      </c>
      <c r="AA57" s="21">
        <v>-1.45416E-2</v>
      </c>
      <c r="AB57" s="21">
        <v>47</v>
      </c>
      <c r="AC57" s="21">
        <v>1.56189</v>
      </c>
      <c r="AD57">
        <f t="shared" si="4"/>
        <v>17.952592592592595</v>
      </c>
      <c r="AE57">
        <f t="shared" si="5"/>
        <v>28.064569896296302</v>
      </c>
      <c r="AF57" s="9"/>
      <c r="AG57" s="21">
        <v>0.13671900000000001</v>
      </c>
      <c r="AH57" s="21">
        <v>18.653500000000001</v>
      </c>
      <c r="AI57" s="21">
        <v>-1.6357400000000001E-2</v>
      </c>
      <c r="AJ57" s="21">
        <v>47</v>
      </c>
      <c r="AK57" s="21">
        <v>0.13613900000000001</v>
      </c>
      <c r="AL57">
        <f t="shared" si="6"/>
        <v>20.194320987654322</v>
      </c>
      <c r="AM57">
        <f t="shared" si="7"/>
        <v>2.7609473711111114</v>
      </c>
      <c r="AP57" s="9"/>
      <c r="AQ57" s="21">
        <v>1.5632600000000001</v>
      </c>
      <c r="AR57" s="21">
        <v>24.171099999999999</v>
      </c>
      <c r="AS57" s="21">
        <v>-1.45538E-2</v>
      </c>
      <c r="AT57" s="21">
        <v>47</v>
      </c>
      <c r="AU57" s="21">
        <v>1.56158</v>
      </c>
      <c r="AV57">
        <f t="shared" si="8"/>
        <v>17.967654320987652</v>
      </c>
      <c r="AW57">
        <f t="shared" si="9"/>
        <v>28.088115293827158</v>
      </c>
      <c r="AX57" s="9"/>
      <c r="AY57" s="21">
        <v>0.13671900000000001</v>
      </c>
      <c r="AZ57" s="21">
        <v>27.990300000000001</v>
      </c>
      <c r="BA57" s="21">
        <v>-1.63879E-2</v>
      </c>
      <c r="BB57" s="21">
        <v>47</v>
      </c>
      <c r="BC57" s="21">
        <v>0.138123</v>
      </c>
      <c r="BD57">
        <f t="shared" si="10"/>
        <v>20.231975308641974</v>
      </c>
      <c r="BE57">
        <f t="shared" si="11"/>
        <v>2.7660954322222224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1.55823</v>
      </c>
      <c r="H58" s="21">
        <v>5.4657299999999998</v>
      </c>
      <c r="I58" s="21">
        <v>-1.4505000000000001E-2</v>
      </c>
      <c r="J58" s="21">
        <v>48</v>
      </c>
      <c r="K58" s="21">
        <v>1.55731</v>
      </c>
      <c r="L58">
        <f t="shared" si="0"/>
        <v>17.907407407407408</v>
      </c>
      <c r="M58">
        <f t="shared" si="1"/>
        <v>27.903859444444446</v>
      </c>
      <c r="N58" s="9"/>
      <c r="O58" s="21">
        <v>0.14175399999999999</v>
      </c>
      <c r="P58" s="21">
        <v>9.2849199999999996</v>
      </c>
      <c r="Q58" s="21">
        <v>-1.6271999999999998E-2</v>
      </c>
      <c r="R58" s="21">
        <v>48</v>
      </c>
      <c r="S58" s="21">
        <v>0.14135700000000001</v>
      </c>
      <c r="T58">
        <f t="shared" si="2"/>
        <v>20.088888888888885</v>
      </c>
      <c r="U58">
        <f t="shared" si="3"/>
        <v>2.8476803555555548</v>
      </c>
      <c r="X58" s="9"/>
      <c r="Y58" s="21">
        <v>1.55823</v>
      </c>
      <c r="Z58" s="21">
        <v>14.8444</v>
      </c>
      <c r="AA58" s="21">
        <v>-1.4556899999999999E-2</v>
      </c>
      <c r="AB58" s="21">
        <v>48</v>
      </c>
      <c r="AC58" s="21">
        <v>1.55731</v>
      </c>
      <c r="AD58">
        <f t="shared" si="4"/>
        <v>17.971481481481479</v>
      </c>
      <c r="AE58">
        <f t="shared" si="5"/>
        <v>28.003701588888887</v>
      </c>
      <c r="AF58" s="9"/>
      <c r="AG58" s="21">
        <v>0.14175399999999999</v>
      </c>
      <c r="AH58" s="21">
        <v>18.663599999999999</v>
      </c>
      <c r="AI58" s="21">
        <v>-1.63483E-2</v>
      </c>
      <c r="AJ58" s="21">
        <v>48</v>
      </c>
      <c r="AK58" s="21">
        <v>0.14114399999999999</v>
      </c>
      <c r="AL58">
        <f t="shared" si="6"/>
        <v>20.183086419753085</v>
      </c>
      <c r="AM58">
        <f t="shared" si="7"/>
        <v>2.8610332323456786</v>
      </c>
      <c r="AP58" s="9"/>
      <c r="AQ58" s="21">
        <v>1.55823</v>
      </c>
      <c r="AR58" s="21">
        <v>24.1812</v>
      </c>
      <c r="AS58" s="21">
        <v>-1.45691E-2</v>
      </c>
      <c r="AT58" s="21">
        <v>48</v>
      </c>
      <c r="AU58" s="21">
        <v>1.55701</v>
      </c>
      <c r="AV58">
        <f t="shared" si="8"/>
        <v>17.98654320987654</v>
      </c>
      <c r="AW58">
        <f t="shared" si="9"/>
        <v>28.027171225925922</v>
      </c>
      <c r="AX58" s="9"/>
      <c r="AY58" s="21">
        <v>0.14175399999999999</v>
      </c>
      <c r="AZ58" s="21">
        <v>28.000299999999999</v>
      </c>
      <c r="BA58" s="21">
        <v>-1.6381799999999998E-2</v>
      </c>
      <c r="BB58" s="21">
        <v>48</v>
      </c>
      <c r="BC58" s="21">
        <v>0.14190700000000001</v>
      </c>
      <c r="BD58">
        <f t="shared" si="10"/>
        <v>20.22444444444444</v>
      </c>
      <c r="BE58">
        <f t="shared" si="11"/>
        <v>2.866895897777777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1.5531900000000001</v>
      </c>
      <c r="H59" s="21">
        <v>5.4757999999999996</v>
      </c>
      <c r="I59" s="21">
        <v>-1.4517199999999999E-2</v>
      </c>
      <c r="J59" s="21">
        <v>49</v>
      </c>
      <c r="K59" s="21">
        <v>1.55243</v>
      </c>
      <c r="L59">
        <f t="shared" si="0"/>
        <v>17.922469135802466</v>
      </c>
      <c r="M59">
        <f t="shared" si="1"/>
        <v>27.836999837037034</v>
      </c>
      <c r="N59" s="9"/>
      <c r="O59" s="21">
        <v>0.14679</v>
      </c>
      <c r="P59" s="21">
        <v>9.2949900000000003</v>
      </c>
      <c r="Q59" s="21">
        <v>-1.6262800000000001E-2</v>
      </c>
      <c r="R59" s="21">
        <v>49</v>
      </c>
      <c r="S59" s="21">
        <v>0.146149</v>
      </c>
      <c r="T59">
        <f t="shared" si="2"/>
        <v>20.077530864197531</v>
      </c>
      <c r="U59">
        <f t="shared" si="3"/>
        <v>2.9471807555555558</v>
      </c>
      <c r="X59" s="9"/>
      <c r="Y59" s="21">
        <v>1.5531900000000001</v>
      </c>
      <c r="Z59" s="21">
        <v>14.8545</v>
      </c>
      <c r="AA59" s="21">
        <v>-1.45752E-2</v>
      </c>
      <c r="AB59" s="21">
        <v>49</v>
      </c>
      <c r="AC59" s="21">
        <v>1.5521199999999999</v>
      </c>
      <c r="AD59">
        <f t="shared" si="4"/>
        <v>17.994074074074071</v>
      </c>
      <c r="AE59">
        <f t="shared" si="5"/>
        <v>27.948215911111106</v>
      </c>
      <c r="AF59" s="9"/>
      <c r="AG59" s="21">
        <v>0.14679</v>
      </c>
      <c r="AH59" s="21">
        <v>18.6737</v>
      </c>
      <c r="AI59" s="21">
        <v>-1.6342200000000001E-2</v>
      </c>
      <c r="AJ59" s="21">
        <v>49</v>
      </c>
      <c r="AK59" s="21">
        <v>0.14624000000000001</v>
      </c>
      <c r="AL59">
        <f t="shared" si="6"/>
        <v>20.175555555555555</v>
      </c>
      <c r="AM59">
        <f t="shared" si="7"/>
        <v>2.9615697999999999</v>
      </c>
      <c r="AP59" s="9"/>
      <c r="AQ59" s="21">
        <v>1.5531900000000001</v>
      </c>
      <c r="AR59" s="21">
        <v>24.191199999999998</v>
      </c>
      <c r="AS59" s="21">
        <v>-1.45874E-2</v>
      </c>
      <c r="AT59" s="21">
        <v>49</v>
      </c>
      <c r="AU59" s="21">
        <v>1.5521199999999999</v>
      </c>
      <c r="AV59">
        <f t="shared" si="8"/>
        <v>18.009135802469135</v>
      </c>
      <c r="AW59">
        <f t="shared" si="9"/>
        <v>27.971609637037037</v>
      </c>
      <c r="AX59" s="9"/>
      <c r="AY59" s="21">
        <v>0.14679</v>
      </c>
      <c r="AZ59" s="21">
        <v>28.010400000000001</v>
      </c>
      <c r="BA59" s="21">
        <v>-1.63727E-2</v>
      </c>
      <c r="BB59" s="21">
        <v>49</v>
      </c>
      <c r="BC59" s="21">
        <v>0.146759</v>
      </c>
      <c r="BD59">
        <f t="shared" si="10"/>
        <v>20.21320987654321</v>
      </c>
      <c r="BE59">
        <f t="shared" si="11"/>
        <v>2.9670970777777779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1.54816</v>
      </c>
      <c r="H60" s="21">
        <v>5.4858700000000002</v>
      </c>
      <c r="I60" s="21">
        <v>-1.45325E-2</v>
      </c>
      <c r="J60" s="21">
        <v>50</v>
      </c>
      <c r="K60" s="21">
        <v>1.54755</v>
      </c>
      <c r="L60">
        <f t="shared" si="0"/>
        <v>17.941358024691358</v>
      </c>
      <c r="M60">
        <f t="shared" si="1"/>
        <v>27.776092839506173</v>
      </c>
      <c r="N60" s="9"/>
      <c r="O60" s="21">
        <v>0.15182499999999999</v>
      </c>
      <c r="P60" s="21">
        <v>9.3050599999999992</v>
      </c>
      <c r="Q60" s="21">
        <v>-1.6256699999999999E-2</v>
      </c>
      <c r="R60" s="21">
        <v>50</v>
      </c>
      <c r="S60" s="21">
        <v>0.15127599999999999</v>
      </c>
      <c r="T60">
        <f t="shared" si="2"/>
        <v>20.069999999999997</v>
      </c>
      <c r="U60">
        <f t="shared" si="3"/>
        <v>3.0471277499999991</v>
      </c>
      <c r="X60" s="9"/>
      <c r="Y60" s="21">
        <v>1.54816</v>
      </c>
      <c r="Z60" s="21">
        <v>14.864599999999999</v>
      </c>
      <c r="AA60" s="21">
        <v>-1.4584400000000001E-2</v>
      </c>
      <c r="AB60" s="21">
        <v>50</v>
      </c>
      <c r="AC60" s="21">
        <v>1.5466299999999999</v>
      </c>
      <c r="AD60">
        <f t="shared" si="4"/>
        <v>18.005432098765432</v>
      </c>
      <c r="AE60">
        <f t="shared" si="5"/>
        <v>27.875289758024692</v>
      </c>
      <c r="AF60" s="9"/>
      <c r="AG60" s="21">
        <v>0.15182499999999999</v>
      </c>
      <c r="AH60" s="21">
        <v>18.683800000000002</v>
      </c>
      <c r="AI60" s="21">
        <v>-1.6336099999999999E-2</v>
      </c>
      <c r="AJ60" s="21">
        <v>50</v>
      </c>
      <c r="AK60" s="21">
        <v>0.15127599999999999</v>
      </c>
      <c r="AL60">
        <f t="shared" si="6"/>
        <v>20.168024691358024</v>
      </c>
      <c r="AM60">
        <f t="shared" si="7"/>
        <v>3.0620103487654315</v>
      </c>
      <c r="AP60" s="9"/>
      <c r="AQ60" s="21">
        <v>1.54816</v>
      </c>
      <c r="AR60" s="21">
        <v>24.2013</v>
      </c>
      <c r="AS60" s="21">
        <v>-1.46027E-2</v>
      </c>
      <c r="AT60" s="21">
        <v>50</v>
      </c>
      <c r="AU60" s="21">
        <v>1.54755</v>
      </c>
      <c r="AV60">
        <f t="shared" si="8"/>
        <v>18.028024691358024</v>
      </c>
      <c r="AW60">
        <f t="shared" si="9"/>
        <v>27.910266706172838</v>
      </c>
      <c r="AX60" s="9"/>
      <c r="AY60" s="21">
        <v>0.15182499999999999</v>
      </c>
      <c r="AZ60" s="21">
        <v>28.020499999999998</v>
      </c>
      <c r="BA60" s="21">
        <v>-1.6366599999999999E-2</v>
      </c>
      <c r="BB60" s="21">
        <v>50</v>
      </c>
      <c r="BC60" s="21">
        <v>0.15109300000000001</v>
      </c>
      <c r="BD60">
        <f t="shared" si="10"/>
        <v>20.205679012345676</v>
      </c>
      <c r="BE60">
        <f t="shared" si="11"/>
        <v>3.067727216049382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1.54312</v>
      </c>
      <c r="H61" s="21">
        <v>5.49594</v>
      </c>
      <c r="I61" s="21">
        <v>-1.4544700000000001E-2</v>
      </c>
      <c r="J61" s="21">
        <v>51</v>
      </c>
      <c r="K61" s="21">
        <v>1.5426599999999999</v>
      </c>
      <c r="L61">
        <f t="shared" si="0"/>
        <v>17.956419753086422</v>
      </c>
      <c r="M61">
        <f t="shared" si="1"/>
        <v>27.708910449382721</v>
      </c>
      <c r="N61" s="9"/>
      <c r="O61" s="21">
        <v>0.15686</v>
      </c>
      <c r="P61" s="21">
        <v>9.3151299999999999</v>
      </c>
      <c r="Q61" s="21">
        <v>-1.62506E-2</v>
      </c>
      <c r="R61" s="21">
        <v>51</v>
      </c>
      <c r="S61" s="21">
        <v>0.15634200000000001</v>
      </c>
      <c r="T61">
        <f t="shared" si="2"/>
        <v>20.06246913580247</v>
      </c>
      <c r="U61">
        <f t="shared" si="3"/>
        <v>3.1469989086419754</v>
      </c>
      <c r="X61" s="9"/>
      <c r="Y61" s="21">
        <v>1.54312</v>
      </c>
      <c r="Z61" s="21">
        <v>14.874599999999999</v>
      </c>
      <c r="AA61" s="21">
        <v>-1.45966E-2</v>
      </c>
      <c r="AB61" s="21">
        <v>51</v>
      </c>
      <c r="AC61" s="21">
        <v>1.54236</v>
      </c>
      <c r="AD61">
        <f t="shared" si="4"/>
        <v>18.020493827160493</v>
      </c>
      <c r="AE61">
        <f t="shared" si="5"/>
        <v>27.8077844345679</v>
      </c>
      <c r="AF61" s="9"/>
      <c r="AG61" s="21">
        <v>0.15686</v>
      </c>
      <c r="AH61" s="21">
        <v>18.6938</v>
      </c>
      <c r="AI61" s="21">
        <v>-1.6326899999999998E-2</v>
      </c>
      <c r="AJ61" s="21">
        <v>51</v>
      </c>
      <c r="AK61" s="21">
        <v>0.15631100000000001</v>
      </c>
      <c r="AL61">
        <f t="shared" si="6"/>
        <v>20.156666666666663</v>
      </c>
      <c r="AM61">
        <f t="shared" si="7"/>
        <v>3.1617747333333326</v>
      </c>
      <c r="AP61" s="9"/>
      <c r="AQ61" s="21">
        <v>1.54312</v>
      </c>
      <c r="AR61" s="21">
        <v>24.211400000000001</v>
      </c>
      <c r="AS61" s="21">
        <v>-1.46149E-2</v>
      </c>
      <c r="AT61" s="21">
        <v>51</v>
      </c>
      <c r="AU61" s="21">
        <v>1.5420499999999999</v>
      </c>
      <c r="AV61">
        <f t="shared" si="8"/>
        <v>18.043086419753088</v>
      </c>
      <c r="AW61">
        <f t="shared" si="9"/>
        <v>27.842647516049386</v>
      </c>
      <c r="AX61" s="9"/>
      <c r="AY61" s="21">
        <v>0.15686</v>
      </c>
      <c r="AZ61" s="21">
        <v>28.0306</v>
      </c>
      <c r="BA61" s="21">
        <v>-1.6357400000000001E-2</v>
      </c>
      <c r="BB61" s="21">
        <v>51</v>
      </c>
      <c r="BC61" s="21">
        <v>0.15643299999999999</v>
      </c>
      <c r="BD61">
        <f t="shared" si="10"/>
        <v>20.194320987654322</v>
      </c>
      <c r="BE61">
        <f t="shared" si="11"/>
        <v>3.1676811901234569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1.53809</v>
      </c>
      <c r="H62" s="21">
        <v>5.5060099999999998</v>
      </c>
      <c r="I62" s="21">
        <v>-1.4556899999999999E-2</v>
      </c>
      <c r="J62" s="21">
        <v>52</v>
      </c>
      <c r="K62" s="21">
        <v>1.5371699999999999</v>
      </c>
      <c r="L62">
        <f t="shared" si="0"/>
        <v>17.971481481481479</v>
      </c>
      <c r="M62">
        <f t="shared" si="1"/>
        <v>27.641755951851849</v>
      </c>
      <c r="N62" s="9"/>
      <c r="O62" s="21">
        <v>0.16189600000000001</v>
      </c>
      <c r="P62" s="21">
        <v>9.3252000000000006</v>
      </c>
      <c r="Q62" s="21">
        <v>-1.6241499999999999E-2</v>
      </c>
      <c r="R62" s="21">
        <v>52</v>
      </c>
      <c r="S62" s="21">
        <v>0.16131599999999999</v>
      </c>
      <c r="T62">
        <f t="shared" si="2"/>
        <v>20.051234567901229</v>
      </c>
      <c r="U62">
        <f t="shared" si="3"/>
        <v>3.2462146716049376</v>
      </c>
      <c r="X62" s="9"/>
      <c r="Y62" s="21">
        <v>1.53809</v>
      </c>
      <c r="Z62" s="21">
        <v>14.8847</v>
      </c>
      <c r="AA62" s="21">
        <v>-1.46088E-2</v>
      </c>
      <c r="AB62" s="21">
        <v>52</v>
      </c>
      <c r="AC62" s="21">
        <v>1.5371699999999999</v>
      </c>
      <c r="AD62">
        <f t="shared" si="4"/>
        <v>18.035555555555554</v>
      </c>
      <c r="AE62">
        <f t="shared" si="5"/>
        <v>27.740307644444442</v>
      </c>
      <c r="AF62" s="9"/>
      <c r="AG62" s="21">
        <v>0.16189600000000001</v>
      </c>
      <c r="AH62" s="21">
        <v>18.703900000000001</v>
      </c>
      <c r="AI62" s="21">
        <v>-1.63208E-2</v>
      </c>
      <c r="AJ62" s="21">
        <v>52</v>
      </c>
      <c r="AK62" s="21">
        <v>0.161194</v>
      </c>
      <c r="AL62">
        <f t="shared" si="6"/>
        <v>20.149135802469136</v>
      </c>
      <c r="AM62">
        <f t="shared" si="7"/>
        <v>3.2620644898765434</v>
      </c>
      <c r="AP62" s="9"/>
      <c r="AQ62" s="21">
        <v>1.53809</v>
      </c>
      <c r="AR62" s="21">
        <v>24.221399999999999</v>
      </c>
      <c r="AS62" s="21">
        <v>-1.4627100000000001E-2</v>
      </c>
      <c r="AT62" s="21">
        <v>52</v>
      </c>
      <c r="AU62" s="21">
        <v>1.5371699999999999</v>
      </c>
      <c r="AV62">
        <f t="shared" si="8"/>
        <v>18.058148148148145</v>
      </c>
      <c r="AW62">
        <f t="shared" si="9"/>
        <v>27.775057085185182</v>
      </c>
      <c r="AX62" s="9"/>
      <c r="AY62" s="21">
        <v>0.16189600000000001</v>
      </c>
      <c r="AZ62" s="21">
        <v>28.040600000000001</v>
      </c>
      <c r="BA62" s="21">
        <v>-1.6351299999999999E-2</v>
      </c>
      <c r="BB62" s="21">
        <v>52</v>
      </c>
      <c r="BC62" s="21">
        <v>0.16137699999999999</v>
      </c>
      <c r="BD62">
        <f t="shared" si="10"/>
        <v>20.186790123456785</v>
      </c>
      <c r="BE62">
        <f t="shared" si="11"/>
        <v>3.26816057382716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1.53305</v>
      </c>
      <c r="H63" s="21">
        <v>5.5160799999999997</v>
      </c>
      <c r="I63" s="21">
        <v>-1.45691E-2</v>
      </c>
      <c r="J63" s="21">
        <v>53</v>
      </c>
      <c r="K63" s="21">
        <v>1.5319799999999999</v>
      </c>
      <c r="L63">
        <f t="shared" si="0"/>
        <v>17.98654320987654</v>
      </c>
      <c r="M63">
        <f t="shared" si="1"/>
        <v>27.574270067901232</v>
      </c>
      <c r="N63" s="9"/>
      <c r="O63" s="21">
        <v>0.166931</v>
      </c>
      <c r="P63" s="21">
        <v>9.3352699999999995</v>
      </c>
      <c r="Q63" s="21">
        <v>-1.6232300000000002E-2</v>
      </c>
      <c r="R63" s="21">
        <v>53</v>
      </c>
      <c r="S63" s="21">
        <v>0.166351</v>
      </c>
      <c r="T63">
        <f t="shared" si="2"/>
        <v>20.039876543209878</v>
      </c>
      <c r="U63">
        <f t="shared" si="3"/>
        <v>3.3452766312345683</v>
      </c>
      <c r="X63" s="9"/>
      <c r="Y63" s="21">
        <v>1.53305</v>
      </c>
      <c r="Z63" s="21">
        <v>14.8948</v>
      </c>
      <c r="AA63" s="21">
        <v>-1.4621E-2</v>
      </c>
      <c r="AB63" s="21">
        <v>53</v>
      </c>
      <c r="AC63" s="21">
        <v>1.5316799999999999</v>
      </c>
      <c r="AD63">
        <f t="shared" si="4"/>
        <v>18.050617283950618</v>
      </c>
      <c r="AE63">
        <f t="shared" si="5"/>
        <v>27.672498827160496</v>
      </c>
      <c r="AF63" s="9"/>
      <c r="AG63" s="21">
        <v>0.166931</v>
      </c>
      <c r="AH63" s="21">
        <v>18.713999999999999</v>
      </c>
      <c r="AI63" s="21">
        <v>-1.6311599999999999E-2</v>
      </c>
      <c r="AJ63" s="21">
        <v>53</v>
      </c>
      <c r="AK63" s="21">
        <v>0.16625999999999999</v>
      </c>
      <c r="AL63">
        <f t="shared" si="6"/>
        <v>20.137777777777774</v>
      </c>
      <c r="AM63">
        <f t="shared" si="7"/>
        <v>3.3616193822222216</v>
      </c>
      <c r="AP63" s="9"/>
      <c r="AQ63" s="21">
        <v>1.53305</v>
      </c>
      <c r="AR63" s="21">
        <v>24.2315</v>
      </c>
      <c r="AS63" s="21">
        <v>-1.46423E-2</v>
      </c>
      <c r="AT63" s="21">
        <v>53</v>
      </c>
      <c r="AU63" s="21">
        <v>1.5319799999999999</v>
      </c>
      <c r="AV63">
        <f t="shared" si="8"/>
        <v>18.076913580246913</v>
      </c>
      <c r="AW63">
        <f t="shared" si="9"/>
        <v>27.712812364197532</v>
      </c>
      <c r="AX63" s="9"/>
      <c r="AY63" s="21">
        <v>0.166931</v>
      </c>
      <c r="AZ63" s="21">
        <v>28.050699999999999</v>
      </c>
      <c r="BA63" s="21">
        <v>-1.6342200000000001E-2</v>
      </c>
      <c r="BB63" s="21">
        <v>53</v>
      </c>
      <c r="BC63" s="21">
        <v>0.166321</v>
      </c>
      <c r="BD63">
        <f t="shared" si="10"/>
        <v>20.175555555555555</v>
      </c>
      <c r="BE63">
        <f t="shared" si="11"/>
        <v>3.3679256644444444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1.5280199999999999</v>
      </c>
      <c r="H64" s="21">
        <v>5.5261500000000003</v>
      </c>
      <c r="I64" s="21">
        <v>-1.45813E-2</v>
      </c>
      <c r="J64" s="21">
        <v>54</v>
      </c>
      <c r="K64" s="21">
        <v>1.5274000000000001</v>
      </c>
      <c r="L64">
        <f t="shared" si="0"/>
        <v>18.001604938271605</v>
      </c>
      <c r="M64">
        <f t="shared" si="1"/>
        <v>27.506812377777777</v>
      </c>
      <c r="N64" s="9"/>
      <c r="O64" s="21">
        <v>0.17196700000000001</v>
      </c>
      <c r="P64" s="21">
        <v>9.3453400000000002</v>
      </c>
      <c r="Q64" s="21">
        <v>-1.62262E-2</v>
      </c>
      <c r="R64" s="21">
        <v>54</v>
      </c>
      <c r="S64" s="21">
        <v>0.17135600000000001</v>
      </c>
      <c r="T64">
        <f t="shared" si="2"/>
        <v>20.032345679012344</v>
      </c>
      <c r="U64">
        <f t="shared" si="3"/>
        <v>3.4449023893827162</v>
      </c>
      <c r="X64" s="9"/>
      <c r="Y64" s="21">
        <v>1.5280199999999999</v>
      </c>
      <c r="Z64" s="21">
        <v>14.9048</v>
      </c>
      <c r="AA64" s="21">
        <v>-1.4633200000000001E-2</v>
      </c>
      <c r="AB64" s="21">
        <v>54</v>
      </c>
      <c r="AC64" s="21">
        <v>1.5274000000000001</v>
      </c>
      <c r="AD64">
        <f t="shared" si="4"/>
        <v>18.065679012345679</v>
      </c>
      <c r="AE64">
        <f t="shared" si="5"/>
        <v>27.604718844444445</v>
      </c>
      <c r="AF64" s="9"/>
      <c r="AG64" s="21">
        <v>0.17196700000000001</v>
      </c>
      <c r="AH64" s="21">
        <v>18.724</v>
      </c>
      <c r="AI64" s="21">
        <v>-1.6305500000000001E-2</v>
      </c>
      <c r="AJ64" s="21">
        <v>54</v>
      </c>
      <c r="AK64" s="21">
        <v>0.171295</v>
      </c>
      <c r="AL64">
        <f t="shared" si="6"/>
        <v>20.130246913580248</v>
      </c>
      <c r="AM64">
        <f t="shared" si="7"/>
        <v>3.4617381709876547</v>
      </c>
      <c r="AP64" s="9"/>
      <c r="AQ64" s="21">
        <v>1.5280199999999999</v>
      </c>
      <c r="AR64" s="21">
        <v>24.241599999999998</v>
      </c>
      <c r="AS64" s="21">
        <v>-1.46515E-2</v>
      </c>
      <c r="AT64" s="21">
        <v>54</v>
      </c>
      <c r="AU64" s="21">
        <v>1.5267900000000001</v>
      </c>
      <c r="AV64">
        <f t="shared" si="8"/>
        <v>18.088271604938271</v>
      </c>
      <c r="AW64">
        <f t="shared" si="9"/>
        <v>27.639240777777776</v>
      </c>
      <c r="AX64" s="9"/>
      <c r="AY64" s="21">
        <v>0.17196700000000001</v>
      </c>
      <c r="AZ64" s="21">
        <v>28.0608</v>
      </c>
      <c r="BA64" s="21">
        <v>-1.6339099999999999E-2</v>
      </c>
      <c r="BB64" s="21">
        <v>54</v>
      </c>
      <c r="BC64" s="21">
        <v>0.17175299999999999</v>
      </c>
      <c r="BD64">
        <f t="shared" si="10"/>
        <v>20.171728395061727</v>
      </c>
      <c r="BE64">
        <f t="shared" si="11"/>
        <v>3.4688716169135803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1.52298</v>
      </c>
      <c r="H65" s="21">
        <v>5.5362200000000001</v>
      </c>
      <c r="I65" s="21">
        <v>-1.45874E-2</v>
      </c>
      <c r="J65" s="21">
        <v>55</v>
      </c>
      <c r="K65" s="21">
        <v>1.5219100000000001</v>
      </c>
      <c r="L65">
        <f t="shared" si="0"/>
        <v>18.009135802469135</v>
      </c>
      <c r="M65">
        <f t="shared" si="1"/>
        <v>27.427553644444444</v>
      </c>
      <c r="N65" s="9"/>
      <c r="O65" s="21">
        <v>0.17700199999999999</v>
      </c>
      <c r="P65" s="21">
        <v>9.3554200000000005</v>
      </c>
      <c r="Q65" s="21">
        <v>-1.6220100000000001E-2</v>
      </c>
      <c r="R65" s="21">
        <v>55</v>
      </c>
      <c r="S65" s="21">
        <v>0.176422</v>
      </c>
      <c r="T65">
        <f t="shared" si="2"/>
        <v>20.024814814814814</v>
      </c>
      <c r="U65">
        <f t="shared" si="3"/>
        <v>3.5444322718518517</v>
      </c>
      <c r="X65" s="9"/>
      <c r="Y65" s="21">
        <v>1.52298</v>
      </c>
      <c r="Z65" s="21">
        <v>14.914899999999999</v>
      </c>
      <c r="AA65" s="21">
        <v>-1.46423E-2</v>
      </c>
      <c r="AB65" s="21">
        <v>55</v>
      </c>
      <c r="AC65" s="21">
        <v>1.5222199999999999</v>
      </c>
      <c r="AD65">
        <f t="shared" si="4"/>
        <v>18.076913580246913</v>
      </c>
      <c r="AE65">
        <f t="shared" si="5"/>
        <v>27.530777844444444</v>
      </c>
      <c r="AF65" s="9"/>
      <c r="AG65" s="21">
        <v>0.17700199999999999</v>
      </c>
      <c r="AH65" s="21">
        <v>18.734100000000002</v>
      </c>
      <c r="AI65" s="21">
        <v>-1.6296399999999999E-2</v>
      </c>
      <c r="AJ65" s="21">
        <v>55</v>
      </c>
      <c r="AK65" s="21">
        <v>0.17633099999999999</v>
      </c>
      <c r="AL65">
        <f t="shared" si="6"/>
        <v>20.119012345679007</v>
      </c>
      <c r="AM65">
        <f t="shared" si="7"/>
        <v>3.5611054232098756</v>
      </c>
      <c r="AP65" s="9"/>
      <c r="AQ65" s="21">
        <v>1.52298</v>
      </c>
      <c r="AR65" s="21">
        <v>24.2516</v>
      </c>
      <c r="AS65" s="21">
        <v>-1.46637E-2</v>
      </c>
      <c r="AT65" s="21">
        <v>55</v>
      </c>
      <c r="AU65" s="21">
        <v>1.5219100000000001</v>
      </c>
      <c r="AV65">
        <f t="shared" si="8"/>
        <v>18.103333333333332</v>
      </c>
      <c r="AW65">
        <f t="shared" si="9"/>
        <v>27.571014599999998</v>
      </c>
      <c r="AX65" s="9"/>
      <c r="AY65" s="21">
        <v>0.17700199999999999</v>
      </c>
      <c r="AZ65" s="21">
        <v>28.070799999999998</v>
      </c>
      <c r="BA65" s="21">
        <v>-1.6330000000000001E-2</v>
      </c>
      <c r="BB65" s="21">
        <v>55</v>
      </c>
      <c r="BC65" s="21">
        <v>0.17623900000000001</v>
      </c>
      <c r="BD65">
        <f t="shared" si="10"/>
        <v>20.160493827160494</v>
      </c>
      <c r="BE65">
        <f t="shared" si="11"/>
        <v>3.5684477283950615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1.5179400000000001</v>
      </c>
      <c r="H66" s="21">
        <v>5.5462999999999996</v>
      </c>
      <c r="I66" s="21">
        <v>-1.45966E-2</v>
      </c>
      <c r="J66" s="21">
        <v>56</v>
      </c>
      <c r="K66" s="21">
        <v>1.5167200000000001</v>
      </c>
      <c r="L66">
        <f t="shared" si="0"/>
        <v>18.020493827160493</v>
      </c>
      <c r="M66">
        <f t="shared" si="1"/>
        <v>27.354028400000001</v>
      </c>
      <c r="N66" s="9"/>
      <c r="O66" s="21">
        <v>0.182037</v>
      </c>
      <c r="P66" s="21">
        <v>9.3654899999999994</v>
      </c>
      <c r="Q66" s="21">
        <v>-1.6213999999999999E-2</v>
      </c>
      <c r="R66" s="21">
        <v>56</v>
      </c>
      <c r="S66" s="21">
        <v>0.18154899999999999</v>
      </c>
      <c r="T66">
        <f t="shared" si="2"/>
        <v>20.017283950617283</v>
      </c>
      <c r="U66">
        <f t="shared" si="3"/>
        <v>3.6438863185185184</v>
      </c>
      <c r="X66" s="9"/>
      <c r="Y66" s="21">
        <v>1.5179400000000001</v>
      </c>
      <c r="Z66" s="21">
        <v>14.925000000000001</v>
      </c>
      <c r="AA66" s="21">
        <v>-1.46515E-2</v>
      </c>
      <c r="AB66" s="21">
        <v>56</v>
      </c>
      <c r="AC66" s="21">
        <v>1.5170300000000001</v>
      </c>
      <c r="AD66">
        <f t="shared" si="4"/>
        <v>18.088271604938271</v>
      </c>
      <c r="AE66">
        <f t="shared" si="5"/>
        <v>27.456911000000002</v>
      </c>
      <c r="AF66" s="9"/>
      <c r="AG66" s="21">
        <v>0.182037</v>
      </c>
      <c r="AH66" s="21">
        <v>18.744199999999999</v>
      </c>
      <c r="AI66" s="21">
        <v>-1.6287200000000002E-2</v>
      </c>
      <c r="AJ66" s="21">
        <v>56</v>
      </c>
      <c r="AK66" s="21">
        <v>0.181427</v>
      </c>
      <c r="AL66">
        <f t="shared" si="6"/>
        <v>20.107654320987656</v>
      </c>
      <c r="AM66">
        <f t="shared" si="7"/>
        <v>3.6603370696296302</v>
      </c>
      <c r="AP66" s="9"/>
      <c r="AQ66" s="21">
        <v>1.5179400000000001</v>
      </c>
      <c r="AR66" s="21">
        <v>24.261700000000001</v>
      </c>
      <c r="AS66" s="21">
        <v>-1.4672899999999999E-2</v>
      </c>
      <c r="AT66" s="21">
        <v>56</v>
      </c>
      <c r="AU66" s="21">
        <v>1.5176400000000001</v>
      </c>
      <c r="AV66">
        <f t="shared" si="8"/>
        <v>18.11469135802469</v>
      </c>
      <c r="AW66">
        <f t="shared" si="9"/>
        <v>27.4970146</v>
      </c>
      <c r="AX66" s="9"/>
      <c r="AY66" s="21">
        <v>0.182037</v>
      </c>
      <c r="AZ66" s="21">
        <v>28.0809</v>
      </c>
      <c r="BA66" s="21">
        <v>-1.6323899999999999E-2</v>
      </c>
      <c r="BB66" s="21">
        <v>56</v>
      </c>
      <c r="BC66" s="21">
        <v>0.18148800000000001</v>
      </c>
      <c r="BD66">
        <f t="shared" si="10"/>
        <v>20.15296296296296</v>
      </c>
      <c r="BE66">
        <f t="shared" si="11"/>
        <v>3.6685849188888882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1.51291</v>
      </c>
      <c r="H67" s="21">
        <v>5.5563700000000003</v>
      </c>
      <c r="I67" s="21">
        <v>-1.46027E-2</v>
      </c>
      <c r="J67" s="21">
        <v>57</v>
      </c>
      <c r="K67" s="21">
        <v>1.5121500000000001</v>
      </c>
      <c r="L67">
        <f t="shared" si="0"/>
        <v>18.028024691358024</v>
      </c>
      <c r="M67">
        <f t="shared" si="1"/>
        <v>27.274778835802469</v>
      </c>
      <c r="N67" s="9"/>
      <c r="O67" s="21">
        <v>0.18707299999999999</v>
      </c>
      <c r="P67" s="21">
        <v>9.3755600000000001</v>
      </c>
      <c r="Q67" s="21">
        <v>-1.6204799999999998E-2</v>
      </c>
      <c r="R67" s="21">
        <v>57</v>
      </c>
      <c r="S67" s="21">
        <v>0.18649299999999999</v>
      </c>
      <c r="T67">
        <f t="shared" si="2"/>
        <v>20.005925925925922</v>
      </c>
      <c r="U67">
        <f t="shared" si="3"/>
        <v>3.7425685807407398</v>
      </c>
      <c r="X67" s="9"/>
      <c r="Y67" s="21">
        <v>1.51291</v>
      </c>
      <c r="Z67" s="21">
        <v>14.9351</v>
      </c>
      <c r="AA67" s="21">
        <v>-1.46576E-2</v>
      </c>
      <c r="AB67" s="21">
        <v>57</v>
      </c>
      <c r="AC67" s="21">
        <v>1.5115400000000001</v>
      </c>
      <c r="AD67">
        <f t="shared" si="4"/>
        <v>18.095802469135801</v>
      </c>
      <c r="AE67">
        <f t="shared" si="5"/>
        <v>27.377320513580244</v>
      </c>
      <c r="AF67" s="9"/>
      <c r="AG67" s="21">
        <v>0.18707299999999999</v>
      </c>
      <c r="AH67" s="21">
        <v>18.754300000000001</v>
      </c>
      <c r="AI67" s="21">
        <v>-1.6284199999999999E-2</v>
      </c>
      <c r="AJ67" s="21">
        <v>57</v>
      </c>
      <c r="AK67" s="21">
        <v>0.18643199999999999</v>
      </c>
      <c r="AL67">
        <f t="shared" si="6"/>
        <v>20.103950617283949</v>
      </c>
      <c r="AM67">
        <f t="shared" si="7"/>
        <v>3.7609063538271599</v>
      </c>
      <c r="AP67" s="9"/>
      <c r="AQ67" s="21">
        <v>1.51291</v>
      </c>
      <c r="AR67" s="21">
        <v>24.271799999999999</v>
      </c>
      <c r="AS67" s="21">
        <v>-1.4678999999999999E-2</v>
      </c>
      <c r="AT67" s="21">
        <v>57</v>
      </c>
      <c r="AU67" s="21">
        <v>1.5127600000000001</v>
      </c>
      <c r="AV67">
        <f t="shared" si="8"/>
        <v>18.12222222222222</v>
      </c>
      <c r="AW67">
        <f t="shared" si="9"/>
        <v>27.417291222222218</v>
      </c>
      <c r="AX67" s="9"/>
      <c r="AY67" s="21">
        <v>0.18707299999999999</v>
      </c>
      <c r="AZ67" s="21">
        <v>28.091000000000001</v>
      </c>
      <c r="BA67" s="21">
        <v>-1.63208E-2</v>
      </c>
      <c r="BB67" s="21">
        <v>57</v>
      </c>
      <c r="BC67" s="21">
        <v>0.18679799999999999</v>
      </c>
      <c r="BD67">
        <f t="shared" si="10"/>
        <v>20.149135802469136</v>
      </c>
      <c r="BE67">
        <f t="shared" si="11"/>
        <v>3.7693592819753086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1.50787</v>
      </c>
      <c r="H68" s="21">
        <v>5.5664400000000001</v>
      </c>
      <c r="I68" s="21">
        <v>-1.4611799999999999E-2</v>
      </c>
      <c r="J68" s="21">
        <v>58</v>
      </c>
      <c r="K68" s="21">
        <v>1.50665</v>
      </c>
      <c r="L68">
        <f t="shared" si="0"/>
        <v>18.039259259259257</v>
      </c>
      <c r="M68">
        <f t="shared" si="1"/>
        <v>27.200857859259258</v>
      </c>
      <c r="N68" s="9"/>
      <c r="O68" s="21">
        <v>0.192108</v>
      </c>
      <c r="P68" s="21">
        <v>9.3856300000000008</v>
      </c>
      <c r="Q68" s="21">
        <v>-1.6201799999999999E-2</v>
      </c>
      <c r="R68" s="21">
        <v>58</v>
      </c>
      <c r="S68" s="21">
        <v>0.191803</v>
      </c>
      <c r="T68">
        <f t="shared" si="2"/>
        <v>20.002222222222219</v>
      </c>
      <c r="U68">
        <f t="shared" si="3"/>
        <v>3.842586906666666</v>
      </c>
      <c r="X68" s="9"/>
      <c r="Y68" s="21">
        <v>1.50787</v>
      </c>
      <c r="Z68" s="21">
        <v>14.9451</v>
      </c>
      <c r="AA68" s="21">
        <v>-1.46667E-2</v>
      </c>
      <c r="AB68" s="21">
        <v>58</v>
      </c>
      <c r="AC68" s="21">
        <v>1.5069600000000001</v>
      </c>
      <c r="AD68">
        <f t="shared" si="4"/>
        <v>18.107037037037035</v>
      </c>
      <c r="AE68">
        <f t="shared" si="5"/>
        <v>27.303057937037035</v>
      </c>
      <c r="AF68" s="9"/>
      <c r="AG68" s="21">
        <v>0.192108</v>
      </c>
      <c r="AH68" s="21">
        <v>18.764299999999999</v>
      </c>
      <c r="AI68" s="21">
        <v>-1.62781E-2</v>
      </c>
      <c r="AJ68" s="21">
        <v>58</v>
      </c>
      <c r="AK68" s="21">
        <v>0.191498</v>
      </c>
      <c r="AL68">
        <f t="shared" si="6"/>
        <v>20.096419753086419</v>
      </c>
      <c r="AM68">
        <f t="shared" si="7"/>
        <v>3.8606830059259258</v>
      </c>
      <c r="AP68" s="9"/>
      <c r="AQ68" s="21">
        <v>1.50787</v>
      </c>
      <c r="AR68" s="21">
        <v>24.2819</v>
      </c>
      <c r="AS68" s="21">
        <v>-1.4688100000000001E-2</v>
      </c>
      <c r="AT68" s="21">
        <v>58</v>
      </c>
      <c r="AU68" s="21">
        <v>1.5069600000000001</v>
      </c>
      <c r="AV68">
        <f t="shared" si="8"/>
        <v>18.133456790123457</v>
      </c>
      <c r="AW68">
        <f t="shared" si="9"/>
        <v>27.342895490123457</v>
      </c>
      <c r="AX68" s="9"/>
      <c r="AY68" s="21">
        <v>0.192108</v>
      </c>
      <c r="AZ68" s="21">
        <v>28.100999999999999</v>
      </c>
      <c r="BA68" s="21">
        <v>-1.6311599999999999E-2</v>
      </c>
      <c r="BB68" s="21">
        <v>58</v>
      </c>
      <c r="BC68" s="21">
        <v>0.191437</v>
      </c>
      <c r="BD68">
        <f t="shared" si="10"/>
        <v>20.137777777777774</v>
      </c>
      <c r="BE68">
        <f t="shared" si="11"/>
        <v>3.8686282133333325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1.50284</v>
      </c>
      <c r="H69" s="21">
        <v>5.5765099999999999</v>
      </c>
      <c r="I69" s="21">
        <v>-1.46179E-2</v>
      </c>
      <c r="J69" s="21">
        <v>59</v>
      </c>
      <c r="K69" s="21">
        <v>1.5020800000000001</v>
      </c>
      <c r="L69">
        <f t="shared" si="0"/>
        <v>18.046790123456791</v>
      </c>
      <c r="M69">
        <f t="shared" si="1"/>
        <v>27.121438069135802</v>
      </c>
      <c r="N69" s="9"/>
      <c r="O69" s="21">
        <v>0.19714400000000001</v>
      </c>
      <c r="P69" s="21">
        <v>9.3956999999999997</v>
      </c>
      <c r="Q69" s="21">
        <v>-1.6192600000000001E-2</v>
      </c>
      <c r="R69" s="21">
        <v>59</v>
      </c>
      <c r="S69" s="21">
        <v>0.19650300000000001</v>
      </c>
      <c r="T69">
        <f t="shared" si="2"/>
        <v>19.990864197530865</v>
      </c>
      <c r="U69">
        <f t="shared" si="3"/>
        <v>3.941078931358025</v>
      </c>
      <c r="X69" s="9"/>
      <c r="Y69" s="21">
        <v>1.50284</v>
      </c>
      <c r="Z69" s="21">
        <v>14.9552</v>
      </c>
      <c r="AA69" s="21">
        <v>-1.46759E-2</v>
      </c>
      <c r="AB69" s="21">
        <v>59</v>
      </c>
      <c r="AC69" s="21">
        <v>1.5020800000000001</v>
      </c>
      <c r="AD69">
        <f t="shared" si="4"/>
        <v>18.118395061728396</v>
      </c>
      <c r="AE69">
        <f t="shared" si="5"/>
        <v>27.229048834567902</v>
      </c>
      <c r="AF69" s="9"/>
      <c r="AG69" s="21">
        <v>0.19714400000000001</v>
      </c>
      <c r="AH69" s="21">
        <v>18.7744</v>
      </c>
      <c r="AI69" s="21">
        <v>-1.6275000000000001E-2</v>
      </c>
      <c r="AJ69" s="21">
        <v>59</v>
      </c>
      <c r="AK69" s="21">
        <v>0.19662499999999999</v>
      </c>
      <c r="AL69">
        <f t="shared" si="6"/>
        <v>20.092592592592592</v>
      </c>
      <c r="AM69">
        <f t="shared" si="7"/>
        <v>3.9611340740740744</v>
      </c>
      <c r="AP69" s="9"/>
      <c r="AQ69" s="21">
        <v>1.50284</v>
      </c>
      <c r="AR69" s="21">
        <v>24.291899999999998</v>
      </c>
      <c r="AS69" s="21">
        <v>-1.46973E-2</v>
      </c>
      <c r="AT69" s="21">
        <v>59</v>
      </c>
      <c r="AU69" s="21">
        <v>1.50146</v>
      </c>
      <c r="AV69">
        <f t="shared" si="8"/>
        <v>18.144814814814815</v>
      </c>
      <c r="AW69">
        <f t="shared" si="9"/>
        <v>27.268753496296295</v>
      </c>
      <c r="AX69" s="9"/>
      <c r="AY69" s="21">
        <v>0.19714400000000001</v>
      </c>
      <c r="AZ69" s="21">
        <v>28.1111</v>
      </c>
      <c r="BA69" s="21">
        <v>-1.6302500000000001E-2</v>
      </c>
      <c r="BB69" s="21">
        <v>59</v>
      </c>
      <c r="BC69" s="21">
        <v>0.19659399999999999</v>
      </c>
      <c r="BD69">
        <f t="shared" si="10"/>
        <v>20.126543209876544</v>
      </c>
      <c r="BE69">
        <f t="shared" si="11"/>
        <v>3.9678272345679018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1.4978</v>
      </c>
      <c r="H70" s="21">
        <v>5.5865799999999997</v>
      </c>
      <c r="I70" s="21">
        <v>-1.46301E-2</v>
      </c>
      <c r="J70" s="21">
        <v>60</v>
      </c>
      <c r="K70" s="21">
        <v>1.49719</v>
      </c>
      <c r="L70">
        <f t="shared" si="0"/>
        <v>18.061851851851848</v>
      </c>
      <c r="M70">
        <f t="shared" si="1"/>
        <v>27.053041703703698</v>
      </c>
      <c r="N70" s="9"/>
      <c r="O70" s="21">
        <v>0.202179</v>
      </c>
      <c r="P70" s="21">
        <v>9.4057700000000004</v>
      </c>
      <c r="Q70" s="21">
        <v>-1.6186499999999999E-2</v>
      </c>
      <c r="R70" s="21">
        <v>60</v>
      </c>
      <c r="S70" s="21">
        <v>0.20141600000000001</v>
      </c>
      <c r="T70">
        <f t="shared" si="2"/>
        <v>19.983333333333331</v>
      </c>
      <c r="U70">
        <f t="shared" si="3"/>
        <v>4.0402103499999997</v>
      </c>
      <c r="X70" s="9"/>
      <c r="Y70" s="21">
        <v>1.4978</v>
      </c>
      <c r="Z70" s="21">
        <v>14.965299999999999</v>
      </c>
      <c r="AA70" s="21">
        <v>-1.46851E-2</v>
      </c>
      <c r="AB70" s="21">
        <v>60</v>
      </c>
      <c r="AC70" s="21">
        <v>1.4950600000000001</v>
      </c>
      <c r="AD70">
        <f t="shared" si="4"/>
        <v>18.12975308641975</v>
      </c>
      <c r="AE70">
        <f t="shared" si="5"/>
        <v>27.154744172839504</v>
      </c>
      <c r="AF70" s="9"/>
      <c r="AG70" s="21">
        <v>0.202179</v>
      </c>
      <c r="AH70" s="21">
        <v>18.784500000000001</v>
      </c>
      <c r="AI70" s="21">
        <v>-1.6284199999999999E-2</v>
      </c>
      <c r="AJ70" s="21">
        <v>60</v>
      </c>
      <c r="AK70" s="21">
        <v>0.20163</v>
      </c>
      <c r="AL70">
        <f t="shared" si="6"/>
        <v>20.103950617283949</v>
      </c>
      <c r="AM70">
        <f t="shared" si="7"/>
        <v>4.0645966318518516</v>
      </c>
      <c r="AP70" s="9"/>
      <c r="AQ70" s="21">
        <v>1.4978</v>
      </c>
      <c r="AR70" s="21">
        <v>24.302</v>
      </c>
      <c r="AS70" s="21">
        <v>-1.47034E-2</v>
      </c>
      <c r="AT70" s="21">
        <v>60</v>
      </c>
      <c r="AU70" s="21">
        <v>1.49658</v>
      </c>
      <c r="AV70">
        <f t="shared" si="8"/>
        <v>18.152345679012342</v>
      </c>
      <c r="AW70">
        <f t="shared" si="9"/>
        <v>27.188583358024687</v>
      </c>
      <c r="AX70" s="9"/>
      <c r="AY70" s="21">
        <v>0.202179</v>
      </c>
      <c r="AZ70" s="21">
        <v>28.121200000000002</v>
      </c>
      <c r="BA70" s="21">
        <v>-1.6296399999999999E-2</v>
      </c>
      <c r="BB70" s="21">
        <v>60</v>
      </c>
      <c r="BC70" s="21">
        <v>0.20166000000000001</v>
      </c>
      <c r="BD70">
        <f t="shared" si="10"/>
        <v>20.119012345679007</v>
      </c>
      <c r="BE70">
        <f t="shared" si="11"/>
        <v>4.0676417970370355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1.4927699999999999</v>
      </c>
      <c r="H71" s="21">
        <v>5.5966500000000003</v>
      </c>
      <c r="I71" s="21">
        <v>-1.46362E-2</v>
      </c>
      <c r="J71" s="21">
        <v>61</v>
      </c>
      <c r="K71" s="21">
        <v>1.49139</v>
      </c>
      <c r="L71">
        <f t="shared" si="0"/>
        <v>18.069382716049383</v>
      </c>
      <c r="M71">
        <f t="shared" si="1"/>
        <v>26.973432437037037</v>
      </c>
      <c r="N71" s="9"/>
      <c r="O71" s="21">
        <v>0.20721400000000001</v>
      </c>
      <c r="P71" s="21">
        <v>9.4158399999999993</v>
      </c>
      <c r="Q71" s="21">
        <v>-1.6180400000000001E-2</v>
      </c>
      <c r="R71" s="21">
        <v>61</v>
      </c>
      <c r="S71" s="21">
        <v>0.206482</v>
      </c>
      <c r="T71">
        <f t="shared" si="2"/>
        <v>19.975802469135804</v>
      </c>
      <c r="U71">
        <f t="shared" si="3"/>
        <v>4.1392659328395069</v>
      </c>
      <c r="X71" s="9"/>
      <c r="Y71" s="21">
        <v>1.4927699999999999</v>
      </c>
      <c r="Z71" s="21">
        <v>14.975300000000001</v>
      </c>
      <c r="AA71" s="21">
        <v>-1.4694199999999999E-2</v>
      </c>
      <c r="AB71" s="21">
        <v>61</v>
      </c>
      <c r="AC71" s="21">
        <v>1.4917</v>
      </c>
      <c r="AD71">
        <f t="shared" si="4"/>
        <v>18.140987654320988</v>
      </c>
      <c r="AE71">
        <f t="shared" si="5"/>
        <v>27.080322140740741</v>
      </c>
      <c r="AF71" s="9"/>
      <c r="AG71" s="21">
        <v>0.20721400000000001</v>
      </c>
      <c r="AH71" s="21">
        <v>18.794499999999999</v>
      </c>
      <c r="AI71" s="21">
        <v>-1.6259800000000001E-2</v>
      </c>
      <c r="AJ71" s="21">
        <v>61</v>
      </c>
      <c r="AK71" s="21">
        <v>0.20642099999999999</v>
      </c>
      <c r="AL71">
        <f t="shared" si="6"/>
        <v>20.073827160493828</v>
      </c>
      <c r="AM71">
        <f t="shared" si="7"/>
        <v>4.1595780212345685</v>
      </c>
      <c r="AP71" s="9"/>
      <c r="AQ71" s="21">
        <v>1.4927699999999999</v>
      </c>
      <c r="AR71" s="21">
        <v>24.312100000000001</v>
      </c>
      <c r="AS71" s="21">
        <v>-1.47095E-2</v>
      </c>
      <c r="AT71" s="21">
        <v>61</v>
      </c>
      <c r="AU71" s="21">
        <v>1.49261</v>
      </c>
      <c r="AV71">
        <f t="shared" si="8"/>
        <v>18.159876543209876</v>
      </c>
      <c r="AW71">
        <f t="shared" si="9"/>
        <v>27.108518907407404</v>
      </c>
      <c r="AX71" s="9"/>
      <c r="AY71" s="21">
        <v>0.20721400000000001</v>
      </c>
      <c r="AZ71" s="21">
        <v>28.1313</v>
      </c>
      <c r="BA71" s="21">
        <v>-1.6287200000000002E-2</v>
      </c>
      <c r="BB71" s="21">
        <v>61</v>
      </c>
      <c r="BC71" s="21">
        <v>0.206757</v>
      </c>
      <c r="BD71">
        <f t="shared" si="10"/>
        <v>20.107654320987656</v>
      </c>
      <c r="BE71">
        <f t="shared" si="11"/>
        <v>4.1665874824691365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1.48773</v>
      </c>
      <c r="H72" s="21">
        <v>5.6067200000000001</v>
      </c>
      <c r="I72" s="21">
        <v>-1.4645399999999999E-2</v>
      </c>
      <c r="J72" s="21">
        <v>62</v>
      </c>
      <c r="K72" s="21">
        <v>1.48682</v>
      </c>
      <c r="L72">
        <f t="shared" si="0"/>
        <v>18.080740740740737</v>
      </c>
      <c r="M72">
        <f t="shared" si="1"/>
        <v>26.899260422222216</v>
      </c>
      <c r="N72" s="9"/>
      <c r="O72" s="21">
        <v>0.21224999999999999</v>
      </c>
      <c r="P72" s="21">
        <v>9.42591</v>
      </c>
      <c r="Q72" s="21">
        <v>-1.61713E-2</v>
      </c>
      <c r="R72" s="21">
        <v>62</v>
      </c>
      <c r="S72" s="21">
        <v>0.21179200000000001</v>
      </c>
      <c r="T72">
        <f t="shared" si="2"/>
        <v>19.964567901234567</v>
      </c>
      <c r="U72">
        <f t="shared" si="3"/>
        <v>4.2374795370370366</v>
      </c>
      <c r="X72" s="9"/>
      <c r="Y72" s="21">
        <v>1.48773</v>
      </c>
      <c r="Z72" s="21">
        <v>14.9854</v>
      </c>
      <c r="AA72" s="21">
        <v>-1.4700299999999999E-2</v>
      </c>
      <c r="AB72" s="21">
        <v>62</v>
      </c>
      <c r="AC72" s="21">
        <v>1.48621</v>
      </c>
      <c r="AD72">
        <f t="shared" si="4"/>
        <v>18.148518518518514</v>
      </c>
      <c r="AE72">
        <f t="shared" si="5"/>
        <v>27.000095455555549</v>
      </c>
      <c r="AF72" s="9"/>
      <c r="AG72" s="21">
        <v>0.21224999999999999</v>
      </c>
      <c r="AH72" s="21">
        <v>18.804600000000001</v>
      </c>
      <c r="AI72" s="21">
        <v>-1.6253699999999999E-2</v>
      </c>
      <c r="AJ72" s="21">
        <v>62</v>
      </c>
      <c r="AK72" s="21">
        <v>0.21182300000000001</v>
      </c>
      <c r="AL72">
        <f t="shared" si="6"/>
        <v>20.066296296296294</v>
      </c>
      <c r="AM72">
        <f t="shared" si="7"/>
        <v>4.2590713888888878</v>
      </c>
      <c r="AP72" s="9"/>
      <c r="AQ72" s="21">
        <v>1.48773</v>
      </c>
      <c r="AR72" s="21">
        <v>24.322099999999999</v>
      </c>
      <c r="AS72" s="21">
        <v>-1.47186E-2</v>
      </c>
      <c r="AT72" s="21">
        <v>62</v>
      </c>
      <c r="AU72" s="21">
        <v>1.48743</v>
      </c>
      <c r="AV72">
        <f t="shared" si="8"/>
        <v>18.171111111111109</v>
      </c>
      <c r="AW72">
        <f t="shared" si="9"/>
        <v>27.03370713333333</v>
      </c>
      <c r="AX72" s="9"/>
      <c r="AY72" s="21">
        <v>0.21224999999999999</v>
      </c>
      <c r="AZ72" s="21">
        <v>28.141300000000001</v>
      </c>
      <c r="BA72" s="21">
        <v>-1.62811E-2</v>
      </c>
      <c r="BB72" s="21">
        <v>62</v>
      </c>
      <c r="BC72" s="21">
        <v>0.21182300000000001</v>
      </c>
      <c r="BD72">
        <f t="shared" si="10"/>
        <v>20.100123456790122</v>
      </c>
      <c r="BE72">
        <f t="shared" si="11"/>
        <v>4.2662512037037033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1.4826999999999999</v>
      </c>
      <c r="H73" s="21">
        <v>5.6167899999999999</v>
      </c>
      <c r="I73" s="21">
        <v>-1.46515E-2</v>
      </c>
      <c r="J73" s="21">
        <v>63</v>
      </c>
      <c r="K73" s="21">
        <v>1.48193</v>
      </c>
      <c r="L73">
        <f t="shared" si="0"/>
        <v>18.088271604938271</v>
      </c>
      <c r="M73">
        <f t="shared" si="1"/>
        <v>26.819480308641971</v>
      </c>
      <c r="N73" s="9"/>
      <c r="O73" s="21">
        <v>0.21728500000000001</v>
      </c>
      <c r="P73" s="21">
        <v>9.4359800000000007</v>
      </c>
      <c r="Q73" s="21">
        <v>-1.6165200000000001E-2</v>
      </c>
      <c r="R73" s="21">
        <v>63</v>
      </c>
      <c r="S73" s="21">
        <v>0.21670500000000001</v>
      </c>
      <c r="T73">
        <f t="shared" si="2"/>
        <v>19.957037037037036</v>
      </c>
      <c r="U73">
        <f t="shared" si="3"/>
        <v>4.3363647925925921</v>
      </c>
      <c r="X73" s="9"/>
      <c r="Y73" s="21">
        <v>1.4826999999999999</v>
      </c>
      <c r="Z73" s="21">
        <v>14.9955</v>
      </c>
      <c r="AA73" s="21">
        <v>-1.47095E-2</v>
      </c>
      <c r="AB73" s="21">
        <v>63</v>
      </c>
      <c r="AC73" s="21">
        <v>1.48224</v>
      </c>
      <c r="AD73">
        <f t="shared" si="4"/>
        <v>18.159876543209876</v>
      </c>
      <c r="AE73">
        <f t="shared" si="5"/>
        <v>26.92564895061728</v>
      </c>
      <c r="AF73" s="9"/>
      <c r="AG73" s="21">
        <v>0.21728500000000001</v>
      </c>
      <c r="AH73" s="21">
        <v>18.814699999999998</v>
      </c>
      <c r="AI73" s="21">
        <v>-1.6247600000000001E-2</v>
      </c>
      <c r="AJ73" s="21">
        <v>63</v>
      </c>
      <c r="AK73" s="21">
        <v>0.21676599999999999</v>
      </c>
      <c r="AL73">
        <f t="shared" si="6"/>
        <v>20.058765432098767</v>
      </c>
      <c r="AM73">
        <f t="shared" si="7"/>
        <v>4.3584688469135804</v>
      </c>
      <c r="AP73" s="9"/>
      <c r="AQ73" s="21">
        <v>1.4826999999999999</v>
      </c>
      <c r="AR73" s="21">
        <v>24.3322</v>
      </c>
      <c r="AS73" s="21">
        <v>-1.4727799999999999E-2</v>
      </c>
      <c r="AT73" s="21">
        <v>63</v>
      </c>
      <c r="AU73" s="21">
        <v>1.48224</v>
      </c>
      <c r="AV73">
        <f t="shared" si="8"/>
        <v>18.182469135802467</v>
      </c>
      <c r="AW73">
        <f t="shared" si="9"/>
        <v>26.959146987654318</v>
      </c>
      <c r="AX73" s="9"/>
      <c r="AY73" s="21">
        <v>0.21728500000000001</v>
      </c>
      <c r="AZ73" s="21">
        <v>28.151399999999999</v>
      </c>
      <c r="BA73" s="21">
        <v>-1.6275000000000001E-2</v>
      </c>
      <c r="BB73" s="21">
        <v>63</v>
      </c>
      <c r="BC73" s="21">
        <v>0.21676599999999999</v>
      </c>
      <c r="BD73">
        <f t="shared" si="10"/>
        <v>20.092592592592592</v>
      </c>
      <c r="BE73">
        <f t="shared" si="11"/>
        <v>4.3658189814814818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1.47766</v>
      </c>
      <c r="H74" s="21">
        <v>5.6268599999999998</v>
      </c>
      <c r="I74" s="21">
        <v>-1.46576E-2</v>
      </c>
      <c r="J74" s="21">
        <v>64</v>
      </c>
      <c r="K74" s="21">
        <v>1.47736</v>
      </c>
      <c r="L74">
        <f t="shared" si="0"/>
        <v>18.095802469135801</v>
      </c>
      <c r="M74">
        <f t="shared" si="1"/>
        <v>26.739443476543208</v>
      </c>
      <c r="N74" s="9"/>
      <c r="O74" s="21">
        <v>0.22232099999999999</v>
      </c>
      <c r="P74" s="21">
        <v>9.4460499999999996</v>
      </c>
      <c r="Q74" s="21">
        <v>-1.6159099999999999E-2</v>
      </c>
      <c r="R74" s="21">
        <v>64</v>
      </c>
      <c r="S74" s="21">
        <v>0.22164900000000001</v>
      </c>
      <c r="T74">
        <f t="shared" si="2"/>
        <v>19.949506172839506</v>
      </c>
      <c r="U74">
        <f t="shared" si="3"/>
        <v>4.435194161851852</v>
      </c>
      <c r="X74" s="9"/>
      <c r="Y74" s="21">
        <v>1.47766</v>
      </c>
      <c r="Z74" s="21">
        <v>15.005599999999999</v>
      </c>
      <c r="AA74" s="21">
        <v>-1.4715600000000001E-2</v>
      </c>
      <c r="AB74" s="21">
        <v>64</v>
      </c>
      <c r="AC74" s="21">
        <v>1.47766</v>
      </c>
      <c r="AD74">
        <f t="shared" si="4"/>
        <v>18.167407407407406</v>
      </c>
      <c r="AE74">
        <f t="shared" si="5"/>
        <v>26.845251229629628</v>
      </c>
      <c r="AF74" s="9"/>
      <c r="AG74" s="21">
        <v>0.22232099999999999</v>
      </c>
      <c r="AH74" s="21">
        <v>18.8247</v>
      </c>
      <c r="AI74" s="21">
        <v>-1.62384E-2</v>
      </c>
      <c r="AJ74" s="21">
        <v>64</v>
      </c>
      <c r="AK74" s="21">
        <v>0.22174099999999999</v>
      </c>
      <c r="AL74">
        <f t="shared" si="6"/>
        <v>20.047407407407405</v>
      </c>
      <c r="AM74">
        <f t="shared" si="7"/>
        <v>4.4569596622222214</v>
      </c>
      <c r="AP74" s="9"/>
      <c r="AQ74" s="21">
        <v>1.47766</v>
      </c>
      <c r="AR74" s="21">
        <v>24.342300000000002</v>
      </c>
      <c r="AS74" s="21">
        <v>-1.4736900000000001E-2</v>
      </c>
      <c r="AT74" s="21">
        <v>64</v>
      </c>
      <c r="AU74" s="21">
        <v>1.47644</v>
      </c>
      <c r="AV74">
        <f t="shared" si="8"/>
        <v>18.193703703703704</v>
      </c>
      <c r="AW74">
        <f t="shared" si="9"/>
        <v>26.884108214814816</v>
      </c>
      <c r="AX74" s="9"/>
      <c r="AY74" s="21">
        <v>0.22232099999999999</v>
      </c>
      <c r="AZ74" s="21">
        <v>28.1615</v>
      </c>
      <c r="BA74" s="21">
        <v>-1.62659E-2</v>
      </c>
      <c r="BB74" s="21">
        <v>64</v>
      </c>
      <c r="BC74" s="21">
        <v>0.22170999999999999</v>
      </c>
      <c r="BD74">
        <f t="shared" si="10"/>
        <v>20.081358024691358</v>
      </c>
      <c r="BE74">
        <f t="shared" si="11"/>
        <v>4.4645075974074073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1.4726300000000001</v>
      </c>
      <c r="H75" s="21">
        <v>5.6369300000000004</v>
      </c>
      <c r="I75" s="21">
        <v>-1.46637E-2</v>
      </c>
      <c r="J75" s="21">
        <v>65</v>
      </c>
      <c r="K75" s="21">
        <v>1.47217</v>
      </c>
      <c r="L75">
        <f t="shared" si="0"/>
        <v>18.103333333333332</v>
      </c>
      <c r="M75">
        <f t="shared" si="1"/>
        <v>26.659511766666665</v>
      </c>
      <c r="N75" s="9"/>
      <c r="O75" s="21">
        <v>0.227356</v>
      </c>
      <c r="P75" s="21">
        <v>9.4561299999999999</v>
      </c>
      <c r="Q75" s="21">
        <v>-1.6149899999999998E-2</v>
      </c>
      <c r="R75" s="21">
        <v>65</v>
      </c>
      <c r="S75" s="21">
        <v>0.226685</v>
      </c>
      <c r="T75">
        <f t="shared" si="2"/>
        <v>19.938148148148144</v>
      </c>
      <c r="U75">
        <f t="shared" si="3"/>
        <v>4.5330576103703697</v>
      </c>
      <c r="X75" s="9"/>
      <c r="Y75" s="21">
        <v>1.4726300000000001</v>
      </c>
      <c r="Z75" s="21">
        <v>15.015599999999999</v>
      </c>
      <c r="AA75" s="21">
        <v>-1.47247E-2</v>
      </c>
      <c r="AB75" s="21">
        <v>65</v>
      </c>
      <c r="AC75" s="21">
        <v>1.4718599999999999</v>
      </c>
      <c r="AD75">
        <f t="shared" si="4"/>
        <v>18.178641975308643</v>
      </c>
      <c r="AE75">
        <f t="shared" si="5"/>
        <v>26.770413532098768</v>
      </c>
      <c r="AF75" s="9"/>
      <c r="AG75" s="21">
        <v>0.227356</v>
      </c>
      <c r="AH75" s="21">
        <v>18.834800000000001</v>
      </c>
      <c r="AI75" s="21">
        <v>-1.6229199999999999E-2</v>
      </c>
      <c r="AJ75" s="21">
        <v>65</v>
      </c>
      <c r="AK75" s="21">
        <v>0.22720299999999999</v>
      </c>
      <c r="AL75">
        <f t="shared" si="6"/>
        <v>20.036049382716048</v>
      </c>
      <c r="AM75">
        <f t="shared" si="7"/>
        <v>4.5553160434567896</v>
      </c>
      <c r="AP75" s="9"/>
      <c r="AQ75" s="21">
        <v>1.4726300000000001</v>
      </c>
      <c r="AR75" s="21">
        <v>24.352399999999999</v>
      </c>
      <c r="AS75" s="21">
        <v>-1.4742999999999999E-2</v>
      </c>
      <c r="AT75" s="21">
        <v>65</v>
      </c>
      <c r="AU75" s="21">
        <v>1.47156</v>
      </c>
      <c r="AV75">
        <f t="shared" si="8"/>
        <v>18.201234567901235</v>
      </c>
      <c r="AW75">
        <f t="shared" si="9"/>
        <v>26.803684061728397</v>
      </c>
      <c r="AX75" s="9"/>
      <c r="AY75" s="21">
        <v>0.227356</v>
      </c>
      <c r="AZ75" s="21">
        <v>28.171500000000002</v>
      </c>
      <c r="BA75" s="21">
        <v>-1.6259800000000001E-2</v>
      </c>
      <c r="BB75" s="21">
        <v>65</v>
      </c>
      <c r="BC75" s="21">
        <v>0.22686799999999999</v>
      </c>
      <c r="BD75">
        <f t="shared" si="10"/>
        <v>20.073827160493828</v>
      </c>
      <c r="BE75">
        <f t="shared" si="11"/>
        <v>4.5639050479012351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1.46759</v>
      </c>
      <c r="H76" s="21">
        <v>5.6470099999999999</v>
      </c>
      <c r="I76" s="21">
        <v>-1.46698E-2</v>
      </c>
      <c r="J76" s="21">
        <v>66</v>
      </c>
      <c r="K76" s="21">
        <v>1.46637</v>
      </c>
      <c r="L76">
        <f t="shared" ref="L76:L139" si="12">-I76/$F$2*1000</f>
        <v>18.110864197530866</v>
      </c>
      <c r="M76">
        <f t="shared" ref="M76:M139" si="13">L76*G76</f>
        <v>26.579323187654321</v>
      </c>
      <c r="N76" s="9"/>
      <c r="O76" s="21">
        <v>0.23239099999999999</v>
      </c>
      <c r="P76" s="21">
        <v>9.4662000000000006</v>
      </c>
      <c r="Q76" s="21">
        <v>-1.61438E-2</v>
      </c>
      <c r="R76" s="21">
        <v>66</v>
      </c>
      <c r="S76" s="21">
        <v>0.23184199999999999</v>
      </c>
      <c r="T76">
        <f t="shared" ref="T76:T139" si="14">-Q76/$F$2*1000</f>
        <v>19.930617283950614</v>
      </c>
      <c r="U76">
        <f t="shared" ref="U76:U139" si="15">T76*O76</f>
        <v>4.6316960812345664</v>
      </c>
      <c r="X76" s="9"/>
      <c r="Y76" s="21">
        <v>1.46759</v>
      </c>
      <c r="Z76" s="21">
        <v>15.025700000000001</v>
      </c>
      <c r="AA76" s="21">
        <v>-1.47308E-2</v>
      </c>
      <c r="AB76" s="21">
        <v>66</v>
      </c>
      <c r="AC76" s="21">
        <v>1.46698</v>
      </c>
      <c r="AD76">
        <f t="shared" ref="AD76:AD139" si="16">-AA76/$F$2*1000</f>
        <v>18.186172839506174</v>
      </c>
      <c r="AE76">
        <f t="shared" ref="AE76:AE139" si="17">AD76*Y76</f>
        <v>26.689845397530863</v>
      </c>
      <c r="AF76" s="9"/>
      <c r="AG76" s="21">
        <v>0.23239099999999999</v>
      </c>
      <c r="AH76" s="21">
        <v>18.844899999999999</v>
      </c>
      <c r="AI76" s="21">
        <v>-1.6223100000000001E-2</v>
      </c>
      <c r="AJ76" s="21">
        <v>66</v>
      </c>
      <c r="AK76" s="21">
        <v>0.23178099999999999</v>
      </c>
      <c r="AL76">
        <f t="shared" ref="AL76:AL139" si="18">-AI76/$F$2*1000</f>
        <v>20.028518518518517</v>
      </c>
      <c r="AM76">
        <f t="shared" ref="AM76:AM139" si="19">AL76*AG76</f>
        <v>4.6544474470370361</v>
      </c>
      <c r="AP76" s="9"/>
      <c r="AQ76" s="21">
        <v>1.46759</v>
      </c>
      <c r="AR76" s="21">
        <v>24.362400000000001</v>
      </c>
      <c r="AS76" s="21">
        <v>-1.4749099999999999E-2</v>
      </c>
      <c r="AT76" s="21">
        <v>66</v>
      </c>
      <c r="AU76" s="21">
        <v>1.46698</v>
      </c>
      <c r="AV76">
        <f t="shared" ref="AV76:AV139" si="20">-AS76/$F$2*1000</f>
        <v>18.208765432098765</v>
      </c>
      <c r="AW76">
        <f t="shared" ref="AW76:AW139" si="21">AV76*AQ76</f>
        <v>26.723002060493826</v>
      </c>
      <c r="AX76" s="9"/>
      <c r="AY76" s="21">
        <v>0.23239099999999999</v>
      </c>
      <c r="AZ76" s="21">
        <v>28.1816</v>
      </c>
      <c r="BA76" s="21">
        <v>-1.6253699999999999E-2</v>
      </c>
      <c r="BB76" s="21">
        <v>66</v>
      </c>
      <c r="BC76" s="21">
        <v>0.23175000000000001</v>
      </c>
      <c r="BD76">
        <f t="shared" ref="BD76:BD139" si="22">-BA76/$F$2*1000</f>
        <v>20.066296296296294</v>
      </c>
      <c r="BE76">
        <f t="shared" ref="BE76:BE139" si="23">BD76*AY76</f>
        <v>4.6632266625925913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1.46255</v>
      </c>
      <c r="H77" s="21">
        <v>5.6570799999999997</v>
      </c>
      <c r="I77" s="21">
        <v>-1.4678999999999999E-2</v>
      </c>
      <c r="J77" s="21">
        <v>67</v>
      </c>
      <c r="K77" s="21">
        <v>1.4621</v>
      </c>
      <c r="L77">
        <f t="shared" si="12"/>
        <v>18.12222222222222</v>
      </c>
      <c r="M77">
        <f t="shared" si="13"/>
        <v>26.504656111111107</v>
      </c>
      <c r="N77" s="9"/>
      <c r="O77" s="21">
        <v>0.237427</v>
      </c>
      <c r="P77" s="21">
        <v>9.4762699999999995</v>
      </c>
      <c r="Q77" s="21">
        <v>-1.6137700000000001E-2</v>
      </c>
      <c r="R77" s="21">
        <v>67</v>
      </c>
      <c r="S77" s="21">
        <v>0.23693800000000001</v>
      </c>
      <c r="T77">
        <f t="shared" si="14"/>
        <v>19.923086419753087</v>
      </c>
      <c r="U77">
        <f t="shared" si="15"/>
        <v>4.7302786393827159</v>
      </c>
      <c r="X77" s="9"/>
      <c r="Y77" s="21">
        <v>1.46255</v>
      </c>
      <c r="Z77" s="21">
        <v>15.0358</v>
      </c>
      <c r="AA77" s="21">
        <v>-1.4736900000000001E-2</v>
      </c>
      <c r="AB77" s="21">
        <v>67</v>
      </c>
      <c r="AC77" s="21">
        <v>1.46271</v>
      </c>
      <c r="AD77">
        <f t="shared" si="16"/>
        <v>18.193703703703704</v>
      </c>
      <c r="AE77">
        <f t="shared" si="17"/>
        <v>26.609201351851855</v>
      </c>
      <c r="AF77" s="9"/>
      <c r="AG77" s="21">
        <v>0.237427</v>
      </c>
      <c r="AH77" s="21">
        <v>18.855</v>
      </c>
      <c r="AI77" s="21">
        <v>-1.6216999999999999E-2</v>
      </c>
      <c r="AJ77" s="21">
        <v>67</v>
      </c>
      <c r="AK77" s="21">
        <v>0.23672499999999999</v>
      </c>
      <c r="AL77">
        <f t="shared" si="18"/>
        <v>20.020987654320983</v>
      </c>
      <c r="AM77">
        <f t="shared" si="19"/>
        <v>4.753523035802468</v>
      </c>
      <c r="AP77" s="9"/>
      <c r="AQ77" s="21">
        <v>1.46255</v>
      </c>
      <c r="AR77" s="21">
        <v>24.372499999999999</v>
      </c>
      <c r="AS77" s="21">
        <v>-1.47552E-2</v>
      </c>
      <c r="AT77" s="21">
        <v>67</v>
      </c>
      <c r="AU77" s="21">
        <v>1.4617899999999999</v>
      </c>
      <c r="AV77">
        <f t="shared" si="20"/>
        <v>18.216296296296292</v>
      </c>
      <c r="AW77">
        <f t="shared" si="21"/>
        <v>26.642244148148144</v>
      </c>
      <c r="AX77" s="9"/>
      <c r="AY77" s="21">
        <v>0.237427</v>
      </c>
      <c r="AZ77" s="21">
        <v>28.191700000000001</v>
      </c>
      <c r="BA77" s="21">
        <v>-1.6244499999999999E-2</v>
      </c>
      <c r="BB77" s="21">
        <v>67</v>
      </c>
      <c r="BC77" s="21">
        <v>0.23690800000000001</v>
      </c>
      <c r="BD77">
        <f t="shared" si="22"/>
        <v>20.054938271604936</v>
      </c>
      <c r="BE77">
        <f t="shared" si="23"/>
        <v>4.7615838290123449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1.4575199999999999</v>
      </c>
      <c r="H78" s="21">
        <v>5.6671500000000004</v>
      </c>
      <c r="I78" s="21">
        <v>-1.46851E-2</v>
      </c>
      <c r="J78" s="21">
        <v>68</v>
      </c>
      <c r="K78" s="21">
        <v>1.4562999999999999</v>
      </c>
      <c r="L78">
        <f t="shared" si="12"/>
        <v>18.12975308641975</v>
      </c>
      <c r="M78">
        <f t="shared" si="13"/>
        <v>26.424477718518514</v>
      </c>
      <c r="N78" s="9"/>
      <c r="O78" s="21">
        <v>0.24246200000000001</v>
      </c>
      <c r="P78" s="21">
        <v>9.4863400000000002</v>
      </c>
      <c r="Q78" s="21">
        <v>-1.61285E-2</v>
      </c>
      <c r="R78" s="21">
        <v>68</v>
      </c>
      <c r="S78" s="21">
        <v>0.24188200000000001</v>
      </c>
      <c r="T78">
        <f t="shared" si="14"/>
        <v>19.911728395061726</v>
      </c>
      <c r="U78">
        <f t="shared" si="15"/>
        <v>4.8278374901234562</v>
      </c>
      <c r="X78" s="9"/>
      <c r="Y78" s="21">
        <v>1.4575199999999999</v>
      </c>
      <c r="Z78" s="21">
        <v>15.0458</v>
      </c>
      <c r="AA78" s="21">
        <v>-1.4742999999999999E-2</v>
      </c>
      <c r="AB78" s="21">
        <v>68</v>
      </c>
      <c r="AC78" s="21">
        <v>1.4565999999999999</v>
      </c>
      <c r="AD78">
        <f t="shared" si="16"/>
        <v>18.201234567901235</v>
      </c>
      <c r="AE78">
        <f t="shared" si="17"/>
        <v>26.528663407407407</v>
      </c>
      <c r="AF78" s="9"/>
      <c r="AG78" s="21">
        <v>0.24246200000000001</v>
      </c>
      <c r="AH78" s="21">
        <v>18.864999999999998</v>
      </c>
      <c r="AI78" s="21">
        <v>-1.62109E-2</v>
      </c>
      <c r="AJ78" s="21">
        <v>68</v>
      </c>
      <c r="AK78" s="21">
        <v>0.24179100000000001</v>
      </c>
      <c r="AL78">
        <f t="shared" si="18"/>
        <v>20.013456790123456</v>
      </c>
      <c r="AM78">
        <f t="shared" si="19"/>
        <v>4.8525027602469137</v>
      </c>
      <c r="AP78" s="9"/>
      <c r="AQ78" s="21">
        <v>1.4575199999999999</v>
      </c>
      <c r="AR78" s="21">
        <v>24.3826</v>
      </c>
      <c r="AS78" s="21">
        <v>-1.4761399999999999E-2</v>
      </c>
      <c r="AT78" s="21">
        <v>68</v>
      </c>
      <c r="AU78" s="21">
        <v>1.4562999999999999</v>
      </c>
      <c r="AV78">
        <f t="shared" si="20"/>
        <v>18.22395061728395</v>
      </c>
      <c r="AW78">
        <f t="shared" si="21"/>
        <v>26.5617725037037</v>
      </c>
      <c r="AX78" s="9"/>
      <c r="AY78" s="21">
        <v>0.24246200000000001</v>
      </c>
      <c r="AZ78" s="21">
        <v>28.201799999999999</v>
      </c>
      <c r="BA78" s="21">
        <v>-1.62384E-2</v>
      </c>
      <c r="BB78" s="21">
        <v>68</v>
      </c>
      <c r="BC78" s="21">
        <v>0.24179100000000001</v>
      </c>
      <c r="BD78">
        <f t="shared" si="22"/>
        <v>20.047407407407405</v>
      </c>
      <c r="BE78">
        <f t="shared" si="23"/>
        <v>4.8607344948148148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1.45248</v>
      </c>
      <c r="H79" s="21">
        <v>5.6772200000000002</v>
      </c>
      <c r="I79" s="21">
        <v>-1.46912E-2</v>
      </c>
      <c r="J79" s="21">
        <v>69</v>
      </c>
      <c r="K79" s="21">
        <v>1.4511099999999999</v>
      </c>
      <c r="L79">
        <f t="shared" si="12"/>
        <v>18.137283950617284</v>
      </c>
      <c r="M79">
        <f t="shared" si="13"/>
        <v>26.344042192592592</v>
      </c>
      <c r="N79" s="9"/>
      <c r="O79" s="21">
        <v>0.247498</v>
      </c>
      <c r="P79" s="21">
        <v>9.4964099999999991</v>
      </c>
      <c r="Q79" s="21">
        <v>-1.6122399999999999E-2</v>
      </c>
      <c r="R79" s="21">
        <v>69</v>
      </c>
      <c r="S79" s="21">
        <v>0.246918</v>
      </c>
      <c r="T79">
        <f t="shared" si="14"/>
        <v>19.904197530864195</v>
      </c>
      <c r="U79">
        <f t="shared" si="15"/>
        <v>4.9262490804938261</v>
      </c>
      <c r="X79" s="9"/>
      <c r="Y79" s="21">
        <v>1.45248</v>
      </c>
      <c r="Z79" s="21">
        <v>15.055899999999999</v>
      </c>
      <c r="AA79" s="21">
        <v>-1.4749099999999999E-2</v>
      </c>
      <c r="AB79" s="21">
        <v>69</v>
      </c>
      <c r="AC79" s="21">
        <v>1.4526399999999999</v>
      </c>
      <c r="AD79">
        <f t="shared" si="16"/>
        <v>18.208765432098765</v>
      </c>
      <c r="AE79">
        <f t="shared" si="17"/>
        <v>26.447867614814815</v>
      </c>
      <c r="AF79" s="9"/>
      <c r="AG79" s="21">
        <v>0.247498</v>
      </c>
      <c r="AH79" s="21">
        <v>18.8751</v>
      </c>
      <c r="AI79" s="21">
        <v>-1.6213999999999999E-2</v>
      </c>
      <c r="AJ79" s="21">
        <v>69</v>
      </c>
      <c r="AK79" s="21">
        <v>0.24685699999999999</v>
      </c>
      <c r="AL79">
        <f t="shared" si="18"/>
        <v>20.017283950617283</v>
      </c>
      <c r="AM79">
        <f t="shared" si="19"/>
        <v>4.9542377432098768</v>
      </c>
      <c r="AP79" s="9"/>
      <c r="AQ79" s="21">
        <v>1.45248</v>
      </c>
      <c r="AR79" s="21">
        <v>24.392600000000002</v>
      </c>
      <c r="AS79" s="21">
        <v>-1.4767499999999999E-2</v>
      </c>
      <c r="AT79" s="21">
        <v>69</v>
      </c>
      <c r="AU79" s="21">
        <v>1.4520299999999999</v>
      </c>
      <c r="AV79">
        <f t="shared" si="20"/>
        <v>18.231481481481481</v>
      </c>
      <c r="AW79">
        <f t="shared" si="21"/>
        <v>26.480862222222221</v>
      </c>
      <c r="AX79" s="9"/>
      <c r="AY79" s="21">
        <v>0.247498</v>
      </c>
      <c r="AZ79" s="21">
        <v>28.2118</v>
      </c>
      <c r="BA79" s="21">
        <v>-1.6229199999999999E-2</v>
      </c>
      <c r="BB79" s="21">
        <v>69</v>
      </c>
      <c r="BC79" s="21">
        <v>0.246887</v>
      </c>
      <c r="BD79">
        <f t="shared" si="22"/>
        <v>20.036049382716048</v>
      </c>
      <c r="BE79">
        <f t="shared" si="23"/>
        <v>4.9588821501234559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1.4474499999999999</v>
      </c>
      <c r="H80" s="21">
        <v>5.68729</v>
      </c>
      <c r="I80" s="21">
        <v>-1.46973E-2</v>
      </c>
      <c r="J80" s="21">
        <v>70</v>
      </c>
      <c r="K80" s="21">
        <v>1.4468399999999999</v>
      </c>
      <c r="L80">
        <f t="shared" si="12"/>
        <v>18.144814814814815</v>
      </c>
      <c r="M80">
        <f t="shared" si="13"/>
        <v>26.263712203703701</v>
      </c>
      <c r="N80" s="9"/>
      <c r="O80" s="21">
        <v>0.25253300000000001</v>
      </c>
      <c r="P80" s="21">
        <v>9.5064799999999998</v>
      </c>
      <c r="Q80" s="21">
        <v>-1.61163E-2</v>
      </c>
      <c r="R80" s="21">
        <v>70</v>
      </c>
      <c r="S80" s="21">
        <v>0.25186199999999997</v>
      </c>
      <c r="T80">
        <f t="shared" si="14"/>
        <v>19.896666666666668</v>
      </c>
      <c r="U80">
        <f t="shared" si="15"/>
        <v>5.024564923333334</v>
      </c>
      <c r="X80" s="9"/>
      <c r="Y80" s="21">
        <v>1.4474499999999999</v>
      </c>
      <c r="Z80" s="21">
        <v>15.066000000000001</v>
      </c>
      <c r="AA80" s="21">
        <v>-1.47552E-2</v>
      </c>
      <c r="AB80" s="21">
        <v>70</v>
      </c>
      <c r="AC80" s="21">
        <v>1.4462299999999999</v>
      </c>
      <c r="AD80">
        <f t="shared" si="16"/>
        <v>18.216296296296292</v>
      </c>
      <c r="AE80">
        <f t="shared" si="17"/>
        <v>26.367178074074065</v>
      </c>
      <c r="AF80" s="9"/>
      <c r="AG80" s="21">
        <v>0.25253300000000001</v>
      </c>
      <c r="AH80" s="21">
        <v>18.885200000000001</v>
      </c>
      <c r="AI80" s="21">
        <v>-1.6207900000000001E-2</v>
      </c>
      <c r="AJ80" s="21">
        <v>70</v>
      </c>
      <c r="AK80" s="21">
        <v>0.25186199999999997</v>
      </c>
      <c r="AL80">
        <f t="shared" si="18"/>
        <v>20.009753086419753</v>
      </c>
      <c r="AM80">
        <f t="shared" si="19"/>
        <v>5.0531229761728396</v>
      </c>
      <c r="AP80" s="9"/>
      <c r="AQ80" s="21">
        <v>1.4474499999999999</v>
      </c>
      <c r="AR80" s="21">
        <v>24.402699999999999</v>
      </c>
      <c r="AS80" s="21">
        <v>-1.4776600000000001E-2</v>
      </c>
      <c r="AT80" s="21">
        <v>70</v>
      </c>
      <c r="AU80" s="21">
        <v>1.4468399999999999</v>
      </c>
      <c r="AV80">
        <f t="shared" si="20"/>
        <v>18.242716049382715</v>
      </c>
      <c r="AW80">
        <f t="shared" si="21"/>
        <v>26.405419345679007</v>
      </c>
      <c r="AX80" s="9"/>
      <c r="AY80" s="21">
        <v>0.25253300000000001</v>
      </c>
      <c r="AZ80" s="21">
        <v>28.221900000000002</v>
      </c>
      <c r="BA80" s="21">
        <v>-1.62262E-2</v>
      </c>
      <c r="BB80" s="21">
        <v>70</v>
      </c>
      <c r="BC80" s="21">
        <v>0.25195299999999998</v>
      </c>
      <c r="BD80">
        <f t="shared" si="22"/>
        <v>20.032345679012344</v>
      </c>
      <c r="BE80">
        <f t="shared" si="23"/>
        <v>5.0588283513580246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1.44241</v>
      </c>
      <c r="H81" s="21">
        <v>5.6973599999999998</v>
      </c>
      <c r="I81" s="21">
        <v>-1.47034E-2</v>
      </c>
      <c r="J81" s="21">
        <v>71</v>
      </c>
      <c r="K81" s="21">
        <v>1.4413499999999999</v>
      </c>
      <c r="L81">
        <f t="shared" si="12"/>
        <v>18.152345679012342</v>
      </c>
      <c r="M81">
        <f t="shared" si="13"/>
        <v>26.183124930864192</v>
      </c>
      <c r="N81" s="9"/>
      <c r="O81" s="21">
        <v>0.25756800000000002</v>
      </c>
      <c r="P81" s="21">
        <v>9.5165500000000005</v>
      </c>
      <c r="Q81" s="21">
        <v>-1.6110200000000002E-2</v>
      </c>
      <c r="R81" s="21">
        <v>71</v>
      </c>
      <c r="S81" s="21">
        <v>0.25698900000000002</v>
      </c>
      <c r="T81">
        <f t="shared" si="14"/>
        <v>19.889135802469134</v>
      </c>
      <c r="U81">
        <f t="shared" si="15"/>
        <v>5.1228049303703704</v>
      </c>
      <c r="X81" s="9"/>
      <c r="Y81" s="21">
        <v>1.44241</v>
      </c>
      <c r="Z81" s="21">
        <v>15.0761</v>
      </c>
      <c r="AA81" s="21">
        <v>-1.47644E-2</v>
      </c>
      <c r="AB81" s="21">
        <v>71</v>
      </c>
      <c r="AC81" s="21">
        <v>1.4382900000000001</v>
      </c>
      <c r="AD81">
        <f t="shared" si="16"/>
        <v>18.227654320987654</v>
      </c>
      <c r="AE81">
        <f t="shared" si="17"/>
        <v>26.2917508691358</v>
      </c>
      <c r="AF81" s="9"/>
      <c r="AG81" s="21">
        <v>0.25756800000000002</v>
      </c>
      <c r="AH81" s="21">
        <v>18.895199999999999</v>
      </c>
      <c r="AI81" s="21">
        <v>-1.61987E-2</v>
      </c>
      <c r="AJ81" s="21">
        <v>71</v>
      </c>
      <c r="AK81" s="21">
        <v>0.257019</v>
      </c>
      <c r="AL81">
        <f t="shared" si="18"/>
        <v>19.998395061728392</v>
      </c>
      <c r="AM81">
        <f t="shared" si="19"/>
        <v>5.1509466192592583</v>
      </c>
      <c r="AP81" s="9"/>
      <c r="AQ81" s="21">
        <v>1.44241</v>
      </c>
      <c r="AR81" s="21">
        <v>24.412800000000001</v>
      </c>
      <c r="AS81" s="21">
        <v>-1.47858E-2</v>
      </c>
      <c r="AT81" s="21">
        <v>71</v>
      </c>
      <c r="AU81" s="21">
        <v>1.4413499999999999</v>
      </c>
      <c r="AV81">
        <f t="shared" si="20"/>
        <v>18.254074074074072</v>
      </c>
      <c r="AW81">
        <f t="shared" si="21"/>
        <v>26.329858985185183</v>
      </c>
      <c r="AX81" s="9"/>
      <c r="AY81" s="21">
        <v>0.25756800000000002</v>
      </c>
      <c r="AZ81" s="21">
        <v>28.231999999999999</v>
      </c>
      <c r="BA81" s="21">
        <v>-1.6220100000000001E-2</v>
      </c>
      <c r="BB81" s="21">
        <v>71</v>
      </c>
      <c r="BC81" s="21">
        <v>0.25686599999999998</v>
      </c>
      <c r="BD81">
        <f t="shared" si="22"/>
        <v>20.024814814814814</v>
      </c>
      <c r="BE81">
        <f t="shared" si="23"/>
        <v>5.1577515022222222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1.4373800000000001</v>
      </c>
      <c r="H82" s="21">
        <v>5.7074299999999996</v>
      </c>
      <c r="I82" s="21">
        <v>-1.47095E-2</v>
      </c>
      <c r="J82" s="21">
        <v>72</v>
      </c>
      <c r="K82" s="21">
        <v>1.4361600000000001</v>
      </c>
      <c r="L82">
        <f t="shared" si="12"/>
        <v>18.159876543209876</v>
      </c>
      <c r="M82">
        <f t="shared" si="13"/>
        <v>26.102643345679013</v>
      </c>
      <c r="N82" s="9"/>
      <c r="O82" s="21">
        <v>0.262604</v>
      </c>
      <c r="P82" s="21">
        <v>9.5266199999999994</v>
      </c>
      <c r="Q82" s="21">
        <v>-1.61011E-2</v>
      </c>
      <c r="R82" s="21">
        <v>72</v>
      </c>
      <c r="S82" s="21">
        <v>0.261963</v>
      </c>
      <c r="T82">
        <f t="shared" si="14"/>
        <v>19.877901234567901</v>
      </c>
      <c r="U82">
        <f t="shared" si="15"/>
        <v>5.2200163758024694</v>
      </c>
      <c r="X82" s="9"/>
      <c r="Y82" s="21">
        <v>1.4373800000000001</v>
      </c>
      <c r="Z82" s="21">
        <v>15.0861</v>
      </c>
      <c r="AA82" s="21">
        <v>-1.4767499999999999E-2</v>
      </c>
      <c r="AB82" s="21">
        <v>72</v>
      </c>
      <c r="AC82" s="21">
        <v>1.4346300000000001</v>
      </c>
      <c r="AD82">
        <f t="shared" si="16"/>
        <v>18.231481481481481</v>
      </c>
      <c r="AE82">
        <f t="shared" si="17"/>
        <v>26.205566851851852</v>
      </c>
      <c r="AF82" s="9"/>
      <c r="AG82" s="21">
        <v>0.262604</v>
      </c>
      <c r="AH82" s="21">
        <v>18.9053</v>
      </c>
      <c r="AI82" s="21">
        <v>-1.61957E-2</v>
      </c>
      <c r="AJ82" s="21">
        <v>72</v>
      </c>
      <c r="AK82" s="21">
        <v>0.26184099999999999</v>
      </c>
      <c r="AL82">
        <f t="shared" si="18"/>
        <v>19.994691358024692</v>
      </c>
      <c r="AM82">
        <f t="shared" si="19"/>
        <v>5.2506859293827164</v>
      </c>
      <c r="AP82" s="9"/>
      <c r="AQ82" s="21">
        <v>1.4373800000000001</v>
      </c>
      <c r="AR82" s="21">
        <v>24.422899999999998</v>
      </c>
      <c r="AS82" s="21">
        <v>-1.47919E-2</v>
      </c>
      <c r="AT82" s="21">
        <v>72</v>
      </c>
      <c r="AU82" s="21">
        <v>1.4367700000000001</v>
      </c>
      <c r="AV82">
        <f t="shared" si="20"/>
        <v>18.261604938271603</v>
      </c>
      <c r="AW82">
        <f t="shared" si="21"/>
        <v>26.24886570617284</v>
      </c>
      <c r="AX82" s="9"/>
      <c r="AY82" s="21">
        <v>0.262604</v>
      </c>
      <c r="AZ82" s="21">
        <v>28.242000000000001</v>
      </c>
      <c r="BA82" s="21">
        <v>-1.6213999999999999E-2</v>
      </c>
      <c r="BB82" s="21">
        <v>72</v>
      </c>
      <c r="BC82" s="21">
        <v>0.26208500000000001</v>
      </c>
      <c r="BD82">
        <f t="shared" si="22"/>
        <v>20.017283950617283</v>
      </c>
      <c r="BE82">
        <f t="shared" si="23"/>
        <v>5.2566188345679015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1.4323399999999999</v>
      </c>
      <c r="H83" s="21">
        <v>5.7175000000000002</v>
      </c>
      <c r="I83" s="21">
        <v>-1.4715600000000001E-2</v>
      </c>
      <c r="J83" s="21">
        <v>73</v>
      </c>
      <c r="K83" s="21">
        <v>1.43127</v>
      </c>
      <c r="L83">
        <f t="shared" si="12"/>
        <v>18.167407407407406</v>
      </c>
      <c r="M83">
        <f t="shared" si="13"/>
        <v>26.021904325925924</v>
      </c>
      <c r="N83" s="9"/>
      <c r="O83" s="21">
        <v>0.26763900000000002</v>
      </c>
      <c r="P83" s="21">
        <v>9.5366900000000001</v>
      </c>
      <c r="Q83" s="21">
        <v>-1.6098000000000001E-2</v>
      </c>
      <c r="R83" s="21">
        <v>73</v>
      </c>
      <c r="S83" s="21">
        <v>0.26705899999999999</v>
      </c>
      <c r="T83">
        <f t="shared" si="14"/>
        <v>19.874074074074077</v>
      </c>
      <c r="U83">
        <f t="shared" si="15"/>
        <v>5.319077311111112</v>
      </c>
      <c r="X83" s="9"/>
      <c r="Y83" s="21">
        <v>1.4323399999999999</v>
      </c>
      <c r="Z83" s="21">
        <v>15.0962</v>
      </c>
      <c r="AA83" s="21">
        <v>-1.47736E-2</v>
      </c>
      <c r="AB83" s="21">
        <v>73</v>
      </c>
      <c r="AC83" s="21">
        <v>1.43127</v>
      </c>
      <c r="AD83">
        <f t="shared" si="16"/>
        <v>18.239012345679011</v>
      </c>
      <c r="AE83">
        <f t="shared" si="17"/>
        <v>26.124466943209875</v>
      </c>
      <c r="AF83" s="9"/>
      <c r="AG83" s="21">
        <v>0.26763900000000002</v>
      </c>
      <c r="AH83" s="21">
        <v>18.915400000000002</v>
      </c>
      <c r="AI83" s="21">
        <v>-1.6189599999999998E-2</v>
      </c>
      <c r="AJ83" s="21">
        <v>73</v>
      </c>
      <c r="AK83" s="21">
        <v>0.26693699999999998</v>
      </c>
      <c r="AL83">
        <f t="shared" si="18"/>
        <v>19.987160493827158</v>
      </c>
      <c r="AM83">
        <f t="shared" si="19"/>
        <v>5.349343647407407</v>
      </c>
      <c r="AP83" s="9"/>
      <c r="AQ83" s="21">
        <v>1.4323399999999999</v>
      </c>
      <c r="AR83" s="21">
        <v>24.4329</v>
      </c>
      <c r="AS83" s="21">
        <v>-1.4798E-2</v>
      </c>
      <c r="AT83" s="21">
        <v>73</v>
      </c>
      <c r="AU83" s="21">
        <v>1.4315800000000001</v>
      </c>
      <c r="AV83">
        <f t="shared" si="20"/>
        <v>18.269135802469137</v>
      </c>
      <c r="AW83">
        <f t="shared" si="21"/>
        <v>26.167613975308644</v>
      </c>
      <c r="AX83" s="9"/>
      <c r="AY83" s="21">
        <v>0.26763900000000002</v>
      </c>
      <c r="AZ83" s="21">
        <v>28.252099999999999</v>
      </c>
      <c r="BA83" s="21">
        <v>-1.6204799999999998E-2</v>
      </c>
      <c r="BB83" s="21">
        <v>73</v>
      </c>
      <c r="BC83" s="21">
        <v>0.26715100000000003</v>
      </c>
      <c r="BD83">
        <f t="shared" si="22"/>
        <v>20.005925925925922</v>
      </c>
      <c r="BE83">
        <f t="shared" si="23"/>
        <v>5.3543660088888885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1.4273100000000001</v>
      </c>
      <c r="H84" s="21">
        <v>5.7275700000000001</v>
      </c>
      <c r="I84" s="21">
        <v>-1.47247E-2</v>
      </c>
      <c r="J84" s="21">
        <v>74</v>
      </c>
      <c r="K84" s="21">
        <v>1.42639</v>
      </c>
      <c r="L84">
        <f t="shared" si="12"/>
        <v>18.178641975308643</v>
      </c>
      <c r="M84">
        <f t="shared" si="13"/>
        <v>25.94655747777778</v>
      </c>
      <c r="N84" s="9"/>
      <c r="O84" s="21">
        <v>0.272675</v>
      </c>
      <c r="P84" s="21">
        <v>9.5467600000000008</v>
      </c>
      <c r="Q84" s="21">
        <v>-1.6091899999999999E-2</v>
      </c>
      <c r="R84" s="21">
        <v>74</v>
      </c>
      <c r="S84" s="21">
        <v>0.27191199999999999</v>
      </c>
      <c r="T84">
        <f t="shared" si="14"/>
        <v>19.866543209876539</v>
      </c>
      <c r="U84">
        <f t="shared" si="15"/>
        <v>5.4171096697530849</v>
      </c>
      <c r="X84" s="9"/>
      <c r="Y84" s="21">
        <v>1.4273100000000001</v>
      </c>
      <c r="Z84" s="21">
        <v>15.106299999999999</v>
      </c>
      <c r="AA84" s="21">
        <v>-1.4782699999999999E-2</v>
      </c>
      <c r="AB84" s="21">
        <v>74</v>
      </c>
      <c r="AC84" s="21">
        <v>1.42639</v>
      </c>
      <c r="AD84">
        <f t="shared" si="16"/>
        <v>18.250246913580245</v>
      </c>
      <c r="AE84">
        <f t="shared" si="17"/>
        <v>26.048759922222221</v>
      </c>
      <c r="AF84" s="9"/>
      <c r="AG84" s="21">
        <v>0.272675</v>
      </c>
      <c r="AH84" s="21">
        <v>18.9255</v>
      </c>
      <c r="AI84" s="21">
        <v>-1.6177400000000002E-2</v>
      </c>
      <c r="AJ84" s="21">
        <v>74</v>
      </c>
      <c r="AK84" s="21">
        <v>0.27194200000000002</v>
      </c>
      <c r="AL84">
        <f t="shared" si="18"/>
        <v>19.972098765432101</v>
      </c>
      <c r="AM84">
        <f t="shared" si="19"/>
        <v>5.445892030864198</v>
      </c>
      <c r="AP84" s="9"/>
      <c r="AQ84" s="21">
        <v>1.4273100000000001</v>
      </c>
      <c r="AR84" s="21">
        <v>24.443000000000001</v>
      </c>
      <c r="AS84" s="21">
        <v>-1.4804100000000001E-2</v>
      </c>
      <c r="AT84" s="21">
        <v>74</v>
      </c>
      <c r="AU84" s="21">
        <v>1.4260900000000001</v>
      </c>
      <c r="AV84">
        <f t="shared" si="20"/>
        <v>18.276666666666667</v>
      </c>
      <c r="AW84">
        <f t="shared" si="21"/>
        <v>26.086469100000002</v>
      </c>
      <c r="AX84" s="9"/>
      <c r="AY84" s="21">
        <v>0.272675</v>
      </c>
      <c r="AZ84" s="21">
        <v>28.2622</v>
      </c>
      <c r="BA84" s="21">
        <v>-1.61987E-2</v>
      </c>
      <c r="BB84" s="21">
        <v>74</v>
      </c>
      <c r="BC84" s="21">
        <v>0.27200299999999999</v>
      </c>
      <c r="BD84">
        <f t="shared" si="22"/>
        <v>19.998395061728392</v>
      </c>
      <c r="BE84">
        <f t="shared" si="23"/>
        <v>5.4530623734567891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1.4222699999999999</v>
      </c>
      <c r="H85" s="21">
        <v>5.7376399999999999</v>
      </c>
      <c r="I85" s="21">
        <v>-1.4727799999999999E-2</v>
      </c>
      <c r="J85" s="21">
        <v>75</v>
      </c>
      <c r="K85" s="21">
        <v>1.4209000000000001</v>
      </c>
      <c r="L85">
        <f t="shared" si="12"/>
        <v>18.182469135802467</v>
      </c>
      <c r="M85">
        <f t="shared" si="13"/>
        <v>25.860380377777773</v>
      </c>
      <c r="N85" s="9"/>
      <c r="O85" s="21">
        <v>0.27771000000000001</v>
      </c>
      <c r="P85" s="21">
        <v>9.5568399999999993</v>
      </c>
      <c r="Q85" s="21">
        <v>-1.6085800000000001E-2</v>
      </c>
      <c r="R85" s="21">
        <v>75</v>
      </c>
      <c r="S85" s="21">
        <v>0.27710000000000001</v>
      </c>
      <c r="T85">
        <f t="shared" si="14"/>
        <v>19.859012345679012</v>
      </c>
      <c r="U85">
        <f t="shared" si="15"/>
        <v>5.515046318518519</v>
      </c>
      <c r="X85" s="9"/>
      <c r="Y85" s="21">
        <v>1.4222699999999999</v>
      </c>
      <c r="Z85" s="21">
        <v>15.116300000000001</v>
      </c>
      <c r="AA85" s="21">
        <v>-1.47888E-2</v>
      </c>
      <c r="AB85" s="21">
        <v>75</v>
      </c>
      <c r="AC85" s="21">
        <v>1.4215100000000001</v>
      </c>
      <c r="AD85">
        <f t="shared" si="16"/>
        <v>18.257777777777775</v>
      </c>
      <c r="AE85">
        <f t="shared" si="17"/>
        <v>25.967489599999997</v>
      </c>
      <c r="AF85" s="9"/>
      <c r="AG85" s="21">
        <v>0.27771000000000001</v>
      </c>
      <c r="AH85" s="21">
        <v>18.935500000000001</v>
      </c>
      <c r="AI85" s="21">
        <v>-1.6165200000000001E-2</v>
      </c>
      <c r="AJ85" s="21">
        <v>75</v>
      </c>
      <c r="AK85" s="21">
        <v>0.27703899999999998</v>
      </c>
      <c r="AL85">
        <f t="shared" si="18"/>
        <v>19.957037037037036</v>
      </c>
      <c r="AM85">
        <f t="shared" si="19"/>
        <v>5.5422687555555559</v>
      </c>
      <c r="AP85" s="9"/>
      <c r="AQ85" s="21">
        <v>1.4222699999999999</v>
      </c>
      <c r="AR85" s="21">
        <v>24.453099999999999</v>
      </c>
      <c r="AS85" s="21">
        <v>-1.48132E-2</v>
      </c>
      <c r="AT85" s="21">
        <v>75</v>
      </c>
      <c r="AU85" s="21">
        <v>1.4212</v>
      </c>
      <c r="AV85">
        <f t="shared" si="20"/>
        <v>18.287901234567901</v>
      </c>
      <c r="AW85">
        <f t="shared" si="21"/>
        <v>26.010333288888887</v>
      </c>
      <c r="AX85" s="9"/>
      <c r="AY85" s="21">
        <v>0.27771000000000001</v>
      </c>
      <c r="AZ85" s="21">
        <v>28.272300000000001</v>
      </c>
      <c r="BA85" s="21">
        <v>-1.6189599999999998E-2</v>
      </c>
      <c r="BB85" s="21">
        <v>75</v>
      </c>
      <c r="BC85" s="21">
        <v>0.27710000000000001</v>
      </c>
      <c r="BD85">
        <f t="shared" si="22"/>
        <v>19.987160493827158</v>
      </c>
      <c r="BE85">
        <f t="shared" si="23"/>
        <v>5.5506343407407401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1.4172400000000001</v>
      </c>
      <c r="H86" s="21">
        <v>5.7477200000000002</v>
      </c>
      <c r="I86" s="21">
        <v>-1.4736900000000001E-2</v>
      </c>
      <c r="J86" s="21">
        <v>76</v>
      </c>
      <c r="K86" s="21">
        <v>1.41571</v>
      </c>
      <c r="L86">
        <f t="shared" si="12"/>
        <v>18.193703703703704</v>
      </c>
      <c r="M86">
        <f t="shared" si="13"/>
        <v>25.78484463703704</v>
      </c>
      <c r="N86" s="9"/>
      <c r="O86" s="21">
        <v>0.28274500000000002</v>
      </c>
      <c r="P86" s="21">
        <v>9.56691</v>
      </c>
      <c r="Q86" s="21">
        <v>-1.6079699999999999E-2</v>
      </c>
      <c r="R86" s="21">
        <v>76</v>
      </c>
      <c r="S86" s="21">
        <v>0.28225699999999998</v>
      </c>
      <c r="T86">
        <f t="shared" si="14"/>
        <v>19.851481481481482</v>
      </c>
      <c r="U86">
        <f t="shared" si="15"/>
        <v>5.6129071314814825</v>
      </c>
      <c r="X86" s="9"/>
      <c r="Y86" s="21">
        <v>1.4172400000000001</v>
      </c>
      <c r="Z86" s="21">
        <v>15.1264</v>
      </c>
      <c r="AA86" s="21">
        <v>-1.4798E-2</v>
      </c>
      <c r="AB86" s="21">
        <v>76</v>
      </c>
      <c r="AC86" s="21">
        <v>1.4166300000000001</v>
      </c>
      <c r="AD86">
        <f t="shared" si="16"/>
        <v>18.269135802469137</v>
      </c>
      <c r="AE86">
        <f t="shared" si="17"/>
        <v>25.891750024691362</v>
      </c>
      <c r="AF86" s="9"/>
      <c r="AG86" s="21">
        <v>0.28274500000000002</v>
      </c>
      <c r="AH86" s="21">
        <v>18.945599999999999</v>
      </c>
      <c r="AI86" s="21">
        <v>-1.6159099999999999E-2</v>
      </c>
      <c r="AJ86" s="21">
        <v>76</v>
      </c>
      <c r="AK86" s="21">
        <v>0.28186</v>
      </c>
      <c r="AL86">
        <f t="shared" si="18"/>
        <v>19.949506172839506</v>
      </c>
      <c r="AM86">
        <f t="shared" si="19"/>
        <v>5.6406231228395063</v>
      </c>
      <c r="AP86" s="9"/>
      <c r="AQ86" s="21">
        <v>1.4172400000000001</v>
      </c>
      <c r="AR86" s="21">
        <v>24.463100000000001</v>
      </c>
      <c r="AS86" s="21">
        <v>-1.4816299999999999E-2</v>
      </c>
      <c r="AT86" s="21">
        <v>76</v>
      </c>
      <c r="AU86" s="21">
        <v>1.41632</v>
      </c>
      <c r="AV86">
        <f t="shared" si="20"/>
        <v>18.291728395061728</v>
      </c>
      <c r="AW86">
        <f t="shared" si="21"/>
        <v>25.923769150617286</v>
      </c>
      <c r="AX86" s="9"/>
      <c r="AY86" s="21">
        <v>0.28274500000000002</v>
      </c>
      <c r="AZ86" s="21">
        <v>28.282299999999999</v>
      </c>
      <c r="BA86" s="21">
        <v>-1.6180400000000001E-2</v>
      </c>
      <c r="BB86" s="21">
        <v>76</v>
      </c>
      <c r="BC86" s="21">
        <v>0.28204299999999999</v>
      </c>
      <c r="BD86">
        <f t="shared" si="22"/>
        <v>19.975802469135804</v>
      </c>
      <c r="BE86">
        <f t="shared" si="23"/>
        <v>5.6480582691358032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1.4121999999999999</v>
      </c>
      <c r="H87" s="21">
        <v>5.75779</v>
      </c>
      <c r="I87" s="21">
        <v>-1.4742999999999999E-2</v>
      </c>
      <c r="J87" s="21">
        <v>77</v>
      </c>
      <c r="K87" s="21">
        <v>1.41174</v>
      </c>
      <c r="L87">
        <f t="shared" si="12"/>
        <v>18.201234567901235</v>
      </c>
      <c r="M87">
        <f t="shared" si="13"/>
        <v>25.703783456790124</v>
      </c>
      <c r="N87" s="9"/>
      <c r="O87" s="21">
        <v>0.28778100000000001</v>
      </c>
      <c r="P87" s="21">
        <v>9.5769800000000007</v>
      </c>
      <c r="Q87" s="21">
        <v>-1.60736E-2</v>
      </c>
      <c r="R87" s="21">
        <v>77</v>
      </c>
      <c r="S87" s="21">
        <v>0.287109</v>
      </c>
      <c r="T87">
        <f t="shared" si="14"/>
        <v>19.843950617283948</v>
      </c>
      <c r="U87">
        <f t="shared" si="15"/>
        <v>5.7107119525925922</v>
      </c>
      <c r="X87" s="9"/>
      <c r="Y87" s="21">
        <v>1.4121999999999999</v>
      </c>
      <c r="Z87" s="21">
        <v>15.1365</v>
      </c>
      <c r="AA87" s="21">
        <v>-1.4804100000000001E-2</v>
      </c>
      <c r="AB87" s="21">
        <v>77</v>
      </c>
      <c r="AC87" s="21">
        <v>1.41022</v>
      </c>
      <c r="AD87">
        <f t="shared" si="16"/>
        <v>18.276666666666667</v>
      </c>
      <c r="AE87">
        <f t="shared" si="17"/>
        <v>25.810308666666664</v>
      </c>
      <c r="AF87" s="9"/>
      <c r="AG87" s="21">
        <v>0.28778100000000001</v>
      </c>
      <c r="AH87" s="21">
        <v>18.9557</v>
      </c>
      <c r="AI87" s="21">
        <v>-1.6153000000000001E-2</v>
      </c>
      <c r="AJ87" s="21">
        <v>77</v>
      </c>
      <c r="AK87" s="21">
        <v>0.28714000000000001</v>
      </c>
      <c r="AL87">
        <f t="shared" si="18"/>
        <v>19.941975308641975</v>
      </c>
      <c r="AM87">
        <f t="shared" si="19"/>
        <v>5.7389215962962963</v>
      </c>
      <c r="AP87" s="9"/>
      <c r="AQ87" s="21">
        <v>1.4121999999999999</v>
      </c>
      <c r="AR87" s="21">
        <v>24.473199999999999</v>
      </c>
      <c r="AS87" s="21">
        <v>-1.4822399999999999E-2</v>
      </c>
      <c r="AT87" s="21">
        <v>77</v>
      </c>
      <c r="AU87" s="21">
        <v>1.41144</v>
      </c>
      <c r="AV87">
        <f t="shared" si="20"/>
        <v>18.299259259259259</v>
      </c>
      <c r="AW87">
        <f t="shared" si="21"/>
        <v>25.842213925925922</v>
      </c>
      <c r="AX87" s="9"/>
      <c r="AY87" s="21">
        <v>0.28778100000000001</v>
      </c>
      <c r="AZ87" s="21">
        <v>28.292400000000001</v>
      </c>
      <c r="BA87" s="21">
        <v>-1.6177400000000002E-2</v>
      </c>
      <c r="BB87" s="21">
        <v>77</v>
      </c>
      <c r="BC87" s="21">
        <v>0.287018</v>
      </c>
      <c r="BD87">
        <f t="shared" si="22"/>
        <v>19.972098765432101</v>
      </c>
      <c r="BE87">
        <f t="shared" si="23"/>
        <v>5.7475905548148152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1.40717</v>
      </c>
      <c r="H88" s="21">
        <v>5.7678599999999998</v>
      </c>
      <c r="I88" s="21">
        <v>-1.4749099999999999E-2</v>
      </c>
      <c r="J88" s="21">
        <v>78</v>
      </c>
      <c r="K88" s="21">
        <v>1.40594</v>
      </c>
      <c r="L88">
        <f t="shared" si="12"/>
        <v>18.208765432098765</v>
      </c>
      <c r="M88">
        <f t="shared" si="13"/>
        <v>25.62282845308642</v>
      </c>
      <c r="N88" s="9"/>
      <c r="O88" s="21">
        <v>0.29281600000000002</v>
      </c>
      <c r="P88" s="21">
        <v>9.5870499999999996</v>
      </c>
      <c r="Q88" s="21">
        <v>-1.6067499999999998E-2</v>
      </c>
      <c r="R88" s="21">
        <v>78</v>
      </c>
      <c r="S88" s="21">
        <v>0.29211399999999998</v>
      </c>
      <c r="T88">
        <f t="shared" si="14"/>
        <v>19.836419753086417</v>
      </c>
      <c r="U88">
        <f t="shared" si="15"/>
        <v>5.8084210864197532</v>
      </c>
      <c r="X88" s="9"/>
      <c r="Y88" s="21">
        <v>1.40717</v>
      </c>
      <c r="Z88" s="21">
        <v>15.146599999999999</v>
      </c>
      <c r="AA88" s="21">
        <v>-1.4810200000000001E-2</v>
      </c>
      <c r="AB88" s="21">
        <v>78</v>
      </c>
      <c r="AC88" s="21">
        <v>1.40686</v>
      </c>
      <c r="AD88">
        <f t="shared" si="16"/>
        <v>18.284197530864198</v>
      </c>
      <c r="AE88">
        <f t="shared" si="17"/>
        <v>25.728974239506172</v>
      </c>
      <c r="AF88" s="9"/>
      <c r="AG88" s="21">
        <v>0.29281600000000002</v>
      </c>
      <c r="AH88" s="21">
        <v>18.965699999999998</v>
      </c>
      <c r="AI88" s="21">
        <v>-1.6146899999999999E-2</v>
      </c>
      <c r="AJ88" s="21">
        <v>78</v>
      </c>
      <c r="AK88" s="21">
        <v>0.29214499999999999</v>
      </c>
      <c r="AL88">
        <f t="shared" si="18"/>
        <v>19.934444444444441</v>
      </c>
      <c r="AM88">
        <f t="shared" si="19"/>
        <v>5.8371242844444442</v>
      </c>
      <c r="AP88" s="9"/>
      <c r="AQ88" s="21">
        <v>1.40717</v>
      </c>
      <c r="AR88" s="21">
        <v>24.4833</v>
      </c>
      <c r="AS88" s="21">
        <v>-1.48285E-2</v>
      </c>
      <c r="AT88" s="21">
        <v>78</v>
      </c>
      <c r="AU88" s="21">
        <v>1.40533</v>
      </c>
      <c r="AV88">
        <f t="shared" si="20"/>
        <v>18.306790123456789</v>
      </c>
      <c r="AW88">
        <f t="shared" si="21"/>
        <v>25.760765858024691</v>
      </c>
      <c r="AX88" s="9"/>
      <c r="AY88" s="21">
        <v>0.29281600000000002</v>
      </c>
      <c r="AZ88" s="21">
        <v>28.302499999999998</v>
      </c>
      <c r="BA88" s="21">
        <v>-1.6174299999999999E-2</v>
      </c>
      <c r="BB88" s="21">
        <v>78</v>
      </c>
      <c r="BC88" s="21">
        <v>0.29214499999999999</v>
      </c>
      <c r="BD88">
        <f t="shared" si="22"/>
        <v>19.96827160493827</v>
      </c>
      <c r="BE88">
        <f t="shared" si="23"/>
        <v>5.8470294182716049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1.4021300000000001</v>
      </c>
      <c r="H89" s="21">
        <v>5.7779299999999996</v>
      </c>
      <c r="I89" s="21">
        <v>-1.47552E-2</v>
      </c>
      <c r="J89" s="21">
        <v>79</v>
      </c>
      <c r="K89" s="21">
        <v>1.40076</v>
      </c>
      <c r="L89">
        <f t="shared" si="12"/>
        <v>18.216296296296292</v>
      </c>
      <c r="M89">
        <f t="shared" si="13"/>
        <v>25.541615525925923</v>
      </c>
      <c r="N89" s="9"/>
      <c r="O89" s="21">
        <v>0.29785200000000001</v>
      </c>
      <c r="P89" s="21">
        <v>9.5971200000000003</v>
      </c>
      <c r="Q89" s="21">
        <v>-1.60614E-2</v>
      </c>
      <c r="R89" s="21">
        <v>79</v>
      </c>
      <c r="S89" s="21">
        <v>0.297211</v>
      </c>
      <c r="T89">
        <f t="shared" si="14"/>
        <v>19.828888888888891</v>
      </c>
      <c r="U89">
        <f t="shared" si="15"/>
        <v>5.9060742133333344</v>
      </c>
      <c r="X89" s="9"/>
      <c r="Y89" s="21">
        <v>1.4021300000000001</v>
      </c>
      <c r="Z89" s="21">
        <v>15.156599999999999</v>
      </c>
      <c r="AA89" s="21">
        <v>-1.4816299999999999E-2</v>
      </c>
      <c r="AB89" s="21">
        <v>79</v>
      </c>
      <c r="AC89" s="21">
        <v>1.40076</v>
      </c>
      <c r="AD89">
        <f t="shared" si="16"/>
        <v>18.291728395061728</v>
      </c>
      <c r="AE89">
        <f t="shared" si="17"/>
        <v>25.647381134567901</v>
      </c>
      <c r="AF89" s="9"/>
      <c r="AG89" s="21">
        <v>0.29785200000000001</v>
      </c>
      <c r="AH89" s="21">
        <v>18.9758</v>
      </c>
      <c r="AI89" s="21">
        <v>-1.6140700000000001E-2</v>
      </c>
      <c r="AJ89" s="21">
        <v>79</v>
      </c>
      <c r="AK89" s="21">
        <v>0.29718</v>
      </c>
      <c r="AL89">
        <f t="shared" si="18"/>
        <v>19.92679012345679</v>
      </c>
      <c r="AM89">
        <f t="shared" si="19"/>
        <v>5.9352342918518524</v>
      </c>
      <c r="AP89" s="9"/>
      <c r="AQ89" s="21">
        <v>1.4021300000000001</v>
      </c>
      <c r="AR89" s="21">
        <v>24.493400000000001</v>
      </c>
      <c r="AS89" s="21">
        <v>-1.48346E-2</v>
      </c>
      <c r="AT89" s="21">
        <v>79</v>
      </c>
      <c r="AU89" s="21">
        <v>1.40137</v>
      </c>
      <c r="AV89">
        <f t="shared" si="20"/>
        <v>18.31432098765432</v>
      </c>
      <c r="AW89">
        <f t="shared" si="21"/>
        <v>25.679058886419753</v>
      </c>
      <c r="AX89" s="9"/>
      <c r="AY89" s="21">
        <v>0.29785200000000001</v>
      </c>
      <c r="AZ89" s="21">
        <v>28.3125</v>
      </c>
      <c r="BA89" s="21">
        <v>-1.6165200000000001E-2</v>
      </c>
      <c r="BB89" s="21">
        <v>79</v>
      </c>
      <c r="BC89" s="21">
        <v>0.29742400000000002</v>
      </c>
      <c r="BD89">
        <f t="shared" si="22"/>
        <v>19.957037037037036</v>
      </c>
      <c r="BE89">
        <f t="shared" si="23"/>
        <v>5.9442433955555556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1.3970899999999999</v>
      </c>
      <c r="H90" s="21">
        <v>5.7880000000000003</v>
      </c>
      <c r="I90" s="21">
        <v>-1.4761399999999999E-2</v>
      </c>
      <c r="J90" s="21">
        <v>80</v>
      </c>
      <c r="K90" s="21">
        <v>1.39679</v>
      </c>
      <c r="L90">
        <f t="shared" si="12"/>
        <v>18.22395061728395</v>
      </c>
      <c r="M90">
        <f t="shared" si="13"/>
        <v>25.460499167901233</v>
      </c>
      <c r="N90" s="9"/>
      <c r="O90" s="21">
        <v>0.30288700000000002</v>
      </c>
      <c r="P90" s="21">
        <v>9.6071899999999992</v>
      </c>
      <c r="Q90" s="21">
        <v>-1.6052199999999999E-2</v>
      </c>
      <c r="R90" s="21">
        <v>80</v>
      </c>
      <c r="S90" s="21">
        <v>0.30224600000000001</v>
      </c>
      <c r="T90">
        <f t="shared" si="14"/>
        <v>19.817530864197529</v>
      </c>
      <c r="U90">
        <f t="shared" si="15"/>
        <v>6.0024724708641974</v>
      </c>
      <c r="X90" s="9"/>
      <c r="Y90" s="21">
        <v>1.3970899999999999</v>
      </c>
      <c r="Z90" s="21">
        <v>15.166700000000001</v>
      </c>
      <c r="AA90" s="21">
        <v>-1.4825400000000001E-2</v>
      </c>
      <c r="AB90" s="21">
        <v>80</v>
      </c>
      <c r="AC90" s="21">
        <v>1.3964799999999999</v>
      </c>
      <c r="AD90">
        <f t="shared" si="16"/>
        <v>18.302962962962962</v>
      </c>
      <c r="AE90">
        <f t="shared" si="17"/>
        <v>25.570886525925925</v>
      </c>
      <c r="AF90" s="9"/>
      <c r="AG90" s="21">
        <v>0.30288700000000002</v>
      </c>
      <c r="AH90" s="21">
        <v>18.985900000000001</v>
      </c>
      <c r="AI90" s="21">
        <v>-1.6134599999999999E-2</v>
      </c>
      <c r="AJ90" s="21">
        <v>80</v>
      </c>
      <c r="AK90" s="21">
        <v>0.30227700000000002</v>
      </c>
      <c r="AL90">
        <f t="shared" si="18"/>
        <v>19.91925925925926</v>
      </c>
      <c r="AM90">
        <f t="shared" si="19"/>
        <v>6.0332846792592596</v>
      </c>
      <c r="AP90" s="9"/>
      <c r="AQ90" s="21">
        <v>1.3970899999999999</v>
      </c>
      <c r="AR90" s="21">
        <v>24.503399999999999</v>
      </c>
      <c r="AS90" s="21">
        <v>-1.48407E-2</v>
      </c>
      <c r="AT90" s="21">
        <v>80</v>
      </c>
      <c r="AU90" s="21">
        <v>1.3958699999999999</v>
      </c>
      <c r="AV90">
        <f t="shared" si="20"/>
        <v>18.32185185185185</v>
      </c>
      <c r="AW90">
        <f t="shared" si="21"/>
        <v>25.597276003703701</v>
      </c>
      <c r="AX90" s="9"/>
      <c r="AY90" s="21">
        <v>0.30288700000000002</v>
      </c>
      <c r="AZ90" s="21">
        <v>28.322600000000001</v>
      </c>
      <c r="BA90" s="21">
        <v>-1.6156E-2</v>
      </c>
      <c r="BB90" s="21">
        <v>80</v>
      </c>
      <c r="BC90" s="21">
        <v>0.30224600000000001</v>
      </c>
      <c r="BD90">
        <f t="shared" si="22"/>
        <v>19.945679012345678</v>
      </c>
      <c r="BE90">
        <f t="shared" si="23"/>
        <v>6.041286879012346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1.3920600000000001</v>
      </c>
      <c r="H91" s="21">
        <v>5.7980700000000001</v>
      </c>
      <c r="I91" s="21">
        <v>-1.4767499999999999E-2</v>
      </c>
      <c r="J91" s="21">
        <v>81</v>
      </c>
      <c r="K91" s="21">
        <v>1.3913</v>
      </c>
      <c r="L91">
        <f t="shared" si="12"/>
        <v>18.231481481481481</v>
      </c>
      <c r="M91">
        <f t="shared" si="13"/>
        <v>25.379316111111113</v>
      </c>
      <c r="N91" s="9"/>
      <c r="O91" s="21">
        <v>0.30792199999999997</v>
      </c>
      <c r="P91" s="21">
        <v>9.6172599999999999</v>
      </c>
      <c r="Q91" s="21">
        <v>-1.6043100000000001E-2</v>
      </c>
      <c r="R91" s="21">
        <v>81</v>
      </c>
      <c r="S91" s="21">
        <v>0.30731199999999997</v>
      </c>
      <c r="T91">
        <f t="shared" si="14"/>
        <v>19.806296296296299</v>
      </c>
      <c r="U91">
        <f t="shared" si="15"/>
        <v>6.0987943681481482</v>
      </c>
      <c r="X91" s="9"/>
      <c r="Y91" s="21">
        <v>1.3920600000000001</v>
      </c>
      <c r="Z91" s="21">
        <v>15.1768</v>
      </c>
      <c r="AA91" s="21">
        <v>-1.4831499999999999E-2</v>
      </c>
      <c r="AB91" s="21">
        <v>81</v>
      </c>
      <c r="AC91" s="21">
        <v>1.3909899999999999</v>
      </c>
      <c r="AD91">
        <f t="shared" si="16"/>
        <v>18.310493827160489</v>
      </c>
      <c r="AE91">
        <f t="shared" si="17"/>
        <v>25.489306037037032</v>
      </c>
      <c r="AF91" s="9"/>
      <c r="AG91" s="21">
        <v>0.30792199999999997</v>
      </c>
      <c r="AH91" s="21">
        <v>18.995999999999999</v>
      </c>
      <c r="AI91" s="21">
        <v>-1.6131599999999999E-2</v>
      </c>
      <c r="AJ91" s="21">
        <v>81</v>
      </c>
      <c r="AK91" s="21">
        <v>0.30749500000000002</v>
      </c>
      <c r="AL91">
        <f t="shared" si="18"/>
        <v>19.915555555555553</v>
      </c>
      <c r="AM91">
        <f t="shared" si="19"/>
        <v>6.1324376977777764</v>
      </c>
      <c r="AP91" s="9"/>
      <c r="AQ91" s="21">
        <v>1.3920600000000001</v>
      </c>
      <c r="AR91" s="21">
        <v>24.513500000000001</v>
      </c>
      <c r="AS91" s="21">
        <v>-1.4849899999999999E-2</v>
      </c>
      <c r="AT91" s="21">
        <v>81</v>
      </c>
      <c r="AU91" s="21">
        <v>1.3913</v>
      </c>
      <c r="AV91">
        <f t="shared" si="20"/>
        <v>18.333209876543208</v>
      </c>
      <c r="AW91">
        <f t="shared" si="21"/>
        <v>25.52092814074074</v>
      </c>
      <c r="AX91" s="9"/>
      <c r="AY91" s="21">
        <v>0.30792199999999997</v>
      </c>
      <c r="AZ91" s="21">
        <v>28.332699999999999</v>
      </c>
      <c r="BA91" s="21">
        <v>-1.6146899999999999E-2</v>
      </c>
      <c r="BB91" s="21">
        <v>81</v>
      </c>
      <c r="BC91" s="21">
        <v>0.308197</v>
      </c>
      <c r="BD91">
        <f t="shared" si="22"/>
        <v>19.934444444444441</v>
      </c>
      <c r="BE91">
        <f t="shared" si="23"/>
        <v>6.1382540022222205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1.3870199999999999</v>
      </c>
      <c r="H92" s="21">
        <v>5.8081399999999999</v>
      </c>
      <c r="I92" s="21">
        <v>-1.47736E-2</v>
      </c>
      <c r="J92" s="21">
        <v>82</v>
      </c>
      <c r="K92" s="21">
        <v>1.38611</v>
      </c>
      <c r="L92">
        <f t="shared" si="12"/>
        <v>18.239012345679011</v>
      </c>
      <c r="M92">
        <f t="shared" si="13"/>
        <v>25.297874903703701</v>
      </c>
      <c r="N92" s="9"/>
      <c r="O92" s="21">
        <v>0.31295800000000001</v>
      </c>
      <c r="P92" s="21">
        <v>9.6273300000000006</v>
      </c>
      <c r="Q92" s="21">
        <v>-1.6036999999999999E-2</v>
      </c>
      <c r="R92" s="21">
        <v>82</v>
      </c>
      <c r="S92" s="21">
        <v>0.31237799999999999</v>
      </c>
      <c r="T92">
        <f t="shared" si="14"/>
        <v>19.798765432098762</v>
      </c>
      <c r="U92">
        <f t="shared" si="15"/>
        <v>6.1961820320987648</v>
      </c>
      <c r="X92" s="9"/>
      <c r="Y92" s="21">
        <v>1.3870199999999999</v>
      </c>
      <c r="Z92" s="21">
        <v>15.1868</v>
      </c>
      <c r="AA92" s="21">
        <v>-1.4837599999999999E-2</v>
      </c>
      <c r="AB92" s="21">
        <v>82</v>
      </c>
      <c r="AC92" s="21">
        <v>1.3903799999999999</v>
      </c>
      <c r="AD92">
        <f t="shared" si="16"/>
        <v>18.318024691358023</v>
      </c>
      <c r="AE92">
        <f t="shared" si="17"/>
        <v>25.407466607407404</v>
      </c>
      <c r="AF92" s="9"/>
      <c r="AG92" s="21">
        <v>0.31295800000000001</v>
      </c>
      <c r="AH92" s="21">
        <v>19.006</v>
      </c>
      <c r="AI92" s="21">
        <v>-1.6125500000000001E-2</v>
      </c>
      <c r="AJ92" s="21">
        <v>82</v>
      </c>
      <c r="AK92" s="21">
        <v>0.31237799999999999</v>
      </c>
      <c r="AL92">
        <f t="shared" si="18"/>
        <v>19.908024691358026</v>
      </c>
      <c r="AM92">
        <f t="shared" si="19"/>
        <v>6.2303755913580252</v>
      </c>
      <c r="AP92" s="9"/>
      <c r="AQ92" s="21">
        <v>1.3870199999999999</v>
      </c>
      <c r="AR92" s="21">
        <v>24.523599999999998</v>
      </c>
      <c r="AS92" s="21">
        <v>-1.4855999999999999E-2</v>
      </c>
      <c r="AT92" s="21">
        <v>82</v>
      </c>
      <c r="AU92" s="21">
        <v>1.3857999999999999</v>
      </c>
      <c r="AV92">
        <f t="shared" si="20"/>
        <v>18.340740740740738</v>
      </c>
      <c r="AW92">
        <f t="shared" si="21"/>
        <v>25.438974222222217</v>
      </c>
      <c r="AX92" s="9"/>
      <c r="AY92" s="21">
        <v>0.31295800000000001</v>
      </c>
      <c r="AZ92" s="21">
        <v>28.3428</v>
      </c>
      <c r="BA92" s="21">
        <v>-1.61438E-2</v>
      </c>
      <c r="BB92" s="21">
        <v>82</v>
      </c>
      <c r="BC92" s="21">
        <v>0.31210300000000002</v>
      </c>
      <c r="BD92">
        <f t="shared" si="22"/>
        <v>19.930617283950614</v>
      </c>
      <c r="BE92">
        <f t="shared" si="23"/>
        <v>6.2374461239506163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1.3819900000000001</v>
      </c>
      <c r="H93" s="21">
        <v>5.8182099999999997</v>
      </c>
      <c r="I93" s="21">
        <v>-1.47797E-2</v>
      </c>
      <c r="J93" s="21">
        <v>83</v>
      </c>
      <c r="K93" s="21">
        <v>1.3815299999999999</v>
      </c>
      <c r="L93">
        <f t="shared" si="12"/>
        <v>18.246543209876542</v>
      </c>
      <c r="M93">
        <f t="shared" si="13"/>
        <v>25.216540250617282</v>
      </c>
      <c r="N93" s="9"/>
      <c r="O93" s="21">
        <v>0.31799300000000003</v>
      </c>
      <c r="P93" s="21">
        <v>9.6373999999999995</v>
      </c>
      <c r="Q93" s="21">
        <v>-1.6027799999999998E-2</v>
      </c>
      <c r="R93" s="21">
        <v>83</v>
      </c>
      <c r="S93" s="21">
        <v>0.317139</v>
      </c>
      <c r="T93">
        <f t="shared" si="14"/>
        <v>19.787407407407404</v>
      </c>
      <c r="U93">
        <f t="shared" si="15"/>
        <v>6.2922570437037031</v>
      </c>
      <c r="X93" s="9"/>
      <c r="Y93" s="21">
        <v>1.3819900000000001</v>
      </c>
      <c r="Z93" s="21">
        <v>15.196899999999999</v>
      </c>
      <c r="AA93" s="21">
        <v>-1.48468E-2</v>
      </c>
      <c r="AB93" s="21">
        <v>83</v>
      </c>
      <c r="AC93" s="21">
        <v>1.38062</v>
      </c>
      <c r="AD93">
        <f t="shared" si="16"/>
        <v>18.329382716049381</v>
      </c>
      <c r="AE93">
        <f t="shared" si="17"/>
        <v>25.331023619753083</v>
      </c>
      <c r="AF93" s="9"/>
      <c r="AG93" s="21">
        <v>0.31799300000000003</v>
      </c>
      <c r="AH93" s="21">
        <v>19.016100000000002</v>
      </c>
      <c r="AI93" s="21">
        <v>-1.6113300000000001E-2</v>
      </c>
      <c r="AJ93" s="21">
        <v>83</v>
      </c>
      <c r="AK93" s="21">
        <v>0.31738300000000003</v>
      </c>
      <c r="AL93">
        <f t="shared" si="18"/>
        <v>19.892962962962962</v>
      </c>
      <c r="AM93">
        <f t="shared" si="19"/>
        <v>6.3258229714814815</v>
      </c>
      <c r="AP93" s="9"/>
      <c r="AQ93" s="21">
        <v>1.3819900000000001</v>
      </c>
      <c r="AR93" s="21">
        <v>24.5336</v>
      </c>
      <c r="AS93" s="21">
        <v>-1.48621E-2</v>
      </c>
      <c r="AT93" s="21">
        <v>83</v>
      </c>
      <c r="AU93" s="21">
        <v>1.3803099999999999</v>
      </c>
      <c r="AV93">
        <f t="shared" si="20"/>
        <v>18.348271604938269</v>
      </c>
      <c r="AW93">
        <f t="shared" si="21"/>
        <v>25.357127875308638</v>
      </c>
      <c r="AX93" s="9"/>
      <c r="AY93" s="21">
        <v>0.31799300000000003</v>
      </c>
      <c r="AZ93" s="21">
        <v>28.352799999999998</v>
      </c>
      <c r="BA93" s="21">
        <v>-1.6137700000000001E-2</v>
      </c>
      <c r="BB93" s="21">
        <v>83</v>
      </c>
      <c r="BC93" s="21">
        <v>0.31735200000000002</v>
      </c>
      <c r="BD93">
        <f t="shared" si="22"/>
        <v>19.923086419753087</v>
      </c>
      <c r="BE93">
        <f t="shared" si="23"/>
        <v>6.3354020198765442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1.3769499999999999</v>
      </c>
      <c r="H94" s="21">
        <v>5.8282800000000003</v>
      </c>
      <c r="I94" s="21">
        <v>-1.47858E-2</v>
      </c>
      <c r="J94" s="21">
        <v>84</v>
      </c>
      <c r="K94" s="21">
        <v>1.3760399999999999</v>
      </c>
      <c r="L94">
        <f t="shared" si="12"/>
        <v>18.254074074074072</v>
      </c>
      <c r="M94">
        <f t="shared" si="13"/>
        <v>25.134947296296293</v>
      </c>
      <c r="N94" s="9"/>
      <c r="O94" s="21">
        <v>0.32302900000000001</v>
      </c>
      <c r="P94" s="21">
        <v>9.6474700000000002</v>
      </c>
      <c r="Q94" s="21">
        <v>-1.6024799999999999E-2</v>
      </c>
      <c r="R94" s="21">
        <v>84</v>
      </c>
      <c r="S94" s="21">
        <v>0.322266</v>
      </c>
      <c r="T94">
        <f t="shared" si="14"/>
        <v>19.783703703703701</v>
      </c>
      <c r="U94">
        <f t="shared" si="15"/>
        <v>6.3907100237037033</v>
      </c>
      <c r="X94" s="9"/>
      <c r="Y94" s="21">
        <v>1.3769499999999999</v>
      </c>
      <c r="Z94" s="21">
        <v>15.207000000000001</v>
      </c>
      <c r="AA94" s="21">
        <v>-1.4849899999999999E-2</v>
      </c>
      <c r="AB94" s="21">
        <v>84</v>
      </c>
      <c r="AC94" s="21">
        <v>1.3760399999999999</v>
      </c>
      <c r="AD94">
        <f t="shared" si="16"/>
        <v>18.333209876543208</v>
      </c>
      <c r="AE94">
        <f t="shared" si="17"/>
        <v>25.243913339506168</v>
      </c>
      <c r="AF94" s="9"/>
      <c r="AG94" s="21">
        <v>0.32302900000000001</v>
      </c>
      <c r="AH94" s="21">
        <v>19.026199999999999</v>
      </c>
      <c r="AI94" s="21">
        <v>-1.6107199999999999E-2</v>
      </c>
      <c r="AJ94" s="21">
        <v>84</v>
      </c>
      <c r="AK94" s="21">
        <v>0.32232699999999997</v>
      </c>
      <c r="AL94">
        <f t="shared" si="18"/>
        <v>19.885432098765428</v>
      </c>
      <c r="AM94">
        <f t="shared" si="19"/>
        <v>6.4235712454320977</v>
      </c>
      <c r="AP94" s="9"/>
      <c r="AQ94" s="21">
        <v>1.3769499999999999</v>
      </c>
      <c r="AR94" s="21">
        <v>24.543700000000001</v>
      </c>
      <c r="AS94" s="21">
        <v>-1.4871199999999999E-2</v>
      </c>
      <c r="AT94" s="21">
        <v>84</v>
      </c>
      <c r="AU94" s="21">
        <v>1.3760399999999999</v>
      </c>
      <c r="AV94">
        <f t="shared" si="20"/>
        <v>18.359506172839506</v>
      </c>
      <c r="AW94">
        <f t="shared" si="21"/>
        <v>25.280122024691355</v>
      </c>
      <c r="AX94" s="9"/>
      <c r="AY94" s="21">
        <v>0.32302900000000001</v>
      </c>
      <c r="AZ94" s="21">
        <v>28.3629</v>
      </c>
      <c r="BA94" s="21">
        <v>-1.6131599999999999E-2</v>
      </c>
      <c r="BB94" s="21">
        <v>84</v>
      </c>
      <c r="BC94" s="21">
        <v>0.32232699999999997</v>
      </c>
      <c r="BD94">
        <f t="shared" si="22"/>
        <v>19.915555555555553</v>
      </c>
      <c r="BE94">
        <f t="shared" si="23"/>
        <v>6.4333019955555546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1.37192</v>
      </c>
      <c r="H95" s="21">
        <v>5.8383500000000002</v>
      </c>
      <c r="I95" s="21">
        <v>-1.47888E-2</v>
      </c>
      <c r="J95" s="21">
        <v>85</v>
      </c>
      <c r="K95" s="21">
        <v>1.3705400000000001</v>
      </c>
      <c r="L95">
        <f t="shared" si="12"/>
        <v>18.257777777777775</v>
      </c>
      <c r="M95">
        <f t="shared" si="13"/>
        <v>25.048210488888888</v>
      </c>
      <c r="N95" s="9"/>
      <c r="O95" s="21">
        <v>0.32806400000000002</v>
      </c>
      <c r="P95" s="21">
        <v>9.6575500000000005</v>
      </c>
      <c r="Q95" s="21">
        <v>-1.60187E-2</v>
      </c>
      <c r="R95" s="21">
        <v>85</v>
      </c>
      <c r="S95" s="21">
        <v>0.32754499999999998</v>
      </c>
      <c r="T95">
        <f t="shared" si="14"/>
        <v>19.77617283950617</v>
      </c>
      <c r="U95">
        <f t="shared" si="15"/>
        <v>6.4878503664197531</v>
      </c>
      <c r="X95" s="9"/>
      <c r="Y95" s="21">
        <v>1.37192</v>
      </c>
      <c r="Z95" s="21">
        <v>15.217000000000001</v>
      </c>
      <c r="AA95" s="21">
        <v>-1.4855999999999999E-2</v>
      </c>
      <c r="AB95" s="21">
        <v>85</v>
      </c>
      <c r="AC95" s="21">
        <v>1.3708499999999999</v>
      </c>
      <c r="AD95">
        <f t="shared" si="16"/>
        <v>18.340740740740738</v>
      </c>
      <c r="AE95">
        <f t="shared" si="17"/>
        <v>25.162029037037033</v>
      </c>
      <c r="AF95" s="9"/>
      <c r="AG95" s="21">
        <v>0.32806400000000002</v>
      </c>
      <c r="AH95" s="21">
        <v>19.036200000000001</v>
      </c>
      <c r="AI95" s="21">
        <v>-1.61011E-2</v>
      </c>
      <c r="AJ95" s="21">
        <v>85</v>
      </c>
      <c r="AK95" s="21">
        <v>0.32739299999999999</v>
      </c>
      <c r="AL95">
        <f t="shared" si="18"/>
        <v>19.877901234567901</v>
      </c>
      <c r="AM95">
        <f t="shared" si="19"/>
        <v>6.5212237906172845</v>
      </c>
      <c r="AP95" s="9"/>
      <c r="AQ95" s="21">
        <v>1.37192</v>
      </c>
      <c r="AR95" s="21">
        <v>24.553799999999999</v>
      </c>
      <c r="AS95" s="21">
        <v>-1.48773E-2</v>
      </c>
      <c r="AT95" s="21">
        <v>85</v>
      </c>
      <c r="AU95" s="21">
        <v>1.3714599999999999</v>
      </c>
      <c r="AV95">
        <f t="shared" si="20"/>
        <v>18.367037037037036</v>
      </c>
      <c r="AW95">
        <f t="shared" si="21"/>
        <v>25.198105451851852</v>
      </c>
      <c r="AX95" s="9"/>
      <c r="AY95" s="21">
        <v>0.32806400000000002</v>
      </c>
      <c r="AZ95" s="21">
        <v>28.373000000000001</v>
      </c>
      <c r="BA95" s="21">
        <v>-1.6125500000000001E-2</v>
      </c>
      <c r="BB95" s="21">
        <v>85</v>
      </c>
      <c r="BC95" s="21">
        <v>0.32742300000000002</v>
      </c>
      <c r="BD95">
        <f t="shared" si="22"/>
        <v>19.908024691358026</v>
      </c>
      <c r="BE95">
        <f t="shared" si="23"/>
        <v>6.53110621234568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1.3668800000000001</v>
      </c>
      <c r="H96" s="21">
        <v>5.8484299999999996</v>
      </c>
      <c r="I96" s="21">
        <v>-1.47949E-2</v>
      </c>
      <c r="J96" s="21">
        <v>86</v>
      </c>
      <c r="K96" s="21">
        <v>1.3656600000000001</v>
      </c>
      <c r="L96">
        <f t="shared" si="12"/>
        <v>18.265308641975306</v>
      </c>
      <c r="M96">
        <f t="shared" si="13"/>
        <v>24.966485076543208</v>
      </c>
      <c r="N96" s="9"/>
      <c r="O96" s="21">
        <v>0.33309899999999998</v>
      </c>
      <c r="P96" s="21">
        <v>9.6676199999999994</v>
      </c>
      <c r="Q96" s="21">
        <v>-1.6012599999999998E-2</v>
      </c>
      <c r="R96" s="21">
        <v>86</v>
      </c>
      <c r="S96" s="21">
        <v>0.33206200000000002</v>
      </c>
      <c r="T96">
        <f t="shared" si="14"/>
        <v>19.76864197530864</v>
      </c>
      <c r="U96">
        <f t="shared" si="15"/>
        <v>6.5849148733333323</v>
      </c>
      <c r="X96" s="9"/>
      <c r="Y96" s="21">
        <v>1.3668800000000001</v>
      </c>
      <c r="Z96" s="21">
        <v>15.2271</v>
      </c>
      <c r="AA96" s="21">
        <v>-1.4859000000000001E-2</v>
      </c>
      <c r="AB96" s="21">
        <v>86</v>
      </c>
      <c r="AC96" s="21">
        <v>1.3623000000000001</v>
      </c>
      <c r="AD96">
        <f t="shared" si="16"/>
        <v>18.344444444444445</v>
      </c>
      <c r="AE96">
        <f t="shared" si="17"/>
        <v>25.074654222222225</v>
      </c>
      <c r="AF96" s="9"/>
      <c r="AG96" s="21">
        <v>0.33309899999999998</v>
      </c>
      <c r="AH96" s="21">
        <v>19.046299999999999</v>
      </c>
      <c r="AI96" s="21">
        <v>-1.6095000000000002E-2</v>
      </c>
      <c r="AJ96" s="21">
        <v>86</v>
      </c>
      <c r="AK96" s="21">
        <v>0.33255000000000001</v>
      </c>
      <c r="AL96">
        <f t="shared" si="18"/>
        <v>19.87037037037037</v>
      </c>
      <c r="AM96">
        <f t="shared" si="19"/>
        <v>6.6188004999999999</v>
      </c>
      <c r="AP96" s="9"/>
      <c r="AQ96" s="21">
        <v>1.3668800000000001</v>
      </c>
      <c r="AR96" s="21">
        <v>24.563800000000001</v>
      </c>
      <c r="AS96" s="21">
        <v>-1.48804E-2</v>
      </c>
      <c r="AT96" s="21">
        <v>86</v>
      </c>
      <c r="AU96" s="21">
        <v>1.3656600000000001</v>
      </c>
      <c r="AV96">
        <f t="shared" si="20"/>
        <v>18.370864197530864</v>
      </c>
      <c r="AW96">
        <f t="shared" si="21"/>
        <v>25.110766854320989</v>
      </c>
      <c r="AX96" s="9"/>
      <c r="AY96" s="21">
        <v>0.33309899999999998</v>
      </c>
      <c r="AZ96" s="21">
        <v>28.382999999999999</v>
      </c>
      <c r="BA96" s="21">
        <v>-1.6119399999999999E-2</v>
      </c>
      <c r="BB96" s="21">
        <v>86</v>
      </c>
      <c r="BC96" s="21">
        <v>0.33163500000000001</v>
      </c>
      <c r="BD96">
        <f t="shared" si="22"/>
        <v>19.900493827160492</v>
      </c>
      <c r="BE96">
        <f t="shared" si="23"/>
        <v>6.6288345933333321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1.36185</v>
      </c>
      <c r="H97" s="21">
        <v>5.8585000000000003</v>
      </c>
      <c r="I97" s="21">
        <v>-1.4801E-2</v>
      </c>
      <c r="J97" s="21">
        <v>87</v>
      </c>
      <c r="K97" s="21">
        <v>1.3607800000000001</v>
      </c>
      <c r="L97">
        <f t="shared" si="12"/>
        <v>18.27283950617284</v>
      </c>
      <c r="M97">
        <f t="shared" si="13"/>
        <v>24.884866481481481</v>
      </c>
      <c r="N97" s="9"/>
      <c r="O97" s="21">
        <v>0.33813500000000002</v>
      </c>
      <c r="P97" s="21">
        <v>9.6776900000000001</v>
      </c>
      <c r="Q97" s="21">
        <v>-1.60065E-2</v>
      </c>
      <c r="R97" s="21">
        <v>87</v>
      </c>
      <c r="S97" s="21">
        <v>0.33740199999999998</v>
      </c>
      <c r="T97">
        <f t="shared" si="14"/>
        <v>19.761111111111113</v>
      </c>
      <c r="U97">
        <f t="shared" si="15"/>
        <v>6.6819233055555562</v>
      </c>
      <c r="X97" s="9"/>
      <c r="Y97" s="21">
        <v>1.36185</v>
      </c>
      <c r="Z97" s="21">
        <v>15.2372</v>
      </c>
      <c r="AA97" s="21">
        <v>-1.48682E-2</v>
      </c>
      <c r="AB97" s="21">
        <v>87</v>
      </c>
      <c r="AC97" s="21">
        <v>1.3601700000000001</v>
      </c>
      <c r="AD97">
        <f t="shared" si="16"/>
        <v>18.355802469135799</v>
      </c>
      <c r="AE97">
        <f t="shared" si="17"/>
        <v>24.997849592592587</v>
      </c>
      <c r="AF97" s="9"/>
      <c r="AG97" s="21">
        <v>0.33813500000000002</v>
      </c>
      <c r="AH97" s="21">
        <v>19.0564</v>
      </c>
      <c r="AI97" s="21">
        <v>-1.60889E-2</v>
      </c>
      <c r="AJ97" s="21">
        <v>87</v>
      </c>
      <c r="AK97" s="21">
        <v>0.33746300000000001</v>
      </c>
      <c r="AL97">
        <f t="shared" si="18"/>
        <v>19.862839506172836</v>
      </c>
      <c r="AM97">
        <f t="shared" si="19"/>
        <v>6.716321236419752</v>
      </c>
      <c r="AP97" s="9"/>
      <c r="AQ97" s="21">
        <v>1.36185</v>
      </c>
      <c r="AR97" s="21">
        <v>24.573899999999998</v>
      </c>
      <c r="AS97" s="21">
        <v>-1.48865E-2</v>
      </c>
      <c r="AT97" s="21">
        <v>87</v>
      </c>
      <c r="AU97" s="21">
        <v>1.3607800000000001</v>
      </c>
      <c r="AV97">
        <f t="shared" si="20"/>
        <v>18.378395061728394</v>
      </c>
      <c r="AW97">
        <f t="shared" si="21"/>
        <v>25.028617314814813</v>
      </c>
      <c r="AX97" s="9"/>
      <c r="AY97" s="21">
        <v>0.33813500000000002</v>
      </c>
      <c r="AZ97" s="21">
        <v>28.3931</v>
      </c>
      <c r="BA97" s="21">
        <v>-1.6113300000000001E-2</v>
      </c>
      <c r="BB97" s="21">
        <v>87</v>
      </c>
      <c r="BC97" s="21">
        <v>0.33749400000000002</v>
      </c>
      <c r="BD97">
        <f t="shared" si="22"/>
        <v>19.892962962962962</v>
      </c>
      <c r="BE97">
        <f t="shared" si="23"/>
        <v>6.7265070314814812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1.3568100000000001</v>
      </c>
      <c r="H98" s="21">
        <v>5.8685700000000001</v>
      </c>
      <c r="I98" s="21">
        <v>-1.48071E-2</v>
      </c>
      <c r="J98" s="21">
        <v>88</v>
      </c>
      <c r="K98" s="21">
        <v>1.3559000000000001</v>
      </c>
      <c r="L98">
        <f t="shared" si="12"/>
        <v>18.28037037037037</v>
      </c>
      <c r="M98">
        <f t="shared" si="13"/>
        <v>24.802989322222224</v>
      </c>
      <c r="N98" s="9"/>
      <c r="O98" s="21">
        <v>0.34316999999999998</v>
      </c>
      <c r="P98" s="21">
        <v>9.6877600000000008</v>
      </c>
      <c r="Q98" s="21">
        <v>-1.5997299999999999E-2</v>
      </c>
      <c r="R98" s="21">
        <v>88</v>
      </c>
      <c r="S98" s="21">
        <v>0.34240700000000002</v>
      </c>
      <c r="T98">
        <f t="shared" si="14"/>
        <v>19.749753086419751</v>
      </c>
      <c r="U98">
        <f t="shared" si="15"/>
        <v>6.7775227666666655</v>
      </c>
      <c r="X98" s="9"/>
      <c r="Y98" s="21">
        <v>1.3568100000000001</v>
      </c>
      <c r="Z98" s="21">
        <v>15.247299999999999</v>
      </c>
      <c r="AA98" s="21">
        <v>-1.48743E-2</v>
      </c>
      <c r="AB98" s="21">
        <v>88</v>
      </c>
      <c r="AC98" s="21">
        <v>1.3559000000000001</v>
      </c>
      <c r="AD98">
        <f t="shared" si="16"/>
        <v>18.363333333333333</v>
      </c>
      <c r="AE98">
        <f t="shared" si="17"/>
        <v>24.9155543</v>
      </c>
      <c r="AF98" s="9"/>
      <c r="AG98" s="21">
        <v>0.34316999999999998</v>
      </c>
      <c r="AH98" s="21">
        <v>19.066500000000001</v>
      </c>
      <c r="AI98" s="21">
        <v>-1.6079699999999999E-2</v>
      </c>
      <c r="AJ98" s="21">
        <v>88</v>
      </c>
      <c r="AK98" s="21">
        <v>0.34277299999999999</v>
      </c>
      <c r="AL98">
        <f t="shared" si="18"/>
        <v>19.851481481481482</v>
      </c>
      <c r="AM98">
        <f t="shared" si="19"/>
        <v>6.8124328999999992</v>
      </c>
      <c r="AP98" s="9"/>
      <c r="AQ98" s="21">
        <v>1.3568100000000001</v>
      </c>
      <c r="AR98" s="21">
        <v>24.584</v>
      </c>
      <c r="AS98" s="21">
        <v>-1.4892600000000001E-2</v>
      </c>
      <c r="AT98" s="21">
        <v>88</v>
      </c>
      <c r="AU98" s="21">
        <v>1.3565100000000001</v>
      </c>
      <c r="AV98">
        <f t="shared" si="20"/>
        <v>18.385925925925928</v>
      </c>
      <c r="AW98">
        <f t="shared" si="21"/>
        <v>24.94620815555556</v>
      </c>
      <c r="AX98" s="9"/>
      <c r="AY98" s="21">
        <v>0.34316999999999998</v>
      </c>
      <c r="AZ98" s="21">
        <v>28.403199999999998</v>
      </c>
      <c r="BA98" s="21">
        <v>-1.6107199999999999E-2</v>
      </c>
      <c r="BB98" s="21">
        <v>88</v>
      </c>
      <c r="BC98" s="21">
        <v>0.34274300000000002</v>
      </c>
      <c r="BD98">
        <f t="shared" si="22"/>
        <v>19.885432098765428</v>
      </c>
      <c r="BE98">
        <f t="shared" si="23"/>
        <v>6.8240837333333317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1.35178</v>
      </c>
      <c r="H99" s="21">
        <v>5.8786399999999999</v>
      </c>
      <c r="I99" s="21">
        <v>-1.48132E-2</v>
      </c>
      <c r="J99" s="21">
        <v>89</v>
      </c>
      <c r="K99" s="21">
        <v>1.3507100000000001</v>
      </c>
      <c r="L99">
        <f t="shared" si="12"/>
        <v>18.287901234567901</v>
      </c>
      <c r="M99">
        <f t="shared" si="13"/>
        <v>24.721219130864196</v>
      </c>
      <c r="N99" s="9"/>
      <c r="O99" s="21">
        <v>0.34820600000000002</v>
      </c>
      <c r="P99" s="21">
        <v>9.6978299999999997</v>
      </c>
      <c r="Q99" s="21">
        <v>-1.5991200000000001E-2</v>
      </c>
      <c r="R99" s="21">
        <v>89</v>
      </c>
      <c r="S99" s="21">
        <v>0.34735100000000002</v>
      </c>
      <c r="T99">
        <f t="shared" si="14"/>
        <v>19.742222222222221</v>
      </c>
      <c r="U99">
        <f t="shared" si="15"/>
        <v>6.8743602311111109</v>
      </c>
      <c r="X99" s="9"/>
      <c r="Y99" s="21">
        <v>1.35178</v>
      </c>
      <c r="Z99" s="21">
        <v>15.257300000000001</v>
      </c>
      <c r="AA99" s="21">
        <v>-1.48804E-2</v>
      </c>
      <c r="AB99" s="21">
        <v>89</v>
      </c>
      <c r="AC99" s="21">
        <v>1.3513200000000001</v>
      </c>
      <c r="AD99">
        <f t="shared" si="16"/>
        <v>18.370864197530864</v>
      </c>
      <c r="AE99">
        <f t="shared" si="17"/>
        <v>24.833366804938272</v>
      </c>
      <c r="AF99" s="9"/>
      <c r="AG99" s="21">
        <v>0.34820600000000002</v>
      </c>
      <c r="AH99" s="21">
        <v>19.076499999999999</v>
      </c>
      <c r="AI99" s="21">
        <v>-1.60736E-2</v>
      </c>
      <c r="AJ99" s="21">
        <v>89</v>
      </c>
      <c r="AK99" s="21">
        <v>0.34768700000000002</v>
      </c>
      <c r="AL99">
        <f t="shared" si="18"/>
        <v>19.843950617283948</v>
      </c>
      <c r="AM99">
        <f t="shared" si="19"/>
        <v>6.9097826686419745</v>
      </c>
      <c r="AP99" s="9"/>
      <c r="AQ99" s="21">
        <v>1.35178</v>
      </c>
      <c r="AR99" s="21">
        <v>24.594100000000001</v>
      </c>
      <c r="AS99" s="21">
        <v>-1.4898700000000001E-2</v>
      </c>
      <c r="AT99" s="21">
        <v>89</v>
      </c>
      <c r="AU99" s="21">
        <v>1.3504</v>
      </c>
      <c r="AV99">
        <f t="shared" si="20"/>
        <v>18.393456790123455</v>
      </c>
      <c r="AW99">
        <f t="shared" si="21"/>
        <v>24.863907019753086</v>
      </c>
      <c r="AX99" s="9"/>
      <c r="AY99" s="21">
        <v>0.34820600000000002</v>
      </c>
      <c r="AZ99" s="21">
        <v>28.4133</v>
      </c>
      <c r="BA99" s="21">
        <v>-1.6098000000000001E-2</v>
      </c>
      <c r="BB99" s="21">
        <v>89</v>
      </c>
      <c r="BC99" s="21">
        <v>0.34747299999999998</v>
      </c>
      <c r="BD99">
        <f t="shared" si="22"/>
        <v>19.874074074074077</v>
      </c>
      <c r="BE99">
        <f t="shared" si="23"/>
        <v>6.9202718370370384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1.34674</v>
      </c>
      <c r="H100" s="21">
        <v>5.8887099999999997</v>
      </c>
      <c r="I100" s="21">
        <v>-1.4819300000000001E-2</v>
      </c>
      <c r="J100" s="21">
        <v>90</v>
      </c>
      <c r="K100" s="21">
        <v>1.34552</v>
      </c>
      <c r="L100">
        <f t="shared" si="12"/>
        <v>18.295432098765431</v>
      </c>
      <c r="M100">
        <f t="shared" si="13"/>
        <v>24.639190224691358</v>
      </c>
      <c r="N100" s="9"/>
      <c r="O100" s="21">
        <v>0.35324100000000003</v>
      </c>
      <c r="P100" s="21">
        <v>9.7079000000000004</v>
      </c>
      <c r="Q100" s="21">
        <v>-1.5982099999999999E-2</v>
      </c>
      <c r="R100" s="21">
        <v>90</v>
      </c>
      <c r="S100" s="21">
        <v>0.35269200000000001</v>
      </c>
      <c r="T100">
        <f t="shared" si="14"/>
        <v>19.730987654320984</v>
      </c>
      <c r="U100">
        <f t="shared" si="15"/>
        <v>6.9697938099999996</v>
      </c>
      <c r="X100" s="9"/>
      <c r="Y100" s="21">
        <v>1.34674</v>
      </c>
      <c r="Z100" s="21">
        <v>15.2674</v>
      </c>
      <c r="AA100" s="21">
        <v>-1.48865E-2</v>
      </c>
      <c r="AB100" s="21">
        <v>90</v>
      </c>
      <c r="AC100" s="21">
        <v>1.34613</v>
      </c>
      <c r="AD100">
        <f t="shared" si="16"/>
        <v>18.378395061728394</v>
      </c>
      <c r="AE100">
        <f t="shared" si="17"/>
        <v>24.750919765432098</v>
      </c>
      <c r="AF100" s="9"/>
      <c r="AG100" s="21">
        <v>0.35324100000000003</v>
      </c>
      <c r="AH100" s="21">
        <v>19.086600000000001</v>
      </c>
      <c r="AI100" s="21">
        <v>-1.6067499999999998E-2</v>
      </c>
      <c r="AJ100" s="21">
        <v>90</v>
      </c>
      <c r="AK100" s="21">
        <v>0.35241699999999998</v>
      </c>
      <c r="AL100">
        <f t="shared" si="18"/>
        <v>19.836419753086417</v>
      </c>
      <c r="AM100">
        <f t="shared" si="19"/>
        <v>7.0070367500000001</v>
      </c>
      <c r="AP100" s="9"/>
      <c r="AQ100" s="21">
        <v>1.34674</v>
      </c>
      <c r="AR100" s="21">
        <v>24.604099999999999</v>
      </c>
      <c r="AS100" s="21">
        <v>-1.49017E-2</v>
      </c>
      <c r="AT100" s="21">
        <v>90</v>
      </c>
      <c r="AU100" s="21">
        <v>1.34613</v>
      </c>
      <c r="AV100">
        <f t="shared" si="20"/>
        <v>18.397160493827158</v>
      </c>
      <c r="AW100">
        <f t="shared" si="21"/>
        <v>24.776191923456789</v>
      </c>
      <c r="AX100" s="9"/>
      <c r="AY100" s="21">
        <v>0.35324100000000003</v>
      </c>
      <c r="AZ100" s="21">
        <v>28.423300000000001</v>
      </c>
      <c r="BA100" s="21">
        <v>-1.60889E-2</v>
      </c>
      <c r="BB100" s="21">
        <v>90</v>
      </c>
      <c r="BC100" s="21">
        <v>0.35253899999999999</v>
      </c>
      <c r="BD100">
        <f t="shared" si="22"/>
        <v>19.862839506172836</v>
      </c>
      <c r="BE100">
        <f t="shared" si="23"/>
        <v>7.0163692899999992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1.34171</v>
      </c>
      <c r="H101" s="21">
        <v>5.8987800000000004</v>
      </c>
      <c r="I101" s="21">
        <v>-1.4825400000000001E-2</v>
      </c>
      <c r="J101" s="21">
        <v>91</v>
      </c>
      <c r="K101" s="21">
        <v>1.34033</v>
      </c>
      <c r="L101">
        <f t="shared" si="12"/>
        <v>18.302962962962962</v>
      </c>
      <c r="M101">
        <f t="shared" si="13"/>
        <v>24.557268437037035</v>
      </c>
      <c r="N101" s="9"/>
      <c r="O101" s="21">
        <v>0.35827599999999998</v>
      </c>
      <c r="P101" s="21">
        <v>9.7179699999999993</v>
      </c>
      <c r="Q101" s="21">
        <v>-1.5976000000000001E-2</v>
      </c>
      <c r="R101" s="21">
        <v>91</v>
      </c>
      <c r="S101" s="21">
        <v>0.35760500000000001</v>
      </c>
      <c r="T101">
        <f t="shared" si="14"/>
        <v>19.723456790123457</v>
      </c>
      <c r="U101">
        <f t="shared" si="15"/>
        <v>7.066441204938271</v>
      </c>
      <c r="X101" s="9"/>
      <c r="Y101" s="21">
        <v>1.34171</v>
      </c>
      <c r="Z101" s="21">
        <v>15.2775</v>
      </c>
      <c r="AA101" s="21">
        <v>-1.48895E-2</v>
      </c>
      <c r="AB101" s="21">
        <v>91</v>
      </c>
      <c r="AC101" s="21">
        <v>1.34033</v>
      </c>
      <c r="AD101">
        <f t="shared" si="16"/>
        <v>18.382098765432101</v>
      </c>
      <c r="AE101">
        <f t="shared" si="17"/>
        <v>24.663445734567905</v>
      </c>
      <c r="AF101" s="9"/>
      <c r="AG101" s="21">
        <v>0.35827599999999998</v>
      </c>
      <c r="AH101" s="21">
        <v>19.096699999999998</v>
      </c>
      <c r="AI101" s="21">
        <v>-1.6058300000000001E-2</v>
      </c>
      <c r="AJ101" s="21">
        <v>91</v>
      </c>
      <c r="AK101" s="21">
        <v>0.35797099999999998</v>
      </c>
      <c r="AL101">
        <f t="shared" si="18"/>
        <v>19.82506172839506</v>
      </c>
      <c r="AM101">
        <f t="shared" si="19"/>
        <v>7.1028438158024683</v>
      </c>
      <c r="AP101" s="9"/>
      <c r="AQ101" s="21">
        <v>1.34171</v>
      </c>
      <c r="AR101" s="21">
        <v>24.6142</v>
      </c>
      <c r="AS101" s="21">
        <v>-1.4907800000000001E-2</v>
      </c>
      <c r="AT101" s="21">
        <v>91</v>
      </c>
      <c r="AU101" s="21">
        <v>1.3406400000000001</v>
      </c>
      <c r="AV101">
        <f t="shared" si="20"/>
        <v>18.404691358024692</v>
      </c>
      <c r="AW101">
        <f t="shared" si="21"/>
        <v>24.693758441975309</v>
      </c>
      <c r="AX101" s="9"/>
      <c r="AY101" s="21">
        <v>0.35827599999999998</v>
      </c>
      <c r="AZ101" s="21">
        <v>28.433399999999999</v>
      </c>
      <c r="BA101" s="21">
        <v>-1.6079699999999999E-2</v>
      </c>
      <c r="BB101" s="21">
        <v>91</v>
      </c>
      <c r="BC101" s="21">
        <v>0.35760500000000001</v>
      </c>
      <c r="BD101">
        <f t="shared" si="22"/>
        <v>19.851481481481482</v>
      </c>
      <c r="BE101">
        <f t="shared" si="23"/>
        <v>7.1123093792592593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1.33667</v>
      </c>
      <c r="H102" s="21">
        <v>5.9088500000000002</v>
      </c>
      <c r="I102" s="21">
        <v>-1.4831499999999999E-2</v>
      </c>
      <c r="J102" s="21">
        <v>92</v>
      </c>
      <c r="K102" s="21">
        <v>1.33606</v>
      </c>
      <c r="L102">
        <f t="shared" si="12"/>
        <v>18.310493827160489</v>
      </c>
      <c r="M102">
        <f t="shared" si="13"/>
        <v>24.47508778395061</v>
      </c>
      <c r="N102" s="9"/>
      <c r="O102" s="21">
        <v>0.36331200000000002</v>
      </c>
      <c r="P102" s="21">
        <v>9.72804</v>
      </c>
      <c r="Q102" s="21">
        <v>-1.5969799999999999E-2</v>
      </c>
      <c r="R102" s="21">
        <v>92</v>
      </c>
      <c r="S102" s="21">
        <v>0.36251800000000001</v>
      </c>
      <c r="T102">
        <f t="shared" si="14"/>
        <v>19.715802469135802</v>
      </c>
      <c r="U102">
        <f t="shared" si="15"/>
        <v>7.1629876266666672</v>
      </c>
      <c r="X102" s="9"/>
      <c r="Y102" s="21">
        <v>1.33667</v>
      </c>
      <c r="Z102" s="21">
        <v>15.2875</v>
      </c>
      <c r="AA102" s="21">
        <v>-1.48956E-2</v>
      </c>
      <c r="AB102" s="21">
        <v>92</v>
      </c>
      <c r="AC102" s="21">
        <v>1.33667</v>
      </c>
      <c r="AD102">
        <f t="shared" si="16"/>
        <v>18.389629629629628</v>
      </c>
      <c r="AE102">
        <f t="shared" si="17"/>
        <v>24.580866237037036</v>
      </c>
      <c r="AF102" s="9"/>
      <c r="AG102" s="21">
        <v>0.36331200000000002</v>
      </c>
      <c r="AH102" s="21">
        <v>19.1067</v>
      </c>
      <c r="AI102" s="21">
        <v>-1.6052199999999999E-2</v>
      </c>
      <c r="AJ102" s="21">
        <v>92</v>
      </c>
      <c r="AK102" s="21">
        <v>0.36251800000000001</v>
      </c>
      <c r="AL102">
        <f t="shared" si="18"/>
        <v>19.817530864197529</v>
      </c>
      <c r="AM102">
        <f t="shared" si="19"/>
        <v>7.1999467733333331</v>
      </c>
      <c r="AP102" s="9"/>
      <c r="AQ102" s="21">
        <v>1.33667</v>
      </c>
      <c r="AR102" s="21">
        <v>24.624300000000002</v>
      </c>
      <c r="AS102" s="21">
        <v>-1.4913900000000001E-2</v>
      </c>
      <c r="AT102" s="21">
        <v>92</v>
      </c>
      <c r="AU102" s="21">
        <v>1.33575</v>
      </c>
      <c r="AV102">
        <f t="shared" si="20"/>
        <v>18.412222222222223</v>
      </c>
      <c r="AW102">
        <f t="shared" si="21"/>
        <v>24.611065077777781</v>
      </c>
      <c r="AX102" s="9"/>
      <c r="AY102" s="21">
        <v>0.36331200000000002</v>
      </c>
      <c r="AZ102" s="21">
        <v>28.4435</v>
      </c>
      <c r="BA102" s="21">
        <v>-1.6076699999999999E-2</v>
      </c>
      <c r="BB102" s="21">
        <v>92</v>
      </c>
      <c r="BC102" s="21">
        <v>0.36251800000000001</v>
      </c>
      <c r="BD102">
        <f t="shared" si="22"/>
        <v>19.847777777777775</v>
      </c>
      <c r="BE102">
        <f t="shared" si="23"/>
        <v>7.2109358399999994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1.3316300000000001</v>
      </c>
      <c r="H103" s="21">
        <v>5.91892</v>
      </c>
      <c r="I103" s="21">
        <v>-1.4837599999999999E-2</v>
      </c>
      <c r="J103" s="21">
        <v>93</v>
      </c>
      <c r="K103" s="21">
        <v>1.33026</v>
      </c>
      <c r="L103">
        <f t="shared" si="12"/>
        <v>18.318024691358023</v>
      </c>
      <c r="M103">
        <f t="shared" si="13"/>
        <v>24.392831219753084</v>
      </c>
      <c r="N103" s="9"/>
      <c r="O103" s="21">
        <v>0.36834699999999998</v>
      </c>
      <c r="P103" s="21">
        <v>9.7381100000000007</v>
      </c>
      <c r="Q103" s="21">
        <v>-1.5963700000000001E-2</v>
      </c>
      <c r="R103" s="21">
        <v>93</v>
      </c>
      <c r="S103" s="21">
        <v>0.367645</v>
      </c>
      <c r="T103">
        <f t="shared" si="14"/>
        <v>19.708271604938272</v>
      </c>
      <c r="U103">
        <f t="shared" si="15"/>
        <v>7.259482720864197</v>
      </c>
      <c r="X103" s="9"/>
      <c r="Y103" s="21">
        <v>1.3316300000000001</v>
      </c>
      <c r="Z103" s="21">
        <v>15.297599999999999</v>
      </c>
      <c r="AA103" s="21">
        <v>-1.49017E-2</v>
      </c>
      <c r="AB103" s="21">
        <v>93</v>
      </c>
      <c r="AC103" s="21">
        <v>1.33087</v>
      </c>
      <c r="AD103">
        <f t="shared" si="16"/>
        <v>18.397160493827158</v>
      </c>
      <c r="AE103">
        <f t="shared" si="17"/>
        <v>24.498210828395059</v>
      </c>
      <c r="AF103" s="9"/>
      <c r="AG103" s="21">
        <v>0.36834699999999998</v>
      </c>
      <c r="AH103" s="21">
        <v>19.116800000000001</v>
      </c>
      <c r="AI103" s="21">
        <v>-1.6046100000000001E-2</v>
      </c>
      <c r="AJ103" s="21">
        <v>93</v>
      </c>
      <c r="AK103" s="21">
        <v>0.36782799999999999</v>
      </c>
      <c r="AL103">
        <f t="shared" si="18"/>
        <v>19.810000000000002</v>
      </c>
      <c r="AM103">
        <f t="shared" si="19"/>
        <v>7.2969540700000008</v>
      </c>
      <c r="AP103" s="9"/>
      <c r="AQ103" s="21">
        <v>1.3316300000000001</v>
      </c>
      <c r="AR103" s="21">
        <v>24.6343</v>
      </c>
      <c r="AS103" s="21">
        <v>-1.4919999999999999E-2</v>
      </c>
      <c r="AT103" s="21">
        <v>93</v>
      </c>
      <c r="AU103" s="21">
        <v>1.33087</v>
      </c>
      <c r="AV103">
        <f t="shared" si="20"/>
        <v>18.41975308641975</v>
      </c>
      <c r="AW103">
        <f t="shared" si="21"/>
        <v>24.528295802469131</v>
      </c>
      <c r="AX103" s="9"/>
      <c r="AY103" s="21">
        <v>0.36834699999999998</v>
      </c>
      <c r="AZ103" s="21">
        <v>28.453499999999998</v>
      </c>
      <c r="BA103" s="21">
        <v>-1.6070600000000001E-2</v>
      </c>
      <c r="BB103" s="21">
        <v>93</v>
      </c>
      <c r="BC103" s="21">
        <v>0.36752299999999999</v>
      </c>
      <c r="BD103">
        <f t="shared" si="22"/>
        <v>19.840246913580245</v>
      </c>
      <c r="BE103">
        <f t="shared" si="23"/>
        <v>7.3080954298765421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1.3266</v>
      </c>
      <c r="H104" s="21">
        <v>5.9289899999999998</v>
      </c>
      <c r="I104" s="21">
        <v>-1.4843800000000001E-2</v>
      </c>
      <c r="J104" s="21">
        <v>94</v>
      </c>
      <c r="K104" s="21">
        <v>1.32538</v>
      </c>
      <c r="L104">
        <f t="shared" si="12"/>
        <v>18.325679012345677</v>
      </c>
      <c r="M104">
        <f t="shared" si="13"/>
        <v>24.310845777777775</v>
      </c>
      <c r="N104" s="9"/>
      <c r="O104" s="21">
        <v>0.37338300000000002</v>
      </c>
      <c r="P104" s="21">
        <v>9.7481799999999996</v>
      </c>
      <c r="Q104" s="21">
        <v>-1.5957599999999999E-2</v>
      </c>
      <c r="R104" s="21">
        <v>94</v>
      </c>
      <c r="S104" s="21">
        <v>0.37274200000000002</v>
      </c>
      <c r="T104">
        <f t="shared" si="14"/>
        <v>19.700740740740738</v>
      </c>
      <c r="U104">
        <f t="shared" si="15"/>
        <v>7.3559216799999989</v>
      </c>
      <c r="X104" s="9"/>
      <c r="Y104" s="21">
        <v>1.3266</v>
      </c>
      <c r="Z104" s="21">
        <v>15.307700000000001</v>
      </c>
      <c r="AA104" s="21">
        <v>-1.4907800000000001E-2</v>
      </c>
      <c r="AB104" s="21">
        <v>94</v>
      </c>
      <c r="AC104" s="21">
        <v>1.32477</v>
      </c>
      <c r="AD104">
        <f t="shared" si="16"/>
        <v>18.404691358024692</v>
      </c>
      <c r="AE104">
        <f t="shared" si="17"/>
        <v>24.415663555555557</v>
      </c>
      <c r="AF104" s="9"/>
      <c r="AG104" s="21">
        <v>0.37338300000000002</v>
      </c>
      <c r="AH104" s="21">
        <v>19.126899999999999</v>
      </c>
      <c r="AI104" s="21">
        <v>-1.6036999999999999E-2</v>
      </c>
      <c r="AJ104" s="21">
        <v>94</v>
      </c>
      <c r="AK104" s="21">
        <v>0.372589</v>
      </c>
      <c r="AL104">
        <f t="shared" si="18"/>
        <v>19.798765432098762</v>
      </c>
      <c r="AM104">
        <f t="shared" si="19"/>
        <v>7.3925224333333324</v>
      </c>
      <c r="AP104" s="9"/>
      <c r="AQ104" s="21">
        <v>1.3266</v>
      </c>
      <c r="AR104" s="21">
        <v>24.644400000000001</v>
      </c>
      <c r="AS104" s="21">
        <v>-1.4926099999999999E-2</v>
      </c>
      <c r="AT104" s="21">
        <v>94</v>
      </c>
      <c r="AU104" s="21">
        <v>1.32629</v>
      </c>
      <c r="AV104">
        <f t="shared" si="20"/>
        <v>18.427283950617284</v>
      </c>
      <c r="AW104">
        <f t="shared" si="21"/>
        <v>24.44563488888889</v>
      </c>
      <c r="AX104" s="9"/>
      <c r="AY104" s="21">
        <v>0.37338300000000002</v>
      </c>
      <c r="AZ104" s="21">
        <v>28.4636</v>
      </c>
      <c r="BA104" s="21">
        <v>-1.6064499999999999E-2</v>
      </c>
      <c r="BB104" s="21">
        <v>94</v>
      </c>
      <c r="BC104" s="21">
        <v>0.372589</v>
      </c>
      <c r="BD104">
        <f t="shared" si="22"/>
        <v>19.832716049382714</v>
      </c>
      <c r="BE104">
        <f t="shared" si="23"/>
        <v>7.4051990166666668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1.3215600000000001</v>
      </c>
      <c r="H105" s="21">
        <v>5.9390599999999996</v>
      </c>
      <c r="I105" s="21">
        <v>-1.4849899999999999E-2</v>
      </c>
      <c r="J105" s="21">
        <v>95</v>
      </c>
      <c r="K105" s="21">
        <v>1.3208</v>
      </c>
      <c r="L105">
        <f t="shared" si="12"/>
        <v>18.333209876543208</v>
      </c>
      <c r="M105">
        <f t="shared" si="13"/>
        <v>24.228436844444442</v>
      </c>
      <c r="N105" s="9"/>
      <c r="O105" s="21">
        <v>0.37841799999999998</v>
      </c>
      <c r="P105" s="21">
        <v>9.7582599999999999</v>
      </c>
      <c r="Q105" s="21">
        <v>-1.59515E-2</v>
      </c>
      <c r="R105" s="21">
        <v>95</v>
      </c>
      <c r="S105" s="21">
        <v>0.377747</v>
      </c>
      <c r="T105">
        <f t="shared" si="14"/>
        <v>19.693209876543211</v>
      </c>
      <c r="U105">
        <f t="shared" si="15"/>
        <v>7.452265095061728</v>
      </c>
      <c r="X105" s="9"/>
      <c r="Y105" s="21">
        <v>1.3215600000000001</v>
      </c>
      <c r="Z105" s="21">
        <v>15.3178</v>
      </c>
      <c r="AA105" s="21">
        <v>-1.4917E-2</v>
      </c>
      <c r="AB105" s="21">
        <v>95</v>
      </c>
      <c r="AC105" s="21">
        <v>1.3208</v>
      </c>
      <c r="AD105">
        <f t="shared" si="16"/>
        <v>18.416049382716047</v>
      </c>
      <c r="AE105">
        <f t="shared" si="17"/>
        <v>24.337914222222221</v>
      </c>
      <c r="AF105" s="9"/>
      <c r="AG105" s="21">
        <v>0.37841799999999998</v>
      </c>
      <c r="AH105" s="21">
        <v>19.137</v>
      </c>
      <c r="AI105" s="21">
        <v>-1.6030900000000001E-2</v>
      </c>
      <c r="AJ105" s="21">
        <v>95</v>
      </c>
      <c r="AK105" s="21">
        <v>0.376892</v>
      </c>
      <c r="AL105">
        <f t="shared" si="18"/>
        <v>19.791234567901235</v>
      </c>
      <c r="AM105">
        <f t="shared" si="19"/>
        <v>7.4893594027160493</v>
      </c>
      <c r="AP105" s="9"/>
      <c r="AQ105" s="21">
        <v>1.3215600000000001</v>
      </c>
      <c r="AR105" s="21">
        <v>24.654499999999999</v>
      </c>
      <c r="AS105" s="21">
        <v>-1.49353E-2</v>
      </c>
      <c r="AT105" s="21">
        <v>95</v>
      </c>
      <c r="AU105" s="21">
        <v>1.32019</v>
      </c>
      <c r="AV105">
        <f t="shared" si="20"/>
        <v>18.438641975308641</v>
      </c>
      <c r="AW105">
        <f t="shared" si="21"/>
        <v>24.36777168888889</v>
      </c>
      <c r="AX105" s="9"/>
      <c r="AY105" s="21">
        <v>0.37841799999999998</v>
      </c>
      <c r="AZ105" s="21">
        <v>28.473700000000001</v>
      </c>
      <c r="BA105" s="21">
        <v>-1.6055300000000002E-2</v>
      </c>
      <c r="BB105" s="21">
        <v>95</v>
      </c>
      <c r="BC105" s="21">
        <v>0.37765500000000002</v>
      </c>
      <c r="BD105">
        <f t="shared" si="22"/>
        <v>19.821358024691357</v>
      </c>
      <c r="BE105">
        <f t="shared" si="23"/>
        <v>7.5007586609876533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1.31653</v>
      </c>
      <c r="H106" s="21">
        <v>5.9491399999999999</v>
      </c>
      <c r="I106" s="21">
        <v>-1.4855999999999999E-2</v>
      </c>
      <c r="J106" s="21">
        <v>96</v>
      </c>
      <c r="K106" s="21">
        <v>1.31592</v>
      </c>
      <c r="L106">
        <f t="shared" si="12"/>
        <v>18.340740740740738</v>
      </c>
      <c r="M106">
        <f t="shared" si="13"/>
        <v>24.146135407407403</v>
      </c>
      <c r="N106" s="9"/>
      <c r="O106" s="21">
        <v>0.38345299999999999</v>
      </c>
      <c r="P106" s="21">
        <v>9.7683300000000006</v>
      </c>
      <c r="Q106" s="21">
        <v>-1.5945399999999998E-2</v>
      </c>
      <c r="R106" s="21">
        <v>96</v>
      </c>
      <c r="S106" s="21">
        <v>0.38275100000000001</v>
      </c>
      <c r="T106">
        <f t="shared" si="14"/>
        <v>19.685679012345673</v>
      </c>
      <c r="U106">
        <f t="shared" si="15"/>
        <v>7.5485326743209855</v>
      </c>
      <c r="X106" s="9"/>
      <c r="Y106" s="21">
        <v>1.31653</v>
      </c>
      <c r="Z106" s="21">
        <v>15.3278</v>
      </c>
      <c r="AA106" s="21">
        <v>-1.49231E-2</v>
      </c>
      <c r="AB106" s="21">
        <v>96</v>
      </c>
      <c r="AC106" s="21">
        <v>1.3156099999999999</v>
      </c>
      <c r="AD106">
        <f t="shared" si="16"/>
        <v>18.423580246913577</v>
      </c>
      <c r="AE106">
        <f t="shared" si="17"/>
        <v>24.255196102469132</v>
      </c>
      <c r="AF106" s="9"/>
      <c r="AG106" s="21">
        <v>0.38345299999999999</v>
      </c>
      <c r="AH106" s="21">
        <v>19.146999999999998</v>
      </c>
      <c r="AI106" s="21">
        <v>-1.6024799999999999E-2</v>
      </c>
      <c r="AJ106" s="21">
        <v>96</v>
      </c>
      <c r="AK106" s="21">
        <v>0.382996</v>
      </c>
      <c r="AL106">
        <f t="shared" si="18"/>
        <v>19.783703703703701</v>
      </c>
      <c r="AM106">
        <f t="shared" si="19"/>
        <v>7.5861205362962947</v>
      </c>
      <c r="AP106" s="9"/>
      <c r="AQ106" s="21">
        <v>1.31653</v>
      </c>
      <c r="AR106" s="21">
        <v>24.6646</v>
      </c>
      <c r="AS106" s="21">
        <v>-1.4941400000000001E-2</v>
      </c>
      <c r="AT106" s="21">
        <v>96</v>
      </c>
      <c r="AU106" s="21">
        <v>1.3156099999999999</v>
      </c>
      <c r="AV106">
        <f t="shared" si="20"/>
        <v>18.446172839506172</v>
      </c>
      <c r="AW106">
        <f t="shared" si="21"/>
        <v>24.284939928395062</v>
      </c>
      <c r="AX106" s="9"/>
      <c r="AY106" s="21">
        <v>0.38345299999999999</v>
      </c>
      <c r="AZ106" s="21">
        <v>28.483699999999999</v>
      </c>
      <c r="BA106" s="21">
        <v>-1.60492E-2</v>
      </c>
      <c r="BB106" s="21">
        <v>96</v>
      </c>
      <c r="BC106" s="21">
        <v>0.38281300000000001</v>
      </c>
      <c r="BD106">
        <f t="shared" si="22"/>
        <v>19.813827160493826</v>
      </c>
      <c r="BE106">
        <f t="shared" si="23"/>
        <v>7.5976714661728391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1.31149</v>
      </c>
      <c r="H107" s="21">
        <v>5.9592099999999997</v>
      </c>
      <c r="I107" s="21">
        <v>-1.48621E-2</v>
      </c>
      <c r="J107" s="21">
        <v>97</v>
      </c>
      <c r="K107" s="21">
        <v>1.31134</v>
      </c>
      <c r="L107">
        <f t="shared" si="12"/>
        <v>18.348271604938269</v>
      </c>
      <c r="M107">
        <f t="shared" si="13"/>
        <v>24.063574727160493</v>
      </c>
      <c r="N107" s="9"/>
      <c r="O107" s="21">
        <v>0.38848899999999997</v>
      </c>
      <c r="P107" s="21">
        <v>9.7783999999999995</v>
      </c>
      <c r="Q107" s="21">
        <v>-1.59363E-2</v>
      </c>
      <c r="R107" s="21">
        <v>97</v>
      </c>
      <c r="S107" s="21">
        <v>0.38784800000000003</v>
      </c>
      <c r="T107">
        <f t="shared" si="14"/>
        <v>19.674444444444443</v>
      </c>
      <c r="U107">
        <f t="shared" si="15"/>
        <v>7.6433052477777768</v>
      </c>
      <c r="X107" s="9"/>
      <c r="Y107" s="21">
        <v>1.31149</v>
      </c>
      <c r="Z107" s="21">
        <v>15.337899999999999</v>
      </c>
      <c r="AA107" s="21">
        <v>-1.49292E-2</v>
      </c>
      <c r="AB107" s="21">
        <v>97</v>
      </c>
      <c r="AC107" s="21">
        <v>1.30951</v>
      </c>
      <c r="AD107">
        <f t="shared" si="16"/>
        <v>18.431111111111111</v>
      </c>
      <c r="AE107">
        <f t="shared" si="17"/>
        <v>24.172217911111112</v>
      </c>
      <c r="AF107" s="9"/>
      <c r="AG107" s="21">
        <v>0.38848899999999997</v>
      </c>
      <c r="AH107" s="21">
        <v>19.1571</v>
      </c>
      <c r="AI107" s="21">
        <v>-1.60187E-2</v>
      </c>
      <c r="AJ107" s="21">
        <v>97</v>
      </c>
      <c r="AK107" s="21">
        <v>0.387573</v>
      </c>
      <c r="AL107">
        <f t="shared" si="18"/>
        <v>19.77617283950617</v>
      </c>
      <c r="AM107">
        <f t="shared" si="19"/>
        <v>7.6828256102469119</v>
      </c>
      <c r="AP107" s="9"/>
      <c r="AQ107" s="21">
        <v>1.31149</v>
      </c>
      <c r="AR107" s="21">
        <v>24.674600000000002</v>
      </c>
      <c r="AS107" s="21">
        <v>-1.49506E-2</v>
      </c>
      <c r="AT107" s="21">
        <v>97</v>
      </c>
      <c r="AU107" s="21">
        <v>1.3104199999999999</v>
      </c>
      <c r="AV107">
        <f t="shared" si="20"/>
        <v>18.45753086419753</v>
      </c>
      <c r="AW107">
        <f t="shared" si="21"/>
        <v>24.206867153086421</v>
      </c>
      <c r="AX107" s="9"/>
      <c r="AY107" s="21">
        <v>0.38848899999999997</v>
      </c>
      <c r="AZ107" s="21">
        <v>28.4938</v>
      </c>
      <c r="BA107" s="21">
        <v>-1.6043100000000001E-2</v>
      </c>
      <c r="BB107" s="21">
        <v>97</v>
      </c>
      <c r="BC107" s="21">
        <v>0.38781700000000002</v>
      </c>
      <c r="BD107">
        <f t="shared" si="22"/>
        <v>19.806296296296299</v>
      </c>
      <c r="BE107">
        <f t="shared" si="23"/>
        <v>7.6945282418518524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1.30646</v>
      </c>
      <c r="H108" s="21">
        <v>5.9692800000000004</v>
      </c>
      <c r="I108" s="21">
        <v>-1.48682E-2</v>
      </c>
      <c r="J108" s="21">
        <v>98</v>
      </c>
      <c r="K108" s="21">
        <v>1.3055399999999999</v>
      </c>
      <c r="L108">
        <f t="shared" si="12"/>
        <v>18.355802469135799</v>
      </c>
      <c r="M108">
        <f t="shared" si="13"/>
        <v>23.981121693827156</v>
      </c>
      <c r="N108" s="9"/>
      <c r="O108" s="21">
        <v>0.39352399999999998</v>
      </c>
      <c r="P108" s="21">
        <v>9.7884700000000002</v>
      </c>
      <c r="Q108" s="21">
        <v>-1.5933200000000002E-2</v>
      </c>
      <c r="R108" s="21">
        <v>98</v>
      </c>
      <c r="S108" s="21">
        <v>0.39300499999999999</v>
      </c>
      <c r="T108">
        <f t="shared" si="14"/>
        <v>19.670617283950619</v>
      </c>
      <c r="U108">
        <f t="shared" si="15"/>
        <v>7.7408599960493829</v>
      </c>
      <c r="X108" s="9"/>
      <c r="Y108" s="21">
        <v>1.30646</v>
      </c>
      <c r="Z108" s="21">
        <v>15.348000000000001</v>
      </c>
      <c r="AA108" s="21">
        <v>-1.49353E-2</v>
      </c>
      <c r="AB108" s="21">
        <v>98</v>
      </c>
      <c r="AC108" s="21">
        <v>1.30585</v>
      </c>
      <c r="AD108">
        <f t="shared" si="16"/>
        <v>18.438641975308641</v>
      </c>
      <c r="AE108">
        <f t="shared" si="17"/>
        <v>24.089348195061728</v>
      </c>
      <c r="AF108" s="9"/>
      <c r="AG108" s="21">
        <v>0.39352399999999998</v>
      </c>
      <c r="AH108" s="21">
        <v>19.167200000000001</v>
      </c>
      <c r="AI108" s="21">
        <v>-1.6012599999999998E-2</v>
      </c>
      <c r="AJ108" s="21">
        <v>98</v>
      </c>
      <c r="AK108" s="21">
        <v>0.392822</v>
      </c>
      <c r="AL108">
        <f t="shared" si="18"/>
        <v>19.76864197530864</v>
      </c>
      <c r="AM108">
        <f t="shared" si="19"/>
        <v>7.7794350646913566</v>
      </c>
      <c r="AP108" s="9"/>
      <c r="AQ108" s="21">
        <v>1.30646</v>
      </c>
      <c r="AR108" s="21">
        <v>24.684699999999999</v>
      </c>
      <c r="AS108" s="21">
        <v>-1.49567E-2</v>
      </c>
      <c r="AT108" s="21">
        <v>98</v>
      </c>
      <c r="AU108" s="21">
        <v>1.3055399999999999</v>
      </c>
      <c r="AV108">
        <f t="shared" si="20"/>
        <v>18.46506172839506</v>
      </c>
      <c r="AW108">
        <f t="shared" si="21"/>
        <v>24.123864545679009</v>
      </c>
      <c r="AX108" s="9"/>
      <c r="AY108" s="21">
        <v>0.39352399999999998</v>
      </c>
      <c r="AZ108" s="21">
        <v>28.503900000000002</v>
      </c>
      <c r="BA108" s="21">
        <v>-1.6036999999999999E-2</v>
      </c>
      <c r="BB108" s="21">
        <v>98</v>
      </c>
      <c r="BC108" s="21">
        <v>0.393036</v>
      </c>
      <c r="BD108">
        <f t="shared" si="22"/>
        <v>19.798765432098762</v>
      </c>
      <c r="BE108">
        <f t="shared" si="23"/>
        <v>7.7912893679012329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1.30142</v>
      </c>
      <c r="H109" s="21">
        <v>5.9793500000000002</v>
      </c>
      <c r="I109" s="21">
        <v>-1.4871199999999999E-2</v>
      </c>
      <c r="J109" s="21">
        <v>99</v>
      </c>
      <c r="K109" s="21">
        <v>1.3000499999999999</v>
      </c>
      <c r="L109">
        <f t="shared" si="12"/>
        <v>18.359506172839506</v>
      </c>
      <c r="M109">
        <f t="shared" si="13"/>
        <v>23.893428523456791</v>
      </c>
      <c r="N109" s="9"/>
      <c r="O109" s="21">
        <v>0.39856000000000003</v>
      </c>
      <c r="P109" s="21">
        <v>9.7985399999999991</v>
      </c>
      <c r="Q109" s="21">
        <v>-1.59271E-2</v>
      </c>
      <c r="R109" s="21">
        <v>99</v>
      </c>
      <c r="S109" s="21">
        <v>0.39770499999999998</v>
      </c>
      <c r="T109">
        <f t="shared" si="14"/>
        <v>19.663086419753085</v>
      </c>
      <c r="U109">
        <f t="shared" si="15"/>
        <v>7.8369197234567904</v>
      </c>
      <c r="X109" s="9"/>
      <c r="Y109" s="21">
        <v>1.30142</v>
      </c>
      <c r="Z109" s="21">
        <v>15.358000000000001</v>
      </c>
      <c r="AA109" s="21">
        <v>-1.4941400000000001E-2</v>
      </c>
      <c r="AB109" s="21">
        <v>99</v>
      </c>
      <c r="AC109" s="21">
        <v>1.3006599999999999</v>
      </c>
      <c r="AD109">
        <f t="shared" si="16"/>
        <v>18.446172839506172</v>
      </c>
      <c r="AE109">
        <f t="shared" si="17"/>
        <v>24.006218256790124</v>
      </c>
      <c r="AF109" s="9"/>
      <c r="AG109" s="21">
        <v>0.39856000000000003</v>
      </c>
      <c r="AH109" s="21">
        <v>19.177199999999999</v>
      </c>
      <c r="AI109" s="21">
        <v>-1.6003400000000001E-2</v>
      </c>
      <c r="AJ109" s="21">
        <v>99</v>
      </c>
      <c r="AK109" s="21">
        <v>0.39785799999999999</v>
      </c>
      <c r="AL109">
        <f t="shared" si="18"/>
        <v>19.757283950617282</v>
      </c>
      <c r="AM109">
        <f t="shared" si="19"/>
        <v>7.8744630913580247</v>
      </c>
      <c r="AP109" s="9"/>
      <c r="AQ109" s="21">
        <v>1.30142</v>
      </c>
      <c r="AR109" s="21">
        <v>24.694800000000001</v>
      </c>
      <c r="AS109" s="21">
        <v>-1.49628E-2</v>
      </c>
      <c r="AT109" s="21">
        <v>99</v>
      </c>
      <c r="AU109" s="21">
        <v>1.3000499999999999</v>
      </c>
      <c r="AV109">
        <f t="shared" si="20"/>
        <v>18.472592592592594</v>
      </c>
      <c r="AW109">
        <f t="shared" si="21"/>
        <v>24.040601451851856</v>
      </c>
      <c r="AX109" s="9"/>
      <c r="AY109" s="21">
        <v>0.39856000000000003</v>
      </c>
      <c r="AZ109" s="21">
        <v>28.513999999999999</v>
      </c>
      <c r="BA109" s="21">
        <v>-1.6030900000000001E-2</v>
      </c>
      <c r="BB109" s="21">
        <v>99</v>
      </c>
      <c r="BC109" s="21">
        <v>0.39785799999999999</v>
      </c>
      <c r="BD109">
        <f t="shared" si="22"/>
        <v>19.791234567901235</v>
      </c>
      <c r="BE109">
        <f t="shared" si="23"/>
        <v>7.8879944493827168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1.2963899999999999</v>
      </c>
      <c r="H110" s="21">
        <v>5.98942</v>
      </c>
      <c r="I110" s="21">
        <v>-1.48773E-2</v>
      </c>
      <c r="J110" s="21">
        <v>100</v>
      </c>
      <c r="K110" s="21">
        <v>1.2957799999999999</v>
      </c>
      <c r="L110">
        <f t="shared" si="12"/>
        <v>18.367037037037036</v>
      </c>
      <c r="M110">
        <f t="shared" si="13"/>
        <v>23.810843144444441</v>
      </c>
      <c r="N110" s="9"/>
      <c r="O110" s="21">
        <v>0.40359499999999998</v>
      </c>
      <c r="P110" s="21">
        <v>9.8086099999999998</v>
      </c>
      <c r="Q110" s="21">
        <v>-1.5921000000000001E-2</v>
      </c>
      <c r="R110" s="21">
        <v>100</v>
      </c>
      <c r="S110" s="21">
        <v>0.40286300000000003</v>
      </c>
      <c r="T110">
        <f t="shared" si="14"/>
        <v>19.655555555555555</v>
      </c>
      <c r="U110">
        <f t="shared" si="15"/>
        <v>7.9328839444444439</v>
      </c>
      <c r="X110" s="9"/>
      <c r="Y110" s="21">
        <v>1.2963899999999999</v>
      </c>
      <c r="Z110" s="21">
        <v>15.3681</v>
      </c>
      <c r="AA110" s="21">
        <v>-1.4947500000000001E-2</v>
      </c>
      <c r="AB110" s="21">
        <v>100</v>
      </c>
      <c r="AC110" s="21">
        <v>1.2957799999999999</v>
      </c>
      <c r="AD110">
        <f t="shared" si="16"/>
        <v>18.453703703703706</v>
      </c>
      <c r="AE110">
        <f t="shared" si="17"/>
        <v>23.923196944444445</v>
      </c>
      <c r="AF110" s="9"/>
      <c r="AG110" s="21">
        <v>0.40359499999999998</v>
      </c>
      <c r="AH110" s="21">
        <v>19.1873</v>
      </c>
      <c r="AI110" s="21">
        <v>-1.5997299999999999E-2</v>
      </c>
      <c r="AJ110" s="21">
        <v>100</v>
      </c>
      <c r="AK110" s="21">
        <v>0.40295399999999998</v>
      </c>
      <c r="AL110">
        <f t="shared" si="18"/>
        <v>19.749753086419751</v>
      </c>
      <c r="AM110">
        <f t="shared" si="19"/>
        <v>7.9709015969135795</v>
      </c>
      <c r="AP110" s="9"/>
      <c r="AQ110" s="21">
        <v>1.2963899999999999</v>
      </c>
      <c r="AR110" s="21">
        <v>24.704799999999999</v>
      </c>
      <c r="AS110" s="21">
        <v>-1.49689E-2</v>
      </c>
      <c r="AT110" s="21">
        <v>100</v>
      </c>
      <c r="AU110" s="21">
        <v>1.2954699999999999</v>
      </c>
      <c r="AV110">
        <f t="shared" si="20"/>
        <v>18.480123456790125</v>
      </c>
      <c r="AW110">
        <f t="shared" si="21"/>
        <v>23.957447248148149</v>
      </c>
      <c r="AX110" s="9"/>
      <c r="AY110" s="21">
        <v>0.40359499999999998</v>
      </c>
      <c r="AZ110" s="21">
        <v>28.524000000000001</v>
      </c>
      <c r="BA110" s="21">
        <v>-1.60217E-2</v>
      </c>
      <c r="BB110" s="21">
        <v>100</v>
      </c>
      <c r="BC110" s="21">
        <v>0.40298499999999998</v>
      </c>
      <c r="BD110">
        <f t="shared" si="22"/>
        <v>19.779876543209873</v>
      </c>
      <c r="BE110">
        <f t="shared" si="23"/>
        <v>7.9830592734567887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1.29135</v>
      </c>
      <c r="H111" s="21">
        <v>5.9994899999999998</v>
      </c>
      <c r="I111" s="21">
        <v>-1.48834E-2</v>
      </c>
      <c r="J111" s="21">
        <v>101</v>
      </c>
      <c r="K111" s="21">
        <v>1.2905899999999999</v>
      </c>
      <c r="L111">
        <f t="shared" si="12"/>
        <v>18.374567901234567</v>
      </c>
      <c r="M111">
        <f t="shared" si="13"/>
        <v>23.727998259259259</v>
      </c>
      <c r="N111" s="9"/>
      <c r="O111" s="21">
        <v>0.40862999999999999</v>
      </c>
      <c r="P111" s="21">
        <v>9.8186800000000005</v>
      </c>
      <c r="Q111" s="21">
        <v>-1.5914899999999999E-2</v>
      </c>
      <c r="R111" s="21">
        <v>101</v>
      </c>
      <c r="S111" s="21">
        <v>0.40783700000000001</v>
      </c>
      <c r="T111">
        <f t="shared" si="14"/>
        <v>19.648024691358025</v>
      </c>
      <c r="U111">
        <f t="shared" si="15"/>
        <v>8.0287723296296303</v>
      </c>
      <c r="X111" s="9"/>
      <c r="Y111" s="21">
        <v>1.29135</v>
      </c>
      <c r="Z111" s="21">
        <v>15.3782</v>
      </c>
      <c r="AA111" s="21">
        <v>-1.4953599999999999E-2</v>
      </c>
      <c r="AB111" s="21">
        <v>101</v>
      </c>
      <c r="AC111" s="21">
        <v>1.2902800000000001</v>
      </c>
      <c r="AD111">
        <f t="shared" si="16"/>
        <v>18.461234567901233</v>
      </c>
      <c r="AE111">
        <f t="shared" si="17"/>
        <v>23.839915259259257</v>
      </c>
      <c r="AF111" s="9"/>
      <c r="AG111" s="21">
        <v>0.40862999999999999</v>
      </c>
      <c r="AH111" s="21">
        <v>19.197399999999998</v>
      </c>
      <c r="AI111" s="21">
        <v>-1.5988200000000001E-2</v>
      </c>
      <c r="AJ111" s="21">
        <v>101</v>
      </c>
      <c r="AK111" s="21">
        <v>0.40792800000000001</v>
      </c>
      <c r="AL111">
        <f t="shared" si="18"/>
        <v>19.738518518518521</v>
      </c>
      <c r="AM111">
        <f t="shared" si="19"/>
        <v>8.0657508222222241</v>
      </c>
      <c r="AP111" s="9"/>
      <c r="AQ111" s="21">
        <v>1.29135</v>
      </c>
      <c r="AR111" s="21">
        <v>24.7149</v>
      </c>
      <c r="AS111" s="21">
        <v>-1.4975E-2</v>
      </c>
      <c r="AT111" s="21">
        <v>101</v>
      </c>
      <c r="AU111" s="21">
        <v>1.2905899999999999</v>
      </c>
      <c r="AV111">
        <f t="shared" si="20"/>
        <v>18.487654320987652</v>
      </c>
      <c r="AW111">
        <f t="shared" si="21"/>
        <v>23.874032407407405</v>
      </c>
      <c r="AX111" s="9"/>
      <c r="AY111" s="21">
        <v>0.40862999999999999</v>
      </c>
      <c r="AZ111" s="21">
        <v>28.534099999999999</v>
      </c>
      <c r="BA111" s="21">
        <v>-1.6015600000000001E-2</v>
      </c>
      <c r="BB111" s="21">
        <v>101</v>
      </c>
      <c r="BC111" s="21">
        <v>0.40774500000000002</v>
      </c>
      <c r="BD111">
        <f t="shared" si="22"/>
        <v>19.772345679012346</v>
      </c>
      <c r="BE111">
        <f t="shared" si="23"/>
        <v>8.0795736148148158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1.2863199999999999</v>
      </c>
      <c r="H112" s="21">
        <v>6.0095599999999996</v>
      </c>
      <c r="I112" s="21">
        <v>-1.48865E-2</v>
      </c>
      <c r="J112" s="21">
        <v>102</v>
      </c>
      <c r="K112" s="21">
        <v>1.2854000000000001</v>
      </c>
      <c r="L112">
        <f t="shared" si="12"/>
        <v>18.378395061728394</v>
      </c>
      <c r="M112">
        <f t="shared" si="13"/>
        <v>23.640497135802466</v>
      </c>
      <c r="N112" s="9"/>
      <c r="O112" s="21">
        <v>0.41366599999999998</v>
      </c>
      <c r="P112" s="21">
        <v>9.8287499999999994</v>
      </c>
      <c r="Q112" s="21">
        <v>-1.5908800000000001E-2</v>
      </c>
      <c r="R112" s="21">
        <v>102</v>
      </c>
      <c r="S112" s="21">
        <v>0.41290300000000002</v>
      </c>
      <c r="T112">
        <f t="shared" si="14"/>
        <v>19.640493827160494</v>
      </c>
      <c r="U112">
        <f t="shared" si="15"/>
        <v>8.1246045195061729</v>
      </c>
      <c r="X112" s="9"/>
      <c r="Y112" s="21">
        <v>1.2863199999999999</v>
      </c>
      <c r="Z112" s="21">
        <v>15.388299999999999</v>
      </c>
      <c r="AA112" s="21">
        <v>-1.4959699999999999E-2</v>
      </c>
      <c r="AB112" s="21">
        <v>102</v>
      </c>
      <c r="AC112" s="21">
        <v>1.2847900000000001</v>
      </c>
      <c r="AD112">
        <f t="shared" si="16"/>
        <v>18.468765432098763</v>
      </c>
      <c r="AE112">
        <f t="shared" si="17"/>
        <v>23.75674235061728</v>
      </c>
      <c r="AF112" s="9"/>
      <c r="AG112" s="21">
        <v>0.41366599999999998</v>
      </c>
      <c r="AH112" s="21">
        <v>19.2074</v>
      </c>
      <c r="AI112" s="21">
        <v>-1.5982099999999999E-2</v>
      </c>
      <c r="AJ112" s="21">
        <v>102</v>
      </c>
      <c r="AK112" s="21">
        <v>0.41293299999999999</v>
      </c>
      <c r="AL112">
        <f t="shared" si="18"/>
        <v>19.730987654320984</v>
      </c>
      <c r="AM112">
        <f t="shared" si="19"/>
        <v>8.1620387390123437</v>
      </c>
      <c r="AP112" s="9"/>
      <c r="AQ112" s="21">
        <v>1.2863199999999999</v>
      </c>
      <c r="AR112" s="21">
        <v>24.725000000000001</v>
      </c>
      <c r="AS112" s="21">
        <v>-1.49841E-2</v>
      </c>
      <c r="AT112" s="21">
        <v>102</v>
      </c>
      <c r="AU112" s="21">
        <v>1.2854000000000001</v>
      </c>
      <c r="AV112">
        <f t="shared" si="20"/>
        <v>18.498888888888889</v>
      </c>
      <c r="AW112">
        <f t="shared" si="21"/>
        <v>23.795490755555555</v>
      </c>
      <c r="AX112" s="9"/>
      <c r="AY112" s="21">
        <v>0.41366599999999998</v>
      </c>
      <c r="AZ112" s="21">
        <v>28.5442</v>
      </c>
      <c r="BA112" s="21">
        <v>-1.6009499999999999E-2</v>
      </c>
      <c r="BB112" s="21">
        <v>102</v>
      </c>
      <c r="BC112" s="21">
        <v>0.41314699999999999</v>
      </c>
      <c r="BD112">
        <f t="shared" si="22"/>
        <v>19.764814814814812</v>
      </c>
      <c r="BE112">
        <f t="shared" si="23"/>
        <v>8.1760318851851839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1.28128</v>
      </c>
      <c r="H113" s="21">
        <v>6.0196300000000003</v>
      </c>
      <c r="I113" s="21">
        <v>-1.4892600000000001E-2</v>
      </c>
      <c r="J113" s="21">
        <v>103</v>
      </c>
      <c r="K113" s="21">
        <v>1.2805200000000001</v>
      </c>
      <c r="L113">
        <f t="shared" si="12"/>
        <v>18.385925925925928</v>
      </c>
      <c r="M113">
        <f t="shared" si="13"/>
        <v>23.557519170370373</v>
      </c>
      <c r="N113" s="9"/>
      <c r="O113" s="21">
        <v>0.41870099999999999</v>
      </c>
      <c r="P113" s="21">
        <v>9.8388200000000001</v>
      </c>
      <c r="Q113" s="21">
        <v>-1.5902699999999999E-2</v>
      </c>
      <c r="R113" s="21">
        <v>103</v>
      </c>
      <c r="S113" s="21">
        <v>0.41809099999999999</v>
      </c>
      <c r="T113">
        <f t="shared" si="14"/>
        <v>19.63296296296296</v>
      </c>
      <c r="U113">
        <f t="shared" si="15"/>
        <v>8.2203412255555541</v>
      </c>
      <c r="X113" s="9"/>
      <c r="Y113" s="21">
        <v>1.28128</v>
      </c>
      <c r="Z113" s="21">
        <v>15.398300000000001</v>
      </c>
      <c r="AA113" s="21">
        <v>-1.49658E-2</v>
      </c>
      <c r="AB113" s="21">
        <v>103</v>
      </c>
      <c r="AC113" s="21">
        <v>1.2808200000000001</v>
      </c>
      <c r="AD113">
        <f t="shared" si="16"/>
        <v>18.476296296296297</v>
      </c>
      <c r="AE113">
        <f t="shared" si="17"/>
        <v>23.673308918518519</v>
      </c>
      <c r="AF113" s="9"/>
      <c r="AG113" s="21">
        <v>0.41870099999999999</v>
      </c>
      <c r="AH113" s="21">
        <v>19.217500000000001</v>
      </c>
      <c r="AI113" s="21">
        <v>-1.5976000000000001E-2</v>
      </c>
      <c r="AJ113" s="21">
        <v>103</v>
      </c>
      <c r="AK113" s="21">
        <v>0.41796899999999998</v>
      </c>
      <c r="AL113">
        <f t="shared" si="18"/>
        <v>19.723456790123457</v>
      </c>
      <c r="AM113">
        <f t="shared" si="19"/>
        <v>8.2582310814814814</v>
      </c>
      <c r="AP113" s="9"/>
      <c r="AQ113" s="21">
        <v>1.28128</v>
      </c>
      <c r="AR113" s="21">
        <v>24.735099999999999</v>
      </c>
      <c r="AS113" s="21">
        <v>-1.4987199999999999E-2</v>
      </c>
      <c r="AT113" s="21">
        <v>103</v>
      </c>
      <c r="AU113" s="21">
        <v>1.2805200000000001</v>
      </c>
      <c r="AV113">
        <f t="shared" si="20"/>
        <v>18.502716049382713</v>
      </c>
      <c r="AW113">
        <f t="shared" si="21"/>
        <v>23.707160019753083</v>
      </c>
      <c r="AX113" s="9"/>
      <c r="AY113" s="21">
        <v>0.41870099999999999</v>
      </c>
      <c r="AZ113" s="21">
        <v>28.554200000000002</v>
      </c>
      <c r="BA113" s="21">
        <v>-1.6000400000000001E-2</v>
      </c>
      <c r="BB113" s="21">
        <v>103</v>
      </c>
      <c r="BC113" s="21">
        <v>0.41809099999999999</v>
      </c>
      <c r="BD113">
        <f t="shared" si="22"/>
        <v>19.753580246913579</v>
      </c>
      <c r="BE113">
        <f t="shared" si="23"/>
        <v>8.270843802962963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1.2762500000000001</v>
      </c>
      <c r="H114" s="21">
        <v>6.0297000000000001</v>
      </c>
      <c r="I114" s="21">
        <v>-1.4898700000000001E-2</v>
      </c>
      <c r="J114" s="21">
        <v>104</v>
      </c>
      <c r="K114" s="21">
        <v>1.2753300000000001</v>
      </c>
      <c r="L114">
        <f t="shared" si="12"/>
        <v>18.393456790123455</v>
      </c>
      <c r="M114">
        <f t="shared" si="13"/>
        <v>23.474649228395062</v>
      </c>
      <c r="N114" s="9"/>
      <c r="O114" s="21">
        <v>0.42373699999999997</v>
      </c>
      <c r="P114" s="21">
        <v>9.8488900000000008</v>
      </c>
      <c r="Q114" s="21">
        <v>-1.5893600000000001E-2</v>
      </c>
      <c r="R114" s="21">
        <v>104</v>
      </c>
      <c r="S114" s="21">
        <v>0.42303499999999999</v>
      </c>
      <c r="T114">
        <f t="shared" si="14"/>
        <v>19.621728395061727</v>
      </c>
      <c r="U114">
        <f t="shared" si="15"/>
        <v>8.3144523249382711</v>
      </c>
      <c r="X114" s="9"/>
      <c r="Y114" s="21">
        <v>1.2762500000000001</v>
      </c>
      <c r="Z114" s="21">
        <v>15.4084</v>
      </c>
      <c r="AA114" s="21">
        <v>-1.49719E-2</v>
      </c>
      <c r="AB114" s="21">
        <v>104</v>
      </c>
      <c r="AC114" s="21">
        <v>1.27563</v>
      </c>
      <c r="AD114">
        <f t="shared" si="16"/>
        <v>18.483827160493824</v>
      </c>
      <c r="AE114">
        <f t="shared" si="17"/>
        <v>23.589984413580247</v>
      </c>
      <c r="AF114" s="9"/>
      <c r="AG114" s="21">
        <v>0.42373699999999997</v>
      </c>
      <c r="AH114" s="21">
        <v>19.227599999999999</v>
      </c>
      <c r="AI114" s="21">
        <v>-1.59668E-2</v>
      </c>
      <c r="AJ114" s="21">
        <v>104</v>
      </c>
      <c r="AK114" s="21">
        <v>0.42324800000000001</v>
      </c>
      <c r="AL114">
        <f t="shared" si="18"/>
        <v>19.712098765432096</v>
      </c>
      <c r="AM114">
        <f t="shared" si="19"/>
        <v>8.3527455945678994</v>
      </c>
      <c r="AP114" s="9"/>
      <c r="AQ114" s="21">
        <v>1.2762500000000001</v>
      </c>
      <c r="AR114" s="21">
        <v>24.745100000000001</v>
      </c>
      <c r="AS114" s="21">
        <v>-1.4993299999999999E-2</v>
      </c>
      <c r="AT114" s="21">
        <v>104</v>
      </c>
      <c r="AU114" s="21">
        <v>1.27502</v>
      </c>
      <c r="AV114">
        <f t="shared" si="20"/>
        <v>18.510246913580243</v>
      </c>
      <c r="AW114">
        <f t="shared" si="21"/>
        <v>23.623702623456786</v>
      </c>
      <c r="AX114" s="9"/>
      <c r="AY114" s="21">
        <v>0.42373699999999997</v>
      </c>
      <c r="AZ114" s="21">
        <v>28.564299999999999</v>
      </c>
      <c r="BA114" s="21">
        <v>-1.5994299999999999E-2</v>
      </c>
      <c r="BB114" s="21">
        <v>104</v>
      </c>
      <c r="BC114" s="21">
        <v>0.42309600000000003</v>
      </c>
      <c r="BD114">
        <f t="shared" si="22"/>
        <v>19.746049382716048</v>
      </c>
      <c r="BE114">
        <f t="shared" si="23"/>
        <v>8.3671317272839492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1.27121</v>
      </c>
      <c r="H115" s="21">
        <v>6.0397699999999999</v>
      </c>
      <c r="I115" s="21">
        <v>-1.4904799999999999E-2</v>
      </c>
      <c r="J115" s="21">
        <v>105</v>
      </c>
      <c r="K115" s="21">
        <v>1.26953</v>
      </c>
      <c r="L115">
        <f t="shared" si="12"/>
        <v>18.400987654320986</v>
      </c>
      <c r="M115">
        <f t="shared" si="13"/>
        <v>23.391519516049378</v>
      </c>
      <c r="N115" s="9"/>
      <c r="O115" s="21">
        <v>0.42877199999999999</v>
      </c>
      <c r="P115" s="21">
        <v>9.8589699999999993</v>
      </c>
      <c r="Q115" s="21">
        <v>-1.5887499999999999E-2</v>
      </c>
      <c r="R115" s="21">
        <v>105</v>
      </c>
      <c r="S115" s="21">
        <v>0.42813099999999998</v>
      </c>
      <c r="T115">
        <f t="shared" si="14"/>
        <v>19.614197530864196</v>
      </c>
      <c r="U115">
        <f t="shared" si="15"/>
        <v>8.4100187037037024</v>
      </c>
      <c r="X115" s="9"/>
      <c r="Y115" s="21">
        <v>1.27121</v>
      </c>
      <c r="Z115" s="21">
        <v>15.4185</v>
      </c>
      <c r="AA115" s="21">
        <v>-1.4978E-2</v>
      </c>
      <c r="AB115" s="21">
        <v>105</v>
      </c>
      <c r="AC115" s="21">
        <v>1.2704500000000001</v>
      </c>
      <c r="AD115">
        <f t="shared" si="16"/>
        <v>18.491358024691355</v>
      </c>
      <c r="AE115">
        <f t="shared" si="17"/>
        <v>23.506399234567898</v>
      </c>
      <c r="AF115" s="9"/>
      <c r="AG115" s="21">
        <v>0.42877199999999999</v>
      </c>
      <c r="AH115" s="21">
        <v>19.2377</v>
      </c>
      <c r="AI115" s="21">
        <v>-1.5963700000000001E-2</v>
      </c>
      <c r="AJ115" s="21">
        <v>105</v>
      </c>
      <c r="AK115" s="21">
        <v>0.42791699999999999</v>
      </c>
      <c r="AL115">
        <f t="shared" si="18"/>
        <v>19.708271604938272</v>
      </c>
      <c r="AM115">
        <f t="shared" si="19"/>
        <v>8.4503550325925918</v>
      </c>
      <c r="AP115" s="9"/>
      <c r="AQ115" s="21">
        <v>1.27121</v>
      </c>
      <c r="AR115" s="21">
        <v>24.755199999999999</v>
      </c>
      <c r="AS115" s="21">
        <v>-1.49994E-2</v>
      </c>
      <c r="AT115" s="21">
        <v>105</v>
      </c>
      <c r="AU115" s="21">
        <v>1.27014</v>
      </c>
      <c r="AV115">
        <f t="shared" si="20"/>
        <v>18.517777777777777</v>
      </c>
      <c r="AW115">
        <f t="shared" si="21"/>
        <v>23.539984288888888</v>
      </c>
      <c r="AX115" s="9"/>
      <c r="AY115" s="21">
        <v>0.42877199999999999</v>
      </c>
      <c r="AZ115" s="21">
        <v>28.574400000000001</v>
      </c>
      <c r="BA115" s="21">
        <v>-1.5988200000000001E-2</v>
      </c>
      <c r="BB115" s="21">
        <v>105</v>
      </c>
      <c r="BC115" s="21">
        <v>0.42849700000000002</v>
      </c>
      <c r="BD115">
        <f t="shared" si="22"/>
        <v>19.738518518518521</v>
      </c>
      <c r="BE115">
        <f t="shared" si="23"/>
        <v>8.4633240622222239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1.26617</v>
      </c>
      <c r="H116" s="21">
        <v>6.0498500000000002</v>
      </c>
      <c r="I116" s="21">
        <v>-1.49109E-2</v>
      </c>
      <c r="J116" s="21">
        <v>106</v>
      </c>
      <c r="K116" s="21">
        <v>1.2652600000000001</v>
      </c>
      <c r="L116">
        <f t="shared" si="12"/>
        <v>18.408518518518516</v>
      </c>
      <c r="M116">
        <f t="shared" si="13"/>
        <v>23.30831389259259</v>
      </c>
      <c r="N116" s="9"/>
      <c r="O116" s="21">
        <v>0.433807</v>
      </c>
      <c r="P116" s="21">
        <v>9.86904</v>
      </c>
      <c r="Q116" s="21">
        <v>-1.5878300000000001E-2</v>
      </c>
      <c r="R116" s="21">
        <v>106</v>
      </c>
      <c r="S116" s="21">
        <v>0.43307499999999999</v>
      </c>
      <c r="T116">
        <f t="shared" si="14"/>
        <v>19.602839506172842</v>
      </c>
      <c r="U116">
        <f t="shared" si="15"/>
        <v>8.5038489976543215</v>
      </c>
      <c r="X116" s="9"/>
      <c r="Y116" s="21">
        <v>1.26617</v>
      </c>
      <c r="Z116" s="21">
        <v>15.4285</v>
      </c>
      <c r="AA116" s="21">
        <v>-1.4981100000000001E-2</v>
      </c>
      <c r="AB116" s="21">
        <v>106</v>
      </c>
      <c r="AC116" s="21">
        <v>1.2622100000000001</v>
      </c>
      <c r="AD116">
        <f t="shared" si="16"/>
        <v>18.495185185185186</v>
      </c>
      <c r="AE116">
        <f t="shared" si="17"/>
        <v>23.418048625925927</v>
      </c>
      <c r="AF116" s="9"/>
      <c r="AG116" s="21">
        <v>0.433807</v>
      </c>
      <c r="AH116" s="21">
        <v>19.247699999999998</v>
      </c>
      <c r="AI116" s="21">
        <v>-1.5957599999999999E-2</v>
      </c>
      <c r="AJ116" s="21">
        <v>106</v>
      </c>
      <c r="AK116" s="21">
        <v>0.43325799999999998</v>
      </c>
      <c r="AL116">
        <f t="shared" si="18"/>
        <v>19.700740740740738</v>
      </c>
      <c r="AM116">
        <f t="shared" si="19"/>
        <v>8.5463192385185174</v>
      </c>
      <c r="AP116" s="9"/>
      <c r="AQ116" s="21">
        <v>1.26617</v>
      </c>
      <c r="AR116" s="21">
        <v>24.7653</v>
      </c>
      <c r="AS116" s="21">
        <v>-1.50055E-2</v>
      </c>
      <c r="AT116" s="21">
        <v>106</v>
      </c>
      <c r="AU116" s="21">
        <v>1.2652600000000001</v>
      </c>
      <c r="AV116">
        <f t="shared" si="20"/>
        <v>18.525308641975307</v>
      </c>
      <c r="AW116">
        <f t="shared" si="21"/>
        <v>23.456190043209876</v>
      </c>
      <c r="AX116" s="9"/>
      <c r="AY116" s="21">
        <v>0.433807</v>
      </c>
      <c r="AZ116" s="21">
        <v>28.584499999999998</v>
      </c>
      <c r="BA116" s="21">
        <v>-1.5982099999999999E-2</v>
      </c>
      <c r="BB116" s="21">
        <v>106</v>
      </c>
      <c r="BC116" s="21">
        <v>0.43304399999999998</v>
      </c>
      <c r="BD116">
        <f t="shared" si="22"/>
        <v>19.730987654320984</v>
      </c>
      <c r="BE116">
        <f t="shared" si="23"/>
        <v>8.5594405613580236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1.2611399999999999</v>
      </c>
      <c r="H117" s="21">
        <v>6.05992</v>
      </c>
      <c r="I117" s="21">
        <v>-1.4917E-2</v>
      </c>
      <c r="J117" s="21">
        <v>107</v>
      </c>
      <c r="K117" s="21">
        <v>1.26068</v>
      </c>
      <c r="L117">
        <f t="shared" si="12"/>
        <v>18.416049382716047</v>
      </c>
      <c r="M117">
        <f t="shared" si="13"/>
        <v>23.225216518518515</v>
      </c>
      <c r="N117" s="9"/>
      <c r="O117" s="21">
        <v>0.43884299999999998</v>
      </c>
      <c r="P117" s="21">
        <v>9.8791100000000007</v>
      </c>
      <c r="Q117" s="21">
        <v>-1.58722E-2</v>
      </c>
      <c r="R117" s="21">
        <v>107</v>
      </c>
      <c r="S117" s="21">
        <v>0.43811</v>
      </c>
      <c r="T117">
        <f t="shared" si="14"/>
        <v>19.595308641975304</v>
      </c>
      <c r="U117">
        <f t="shared" si="15"/>
        <v>8.5992640303703674</v>
      </c>
      <c r="X117" s="9"/>
      <c r="Y117" s="21">
        <v>1.2611399999999999</v>
      </c>
      <c r="Z117" s="21">
        <v>15.438599999999999</v>
      </c>
      <c r="AA117" s="21">
        <v>-1.4987199999999999E-2</v>
      </c>
      <c r="AB117" s="21">
        <v>107</v>
      </c>
      <c r="AC117" s="21">
        <v>1.26129</v>
      </c>
      <c r="AD117">
        <f t="shared" si="16"/>
        <v>18.502716049382713</v>
      </c>
      <c r="AE117">
        <f t="shared" si="17"/>
        <v>23.334515318518513</v>
      </c>
      <c r="AF117" s="9"/>
      <c r="AG117" s="21">
        <v>0.43884299999999998</v>
      </c>
      <c r="AH117" s="21">
        <v>19.2578</v>
      </c>
      <c r="AI117" s="21">
        <v>-1.59515E-2</v>
      </c>
      <c r="AJ117" s="21">
        <v>107</v>
      </c>
      <c r="AK117" s="21">
        <v>0.43804900000000002</v>
      </c>
      <c r="AL117">
        <f t="shared" si="18"/>
        <v>19.693209876543211</v>
      </c>
      <c r="AM117">
        <f t="shared" si="19"/>
        <v>8.6422273018518521</v>
      </c>
      <c r="AP117" s="9"/>
      <c r="AQ117" s="21">
        <v>1.2611399999999999</v>
      </c>
      <c r="AR117" s="21">
        <v>24.775300000000001</v>
      </c>
      <c r="AS117" s="21">
        <v>-1.5014599999999999E-2</v>
      </c>
      <c r="AT117" s="21">
        <v>107</v>
      </c>
      <c r="AU117" s="21">
        <v>1.26007</v>
      </c>
      <c r="AV117">
        <f t="shared" si="20"/>
        <v>18.536543209876541</v>
      </c>
      <c r="AW117">
        <f t="shared" si="21"/>
        <v>23.3771761037037</v>
      </c>
      <c r="AX117" s="9"/>
      <c r="AY117" s="21">
        <v>0.43884299999999998</v>
      </c>
      <c r="AZ117" s="21">
        <v>28.5945</v>
      </c>
      <c r="BA117" s="21">
        <v>-1.5976000000000001E-2</v>
      </c>
      <c r="BB117" s="21">
        <v>107</v>
      </c>
      <c r="BC117" s="21">
        <v>0.438141</v>
      </c>
      <c r="BD117">
        <f t="shared" si="22"/>
        <v>19.723456790123457</v>
      </c>
      <c r="BE117">
        <f t="shared" si="23"/>
        <v>8.6555009481481484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1.2561</v>
      </c>
      <c r="H118" s="21">
        <v>6.0699899999999998</v>
      </c>
      <c r="I118" s="21">
        <v>-1.49231E-2</v>
      </c>
      <c r="J118" s="21">
        <v>108</v>
      </c>
      <c r="K118" s="21">
        <v>1.25549</v>
      </c>
      <c r="L118">
        <f t="shared" si="12"/>
        <v>18.423580246913577</v>
      </c>
      <c r="M118">
        <f t="shared" si="13"/>
        <v>23.141859148148143</v>
      </c>
      <c r="N118" s="9"/>
      <c r="O118" s="21">
        <v>0.44387799999999999</v>
      </c>
      <c r="P118" s="21">
        <v>9.8891799999999996</v>
      </c>
      <c r="Q118" s="21">
        <v>-1.5866100000000001E-2</v>
      </c>
      <c r="R118" s="21">
        <v>108</v>
      </c>
      <c r="S118" s="21">
        <v>0.44339000000000001</v>
      </c>
      <c r="T118">
        <f t="shared" si="14"/>
        <v>19.587777777777777</v>
      </c>
      <c r="U118">
        <f t="shared" si="15"/>
        <v>8.6945836244444443</v>
      </c>
      <c r="X118" s="9"/>
      <c r="Y118" s="21">
        <v>1.2561</v>
      </c>
      <c r="Z118" s="21">
        <v>15.448700000000001</v>
      </c>
      <c r="AA118" s="21">
        <v>-1.4996300000000001E-2</v>
      </c>
      <c r="AB118" s="21">
        <v>108</v>
      </c>
      <c r="AC118" s="21">
        <v>1.25519</v>
      </c>
      <c r="AD118">
        <f t="shared" si="16"/>
        <v>18.51395061728395</v>
      </c>
      <c r="AE118">
        <f t="shared" si="17"/>
        <v>23.255373370370368</v>
      </c>
      <c r="AF118" s="9"/>
      <c r="AG118" s="21">
        <v>0.44387799999999999</v>
      </c>
      <c r="AH118" s="21">
        <v>19.267900000000001</v>
      </c>
      <c r="AI118" s="21">
        <v>-1.5948500000000001E-2</v>
      </c>
      <c r="AJ118" s="21">
        <v>108</v>
      </c>
      <c r="AK118" s="21">
        <v>0.44314599999999998</v>
      </c>
      <c r="AL118">
        <f t="shared" si="18"/>
        <v>19.689506172839504</v>
      </c>
      <c r="AM118">
        <f t="shared" si="19"/>
        <v>8.7397386209876533</v>
      </c>
      <c r="AP118" s="9"/>
      <c r="AQ118" s="21">
        <v>1.2561</v>
      </c>
      <c r="AR118" s="21">
        <v>24.785399999999999</v>
      </c>
      <c r="AS118" s="21">
        <v>-1.50177E-2</v>
      </c>
      <c r="AT118" s="21">
        <v>108</v>
      </c>
      <c r="AU118" s="21">
        <v>1.2558</v>
      </c>
      <c r="AV118">
        <f t="shared" si="20"/>
        <v>18.540370370370372</v>
      </c>
      <c r="AW118">
        <f t="shared" si="21"/>
        <v>23.288559222222226</v>
      </c>
      <c r="AX118" s="9"/>
      <c r="AY118" s="21">
        <v>0.44387799999999999</v>
      </c>
      <c r="AZ118" s="21">
        <v>28.604600000000001</v>
      </c>
      <c r="BA118" s="21">
        <v>-1.5969799999999999E-2</v>
      </c>
      <c r="BB118" s="21">
        <v>108</v>
      </c>
      <c r="BC118" s="21">
        <v>0.443268</v>
      </c>
      <c r="BD118">
        <f t="shared" si="22"/>
        <v>19.715802469135802</v>
      </c>
      <c r="BE118">
        <f t="shared" si="23"/>
        <v>8.7514109683950618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1.2510699999999999</v>
      </c>
      <c r="H119" s="21">
        <v>6.0800599999999996</v>
      </c>
      <c r="I119" s="21">
        <v>-1.4926099999999999E-2</v>
      </c>
      <c r="J119" s="21">
        <v>109</v>
      </c>
      <c r="K119" s="21">
        <v>1.25</v>
      </c>
      <c r="L119">
        <f t="shared" si="12"/>
        <v>18.427283950617284</v>
      </c>
      <c r="M119">
        <f t="shared" si="13"/>
        <v>23.053822132098762</v>
      </c>
      <c r="N119" s="9"/>
      <c r="O119" s="21">
        <v>0.44891399999999998</v>
      </c>
      <c r="P119" s="21">
        <v>9.8992500000000003</v>
      </c>
      <c r="Q119" s="21">
        <v>-1.5859999999999999E-2</v>
      </c>
      <c r="R119" s="21">
        <v>109</v>
      </c>
      <c r="S119" s="21">
        <v>0.44824199999999997</v>
      </c>
      <c r="T119">
        <f t="shared" si="14"/>
        <v>19.580246913580247</v>
      </c>
      <c r="U119">
        <f t="shared" si="15"/>
        <v>8.7898469629629616</v>
      </c>
      <c r="X119" s="9"/>
      <c r="Y119" s="21">
        <v>1.2510699999999999</v>
      </c>
      <c r="Z119" s="21">
        <v>15.4588</v>
      </c>
      <c r="AA119" s="21">
        <v>-1.5002400000000001E-2</v>
      </c>
      <c r="AB119" s="21">
        <v>109</v>
      </c>
      <c r="AC119" s="21">
        <v>1.24969</v>
      </c>
      <c r="AD119">
        <f t="shared" si="16"/>
        <v>18.521481481481484</v>
      </c>
      <c r="AE119">
        <f t="shared" si="17"/>
        <v>23.171669837037037</v>
      </c>
      <c r="AF119" s="9"/>
      <c r="AG119" s="21">
        <v>0.44891399999999998</v>
      </c>
      <c r="AH119" s="21">
        <v>19.277899999999999</v>
      </c>
      <c r="AI119" s="21">
        <v>-1.59393E-2</v>
      </c>
      <c r="AJ119" s="21">
        <v>109</v>
      </c>
      <c r="AK119" s="21">
        <v>0.44842500000000002</v>
      </c>
      <c r="AL119">
        <f t="shared" si="18"/>
        <v>19.678148148148146</v>
      </c>
      <c r="AM119">
        <f t="shared" si="19"/>
        <v>8.8337961977777759</v>
      </c>
      <c r="AP119" s="9"/>
      <c r="AQ119" s="21">
        <v>1.2510699999999999</v>
      </c>
      <c r="AR119" s="21">
        <v>24.795500000000001</v>
      </c>
      <c r="AS119" s="21">
        <v>-1.5020800000000001E-2</v>
      </c>
      <c r="AT119" s="21">
        <v>109</v>
      </c>
      <c r="AU119" s="21">
        <v>1.25031</v>
      </c>
      <c r="AV119">
        <f t="shared" si="20"/>
        <v>18.544197530864199</v>
      </c>
      <c r="AW119">
        <f t="shared" si="21"/>
        <v>23.200089204938273</v>
      </c>
      <c r="AX119" s="9"/>
      <c r="AY119" s="21">
        <v>0.44891399999999998</v>
      </c>
      <c r="AZ119" s="21">
        <v>28.614699999999999</v>
      </c>
      <c r="BA119" s="21">
        <v>-1.5960700000000001E-2</v>
      </c>
      <c r="BB119" s="21">
        <v>109</v>
      </c>
      <c r="BC119" s="21">
        <v>0.44833400000000001</v>
      </c>
      <c r="BD119">
        <f t="shared" si="22"/>
        <v>19.704567901234569</v>
      </c>
      <c r="BE119">
        <f t="shared" si="23"/>
        <v>8.8456563948148155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1.24603</v>
      </c>
      <c r="H120" s="21">
        <v>6.0901300000000003</v>
      </c>
      <c r="I120" s="21">
        <v>-1.4932300000000001E-2</v>
      </c>
      <c r="J120" s="21">
        <v>110</v>
      </c>
      <c r="K120" s="21">
        <v>1.24451</v>
      </c>
      <c r="L120">
        <f t="shared" si="12"/>
        <v>18.434938271604938</v>
      </c>
      <c r="M120">
        <f t="shared" si="13"/>
        <v>22.970486134567899</v>
      </c>
      <c r="N120" s="9"/>
      <c r="O120" s="21">
        <v>0.45394899999999999</v>
      </c>
      <c r="P120" s="21">
        <v>9.9093199999999992</v>
      </c>
      <c r="Q120" s="21">
        <v>-1.5853900000000001E-2</v>
      </c>
      <c r="R120" s="21">
        <v>110</v>
      </c>
      <c r="S120" s="21">
        <v>0.45340000000000003</v>
      </c>
      <c r="T120">
        <f t="shared" si="14"/>
        <v>19.572716049382716</v>
      </c>
      <c r="U120">
        <f t="shared" si="15"/>
        <v>8.8850148779012343</v>
      </c>
      <c r="X120" s="9"/>
      <c r="Y120" s="21">
        <v>1.24603</v>
      </c>
      <c r="Z120" s="21">
        <v>15.4688</v>
      </c>
      <c r="AA120" s="21">
        <v>-1.5008499999999999E-2</v>
      </c>
      <c r="AB120" s="21">
        <v>110</v>
      </c>
      <c r="AC120" s="21">
        <v>1.2439</v>
      </c>
      <c r="AD120">
        <f t="shared" si="16"/>
        <v>18.529012345679011</v>
      </c>
      <c r="AE120">
        <f t="shared" si="17"/>
        <v>23.087705253086416</v>
      </c>
      <c r="AF120" s="9"/>
      <c r="AG120" s="21">
        <v>0.45394899999999999</v>
      </c>
      <c r="AH120" s="21">
        <v>19.288</v>
      </c>
      <c r="AI120" s="21">
        <v>-1.5933200000000002E-2</v>
      </c>
      <c r="AJ120" s="21">
        <v>110</v>
      </c>
      <c r="AK120" s="21">
        <v>0.45324700000000001</v>
      </c>
      <c r="AL120">
        <f t="shared" si="18"/>
        <v>19.670617283950619</v>
      </c>
      <c r="AM120">
        <f t="shared" si="19"/>
        <v>8.9294570454321001</v>
      </c>
      <c r="AP120" s="9"/>
      <c r="AQ120" s="21">
        <v>1.24603</v>
      </c>
      <c r="AR120" s="21">
        <v>24.805599999999998</v>
      </c>
      <c r="AS120" s="21">
        <v>-1.50238E-2</v>
      </c>
      <c r="AT120" s="21">
        <v>110</v>
      </c>
      <c r="AU120" s="21">
        <v>1.2442</v>
      </c>
      <c r="AV120">
        <f t="shared" si="20"/>
        <v>18.547901234567902</v>
      </c>
      <c r="AW120">
        <f t="shared" si="21"/>
        <v>23.111241375308644</v>
      </c>
      <c r="AX120" s="9"/>
      <c r="AY120" s="21">
        <v>0.45394899999999999</v>
      </c>
      <c r="AZ120" s="21">
        <v>28.624700000000001</v>
      </c>
      <c r="BA120" s="21">
        <v>-1.5957599999999999E-2</v>
      </c>
      <c r="BB120" s="21">
        <v>110</v>
      </c>
      <c r="BC120" s="21">
        <v>0.45327800000000001</v>
      </c>
      <c r="BD120">
        <f t="shared" si="22"/>
        <v>19.700740740740738</v>
      </c>
      <c r="BE120">
        <f t="shared" si="23"/>
        <v>8.9431315585185178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1.2410000000000001</v>
      </c>
      <c r="H121" s="21">
        <v>6.1002000000000001</v>
      </c>
      <c r="I121" s="21">
        <v>-1.4941400000000001E-2</v>
      </c>
      <c r="J121" s="21">
        <v>111</v>
      </c>
      <c r="K121" s="21">
        <v>1.2402299999999999</v>
      </c>
      <c r="L121">
        <f t="shared" si="12"/>
        <v>18.446172839506172</v>
      </c>
      <c r="M121">
        <f t="shared" si="13"/>
        <v>22.891700493827162</v>
      </c>
      <c r="N121" s="9"/>
      <c r="O121" s="21">
        <v>0.458984</v>
      </c>
      <c r="P121" s="21">
        <v>9.9193899999999999</v>
      </c>
      <c r="Q121" s="21">
        <v>-1.5847799999999999E-2</v>
      </c>
      <c r="R121" s="21">
        <v>111</v>
      </c>
      <c r="S121" s="21">
        <v>0.45831300000000003</v>
      </c>
      <c r="T121">
        <f t="shared" si="14"/>
        <v>19.565185185185182</v>
      </c>
      <c r="U121">
        <f t="shared" si="15"/>
        <v>8.9801069570370355</v>
      </c>
      <c r="X121" s="9"/>
      <c r="Y121" s="21">
        <v>1.2410000000000001</v>
      </c>
      <c r="Z121" s="21">
        <v>15.478899999999999</v>
      </c>
      <c r="AA121" s="21">
        <v>-1.5014599999999999E-2</v>
      </c>
      <c r="AB121" s="21">
        <v>111</v>
      </c>
      <c r="AC121" s="21">
        <v>1.2402299999999999</v>
      </c>
      <c r="AD121">
        <f t="shared" si="16"/>
        <v>18.536543209876541</v>
      </c>
      <c r="AE121">
        <f t="shared" si="17"/>
        <v>23.00385012345679</v>
      </c>
      <c r="AF121" s="9"/>
      <c r="AG121" s="21">
        <v>0.458984</v>
      </c>
      <c r="AH121" s="21">
        <v>19.298100000000002</v>
      </c>
      <c r="AI121" s="21">
        <v>-1.59271E-2</v>
      </c>
      <c r="AJ121" s="21">
        <v>111</v>
      </c>
      <c r="AK121" s="21">
        <v>0.45849600000000001</v>
      </c>
      <c r="AL121">
        <f t="shared" si="18"/>
        <v>19.663086419753085</v>
      </c>
      <c r="AM121">
        <f t="shared" si="19"/>
        <v>9.0250420572839509</v>
      </c>
      <c r="AP121" s="9"/>
      <c r="AQ121" s="21">
        <v>1.2410000000000001</v>
      </c>
      <c r="AR121" s="21">
        <v>24.8156</v>
      </c>
      <c r="AS121" s="21">
        <v>-1.5026899999999999E-2</v>
      </c>
      <c r="AT121" s="21">
        <v>111</v>
      </c>
      <c r="AU121" s="21">
        <v>1.23993</v>
      </c>
      <c r="AV121">
        <f t="shared" si="20"/>
        <v>18.551728395061726</v>
      </c>
      <c r="AW121">
        <f t="shared" si="21"/>
        <v>23.022694938271606</v>
      </c>
      <c r="AX121" s="9"/>
      <c r="AY121" s="21">
        <v>0.458984</v>
      </c>
      <c r="AZ121" s="21">
        <v>28.634799999999998</v>
      </c>
      <c r="BA121" s="21">
        <v>-1.59515E-2</v>
      </c>
      <c r="BB121" s="21">
        <v>111</v>
      </c>
      <c r="BC121" s="21">
        <v>0.458374</v>
      </c>
      <c r="BD121">
        <f t="shared" si="22"/>
        <v>19.693209876543211</v>
      </c>
      <c r="BE121">
        <f t="shared" si="23"/>
        <v>9.0388682419753099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1.2359599999999999</v>
      </c>
      <c r="H122" s="21">
        <v>6.1102699999999999</v>
      </c>
      <c r="I122" s="21">
        <v>-1.4947500000000001E-2</v>
      </c>
      <c r="J122" s="21">
        <v>112</v>
      </c>
      <c r="K122" s="21">
        <v>1.23505</v>
      </c>
      <c r="L122">
        <f t="shared" si="12"/>
        <v>18.453703703703706</v>
      </c>
      <c r="M122">
        <f t="shared" si="13"/>
        <v>22.808039629629633</v>
      </c>
      <c r="N122" s="9"/>
      <c r="O122" s="21">
        <v>0.46401999999999999</v>
      </c>
      <c r="P122" s="21">
        <v>9.9294600000000006</v>
      </c>
      <c r="Q122" s="21">
        <v>-1.58447E-2</v>
      </c>
      <c r="R122" s="21">
        <v>112</v>
      </c>
      <c r="S122" s="21">
        <v>0.46313500000000002</v>
      </c>
      <c r="T122">
        <f t="shared" si="14"/>
        <v>19.561358024691359</v>
      </c>
      <c r="U122">
        <f t="shared" si="15"/>
        <v>9.0768613506172837</v>
      </c>
      <c r="X122" s="9"/>
      <c r="Y122" s="21">
        <v>1.2359599999999999</v>
      </c>
      <c r="Z122" s="21">
        <v>15.489000000000001</v>
      </c>
      <c r="AA122" s="21">
        <v>-1.50238E-2</v>
      </c>
      <c r="AB122" s="21">
        <v>112</v>
      </c>
      <c r="AC122" s="21">
        <v>1.2347399999999999</v>
      </c>
      <c r="AD122">
        <f t="shared" si="16"/>
        <v>18.547901234567902</v>
      </c>
      <c r="AE122">
        <f t="shared" si="17"/>
        <v>22.924464009876544</v>
      </c>
      <c r="AF122" s="9"/>
      <c r="AG122" s="21">
        <v>0.46401999999999999</v>
      </c>
      <c r="AH122" s="21">
        <v>19.308199999999999</v>
      </c>
      <c r="AI122" s="21">
        <v>-1.5921000000000001E-2</v>
      </c>
      <c r="AJ122" s="21">
        <v>112</v>
      </c>
      <c r="AK122" s="21">
        <v>0.46344000000000002</v>
      </c>
      <c r="AL122">
        <f t="shared" si="18"/>
        <v>19.655555555555555</v>
      </c>
      <c r="AM122">
        <f t="shared" si="19"/>
        <v>9.1205708888888886</v>
      </c>
      <c r="AP122" s="9"/>
      <c r="AQ122" s="21">
        <v>1.2359599999999999</v>
      </c>
      <c r="AR122" s="21">
        <v>24.825700000000001</v>
      </c>
      <c r="AS122" s="21">
        <v>-1.5036000000000001E-2</v>
      </c>
      <c r="AT122" s="21">
        <v>112</v>
      </c>
      <c r="AU122" s="21">
        <v>1.2341299999999999</v>
      </c>
      <c r="AV122">
        <f t="shared" si="20"/>
        <v>18.562962962962963</v>
      </c>
      <c r="AW122">
        <f t="shared" si="21"/>
        <v>22.943079703703702</v>
      </c>
      <c r="AX122" s="9"/>
      <c r="AY122" s="21">
        <v>0.46401999999999999</v>
      </c>
      <c r="AZ122" s="21">
        <v>28.6449</v>
      </c>
      <c r="BA122" s="21">
        <v>-1.5945399999999998E-2</v>
      </c>
      <c r="BB122" s="21">
        <v>112</v>
      </c>
      <c r="BC122" s="21">
        <v>0.46307399999999999</v>
      </c>
      <c r="BD122">
        <f t="shared" si="22"/>
        <v>19.685679012345673</v>
      </c>
      <c r="BE122">
        <f t="shared" si="23"/>
        <v>9.1345487753086392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1.2309300000000001</v>
      </c>
      <c r="H123" s="21">
        <v>6.1203399999999997</v>
      </c>
      <c r="I123" s="21">
        <v>-1.49506E-2</v>
      </c>
      <c r="J123" s="21">
        <v>113</v>
      </c>
      <c r="K123" s="21">
        <v>1.2295499999999999</v>
      </c>
      <c r="L123">
        <f t="shared" si="12"/>
        <v>18.45753086419753</v>
      </c>
      <c r="M123">
        <f t="shared" si="13"/>
        <v>22.719928466666666</v>
      </c>
      <c r="N123" s="9"/>
      <c r="O123" s="21">
        <v>0.469055</v>
      </c>
      <c r="P123" s="21">
        <v>9.9395299999999995</v>
      </c>
      <c r="Q123" s="21">
        <v>-1.5838600000000001E-2</v>
      </c>
      <c r="R123" s="21">
        <v>113</v>
      </c>
      <c r="S123" s="21">
        <v>0.468414</v>
      </c>
      <c r="T123">
        <f t="shared" si="14"/>
        <v>19.553827160493825</v>
      </c>
      <c r="U123">
        <f t="shared" si="15"/>
        <v>9.1718203987654316</v>
      </c>
      <c r="X123" s="9"/>
      <c r="Y123" s="21">
        <v>1.2309300000000001</v>
      </c>
      <c r="Z123" s="21">
        <v>15.499000000000001</v>
      </c>
      <c r="AA123" s="21">
        <v>-1.5029900000000001E-2</v>
      </c>
      <c r="AB123" s="21">
        <v>113</v>
      </c>
      <c r="AC123" s="21">
        <v>1.22925</v>
      </c>
      <c r="AD123">
        <f t="shared" si="16"/>
        <v>18.555432098765429</v>
      </c>
      <c r="AE123">
        <f t="shared" si="17"/>
        <v>22.840438033333331</v>
      </c>
      <c r="AF123" s="9"/>
      <c r="AG123" s="21">
        <v>0.469055</v>
      </c>
      <c r="AH123" s="21">
        <v>19.318200000000001</v>
      </c>
      <c r="AI123" s="21">
        <v>-1.5914899999999999E-2</v>
      </c>
      <c r="AJ123" s="21">
        <v>113</v>
      </c>
      <c r="AK123" s="21">
        <v>0.46847499999999997</v>
      </c>
      <c r="AL123">
        <f t="shared" si="18"/>
        <v>19.648024691358025</v>
      </c>
      <c r="AM123">
        <f t="shared" si="19"/>
        <v>9.2160042216049387</v>
      </c>
      <c r="AP123" s="9"/>
      <c r="AQ123" s="21">
        <v>1.2309300000000001</v>
      </c>
      <c r="AR123" s="21">
        <v>24.835799999999999</v>
      </c>
      <c r="AS123" s="21">
        <v>-1.5042099999999999E-2</v>
      </c>
      <c r="AT123" s="21">
        <v>113</v>
      </c>
      <c r="AU123" s="21">
        <v>1.2295499999999999</v>
      </c>
      <c r="AV123">
        <f t="shared" si="20"/>
        <v>18.570493827160494</v>
      </c>
      <c r="AW123">
        <f t="shared" si="21"/>
        <v>22.858977966666668</v>
      </c>
      <c r="AX123" s="9"/>
      <c r="AY123" s="21">
        <v>0.469055</v>
      </c>
      <c r="AZ123" s="21">
        <v>28.655000000000001</v>
      </c>
      <c r="BA123" s="21">
        <v>-1.59393E-2</v>
      </c>
      <c r="BB123" s="21">
        <v>113</v>
      </c>
      <c r="BC123" s="21">
        <v>0.46658300000000003</v>
      </c>
      <c r="BD123">
        <f t="shared" si="22"/>
        <v>19.678148148148146</v>
      </c>
      <c r="BE123">
        <f t="shared" si="23"/>
        <v>9.2301337796296288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1.2258899999999999</v>
      </c>
      <c r="H124" s="21">
        <v>6.1304100000000004</v>
      </c>
      <c r="I124" s="21">
        <v>-1.49567E-2</v>
      </c>
      <c r="J124" s="21">
        <v>114</v>
      </c>
      <c r="K124" s="21">
        <v>1.2246699999999999</v>
      </c>
      <c r="L124">
        <f t="shared" si="12"/>
        <v>18.46506172839506</v>
      </c>
      <c r="M124">
        <f t="shared" si="13"/>
        <v>22.636134522222218</v>
      </c>
      <c r="N124" s="9"/>
      <c r="O124" s="21">
        <v>0.47409099999999998</v>
      </c>
      <c r="P124" s="21">
        <v>9.9496000000000002</v>
      </c>
      <c r="Q124" s="21">
        <v>-1.5835599999999998E-2</v>
      </c>
      <c r="R124" s="21">
        <v>114</v>
      </c>
      <c r="S124" s="21">
        <v>0.47341899999999998</v>
      </c>
      <c r="T124">
        <f t="shared" si="14"/>
        <v>19.550123456790118</v>
      </c>
      <c r="U124">
        <f t="shared" si="15"/>
        <v>9.2685375797530831</v>
      </c>
      <c r="X124" s="9"/>
      <c r="Y124" s="21">
        <v>1.2258899999999999</v>
      </c>
      <c r="Z124" s="21">
        <v>15.5091</v>
      </c>
      <c r="AA124" s="21">
        <v>-1.5036000000000001E-2</v>
      </c>
      <c r="AB124" s="21">
        <v>114</v>
      </c>
      <c r="AC124" s="21">
        <v>1.22498</v>
      </c>
      <c r="AD124">
        <f t="shared" si="16"/>
        <v>18.562962962962963</v>
      </c>
      <c r="AE124">
        <f t="shared" si="17"/>
        <v>22.756150666666667</v>
      </c>
      <c r="AF124" s="9"/>
      <c r="AG124" s="21">
        <v>0.47409099999999998</v>
      </c>
      <c r="AH124" s="21">
        <v>19.328299999999999</v>
      </c>
      <c r="AI124" s="21">
        <v>-1.5918000000000002E-2</v>
      </c>
      <c r="AJ124" s="21">
        <v>114</v>
      </c>
      <c r="AK124" s="21">
        <v>0.47375499999999998</v>
      </c>
      <c r="AL124">
        <f t="shared" si="18"/>
        <v>19.651851851851852</v>
      </c>
      <c r="AM124">
        <f t="shared" si="19"/>
        <v>9.3167660962962966</v>
      </c>
      <c r="AP124" s="9"/>
      <c r="AQ124" s="21">
        <v>1.2258899999999999</v>
      </c>
      <c r="AR124" s="21">
        <v>24.845800000000001</v>
      </c>
      <c r="AS124" s="21">
        <v>-1.5048199999999999E-2</v>
      </c>
      <c r="AT124" s="21">
        <v>114</v>
      </c>
      <c r="AU124" s="21">
        <v>1.2252799999999999</v>
      </c>
      <c r="AV124">
        <f t="shared" si="20"/>
        <v>18.578024691358021</v>
      </c>
      <c r="AW124">
        <f t="shared" si="21"/>
        <v>22.774614688888882</v>
      </c>
      <c r="AX124" s="9"/>
      <c r="AY124" s="21">
        <v>0.47409099999999998</v>
      </c>
      <c r="AZ124" s="21">
        <v>28.664999999999999</v>
      </c>
      <c r="BA124" s="21">
        <v>-1.5933200000000002E-2</v>
      </c>
      <c r="BB124" s="21">
        <v>114</v>
      </c>
      <c r="BC124" s="21">
        <v>0.47344999999999998</v>
      </c>
      <c r="BD124">
        <f t="shared" si="22"/>
        <v>19.670617283950619</v>
      </c>
      <c r="BE124">
        <f t="shared" si="23"/>
        <v>9.325662618765433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1.2208600000000001</v>
      </c>
      <c r="H125" s="21">
        <v>6.1404800000000002</v>
      </c>
      <c r="I125" s="21">
        <v>-1.49628E-2</v>
      </c>
      <c r="J125" s="21">
        <v>115</v>
      </c>
      <c r="K125" s="21">
        <v>1.2197899999999999</v>
      </c>
      <c r="L125">
        <f t="shared" si="12"/>
        <v>18.472592592592594</v>
      </c>
      <c r="M125">
        <f t="shared" si="13"/>
        <v>22.552449392592596</v>
      </c>
      <c r="N125" s="9"/>
      <c r="O125" s="21">
        <v>0.479126</v>
      </c>
      <c r="P125" s="21">
        <v>9.9596800000000005</v>
      </c>
      <c r="Q125" s="21">
        <v>-1.58295E-2</v>
      </c>
      <c r="R125" s="21">
        <v>115</v>
      </c>
      <c r="S125" s="21">
        <v>0.47833300000000001</v>
      </c>
      <c r="T125">
        <f t="shared" si="14"/>
        <v>19.542592592592591</v>
      </c>
      <c r="U125">
        <f t="shared" si="15"/>
        <v>9.3633642185185177</v>
      </c>
      <c r="X125" s="9"/>
      <c r="Y125" s="21">
        <v>1.2208600000000001</v>
      </c>
      <c r="Z125" s="21">
        <v>15.5192</v>
      </c>
      <c r="AA125" s="21">
        <v>-1.5042099999999999E-2</v>
      </c>
      <c r="AB125" s="21">
        <v>115</v>
      </c>
      <c r="AC125" s="21">
        <v>1.2200899999999999</v>
      </c>
      <c r="AD125">
        <f t="shared" si="16"/>
        <v>18.570493827160494</v>
      </c>
      <c r="AE125">
        <f t="shared" si="17"/>
        <v>22.671973093827162</v>
      </c>
      <c r="AF125" s="9"/>
      <c r="AG125" s="21">
        <v>0.479126</v>
      </c>
      <c r="AH125" s="21">
        <v>19.3384</v>
      </c>
      <c r="AI125" s="21">
        <v>-1.5902699999999999E-2</v>
      </c>
      <c r="AJ125" s="21">
        <v>115</v>
      </c>
      <c r="AK125" s="21">
        <v>0.477966</v>
      </c>
      <c r="AL125">
        <f t="shared" si="18"/>
        <v>19.63296296296296</v>
      </c>
      <c r="AM125">
        <f t="shared" si="19"/>
        <v>9.4066630125925919</v>
      </c>
      <c r="AP125" s="9"/>
      <c r="AQ125" s="21">
        <v>1.2208600000000001</v>
      </c>
      <c r="AR125" s="21">
        <v>24.855899999999998</v>
      </c>
      <c r="AS125" s="21">
        <v>-1.50574E-2</v>
      </c>
      <c r="AT125" s="21">
        <v>115</v>
      </c>
      <c r="AU125" s="21">
        <v>1.2200899999999999</v>
      </c>
      <c r="AV125">
        <f t="shared" si="20"/>
        <v>18.589382716049382</v>
      </c>
      <c r="AW125">
        <f t="shared" si="21"/>
        <v>22.695033782716049</v>
      </c>
      <c r="AX125" s="9"/>
      <c r="AY125" s="21">
        <v>0.479126</v>
      </c>
      <c r="AZ125" s="21">
        <v>28.6751</v>
      </c>
      <c r="BA125" s="21">
        <v>-1.59271E-2</v>
      </c>
      <c r="BB125" s="21">
        <v>115</v>
      </c>
      <c r="BC125" s="21">
        <v>0.478516</v>
      </c>
      <c r="BD125">
        <f t="shared" si="22"/>
        <v>19.663086419753085</v>
      </c>
      <c r="BE125">
        <f t="shared" si="23"/>
        <v>9.4210959439506166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1.2158199999999999</v>
      </c>
      <c r="H126" s="21">
        <v>6.1505599999999996</v>
      </c>
      <c r="I126" s="21">
        <v>-1.49689E-2</v>
      </c>
      <c r="J126" s="21">
        <v>116</v>
      </c>
      <c r="K126" s="21">
        <v>1.2149000000000001</v>
      </c>
      <c r="L126">
        <f t="shared" si="12"/>
        <v>18.480123456790125</v>
      </c>
      <c r="M126">
        <f t="shared" si="13"/>
        <v>22.468503701234567</v>
      </c>
      <c r="N126" s="9"/>
      <c r="O126" s="21">
        <v>0.48416100000000001</v>
      </c>
      <c r="P126" s="21">
        <v>9.9697499999999994</v>
      </c>
      <c r="Q126" s="21">
        <v>-1.5823400000000001E-2</v>
      </c>
      <c r="R126" s="21">
        <v>116</v>
      </c>
      <c r="S126" s="21">
        <v>0.48336800000000002</v>
      </c>
      <c r="T126">
        <f t="shared" si="14"/>
        <v>19.535061728395064</v>
      </c>
      <c r="U126">
        <f t="shared" si="15"/>
        <v>9.4581150214814826</v>
      </c>
      <c r="X126" s="9"/>
      <c r="Y126" s="21">
        <v>1.2158199999999999</v>
      </c>
      <c r="Z126" s="21">
        <v>15.529299999999999</v>
      </c>
      <c r="AA126" s="21">
        <v>-1.50452E-2</v>
      </c>
      <c r="AB126" s="21">
        <v>116</v>
      </c>
      <c r="AC126" s="21">
        <v>1.2149000000000001</v>
      </c>
      <c r="AD126">
        <f t="shared" si="16"/>
        <v>18.574320987654321</v>
      </c>
      <c r="AE126">
        <f t="shared" si="17"/>
        <v>22.583030943209874</v>
      </c>
      <c r="AF126" s="9"/>
      <c r="AG126" s="21">
        <v>0.48416100000000001</v>
      </c>
      <c r="AH126" s="21">
        <v>19.348400000000002</v>
      </c>
      <c r="AI126" s="21">
        <v>-1.58966E-2</v>
      </c>
      <c r="AJ126" s="21">
        <v>116</v>
      </c>
      <c r="AK126" s="21">
        <v>0.48339799999999999</v>
      </c>
      <c r="AL126">
        <f t="shared" si="18"/>
        <v>19.625432098765433</v>
      </c>
      <c r="AM126">
        <f t="shared" si="19"/>
        <v>9.5018688303703716</v>
      </c>
      <c r="AP126" s="9"/>
      <c r="AQ126" s="21">
        <v>1.2158199999999999</v>
      </c>
      <c r="AR126" s="21">
        <v>24.866</v>
      </c>
      <c r="AS126" s="21">
        <v>-1.50604E-2</v>
      </c>
      <c r="AT126" s="21">
        <v>116</v>
      </c>
      <c r="AU126" s="21">
        <v>1.2145999999999999</v>
      </c>
      <c r="AV126">
        <f t="shared" si="20"/>
        <v>18.593086419753085</v>
      </c>
      <c r="AW126">
        <f t="shared" si="21"/>
        <v>22.605846330864193</v>
      </c>
      <c r="AX126" s="9"/>
      <c r="AY126" s="21">
        <v>0.48416100000000001</v>
      </c>
      <c r="AZ126" s="21">
        <v>28.685199999999998</v>
      </c>
      <c r="BA126" s="21">
        <v>-1.5918000000000002E-2</v>
      </c>
      <c r="BB126" s="21">
        <v>116</v>
      </c>
      <c r="BC126" s="21">
        <v>0.483429</v>
      </c>
      <c r="BD126">
        <f t="shared" si="22"/>
        <v>19.651851851851852</v>
      </c>
      <c r="BE126">
        <f t="shared" si="23"/>
        <v>9.5146602444444444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1.21078</v>
      </c>
      <c r="H127" s="21">
        <v>6.1606300000000003</v>
      </c>
      <c r="I127" s="21">
        <v>-1.4975E-2</v>
      </c>
      <c r="J127" s="21">
        <v>117</v>
      </c>
      <c r="K127" s="21">
        <v>1.2100200000000001</v>
      </c>
      <c r="L127">
        <f t="shared" si="12"/>
        <v>18.487654320987652</v>
      </c>
      <c r="M127">
        <f t="shared" si="13"/>
        <v>22.384482098765428</v>
      </c>
      <c r="N127" s="9"/>
      <c r="O127" s="21">
        <v>0.48919699999999999</v>
      </c>
      <c r="P127" s="21">
        <v>9.9798200000000001</v>
      </c>
      <c r="Q127" s="21">
        <v>-1.5817299999999999E-2</v>
      </c>
      <c r="R127" s="21">
        <v>117</v>
      </c>
      <c r="S127" s="21">
        <v>0.488373</v>
      </c>
      <c r="T127">
        <f t="shared" si="14"/>
        <v>19.527530864197526</v>
      </c>
      <c r="U127">
        <f t="shared" si="15"/>
        <v>9.5528095161728377</v>
      </c>
      <c r="X127" s="9"/>
      <c r="Y127" s="21">
        <v>1.21078</v>
      </c>
      <c r="Z127" s="21">
        <v>15.539300000000001</v>
      </c>
      <c r="AA127" s="21">
        <v>-1.50513E-2</v>
      </c>
      <c r="AB127" s="21">
        <v>117</v>
      </c>
      <c r="AC127" s="21">
        <v>1.2100200000000001</v>
      </c>
      <c r="AD127">
        <f t="shared" si="16"/>
        <v>18.581851851851848</v>
      </c>
      <c r="AE127">
        <f t="shared" si="17"/>
        <v>22.49853458518518</v>
      </c>
      <c r="AF127" s="9"/>
      <c r="AG127" s="21">
        <v>0.48919699999999999</v>
      </c>
      <c r="AH127" s="21">
        <v>19.358499999999999</v>
      </c>
      <c r="AI127" s="21">
        <v>-1.5887499999999999E-2</v>
      </c>
      <c r="AJ127" s="21">
        <v>117</v>
      </c>
      <c r="AK127" s="21">
        <v>0.48840299999999998</v>
      </c>
      <c r="AL127">
        <f t="shared" si="18"/>
        <v>19.614197530864196</v>
      </c>
      <c r="AM127">
        <f t="shared" si="19"/>
        <v>9.5952065895061711</v>
      </c>
      <c r="AP127" s="9"/>
      <c r="AQ127" s="21">
        <v>1.21078</v>
      </c>
      <c r="AR127" s="21">
        <v>24.876000000000001</v>
      </c>
      <c r="AS127" s="21">
        <v>-1.50665E-2</v>
      </c>
      <c r="AT127" s="21">
        <v>117</v>
      </c>
      <c r="AU127" s="21">
        <v>1.2097199999999999</v>
      </c>
      <c r="AV127">
        <f t="shared" si="20"/>
        <v>18.600617283950616</v>
      </c>
      <c r="AW127">
        <f t="shared" si="21"/>
        <v>22.521255395061726</v>
      </c>
      <c r="AX127" s="9"/>
      <c r="AY127" s="21">
        <v>0.48919699999999999</v>
      </c>
      <c r="AZ127" s="21">
        <v>28.6952</v>
      </c>
      <c r="BA127" s="21">
        <v>-1.59119E-2</v>
      </c>
      <c r="BB127" s="21">
        <v>117</v>
      </c>
      <c r="BC127" s="21">
        <v>0.488373</v>
      </c>
      <c r="BD127">
        <f t="shared" si="22"/>
        <v>19.644320987654318</v>
      </c>
      <c r="BE127">
        <f t="shared" si="23"/>
        <v>9.6099428941975287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1.2057500000000001</v>
      </c>
      <c r="H128" s="21">
        <v>6.1707000000000001</v>
      </c>
      <c r="I128" s="21">
        <v>-1.4978E-2</v>
      </c>
      <c r="J128" s="21">
        <v>118</v>
      </c>
      <c r="K128" s="21">
        <v>1.2045300000000001</v>
      </c>
      <c r="L128">
        <f t="shared" si="12"/>
        <v>18.491358024691355</v>
      </c>
      <c r="M128">
        <f t="shared" si="13"/>
        <v>22.295954938271603</v>
      </c>
      <c r="N128" s="9"/>
      <c r="O128" s="21">
        <v>0.494232</v>
      </c>
      <c r="P128" s="21">
        <v>9.9898900000000008</v>
      </c>
      <c r="Q128" s="21">
        <v>-1.5811200000000001E-2</v>
      </c>
      <c r="R128" s="21">
        <v>118</v>
      </c>
      <c r="S128" s="21">
        <v>0.49356100000000003</v>
      </c>
      <c r="T128">
        <f t="shared" si="14"/>
        <v>19.52</v>
      </c>
      <c r="U128">
        <f t="shared" si="15"/>
        <v>9.6474086400000001</v>
      </c>
      <c r="X128" s="9"/>
      <c r="Y128" s="21">
        <v>1.2057500000000001</v>
      </c>
      <c r="Z128" s="21">
        <v>15.5494</v>
      </c>
      <c r="AA128" s="21">
        <v>-1.50543E-2</v>
      </c>
      <c r="AB128" s="21">
        <v>118</v>
      </c>
      <c r="AC128" s="21">
        <v>1.2054400000000001</v>
      </c>
      <c r="AD128">
        <f t="shared" si="16"/>
        <v>18.585555555555555</v>
      </c>
      <c r="AE128">
        <f t="shared" si="17"/>
        <v>22.409533611111112</v>
      </c>
      <c r="AF128" s="9"/>
      <c r="AG128" s="21">
        <v>0.494232</v>
      </c>
      <c r="AH128" s="21">
        <v>19.368600000000001</v>
      </c>
      <c r="AI128" s="21">
        <v>-1.5881300000000001E-2</v>
      </c>
      <c r="AJ128" s="21">
        <v>118</v>
      </c>
      <c r="AK128" s="21">
        <v>0.49353000000000002</v>
      </c>
      <c r="AL128">
        <f t="shared" si="18"/>
        <v>19.606543209876545</v>
      </c>
      <c r="AM128">
        <f t="shared" si="19"/>
        <v>9.6901810637037045</v>
      </c>
      <c r="AP128" s="9"/>
      <c r="AQ128" s="21">
        <v>1.2057500000000001</v>
      </c>
      <c r="AR128" s="21">
        <v>24.886099999999999</v>
      </c>
      <c r="AS128" s="21">
        <v>-1.50726E-2</v>
      </c>
      <c r="AT128" s="21">
        <v>118</v>
      </c>
      <c r="AU128" s="21">
        <v>1.2048300000000001</v>
      </c>
      <c r="AV128">
        <f t="shared" si="20"/>
        <v>18.60814814814815</v>
      </c>
      <c r="AW128">
        <f t="shared" si="21"/>
        <v>22.436774629629632</v>
      </c>
      <c r="AX128" s="9"/>
      <c r="AY128" s="21">
        <v>0.494232</v>
      </c>
      <c r="AZ128" s="21">
        <v>28.705300000000001</v>
      </c>
      <c r="BA128" s="21">
        <v>-1.5905800000000001E-2</v>
      </c>
      <c r="BB128" s="21">
        <v>118</v>
      </c>
      <c r="BC128" s="21">
        <v>0.49325600000000003</v>
      </c>
      <c r="BD128">
        <f t="shared" si="22"/>
        <v>19.636790123456791</v>
      </c>
      <c r="BE128">
        <f t="shared" si="23"/>
        <v>9.7051300562962961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1.2007099999999999</v>
      </c>
      <c r="H129" s="21">
        <v>6.1807699999999999</v>
      </c>
      <c r="I129" s="21">
        <v>-1.4987199999999999E-2</v>
      </c>
      <c r="J129" s="21">
        <v>119</v>
      </c>
      <c r="K129" s="21">
        <v>1.2002600000000001</v>
      </c>
      <c r="L129">
        <f t="shared" si="12"/>
        <v>18.502716049382713</v>
      </c>
      <c r="M129">
        <f t="shared" si="13"/>
        <v>22.216396187654315</v>
      </c>
      <c r="N129" s="9"/>
      <c r="O129" s="21">
        <v>0.49926799999999999</v>
      </c>
      <c r="P129" s="21">
        <v>9.9999599999999997</v>
      </c>
      <c r="Q129" s="21">
        <v>-1.5802E-2</v>
      </c>
      <c r="R129" s="21">
        <v>119</v>
      </c>
      <c r="S129" s="21">
        <v>0.49850499999999998</v>
      </c>
      <c r="T129">
        <f t="shared" si="14"/>
        <v>19.508641975308638</v>
      </c>
      <c r="U129">
        <f t="shared" si="15"/>
        <v>9.7400406617283934</v>
      </c>
      <c r="X129" s="9"/>
      <c r="Y129" s="21">
        <v>1.2007099999999999</v>
      </c>
      <c r="Z129" s="21">
        <v>15.5595</v>
      </c>
      <c r="AA129" s="21">
        <v>-1.50604E-2</v>
      </c>
      <c r="AB129" s="21">
        <v>119</v>
      </c>
      <c r="AC129" s="21">
        <v>1.1996500000000001</v>
      </c>
      <c r="AD129">
        <f t="shared" si="16"/>
        <v>18.593086419753085</v>
      </c>
      <c r="AE129">
        <f t="shared" si="17"/>
        <v>22.324904795061727</v>
      </c>
      <c r="AF129" s="9"/>
      <c r="AG129" s="21">
        <v>0.49926799999999999</v>
      </c>
      <c r="AH129" s="21">
        <v>19.378699999999998</v>
      </c>
      <c r="AI129" s="21">
        <v>-1.5878300000000001E-2</v>
      </c>
      <c r="AJ129" s="21">
        <v>119</v>
      </c>
      <c r="AK129" s="21">
        <v>0.49856600000000001</v>
      </c>
      <c r="AL129">
        <f t="shared" si="18"/>
        <v>19.602839506172842</v>
      </c>
      <c r="AM129">
        <f t="shared" si="19"/>
        <v>9.7870704745679014</v>
      </c>
      <c r="AP129" s="9"/>
      <c r="AQ129" s="21">
        <v>1.2007099999999999</v>
      </c>
      <c r="AR129" s="21">
        <v>24.8962</v>
      </c>
      <c r="AS129" s="21">
        <v>-1.5081799999999999E-2</v>
      </c>
      <c r="AT129" s="21">
        <v>119</v>
      </c>
      <c r="AU129" s="21">
        <v>1.1993400000000001</v>
      </c>
      <c r="AV129">
        <f t="shared" si="20"/>
        <v>18.619506172839504</v>
      </c>
      <c r="AW129">
        <f t="shared" si="21"/>
        <v>22.356627256790119</v>
      </c>
      <c r="AX129" s="9"/>
      <c r="AY129" s="21">
        <v>0.49926799999999999</v>
      </c>
      <c r="AZ129" s="21">
        <v>28.715399999999999</v>
      </c>
      <c r="BA129" s="21">
        <v>-1.5899699999999999E-2</v>
      </c>
      <c r="BB129" s="21">
        <v>119</v>
      </c>
      <c r="BC129" s="21">
        <v>0.49862699999999999</v>
      </c>
      <c r="BD129">
        <f t="shared" si="22"/>
        <v>19.629259259259257</v>
      </c>
      <c r="BE129">
        <f t="shared" si="23"/>
        <v>9.8002610118518501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1.1956800000000001</v>
      </c>
      <c r="H130" s="21">
        <v>6.1908399999999997</v>
      </c>
      <c r="I130" s="21">
        <v>-1.4993299999999999E-2</v>
      </c>
      <c r="J130" s="21">
        <v>120</v>
      </c>
      <c r="K130" s="21">
        <v>1.19476</v>
      </c>
      <c r="L130">
        <f t="shared" si="12"/>
        <v>18.510246913580243</v>
      </c>
      <c r="M130">
        <f t="shared" si="13"/>
        <v>22.132332029629627</v>
      </c>
      <c r="N130" s="9"/>
      <c r="O130" s="21">
        <v>0.50430299999999995</v>
      </c>
      <c r="P130" s="21">
        <v>10.01</v>
      </c>
      <c r="Q130" s="21">
        <v>-1.5792799999999999E-2</v>
      </c>
      <c r="R130" s="21">
        <v>120</v>
      </c>
      <c r="S130" s="21">
        <v>0.50353999999999999</v>
      </c>
      <c r="T130">
        <f t="shared" si="14"/>
        <v>19.49728395061728</v>
      </c>
      <c r="U130">
        <f t="shared" si="15"/>
        <v>9.8325387881481454</v>
      </c>
      <c r="X130" s="9"/>
      <c r="Y130" s="21">
        <v>1.1956800000000001</v>
      </c>
      <c r="Z130" s="21">
        <v>15.5695</v>
      </c>
      <c r="AA130" s="21">
        <v>-1.50665E-2</v>
      </c>
      <c r="AB130" s="21">
        <v>120</v>
      </c>
      <c r="AC130" s="21">
        <v>1.1938500000000001</v>
      </c>
      <c r="AD130">
        <f t="shared" si="16"/>
        <v>18.600617283950616</v>
      </c>
      <c r="AE130">
        <f t="shared" si="17"/>
        <v>22.240386074074074</v>
      </c>
      <c r="AF130" s="9"/>
      <c r="AG130" s="21">
        <v>0.50430299999999995</v>
      </c>
      <c r="AH130" s="21">
        <v>19.3887</v>
      </c>
      <c r="AI130" s="21">
        <v>-1.58722E-2</v>
      </c>
      <c r="AJ130" s="21">
        <v>120</v>
      </c>
      <c r="AK130" s="21">
        <v>0.50351000000000001</v>
      </c>
      <c r="AL130">
        <f t="shared" si="18"/>
        <v>19.595308641975304</v>
      </c>
      <c r="AM130">
        <f t="shared" si="19"/>
        <v>9.8819729340740707</v>
      </c>
      <c r="AP130" s="9"/>
      <c r="AQ130" s="21">
        <v>1.1956800000000001</v>
      </c>
      <c r="AR130" s="21">
        <v>24.906300000000002</v>
      </c>
      <c r="AS130" s="21">
        <v>-1.5084800000000001E-2</v>
      </c>
      <c r="AT130" s="21">
        <v>120</v>
      </c>
      <c r="AU130" s="21">
        <v>1.19476</v>
      </c>
      <c r="AV130">
        <f t="shared" si="20"/>
        <v>18.623209876543207</v>
      </c>
      <c r="AW130">
        <f t="shared" si="21"/>
        <v>22.267399585185185</v>
      </c>
      <c r="AX130" s="9"/>
      <c r="AY130" s="21">
        <v>0.50430299999999995</v>
      </c>
      <c r="AZ130" s="21">
        <v>28.7255</v>
      </c>
      <c r="BA130" s="21">
        <v>-1.58966E-2</v>
      </c>
      <c r="BB130" s="21">
        <v>120</v>
      </c>
      <c r="BC130" s="21">
        <v>0.50353999999999999</v>
      </c>
      <c r="BD130">
        <f t="shared" si="22"/>
        <v>19.625432098765433</v>
      </c>
      <c r="BE130">
        <f t="shared" si="23"/>
        <v>9.8971642837037024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1.1906399999999999</v>
      </c>
      <c r="H131" s="21">
        <v>6.2009100000000004</v>
      </c>
      <c r="I131" s="21">
        <v>-1.5002400000000001E-2</v>
      </c>
      <c r="J131" s="21">
        <v>121</v>
      </c>
      <c r="K131" s="21">
        <v>1.18988</v>
      </c>
      <c r="L131">
        <f t="shared" si="12"/>
        <v>18.521481481481484</v>
      </c>
      <c r="M131">
        <f t="shared" si="13"/>
        <v>22.05241671111111</v>
      </c>
      <c r="N131" s="9"/>
      <c r="O131" s="21">
        <v>0.50933799999999996</v>
      </c>
      <c r="P131" s="21">
        <v>10.020099999999999</v>
      </c>
      <c r="Q131" s="21">
        <v>-1.5783700000000001E-2</v>
      </c>
      <c r="R131" s="21">
        <v>121</v>
      </c>
      <c r="S131" s="21">
        <v>0.50854500000000002</v>
      </c>
      <c r="T131">
        <f t="shared" si="14"/>
        <v>19.486049382716047</v>
      </c>
      <c r="U131">
        <f t="shared" si="15"/>
        <v>9.9249854204938242</v>
      </c>
      <c r="X131" s="9"/>
      <c r="Y131" s="21">
        <v>1.1906399999999999</v>
      </c>
      <c r="Z131" s="21">
        <v>15.579599999999999</v>
      </c>
      <c r="AA131" s="21">
        <v>-1.50726E-2</v>
      </c>
      <c r="AB131" s="21">
        <v>121</v>
      </c>
      <c r="AC131" s="21">
        <v>1.18896</v>
      </c>
      <c r="AD131">
        <f t="shared" si="16"/>
        <v>18.60814814814815</v>
      </c>
      <c r="AE131">
        <f t="shared" si="17"/>
        <v>22.155605511111112</v>
      </c>
      <c r="AF131" s="9"/>
      <c r="AG131" s="21">
        <v>0.50933799999999996</v>
      </c>
      <c r="AH131" s="21">
        <v>19.398800000000001</v>
      </c>
      <c r="AI131" s="21">
        <v>-1.5866100000000001E-2</v>
      </c>
      <c r="AJ131" s="21">
        <v>121</v>
      </c>
      <c r="AK131" s="21">
        <v>0.50909400000000005</v>
      </c>
      <c r="AL131">
        <f t="shared" si="18"/>
        <v>19.587777777777777</v>
      </c>
      <c r="AM131">
        <f t="shared" si="19"/>
        <v>9.9767995577777775</v>
      </c>
      <c r="AP131" s="9"/>
      <c r="AQ131" s="21">
        <v>1.1906399999999999</v>
      </c>
      <c r="AR131" s="21">
        <v>24.9163</v>
      </c>
      <c r="AS131" s="21">
        <v>-1.5090900000000001E-2</v>
      </c>
      <c r="AT131" s="21">
        <v>121</v>
      </c>
      <c r="AU131" s="21">
        <v>1.18927</v>
      </c>
      <c r="AV131">
        <f t="shared" si="20"/>
        <v>18.630740740740741</v>
      </c>
      <c r="AW131">
        <f t="shared" si="21"/>
        <v>22.182505155555553</v>
      </c>
      <c r="AX131" s="9"/>
      <c r="AY131" s="21">
        <v>0.50933799999999996</v>
      </c>
      <c r="AZ131" s="21">
        <v>28.735499999999998</v>
      </c>
      <c r="BA131" s="21">
        <v>-1.5890499999999998E-2</v>
      </c>
      <c r="BB131" s="21">
        <v>121</v>
      </c>
      <c r="BC131" s="21">
        <v>0.50854500000000002</v>
      </c>
      <c r="BD131">
        <f t="shared" si="22"/>
        <v>19.617901234567896</v>
      </c>
      <c r="BE131">
        <f t="shared" si="23"/>
        <v>9.9921425790123415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1.1856100000000001</v>
      </c>
      <c r="H132" s="21">
        <v>6.2109800000000002</v>
      </c>
      <c r="I132" s="21">
        <v>-1.5008499999999999E-2</v>
      </c>
      <c r="J132" s="21">
        <v>122</v>
      </c>
      <c r="K132" s="21">
        <v>1.1843900000000001</v>
      </c>
      <c r="L132">
        <f t="shared" si="12"/>
        <v>18.529012345679011</v>
      </c>
      <c r="M132">
        <f t="shared" si="13"/>
        <v>21.968182327160491</v>
      </c>
      <c r="N132" s="9"/>
      <c r="O132" s="21">
        <v>0.514374</v>
      </c>
      <c r="P132" s="21">
        <v>10.030200000000001</v>
      </c>
      <c r="Q132" s="21">
        <v>-1.5777599999999999E-2</v>
      </c>
      <c r="R132" s="21">
        <v>122</v>
      </c>
      <c r="S132" s="21">
        <v>0.51367200000000002</v>
      </c>
      <c r="T132">
        <f t="shared" si="14"/>
        <v>19.478518518518516</v>
      </c>
      <c r="U132">
        <f t="shared" si="15"/>
        <v>10.019243484444443</v>
      </c>
      <c r="X132" s="9"/>
      <c r="Y132" s="21">
        <v>1.1856100000000001</v>
      </c>
      <c r="Z132" s="21">
        <v>15.589700000000001</v>
      </c>
      <c r="AA132" s="21">
        <v>-1.50787E-2</v>
      </c>
      <c r="AB132" s="21">
        <v>122</v>
      </c>
      <c r="AC132" s="21">
        <v>1.1843900000000001</v>
      </c>
      <c r="AD132">
        <f t="shared" si="16"/>
        <v>18.61567901234568</v>
      </c>
      <c r="AE132">
        <f t="shared" si="17"/>
        <v>22.070935193827165</v>
      </c>
      <c r="AF132" s="9"/>
      <c r="AG132" s="21">
        <v>0.514374</v>
      </c>
      <c r="AH132" s="21">
        <v>19.408899999999999</v>
      </c>
      <c r="AI132" s="21">
        <v>-1.5859999999999999E-2</v>
      </c>
      <c r="AJ132" s="21">
        <v>122</v>
      </c>
      <c r="AK132" s="21">
        <v>0.51370199999999999</v>
      </c>
      <c r="AL132">
        <f t="shared" si="18"/>
        <v>19.580246913580247</v>
      </c>
      <c r="AM132">
        <f t="shared" si="19"/>
        <v>10.071569925925926</v>
      </c>
      <c r="AP132" s="9"/>
      <c r="AQ132" s="21">
        <v>1.1856100000000001</v>
      </c>
      <c r="AR132" s="21">
        <v>24.926400000000001</v>
      </c>
      <c r="AS132" s="21">
        <v>-1.5096999999999999E-2</v>
      </c>
      <c r="AT132" s="21">
        <v>122</v>
      </c>
      <c r="AU132" s="21">
        <v>1.18469</v>
      </c>
      <c r="AV132">
        <f t="shared" si="20"/>
        <v>18.638271604938272</v>
      </c>
      <c r="AW132">
        <f t="shared" si="21"/>
        <v>22.097721197530866</v>
      </c>
      <c r="AX132" s="9"/>
      <c r="AY132" s="21">
        <v>0.514374</v>
      </c>
      <c r="AZ132" s="21">
        <v>28.7456</v>
      </c>
      <c r="BA132" s="21">
        <v>-1.5881300000000001E-2</v>
      </c>
      <c r="BB132" s="21">
        <v>122</v>
      </c>
      <c r="BC132" s="21">
        <v>0.51370199999999999</v>
      </c>
      <c r="BD132">
        <f t="shared" si="22"/>
        <v>19.606543209876545</v>
      </c>
      <c r="BE132">
        <f t="shared" si="23"/>
        <v>10.085096057037038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1.1805699999999999</v>
      </c>
      <c r="H133" s="21">
        <v>6.22105</v>
      </c>
      <c r="I133" s="21">
        <v>-1.5014599999999999E-2</v>
      </c>
      <c r="J133" s="21">
        <v>123</v>
      </c>
      <c r="K133" s="21">
        <v>1.1795</v>
      </c>
      <c r="L133">
        <f t="shared" si="12"/>
        <v>18.536543209876541</v>
      </c>
      <c r="M133">
        <f t="shared" si="13"/>
        <v>21.883686817283944</v>
      </c>
      <c r="N133" s="9"/>
      <c r="O133" s="21">
        <v>0.51940900000000001</v>
      </c>
      <c r="P133" s="21">
        <v>10.0402</v>
      </c>
      <c r="Q133" s="21">
        <v>-1.57745E-2</v>
      </c>
      <c r="R133" s="21">
        <v>123</v>
      </c>
      <c r="S133" s="21">
        <v>0.51864600000000005</v>
      </c>
      <c r="T133">
        <f t="shared" si="14"/>
        <v>19.474691358024693</v>
      </c>
      <c r="U133">
        <f t="shared" si="15"/>
        <v>10.115329963580248</v>
      </c>
      <c r="X133" s="9"/>
      <c r="Y133" s="21">
        <v>1.1805699999999999</v>
      </c>
      <c r="Z133" s="21">
        <v>15.5997</v>
      </c>
      <c r="AA133" s="21">
        <v>-1.5084800000000001E-2</v>
      </c>
      <c r="AB133" s="21">
        <v>123</v>
      </c>
      <c r="AC133" s="21">
        <v>1.18011</v>
      </c>
      <c r="AD133">
        <f t="shared" si="16"/>
        <v>18.623209876543207</v>
      </c>
      <c r="AE133">
        <f t="shared" si="17"/>
        <v>21.986002883950611</v>
      </c>
      <c r="AF133" s="9"/>
      <c r="AG133" s="21">
        <v>0.51940900000000001</v>
      </c>
      <c r="AH133" s="21">
        <v>19.418900000000001</v>
      </c>
      <c r="AI133" s="21">
        <v>-1.58569E-2</v>
      </c>
      <c r="AJ133" s="21">
        <v>123</v>
      </c>
      <c r="AK133" s="21">
        <v>0.51882899999999998</v>
      </c>
      <c r="AL133">
        <f t="shared" si="18"/>
        <v>19.576419753086416</v>
      </c>
      <c r="AM133">
        <f t="shared" si="19"/>
        <v>10.168168607530863</v>
      </c>
      <c r="AP133" s="9"/>
      <c r="AQ133" s="21">
        <v>1.1805699999999999</v>
      </c>
      <c r="AR133" s="21">
        <v>24.936499999999999</v>
      </c>
      <c r="AS133" s="21">
        <v>-1.51001E-2</v>
      </c>
      <c r="AT133" s="21">
        <v>123</v>
      </c>
      <c r="AU133" s="21">
        <v>1.17981</v>
      </c>
      <c r="AV133">
        <f t="shared" si="20"/>
        <v>18.642098765432099</v>
      </c>
      <c r="AW133">
        <f t="shared" si="21"/>
        <v>22.008302539506172</v>
      </c>
      <c r="AX133" s="9"/>
      <c r="AY133" s="21">
        <v>0.51940900000000001</v>
      </c>
      <c r="AZ133" s="21">
        <v>28.755700000000001</v>
      </c>
      <c r="BA133" s="21">
        <v>-1.5878300000000001E-2</v>
      </c>
      <c r="BB133" s="21">
        <v>123</v>
      </c>
      <c r="BC133" s="21">
        <v>0.51861599999999997</v>
      </c>
      <c r="BD133">
        <f t="shared" si="22"/>
        <v>19.602839506172842</v>
      </c>
      <c r="BE133">
        <f t="shared" si="23"/>
        <v>10.181891265061729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1.17554</v>
      </c>
      <c r="H134" s="21">
        <v>6.2311199999999998</v>
      </c>
      <c r="I134" s="21">
        <v>-1.5014599999999999E-2</v>
      </c>
      <c r="J134" s="21">
        <v>124</v>
      </c>
      <c r="K134" s="21">
        <v>1.17401</v>
      </c>
      <c r="L134">
        <f t="shared" si="12"/>
        <v>18.536543209876541</v>
      </c>
      <c r="M134">
        <f t="shared" si="13"/>
        <v>21.79044800493827</v>
      </c>
      <c r="N134" s="9"/>
      <c r="O134" s="21">
        <v>0.52444500000000005</v>
      </c>
      <c r="P134" s="21">
        <v>10.0503</v>
      </c>
      <c r="Q134" s="21">
        <v>-1.5771500000000001E-2</v>
      </c>
      <c r="R134" s="21">
        <v>124</v>
      </c>
      <c r="S134" s="21">
        <v>0.52380400000000005</v>
      </c>
      <c r="T134">
        <f t="shared" si="14"/>
        <v>19.470987654320989</v>
      </c>
      <c r="U134">
        <f t="shared" si="15"/>
        <v>10.211462120370372</v>
      </c>
      <c r="X134" s="9"/>
      <c r="Y134" s="21">
        <v>1.17554</v>
      </c>
      <c r="Z134" s="21">
        <v>15.6098</v>
      </c>
      <c r="AA134" s="21">
        <v>-1.5090900000000001E-2</v>
      </c>
      <c r="AB134" s="21">
        <v>124</v>
      </c>
      <c r="AC134" s="21">
        <v>1.17432</v>
      </c>
      <c r="AD134">
        <f t="shared" si="16"/>
        <v>18.630740740740741</v>
      </c>
      <c r="AE134">
        <f t="shared" si="17"/>
        <v>21.901180970370373</v>
      </c>
      <c r="AF134" s="9"/>
      <c r="AG134" s="21">
        <v>0.52444500000000005</v>
      </c>
      <c r="AH134" s="21">
        <v>19.428999999999998</v>
      </c>
      <c r="AI134" s="21">
        <v>-1.5850800000000002E-2</v>
      </c>
      <c r="AJ134" s="21">
        <v>124</v>
      </c>
      <c r="AK134" s="21">
        <v>0.52383400000000002</v>
      </c>
      <c r="AL134">
        <f t="shared" si="18"/>
        <v>19.568888888888889</v>
      </c>
      <c r="AM134">
        <f t="shared" si="19"/>
        <v>10.262805933333334</v>
      </c>
      <c r="AP134" s="9"/>
      <c r="AQ134" s="21">
        <v>1.17554</v>
      </c>
      <c r="AR134" s="21">
        <v>24.9465</v>
      </c>
      <c r="AS134" s="21">
        <v>-1.51062E-2</v>
      </c>
      <c r="AT134" s="21">
        <v>124</v>
      </c>
      <c r="AU134" s="21">
        <v>1.17432</v>
      </c>
      <c r="AV134">
        <f t="shared" si="20"/>
        <v>18.649629629629626</v>
      </c>
      <c r="AW134">
        <f t="shared" si="21"/>
        <v>21.923385614814812</v>
      </c>
      <c r="AX134" s="9"/>
      <c r="AY134" s="21">
        <v>0.52444500000000005</v>
      </c>
      <c r="AZ134" s="21">
        <v>28.765699999999999</v>
      </c>
      <c r="BA134" s="21">
        <v>-1.58722E-2</v>
      </c>
      <c r="BB134" s="21">
        <v>124</v>
      </c>
      <c r="BC134" s="21">
        <v>0.52368199999999998</v>
      </c>
      <c r="BD134">
        <f t="shared" si="22"/>
        <v>19.595308641975304</v>
      </c>
      <c r="BE134">
        <f t="shared" si="23"/>
        <v>10.276661640740739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1.1705000000000001</v>
      </c>
      <c r="H135" s="21">
        <v>6.2411899999999996</v>
      </c>
      <c r="I135" s="21">
        <v>-1.5020800000000001E-2</v>
      </c>
      <c r="J135" s="21">
        <v>125</v>
      </c>
      <c r="K135" s="21">
        <v>1.17004</v>
      </c>
      <c r="L135">
        <f t="shared" si="12"/>
        <v>18.544197530864199</v>
      </c>
      <c r="M135">
        <f t="shared" si="13"/>
        <v>21.705983209876546</v>
      </c>
      <c r="N135" s="9"/>
      <c r="O135" s="21">
        <v>0.52947999999999995</v>
      </c>
      <c r="P135" s="21">
        <v>10.0604</v>
      </c>
      <c r="Q135" s="21">
        <v>-1.5765399999999999E-2</v>
      </c>
      <c r="R135" s="21">
        <v>125</v>
      </c>
      <c r="S135" s="21">
        <v>0.52871699999999999</v>
      </c>
      <c r="T135">
        <f t="shared" si="14"/>
        <v>19.463456790123452</v>
      </c>
      <c r="U135">
        <f t="shared" si="15"/>
        <v>10.305511101234565</v>
      </c>
      <c r="X135" s="9"/>
      <c r="Y135" s="21">
        <v>1.1705000000000001</v>
      </c>
      <c r="Z135" s="21">
        <v>15.619899999999999</v>
      </c>
      <c r="AA135" s="21">
        <v>-1.5094E-2</v>
      </c>
      <c r="AB135" s="21">
        <v>125</v>
      </c>
      <c r="AC135" s="21">
        <v>1.16974</v>
      </c>
      <c r="AD135">
        <f t="shared" si="16"/>
        <v>18.634567901234568</v>
      </c>
      <c r="AE135">
        <f t="shared" si="17"/>
        <v>21.811761728395066</v>
      </c>
      <c r="AF135" s="9"/>
      <c r="AG135" s="21">
        <v>0.52947999999999995</v>
      </c>
      <c r="AH135" s="21">
        <v>19.4391</v>
      </c>
      <c r="AI135" s="21">
        <v>-1.58417E-2</v>
      </c>
      <c r="AJ135" s="21">
        <v>125</v>
      </c>
      <c r="AK135" s="21">
        <v>0.52865600000000001</v>
      </c>
      <c r="AL135">
        <f t="shared" si="18"/>
        <v>19.557654320987655</v>
      </c>
      <c r="AM135">
        <f t="shared" si="19"/>
        <v>10.355386809876542</v>
      </c>
      <c r="AP135" s="9"/>
      <c r="AQ135" s="21">
        <v>1.1705000000000001</v>
      </c>
      <c r="AR135" s="21">
        <v>24.956600000000002</v>
      </c>
      <c r="AS135" s="21">
        <v>-1.51123E-2</v>
      </c>
      <c r="AT135" s="21">
        <v>125</v>
      </c>
      <c r="AU135" s="21">
        <v>1.16974</v>
      </c>
      <c r="AV135">
        <f t="shared" si="20"/>
        <v>18.65716049382716</v>
      </c>
      <c r="AW135">
        <f t="shared" si="21"/>
        <v>21.838206358024692</v>
      </c>
      <c r="AX135" s="9"/>
      <c r="AY135" s="21">
        <v>0.52947999999999995</v>
      </c>
      <c r="AZ135" s="21">
        <v>28.7758</v>
      </c>
      <c r="BA135" s="21">
        <v>-1.5866100000000001E-2</v>
      </c>
      <c r="BB135" s="21">
        <v>125</v>
      </c>
      <c r="BC135" s="21">
        <v>0.52865600000000001</v>
      </c>
      <c r="BD135">
        <f t="shared" si="22"/>
        <v>19.587777777777777</v>
      </c>
      <c r="BE135">
        <f t="shared" si="23"/>
        <v>10.371336577777777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1.16547</v>
      </c>
      <c r="H136" s="21">
        <v>6.2512699999999999</v>
      </c>
      <c r="I136" s="21">
        <v>-1.5026899999999999E-2</v>
      </c>
      <c r="J136" s="21">
        <v>126</v>
      </c>
      <c r="K136" s="21">
        <v>1.16394</v>
      </c>
      <c r="L136">
        <f t="shared" si="12"/>
        <v>18.551728395061726</v>
      </c>
      <c r="M136">
        <f t="shared" si="13"/>
        <v>21.621482892592589</v>
      </c>
      <c r="N136" s="9"/>
      <c r="O136" s="21">
        <v>0.53451499999999996</v>
      </c>
      <c r="P136" s="21">
        <v>10.070499999999999</v>
      </c>
      <c r="Q136" s="21">
        <v>-1.57593E-2</v>
      </c>
      <c r="R136" s="21">
        <v>126</v>
      </c>
      <c r="S136" s="21">
        <v>0.53372200000000003</v>
      </c>
      <c r="T136">
        <f t="shared" si="14"/>
        <v>19.455925925925925</v>
      </c>
      <c r="U136">
        <f t="shared" si="15"/>
        <v>10.399484246296295</v>
      </c>
      <c r="X136" s="9"/>
      <c r="Y136" s="21">
        <v>1.16547</v>
      </c>
      <c r="Z136" s="21">
        <v>15.63</v>
      </c>
      <c r="AA136" s="21">
        <v>-1.51001E-2</v>
      </c>
      <c r="AB136" s="21">
        <v>126</v>
      </c>
      <c r="AC136" s="21">
        <v>1.1605799999999999</v>
      </c>
      <c r="AD136">
        <f t="shared" si="16"/>
        <v>18.642098765432099</v>
      </c>
      <c r="AE136">
        <f t="shared" si="17"/>
        <v>21.726806848148147</v>
      </c>
      <c r="AF136" s="9"/>
      <c r="AG136" s="21">
        <v>0.53451499999999996</v>
      </c>
      <c r="AH136" s="21">
        <v>19.449200000000001</v>
      </c>
      <c r="AI136" s="21">
        <v>-1.5835599999999998E-2</v>
      </c>
      <c r="AJ136" s="21">
        <v>126</v>
      </c>
      <c r="AK136" s="21">
        <v>0.53384399999999999</v>
      </c>
      <c r="AL136">
        <f t="shared" si="18"/>
        <v>19.550123456790118</v>
      </c>
      <c r="AM136">
        <f t="shared" si="19"/>
        <v>10.449834239506169</v>
      </c>
      <c r="AP136" s="9"/>
      <c r="AQ136" s="21">
        <v>1.16547</v>
      </c>
      <c r="AR136" s="21">
        <v>24.966699999999999</v>
      </c>
      <c r="AS136" s="21">
        <v>-1.5115399999999999E-2</v>
      </c>
      <c r="AT136" s="21">
        <v>126</v>
      </c>
      <c r="AU136" s="21">
        <v>1.16425</v>
      </c>
      <c r="AV136">
        <f t="shared" si="20"/>
        <v>18.660987654320987</v>
      </c>
      <c r="AW136">
        <f t="shared" si="21"/>
        <v>21.748821281481479</v>
      </c>
      <c r="AX136" s="9"/>
      <c r="AY136" s="21">
        <v>0.53451499999999996</v>
      </c>
      <c r="AZ136" s="21">
        <v>28.785900000000002</v>
      </c>
      <c r="BA136" s="21">
        <v>-1.5859999999999999E-2</v>
      </c>
      <c r="BB136" s="21">
        <v>126</v>
      </c>
      <c r="BC136" s="21">
        <v>0.533752</v>
      </c>
      <c r="BD136">
        <f t="shared" si="22"/>
        <v>19.580246913580247</v>
      </c>
      <c r="BE136">
        <f t="shared" si="23"/>
        <v>10.465935679012345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1.1604300000000001</v>
      </c>
      <c r="H137" s="21">
        <v>6.2613399999999997</v>
      </c>
      <c r="I137" s="21">
        <v>-1.5032999999999999E-2</v>
      </c>
      <c r="J137" s="21">
        <v>127</v>
      </c>
      <c r="K137" s="21">
        <v>1.15967</v>
      </c>
      <c r="L137">
        <f t="shared" si="12"/>
        <v>18.559259259259257</v>
      </c>
      <c r="M137">
        <f t="shared" si="13"/>
        <v>21.536721222222219</v>
      </c>
      <c r="N137" s="9"/>
      <c r="O137" s="21">
        <v>0.539551</v>
      </c>
      <c r="P137" s="21">
        <v>10.080500000000001</v>
      </c>
      <c r="Q137" s="21">
        <v>-1.5753199999999998E-2</v>
      </c>
      <c r="R137" s="21">
        <v>127</v>
      </c>
      <c r="S137" s="21">
        <v>0.53881800000000002</v>
      </c>
      <c r="T137">
        <f t="shared" si="14"/>
        <v>19.448395061728394</v>
      </c>
      <c r="U137">
        <f t="shared" si="15"/>
        <v>10.493401003950616</v>
      </c>
      <c r="X137" s="9"/>
      <c r="Y137" s="21">
        <v>1.1604300000000001</v>
      </c>
      <c r="Z137" s="21">
        <v>15.64</v>
      </c>
      <c r="AA137" s="21">
        <v>-1.51062E-2</v>
      </c>
      <c r="AB137" s="21">
        <v>127</v>
      </c>
      <c r="AC137" s="21">
        <v>1.1593599999999999</v>
      </c>
      <c r="AD137">
        <f t="shared" si="16"/>
        <v>18.649629629629626</v>
      </c>
      <c r="AE137">
        <f t="shared" si="17"/>
        <v>21.641589711111109</v>
      </c>
      <c r="AF137" s="9"/>
      <c r="AG137" s="21">
        <v>0.539551</v>
      </c>
      <c r="AH137" s="21">
        <v>19.459199999999999</v>
      </c>
      <c r="AI137" s="21">
        <v>-1.58295E-2</v>
      </c>
      <c r="AJ137" s="21">
        <v>127</v>
      </c>
      <c r="AK137" s="21">
        <v>0.53884900000000002</v>
      </c>
      <c r="AL137">
        <f t="shared" si="18"/>
        <v>19.542592592592591</v>
      </c>
      <c r="AM137">
        <f t="shared" si="19"/>
        <v>10.544225375925926</v>
      </c>
      <c r="AP137" s="9"/>
      <c r="AQ137" s="21">
        <v>1.1604300000000001</v>
      </c>
      <c r="AR137" s="21">
        <v>24.976800000000001</v>
      </c>
      <c r="AS137" s="21">
        <v>-1.51215E-2</v>
      </c>
      <c r="AT137" s="21">
        <v>127</v>
      </c>
      <c r="AU137" s="21">
        <v>1.1593599999999999</v>
      </c>
      <c r="AV137">
        <f t="shared" si="20"/>
        <v>18.668518518518518</v>
      </c>
      <c r="AW137">
        <f t="shared" si="21"/>
        <v>21.663508944444445</v>
      </c>
      <c r="AX137" s="9"/>
      <c r="AY137" s="21">
        <v>0.539551</v>
      </c>
      <c r="AZ137" s="21">
        <v>28.7959</v>
      </c>
      <c r="BA137" s="21">
        <v>-1.5853900000000001E-2</v>
      </c>
      <c r="BB137" s="21">
        <v>127</v>
      </c>
      <c r="BC137" s="21">
        <v>0.538605</v>
      </c>
      <c r="BD137">
        <f t="shared" si="22"/>
        <v>19.572716049382716</v>
      </c>
      <c r="BE137">
        <f t="shared" si="23"/>
        <v>10.560478517160494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1.1554</v>
      </c>
      <c r="H138" s="21">
        <v>6.2714100000000004</v>
      </c>
      <c r="I138" s="21">
        <v>-1.50391E-2</v>
      </c>
      <c r="J138" s="21">
        <v>128</v>
      </c>
      <c r="K138" s="21">
        <v>1.15448</v>
      </c>
      <c r="L138">
        <f t="shared" si="12"/>
        <v>18.566790123456791</v>
      </c>
      <c r="M138">
        <f t="shared" si="13"/>
        <v>21.452069308641974</v>
      </c>
      <c r="N138" s="9"/>
      <c r="O138" s="21">
        <v>0.54458600000000001</v>
      </c>
      <c r="P138" s="21">
        <v>10.0906</v>
      </c>
      <c r="Q138" s="21">
        <v>-1.57471E-2</v>
      </c>
      <c r="R138" s="21">
        <v>128</v>
      </c>
      <c r="S138" s="21">
        <v>0.54385399999999995</v>
      </c>
      <c r="T138">
        <f t="shared" si="14"/>
        <v>19.44086419753086</v>
      </c>
      <c r="U138">
        <f t="shared" si="15"/>
        <v>10.587222469876542</v>
      </c>
      <c r="X138" s="9"/>
      <c r="Y138" s="21">
        <v>1.1554</v>
      </c>
      <c r="Z138" s="21">
        <v>15.6501</v>
      </c>
      <c r="AA138" s="21">
        <v>-1.51123E-2</v>
      </c>
      <c r="AB138" s="21">
        <v>128</v>
      </c>
      <c r="AC138" s="21">
        <v>1.15479</v>
      </c>
      <c r="AD138">
        <f t="shared" si="16"/>
        <v>18.65716049382716</v>
      </c>
      <c r="AE138">
        <f t="shared" si="17"/>
        <v>21.556483234567899</v>
      </c>
      <c r="AF138" s="9"/>
      <c r="AG138" s="21">
        <v>0.54458600000000001</v>
      </c>
      <c r="AH138" s="21">
        <v>19.4693</v>
      </c>
      <c r="AI138" s="21">
        <v>-1.5823400000000001E-2</v>
      </c>
      <c r="AJ138" s="21">
        <v>128</v>
      </c>
      <c r="AK138" s="21">
        <v>0.54376199999999997</v>
      </c>
      <c r="AL138">
        <f t="shared" si="18"/>
        <v>19.535061728395064</v>
      </c>
      <c r="AM138">
        <f t="shared" si="19"/>
        <v>10.638521126419755</v>
      </c>
      <c r="AP138" s="9"/>
      <c r="AQ138" s="21">
        <v>1.1554</v>
      </c>
      <c r="AR138" s="21">
        <v>24.986799999999999</v>
      </c>
      <c r="AS138" s="21">
        <v>-1.5130599999999999E-2</v>
      </c>
      <c r="AT138" s="21">
        <v>128</v>
      </c>
      <c r="AU138" s="21">
        <v>1.1541699999999999</v>
      </c>
      <c r="AV138">
        <f t="shared" si="20"/>
        <v>18.679753086419751</v>
      </c>
      <c r="AW138">
        <f t="shared" si="21"/>
        <v>21.582586716049381</v>
      </c>
      <c r="AX138" s="9"/>
      <c r="AY138" s="21">
        <v>0.54458600000000001</v>
      </c>
      <c r="AZ138" s="21">
        <v>28.806000000000001</v>
      </c>
      <c r="BA138" s="21">
        <v>-1.58447E-2</v>
      </c>
      <c r="BB138" s="21">
        <v>128</v>
      </c>
      <c r="BC138" s="21">
        <v>0.54400599999999999</v>
      </c>
      <c r="BD138">
        <f t="shared" si="22"/>
        <v>19.561358024691359</v>
      </c>
      <c r="BE138">
        <f t="shared" si="23"/>
        <v>10.652841721234568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1.15036</v>
      </c>
      <c r="H139" s="21">
        <v>6.2814800000000002</v>
      </c>
      <c r="I139" s="21">
        <v>-1.50452E-2</v>
      </c>
      <c r="J139" s="21">
        <v>129</v>
      </c>
      <c r="K139" s="21">
        <v>1.1496</v>
      </c>
      <c r="L139">
        <f t="shared" si="12"/>
        <v>18.574320987654321</v>
      </c>
      <c r="M139">
        <f t="shared" si="13"/>
        <v>21.367155891358024</v>
      </c>
      <c r="N139" s="9"/>
      <c r="O139" s="21">
        <v>0.54962200000000005</v>
      </c>
      <c r="P139" s="21">
        <v>10.1007</v>
      </c>
      <c r="Q139" s="21">
        <v>-1.5741000000000002E-2</v>
      </c>
      <c r="R139" s="21">
        <v>129</v>
      </c>
      <c r="S139" s="21">
        <v>0.54888899999999996</v>
      </c>
      <c r="T139">
        <f t="shared" si="14"/>
        <v>19.433333333333334</v>
      </c>
      <c r="U139">
        <f t="shared" si="15"/>
        <v>10.680987533333335</v>
      </c>
      <c r="X139" s="9"/>
      <c r="Y139" s="21">
        <v>1.15036</v>
      </c>
      <c r="Z139" s="21">
        <v>15.6602</v>
      </c>
      <c r="AA139" s="21">
        <v>-1.5118400000000001E-2</v>
      </c>
      <c r="AB139" s="21">
        <v>129</v>
      </c>
      <c r="AC139" s="21">
        <v>1.1496</v>
      </c>
      <c r="AD139">
        <f t="shared" si="16"/>
        <v>18.66469135802469</v>
      </c>
      <c r="AE139">
        <f t="shared" si="17"/>
        <v>21.471114350617285</v>
      </c>
      <c r="AF139" s="9"/>
      <c r="AG139" s="21">
        <v>0.54962200000000005</v>
      </c>
      <c r="AH139" s="21">
        <v>19.479399999999998</v>
      </c>
      <c r="AI139" s="21">
        <v>-1.58142E-2</v>
      </c>
      <c r="AJ139" s="21">
        <v>129</v>
      </c>
      <c r="AK139" s="21">
        <v>0.54891999999999996</v>
      </c>
      <c r="AL139">
        <f t="shared" si="18"/>
        <v>19.523703703703703</v>
      </c>
      <c r="AM139">
        <f t="shared" si="19"/>
        <v>10.730657077037037</v>
      </c>
      <c r="AP139" s="9"/>
      <c r="AQ139" s="21">
        <v>1.15036</v>
      </c>
      <c r="AR139" s="21">
        <v>24.9969</v>
      </c>
      <c r="AS139" s="21">
        <v>-1.51337E-2</v>
      </c>
      <c r="AT139" s="21">
        <v>129</v>
      </c>
      <c r="AU139" s="21">
        <v>1.1492899999999999</v>
      </c>
      <c r="AV139">
        <f t="shared" si="20"/>
        <v>18.683580246913579</v>
      </c>
      <c r="AW139">
        <f t="shared" si="21"/>
        <v>21.492843372839506</v>
      </c>
      <c r="AX139" s="9"/>
      <c r="AY139" s="21">
        <v>0.54962200000000005</v>
      </c>
      <c r="AZ139" s="21">
        <v>28.816099999999999</v>
      </c>
      <c r="BA139" s="21">
        <v>-1.5838600000000001E-2</v>
      </c>
      <c r="BB139" s="21">
        <v>129</v>
      </c>
      <c r="BC139" s="21">
        <v>0.54898100000000005</v>
      </c>
      <c r="BD139">
        <f t="shared" si="22"/>
        <v>19.553827160493825</v>
      </c>
      <c r="BE139">
        <f t="shared" si="23"/>
        <v>10.747213591604938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1.1453199999999999</v>
      </c>
      <c r="H140" s="21">
        <v>6.29155</v>
      </c>
      <c r="I140" s="21">
        <v>-1.50513E-2</v>
      </c>
      <c r="J140" s="21">
        <v>130</v>
      </c>
      <c r="K140" s="21">
        <v>1.1444099999999999</v>
      </c>
      <c r="L140">
        <f t="shared" ref="L140:L203" si="24">-I140/$F$2*1000</f>
        <v>18.581851851851848</v>
      </c>
      <c r="M140">
        <f t="shared" ref="M140:M203" si="25">L140*G140</f>
        <v>21.282166562962956</v>
      </c>
      <c r="N140" s="9"/>
      <c r="O140" s="21">
        <v>0.55465699999999996</v>
      </c>
      <c r="P140" s="21">
        <v>10.1107</v>
      </c>
      <c r="Q140" s="21">
        <v>-1.57349E-2</v>
      </c>
      <c r="R140" s="21">
        <v>130</v>
      </c>
      <c r="S140" s="21">
        <v>0.553925</v>
      </c>
      <c r="T140">
        <f t="shared" ref="T140:T203" si="26">-Q140/$F$2*1000</f>
        <v>19.425802469135803</v>
      </c>
      <c r="U140">
        <f t="shared" ref="U140:U203" si="27">T140*O140</f>
        <v>10.774657320123456</v>
      </c>
      <c r="X140" s="9"/>
      <c r="Y140" s="21">
        <v>1.1453199999999999</v>
      </c>
      <c r="Z140" s="21">
        <v>15.670199999999999</v>
      </c>
      <c r="AA140" s="21">
        <v>-1.5124500000000001E-2</v>
      </c>
      <c r="AB140" s="21">
        <v>130</v>
      </c>
      <c r="AC140" s="21">
        <v>1.1437999999999999</v>
      </c>
      <c r="AD140">
        <f t="shared" ref="AD140:AD203" si="28">-AA140/$F$2*1000</f>
        <v>18.672222222222221</v>
      </c>
      <c r="AE140">
        <f t="shared" ref="AE140:AE203" si="29">AD140*Y140</f>
        <v>21.385669555555552</v>
      </c>
      <c r="AF140" s="9"/>
      <c r="AG140" s="21">
        <v>0.55465699999999996</v>
      </c>
      <c r="AH140" s="21">
        <v>19.4894</v>
      </c>
      <c r="AI140" s="21">
        <v>-1.5808099999999999E-2</v>
      </c>
      <c r="AJ140" s="21">
        <v>130</v>
      </c>
      <c r="AK140" s="21">
        <v>0.55398599999999998</v>
      </c>
      <c r="AL140">
        <f t="shared" ref="AL140:AL203" si="30">-AI140/$F$2*1000</f>
        <v>19.516172839506172</v>
      </c>
      <c r="AM140">
        <f t="shared" ref="AM140:AM203" si="31">AL140*AG140</f>
        <v>10.824781878641975</v>
      </c>
      <c r="AP140" s="9"/>
      <c r="AQ140" s="21">
        <v>1.1453199999999999</v>
      </c>
      <c r="AR140" s="21">
        <v>25.007000000000001</v>
      </c>
      <c r="AS140" s="21">
        <v>-1.51398E-2</v>
      </c>
      <c r="AT140" s="21">
        <v>130</v>
      </c>
      <c r="AU140" s="21">
        <v>1.1440999999999999</v>
      </c>
      <c r="AV140">
        <f t="shared" ref="AV140:AV203" si="32">-AS140/$F$2*1000</f>
        <v>18.691111111111109</v>
      </c>
      <c r="AW140">
        <f t="shared" ref="AW140:AW203" si="33">AV140*AQ140</f>
        <v>21.407303377777772</v>
      </c>
      <c r="AX140" s="9"/>
      <c r="AY140" s="21">
        <v>0.55465699999999996</v>
      </c>
      <c r="AZ140" s="21">
        <v>28.8262</v>
      </c>
      <c r="BA140" s="21">
        <v>-1.5832499999999999E-2</v>
      </c>
      <c r="BB140" s="21">
        <v>130</v>
      </c>
      <c r="BC140" s="21">
        <v>0.55398599999999998</v>
      </c>
      <c r="BD140">
        <f t="shared" ref="BD140:BD203" si="34">-BA140/$F$2*1000</f>
        <v>19.546296296296294</v>
      </c>
      <c r="BE140">
        <f t="shared" ref="BE140:BE203" si="35">BD140*AY140</f>
        <v>10.841490064814813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1.14029</v>
      </c>
      <c r="H141" s="21">
        <v>6.3016199999999998</v>
      </c>
      <c r="I141" s="21">
        <v>-1.50574E-2</v>
      </c>
      <c r="J141" s="21">
        <v>131</v>
      </c>
      <c r="K141" s="21">
        <v>1.1392199999999999</v>
      </c>
      <c r="L141">
        <f t="shared" si="24"/>
        <v>18.589382716049382</v>
      </c>
      <c r="M141">
        <f t="shared" si="25"/>
        <v>21.19728721728395</v>
      </c>
      <c r="N141" s="9"/>
      <c r="O141" s="21">
        <v>0.55969199999999997</v>
      </c>
      <c r="P141" s="21">
        <v>10.120799999999999</v>
      </c>
      <c r="Q141" s="21">
        <v>-1.5728800000000001E-2</v>
      </c>
      <c r="R141" s="21">
        <v>131</v>
      </c>
      <c r="S141" s="21">
        <v>0.55911299999999997</v>
      </c>
      <c r="T141">
        <f t="shared" si="26"/>
        <v>19.418271604938269</v>
      </c>
      <c r="U141">
        <f t="shared" si="27"/>
        <v>10.868251271111109</v>
      </c>
      <c r="X141" s="9"/>
      <c r="Y141" s="21">
        <v>1.14029</v>
      </c>
      <c r="Z141" s="21">
        <v>15.680300000000001</v>
      </c>
      <c r="AA141" s="21">
        <v>-1.5130599999999999E-2</v>
      </c>
      <c r="AB141" s="21">
        <v>131</v>
      </c>
      <c r="AC141" s="21">
        <v>1.1392199999999999</v>
      </c>
      <c r="AD141">
        <f t="shared" si="28"/>
        <v>18.679753086419751</v>
      </c>
      <c r="AE141">
        <f t="shared" si="29"/>
        <v>21.300335646913577</v>
      </c>
      <c r="AF141" s="9"/>
      <c r="AG141" s="21">
        <v>0.55969199999999997</v>
      </c>
      <c r="AH141" s="21">
        <v>19.499500000000001</v>
      </c>
      <c r="AI141" s="21">
        <v>-1.5799000000000001E-2</v>
      </c>
      <c r="AJ141" s="21">
        <v>131</v>
      </c>
      <c r="AK141" s="21">
        <v>0.55868499999999999</v>
      </c>
      <c r="AL141">
        <f t="shared" si="30"/>
        <v>19.504938271604939</v>
      </c>
      <c r="AM141">
        <f t="shared" si="31"/>
        <v>10.916757911111111</v>
      </c>
      <c r="AP141" s="9"/>
      <c r="AQ141" s="21">
        <v>1.14029</v>
      </c>
      <c r="AR141" s="21">
        <v>25.016999999999999</v>
      </c>
      <c r="AS141" s="21">
        <v>-1.51459E-2</v>
      </c>
      <c r="AT141" s="21">
        <v>131</v>
      </c>
      <c r="AU141" s="21">
        <v>1.1398299999999999</v>
      </c>
      <c r="AV141">
        <f t="shared" si="32"/>
        <v>18.698641975308643</v>
      </c>
      <c r="AW141">
        <f t="shared" si="33"/>
        <v>21.321874458024691</v>
      </c>
      <c r="AX141" s="9"/>
      <c r="AY141" s="21">
        <v>0.55969199999999997</v>
      </c>
      <c r="AZ141" s="21">
        <v>28.836200000000002</v>
      </c>
      <c r="BA141" s="21">
        <v>-1.5826400000000001E-2</v>
      </c>
      <c r="BB141" s="21">
        <v>131</v>
      </c>
      <c r="BC141" s="21">
        <v>0.55892900000000001</v>
      </c>
      <c r="BD141">
        <f t="shared" si="34"/>
        <v>19.538765432098767</v>
      </c>
      <c r="BE141">
        <f t="shared" si="35"/>
        <v>10.935690702222223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1.1352500000000001</v>
      </c>
      <c r="H142" s="21">
        <v>6.3116899999999996</v>
      </c>
      <c r="I142" s="21">
        <v>-1.5063500000000001E-2</v>
      </c>
      <c r="J142" s="21">
        <v>132</v>
      </c>
      <c r="K142" s="21">
        <v>1.1346400000000001</v>
      </c>
      <c r="L142">
        <f t="shared" si="24"/>
        <v>18.596913580246913</v>
      </c>
      <c r="M142">
        <f t="shared" si="25"/>
        <v>21.112146141975309</v>
      </c>
      <c r="N142" s="9"/>
      <c r="O142" s="21">
        <v>0.56472800000000001</v>
      </c>
      <c r="P142" s="21">
        <v>10.1309</v>
      </c>
      <c r="Q142" s="21">
        <v>-1.5722699999999999E-2</v>
      </c>
      <c r="R142" s="21">
        <v>132</v>
      </c>
      <c r="S142" s="21">
        <v>0.56387299999999996</v>
      </c>
      <c r="T142">
        <f t="shared" si="26"/>
        <v>19.410740740740739</v>
      </c>
      <c r="U142">
        <f t="shared" si="27"/>
        <v>10.961788797037036</v>
      </c>
      <c r="X142" s="9"/>
      <c r="Y142" s="21">
        <v>1.1352500000000001</v>
      </c>
      <c r="Z142" s="21">
        <v>15.6904</v>
      </c>
      <c r="AA142" s="21">
        <v>-1.5136699999999999E-2</v>
      </c>
      <c r="AB142" s="21">
        <v>132</v>
      </c>
      <c r="AC142" s="21">
        <v>1.1349499999999999</v>
      </c>
      <c r="AD142">
        <f t="shared" si="28"/>
        <v>18.687283950617282</v>
      </c>
      <c r="AE142">
        <f t="shared" si="29"/>
        <v>21.214739104938271</v>
      </c>
      <c r="AF142" s="9"/>
      <c r="AG142" s="21">
        <v>0.56472800000000001</v>
      </c>
      <c r="AH142" s="21">
        <v>19.509599999999999</v>
      </c>
      <c r="AI142" s="21">
        <v>-1.5792799999999999E-2</v>
      </c>
      <c r="AJ142" s="21">
        <v>132</v>
      </c>
      <c r="AK142" s="21">
        <v>0.56393400000000005</v>
      </c>
      <c r="AL142">
        <f t="shared" si="30"/>
        <v>19.49728395061728</v>
      </c>
      <c r="AM142">
        <f t="shared" si="31"/>
        <v>11.010662170864196</v>
      </c>
      <c r="AP142" s="9"/>
      <c r="AQ142" s="21">
        <v>1.1352500000000001</v>
      </c>
      <c r="AR142" s="21">
        <v>25.027100000000001</v>
      </c>
      <c r="AS142" s="21">
        <v>-1.5152000000000001E-2</v>
      </c>
      <c r="AT142" s="21">
        <v>132</v>
      </c>
      <c r="AU142" s="21">
        <v>1.1346400000000001</v>
      </c>
      <c r="AV142">
        <f t="shared" si="32"/>
        <v>18.706172839506173</v>
      </c>
      <c r="AW142">
        <f t="shared" si="33"/>
        <v>21.236182716049385</v>
      </c>
      <c r="AX142" s="9"/>
      <c r="AY142" s="21">
        <v>0.56472800000000001</v>
      </c>
      <c r="AZ142" s="21">
        <v>28.846299999999999</v>
      </c>
      <c r="BA142" s="21">
        <v>-1.5820299999999999E-2</v>
      </c>
      <c r="BB142" s="21">
        <v>132</v>
      </c>
      <c r="BC142" s="21">
        <v>0.56402600000000003</v>
      </c>
      <c r="BD142">
        <f t="shared" si="34"/>
        <v>19.53123456790123</v>
      </c>
      <c r="BE142">
        <f t="shared" si="35"/>
        <v>11.029835035061726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1.13022</v>
      </c>
      <c r="H143" s="21">
        <v>6.3217600000000003</v>
      </c>
      <c r="I143" s="21">
        <v>-1.50665E-2</v>
      </c>
      <c r="J143" s="21">
        <v>133</v>
      </c>
      <c r="K143" s="21">
        <v>1.1294599999999999</v>
      </c>
      <c r="L143">
        <f t="shared" si="24"/>
        <v>18.600617283950616</v>
      </c>
      <c r="M143">
        <f t="shared" si="25"/>
        <v>21.022789666666664</v>
      </c>
      <c r="N143" s="9"/>
      <c r="O143" s="21">
        <v>0.56976300000000002</v>
      </c>
      <c r="P143" s="21">
        <v>10.141</v>
      </c>
      <c r="Q143" s="21">
        <v>-1.5716600000000001E-2</v>
      </c>
      <c r="R143" s="21">
        <v>133</v>
      </c>
      <c r="S143" s="21">
        <v>0.56896999999999998</v>
      </c>
      <c r="T143">
        <f t="shared" si="26"/>
        <v>19.403209876543212</v>
      </c>
      <c r="U143">
        <f t="shared" si="27"/>
        <v>11.05523106888889</v>
      </c>
      <c r="X143" s="9"/>
      <c r="Y143" s="21">
        <v>1.13022</v>
      </c>
      <c r="Z143" s="21">
        <v>15.7005</v>
      </c>
      <c r="AA143" s="21">
        <v>-1.51428E-2</v>
      </c>
      <c r="AB143" s="21">
        <v>133</v>
      </c>
      <c r="AC143" s="21">
        <v>1.1288499999999999</v>
      </c>
      <c r="AD143">
        <f t="shared" si="28"/>
        <v>18.694814814814812</v>
      </c>
      <c r="AE143">
        <f t="shared" si="29"/>
        <v>21.129253599999998</v>
      </c>
      <c r="AF143" s="9"/>
      <c r="AG143" s="21">
        <v>0.56976300000000002</v>
      </c>
      <c r="AH143" s="21">
        <v>19.519600000000001</v>
      </c>
      <c r="AI143" s="21">
        <v>-1.5786700000000001E-2</v>
      </c>
      <c r="AJ143" s="21">
        <v>133</v>
      </c>
      <c r="AK143" s="21">
        <v>0.56927499999999998</v>
      </c>
      <c r="AL143">
        <f t="shared" si="30"/>
        <v>19.489753086419753</v>
      </c>
      <c r="AM143">
        <f t="shared" si="31"/>
        <v>11.104540187777779</v>
      </c>
      <c r="AP143" s="9"/>
      <c r="AQ143" s="21">
        <v>1.13022</v>
      </c>
      <c r="AR143" s="21">
        <v>25.037199999999999</v>
      </c>
      <c r="AS143" s="21">
        <v>-1.5158100000000001E-2</v>
      </c>
      <c r="AT143" s="21">
        <v>133</v>
      </c>
      <c r="AU143" s="21">
        <v>1.1291500000000001</v>
      </c>
      <c r="AV143">
        <f t="shared" si="32"/>
        <v>18.713703703703704</v>
      </c>
      <c r="AW143">
        <f t="shared" si="33"/>
        <v>21.150602200000002</v>
      </c>
      <c r="AX143" s="9"/>
      <c r="AY143" s="21">
        <v>0.56976300000000002</v>
      </c>
      <c r="AZ143" s="21">
        <v>28.856400000000001</v>
      </c>
      <c r="BA143" s="21">
        <v>-1.58142E-2</v>
      </c>
      <c r="BB143" s="21">
        <v>133</v>
      </c>
      <c r="BC143" s="21">
        <v>0.56903099999999995</v>
      </c>
      <c r="BD143">
        <f t="shared" si="34"/>
        <v>19.523703703703703</v>
      </c>
      <c r="BE143">
        <f t="shared" si="35"/>
        <v>11.123883993333333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1.1251800000000001</v>
      </c>
      <c r="H144" s="21">
        <v>6.3318300000000001</v>
      </c>
      <c r="I144" s="21">
        <v>-1.50726E-2</v>
      </c>
      <c r="J144" s="21">
        <v>134</v>
      </c>
      <c r="K144" s="21">
        <v>1.1239600000000001</v>
      </c>
      <c r="L144">
        <f t="shared" si="24"/>
        <v>18.60814814814815</v>
      </c>
      <c r="M144">
        <f t="shared" si="25"/>
        <v>20.937516133333336</v>
      </c>
      <c r="N144" s="9"/>
      <c r="O144" s="21">
        <v>0.57479899999999995</v>
      </c>
      <c r="P144" s="21">
        <v>10.151</v>
      </c>
      <c r="Q144" s="21">
        <v>-1.5710399999999999E-2</v>
      </c>
      <c r="R144" s="21">
        <v>134</v>
      </c>
      <c r="S144" s="21">
        <v>0.57400499999999999</v>
      </c>
      <c r="T144">
        <f t="shared" si="26"/>
        <v>19.395555555555553</v>
      </c>
      <c r="U144">
        <f t="shared" si="27"/>
        <v>11.148545937777776</v>
      </c>
      <c r="X144" s="9"/>
      <c r="Y144" s="21">
        <v>1.1251800000000001</v>
      </c>
      <c r="Z144" s="21">
        <v>15.7105</v>
      </c>
      <c r="AA144" s="21">
        <v>-1.51489E-2</v>
      </c>
      <c r="AB144" s="21">
        <v>134</v>
      </c>
      <c r="AC144" s="21">
        <v>1.1239600000000001</v>
      </c>
      <c r="AD144">
        <f t="shared" si="28"/>
        <v>18.702345679012346</v>
      </c>
      <c r="AE144">
        <f t="shared" si="29"/>
        <v>21.043505311111112</v>
      </c>
      <c r="AF144" s="9"/>
      <c r="AG144" s="21">
        <v>0.57479899999999995</v>
      </c>
      <c r="AH144" s="21">
        <v>19.529699999999998</v>
      </c>
      <c r="AI144" s="21">
        <v>-1.5783700000000001E-2</v>
      </c>
      <c r="AJ144" s="21">
        <v>134</v>
      </c>
      <c r="AK144" s="21">
        <v>0.57424900000000001</v>
      </c>
      <c r="AL144">
        <f t="shared" si="30"/>
        <v>19.486049382716047</v>
      </c>
      <c r="AM144">
        <f t="shared" si="31"/>
        <v>11.2005616991358</v>
      </c>
      <c r="AP144" s="9"/>
      <c r="AQ144" s="21">
        <v>1.1251800000000001</v>
      </c>
      <c r="AR144" s="21">
        <v>25.0473</v>
      </c>
      <c r="AS144" s="21">
        <v>-1.5164199999999999E-2</v>
      </c>
      <c r="AT144" s="21">
        <v>134</v>
      </c>
      <c r="AU144" s="21">
        <v>1.1233500000000001</v>
      </c>
      <c r="AV144">
        <f t="shared" si="32"/>
        <v>18.721234567901234</v>
      </c>
      <c r="AW144">
        <f t="shared" si="33"/>
        <v>21.064758711111111</v>
      </c>
      <c r="AX144" s="9"/>
      <c r="AY144" s="21">
        <v>0.57479899999999995</v>
      </c>
      <c r="AZ144" s="21">
        <v>28.866399999999999</v>
      </c>
      <c r="BA144" s="21">
        <v>-1.5808099999999999E-2</v>
      </c>
      <c r="BB144" s="21">
        <v>134</v>
      </c>
      <c r="BC144" s="21">
        <v>0.57382200000000005</v>
      </c>
      <c r="BD144">
        <f t="shared" si="34"/>
        <v>19.516172839506172</v>
      </c>
      <c r="BE144">
        <f t="shared" si="35"/>
        <v>11.217876631975308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1.12015</v>
      </c>
      <c r="H145" s="21">
        <v>6.3418999999999999</v>
      </c>
      <c r="I145" s="21">
        <v>-1.5081799999999999E-2</v>
      </c>
      <c r="J145" s="21">
        <v>135</v>
      </c>
      <c r="K145" s="21">
        <v>1.1184700000000001</v>
      </c>
      <c r="L145">
        <f t="shared" si="24"/>
        <v>18.619506172839504</v>
      </c>
      <c r="M145">
        <f t="shared" si="25"/>
        <v>20.856639839506169</v>
      </c>
      <c r="N145" s="9"/>
      <c r="O145" s="21">
        <v>0.57983399999999996</v>
      </c>
      <c r="P145" s="21">
        <v>10.161099999999999</v>
      </c>
      <c r="Q145" s="21">
        <v>-1.5704300000000001E-2</v>
      </c>
      <c r="R145" s="21">
        <v>135</v>
      </c>
      <c r="S145" s="21">
        <v>0.57913199999999998</v>
      </c>
      <c r="T145">
        <f t="shared" si="26"/>
        <v>19.388024691358023</v>
      </c>
      <c r="U145">
        <f t="shared" si="27"/>
        <v>11.241835908888888</v>
      </c>
      <c r="X145" s="9"/>
      <c r="Y145" s="21">
        <v>1.12015</v>
      </c>
      <c r="Z145" s="21">
        <v>15.720599999999999</v>
      </c>
      <c r="AA145" s="21">
        <v>-1.5155E-2</v>
      </c>
      <c r="AB145" s="21">
        <v>135</v>
      </c>
      <c r="AC145" s="21">
        <v>1.11938</v>
      </c>
      <c r="AD145">
        <f t="shared" si="28"/>
        <v>18.709876543209877</v>
      </c>
      <c r="AE145">
        <f t="shared" si="29"/>
        <v>20.957868209876544</v>
      </c>
      <c r="AF145" s="9"/>
      <c r="AG145" s="21">
        <v>0.57983399999999996</v>
      </c>
      <c r="AH145" s="21">
        <v>19.5398</v>
      </c>
      <c r="AI145" s="21">
        <v>-1.5777599999999999E-2</v>
      </c>
      <c r="AJ145" s="21">
        <v>135</v>
      </c>
      <c r="AK145" s="21">
        <v>0.578766</v>
      </c>
      <c r="AL145">
        <f t="shared" si="30"/>
        <v>19.478518518518516</v>
      </c>
      <c r="AM145">
        <f t="shared" si="31"/>
        <v>11.294307306666665</v>
      </c>
      <c r="AP145" s="9"/>
      <c r="AQ145" s="21">
        <v>1.12015</v>
      </c>
      <c r="AR145" s="21">
        <v>25.057300000000001</v>
      </c>
      <c r="AS145" s="21">
        <v>-1.5170299999999999E-2</v>
      </c>
      <c r="AT145" s="21">
        <v>135</v>
      </c>
      <c r="AU145" s="21">
        <v>1.1184700000000001</v>
      </c>
      <c r="AV145">
        <f t="shared" si="32"/>
        <v>18.728765432098765</v>
      </c>
      <c r="AW145">
        <f t="shared" si="33"/>
        <v>20.979026598765429</v>
      </c>
      <c r="AX145" s="9"/>
      <c r="AY145" s="21">
        <v>0.57983399999999996</v>
      </c>
      <c r="AZ145" s="21">
        <v>28.8765</v>
      </c>
      <c r="BA145" s="21">
        <v>-1.5802E-2</v>
      </c>
      <c r="BB145" s="21">
        <v>135</v>
      </c>
      <c r="BC145" s="21">
        <v>0.57919299999999996</v>
      </c>
      <c r="BD145">
        <f t="shared" si="34"/>
        <v>19.508641975308638</v>
      </c>
      <c r="BE145">
        <f t="shared" si="35"/>
        <v>11.311773911111109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1.11511</v>
      </c>
      <c r="H146" s="21">
        <v>6.3519800000000002</v>
      </c>
      <c r="I146" s="21">
        <v>-1.50879E-2</v>
      </c>
      <c r="J146" s="21">
        <v>136</v>
      </c>
      <c r="K146" s="21">
        <v>1.1145</v>
      </c>
      <c r="L146">
        <f t="shared" si="24"/>
        <v>18.627037037037034</v>
      </c>
      <c r="M146">
        <f t="shared" si="25"/>
        <v>20.771195270370367</v>
      </c>
      <c r="N146" s="9"/>
      <c r="O146" s="21">
        <v>0.58486899999999997</v>
      </c>
      <c r="P146" s="21">
        <v>10.171200000000001</v>
      </c>
      <c r="Q146" s="21">
        <v>-1.5698199999999999E-2</v>
      </c>
      <c r="R146" s="21">
        <v>136</v>
      </c>
      <c r="S146" s="21">
        <v>0.58413700000000002</v>
      </c>
      <c r="T146">
        <f t="shared" si="26"/>
        <v>19.380493827160493</v>
      </c>
      <c r="U146">
        <f t="shared" si="27"/>
        <v>11.33505004419753</v>
      </c>
      <c r="X146" s="9"/>
      <c r="Y146" s="21">
        <v>1.11511</v>
      </c>
      <c r="Z146" s="21">
        <v>15.730700000000001</v>
      </c>
      <c r="AA146" s="21">
        <v>-1.51611E-2</v>
      </c>
      <c r="AB146" s="21">
        <v>136</v>
      </c>
      <c r="AC146" s="21">
        <v>1.11389</v>
      </c>
      <c r="AD146">
        <f t="shared" si="28"/>
        <v>18.717407407407403</v>
      </c>
      <c r="AE146">
        <f t="shared" si="29"/>
        <v>20.87196817407407</v>
      </c>
      <c r="AF146" s="9"/>
      <c r="AG146" s="21">
        <v>0.58486899999999997</v>
      </c>
      <c r="AH146" s="21">
        <v>19.549900000000001</v>
      </c>
      <c r="AI146" s="21">
        <v>-1.57745E-2</v>
      </c>
      <c r="AJ146" s="21">
        <v>136</v>
      </c>
      <c r="AK146" s="21">
        <v>0.58425899999999997</v>
      </c>
      <c r="AL146">
        <f t="shared" si="30"/>
        <v>19.474691358024693</v>
      </c>
      <c r="AM146">
        <f t="shared" si="31"/>
        <v>11.390143259876544</v>
      </c>
      <c r="AP146" s="9"/>
      <c r="AQ146" s="21">
        <v>1.11511</v>
      </c>
      <c r="AR146" s="21">
        <v>25.067399999999999</v>
      </c>
      <c r="AS146" s="21">
        <v>-1.5173300000000001E-2</v>
      </c>
      <c r="AT146" s="21">
        <v>136</v>
      </c>
      <c r="AU146" s="21">
        <v>1.11389</v>
      </c>
      <c r="AV146">
        <f t="shared" si="32"/>
        <v>18.732469135802468</v>
      </c>
      <c r="AW146">
        <f t="shared" si="33"/>
        <v>20.88876365802469</v>
      </c>
      <c r="AX146" s="9"/>
      <c r="AY146" s="21">
        <v>0.58486899999999997</v>
      </c>
      <c r="AZ146" s="21">
        <v>28.886600000000001</v>
      </c>
      <c r="BA146" s="21">
        <v>-1.5799000000000001E-2</v>
      </c>
      <c r="BB146" s="21">
        <v>136</v>
      </c>
      <c r="BC146" s="21">
        <v>0.58404500000000004</v>
      </c>
      <c r="BD146">
        <f t="shared" si="34"/>
        <v>19.504938271604939</v>
      </c>
      <c r="BE146">
        <f t="shared" si="35"/>
        <v>11.407833741975308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1.11008</v>
      </c>
      <c r="H147" s="21">
        <v>6.36205</v>
      </c>
      <c r="I147" s="21">
        <v>-1.5096999999999999E-2</v>
      </c>
      <c r="J147" s="21">
        <v>137</v>
      </c>
      <c r="K147" s="21">
        <v>1.10931</v>
      </c>
      <c r="L147">
        <f t="shared" si="24"/>
        <v>18.638271604938272</v>
      </c>
      <c r="M147">
        <f t="shared" si="25"/>
        <v>20.689972543209876</v>
      </c>
      <c r="N147" s="9"/>
      <c r="O147" s="21">
        <v>0.58990500000000001</v>
      </c>
      <c r="P147" s="21">
        <v>10.1812</v>
      </c>
      <c r="Q147" s="21">
        <v>-1.5689100000000001E-2</v>
      </c>
      <c r="R147" s="21">
        <v>137</v>
      </c>
      <c r="S147" s="21">
        <v>0.58926400000000001</v>
      </c>
      <c r="T147">
        <f t="shared" si="26"/>
        <v>19.369259259259259</v>
      </c>
      <c r="U147">
        <f t="shared" si="27"/>
        <v>11.426022883333333</v>
      </c>
      <c r="X147" s="9"/>
      <c r="Y147" s="21">
        <v>1.11008</v>
      </c>
      <c r="Z147" s="21">
        <v>15.7407</v>
      </c>
      <c r="AA147" s="21">
        <v>-1.51672E-2</v>
      </c>
      <c r="AB147" s="21">
        <v>137</v>
      </c>
      <c r="AC147" s="21">
        <v>1.1059600000000001</v>
      </c>
      <c r="AD147">
        <f t="shared" si="28"/>
        <v>18.724938271604938</v>
      </c>
      <c r="AE147">
        <f t="shared" si="29"/>
        <v>20.786179476543207</v>
      </c>
      <c r="AF147" s="9"/>
      <c r="AG147" s="21">
        <v>0.58990500000000001</v>
      </c>
      <c r="AH147" s="21">
        <v>19.559899999999999</v>
      </c>
      <c r="AI147" s="21">
        <v>-1.5765399999999999E-2</v>
      </c>
      <c r="AJ147" s="21">
        <v>137</v>
      </c>
      <c r="AK147" s="21">
        <v>0.58911100000000005</v>
      </c>
      <c r="AL147">
        <f t="shared" si="30"/>
        <v>19.463456790123452</v>
      </c>
      <c r="AM147">
        <f t="shared" si="31"/>
        <v>11.481590477777775</v>
      </c>
      <c r="AP147" s="9"/>
      <c r="AQ147" s="21">
        <v>1.11008</v>
      </c>
      <c r="AR147" s="21">
        <v>25.077500000000001</v>
      </c>
      <c r="AS147" s="21">
        <v>-1.5179399999999999E-2</v>
      </c>
      <c r="AT147" s="21">
        <v>137</v>
      </c>
      <c r="AU147" s="21">
        <v>1.1087</v>
      </c>
      <c r="AV147">
        <f t="shared" si="32"/>
        <v>18.739999999999995</v>
      </c>
      <c r="AW147">
        <f t="shared" si="33"/>
        <v>20.802899199999995</v>
      </c>
      <c r="AX147" s="9"/>
      <c r="AY147" s="21">
        <v>0.58990500000000001</v>
      </c>
      <c r="AZ147" s="21">
        <v>28.896699999999999</v>
      </c>
      <c r="BA147" s="21">
        <v>-1.5792799999999999E-2</v>
      </c>
      <c r="BB147" s="21">
        <v>137</v>
      </c>
      <c r="BC147" s="21">
        <v>0.58920300000000003</v>
      </c>
      <c r="BD147">
        <f t="shared" si="34"/>
        <v>19.49728395061728</v>
      </c>
      <c r="BE147">
        <f t="shared" si="35"/>
        <v>11.501545288888886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1.10504</v>
      </c>
      <c r="H148" s="21">
        <v>6.3721199999999998</v>
      </c>
      <c r="I148" s="21">
        <v>-1.51001E-2</v>
      </c>
      <c r="J148" s="21">
        <v>138</v>
      </c>
      <c r="K148" s="21">
        <v>1.10443</v>
      </c>
      <c r="L148">
        <f t="shared" si="24"/>
        <v>18.642098765432099</v>
      </c>
      <c r="M148">
        <f t="shared" si="25"/>
        <v>20.600264819753086</v>
      </c>
      <c r="N148" s="9"/>
      <c r="O148" s="21">
        <v>0.59494000000000002</v>
      </c>
      <c r="P148" s="21">
        <v>10.1913</v>
      </c>
      <c r="Q148" s="21">
        <v>-1.5682999999999999E-2</v>
      </c>
      <c r="R148" s="21">
        <v>138</v>
      </c>
      <c r="S148" s="21">
        <v>0.594391</v>
      </c>
      <c r="T148">
        <f t="shared" si="26"/>
        <v>19.361728395061725</v>
      </c>
      <c r="U148">
        <f t="shared" si="27"/>
        <v>11.519066691358024</v>
      </c>
      <c r="X148" s="9"/>
      <c r="Y148" s="21">
        <v>1.10504</v>
      </c>
      <c r="Z148" s="21">
        <v>15.7508</v>
      </c>
      <c r="AA148" s="21">
        <v>-1.5173300000000001E-2</v>
      </c>
      <c r="AB148" s="21">
        <v>138</v>
      </c>
      <c r="AC148" s="21">
        <v>1.10382</v>
      </c>
      <c r="AD148">
        <f t="shared" si="28"/>
        <v>18.732469135802468</v>
      </c>
      <c r="AE148">
        <f t="shared" si="29"/>
        <v>20.700127693827159</v>
      </c>
      <c r="AF148" s="9"/>
      <c r="AG148" s="21">
        <v>0.59494000000000002</v>
      </c>
      <c r="AH148" s="21">
        <v>19.57</v>
      </c>
      <c r="AI148" s="21">
        <v>-1.57623E-2</v>
      </c>
      <c r="AJ148" s="21">
        <v>138</v>
      </c>
      <c r="AK148" s="21">
        <v>0.59436</v>
      </c>
      <c r="AL148">
        <f t="shared" si="30"/>
        <v>19.459629629629628</v>
      </c>
      <c r="AM148">
        <f t="shared" si="31"/>
        <v>11.577312051851852</v>
      </c>
      <c r="AP148" s="9"/>
      <c r="AQ148" s="21">
        <v>1.10504</v>
      </c>
      <c r="AR148" s="21">
        <v>25.087499999999999</v>
      </c>
      <c r="AS148" s="21">
        <v>-1.5185499999999999E-2</v>
      </c>
      <c r="AT148" s="21">
        <v>138</v>
      </c>
      <c r="AU148" s="21">
        <v>1.1041300000000001</v>
      </c>
      <c r="AV148">
        <f t="shared" si="32"/>
        <v>18.747530864197529</v>
      </c>
      <c r="AW148">
        <f t="shared" si="33"/>
        <v>20.716771506172837</v>
      </c>
      <c r="AX148" s="9"/>
      <c r="AY148" s="21">
        <v>0.59494000000000002</v>
      </c>
      <c r="AZ148" s="21">
        <v>28.906700000000001</v>
      </c>
      <c r="BA148" s="21">
        <v>-1.5786700000000001E-2</v>
      </c>
      <c r="BB148" s="21">
        <v>138</v>
      </c>
      <c r="BC148" s="21">
        <v>0.59420799999999996</v>
      </c>
      <c r="BD148">
        <f t="shared" si="34"/>
        <v>19.489753086419753</v>
      </c>
      <c r="BE148">
        <f t="shared" si="35"/>
        <v>11.595233701234569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1.1000099999999999</v>
      </c>
      <c r="H149" s="21">
        <v>6.3821899999999996</v>
      </c>
      <c r="I149" s="21">
        <v>-1.51062E-2</v>
      </c>
      <c r="J149" s="21">
        <v>139</v>
      </c>
      <c r="K149" s="21">
        <v>1.09863</v>
      </c>
      <c r="L149">
        <f t="shared" si="24"/>
        <v>18.649629629629626</v>
      </c>
      <c r="M149">
        <f t="shared" si="25"/>
        <v>20.514779088888883</v>
      </c>
      <c r="N149" s="9"/>
      <c r="O149" s="21">
        <v>0.59997599999999995</v>
      </c>
      <c r="P149" s="21">
        <v>10.2014</v>
      </c>
      <c r="Q149" s="21">
        <v>-1.5676900000000001E-2</v>
      </c>
      <c r="R149" s="21">
        <v>139</v>
      </c>
      <c r="S149" s="21">
        <v>0.59930399999999995</v>
      </c>
      <c r="T149">
        <f t="shared" si="26"/>
        <v>19.354197530864198</v>
      </c>
      <c r="U149">
        <f t="shared" si="27"/>
        <v>11.612054017777778</v>
      </c>
      <c r="X149" s="9"/>
      <c r="Y149" s="21">
        <v>1.1000099999999999</v>
      </c>
      <c r="Z149" s="21">
        <v>15.760899999999999</v>
      </c>
      <c r="AA149" s="21">
        <v>-1.5179399999999999E-2</v>
      </c>
      <c r="AB149" s="21">
        <v>139</v>
      </c>
      <c r="AC149" s="21">
        <v>1.10138</v>
      </c>
      <c r="AD149">
        <f t="shared" si="28"/>
        <v>18.739999999999995</v>
      </c>
      <c r="AE149">
        <f t="shared" si="29"/>
        <v>20.614187399999992</v>
      </c>
      <c r="AF149" s="9"/>
      <c r="AG149" s="21">
        <v>0.59997599999999995</v>
      </c>
      <c r="AH149" s="21">
        <v>19.580100000000002</v>
      </c>
      <c r="AI149" s="21">
        <v>-1.5753199999999998E-2</v>
      </c>
      <c r="AJ149" s="21">
        <v>139</v>
      </c>
      <c r="AK149" s="21">
        <v>0.59918199999999999</v>
      </c>
      <c r="AL149">
        <f t="shared" si="30"/>
        <v>19.448395061728394</v>
      </c>
      <c r="AM149">
        <f t="shared" si="31"/>
        <v>11.668570275555554</v>
      </c>
      <c r="AP149" s="9"/>
      <c r="AQ149" s="21">
        <v>1.1000099999999999</v>
      </c>
      <c r="AR149" s="21">
        <v>25.0976</v>
      </c>
      <c r="AS149" s="21">
        <v>-1.5191700000000001E-2</v>
      </c>
      <c r="AT149" s="21">
        <v>139</v>
      </c>
      <c r="AU149" s="21">
        <v>1.09894</v>
      </c>
      <c r="AV149">
        <f t="shared" si="32"/>
        <v>18.755185185185184</v>
      </c>
      <c r="AW149">
        <f t="shared" si="33"/>
        <v>20.630891255555554</v>
      </c>
      <c r="AX149" s="9"/>
      <c r="AY149" s="21">
        <v>0.59997599999999995</v>
      </c>
      <c r="AZ149" s="21">
        <v>28.916799999999999</v>
      </c>
      <c r="BA149" s="21">
        <v>-1.5780599999999999E-2</v>
      </c>
      <c r="BB149" s="21">
        <v>139</v>
      </c>
      <c r="BC149" s="21">
        <v>0.599213</v>
      </c>
      <c r="BD149">
        <f t="shared" si="34"/>
        <v>19.482222222222219</v>
      </c>
      <c r="BE149">
        <f t="shared" si="35"/>
        <v>11.688865759999997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1.09497</v>
      </c>
      <c r="H150" s="21">
        <v>6.3922600000000003</v>
      </c>
      <c r="I150" s="21">
        <v>-1.51123E-2</v>
      </c>
      <c r="J150" s="21">
        <v>140</v>
      </c>
      <c r="K150" s="21">
        <v>1.09375</v>
      </c>
      <c r="L150">
        <f t="shared" si="24"/>
        <v>18.65716049382716</v>
      </c>
      <c r="M150">
        <f t="shared" si="25"/>
        <v>20.429031025925926</v>
      </c>
      <c r="N150" s="9"/>
      <c r="O150" s="21">
        <v>0.60501099999999997</v>
      </c>
      <c r="P150" s="21">
        <v>10.211499999999999</v>
      </c>
      <c r="Q150" s="21">
        <v>-1.5670799999999999E-2</v>
      </c>
      <c r="R150" s="21">
        <v>140</v>
      </c>
      <c r="S150" s="21">
        <v>0.60433999999999999</v>
      </c>
      <c r="T150">
        <f t="shared" si="26"/>
        <v>19.346666666666664</v>
      </c>
      <c r="U150">
        <f t="shared" si="27"/>
        <v>11.704946146666664</v>
      </c>
      <c r="X150" s="9"/>
      <c r="Y150" s="21">
        <v>1.09497</v>
      </c>
      <c r="Z150" s="21">
        <v>15.771000000000001</v>
      </c>
      <c r="AA150" s="21">
        <v>-1.51825E-2</v>
      </c>
      <c r="AB150" s="21">
        <v>140</v>
      </c>
      <c r="AC150" s="21">
        <v>1.09406</v>
      </c>
      <c r="AD150">
        <f t="shared" si="28"/>
        <v>18.743827160493826</v>
      </c>
      <c r="AE150">
        <f t="shared" si="29"/>
        <v>20.523928425925924</v>
      </c>
      <c r="AF150" s="9"/>
      <c r="AG150" s="21">
        <v>0.60501099999999997</v>
      </c>
      <c r="AH150" s="21">
        <v>19.5901</v>
      </c>
      <c r="AI150" s="21">
        <v>-1.57471E-2</v>
      </c>
      <c r="AJ150" s="21">
        <v>140</v>
      </c>
      <c r="AK150" s="21">
        <v>0.60476700000000005</v>
      </c>
      <c r="AL150">
        <f t="shared" si="30"/>
        <v>19.44086419753086</v>
      </c>
      <c r="AM150">
        <f t="shared" si="31"/>
        <v>11.761936689012343</v>
      </c>
      <c r="AP150" s="9"/>
      <c r="AQ150" s="21">
        <v>1.09497</v>
      </c>
      <c r="AR150" s="21">
        <v>25.107700000000001</v>
      </c>
      <c r="AS150" s="21">
        <v>-1.52008E-2</v>
      </c>
      <c r="AT150" s="21">
        <v>140</v>
      </c>
      <c r="AU150" s="21">
        <v>1.09406</v>
      </c>
      <c r="AV150">
        <f t="shared" si="32"/>
        <v>18.766419753086421</v>
      </c>
      <c r="AW150">
        <f t="shared" si="33"/>
        <v>20.548666637037037</v>
      </c>
      <c r="AX150" s="9"/>
      <c r="AY150" s="21">
        <v>0.60501099999999997</v>
      </c>
      <c r="AZ150" s="21">
        <v>28.9269</v>
      </c>
      <c r="BA150" s="21">
        <v>-1.57745E-2</v>
      </c>
      <c r="BB150" s="21">
        <v>140</v>
      </c>
      <c r="BC150" s="21">
        <v>0.60409500000000005</v>
      </c>
      <c r="BD150">
        <f t="shared" si="34"/>
        <v>19.474691358024693</v>
      </c>
      <c r="BE150">
        <f t="shared" si="35"/>
        <v>11.782402493209876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1.0899399999999999</v>
      </c>
      <c r="H151" s="21">
        <v>6.4023300000000001</v>
      </c>
      <c r="I151" s="21">
        <v>-1.5115399999999999E-2</v>
      </c>
      <c r="J151" s="21">
        <v>141</v>
      </c>
      <c r="K151" s="21">
        <v>1.08826</v>
      </c>
      <c r="L151">
        <f t="shared" si="24"/>
        <v>18.660987654320987</v>
      </c>
      <c r="M151">
        <f t="shared" si="25"/>
        <v>20.339356883950614</v>
      </c>
      <c r="N151" s="9"/>
      <c r="O151" s="21">
        <v>0.61004599999999998</v>
      </c>
      <c r="P151" s="21">
        <v>10.221500000000001</v>
      </c>
      <c r="Q151" s="21">
        <v>-1.56647E-2</v>
      </c>
      <c r="R151" s="21">
        <v>141</v>
      </c>
      <c r="S151" s="21">
        <v>0.60925300000000004</v>
      </c>
      <c r="T151">
        <f t="shared" si="26"/>
        <v>19.339135802469134</v>
      </c>
      <c r="U151">
        <f t="shared" si="27"/>
        <v>11.797762439753084</v>
      </c>
      <c r="X151" s="9"/>
      <c r="Y151" s="21">
        <v>1.0899399999999999</v>
      </c>
      <c r="Z151" s="21">
        <v>15.781000000000001</v>
      </c>
      <c r="AA151" s="21">
        <v>-1.51886E-2</v>
      </c>
      <c r="AB151" s="21">
        <v>141</v>
      </c>
      <c r="AC151" s="21">
        <v>1.08795</v>
      </c>
      <c r="AD151">
        <f t="shared" si="28"/>
        <v>18.751358024691356</v>
      </c>
      <c r="AE151">
        <f t="shared" si="29"/>
        <v>20.437855165432094</v>
      </c>
      <c r="AF151" s="9"/>
      <c r="AG151" s="21">
        <v>0.61004599999999998</v>
      </c>
      <c r="AH151" s="21">
        <v>19.600200000000001</v>
      </c>
      <c r="AI151" s="21">
        <v>-1.5741000000000002E-2</v>
      </c>
      <c r="AJ151" s="21">
        <v>141</v>
      </c>
      <c r="AK151" s="21">
        <v>0.60852099999999998</v>
      </c>
      <c r="AL151">
        <f t="shared" si="30"/>
        <v>19.433333333333334</v>
      </c>
      <c r="AM151">
        <f t="shared" si="31"/>
        <v>11.855227266666667</v>
      </c>
      <c r="AP151" s="9"/>
      <c r="AQ151" s="21">
        <v>1.0899399999999999</v>
      </c>
      <c r="AR151" s="21">
        <v>25.117799999999999</v>
      </c>
      <c r="AS151" s="21">
        <v>-1.5206900000000001E-2</v>
      </c>
      <c r="AT151" s="21">
        <v>141</v>
      </c>
      <c r="AU151" s="21">
        <v>1.08856</v>
      </c>
      <c r="AV151">
        <f t="shared" si="32"/>
        <v>18.773950617283951</v>
      </c>
      <c r="AW151">
        <f t="shared" si="33"/>
        <v>20.462479735802468</v>
      </c>
      <c r="AX151" s="9"/>
      <c r="AY151" s="21">
        <v>0.61004599999999998</v>
      </c>
      <c r="AZ151" s="21">
        <v>28.936900000000001</v>
      </c>
      <c r="BA151" s="21">
        <v>-1.5768399999999998E-2</v>
      </c>
      <c r="BB151" s="21">
        <v>141</v>
      </c>
      <c r="BC151" s="21">
        <v>0.60913099999999998</v>
      </c>
      <c r="BD151">
        <f t="shared" si="34"/>
        <v>19.467160493827159</v>
      </c>
      <c r="BE151">
        <f t="shared" si="35"/>
        <v>11.875863390617281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1.0849</v>
      </c>
      <c r="H152" s="21">
        <v>6.4123999999999999</v>
      </c>
      <c r="I152" s="21">
        <v>-1.51215E-2</v>
      </c>
      <c r="J152" s="21">
        <v>142</v>
      </c>
      <c r="K152" s="21">
        <v>1.0839799999999999</v>
      </c>
      <c r="L152">
        <f t="shared" si="24"/>
        <v>18.668518518518518</v>
      </c>
      <c r="M152">
        <f t="shared" si="25"/>
        <v>20.25347574074074</v>
      </c>
      <c r="N152" s="9"/>
      <c r="O152" s="21">
        <v>0.61508200000000002</v>
      </c>
      <c r="P152" s="21">
        <v>10.2316</v>
      </c>
      <c r="Q152" s="21">
        <v>-1.5655499999999999E-2</v>
      </c>
      <c r="R152" s="21">
        <v>142</v>
      </c>
      <c r="S152" s="21">
        <v>0.61431899999999995</v>
      </c>
      <c r="T152">
        <f t="shared" si="26"/>
        <v>19.327777777777776</v>
      </c>
      <c r="U152">
        <f t="shared" si="27"/>
        <v>11.888168211111109</v>
      </c>
      <c r="X152" s="9"/>
      <c r="Y152" s="21">
        <v>1.0849</v>
      </c>
      <c r="Z152" s="21">
        <v>15.7911</v>
      </c>
      <c r="AA152" s="21">
        <v>-1.5191700000000001E-2</v>
      </c>
      <c r="AB152" s="21">
        <v>142</v>
      </c>
      <c r="AC152" s="21">
        <v>1.0849</v>
      </c>
      <c r="AD152">
        <f t="shared" si="28"/>
        <v>18.755185185185184</v>
      </c>
      <c r="AE152">
        <f t="shared" si="29"/>
        <v>20.347500407407406</v>
      </c>
      <c r="AF152" s="9"/>
      <c r="AG152" s="21">
        <v>0.61508200000000002</v>
      </c>
      <c r="AH152" s="21">
        <v>19.610299999999999</v>
      </c>
      <c r="AI152" s="21">
        <v>-1.57349E-2</v>
      </c>
      <c r="AJ152" s="21">
        <v>142</v>
      </c>
      <c r="AK152" s="21">
        <v>0.61438000000000004</v>
      </c>
      <c r="AL152">
        <f t="shared" si="30"/>
        <v>19.425802469135803</v>
      </c>
      <c r="AM152">
        <f t="shared" si="31"/>
        <v>11.948461434320988</v>
      </c>
      <c r="AP152" s="9"/>
      <c r="AQ152" s="21">
        <v>1.0849</v>
      </c>
      <c r="AR152" s="21">
        <v>25.127800000000001</v>
      </c>
      <c r="AS152" s="21">
        <v>-1.5213000000000001E-2</v>
      </c>
      <c r="AT152" s="21">
        <v>142</v>
      </c>
      <c r="AU152" s="21">
        <v>1.08368</v>
      </c>
      <c r="AV152">
        <f t="shared" si="32"/>
        <v>18.781481481481482</v>
      </c>
      <c r="AW152">
        <f t="shared" si="33"/>
        <v>20.376029259259258</v>
      </c>
      <c r="AX152" s="9"/>
      <c r="AY152" s="21">
        <v>0.61508200000000002</v>
      </c>
      <c r="AZ152" s="21">
        <v>28.946999999999999</v>
      </c>
      <c r="BA152" s="21">
        <v>-1.57623E-2</v>
      </c>
      <c r="BB152" s="21">
        <v>142</v>
      </c>
      <c r="BC152" s="21">
        <v>0.61428799999999995</v>
      </c>
      <c r="BD152">
        <f t="shared" si="34"/>
        <v>19.459629629629628</v>
      </c>
      <c r="BE152">
        <f t="shared" si="35"/>
        <v>11.969267911851851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1.07986</v>
      </c>
      <c r="H153" s="21">
        <v>6.4224699999999997</v>
      </c>
      <c r="I153" s="21">
        <v>-1.51276E-2</v>
      </c>
      <c r="J153" s="21">
        <v>143</v>
      </c>
      <c r="K153" s="21">
        <v>1.07819</v>
      </c>
      <c r="L153">
        <f t="shared" si="24"/>
        <v>18.676049382716048</v>
      </c>
      <c r="M153">
        <f t="shared" si="25"/>
        <v>20.167518686419754</v>
      </c>
      <c r="N153" s="9"/>
      <c r="O153" s="21">
        <v>0.62011700000000003</v>
      </c>
      <c r="P153" s="21">
        <v>10.2417</v>
      </c>
      <c r="Q153" s="21">
        <v>-1.56525E-2</v>
      </c>
      <c r="R153" s="21">
        <v>143</v>
      </c>
      <c r="S153" s="21">
        <v>0.61944600000000005</v>
      </c>
      <c r="T153">
        <f t="shared" si="26"/>
        <v>19.324074074074073</v>
      </c>
      <c r="U153">
        <f t="shared" si="27"/>
        <v>11.983186842592593</v>
      </c>
      <c r="X153" s="9"/>
      <c r="Y153" s="21">
        <v>1.07986</v>
      </c>
      <c r="Z153" s="21">
        <v>15.8012</v>
      </c>
      <c r="AA153" s="21">
        <v>-1.5197799999999999E-2</v>
      </c>
      <c r="AB153" s="21">
        <v>143</v>
      </c>
      <c r="AC153" s="21">
        <v>1.0788</v>
      </c>
      <c r="AD153">
        <f t="shared" si="28"/>
        <v>18.762716049382714</v>
      </c>
      <c r="AE153">
        <f t="shared" si="29"/>
        <v>20.261106553086417</v>
      </c>
      <c r="AF153" s="9"/>
      <c r="AG153" s="21">
        <v>0.62011700000000003</v>
      </c>
      <c r="AH153" s="21">
        <v>19.6204</v>
      </c>
      <c r="AI153" s="21">
        <v>-1.5728800000000001E-2</v>
      </c>
      <c r="AJ153" s="21">
        <v>143</v>
      </c>
      <c r="AK153" s="21">
        <v>0.619537</v>
      </c>
      <c r="AL153">
        <f t="shared" si="30"/>
        <v>19.418271604938269</v>
      </c>
      <c r="AM153">
        <f t="shared" si="31"/>
        <v>12.041600332839506</v>
      </c>
      <c r="AP153" s="9"/>
      <c r="AQ153" s="21">
        <v>1.07986</v>
      </c>
      <c r="AR153" s="21">
        <v>25.137899999999998</v>
      </c>
      <c r="AS153" s="21">
        <v>-1.5219099999999999E-2</v>
      </c>
      <c r="AT153" s="21">
        <v>143</v>
      </c>
      <c r="AU153" s="21">
        <v>1.07819</v>
      </c>
      <c r="AV153">
        <f t="shared" si="32"/>
        <v>18.789012345679012</v>
      </c>
      <c r="AW153">
        <f t="shared" si="33"/>
        <v>20.289502871604938</v>
      </c>
      <c r="AX153" s="9"/>
      <c r="AY153" s="21">
        <v>0.62011700000000003</v>
      </c>
      <c r="AZ153" s="21">
        <v>28.957100000000001</v>
      </c>
      <c r="BA153" s="21">
        <v>-1.5753199999999998E-2</v>
      </c>
      <c r="BB153" s="21">
        <v>143</v>
      </c>
      <c r="BC153" s="21">
        <v>0.61956800000000001</v>
      </c>
      <c r="BD153">
        <f t="shared" si="34"/>
        <v>19.448395061728394</v>
      </c>
      <c r="BE153">
        <f t="shared" si="35"/>
        <v>12.060280400493827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1.07483</v>
      </c>
      <c r="H154" s="21">
        <v>6.4325400000000004</v>
      </c>
      <c r="I154" s="21">
        <v>-1.51337E-2</v>
      </c>
      <c r="J154" s="21">
        <v>144</v>
      </c>
      <c r="K154" s="21">
        <v>1.07422</v>
      </c>
      <c r="L154">
        <f t="shared" si="24"/>
        <v>18.683580246913579</v>
      </c>
      <c r="M154">
        <f t="shared" si="25"/>
        <v>20.081672556790121</v>
      </c>
      <c r="N154" s="9"/>
      <c r="O154" s="21">
        <v>0.62515299999999996</v>
      </c>
      <c r="P154" s="21">
        <v>10.2517</v>
      </c>
      <c r="Q154" s="21">
        <v>-1.5649400000000001E-2</v>
      </c>
      <c r="R154" s="21">
        <v>144</v>
      </c>
      <c r="S154" s="21">
        <v>0.62402299999999999</v>
      </c>
      <c r="T154">
        <f t="shared" si="26"/>
        <v>19.320246913580245</v>
      </c>
      <c r="U154">
        <f t="shared" si="27"/>
        <v>12.078110318765431</v>
      </c>
      <c r="X154" s="9"/>
      <c r="Y154" s="21">
        <v>1.07483</v>
      </c>
      <c r="Z154" s="21">
        <v>15.811199999999999</v>
      </c>
      <c r="AA154" s="21">
        <v>-1.5203899999999999E-2</v>
      </c>
      <c r="AB154" s="21">
        <v>144</v>
      </c>
      <c r="AC154" s="21">
        <v>1.07361</v>
      </c>
      <c r="AD154">
        <f t="shared" si="28"/>
        <v>18.770246913580245</v>
      </c>
      <c r="AE154">
        <f t="shared" si="29"/>
        <v>20.174824490123452</v>
      </c>
      <c r="AF154" s="9"/>
      <c r="AG154" s="21">
        <v>0.62515299999999996</v>
      </c>
      <c r="AH154" s="21">
        <v>19.630400000000002</v>
      </c>
      <c r="AI154" s="21">
        <v>-1.5725699999999999E-2</v>
      </c>
      <c r="AJ154" s="21">
        <v>144</v>
      </c>
      <c r="AK154" s="21">
        <v>0.62445099999999998</v>
      </c>
      <c r="AL154">
        <f t="shared" si="30"/>
        <v>19.414444444444442</v>
      </c>
      <c r="AM154">
        <f t="shared" si="31"/>
        <v>12.136998187777776</v>
      </c>
      <c r="AP154" s="9"/>
      <c r="AQ154" s="21">
        <v>1.07483</v>
      </c>
      <c r="AR154" s="21">
        <v>25.148</v>
      </c>
      <c r="AS154" s="21">
        <v>-1.5225199999999999E-2</v>
      </c>
      <c r="AT154" s="21">
        <v>144</v>
      </c>
      <c r="AU154" s="21">
        <v>1.07361</v>
      </c>
      <c r="AV154">
        <f t="shared" si="32"/>
        <v>18.796543209876543</v>
      </c>
      <c r="AW154">
        <f t="shared" si="33"/>
        <v>20.203088538271604</v>
      </c>
      <c r="AX154" s="9"/>
      <c r="AY154" s="21">
        <v>0.62515299999999996</v>
      </c>
      <c r="AZ154" s="21">
        <v>28.967199999999998</v>
      </c>
      <c r="BA154" s="21">
        <v>-1.57471E-2</v>
      </c>
      <c r="BB154" s="21">
        <v>144</v>
      </c>
      <c r="BC154" s="21">
        <v>0.62441999999999998</v>
      </c>
      <c r="BD154">
        <f t="shared" si="34"/>
        <v>19.44086419753086</v>
      </c>
      <c r="BE154">
        <f t="shared" si="35"/>
        <v>12.15351457567901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1.06979</v>
      </c>
      <c r="H155" s="21">
        <v>6.4426100000000002</v>
      </c>
      <c r="I155" s="21">
        <v>-1.51398E-2</v>
      </c>
      <c r="J155" s="21">
        <v>145</v>
      </c>
      <c r="K155" s="21">
        <v>1.0690299999999999</v>
      </c>
      <c r="L155">
        <f t="shared" si="24"/>
        <v>18.691111111111109</v>
      </c>
      <c r="M155">
        <f t="shared" si="25"/>
        <v>19.995563755555555</v>
      </c>
      <c r="N155" s="9"/>
      <c r="O155" s="21">
        <v>0.63018799999999997</v>
      </c>
      <c r="P155" s="21">
        <v>10.261799999999999</v>
      </c>
      <c r="Q155" s="21">
        <v>-1.5643299999999999E-2</v>
      </c>
      <c r="R155" s="21">
        <v>145</v>
      </c>
      <c r="S155" s="21">
        <v>0.62963899999999995</v>
      </c>
      <c r="T155">
        <f t="shared" si="26"/>
        <v>19.312716049382715</v>
      </c>
      <c r="U155">
        <f t="shared" si="27"/>
        <v>12.170641901728393</v>
      </c>
      <c r="X155" s="9"/>
      <c r="Y155" s="21">
        <v>1.06979</v>
      </c>
      <c r="Z155" s="21">
        <v>15.821300000000001</v>
      </c>
      <c r="AA155" s="21">
        <v>-1.521E-2</v>
      </c>
      <c r="AB155" s="21">
        <v>145</v>
      </c>
      <c r="AC155" s="21">
        <v>1.06873</v>
      </c>
      <c r="AD155">
        <f t="shared" si="28"/>
        <v>18.777777777777775</v>
      </c>
      <c r="AE155">
        <f t="shared" si="29"/>
        <v>20.088278888888887</v>
      </c>
      <c r="AF155" s="9"/>
      <c r="AG155" s="21">
        <v>0.63018799999999997</v>
      </c>
      <c r="AH155" s="21">
        <v>19.640499999999999</v>
      </c>
      <c r="AI155" s="21">
        <v>-1.57196E-2</v>
      </c>
      <c r="AJ155" s="21">
        <v>145</v>
      </c>
      <c r="AK155" s="21">
        <v>0.62930299999999995</v>
      </c>
      <c r="AL155">
        <f t="shared" si="30"/>
        <v>19.406913580246911</v>
      </c>
      <c r="AM155">
        <f t="shared" si="31"/>
        <v>12.23000405530864</v>
      </c>
      <c r="AP155" s="9"/>
      <c r="AQ155" s="21">
        <v>1.06979</v>
      </c>
      <c r="AR155" s="21">
        <v>25.158000000000001</v>
      </c>
      <c r="AS155" s="21">
        <v>-1.52283E-2</v>
      </c>
      <c r="AT155" s="21">
        <v>145</v>
      </c>
      <c r="AU155" s="21">
        <v>1.0690299999999999</v>
      </c>
      <c r="AV155">
        <f t="shared" si="32"/>
        <v>18.80037037037037</v>
      </c>
      <c r="AW155">
        <f t="shared" si="33"/>
        <v>20.112448218518519</v>
      </c>
      <c r="AX155" s="9"/>
      <c r="AY155" s="21">
        <v>0.63018799999999997</v>
      </c>
      <c r="AZ155" s="21">
        <v>28.9772</v>
      </c>
      <c r="BA155" s="21">
        <v>-1.5744000000000001E-2</v>
      </c>
      <c r="BB155" s="21">
        <v>145</v>
      </c>
      <c r="BC155" s="21">
        <v>0.62930299999999995</v>
      </c>
      <c r="BD155">
        <f t="shared" si="34"/>
        <v>19.437037037037037</v>
      </c>
      <c r="BE155">
        <f t="shared" si="35"/>
        <v>12.248987496296296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1.0647599999999999</v>
      </c>
      <c r="H156" s="21">
        <v>6.4526899999999996</v>
      </c>
      <c r="I156" s="21">
        <v>-1.51459E-2</v>
      </c>
      <c r="J156" s="21">
        <v>146</v>
      </c>
      <c r="K156" s="21">
        <v>1.0638399999999999</v>
      </c>
      <c r="L156">
        <f t="shared" si="24"/>
        <v>18.698641975308643</v>
      </c>
      <c r="M156">
        <f t="shared" si="25"/>
        <v>19.90956602962963</v>
      </c>
      <c r="N156" s="9"/>
      <c r="O156" s="21">
        <v>0.63522299999999998</v>
      </c>
      <c r="P156" s="21">
        <v>10.2719</v>
      </c>
      <c r="Q156" s="21">
        <v>-1.56372E-2</v>
      </c>
      <c r="R156" s="21">
        <v>146</v>
      </c>
      <c r="S156" s="21">
        <v>0.63446000000000002</v>
      </c>
      <c r="T156">
        <f t="shared" si="26"/>
        <v>19.305185185185184</v>
      </c>
      <c r="U156">
        <f t="shared" si="27"/>
        <v>12.263097648888888</v>
      </c>
      <c r="X156" s="9"/>
      <c r="Y156" s="21">
        <v>1.0647599999999999</v>
      </c>
      <c r="Z156" s="21">
        <v>15.8314</v>
      </c>
      <c r="AA156" s="21">
        <v>-1.5213000000000001E-2</v>
      </c>
      <c r="AB156" s="21">
        <v>146</v>
      </c>
      <c r="AC156" s="21">
        <v>1.0641499999999999</v>
      </c>
      <c r="AD156">
        <f t="shared" si="28"/>
        <v>18.781481481481482</v>
      </c>
      <c r="AE156">
        <f t="shared" si="29"/>
        <v>19.997770222222222</v>
      </c>
      <c r="AF156" s="9"/>
      <c r="AG156" s="21">
        <v>0.63522299999999998</v>
      </c>
      <c r="AH156" s="21">
        <v>19.650600000000001</v>
      </c>
      <c r="AI156" s="21">
        <v>-1.5713499999999998E-2</v>
      </c>
      <c r="AJ156" s="21">
        <v>146</v>
      </c>
      <c r="AK156" s="21">
        <v>0.63470499999999996</v>
      </c>
      <c r="AL156">
        <f t="shared" si="30"/>
        <v>19.399382716049381</v>
      </c>
      <c r="AM156">
        <f t="shared" si="31"/>
        <v>12.322934087037035</v>
      </c>
      <c r="AP156" s="9"/>
      <c r="AQ156" s="21">
        <v>1.0647599999999999</v>
      </c>
      <c r="AR156" s="21">
        <v>25.168099999999999</v>
      </c>
      <c r="AS156" s="21">
        <v>-1.52344E-2</v>
      </c>
      <c r="AT156" s="21">
        <v>146</v>
      </c>
      <c r="AU156" s="21">
        <v>1.0641499999999999</v>
      </c>
      <c r="AV156">
        <f t="shared" si="32"/>
        <v>18.8079012345679</v>
      </c>
      <c r="AW156">
        <f t="shared" si="33"/>
        <v>20.025900918518516</v>
      </c>
      <c r="AX156" s="9"/>
      <c r="AY156" s="21">
        <v>0.63522299999999998</v>
      </c>
      <c r="AZ156" s="21">
        <v>28.987300000000001</v>
      </c>
      <c r="BA156" s="21">
        <v>-1.5737899999999999E-2</v>
      </c>
      <c r="BB156" s="21">
        <v>146</v>
      </c>
      <c r="BC156" s="21">
        <v>0.63461299999999998</v>
      </c>
      <c r="BD156">
        <f t="shared" si="34"/>
        <v>19.429506172839503</v>
      </c>
      <c r="BE156">
        <f t="shared" si="35"/>
        <v>12.342069199629627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1.05972</v>
      </c>
      <c r="H157" s="21">
        <v>6.4627600000000003</v>
      </c>
      <c r="I157" s="21">
        <v>-1.5152000000000001E-2</v>
      </c>
      <c r="J157" s="21">
        <v>147</v>
      </c>
      <c r="K157" s="21">
        <v>1.0577399999999999</v>
      </c>
      <c r="L157">
        <f t="shared" si="24"/>
        <v>18.706172839506173</v>
      </c>
      <c r="M157">
        <f t="shared" si="25"/>
        <v>19.823305481481484</v>
      </c>
      <c r="N157" s="9"/>
      <c r="O157" s="21">
        <v>0.64025900000000002</v>
      </c>
      <c r="P157" s="21">
        <v>10.2819</v>
      </c>
      <c r="Q157" s="21">
        <v>-1.5631099999999998E-2</v>
      </c>
      <c r="R157" s="21">
        <v>147</v>
      </c>
      <c r="S157" s="21">
        <v>0.63946499999999995</v>
      </c>
      <c r="T157">
        <f t="shared" si="26"/>
        <v>19.29765432098765</v>
      </c>
      <c r="U157">
        <f t="shared" si="27"/>
        <v>12.355496857901233</v>
      </c>
      <c r="X157" s="9"/>
      <c r="Y157" s="21">
        <v>1.05972</v>
      </c>
      <c r="Z157" s="21">
        <v>15.8415</v>
      </c>
      <c r="AA157" s="21">
        <v>-1.52222E-2</v>
      </c>
      <c r="AB157" s="21">
        <v>147</v>
      </c>
      <c r="AC157" s="21">
        <v>1.0589599999999999</v>
      </c>
      <c r="AD157">
        <f t="shared" si="28"/>
        <v>18.792839506172839</v>
      </c>
      <c r="AE157">
        <f t="shared" si="29"/>
        <v>19.915147881481481</v>
      </c>
      <c r="AF157" s="9"/>
      <c r="AG157" s="21">
        <v>0.64025900000000002</v>
      </c>
      <c r="AH157" s="21">
        <v>19.660599999999999</v>
      </c>
      <c r="AI157" s="21">
        <v>-1.5713499999999998E-2</v>
      </c>
      <c r="AJ157" s="21">
        <v>147</v>
      </c>
      <c r="AK157" s="21">
        <v>0.63961800000000002</v>
      </c>
      <c r="AL157">
        <f t="shared" si="30"/>
        <v>19.399382716049381</v>
      </c>
      <c r="AM157">
        <f t="shared" si="31"/>
        <v>12.420629378395061</v>
      </c>
      <c r="AP157" s="9"/>
      <c r="AQ157" s="21">
        <v>1.05972</v>
      </c>
      <c r="AR157" s="21">
        <v>25.1782</v>
      </c>
      <c r="AS157" s="21">
        <v>-1.5240500000000001E-2</v>
      </c>
      <c r="AT157" s="21">
        <v>147</v>
      </c>
      <c r="AU157" s="21">
        <v>1.0583499999999999</v>
      </c>
      <c r="AV157">
        <f t="shared" si="32"/>
        <v>18.815432098765431</v>
      </c>
      <c r="AW157">
        <f t="shared" si="33"/>
        <v>19.939089703703701</v>
      </c>
      <c r="AX157" s="9"/>
      <c r="AY157" s="21">
        <v>0.64025900000000002</v>
      </c>
      <c r="AZ157" s="21">
        <v>28.997399999999999</v>
      </c>
      <c r="BA157" s="21">
        <v>-1.5731800000000001E-2</v>
      </c>
      <c r="BB157" s="21">
        <v>147</v>
      </c>
      <c r="BC157" s="21">
        <v>0.63964799999999999</v>
      </c>
      <c r="BD157">
        <f t="shared" si="34"/>
        <v>19.421975308641976</v>
      </c>
      <c r="BE157">
        <f t="shared" si="35"/>
        <v>12.435094489135803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1.0546899999999999</v>
      </c>
      <c r="H158" s="21">
        <v>6.4728300000000001</v>
      </c>
      <c r="I158" s="21">
        <v>-1.5155E-2</v>
      </c>
      <c r="J158" s="21">
        <v>148</v>
      </c>
      <c r="K158" s="21">
        <v>1.0534699999999999</v>
      </c>
      <c r="L158">
        <f t="shared" si="24"/>
        <v>18.709876543209877</v>
      </c>
      <c r="M158">
        <f t="shared" si="25"/>
        <v>19.733119691358024</v>
      </c>
      <c r="N158" s="9"/>
      <c r="O158" s="21">
        <v>0.64529400000000003</v>
      </c>
      <c r="P158" s="21">
        <v>10.292</v>
      </c>
      <c r="Q158" s="21">
        <v>-1.5628099999999999E-2</v>
      </c>
      <c r="R158" s="21">
        <v>148</v>
      </c>
      <c r="S158" s="21">
        <v>0.64453099999999997</v>
      </c>
      <c r="T158">
        <f t="shared" si="26"/>
        <v>19.293950617283947</v>
      </c>
      <c r="U158">
        <f t="shared" si="27"/>
        <v>12.450270569629629</v>
      </c>
      <c r="X158" s="9"/>
      <c r="Y158" s="21">
        <v>1.0546899999999999</v>
      </c>
      <c r="Z158" s="21">
        <v>15.8515</v>
      </c>
      <c r="AA158" s="21">
        <v>-1.5225199999999999E-2</v>
      </c>
      <c r="AB158" s="21">
        <v>148</v>
      </c>
      <c r="AC158" s="21">
        <v>1.0540799999999999</v>
      </c>
      <c r="AD158">
        <f t="shared" si="28"/>
        <v>18.796543209876543</v>
      </c>
      <c r="AE158">
        <f t="shared" si="29"/>
        <v>19.824526158024689</v>
      </c>
      <c r="AF158" s="9"/>
      <c r="AG158" s="21">
        <v>0.64529400000000003</v>
      </c>
      <c r="AH158" s="21">
        <v>19.6707</v>
      </c>
      <c r="AI158" s="21">
        <v>-1.5701300000000001E-2</v>
      </c>
      <c r="AJ158" s="21">
        <v>148</v>
      </c>
      <c r="AK158" s="21">
        <v>0.64483599999999996</v>
      </c>
      <c r="AL158">
        <f t="shared" si="30"/>
        <v>19.384320987654323</v>
      </c>
      <c r="AM158">
        <f t="shared" si="31"/>
        <v>12.508586027407409</v>
      </c>
      <c r="AP158" s="9"/>
      <c r="AQ158" s="21">
        <v>1.0546899999999999</v>
      </c>
      <c r="AR158" s="21">
        <v>25.188300000000002</v>
      </c>
      <c r="AS158" s="21">
        <v>-1.52435E-2</v>
      </c>
      <c r="AT158" s="21">
        <v>148</v>
      </c>
      <c r="AU158" s="21">
        <v>1.0537700000000001</v>
      </c>
      <c r="AV158">
        <f t="shared" si="32"/>
        <v>18.819135802469134</v>
      </c>
      <c r="AW158">
        <f t="shared" si="33"/>
        <v>19.848354339506169</v>
      </c>
      <c r="AX158" s="9"/>
      <c r="AY158" s="21">
        <v>0.64529400000000003</v>
      </c>
      <c r="AZ158" s="21">
        <v>29.007400000000001</v>
      </c>
      <c r="BA158" s="21">
        <v>-1.5725699999999999E-2</v>
      </c>
      <c r="BB158" s="21">
        <v>148</v>
      </c>
      <c r="BC158" s="21">
        <v>0.64550799999999997</v>
      </c>
      <c r="BD158">
        <f t="shared" si="34"/>
        <v>19.414444444444442</v>
      </c>
      <c r="BE158">
        <f t="shared" si="35"/>
        <v>12.528024513333332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1.04965</v>
      </c>
      <c r="H159" s="21">
        <v>6.4828999999999999</v>
      </c>
      <c r="I159" s="21">
        <v>-1.51611E-2</v>
      </c>
      <c r="J159" s="21">
        <v>149</v>
      </c>
      <c r="K159" s="21">
        <v>1.0488900000000001</v>
      </c>
      <c r="L159">
        <f t="shared" si="24"/>
        <v>18.717407407407403</v>
      </c>
      <c r="M159">
        <f t="shared" si="25"/>
        <v>19.646726685185179</v>
      </c>
      <c r="N159" s="9"/>
      <c r="O159" s="21">
        <v>0.65032999999999996</v>
      </c>
      <c r="P159" s="21">
        <v>10.302099999999999</v>
      </c>
      <c r="Q159" s="21">
        <v>-1.5621899999999999E-2</v>
      </c>
      <c r="R159" s="21">
        <v>149</v>
      </c>
      <c r="S159" s="21">
        <v>0.64968899999999996</v>
      </c>
      <c r="T159">
        <f t="shared" si="26"/>
        <v>19.286296296296296</v>
      </c>
      <c r="U159">
        <f t="shared" si="27"/>
        <v>12.54245707037037</v>
      </c>
      <c r="X159" s="9"/>
      <c r="Y159" s="21">
        <v>1.04965</v>
      </c>
      <c r="Z159" s="21">
        <v>15.861599999999999</v>
      </c>
      <c r="AA159" s="21">
        <v>-1.52313E-2</v>
      </c>
      <c r="AB159" s="21">
        <v>149</v>
      </c>
      <c r="AC159" s="21">
        <v>1.0516399999999999</v>
      </c>
      <c r="AD159">
        <f t="shared" si="28"/>
        <v>18.804074074074073</v>
      </c>
      <c r="AE159">
        <f t="shared" si="29"/>
        <v>19.737696351851849</v>
      </c>
      <c r="AF159" s="9"/>
      <c r="AG159" s="21">
        <v>0.65032999999999996</v>
      </c>
      <c r="AH159" s="21">
        <v>19.680800000000001</v>
      </c>
      <c r="AI159" s="21">
        <v>-1.5695199999999999E-2</v>
      </c>
      <c r="AJ159" s="21">
        <v>149</v>
      </c>
      <c r="AK159" s="21">
        <v>0.64968899999999996</v>
      </c>
      <c r="AL159">
        <f t="shared" si="30"/>
        <v>19.376790123456789</v>
      </c>
      <c r="AM159">
        <f t="shared" si="31"/>
        <v>12.601307920987653</v>
      </c>
      <c r="AP159" s="9"/>
      <c r="AQ159" s="21">
        <v>1.04965</v>
      </c>
      <c r="AR159" s="21">
        <v>25.1983</v>
      </c>
      <c r="AS159" s="21">
        <v>-1.52496E-2</v>
      </c>
      <c r="AT159" s="21">
        <v>149</v>
      </c>
      <c r="AU159" s="21">
        <v>1.0485800000000001</v>
      </c>
      <c r="AV159">
        <f t="shared" si="32"/>
        <v>18.826666666666664</v>
      </c>
      <c r="AW159">
        <f t="shared" si="33"/>
        <v>19.761410666666663</v>
      </c>
      <c r="AX159" s="9"/>
      <c r="AY159" s="21">
        <v>0.65032999999999996</v>
      </c>
      <c r="AZ159" s="21">
        <v>29.017499999999998</v>
      </c>
      <c r="BA159" s="21">
        <v>-1.5722699999999999E-2</v>
      </c>
      <c r="BB159" s="21">
        <v>149</v>
      </c>
      <c r="BC159" s="21">
        <v>0.64932299999999998</v>
      </c>
      <c r="BD159">
        <f t="shared" si="34"/>
        <v>19.410740740740739</v>
      </c>
      <c r="BE159">
        <f t="shared" si="35"/>
        <v>12.623387025925924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1.0446200000000001</v>
      </c>
      <c r="H160" s="21">
        <v>6.4929699999999997</v>
      </c>
      <c r="I160" s="21">
        <v>-1.5164199999999999E-2</v>
      </c>
      <c r="J160" s="21">
        <v>150</v>
      </c>
      <c r="K160" s="21">
        <v>1.0430900000000001</v>
      </c>
      <c r="L160">
        <f t="shared" si="24"/>
        <v>18.721234567901234</v>
      </c>
      <c r="M160">
        <f t="shared" si="25"/>
        <v>19.556576054320988</v>
      </c>
      <c r="N160" s="9"/>
      <c r="O160" s="21">
        <v>0.65536499999999998</v>
      </c>
      <c r="P160" s="21">
        <v>10.312200000000001</v>
      </c>
      <c r="Q160" s="21">
        <v>-1.5615800000000001E-2</v>
      </c>
      <c r="R160" s="21">
        <v>150</v>
      </c>
      <c r="S160" s="21">
        <v>0.65444899999999995</v>
      </c>
      <c r="T160">
        <f t="shared" si="26"/>
        <v>19.278765432098766</v>
      </c>
      <c r="U160">
        <f t="shared" si="27"/>
        <v>12.634628107407407</v>
      </c>
      <c r="X160" s="9"/>
      <c r="Y160" s="21">
        <v>1.0446200000000001</v>
      </c>
      <c r="Z160" s="21">
        <v>15.871700000000001</v>
      </c>
      <c r="AA160" s="21">
        <v>-1.52344E-2</v>
      </c>
      <c r="AB160" s="21">
        <v>150</v>
      </c>
      <c r="AC160" s="21">
        <v>1.04034</v>
      </c>
      <c r="AD160">
        <f t="shared" si="28"/>
        <v>18.8079012345679</v>
      </c>
      <c r="AE160">
        <f t="shared" si="29"/>
        <v>19.647109787654323</v>
      </c>
      <c r="AF160" s="9"/>
      <c r="AG160" s="21">
        <v>0.65536499999999998</v>
      </c>
      <c r="AH160" s="21">
        <v>19.690899999999999</v>
      </c>
      <c r="AI160" s="21">
        <v>-1.5689100000000001E-2</v>
      </c>
      <c r="AJ160" s="21">
        <v>150</v>
      </c>
      <c r="AK160" s="21">
        <v>0.65478499999999995</v>
      </c>
      <c r="AL160">
        <f t="shared" si="30"/>
        <v>19.369259259259259</v>
      </c>
      <c r="AM160">
        <f t="shared" si="31"/>
        <v>12.693934594444444</v>
      </c>
      <c r="AP160" s="9"/>
      <c r="AQ160" s="21">
        <v>1.0446200000000001</v>
      </c>
      <c r="AR160" s="21">
        <v>25.208400000000001</v>
      </c>
      <c r="AS160" s="21">
        <v>-1.5255700000000001E-2</v>
      </c>
      <c r="AT160" s="21">
        <v>150</v>
      </c>
      <c r="AU160" s="21">
        <v>1.0434000000000001</v>
      </c>
      <c r="AV160">
        <f t="shared" si="32"/>
        <v>18.834197530864198</v>
      </c>
      <c r="AW160">
        <f t="shared" si="33"/>
        <v>19.674579424691363</v>
      </c>
      <c r="AX160" s="9"/>
      <c r="AY160" s="21">
        <v>0.65536499999999998</v>
      </c>
      <c r="AZ160" s="21">
        <v>29.0276</v>
      </c>
      <c r="BA160" s="21">
        <v>-1.5716600000000001E-2</v>
      </c>
      <c r="BB160" s="21">
        <v>150</v>
      </c>
      <c r="BC160" s="21">
        <v>0.65484600000000004</v>
      </c>
      <c r="BD160">
        <f t="shared" si="34"/>
        <v>19.403209876543212</v>
      </c>
      <c r="BE160">
        <f t="shared" si="35"/>
        <v>12.716184640740741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1.0395799999999999</v>
      </c>
      <c r="H161" s="21">
        <v>6.5030400000000004</v>
      </c>
      <c r="I161" s="21">
        <v>-1.5170299999999999E-2</v>
      </c>
      <c r="J161" s="21">
        <v>151</v>
      </c>
      <c r="K161" s="21">
        <v>1.0382100000000001</v>
      </c>
      <c r="L161">
        <f t="shared" si="24"/>
        <v>18.728765432098765</v>
      </c>
      <c r="M161">
        <f t="shared" si="25"/>
        <v>19.470049967901232</v>
      </c>
      <c r="N161" s="9"/>
      <c r="O161" s="21">
        <v>0.66039999999999999</v>
      </c>
      <c r="P161" s="21">
        <v>10.3222</v>
      </c>
      <c r="Q161" s="21">
        <v>-1.5609700000000001E-2</v>
      </c>
      <c r="R161" s="21">
        <v>151</v>
      </c>
      <c r="S161" s="21">
        <v>0.65963700000000003</v>
      </c>
      <c r="T161">
        <f t="shared" si="26"/>
        <v>19.271234567901235</v>
      </c>
      <c r="U161">
        <f t="shared" si="27"/>
        <v>12.726723308641976</v>
      </c>
      <c r="X161" s="9"/>
      <c r="Y161" s="21">
        <v>1.0395799999999999</v>
      </c>
      <c r="Z161" s="21">
        <v>15.8817</v>
      </c>
      <c r="AA161" s="21">
        <v>-1.52435E-2</v>
      </c>
      <c r="AB161" s="21">
        <v>151</v>
      </c>
      <c r="AC161" s="21">
        <v>1.0382100000000001</v>
      </c>
      <c r="AD161">
        <f t="shared" si="28"/>
        <v>18.819135802469134</v>
      </c>
      <c r="AE161">
        <f t="shared" si="29"/>
        <v>19.56399719753086</v>
      </c>
      <c r="AF161" s="9"/>
      <c r="AG161" s="21">
        <v>0.66039999999999999</v>
      </c>
      <c r="AH161" s="21">
        <v>19.700900000000001</v>
      </c>
      <c r="AI161" s="21">
        <v>-1.5682999999999999E-2</v>
      </c>
      <c r="AJ161" s="21">
        <v>151</v>
      </c>
      <c r="AK161" s="21">
        <v>0.65951499999999996</v>
      </c>
      <c r="AL161">
        <f t="shared" si="30"/>
        <v>19.361728395061725</v>
      </c>
      <c r="AM161">
        <f t="shared" si="31"/>
        <v>12.786485432098763</v>
      </c>
      <c r="AP161" s="9"/>
      <c r="AQ161" s="21">
        <v>1.0395799999999999</v>
      </c>
      <c r="AR161" s="21">
        <v>25.218499999999999</v>
      </c>
      <c r="AS161" s="21">
        <v>-1.5258799999999999E-2</v>
      </c>
      <c r="AT161" s="21">
        <v>151</v>
      </c>
      <c r="AU161" s="21">
        <v>1.0382100000000001</v>
      </c>
      <c r="AV161">
        <f t="shared" si="32"/>
        <v>18.838024691358022</v>
      </c>
      <c r="AW161">
        <f t="shared" si="33"/>
        <v>19.583633708641973</v>
      </c>
      <c r="AX161" s="9"/>
      <c r="AY161" s="21">
        <v>0.66039999999999999</v>
      </c>
      <c r="AZ161" s="21">
        <v>29.037700000000001</v>
      </c>
      <c r="BA161" s="21">
        <v>-1.5710399999999999E-2</v>
      </c>
      <c r="BB161" s="21">
        <v>151</v>
      </c>
      <c r="BC161" s="21">
        <v>0.65969800000000001</v>
      </c>
      <c r="BD161">
        <f t="shared" si="34"/>
        <v>19.395555555555553</v>
      </c>
      <c r="BE161">
        <f t="shared" si="35"/>
        <v>12.808824888888887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1.0345500000000001</v>
      </c>
      <c r="H162" s="21">
        <v>6.5131100000000002</v>
      </c>
      <c r="I162" s="21">
        <v>-1.51764E-2</v>
      </c>
      <c r="J162" s="21">
        <v>152</v>
      </c>
      <c r="K162" s="21">
        <v>1.03302</v>
      </c>
      <c r="L162">
        <f t="shared" si="24"/>
        <v>18.736296296296295</v>
      </c>
      <c r="M162">
        <f t="shared" si="25"/>
        <v>19.383635333333334</v>
      </c>
      <c r="N162" s="9"/>
      <c r="O162" s="21">
        <v>0.66543600000000003</v>
      </c>
      <c r="P162" s="21">
        <v>10.3323</v>
      </c>
      <c r="Q162" s="21">
        <v>-1.56036E-2</v>
      </c>
      <c r="R162" s="21">
        <v>152</v>
      </c>
      <c r="S162" s="21">
        <v>0.66464199999999996</v>
      </c>
      <c r="T162">
        <f t="shared" si="26"/>
        <v>19.263703703703705</v>
      </c>
      <c r="U162">
        <f t="shared" si="27"/>
        <v>12.818761937777779</v>
      </c>
      <c r="X162" s="9"/>
      <c r="Y162" s="21">
        <v>1.0345500000000001</v>
      </c>
      <c r="Z162" s="21">
        <v>15.8918</v>
      </c>
      <c r="AA162" s="21">
        <v>-1.5246600000000001E-2</v>
      </c>
      <c r="AB162" s="21">
        <v>152</v>
      </c>
      <c r="AC162" s="21">
        <v>1.0333300000000001</v>
      </c>
      <c r="AD162">
        <f t="shared" si="28"/>
        <v>18.822962962962961</v>
      </c>
      <c r="AE162">
        <f t="shared" si="29"/>
        <v>19.473296333333334</v>
      </c>
      <c r="AF162" s="9"/>
      <c r="AG162" s="21">
        <v>0.66543600000000003</v>
      </c>
      <c r="AH162" s="21">
        <v>19.710999999999999</v>
      </c>
      <c r="AI162" s="21">
        <v>-1.5676900000000001E-2</v>
      </c>
      <c r="AJ162" s="21">
        <v>152</v>
      </c>
      <c r="AK162" s="21">
        <v>0.66467299999999996</v>
      </c>
      <c r="AL162">
        <f t="shared" si="30"/>
        <v>19.354197530864198</v>
      </c>
      <c r="AM162">
        <f t="shared" si="31"/>
        <v>12.878979788148149</v>
      </c>
      <c r="AP162" s="9"/>
      <c r="AQ162" s="21">
        <v>1.0345500000000001</v>
      </c>
      <c r="AR162" s="21">
        <v>25.2285</v>
      </c>
      <c r="AS162" s="21">
        <v>-1.52649E-2</v>
      </c>
      <c r="AT162" s="21">
        <v>152</v>
      </c>
      <c r="AU162" s="21">
        <v>1.0333300000000001</v>
      </c>
      <c r="AV162">
        <f t="shared" si="32"/>
        <v>18.845555555555553</v>
      </c>
      <c r="AW162">
        <f t="shared" si="33"/>
        <v>19.496669499999999</v>
      </c>
      <c r="AX162" s="9"/>
      <c r="AY162" s="21">
        <v>0.66543600000000003</v>
      </c>
      <c r="AZ162" s="21">
        <v>29.047699999999999</v>
      </c>
      <c r="BA162" s="21">
        <v>-1.5704300000000001E-2</v>
      </c>
      <c r="BB162" s="21">
        <v>152</v>
      </c>
      <c r="BC162" s="21">
        <v>0.66445900000000002</v>
      </c>
      <c r="BD162">
        <f t="shared" si="34"/>
        <v>19.388024691358023</v>
      </c>
      <c r="BE162">
        <f t="shared" si="35"/>
        <v>12.901489598518518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1.0295099999999999</v>
      </c>
      <c r="H163" s="21">
        <v>6.52318</v>
      </c>
      <c r="I163" s="21">
        <v>-1.51825E-2</v>
      </c>
      <c r="J163" s="21">
        <v>153</v>
      </c>
      <c r="K163" s="21">
        <v>1.0293600000000001</v>
      </c>
      <c r="L163">
        <f t="shared" si="24"/>
        <v>18.743827160493826</v>
      </c>
      <c r="M163">
        <f t="shared" si="25"/>
        <v>19.296957499999998</v>
      </c>
      <c r="N163" s="9"/>
      <c r="O163" s="21">
        <v>0.67047100000000004</v>
      </c>
      <c r="P163" s="21">
        <v>10.3424</v>
      </c>
      <c r="Q163" s="21">
        <v>-1.5600599999999999E-2</v>
      </c>
      <c r="R163" s="21">
        <v>153</v>
      </c>
      <c r="S163" s="21">
        <v>0.66983000000000004</v>
      </c>
      <c r="T163">
        <f t="shared" si="26"/>
        <v>19.259999999999998</v>
      </c>
      <c r="U163">
        <f t="shared" si="27"/>
        <v>12.913271459999999</v>
      </c>
      <c r="X163" s="9"/>
      <c r="Y163" s="21">
        <v>1.0295099999999999</v>
      </c>
      <c r="Z163" s="21">
        <v>15.901899999999999</v>
      </c>
      <c r="AA163" s="21">
        <v>-1.5252699999999999E-2</v>
      </c>
      <c r="AB163" s="21">
        <v>153</v>
      </c>
      <c r="AC163" s="21">
        <v>1.0299700000000001</v>
      </c>
      <c r="AD163">
        <f t="shared" si="28"/>
        <v>18.830493827160492</v>
      </c>
      <c r="AE163">
        <f t="shared" si="29"/>
        <v>19.386181699999998</v>
      </c>
      <c r="AF163" s="9"/>
      <c r="AG163" s="21">
        <v>0.67047100000000004</v>
      </c>
      <c r="AH163" s="21">
        <v>19.7211</v>
      </c>
      <c r="AI163" s="21">
        <v>-1.5673800000000002E-2</v>
      </c>
      <c r="AJ163" s="21">
        <v>153</v>
      </c>
      <c r="AK163" s="21">
        <v>0.67016600000000004</v>
      </c>
      <c r="AL163">
        <f t="shared" si="30"/>
        <v>19.350370370370371</v>
      </c>
      <c r="AM163">
        <f t="shared" si="31"/>
        <v>12.973862172592593</v>
      </c>
      <c r="AP163" s="9"/>
      <c r="AQ163" s="21">
        <v>1.0295099999999999</v>
      </c>
      <c r="AR163" s="21">
        <v>25.238600000000002</v>
      </c>
      <c r="AS163" s="21">
        <v>-1.5267899999999999E-2</v>
      </c>
      <c r="AT163" s="21">
        <v>153</v>
      </c>
      <c r="AU163" s="21">
        <v>1.0281400000000001</v>
      </c>
      <c r="AV163">
        <f t="shared" si="32"/>
        <v>18.849259259259256</v>
      </c>
      <c r="AW163">
        <f t="shared" si="33"/>
        <v>19.405500899999996</v>
      </c>
      <c r="AX163" s="9"/>
      <c r="AY163" s="21">
        <v>0.67047100000000004</v>
      </c>
      <c r="AZ163" s="21">
        <v>29.0578</v>
      </c>
      <c r="BA163" s="21">
        <v>-1.5695199999999999E-2</v>
      </c>
      <c r="BB163" s="21">
        <v>153</v>
      </c>
      <c r="BC163" s="21">
        <v>0.66973899999999997</v>
      </c>
      <c r="BD163">
        <f t="shared" si="34"/>
        <v>19.376790123456789</v>
      </c>
      <c r="BE163">
        <f t="shared" si="35"/>
        <v>12.991575850864198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1.0244800000000001</v>
      </c>
      <c r="H164" s="21">
        <v>6.5332499999999998</v>
      </c>
      <c r="I164" s="21">
        <v>-1.5185499999999999E-2</v>
      </c>
      <c r="J164" s="21">
        <v>154</v>
      </c>
      <c r="K164" s="21">
        <v>1.02295</v>
      </c>
      <c r="L164">
        <f t="shared" si="24"/>
        <v>18.747530864197529</v>
      </c>
      <c r="M164">
        <f t="shared" si="25"/>
        <v>19.206470419753085</v>
      </c>
      <c r="N164" s="9"/>
      <c r="O164" s="21">
        <v>0.67550699999999997</v>
      </c>
      <c r="P164" s="21">
        <v>10.352399999999999</v>
      </c>
      <c r="Q164" s="21">
        <v>-1.5594500000000001E-2</v>
      </c>
      <c r="R164" s="21">
        <v>154</v>
      </c>
      <c r="S164" s="21">
        <v>0.67440800000000001</v>
      </c>
      <c r="T164">
        <f t="shared" si="26"/>
        <v>19.252469135802468</v>
      </c>
      <c r="U164">
        <f t="shared" si="27"/>
        <v>13.005177668518517</v>
      </c>
      <c r="X164" s="9"/>
      <c r="Y164" s="21">
        <v>1.0244800000000001</v>
      </c>
      <c r="Z164" s="21">
        <v>15.911899999999999</v>
      </c>
      <c r="AA164" s="21">
        <v>-1.5258799999999999E-2</v>
      </c>
      <c r="AB164" s="21">
        <v>154</v>
      </c>
      <c r="AC164" s="21">
        <v>1.02295</v>
      </c>
      <c r="AD164">
        <f t="shared" si="28"/>
        <v>18.838024691358022</v>
      </c>
      <c r="AE164">
        <f t="shared" si="29"/>
        <v>19.299179535802466</v>
      </c>
      <c r="AF164" s="9"/>
      <c r="AG164" s="21">
        <v>0.67550699999999997</v>
      </c>
      <c r="AH164" s="21">
        <v>19.731100000000001</v>
      </c>
      <c r="AI164" s="21">
        <v>-1.56677E-2</v>
      </c>
      <c r="AJ164" s="21">
        <v>154</v>
      </c>
      <c r="AK164" s="21">
        <v>0.67477399999999998</v>
      </c>
      <c r="AL164">
        <f t="shared" si="30"/>
        <v>19.342839506172837</v>
      </c>
      <c r="AM164">
        <f t="shared" si="31"/>
        <v>13.066223486296293</v>
      </c>
      <c r="AP164" s="9"/>
      <c r="AQ164" s="21">
        <v>1.0244800000000001</v>
      </c>
      <c r="AR164" s="21">
        <v>25.248699999999999</v>
      </c>
      <c r="AS164" s="21">
        <v>-1.5273999999999999E-2</v>
      </c>
      <c r="AT164" s="21">
        <v>154</v>
      </c>
      <c r="AU164" s="21">
        <v>1.02325</v>
      </c>
      <c r="AV164">
        <f t="shared" si="32"/>
        <v>18.85679012345679</v>
      </c>
      <c r="AW164">
        <f t="shared" si="33"/>
        <v>19.318404345679014</v>
      </c>
      <c r="AX164" s="9"/>
      <c r="AY164" s="21">
        <v>0.67550699999999997</v>
      </c>
      <c r="AZ164" s="21">
        <v>29.067900000000002</v>
      </c>
      <c r="BA164" s="21">
        <v>-1.5689100000000001E-2</v>
      </c>
      <c r="BB164" s="21">
        <v>154</v>
      </c>
      <c r="BC164" s="21">
        <v>0.67456099999999997</v>
      </c>
      <c r="BD164">
        <f t="shared" si="34"/>
        <v>19.369259259259259</v>
      </c>
      <c r="BE164">
        <f t="shared" si="35"/>
        <v>13.084070214444443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1.0194399999999999</v>
      </c>
      <c r="H165" s="21">
        <v>6.5433199999999996</v>
      </c>
      <c r="I165" s="21">
        <v>-1.51886E-2</v>
      </c>
      <c r="J165" s="21">
        <v>155</v>
      </c>
      <c r="K165" s="21">
        <v>1.01837</v>
      </c>
      <c r="L165">
        <f t="shared" si="24"/>
        <v>18.751358024691356</v>
      </c>
      <c r="M165">
        <f t="shared" si="25"/>
        <v>19.115884424691355</v>
      </c>
      <c r="N165" s="9"/>
      <c r="O165" s="21">
        <v>0.68054199999999998</v>
      </c>
      <c r="P165" s="21">
        <v>10.362500000000001</v>
      </c>
      <c r="Q165" s="21">
        <v>-1.5588400000000001E-2</v>
      </c>
      <c r="R165" s="21">
        <v>155</v>
      </c>
      <c r="S165" s="21">
        <v>0.67977900000000002</v>
      </c>
      <c r="T165">
        <f t="shared" si="26"/>
        <v>19.244938271604937</v>
      </c>
      <c r="U165">
        <f t="shared" si="27"/>
        <v>13.096988781234566</v>
      </c>
      <c r="X165" s="9"/>
      <c r="Y165" s="21">
        <v>1.0194399999999999</v>
      </c>
      <c r="Z165" s="21">
        <v>15.922000000000001</v>
      </c>
      <c r="AA165" s="21">
        <v>-1.52649E-2</v>
      </c>
      <c r="AB165" s="21">
        <v>155</v>
      </c>
      <c r="AC165" s="21">
        <v>1.01837</v>
      </c>
      <c r="AD165">
        <f t="shared" si="28"/>
        <v>18.845555555555553</v>
      </c>
      <c r="AE165">
        <f t="shared" si="29"/>
        <v>19.21191315555555</v>
      </c>
      <c r="AF165" s="9"/>
      <c r="AG165" s="21">
        <v>0.68054199999999998</v>
      </c>
      <c r="AH165" s="21">
        <v>19.741199999999999</v>
      </c>
      <c r="AI165" s="21">
        <v>-1.5658600000000002E-2</v>
      </c>
      <c r="AJ165" s="21">
        <v>155</v>
      </c>
      <c r="AK165" s="21">
        <v>0.68005400000000005</v>
      </c>
      <c r="AL165">
        <f t="shared" si="30"/>
        <v>19.331604938271607</v>
      </c>
      <c r="AM165">
        <f t="shared" si="31"/>
        <v>13.155969087901235</v>
      </c>
      <c r="AP165" s="9"/>
      <c r="AQ165" s="21">
        <v>1.0194399999999999</v>
      </c>
      <c r="AR165" s="21">
        <v>25.258700000000001</v>
      </c>
      <c r="AS165" s="21">
        <v>-1.5280200000000001E-2</v>
      </c>
      <c r="AT165" s="21">
        <v>155</v>
      </c>
      <c r="AU165" s="21">
        <v>1.01868</v>
      </c>
      <c r="AV165">
        <f t="shared" si="32"/>
        <v>18.864444444444445</v>
      </c>
      <c r="AW165">
        <f t="shared" si="33"/>
        <v>19.231169244444441</v>
      </c>
      <c r="AX165" s="9"/>
      <c r="AY165" s="21">
        <v>0.68054199999999998</v>
      </c>
      <c r="AZ165" s="21">
        <v>29.0779</v>
      </c>
      <c r="BA165" s="21">
        <v>-1.56799E-2</v>
      </c>
      <c r="BB165" s="21">
        <v>155</v>
      </c>
      <c r="BC165" s="21">
        <v>0.67990099999999998</v>
      </c>
      <c r="BD165">
        <f t="shared" si="34"/>
        <v>19.357901234567901</v>
      </c>
      <c r="BE165">
        <f t="shared" si="35"/>
        <v>13.173864821975307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1.0144</v>
      </c>
      <c r="H166" s="21">
        <v>6.5533999999999999</v>
      </c>
      <c r="I166" s="21">
        <v>-1.51947E-2</v>
      </c>
      <c r="J166" s="21">
        <v>156</v>
      </c>
      <c r="K166" s="21">
        <v>1.01349</v>
      </c>
      <c r="L166">
        <f t="shared" si="24"/>
        <v>18.758888888888887</v>
      </c>
      <c r="M166">
        <f t="shared" si="25"/>
        <v>19.029016888888886</v>
      </c>
      <c r="N166" s="9"/>
      <c r="O166" s="21">
        <v>0.68557699999999999</v>
      </c>
      <c r="P166" s="21">
        <v>10.3726</v>
      </c>
      <c r="Q166" s="21">
        <v>-1.55823E-2</v>
      </c>
      <c r="R166" s="21">
        <v>156</v>
      </c>
      <c r="S166" s="21">
        <v>0.68478399999999995</v>
      </c>
      <c r="T166">
        <f t="shared" si="26"/>
        <v>19.237407407407407</v>
      </c>
      <c r="U166">
        <f t="shared" si="27"/>
        <v>13.188724058148148</v>
      </c>
      <c r="X166" s="9"/>
      <c r="Y166" s="21">
        <v>1.0144</v>
      </c>
      <c r="Z166" s="21">
        <v>15.9321</v>
      </c>
      <c r="AA166" s="21">
        <v>-1.5271E-2</v>
      </c>
      <c r="AB166" s="21">
        <v>156</v>
      </c>
      <c r="AC166" s="21">
        <v>1.01349</v>
      </c>
      <c r="AD166">
        <f t="shared" si="28"/>
        <v>18.853086419753083</v>
      </c>
      <c r="AE166">
        <f t="shared" si="29"/>
        <v>19.124570864197526</v>
      </c>
      <c r="AF166" s="9"/>
      <c r="AG166" s="21">
        <v>0.68557699999999999</v>
      </c>
      <c r="AH166" s="21">
        <v>19.751300000000001</v>
      </c>
      <c r="AI166" s="21">
        <v>-1.56525E-2</v>
      </c>
      <c r="AJ166" s="21">
        <v>156</v>
      </c>
      <c r="AK166" s="21">
        <v>0.68466199999999999</v>
      </c>
      <c r="AL166">
        <f t="shared" si="30"/>
        <v>19.324074074074073</v>
      </c>
      <c r="AM166">
        <f t="shared" si="31"/>
        <v>13.248140731481481</v>
      </c>
      <c r="AP166" s="9"/>
      <c r="AQ166" s="21">
        <v>1.0144</v>
      </c>
      <c r="AR166" s="21">
        <v>25.268799999999999</v>
      </c>
      <c r="AS166" s="21">
        <v>-1.5286299999999999E-2</v>
      </c>
      <c r="AT166" s="21">
        <v>156</v>
      </c>
      <c r="AU166" s="21">
        <v>1.01257</v>
      </c>
      <c r="AV166">
        <f t="shared" si="32"/>
        <v>18.871975308641971</v>
      </c>
      <c r="AW166">
        <f t="shared" si="33"/>
        <v>19.143731753086414</v>
      </c>
      <c r="AX166" s="9"/>
      <c r="AY166" s="21">
        <v>0.68557699999999999</v>
      </c>
      <c r="AZ166" s="21">
        <v>29.088000000000001</v>
      </c>
      <c r="BA166" s="21">
        <v>-1.5673800000000002E-2</v>
      </c>
      <c r="BB166" s="21">
        <v>156</v>
      </c>
      <c r="BC166" s="21">
        <v>0.68481400000000003</v>
      </c>
      <c r="BD166">
        <f t="shared" si="34"/>
        <v>19.350370370370371</v>
      </c>
      <c r="BE166">
        <f t="shared" si="35"/>
        <v>13.266168867407407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1.0093700000000001</v>
      </c>
      <c r="H167" s="21">
        <v>6.5634699999999997</v>
      </c>
      <c r="I167" s="21">
        <v>-1.52008E-2</v>
      </c>
      <c r="J167" s="21">
        <v>157</v>
      </c>
      <c r="K167" s="21">
        <v>1.00861</v>
      </c>
      <c r="L167">
        <f t="shared" si="24"/>
        <v>18.766419753086421</v>
      </c>
      <c r="M167">
        <f t="shared" si="25"/>
        <v>18.942261106172843</v>
      </c>
      <c r="N167" s="9"/>
      <c r="O167" s="21">
        <v>0.69061300000000003</v>
      </c>
      <c r="P167" s="21">
        <v>10.3827</v>
      </c>
      <c r="Q167" s="21">
        <v>-1.55762E-2</v>
      </c>
      <c r="R167" s="21">
        <v>157</v>
      </c>
      <c r="S167" s="21">
        <v>0.69018599999999997</v>
      </c>
      <c r="T167">
        <f t="shared" si="26"/>
        <v>19.229876543209876</v>
      </c>
      <c r="U167">
        <f t="shared" si="27"/>
        <v>13.280402729135803</v>
      </c>
      <c r="X167" s="9"/>
      <c r="Y167" s="21">
        <v>1.0093700000000001</v>
      </c>
      <c r="Z167" s="21">
        <v>15.9422</v>
      </c>
      <c r="AA167" s="21">
        <v>-1.52771E-2</v>
      </c>
      <c r="AB167" s="21">
        <v>157</v>
      </c>
      <c r="AC167" s="21">
        <v>1.0083</v>
      </c>
      <c r="AD167">
        <f t="shared" si="28"/>
        <v>18.860617283950617</v>
      </c>
      <c r="AE167">
        <f t="shared" si="29"/>
        <v>19.037341267901237</v>
      </c>
      <c r="AF167" s="9"/>
      <c r="AG167" s="21">
        <v>0.69061300000000003</v>
      </c>
      <c r="AH167" s="21">
        <v>19.761399999999998</v>
      </c>
      <c r="AI167" s="21">
        <v>-1.5649400000000001E-2</v>
      </c>
      <c r="AJ167" s="21">
        <v>157</v>
      </c>
      <c r="AK167" s="21">
        <v>0.68988000000000005</v>
      </c>
      <c r="AL167">
        <f t="shared" si="30"/>
        <v>19.320246913580245</v>
      </c>
      <c r="AM167">
        <f t="shared" si="31"/>
        <v>13.342813681728394</v>
      </c>
      <c r="AP167" s="9"/>
      <c r="AQ167" s="21">
        <v>1.0093700000000001</v>
      </c>
      <c r="AR167" s="21">
        <v>25.2789</v>
      </c>
      <c r="AS167" s="21">
        <v>-1.5295400000000001E-2</v>
      </c>
      <c r="AT167" s="21">
        <v>157</v>
      </c>
      <c r="AU167" s="21">
        <v>1.00769</v>
      </c>
      <c r="AV167">
        <f t="shared" si="32"/>
        <v>18.883209876543212</v>
      </c>
      <c r="AW167">
        <f t="shared" si="33"/>
        <v>19.060145553086425</v>
      </c>
      <c r="AX167" s="9"/>
      <c r="AY167" s="21">
        <v>0.69061300000000003</v>
      </c>
      <c r="AZ167" s="21">
        <v>29.098099999999999</v>
      </c>
      <c r="BA167" s="21">
        <v>-1.5670799999999999E-2</v>
      </c>
      <c r="BB167" s="21">
        <v>157</v>
      </c>
      <c r="BC167" s="21">
        <v>0.68994100000000003</v>
      </c>
      <c r="BD167">
        <f t="shared" si="34"/>
        <v>19.346666666666664</v>
      </c>
      <c r="BE167">
        <f t="shared" si="35"/>
        <v>13.361059506666665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1.0043299999999999</v>
      </c>
      <c r="H168" s="21">
        <v>6.5735400000000004</v>
      </c>
      <c r="I168" s="21">
        <v>-1.5206900000000001E-2</v>
      </c>
      <c r="J168" s="21">
        <v>158</v>
      </c>
      <c r="K168" s="21">
        <v>1.00342</v>
      </c>
      <c r="L168">
        <f t="shared" si="24"/>
        <v>18.773950617283951</v>
      </c>
      <c r="M168">
        <f t="shared" si="25"/>
        <v>18.85524182345679</v>
      </c>
      <c r="N168" s="9"/>
      <c r="O168" s="21">
        <v>0.69564800000000004</v>
      </c>
      <c r="P168" s="21">
        <v>10.3927</v>
      </c>
      <c r="Q168" s="21">
        <v>-1.55701E-2</v>
      </c>
      <c r="R168" s="21">
        <v>158</v>
      </c>
      <c r="S168" s="21">
        <v>0.69488499999999997</v>
      </c>
      <c r="T168">
        <f t="shared" si="26"/>
        <v>19.222345679012346</v>
      </c>
      <c r="U168">
        <f t="shared" si="27"/>
        <v>13.37198632691358</v>
      </c>
      <c r="X168" s="9"/>
      <c r="Y168" s="21">
        <v>1.0043299999999999</v>
      </c>
      <c r="Z168" s="21">
        <v>15.952199999999999</v>
      </c>
      <c r="AA168" s="21">
        <v>-1.52832E-2</v>
      </c>
      <c r="AB168" s="21">
        <v>158</v>
      </c>
      <c r="AC168" s="21">
        <v>1.0037199999999999</v>
      </c>
      <c r="AD168">
        <f t="shared" si="28"/>
        <v>18.868148148148148</v>
      </c>
      <c r="AE168">
        <f t="shared" si="29"/>
        <v>18.949847229629629</v>
      </c>
      <c r="AF168" s="9"/>
      <c r="AG168" s="21">
        <v>0.69564800000000004</v>
      </c>
      <c r="AH168" s="21">
        <v>19.7714</v>
      </c>
      <c r="AI168" s="21">
        <v>-1.5643299999999999E-2</v>
      </c>
      <c r="AJ168" s="21">
        <v>158</v>
      </c>
      <c r="AK168" s="21">
        <v>0.69506800000000002</v>
      </c>
      <c r="AL168">
        <f t="shared" si="30"/>
        <v>19.312716049382715</v>
      </c>
      <c r="AM168">
        <f t="shared" si="31"/>
        <v>13.434852294320988</v>
      </c>
      <c r="AP168" s="9"/>
      <c r="AQ168" s="21">
        <v>1.0043299999999999</v>
      </c>
      <c r="AR168" s="21">
        <v>25.289000000000001</v>
      </c>
      <c r="AS168" s="21">
        <v>-1.5301500000000001E-2</v>
      </c>
      <c r="AT168" s="21">
        <v>158</v>
      </c>
      <c r="AU168" s="21">
        <v>1.00342</v>
      </c>
      <c r="AV168">
        <f t="shared" si="32"/>
        <v>18.890740740740739</v>
      </c>
      <c r="AW168">
        <f t="shared" si="33"/>
        <v>18.972537648148144</v>
      </c>
      <c r="AX168" s="9"/>
      <c r="AY168" s="21">
        <v>0.69564800000000004</v>
      </c>
      <c r="AZ168" s="21">
        <v>29.1081</v>
      </c>
      <c r="BA168" s="21">
        <v>-1.5661600000000001E-2</v>
      </c>
      <c r="BB168" s="21">
        <v>158</v>
      </c>
      <c r="BC168" s="21">
        <v>0.69470200000000004</v>
      </c>
      <c r="BD168">
        <f t="shared" si="34"/>
        <v>19.33530864197531</v>
      </c>
      <c r="BE168">
        <f t="shared" si="35"/>
        <v>13.450568786172841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0.99929800000000002</v>
      </c>
      <c r="H169" s="21">
        <v>6.5836100000000002</v>
      </c>
      <c r="I169" s="21">
        <v>-1.5213000000000001E-2</v>
      </c>
      <c r="J169" s="21">
        <v>159</v>
      </c>
      <c r="K169" s="21">
        <v>0.99853499999999995</v>
      </c>
      <c r="L169">
        <f t="shared" si="24"/>
        <v>18.781481481481482</v>
      </c>
      <c r="M169">
        <f t="shared" si="25"/>
        <v>18.768296881481483</v>
      </c>
      <c r="N169" s="9"/>
      <c r="O169" s="21">
        <v>0.70068399999999997</v>
      </c>
      <c r="P169" s="21">
        <v>10.402799999999999</v>
      </c>
      <c r="Q169" s="21">
        <v>-1.5560900000000001E-2</v>
      </c>
      <c r="R169" s="21">
        <v>159</v>
      </c>
      <c r="S169" s="21">
        <v>0.69982900000000003</v>
      </c>
      <c r="T169">
        <f t="shared" si="26"/>
        <v>19.210987654320988</v>
      </c>
      <c r="U169">
        <f t="shared" si="27"/>
        <v>13.460831673580246</v>
      </c>
      <c r="X169" s="9"/>
      <c r="Y169" s="21">
        <v>0.99929800000000002</v>
      </c>
      <c r="Z169" s="21">
        <v>15.962300000000001</v>
      </c>
      <c r="AA169" s="21">
        <v>-1.5286299999999999E-2</v>
      </c>
      <c r="AB169" s="21">
        <v>159</v>
      </c>
      <c r="AC169" s="21">
        <v>0.99792499999999995</v>
      </c>
      <c r="AD169">
        <f t="shared" si="28"/>
        <v>18.871975308641971</v>
      </c>
      <c r="AE169">
        <f t="shared" si="29"/>
        <v>18.858727181975304</v>
      </c>
      <c r="AF169" s="9"/>
      <c r="AG169" s="21">
        <v>0.70068399999999997</v>
      </c>
      <c r="AH169" s="21">
        <v>19.781500000000001</v>
      </c>
      <c r="AI169" s="21">
        <v>-1.56372E-2</v>
      </c>
      <c r="AJ169" s="21">
        <v>159</v>
      </c>
      <c r="AK169" s="21">
        <v>0.70013400000000003</v>
      </c>
      <c r="AL169">
        <f t="shared" si="30"/>
        <v>19.305185185185184</v>
      </c>
      <c r="AM169">
        <f t="shared" si="31"/>
        <v>13.526834376296295</v>
      </c>
      <c r="AP169" s="9"/>
      <c r="AQ169" s="21">
        <v>0.99929800000000002</v>
      </c>
      <c r="AR169" s="21">
        <v>25.298999999999999</v>
      </c>
      <c r="AS169" s="21">
        <v>-1.53046E-2</v>
      </c>
      <c r="AT169" s="21">
        <v>159</v>
      </c>
      <c r="AU169" s="21">
        <v>0.99822999999999995</v>
      </c>
      <c r="AV169">
        <f t="shared" si="32"/>
        <v>18.894567901234566</v>
      </c>
      <c r="AW169">
        <f t="shared" si="33"/>
        <v>18.881303914567901</v>
      </c>
      <c r="AX169" s="9"/>
      <c r="AY169" s="21">
        <v>0.70068399999999997</v>
      </c>
      <c r="AZ169" s="21">
        <v>29.118200000000002</v>
      </c>
      <c r="BA169" s="21">
        <v>-1.5658600000000002E-2</v>
      </c>
      <c r="BB169" s="21">
        <v>159</v>
      </c>
      <c r="BC169" s="21">
        <v>0.70001199999999997</v>
      </c>
      <c r="BD169">
        <f t="shared" si="34"/>
        <v>19.331604938271607</v>
      </c>
      <c r="BE169">
        <f t="shared" si="35"/>
        <v>13.545346274567901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0.99426300000000001</v>
      </c>
      <c r="H170" s="21">
        <v>6.59368</v>
      </c>
      <c r="I170" s="21">
        <v>-1.52222E-2</v>
      </c>
      <c r="J170" s="21">
        <v>160</v>
      </c>
      <c r="K170" s="21">
        <v>0.99365199999999998</v>
      </c>
      <c r="L170">
        <f t="shared" si="24"/>
        <v>18.792839506172839</v>
      </c>
      <c r="M170">
        <f t="shared" si="25"/>
        <v>18.685024985925924</v>
      </c>
      <c r="N170" s="9"/>
      <c r="O170" s="21">
        <v>0.70571899999999999</v>
      </c>
      <c r="P170" s="21">
        <v>10.4129</v>
      </c>
      <c r="Q170" s="21">
        <v>-1.55579E-2</v>
      </c>
      <c r="R170" s="21">
        <v>160</v>
      </c>
      <c r="S170" s="21">
        <v>0.70504800000000001</v>
      </c>
      <c r="T170">
        <f t="shared" si="26"/>
        <v>19.207283950617281</v>
      </c>
      <c r="U170">
        <f t="shared" si="27"/>
        <v>13.554945222345676</v>
      </c>
      <c r="X170" s="9"/>
      <c r="Y170" s="21">
        <v>0.99426300000000001</v>
      </c>
      <c r="Z170" s="21">
        <v>15.9724</v>
      </c>
      <c r="AA170" s="21">
        <v>-1.5292399999999999E-2</v>
      </c>
      <c r="AB170" s="21">
        <v>160</v>
      </c>
      <c r="AC170" s="21">
        <v>0.99304199999999998</v>
      </c>
      <c r="AD170">
        <f t="shared" si="28"/>
        <v>18.879506172839505</v>
      </c>
      <c r="AE170">
        <f t="shared" si="29"/>
        <v>18.771194445925925</v>
      </c>
      <c r="AF170" s="9"/>
      <c r="AG170" s="21">
        <v>0.70571899999999999</v>
      </c>
      <c r="AH170" s="21">
        <v>19.791599999999999</v>
      </c>
      <c r="AI170" s="21">
        <v>-1.5631099999999998E-2</v>
      </c>
      <c r="AJ170" s="21">
        <v>160</v>
      </c>
      <c r="AK170" s="21">
        <v>0.70480299999999996</v>
      </c>
      <c r="AL170">
        <f t="shared" si="30"/>
        <v>19.29765432098765</v>
      </c>
      <c r="AM170">
        <f t="shared" si="31"/>
        <v>13.618721309753083</v>
      </c>
      <c r="AP170" s="9"/>
      <c r="AQ170" s="21">
        <v>0.99426300000000001</v>
      </c>
      <c r="AR170" s="21">
        <v>25.309100000000001</v>
      </c>
      <c r="AS170" s="21">
        <v>-1.53107E-2</v>
      </c>
      <c r="AT170" s="21">
        <v>160</v>
      </c>
      <c r="AU170" s="21">
        <v>0.99304199999999998</v>
      </c>
      <c r="AV170">
        <f t="shared" si="32"/>
        <v>18.9020987654321</v>
      </c>
      <c r="AW170">
        <f t="shared" si="33"/>
        <v>18.793657424814818</v>
      </c>
      <c r="AX170" s="9"/>
      <c r="AY170" s="21">
        <v>0.70571899999999999</v>
      </c>
      <c r="AZ170" s="21">
        <v>29.128299999999999</v>
      </c>
      <c r="BA170" s="21">
        <v>-1.56525E-2</v>
      </c>
      <c r="BB170" s="21">
        <v>160</v>
      </c>
      <c r="BC170" s="21">
        <v>0.705017</v>
      </c>
      <c r="BD170">
        <f t="shared" si="34"/>
        <v>19.324074074074073</v>
      </c>
      <c r="BE170">
        <f t="shared" si="35"/>
        <v>13.637366231481479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0.98922699999999997</v>
      </c>
      <c r="H171" s="21">
        <v>6.6037499999999998</v>
      </c>
      <c r="I171" s="21">
        <v>-1.5225199999999999E-2</v>
      </c>
      <c r="J171" s="21">
        <v>161</v>
      </c>
      <c r="K171" s="21">
        <v>0.98785400000000001</v>
      </c>
      <c r="L171">
        <f t="shared" si="24"/>
        <v>18.796543209876543</v>
      </c>
      <c r="M171">
        <f t="shared" si="25"/>
        <v>18.594048049876541</v>
      </c>
      <c r="N171" s="9"/>
      <c r="O171" s="21">
        <v>0.710754</v>
      </c>
      <c r="P171" s="21">
        <v>10.4229</v>
      </c>
      <c r="Q171" s="21">
        <v>-1.55487E-2</v>
      </c>
      <c r="R171" s="21">
        <v>161</v>
      </c>
      <c r="S171" s="21">
        <v>0.70999100000000004</v>
      </c>
      <c r="T171">
        <f t="shared" si="26"/>
        <v>19.195925925925927</v>
      </c>
      <c r="U171">
        <f t="shared" si="27"/>
        <v>13.643581135555555</v>
      </c>
      <c r="X171" s="9"/>
      <c r="Y171" s="21">
        <v>0.98922699999999997</v>
      </c>
      <c r="Z171" s="21">
        <v>15.9824</v>
      </c>
      <c r="AA171" s="21">
        <v>-1.52985E-2</v>
      </c>
      <c r="AB171" s="21">
        <v>161</v>
      </c>
      <c r="AC171" s="21">
        <v>0.98938000000000004</v>
      </c>
      <c r="AD171">
        <f t="shared" si="28"/>
        <v>18.887037037037036</v>
      </c>
      <c r="AE171">
        <f t="shared" si="29"/>
        <v>18.683566987037036</v>
      </c>
      <c r="AF171" s="9"/>
      <c r="AG171" s="21">
        <v>0.710754</v>
      </c>
      <c r="AH171" s="21">
        <v>19.801600000000001</v>
      </c>
      <c r="AI171" s="21">
        <v>-1.5625E-2</v>
      </c>
      <c r="AJ171" s="21">
        <v>161</v>
      </c>
      <c r="AK171" s="21">
        <v>0.709839</v>
      </c>
      <c r="AL171">
        <f t="shared" si="30"/>
        <v>19.290123456790123</v>
      </c>
      <c r="AM171">
        <f t="shared" si="31"/>
        <v>13.710532407407408</v>
      </c>
      <c r="AP171" s="9"/>
      <c r="AQ171" s="21">
        <v>0.98922699999999997</v>
      </c>
      <c r="AR171" s="21">
        <v>25.319199999999999</v>
      </c>
      <c r="AS171" s="21">
        <v>-1.53168E-2</v>
      </c>
      <c r="AT171" s="21">
        <v>161</v>
      </c>
      <c r="AU171" s="21">
        <v>0.98877000000000004</v>
      </c>
      <c r="AV171">
        <f t="shared" si="32"/>
        <v>18.909629629629627</v>
      </c>
      <c r="AW171">
        <f t="shared" si="33"/>
        <v>18.705916189629626</v>
      </c>
      <c r="AX171" s="9"/>
      <c r="AY171" s="21">
        <v>0.710754</v>
      </c>
      <c r="AZ171" s="21">
        <v>29.138400000000001</v>
      </c>
      <c r="BA171" s="21">
        <v>-1.5646400000000001E-2</v>
      </c>
      <c r="BB171" s="21">
        <v>161</v>
      </c>
      <c r="BC171" s="21">
        <v>0.71002200000000004</v>
      </c>
      <c r="BD171">
        <f t="shared" si="34"/>
        <v>19.316543209876546</v>
      </c>
      <c r="BE171">
        <f t="shared" si="35"/>
        <v>13.729310352592595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0.98419199999999996</v>
      </c>
      <c r="H172" s="21">
        <v>6.6138199999999996</v>
      </c>
      <c r="I172" s="21">
        <v>-1.52313E-2</v>
      </c>
      <c r="J172" s="21">
        <v>162</v>
      </c>
      <c r="K172" s="21">
        <v>0.98327600000000004</v>
      </c>
      <c r="L172">
        <f t="shared" si="24"/>
        <v>18.804074074074073</v>
      </c>
      <c r="M172">
        <f t="shared" si="25"/>
        <v>18.506819271111109</v>
      </c>
      <c r="N172" s="9"/>
      <c r="O172" s="21">
        <v>0.71579000000000004</v>
      </c>
      <c r="P172" s="21">
        <v>10.433</v>
      </c>
      <c r="Q172" s="21">
        <v>-1.55426E-2</v>
      </c>
      <c r="R172" s="21">
        <v>162</v>
      </c>
      <c r="S172" s="21">
        <v>0.71502699999999997</v>
      </c>
      <c r="T172">
        <f t="shared" si="26"/>
        <v>19.188395061728393</v>
      </c>
      <c r="U172">
        <f t="shared" si="27"/>
        <v>13.734861301234567</v>
      </c>
      <c r="X172" s="9"/>
      <c r="Y172" s="21">
        <v>0.98419199999999996</v>
      </c>
      <c r="Z172" s="21">
        <v>15.9925</v>
      </c>
      <c r="AA172" s="21">
        <v>-1.53046E-2</v>
      </c>
      <c r="AB172" s="21">
        <v>162</v>
      </c>
      <c r="AC172" s="21">
        <v>0.98297100000000004</v>
      </c>
      <c r="AD172">
        <f t="shared" si="28"/>
        <v>18.894567901234566</v>
      </c>
      <c r="AE172">
        <f t="shared" si="29"/>
        <v>18.595882571851849</v>
      </c>
      <c r="AF172" s="9"/>
      <c r="AG172" s="21">
        <v>0.71579000000000004</v>
      </c>
      <c r="AH172" s="21">
        <v>19.811699999999998</v>
      </c>
      <c r="AI172" s="21">
        <v>-1.56189E-2</v>
      </c>
      <c r="AJ172" s="21">
        <v>162</v>
      </c>
      <c r="AK172" s="21">
        <v>0.71533199999999997</v>
      </c>
      <c r="AL172">
        <f t="shared" si="30"/>
        <v>19.282592592592589</v>
      </c>
      <c r="AM172">
        <f t="shared" si="31"/>
        <v>13.802286951851851</v>
      </c>
      <c r="AP172" s="9"/>
      <c r="AQ172" s="21">
        <v>0.98419199999999996</v>
      </c>
      <c r="AR172" s="21">
        <v>25.3292</v>
      </c>
      <c r="AS172" s="21">
        <v>-1.53259E-2</v>
      </c>
      <c r="AT172" s="21">
        <v>162</v>
      </c>
      <c r="AU172" s="21">
        <v>0.98358199999999996</v>
      </c>
      <c r="AV172">
        <f t="shared" si="32"/>
        <v>18.920864197530861</v>
      </c>
      <c r="AW172">
        <f t="shared" si="33"/>
        <v>18.621763176296291</v>
      </c>
      <c r="AX172" s="9"/>
      <c r="AY172" s="21">
        <v>0.71579000000000004</v>
      </c>
      <c r="AZ172" s="21">
        <v>29.148399999999999</v>
      </c>
      <c r="BA172" s="21">
        <v>-1.5640299999999999E-2</v>
      </c>
      <c r="BB172" s="21">
        <v>162</v>
      </c>
      <c r="BC172" s="21">
        <v>0.71511800000000003</v>
      </c>
      <c r="BD172">
        <f t="shared" si="34"/>
        <v>19.309012345679012</v>
      </c>
      <c r="BE172">
        <f t="shared" si="35"/>
        <v>13.82119794691358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0.97915600000000003</v>
      </c>
      <c r="H173" s="21">
        <v>6.6238900000000003</v>
      </c>
      <c r="I173" s="21">
        <v>-1.52374E-2</v>
      </c>
      <c r="J173" s="21">
        <v>163</v>
      </c>
      <c r="K173" s="21">
        <v>0.97778299999999996</v>
      </c>
      <c r="L173">
        <f t="shared" si="24"/>
        <v>18.811604938271604</v>
      </c>
      <c r="M173">
        <f t="shared" si="25"/>
        <v>18.419495844938272</v>
      </c>
      <c r="N173" s="9"/>
      <c r="O173" s="21">
        <v>0.72082500000000005</v>
      </c>
      <c r="P173" s="21">
        <v>10.443099999999999</v>
      </c>
      <c r="Q173" s="21">
        <v>-1.5539600000000001E-2</v>
      </c>
      <c r="R173" s="21">
        <v>163</v>
      </c>
      <c r="S173" s="21">
        <v>0.72006199999999998</v>
      </c>
      <c r="T173">
        <f t="shared" si="26"/>
        <v>19.18469135802469</v>
      </c>
      <c r="U173">
        <f t="shared" si="27"/>
        <v>13.828805148148149</v>
      </c>
      <c r="X173" s="9"/>
      <c r="Y173" s="21">
        <v>0.97915600000000003</v>
      </c>
      <c r="Z173" s="21">
        <v>16.002600000000001</v>
      </c>
      <c r="AA173" s="21">
        <v>-1.53107E-2</v>
      </c>
      <c r="AB173" s="21">
        <v>163</v>
      </c>
      <c r="AC173" s="21">
        <v>0.97808799999999996</v>
      </c>
      <c r="AD173">
        <f t="shared" si="28"/>
        <v>18.9020987654321</v>
      </c>
      <c r="AE173">
        <f t="shared" si="29"/>
        <v>18.508103418765433</v>
      </c>
      <c r="AF173" s="9"/>
      <c r="AG173" s="21">
        <v>0.72082500000000005</v>
      </c>
      <c r="AH173" s="21">
        <v>19.8218</v>
      </c>
      <c r="AI173" s="21">
        <v>-1.5615800000000001E-2</v>
      </c>
      <c r="AJ173" s="21">
        <v>163</v>
      </c>
      <c r="AK173" s="21">
        <v>0.72006199999999998</v>
      </c>
      <c r="AL173">
        <f t="shared" si="30"/>
        <v>19.278765432098766</v>
      </c>
      <c r="AM173">
        <f t="shared" si="31"/>
        <v>13.896616092592593</v>
      </c>
      <c r="AP173" s="9"/>
      <c r="AQ173" s="21">
        <v>0.97915600000000003</v>
      </c>
      <c r="AR173" s="21">
        <v>25.339300000000001</v>
      </c>
      <c r="AS173" s="21">
        <v>-1.5329000000000001E-2</v>
      </c>
      <c r="AT173" s="21">
        <v>163</v>
      </c>
      <c r="AU173" s="21">
        <v>0.97747799999999996</v>
      </c>
      <c r="AV173">
        <f t="shared" si="32"/>
        <v>18.924691358024692</v>
      </c>
      <c r="AW173">
        <f t="shared" si="33"/>
        <v>18.530225091358027</v>
      </c>
      <c r="AX173" s="9"/>
      <c r="AY173" s="21">
        <v>0.72082500000000005</v>
      </c>
      <c r="AZ173" s="21">
        <v>29.1585</v>
      </c>
      <c r="BA173" s="21">
        <v>-1.5634200000000001E-2</v>
      </c>
      <c r="BB173" s="21">
        <v>163</v>
      </c>
      <c r="BC173" s="21">
        <v>0.720001</v>
      </c>
      <c r="BD173">
        <f t="shared" si="34"/>
        <v>19.301481481481481</v>
      </c>
      <c r="BE173">
        <f t="shared" si="35"/>
        <v>13.91299038888889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0.97412100000000001</v>
      </c>
      <c r="H174" s="21">
        <v>6.6339600000000001</v>
      </c>
      <c r="I174" s="21">
        <v>-1.52435E-2</v>
      </c>
      <c r="J174" s="21">
        <v>164</v>
      </c>
      <c r="K174" s="21">
        <v>0.97351100000000002</v>
      </c>
      <c r="L174">
        <f t="shared" si="24"/>
        <v>18.819135802469134</v>
      </c>
      <c r="M174">
        <f t="shared" si="25"/>
        <v>18.332115387037035</v>
      </c>
      <c r="N174" s="9"/>
      <c r="O174" s="21">
        <v>0.72586099999999998</v>
      </c>
      <c r="P174" s="21">
        <v>10.453200000000001</v>
      </c>
      <c r="Q174" s="21">
        <v>-1.5533399999999999E-2</v>
      </c>
      <c r="R174" s="21">
        <v>164</v>
      </c>
      <c r="S174" s="21">
        <v>0.72500600000000004</v>
      </c>
      <c r="T174">
        <f t="shared" si="26"/>
        <v>19.177037037037035</v>
      </c>
      <c r="U174">
        <f t="shared" si="27"/>
        <v>13.919863280740739</v>
      </c>
      <c r="X174" s="9"/>
      <c r="Y174" s="21">
        <v>0.97412100000000001</v>
      </c>
      <c r="Z174" s="21">
        <v>16.012699999999999</v>
      </c>
      <c r="AA174" s="21">
        <v>-1.53168E-2</v>
      </c>
      <c r="AB174" s="21">
        <v>164</v>
      </c>
      <c r="AC174" s="21">
        <v>0.97228999999999999</v>
      </c>
      <c r="AD174">
        <f t="shared" si="28"/>
        <v>18.909629629629627</v>
      </c>
      <c r="AE174">
        <f t="shared" si="29"/>
        <v>18.420267324444442</v>
      </c>
      <c r="AF174" s="9"/>
      <c r="AG174" s="21">
        <v>0.72586099999999998</v>
      </c>
      <c r="AH174" s="21">
        <v>19.831800000000001</v>
      </c>
      <c r="AI174" s="21">
        <v>-1.56128E-2</v>
      </c>
      <c r="AJ174" s="21">
        <v>164</v>
      </c>
      <c r="AK174" s="21">
        <v>0.72509800000000002</v>
      </c>
      <c r="AL174">
        <f t="shared" si="30"/>
        <v>19.275061728395059</v>
      </c>
      <c r="AM174">
        <f t="shared" si="31"/>
        <v>13.991015581234565</v>
      </c>
      <c r="AP174" s="9"/>
      <c r="AQ174" s="21">
        <v>0.97412100000000001</v>
      </c>
      <c r="AR174" s="21">
        <v>25.349399999999999</v>
      </c>
      <c r="AS174" s="21">
        <v>-1.5332E-2</v>
      </c>
      <c r="AT174" s="21">
        <v>164</v>
      </c>
      <c r="AU174" s="21">
        <v>0.97351100000000002</v>
      </c>
      <c r="AV174">
        <f t="shared" si="32"/>
        <v>18.928395061728395</v>
      </c>
      <c r="AW174">
        <f t="shared" si="33"/>
        <v>18.438547125925925</v>
      </c>
      <c r="AX174" s="9"/>
      <c r="AY174" s="21">
        <v>0.72586099999999998</v>
      </c>
      <c r="AZ174" s="21">
        <v>29.168600000000001</v>
      </c>
      <c r="BA174" s="21">
        <v>-1.5628099999999999E-2</v>
      </c>
      <c r="BB174" s="21">
        <v>164</v>
      </c>
      <c r="BC174" s="21">
        <v>0.72518899999999997</v>
      </c>
      <c r="BD174">
        <f t="shared" si="34"/>
        <v>19.293950617283947</v>
      </c>
      <c r="BE174">
        <f t="shared" si="35"/>
        <v>14.004726289012343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0.969086</v>
      </c>
      <c r="H175" s="21">
        <v>6.6440299999999999</v>
      </c>
      <c r="I175" s="21">
        <v>-1.52496E-2</v>
      </c>
      <c r="J175" s="21">
        <v>165</v>
      </c>
      <c r="K175" s="21">
        <v>0.96740700000000002</v>
      </c>
      <c r="L175">
        <f t="shared" si="24"/>
        <v>18.826666666666664</v>
      </c>
      <c r="M175">
        <f t="shared" si="25"/>
        <v>18.244659093333333</v>
      </c>
      <c r="N175" s="9"/>
      <c r="O175" s="21">
        <v>0.73089599999999999</v>
      </c>
      <c r="P175" s="21">
        <v>10.463200000000001</v>
      </c>
      <c r="Q175" s="21">
        <v>-1.5527300000000001E-2</v>
      </c>
      <c r="R175" s="21">
        <v>165</v>
      </c>
      <c r="S175" s="21">
        <v>0.72997999999999996</v>
      </c>
      <c r="T175">
        <f t="shared" si="26"/>
        <v>19.169506172839505</v>
      </c>
      <c r="U175">
        <f t="shared" si="27"/>
        <v>14.010915383703702</v>
      </c>
      <c r="X175" s="9"/>
      <c r="Y175" s="21">
        <v>0.969086</v>
      </c>
      <c r="Z175" s="21">
        <v>16.0227</v>
      </c>
      <c r="AA175" s="21">
        <v>-1.53229E-2</v>
      </c>
      <c r="AB175" s="21">
        <v>165</v>
      </c>
      <c r="AC175" s="21">
        <v>0.96801800000000005</v>
      </c>
      <c r="AD175">
        <f t="shared" si="28"/>
        <v>18.917160493827158</v>
      </c>
      <c r="AE175">
        <f t="shared" si="29"/>
        <v>18.332355394320984</v>
      </c>
      <c r="AF175" s="9"/>
      <c r="AG175" s="21">
        <v>0.73089599999999999</v>
      </c>
      <c r="AH175" s="21">
        <v>19.841899999999999</v>
      </c>
      <c r="AI175" s="21">
        <v>-1.5606699999999999E-2</v>
      </c>
      <c r="AJ175" s="21">
        <v>165</v>
      </c>
      <c r="AK175" s="21">
        <v>0.73037700000000005</v>
      </c>
      <c r="AL175">
        <f t="shared" si="30"/>
        <v>19.267530864197528</v>
      </c>
      <c r="AM175">
        <f t="shared" si="31"/>
        <v>14.082561238518517</v>
      </c>
      <c r="AP175" s="9"/>
      <c r="AQ175" s="21">
        <v>0.969086</v>
      </c>
      <c r="AR175" s="21">
        <v>25.359500000000001</v>
      </c>
      <c r="AS175" s="21">
        <v>-1.53381E-2</v>
      </c>
      <c r="AT175" s="21">
        <v>165</v>
      </c>
      <c r="AU175" s="21">
        <v>0.96832300000000004</v>
      </c>
      <c r="AV175">
        <f t="shared" si="32"/>
        <v>18.935925925925925</v>
      </c>
      <c r="AW175">
        <f t="shared" si="33"/>
        <v>18.350540711851853</v>
      </c>
      <c r="AX175" s="9"/>
      <c r="AY175" s="21">
        <v>0.73089599999999999</v>
      </c>
      <c r="AZ175" s="21">
        <v>29.178599999999999</v>
      </c>
      <c r="BA175" s="21">
        <v>-1.5621899999999999E-2</v>
      </c>
      <c r="BB175" s="21">
        <v>165</v>
      </c>
      <c r="BC175" s="21">
        <v>0.73013300000000003</v>
      </c>
      <c r="BD175">
        <f t="shared" si="34"/>
        <v>19.286296296296296</v>
      </c>
      <c r="BE175">
        <f t="shared" si="35"/>
        <v>14.096276817777778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0.96404999999999996</v>
      </c>
      <c r="H176" s="21">
        <v>6.6541100000000002</v>
      </c>
      <c r="I176" s="21">
        <v>-1.5252699999999999E-2</v>
      </c>
      <c r="J176" s="21">
        <v>166</v>
      </c>
      <c r="K176" s="21">
        <v>0.96313499999999996</v>
      </c>
      <c r="L176">
        <f t="shared" si="24"/>
        <v>18.830493827160492</v>
      </c>
      <c r="M176">
        <f t="shared" si="25"/>
        <v>18.153537574074072</v>
      </c>
      <c r="N176" s="9"/>
      <c r="O176" s="21">
        <v>0.735931</v>
      </c>
      <c r="P176" s="21">
        <v>10.4733</v>
      </c>
      <c r="Q176" s="21">
        <v>-1.5518199999999999E-2</v>
      </c>
      <c r="R176" s="21">
        <v>166</v>
      </c>
      <c r="S176" s="21">
        <v>0.735016</v>
      </c>
      <c r="T176">
        <f t="shared" si="26"/>
        <v>19.158271604938271</v>
      </c>
      <c r="U176">
        <f t="shared" si="27"/>
        <v>14.099165980493828</v>
      </c>
      <c r="X176" s="9"/>
      <c r="Y176" s="21">
        <v>0.96404999999999996</v>
      </c>
      <c r="Z176" s="21">
        <v>16.032800000000002</v>
      </c>
      <c r="AA176" s="21">
        <v>-1.5329000000000001E-2</v>
      </c>
      <c r="AB176" s="21">
        <v>166</v>
      </c>
      <c r="AC176" s="21">
        <v>0.95977800000000002</v>
      </c>
      <c r="AD176">
        <f t="shared" si="28"/>
        <v>18.924691358024692</v>
      </c>
      <c r="AE176">
        <f t="shared" si="29"/>
        <v>18.244348703703704</v>
      </c>
      <c r="AF176" s="9"/>
      <c r="AG176" s="21">
        <v>0.735931</v>
      </c>
      <c r="AH176" s="21">
        <v>19.852</v>
      </c>
      <c r="AI176" s="21">
        <v>-1.5600599999999999E-2</v>
      </c>
      <c r="AJ176" s="21">
        <v>166</v>
      </c>
      <c r="AK176" s="21">
        <v>0.735016</v>
      </c>
      <c r="AL176">
        <f t="shared" si="30"/>
        <v>19.259999999999998</v>
      </c>
      <c r="AM176">
        <f t="shared" si="31"/>
        <v>14.174031059999999</v>
      </c>
      <c r="AP176" s="9"/>
      <c r="AQ176" s="21">
        <v>0.96404999999999996</v>
      </c>
      <c r="AR176" s="21">
        <v>25.369499999999999</v>
      </c>
      <c r="AS176" s="21">
        <v>-1.5347299999999999E-2</v>
      </c>
      <c r="AT176" s="21">
        <v>166</v>
      </c>
      <c r="AU176" s="21">
        <v>0.96313499999999996</v>
      </c>
      <c r="AV176">
        <f t="shared" si="32"/>
        <v>18.947283950617283</v>
      </c>
      <c r="AW176">
        <f t="shared" si="33"/>
        <v>18.266129092592593</v>
      </c>
      <c r="AX176" s="9"/>
      <c r="AY176" s="21">
        <v>0.735931</v>
      </c>
      <c r="AZ176" s="21">
        <v>29.188700000000001</v>
      </c>
      <c r="BA176" s="21">
        <v>-1.56189E-2</v>
      </c>
      <c r="BB176" s="21">
        <v>166</v>
      </c>
      <c r="BC176" s="21">
        <v>0.73519900000000005</v>
      </c>
      <c r="BD176">
        <f t="shared" si="34"/>
        <v>19.282592592592589</v>
      </c>
      <c r="BE176">
        <f t="shared" si="35"/>
        <v>14.190657649259258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0.95901499999999995</v>
      </c>
      <c r="H177" s="21">
        <v>6.66418</v>
      </c>
      <c r="I177" s="21">
        <v>-1.5258799999999999E-2</v>
      </c>
      <c r="J177" s="21">
        <v>167</v>
      </c>
      <c r="K177" s="21">
        <v>0.95764199999999999</v>
      </c>
      <c r="L177">
        <f t="shared" si="24"/>
        <v>18.838024691358022</v>
      </c>
      <c r="M177">
        <f t="shared" si="25"/>
        <v>18.065948249382714</v>
      </c>
      <c r="N177" s="9"/>
      <c r="O177" s="21">
        <v>0.74096700000000004</v>
      </c>
      <c r="P177" s="21">
        <v>10.4834</v>
      </c>
      <c r="Q177" s="21">
        <v>-1.55151E-2</v>
      </c>
      <c r="R177" s="21">
        <v>167</v>
      </c>
      <c r="S177" s="21">
        <v>0.74026499999999995</v>
      </c>
      <c r="T177">
        <f t="shared" si="26"/>
        <v>19.154444444444444</v>
      </c>
      <c r="U177">
        <f t="shared" si="27"/>
        <v>14.192811236666667</v>
      </c>
      <c r="X177" s="9"/>
      <c r="Y177" s="21">
        <v>0.95901499999999995</v>
      </c>
      <c r="Z177" s="21">
        <v>16.042899999999999</v>
      </c>
      <c r="AA177" s="21">
        <v>-1.5335100000000001E-2</v>
      </c>
      <c r="AB177" s="21">
        <v>167</v>
      </c>
      <c r="AC177" s="21">
        <v>0.95794699999999999</v>
      </c>
      <c r="AD177">
        <f t="shared" si="28"/>
        <v>18.932222222222222</v>
      </c>
      <c r="AE177">
        <f t="shared" si="29"/>
        <v>18.156285094444442</v>
      </c>
      <c r="AF177" s="9"/>
      <c r="AG177" s="21">
        <v>0.74096700000000004</v>
      </c>
      <c r="AH177" s="21">
        <v>19.862100000000002</v>
      </c>
      <c r="AI177" s="21">
        <v>-1.5594500000000001E-2</v>
      </c>
      <c r="AJ177" s="21">
        <v>167</v>
      </c>
      <c r="AK177" s="21">
        <v>0.74038700000000002</v>
      </c>
      <c r="AL177">
        <f t="shared" si="30"/>
        <v>19.252469135802468</v>
      </c>
      <c r="AM177">
        <f t="shared" si="31"/>
        <v>14.265444298148148</v>
      </c>
      <c r="AP177" s="9"/>
      <c r="AQ177" s="21">
        <v>0.95901499999999995</v>
      </c>
      <c r="AR177" s="21">
        <v>25.3796</v>
      </c>
      <c r="AS177" s="21">
        <v>-1.53534E-2</v>
      </c>
      <c r="AT177" s="21">
        <v>167</v>
      </c>
      <c r="AU177" s="21">
        <v>0.95794699999999999</v>
      </c>
      <c r="AV177">
        <f t="shared" si="32"/>
        <v>18.954814814814814</v>
      </c>
      <c r="AW177">
        <f t="shared" si="33"/>
        <v>18.177951729629626</v>
      </c>
      <c r="AX177" s="9"/>
      <c r="AY177" s="21">
        <v>0.74096700000000004</v>
      </c>
      <c r="AZ177" s="21">
        <v>29.198799999999999</v>
      </c>
      <c r="BA177" s="21">
        <v>-1.56128E-2</v>
      </c>
      <c r="BB177" s="21">
        <v>167</v>
      </c>
      <c r="BC177" s="21">
        <v>0.74035600000000001</v>
      </c>
      <c r="BD177">
        <f t="shared" si="34"/>
        <v>19.275061728395059</v>
      </c>
      <c r="BE177">
        <f t="shared" si="35"/>
        <v>14.282184663703703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0.95397900000000002</v>
      </c>
      <c r="H178" s="21">
        <v>6.6742499999999998</v>
      </c>
      <c r="I178" s="21">
        <v>-1.52649E-2</v>
      </c>
      <c r="J178" s="21">
        <v>168</v>
      </c>
      <c r="K178" s="21">
        <v>0.95275900000000002</v>
      </c>
      <c r="L178">
        <f t="shared" si="24"/>
        <v>18.845555555555553</v>
      </c>
      <c r="M178">
        <f t="shared" si="25"/>
        <v>17.978264243333332</v>
      </c>
      <c r="N178" s="9"/>
      <c r="O178" s="21">
        <v>0.74600200000000005</v>
      </c>
      <c r="P178" s="21">
        <v>10.493399999999999</v>
      </c>
      <c r="Q178" s="21">
        <v>-1.5509E-2</v>
      </c>
      <c r="R178" s="21">
        <v>168</v>
      </c>
      <c r="S178" s="21">
        <v>0.74523899999999998</v>
      </c>
      <c r="T178">
        <f t="shared" si="26"/>
        <v>19.14691358024691</v>
      </c>
      <c r="U178">
        <f t="shared" si="27"/>
        <v>14.283635824691356</v>
      </c>
      <c r="X178" s="9"/>
      <c r="Y178" s="21">
        <v>0.95397900000000002</v>
      </c>
      <c r="Z178" s="21">
        <v>16.052900000000001</v>
      </c>
      <c r="AA178" s="21">
        <v>-1.5341199999999999E-2</v>
      </c>
      <c r="AB178" s="21">
        <v>168</v>
      </c>
      <c r="AC178" s="21">
        <v>0.95611599999999997</v>
      </c>
      <c r="AD178">
        <f t="shared" si="28"/>
        <v>18.939753086419749</v>
      </c>
      <c r="AE178">
        <f t="shared" si="29"/>
        <v>18.068126709629627</v>
      </c>
      <c r="AF178" s="9"/>
      <c r="AG178" s="21">
        <v>0.74600200000000005</v>
      </c>
      <c r="AH178" s="21">
        <v>19.8721</v>
      </c>
      <c r="AI178" s="21">
        <v>-1.5588400000000001E-2</v>
      </c>
      <c r="AJ178" s="21">
        <v>168</v>
      </c>
      <c r="AK178" s="21">
        <v>0.74490400000000001</v>
      </c>
      <c r="AL178">
        <f t="shared" si="30"/>
        <v>19.244938271604937</v>
      </c>
      <c r="AM178">
        <f t="shared" si="31"/>
        <v>14.356762440493828</v>
      </c>
      <c r="AP178" s="9"/>
      <c r="AQ178" s="21">
        <v>0.95397900000000002</v>
      </c>
      <c r="AR178" s="21">
        <v>25.389700000000001</v>
      </c>
      <c r="AS178" s="21">
        <v>-1.53595E-2</v>
      </c>
      <c r="AT178" s="21">
        <v>168</v>
      </c>
      <c r="AU178" s="21">
        <v>0.95275900000000002</v>
      </c>
      <c r="AV178">
        <f t="shared" si="32"/>
        <v>18.962345679012344</v>
      </c>
      <c r="AW178">
        <f t="shared" si="33"/>
        <v>18.089679568518516</v>
      </c>
      <c r="AX178" s="9"/>
      <c r="AY178" s="21">
        <v>0.74600200000000005</v>
      </c>
      <c r="AZ178" s="21">
        <v>29.2089</v>
      </c>
      <c r="BA178" s="21">
        <v>-1.5606699999999999E-2</v>
      </c>
      <c r="BB178" s="21">
        <v>168</v>
      </c>
      <c r="BC178" s="21">
        <v>0.74536100000000005</v>
      </c>
      <c r="BD178">
        <f t="shared" si="34"/>
        <v>19.267530864197528</v>
      </c>
      <c r="BE178">
        <f t="shared" si="35"/>
        <v>14.373616559753085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0.94894400000000001</v>
      </c>
      <c r="H179" s="21">
        <v>6.6843199999999996</v>
      </c>
      <c r="I179" s="21">
        <v>-1.5267899999999999E-2</v>
      </c>
      <c r="J179" s="21">
        <v>169</v>
      </c>
      <c r="K179" s="21">
        <v>0.94757100000000005</v>
      </c>
      <c r="L179">
        <f t="shared" si="24"/>
        <v>18.849259259259256</v>
      </c>
      <c r="M179">
        <f t="shared" si="25"/>
        <v>17.886891478518514</v>
      </c>
      <c r="N179" s="9"/>
      <c r="O179" s="21">
        <v>0.75103799999999998</v>
      </c>
      <c r="P179" s="21">
        <v>10.503500000000001</v>
      </c>
      <c r="Q179" s="21">
        <v>-1.55029E-2</v>
      </c>
      <c r="R179" s="21">
        <v>169</v>
      </c>
      <c r="S179" s="21">
        <v>0.75015299999999996</v>
      </c>
      <c r="T179">
        <f t="shared" si="26"/>
        <v>19.139382716049383</v>
      </c>
      <c r="U179">
        <f t="shared" si="27"/>
        <v>14.374403716296296</v>
      </c>
      <c r="X179" s="9"/>
      <c r="Y179" s="21">
        <v>0.94894400000000001</v>
      </c>
      <c r="Z179" s="21">
        <v>16.062999999999999</v>
      </c>
      <c r="AA179" s="21">
        <v>-1.5347299999999999E-2</v>
      </c>
      <c r="AB179" s="21">
        <v>169</v>
      </c>
      <c r="AC179" s="21">
        <v>0.95031699999999997</v>
      </c>
      <c r="AD179">
        <f t="shared" si="28"/>
        <v>18.947283950617283</v>
      </c>
      <c r="AE179">
        <f t="shared" si="29"/>
        <v>17.979911421234569</v>
      </c>
      <c r="AF179" s="9"/>
      <c r="AG179" s="21">
        <v>0.75103799999999998</v>
      </c>
      <c r="AH179" s="21">
        <v>19.882200000000001</v>
      </c>
      <c r="AI179" s="21">
        <v>-1.55823E-2</v>
      </c>
      <c r="AJ179" s="21">
        <v>169</v>
      </c>
      <c r="AK179" s="21">
        <v>0.75027500000000003</v>
      </c>
      <c r="AL179">
        <f t="shared" si="30"/>
        <v>19.237407407407407</v>
      </c>
      <c r="AM179">
        <f t="shared" si="31"/>
        <v>14.448023984444443</v>
      </c>
      <c r="AP179" s="9"/>
      <c r="AQ179" s="21">
        <v>0.94894400000000001</v>
      </c>
      <c r="AR179" s="21">
        <v>25.399699999999999</v>
      </c>
      <c r="AS179" s="21">
        <v>-1.53656E-2</v>
      </c>
      <c r="AT179" s="21">
        <v>169</v>
      </c>
      <c r="AU179" s="21">
        <v>0.94787600000000005</v>
      </c>
      <c r="AV179">
        <f t="shared" si="32"/>
        <v>18.969876543209878</v>
      </c>
      <c r="AW179">
        <f t="shared" si="33"/>
        <v>18.001350526419756</v>
      </c>
      <c r="AX179" s="9"/>
      <c r="AY179" s="21">
        <v>0.75103799999999998</v>
      </c>
      <c r="AZ179" s="21">
        <v>29.218900000000001</v>
      </c>
      <c r="BA179" s="21">
        <v>-1.56036E-2</v>
      </c>
      <c r="BB179" s="21">
        <v>169</v>
      </c>
      <c r="BC179" s="21">
        <v>0.750641</v>
      </c>
      <c r="BD179">
        <f t="shared" si="34"/>
        <v>19.263703703703705</v>
      </c>
      <c r="BE179">
        <f t="shared" si="35"/>
        <v>14.467773502222222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0.943909</v>
      </c>
      <c r="H180" s="21">
        <v>6.6943900000000003</v>
      </c>
      <c r="I180" s="21">
        <v>-1.5273999999999999E-2</v>
      </c>
      <c r="J180" s="21">
        <v>170</v>
      </c>
      <c r="K180" s="21">
        <v>0.94238299999999997</v>
      </c>
      <c r="L180">
        <f t="shared" si="24"/>
        <v>18.85679012345679</v>
      </c>
      <c r="M180">
        <f t="shared" si="25"/>
        <v>17.799093908641975</v>
      </c>
      <c r="N180" s="9"/>
      <c r="O180" s="21">
        <v>0.756073</v>
      </c>
      <c r="P180" s="21">
        <v>10.5136</v>
      </c>
      <c r="Q180" s="21">
        <v>-1.54999E-2</v>
      </c>
      <c r="R180" s="21">
        <v>170</v>
      </c>
      <c r="S180" s="21">
        <v>0.75470000000000004</v>
      </c>
      <c r="T180">
        <f t="shared" si="26"/>
        <v>19.13567901234568</v>
      </c>
      <c r="U180">
        <f t="shared" si="27"/>
        <v>14.467970237901236</v>
      </c>
      <c r="X180" s="9"/>
      <c r="Y180" s="21">
        <v>0.943909</v>
      </c>
      <c r="Z180" s="21">
        <v>16.0731</v>
      </c>
      <c r="AA180" s="21">
        <v>-1.53534E-2</v>
      </c>
      <c r="AB180" s="21">
        <v>170</v>
      </c>
      <c r="AC180" s="21">
        <v>0.94299299999999997</v>
      </c>
      <c r="AD180">
        <f t="shared" si="28"/>
        <v>18.954814814814814</v>
      </c>
      <c r="AE180">
        <f t="shared" si="29"/>
        <v>17.891620297037036</v>
      </c>
      <c r="AF180" s="9"/>
      <c r="AG180" s="21">
        <v>0.756073</v>
      </c>
      <c r="AH180" s="21">
        <v>19.892299999999999</v>
      </c>
      <c r="AI180" s="21">
        <v>-1.55762E-2</v>
      </c>
      <c r="AJ180" s="21">
        <v>170</v>
      </c>
      <c r="AK180" s="21">
        <v>0.75470000000000004</v>
      </c>
      <c r="AL180">
        <f t="shared" si="30"/>
        <v>19.229876543209876</v>
      </c>
      <c r="AM180">
        <f t="shared" si="31"/>
        <v>14.53919044765432</v>
      </c>
      <c r="AP180" s="9"/>
      <c r="AQ180" s="21">
        <v>0.943909</v>
      </c>
      <c r="AR180" s="21">
        <v>25.409800000000001</v>
      </c>
      <c r="AS180" s="21">
        <v>-1.53717E-2</v>
      </c>
      <c r="AT180" s="21">
        <v>170</v>
      </c>
      <c r="AU180" s="21">
        <v>0.94329799999999997</v>
      </c>
      <c r="AV180">
        <f t="shared" si="32"/>
        <v>18.977407407407409</v>
      </c>
      <c r="AW180">
        <f t="shared" si="33"/>
        <v>17.912945648518519</v>
      </c>
      <c r="AX180" s="9"/>
      <c r="AY180" s="21">
        <v>0.756073</v>
      </c>
      <c r="AZ180" s="21">
        <v>29.228999999999999</v>
      </c>
      <c r="BA180" s="21">
        <v>-1.55975E-2</v>
      </c>
      <c r="BB180" s="21">
        <v>170</v>
      </c>
      <c r="BC180" s="21">
        <v>0.75531000000000004</v>
      </c>
      <c r="BD180">
        <f t="shared" si="34"/>
        <v>19.256172839506171</v>
      </c>
      <c r="BE180">
        <f t="shared" si="35"/>
        <v>14.559072367283949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0.93887299999999996</v>
      </c>
      <c r="H181" s="21">
        <v>6.7044600000000001</v>
      </c>
      <c r="I181" s="21">
        <v>-1.5280200000000001E-2</v>
      </c>
      <c r="J181" s="21">
        <v>171</v>
      </c>
      <c r="K181" s="21">
        <v>0.9375</v>
      </c>
      <c r="L181">
        <f t="shared" si="24"/>
        <v>18.864444444444445</v>
      </c>
      <c r="M181">
        <f t="shared" si="25"/>
        <v>17.711317548888889</v>
      </c>
      <c r="N181" s="9"/>
      <c r="O181" s="21">
        <v>0.76110800000000001</v>
      </c>
      <c r="P181" s="21">
        <v>10.5237</v>
      </c>
      <c r="Q181" s="21">
        <v>-1.54907E-2</v>
      </c>
      <c r="R181" s="21">
        <v>171</v>
      </c>
      <c r="S181" s="21">
        <v>0.76080300000000001</v>
      </c>
      <c r="T181">
        <f t="shared" si="26"/>
        <v>19.124320987654318</v>
      </c>
      <c r="U181">
        <f t="shared" si="27"/>
        <v>14.555673698271603</v>
      </c>
      <c r="X181" s="9"/>
      <c r="Y181" s="21">
        <v>0.93887299999999996</v>
      </c>
      <c r="Z181" s="21">
        <v>16.083200000000001</v>
      </c>
      <c r="AA181" s="21">
        <v>-1.5356399999999999E-2</v>
      </c>
      <c r="AB181" s="21">
        <v>171</v>
      </c>
      <c r="AC181" s="21">
        <v>0.937805</v>
      </c>
      <c r="AD181">
        <f t="shared" si="28"/>
        <v>18.958518518518517</v>
      </c>
      <c r="AE181">
        <f t="shared" si="29"/>
        <v>17.799641157037033</v>
      </c>
      <c r="AF181" s="9"/>
      <c r="AG181" s="21">
        <v>0.76110800000000001</v>
      </c>
      <c r="AH181" s="21">
        <v>19.9023</v>
      </c>
      <c r="AI181" s="21">
        <v>-1.55701E-2</v>
      </c>
      <c r="AJ181" s="21">
        <v>171</v>
      </c>
      <c r="AK181" s="21">
        <v>0.76019300000000001</v>
      </c>
      <c r="AL181">
        <f t="shared" si="30"/>
        <v>19.222345679012346</v>
      </c>
      <c r="AM181">
        <f t="shared" si="31"/>
        <v>14.630281075061729</v>
      </c>
      <c r="AP181" s="9"/>
      <c r="AQ181" s="21">
        <v>0.93887299999999996</v>
      </c>
      <c r="AR181" s="21">
        <v>25.419899999999998</v>
      </c>
      <c r="AS181" s="21">
        <v>-1.5374799999999999E-2</v>
      </c>
      <c r="AT181" s="21">
        <v>171</v>
      </c>
      <c r="AU181" s="21">
        <v>0.937805</v>
      </c>
      <c r="AV181">
        <f t="shared" si="32"/>
        <v>18.981234567901232</v>
      </c>
      <c r="AW181">
        <f t="shared" si="33"/>
        <v>17.820968642469133</v>
      </c>
      <c r="AX181" s="9"/>
      <c r="AY181" s="21">
        <v>0.76110800000000001</v>
      </c>
      <c r="AZ181" s="21">
        <v>29.239100000000001</v>
      </c>
      <c r="BA181" s="21">
        <v>-1.5588400000000001E-2</v>
      </c>
      <c r="BB181" s="21">
        <v>171</v>
      </c>
      <c r="BC181" s="21">
        <v>0.76049800000000001</v>
      </c>
      <c r="BD181">
        <f t="shared" si="34"/>
        <v>19.244938271604937</v>
      </c>
      <c r="BE181">
        <f t="shared" si="35"/>
        <v>14.647476478024691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0.93383799999999995</v>
      </c>
      <c r="H182" s="21">
        <v>6.7145299999999999</v>
      </c>
      <c r="I182" s="21">
        <v>-1.52893E-2</v>
      </c>
      <c r="J182" s="21">
        <v>172</v>
      </c>
      <c r="K182" s="21">
        <v>0.93261700000000003</v>
      </c>
      <c r="L182">
        <f t="shared" si="24"/>
        <v>18.875679012345678</v>
      </c>
      <c r="M182">
        <f t="shared" si="25"/>
        <v>17.626826337530861</v>
      </c>
      <c r="N182" s="9"/>
      <c r="O182" s="21">
        <v>0.76614400000000005</v>
      </c>
      <c r="P182" s="21">
        <v>10.5337</v>
      </c>
      <c r="Q182" s="21">
        <v>-1.54877E-2</v>
      </c>
      <c r="R182" s="21">
        <v>172</v>
      </c>
      <c r="S182" s="21">
        <v>0.76568599999999998</v>
      </c>
      <c r="T182">
        <f t="shared" si="26"/>
        <v>19.120617283950615</v>
      </c>
      <c r="U182">
        <f t="shared" si="27"/>
        <v>14.649146208395061</v>
      </c>
      <c r="X182" s="9"/>
      <c r="Y182" s="21">
        <v>0.93383799999999995</v>
      </c>
      <c r="Z182" s="21">
        <v>16.0932</v>
      </c>
      <c r="AA182" s="21">
        <v>-1.5362499999999999E-2</v>
      </c>
      <c r="AB182" s="21">
        <v>172</v>
      </c>
      <c r="AC182" s="21">
        <v>0.93383799999999995</v>
      </c>
      <c r="AD182">
        <f t="shared" si="28"/>
        <v>18.966049382716047</v>
      </c>
      <c r="AE182">
        <f t="shared" si="29"/>
        <v>17.711217623456786</v>
      </c>
      <c r="AF182" s="9"/>
      <c r="AG182" s="21">
        <v>0.76614400000000005</v>
      </c>
      <c r="AH182" s="21">
        <v>19.912400000000002</v>
      </c>
      <c r="AI182" s="21">
        <v>-1.5564E-2</v>
      </c>
      <c r="AJ182" s="21">
        <v>172</v>
      </c>
      <c r="AK182" s="21">
        <v>0.76507599999999998</v>
      </c>
      <c r="AL182">
        <f t="shared" si="30"/>
        <v>19.214814814814812</v>
      </c>
      <c r="AM182">
        <f t="shared" si="31"/>
        <v>14.72131508148148</v>
      </c>
      <c r="AP182" s="9"/>
      <c r="AQ182" s="21">
        <v>0.93383799999999995</v>
      </c>
      <c r="AR182" s="21">
        <v>25.43</v>
      </c>
      <c r="AS182" s="21">
        <v>-1.5380899999999999E-2</v>
      </c>
      <c r="AT182" s="21">
        <v>172</v>
      </c>
      <c r="AU182" s="21">
        <v>0.93292200000000003</v>
      </c>
      <c r="AV182">
        <f t="shared" si="32"/>
        <v>18.988765432098763</v>
      </c>
      <c r="AW182">
        <f t="shared" si="33"/>
        <v>17.732430733580244</v>
      </c>
      <c r="AX182" s="9"/>
      <c r="AY182" s="21">
        <v>0.76614400000000005</v>
      </c>
      <c r="AZ182" s="21">
        <v>29.249099999999999</v>
      </c>
      <c r="BA182" s="21">
        <v>-1.55853E-2</v>
      </c>
      <c r="BB182" s="21">
        <v>172</v>
      </c>
      <c r="BC182" s="21">
        <v>0.76507599999999998</v>
      </c>
      <c r="BD182">
        <f t="shared" si="34"/>
        <v>19.24111111111111</v>
      </c>
      <c r="BE182">
        <f t="shared" si="35"/>
        <v>14.741461831111112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0.92880200000000002</v>
      </c>
      <c r="H183" s="21">
        <v>6.7245999999999997</v>
      </c>
      <c r="I183" s="21">
        <v>-1.5295400000000001E-2</v>
      </c>
      <c r="J183" s="21">
        <v>173</v>
      </c>
      <c r="K183" s="21">
        <v>0.92773399999999995</v>
      </c>
      <c r="L183">
        <f t="shared" si="24"/>
        <v>18.883209876543212</v>
      </c>
      <c r="M183">
        <f t="shared" si="25"/>
        <v>17.538763099753091</v>
      </c>
      <c r="N183" s="9"/>
      <c r="O183" s="21">
        <v>0.77117899999999995</v>
      </c>
      <c r="P183" s="21">
        <v>10.543799999999999</v>
      </c>
      <c r="Q183" s="21">
        <v>-1.54816E-2</v>
      </c>
      <c r="R183" s="21">
        <v>173</v>
      </c>
      <c r="S183" s="21">
        <v>0.77026399999999995</v>
      </c>
      <c r="T183">
        <f t="shared" si="26"/>
        <v>19.113086419753085</v>
      </c>
      <c r="U183">
        <f t="shared" si="27"/>
        <v>14.739610872098764</v>
      </c>
      <c r="X183" s="9"/>
      <c r="Y183" s="21">
        <v>0.92880200000000002</v>
      </c>
      <c r="Z183" s="21">
        <v>16.103300000000001</v>
      </c>
      <c r="AA183" s="21">
        <v>-1.5368700000000001E-2</v>
      </c>
      <c r="AB183" s="21">
        <v>173</v>
      </c>
      <c r="AC183" s="21">
        <v>0.92834499999999998</v>
      </c>
      <c r="AD183">
        <f t="shared" si="28"/>
        <v>18.973703703703706</v>
      </c>
      <c r="AE183">
        <f t="shared" si="29"/>
        <v>17.622813947407408</v>
      </c>
      <c r="AF183" s="9"/>
      <c r="AG183" s="21">
        <v>0.77117899999999995</v>
      </c>
      <c r="AH183" s="21">
        <v>19.922499999999999</v>
      </c>
      <c r="AI183" s="21">
        <v>-1.55579E-2</v>
      </c>
      <c r="AJ183" s="21">
        <v>173</v>
      </c>
      <c r="AK183" s="21">
        <v>0.76995800000000003</v>
      </c>
      <c r="AL183">
        <f t="shared" si="30"/>
        <v>19.207283950617281</v>
      </c>
      <c r="AM183">
        <f t="shared" si="31"/>
        <v>14.812254029753083</v>
      </c>
      <c r="AP183" s="9"/>
      <c r="AQ183" s="21">
        <v>0.92880200000000002</v>
      </c>
      <c r="AR183" s="21">
        <v>25.44</v>
      </c>
      <c r="AS183" s="21">
        <v>-1.5383900000000001E-2</v>
      </c>
      <c r="AT183" s="21">
        <v>173</v>
      </c>
      <c r="AU183" s="21">
        <v>0.92742899999999995</v>
      </c>
      <c r="AV183">
        <f t="shared" si="32"/>
        <v>18.99246913580247</v>
      </c>
      <c r="AW183">
        <f t="shared" si="33"/>
        <v>17.640243318271605</v>
      </c>
      <c r="AX183" s="9"/>
      <c r="AY183" s="21">
        <v>0.77117899999999995</v>
      </c>
      <c r="AZ183" s="21">
        <v>29.2592</v>
      </c>
      <c r="BA183" s="21">
        <v>-1.55792E-2</v>
      </c>
      <c r="BB183" s="21">
        <v>173</v>
      </c>
      <c r="BC183" s="21">
        <v>0.76995800000000003</v>
      </c>
      <c r="BD183">
        <f t="shared" si="34"/>
        <v>19.233580246913579</v>
      </c>
      <c r="BE183">
        <f t="shared" si="35"/>
        <v>14.832533181234567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0.923767</v>
      </c>
      <c r="H184" s="21">
        <v>6.7346700000000004</v>
      </c>
      <c r="I184" s="21">
        <v>-1.5301500000000001E-2</v>
      </c>
      <c r="J184" s="21">
        <v>174</v>
      </c>
      <c r="K184" s="21">
        <v>0.92285200000000001</v>
      </c>
      <c r="L184">
        <f t="shared" si="24"/>
        <v>18.890740740740739</v>
      </c>
      <c r="M184">
        <f t="shared" si="25"/>
        <v>17.45064290185185</v>
      </c>
      <c r="N184" s="9"/>
      <c r="O184" s="21">
        <v>0.77621499999999999</v>
      </c>
      <c r="P184" s="21">
        <v>10.553900000000001</v>
      </c>
      <c r="Q184" s="21">
        <v>-1.54755E-2</v>
      </c>
      <c r="R184" s="21">
        <v>174</v>
      </c>
      <c r="S184" s="21">
        <v>0.774841</v>
      </c>
      <c r="T184">
        <f t="shared" si="26"/>
        <v>19.105555555555554</v>
      </c>
      <c r="U184">
        <f t="shared" si="27"/>
        <v>14.830018805555554</v>
      </c>
      <c r="X184" s="9"/>
      <c r="Y184" s="21">
        <v>0.923767</v>
      </c>
      <c r="Z184" s="21">
        <v>16.113399999999999</v>
      </c>
      <c r="AA184" s="21">
        <v>-1.5374799999999999E-2</v>
      </c>
      <c r="AB184" s="21">
        <v>174</v>
      </c>
      <c r="AC184" s="21">
        <v>0.92254599999999998</v>
      </c>
      <c r="AD184">
        <f t="shared" si="28"/>
        <v>18.981234567901232</v>
      </c>
      <c r="AE184">
        <f t="shared" si="29"/>
        <v>17.534238113086417</v>
      </c>
      <c r="AF184" s="9"/>
      <c r="AG184" s="21">
        <v>0.77621499999999999</v>
      </c>
      <c r="AH184" s="21">
        <v>19.932600000000001</v>
      </c>
      <c r="AI184" s="21">
        <v>-1.5551799999999999E-2</v>
      </c>
      <c r="AJ184" s="21">
        <v>174</v>
      </c>
      <c r="AK184" s="21">
        <v>0.77545200000000003</v>
      </c>
      <c r="AL184">
        <f t="shared" si="30"/>
        <v>19.199753086419751</v>
      </c>
      <c r="AM184">
        <f t="shared" si="31"/>
        <v>14.903136341975307</v>
      </c>
      <c r="AP184" s="9"/>
      <c r="AQ184" s="21">
        <v>0.923767</v>
      </c>
      <c r="AR184" s="21">
        <v>25.450099999999999</v>
      </c>
      <c r="AS184" s="21">
        <v>-1.5389999999999999E-2</v>
      </c>
      <c r="AT184" s="21">
        <v>174</v>
      </c>
      <c r="AU184" s="21">
        <v>0.92346200000000001</v>
      </c>
      <c r="AV184">
        <f t="shared" si="32"/>
        <v>18.999999999999996</v>
      </c>
      <c r="AW184">
        <f t="shared" si="33"/>
        <v>17.551572999999998</v>
      </c>
      <c r="AX184" s="9"/>
      <c r="AY184" s="21">
        <v>0.77621499999999999</v>
      </c>
      <c r="AZ184" s="21">
        <v>29.269300000000001</v>
      </c>
      <c r="BA184" s="21">
        <v>-1.55762E-2</v>
      </c>
      <c r="BB184" s="21">
        <v>174</v>
      </c>
      <c r="BC184" s="21">
        <v>0.775146</v>
      </c>
      <c r="BD184">
        <f t="shared" si="34"/>
        <v>19.229876543209876</v>
      </c>
      <c r="BE184">
        <f t="shared" si="35"/>
        <v>14.926518620987654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0.91873199999999999</v>
      </c>
      <c r="H185" s="21">
        <v>6.7447400000000002</v>
      </c>
      <c r="I185" s="21">
        <v>-1.53046E-2</v>
      </c>
      <c r="J185" s="21">
        <v>175</v>
      </c>
      <c r="K185" s="21">
        <v>0.91735800000000001</v>
      </c>
      <c r="L185">
        <f t="shared" si="24"/>
        <v>18.894567901234566</v>
      </c>
      <c r="M185">
        <f t="shared" si="25"/>
        <v>17.359044157037037</v>
      </c>
      <c r="N185" s="9"/>
      <c r="O185" s="21">
        <v>0.78125</v>
      </c>
      <c r="P185" s="21">
        <v>10.5639</v>
      </c>
      <c r="Q185" s="21">
        <v>-1.5472400000000001E-2</v>
      </c>
      <c r="R185" s="21">
        <v>175</v>
      </c>
      <c r="S185" s="21">
        <v>0.78002899999999997</v>
      </c>
      <c r="T185">
        <f t="shared" si="26"/>
        <v>19.101728395061727</v>
      </c>
      <c r="U185">
        <f t="shared" si="27"/>
        <v>14.923225308641975</v>
      </c>
      <c r="X185" s="9"/>
      <c r="Y185" s="21">
        <v>0.91873199999999999</v>
      </c>
      <c r="Z185" s="21">
        <v>16.1234</v>
      </c>
      <c r="AA185" s="21">
        <v>-1.53778E-2</v>
      </c>
      <c r="AB185" s="21">
        <v>175</v>
      </c>
      <c r="AC185" s="21">
        <v>0.91827400000000003</v>
      </c>
      <c r="AD185">
        <f t="shared" si="28"/>
        <v>18.984938271604936</v>
      </c>
      <c r="AE185">
        <f t="shared" si="29"/>
        <v>17.442070308148146</v>
      </c>
      <c r="AF185" s="9"/>
      <c r="AG185" s="21">
        <v>0.78125</v>
      </c>
      <c r="AH185" s="21">
        <v>19.942599999999999</v>
      </c>
      <c r="AI185" s="21">
        <v>-1.55487E-2</v>
      </c>
      <c r="AJ185" s="21">
        <v>175</v>
      </c>
      <c r="AK185" s="21">
        <v>0.78002899999999997</v>
      </c>
      <c r="AL185">
        <f t="shared" si="30"/>
        <v>19.195925925925927</v>
      </c>
      <c r="AM185">
        <f t="shared" si="31"/>
        <v>14.99681712962963</v>
      </c>
      <c r="AP185" s="9"/>
      <c r="AQ185" s="21">
        <v>0.91873199999999999</v>
      </c>
      <c r="AR185" s="21">
        <v>25.4602</v>
      </c>
      <c r="AS185" s="21">
        <v>-1.5396099999999999E-2</v>
      </c>
      <c r="AT185" s="21">
        <v>175</v>
      </c>
      <c r="AU185" s="21">
        <v>0.91796900000000003</v>
      </c>
      <c r="AV185">
        <f t="shared" si="32"/>
        <v>19.007530864197527</v>
      </c>
      <c r="AW185">
        <f t="shared" si="33"/>
        <v>17.462826845925921</v>
      </c>
      <c r="AX185" s="9"/>
      <c r="AY185" s="21">
        <v>0.78125</v>
      </c>
      <c r="AZ185" s="21">
        <v>29.279399999999999</v>
      </c>
      <c r="BA185" s="21">
        <v>-1.55701E-2</v>
      </c>
      <c r="BB185" s="21">
        <v>175</v>
      </c>
      <c r="BC185" s="21">
        <v>0.78064</v>
      </c>
      <c r="BD185">
        <f t="shared" si="34"/>
        <v>19.222345679012346</v>
      </c>
      <c r="BE185">
        <f t="shared" si="35"/>
        <v>15.017457561728396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0.91369599999999995</v>
      </c>
      <c r="H186" s="21">
        <v>6.7548199999999996</v>
      </c>
      <c r="I186" s="21">
        <v>-1.53107E-2</v>
      </c>
      <c r="J186" s="21">
        <v>176</v>
      </c>
      <c r="K186" s="21">
        <v>0.91278099999999995</v>
      </c>
      <c r="L186">
        <f t="shared" si="24"/>
        <v>18.9020987654321</v>
      </c>
      <c r="M186">
        <f t="shared" si="25"/>
        <v>17.270772033580247</v>
      </c>
      <c r="N186" s="9"/>
      <c r="O186" s="21">
        <v>0.78628500000000001</v>
      </c>
      <c r="P186" s="21">
        <v>10.574</v>
      </c>
      <c r="Q186" s="21">
        <v>-1.5463299999999999E-2</v>
      </c>
      <c r="R186" s="21">
        <v>176</v>
      </c>
      <c r="S186" s="21">
        <v>0.78491200000000005</v>
      </c>
      <c r="T186">
        <f t="shared" si="26"/>
        <v>19.090493827160493</v>
      </c>
      <c r="U186">
        <f t="shared" si="27"/>
        <v>15.010568938888889</v>
      </c>
      <c r="X186" s="9"/>
      <c r="Y186" s="21">
        <v>0.91369599999999995</v>
      </c>
      <c r="Z186" s="21">
        <v>16.133500000000002</v>
      </c>
      <c r="AA186" s="21">
        <v>-1.5383900000000001E-2</v>
      </c>
      <c r="AB186" s="21">
        <v>176</v>
      </c>
      <c r="AC186" s="21">
        <v>0.91369599999999995</v>
      </c>
      <c r="AD186">
        <f t="shared" si="28"/>
        <v>18.99246913580247</v>
      </c>
      <c r="AE186">
        <f t="shared" si="29"/>
        <v>17.353343079506171</v>
      </c>
      <c r="AF186" s="9"/>
      <c r="AG186" s="21">
        <v>0.78628500000000001</v>
      </c>
      <c r="AH186" s="21">
        <v>19.9527</v>
      </c>
      <c r="AI186" s="21">
        <v>-1.55426E-2</v>
      </c>
      <c r="AJ186" s="21">
        <v>176</v>
      </c>
      <c r="AK186" s="21">
        <v>0.78582799999999997</v>
      </c>
      <c r="AL186">
        <f t="shared" si="30"/>
        <v>19.188395061728393</v>
      </c>
      <c r="AM186">
        <f t="shared" si="31"/>
        <v>15.08754721111111</v>
      </c>
      <c r="AP186" s="9"/>
      <c r="AQ186" s="21">
        <v>0.91369599999999995</v>
      </c>
      <c r="AR186" s="21">
        <v>25.470199999999998</v>
      </c>
      <c r="AS186" s="21">
        <v>-1.54022E-2</v>
      </c>
      <c r="AT186" s="21">
        <v>176</v>
      </c>
      <c r="AU186" s="21">
        <v>0.91217000000000004</v>
      </c>
      <c r="AV186">
        <f t="shared" si="32"/>
        <v>19.015061728395061</v>
      </c>
      <c r="AW186">
        <f t="shared" si="33"/>
        <v>17.373985840987654</v>
      </c>
      <c r="AX186" s="9"/>
      <c r="AY186" s="21">
        <v>0.78628500000000001</v>
      </c>
      <c r="AZ186" s="21">
        <v>29.289400000000001</v>
      </c>
      <c r="BA186" s="21">
        <v>-1.5566999999999999E-2</v>
      </c>
      <c r="BB186" s="21">
        <v>176</v>
      </c>
      <c r="BC186" s="21">
        <v>0.78552200000000005</v>
      </c>
      <c r="BD186">
        <f t="shared" si="34"/>
        <v>19.218518518518518</v>
      </c>
      <c r="BE186">
        <f t="shared" si="35"/>
        <v>15.111232833333334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0.90866100000000005</v>
      </c>
      <c r="H187" s="21">
        <v>6.7648900000000003</v>
      </c>
      <c r="I187" s="21">
        <v>-1.53137E-2</v>
      </c>
      <c r="J187" s="21">
        <v>177</v>
      </c>
      <c r="K187" s="21">
        <v>0.90759299999999998</v>
      </c>
      <c r="L187">
        <f t="shared" si="24"/>
        <v>18.9058024691358</v>
      </c>
      <c r="M187">
        <f t="shared" si="25"/>
        <v>17.178965377407405</v>
      </c>
      <c r="N187" s="9"/>
      <c r="O187" s="21">
        <v>0.79132100000000005</v>
      </c>
      <c r="P187" s="21">
        <v>10.584099999999999</v>
      </c>
      <c r="Q187" s="21">
        <v>-1.54602E-2</v>
      </c>
      <c r="R187" s="21">
        <v>177</v>
      </c>
      <c r="S187" s="21">
        <v>0.79010000000000002</v>
      </c>
      <c r="T187">
        <f t="shared" si="26"/>
        <v>19.086666666666666</v>
      </c>
      <c r="U187">
        <f t="shared" si="27"/>
        <v>15.103680153333334</v>
      </c>
      <c r="X187" s="9"/>
      <c r="Y187" s="21">
        <v>0.90866100000000005</v>
      </c>
      <c r="Z187" s="21">
        <v>16.143599999999999</v>
      </c>
      <c r="AA187" s="21">
        <v>-1.5389999999999999E-2</v>
      </c>
      <c r="AB187" s="21">
        <v>177</v>
      </c>
      <c r="AC187" s="21">
        <v>0.90728799999999998</v>
      </c>
      <c r="AD187">
        <f t="shared" si="28"/>
        <v>18.999999999999996</v>
      </c>
      <c r="AE187">
        <f t="shared" si="29"/>
        <v>17.264558999999998</v>
      </c>
      <c r="AF187" s="9"/>
      <c r="AG187" s="21">
        <v>0.79132100000000005</v>
      </c>
      <c r="AH187" s="21">
        <v>19.962800000000001</v>
      </c>
      <c r="AI187" s="21">
        <v>-1.55365E-2</v>
      </c>
      <c r="AJ187" s="21">
        <v>177</v>
      </c>
      <c r="AK187" s="21">
        <v>0.79071000000000002</v>
      </c>
      <c r="AL187">
        <f t="shared" si="30"/>
        <v>19.180864197530862</v>
      </c>
      <c r="AM187">
        <f t="shared" si="31"/>
        <v>15.17822063765432</v>
      </c>
      <c r="AP187" s="9"/>
      <c r="AQ187" s="21">
        <v>0.90866100000000005</v>
      </c>
      <c r="AR187" s="21">
        <v>25.4803</v>
      </c>
      <c r="AS187" s="21">
        <v>-1.54083E-2</v>
      </c>
      <c r="AT187" s="21">
        <v>177</v>
      </c>
      <c r="AU187" s="21">
        <v>0.90789799999999998</v>
      </c>
      <c r="AV187">
        <f t="shared" si="32"/>
        <v>19.022592592592591</v>
      </c>
      <c r="AW187">
        <f t="shared" si="33"/>
        <v>17.285088007777777</v>
      </c>
      <c r="AX187" s="9"/>
      <c r="AY187" s="21">
        <v>0.79132100000000005</v>
      </c>
      <c r="AZ187" s="21">
        <v>29.299499999999998</v>
      </c>
      <c r="BA187" s="21">
        <v>-1.5560900000000001E-2</v>
      </c>
      <c r="BB187" s="21">
        <v>177</v>
      </c>
      <c r="BC187" s="21">
        <v>0.79010000000000002</v>
      </c>
      <c r="BD187">
        <f t="shared" si="34"/>
        <v>19.210987654320988</v>
      </c>
      <c r="BE187">
        <f t="shared" si="35"/>
        <v>15.20205796160494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0.90362500000000001</v>
      </c>
      <c r="H188" s="21">
        <v>6.7749600000000001</v>
      </c>
      <c r="I188" s="21">
        <v>-1.53198E-2</v>
      </c>
      <c r="J188" s="21">
        <v>178</v>
      </c>
      <c r="K188" s="21">
        <v>0.90271000000000001</v>
      </c>
      <c r="L188">
        <f t="shared" si="24"/>
        <v>18.91333333333333</v>
      </c>
      <c r="M188">
        <f t="shared" si="25"/>
        <v>17.090560833333331</v>
      </c>
      <c r="N188" s="9"/>
      <c r="O188" s="21">
        <v>0.79635599999999995</v>
      </c>
      <c r="P188" s="21">
        <v>10.594099999999999</v>
      </c>
      <c r="Q188" s="21">
        <v>-1.54541E-2</v>
      </c>
      <c r="R188" s="21">
        <v>178</v>
      </c>
      <c r="S188" s="21">
        <v>0.79559299999999999</v>
      </c>
      <c r="T188">
        <f t="shared" si="26"/>
        <v>19.079135802469132</v>
      </c>
      <c r="U188">
        <f t="shared" si="27"/>
        <v>15.193784271111108</v>
      </c>
      <c r="X188" s="9"/>
      <c r="Y188" s="21">
        <v>0.90362500000000001</v>
      </c>
      <c r="Z188" s="21">
        <v>16.153700000000001</v>
      </c>
      <c r="AA188" s="21">
        <v>-1.53931E-2</v>
      </c>
      <c r="AB188" s="21">
        <v>178</v>
      </c>
      <c r="AC188" s="21">
        <v>0.89996299999999996</v>
      </c>
      <c r="AD188">
        <f t="shared" si="28"/>
        <v>19.003827160493824</v>
      </c>
      <c r="AE188">
        <f t="shared" si="29"/>
        <v>17.172333317901231</v>
      </c>
      <c r="AF188" s="9"/>
      <c r="AG188" s="21">
        <v>0.79635599999999995</v>
      </c>
      <c r="AH188" s="21">
        <v>19.972799999999999</v>
      </c>
      <c r="AI188" s="21">
        <v>-1.55304E-2</v>
      </c>
      <c r="AJ188" s="21">
        <v>178</v>
      </c>
      <c r="AK188" s="21">
        <v>0.79528799999999999</v>
      </c>
      <c r="AL188">
        <f t="shared" si="30"/>
        <v>19.173333333333332</v>
      </c>
      <c r="AM188">
        <f t="shared" si="31"/>
        <v>15.268799039999998</v>
      </c>
      <c r="AP188" s="9"/>
      <c r="AQ188" s="21">
        <v>0.90362500000000001</v>
      </c>
      <c r="AR188" s="21">
        <v>25.490400000000001</v>
      </c>
      <c r="AS188" s="21">
        <v>-1.54144E-2</v>
      </c>
      <c r="AT188" s="21">
        <v>178</v>
      </c>
      <c r="AU188" s="21">
        <v>0.90240500000000001</v>
      </c>
      <c r="AV188">
        <f t="shared" si="32"/>
        <v>19.030123456790122</v>
      </c>
      <c r="AW188">
        <f t="shared" si="33"/>
        <v>17.196095308641976</v>
      </c>
      <c r="AX188" s="9"/>
      <c r="AY188" s="21">
        <v>0.79635599999999995</v>
      </c>
      <c r="AZ188" s="21">
        <v>29.3096</v>
      </c>
      <c r="BA188" s="21">
        <v>-1.5551799999999999E-2</v>
      </c>
      <c r="BB188" s="21">
        <v>178</v>
      </c>
      <c r="BC188" s="21">
        <v>0.79559299999999999</v>
      </c>
      <c r="BD188">
        <f t="shared" si="34"/>
        <v>19.199753086419751</v>
      </c>
      <c r="BE188">
        <f t="shared" si="35"/>
        <v>15.289838568888886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0.89859</v>
      </c>
      <c r="H189" s="21">
        <v>6.7850299999999999</v>
      </c>
      <c r="I189" s="21">
        <v>-1.53229E-2</v>
      </c>
      <c r="J189" s="21">
        <v>179</v>
      </c>
      <c r="K189" s="21">
        <v>0.89782700000000004</v>
      </c>
      <c r="L189">
        <f t="shared" si="24"/>
        <v>18.917160493827158</v>
      </c>
      <c r="M189">
        <f t="shared" si="25"/>
        <v>16.998771248148145</v>
      </c>
      <c r="N189" s="9"/>
      <c r="O189" s="21">
        <v>0.80139199999999999</v>
      </c>
      <c r="P189" s="21">
        <v>10.604200000000001</v>
      </c>
      <c r="Q189" s="21">
        <v>-1.5448E-2</v>
      </c>
      <c r="R189" s="21">
        <v>179</v>
      </c>
      <c r="S189" s="21">
        <v>0.80017099999999997</v>
      </c>
      <c r="T189">
        <f t="shared" si="26"/>
        <v>19.071604938271605</v>
      </c>
      <c r="U189">
        <f t="shared" si="27"/>
        <v>15.283831624691357</v>
      </c>
      <c r="X189" s="9"/>
      <c r="Y189" s="21">
        <v>0.89859</v>
      </c>
      <c r="Z189" s="21">
        <v>16.163699999999999</v>
      </c>
      <c r="AA189" s="21">
        <v>-1.53992E-2</v>
      </c>
      <c r="AB189" s="21">
        <v>179</v>
      </c>
      <c r="AC189" s="21">
        <v>0.89721700000000004</v>
      </c>
      <c r="AD189">
        <f t="shared" si="28"/>
        <v>19.011358024691354</v>
      </c>
      <c r="AE189">
        <f t="shared" si="29"/>
        <v>17.083416207407403</v>
      </c>
      <c r="AF189" s="9"/>
      <c r="AG189" s="21">
        <v>0.80139199999999999</v>
      </c>
      <c r="AH189" s="21">
        <v>19.982900000000001</v>
      </c>
      <c r="AI189" s="21">
        <v>-1.55243E-2</v>
      </c>
      <c r="AJ189" s="21">
        <v>179</v>
      </c>
      <c r="AK189" s="21">
        <v>0.80078099999999997</v>
      </c>
      <c r="AL189">
        <f t="shared" si="30"/>
        <v>19.165802469135802</v>
      </c>
      <c r="AM189">
        <f t="shared" si="31"/>
        <v>15.359320772345677</v>
      </c>
      <c r="AP189" s="9"/>
      <c r="AQ189" s="21">
        <v>0.89859</v>
      </c>
      <c r="AR189" s="21">
        <v>25.500499999999999</v>
      </c>
      <c r="AS189" s="21">
        <v>-1.54205E-2</v>
      </c>
      <c r="AT189" s="21">
        <v>179</v>
      </c>
      <c r="AU189" s="21">
        <v>0.89813200000000004</v>
      </c>
      <c r="AV189">
        <f t="shared" si="32"/>
        <v>19.037654320987656</v>
      </c>
      <c r="AW189">
        <f t="shared" si="33"/>
        <v>17.107045796296298</v>
      </c>
      <c r="AX189" s="9"/>
      <c r="AY189" s="21">
        <v>0.80139199999999999</v>
      </c>
      <c r="AZ189" s="21">
        <v>29.319600000000001</v>
      </c>
      <c r="BA189" s="21">
        <v>-1.5545700000000001E-2</v>
      </c>
      <c r="BB189" s="21">
        <v>179</v>
      </c>
      <c r="BC189" s="21">
        <v>0.79986599999999997</v>
      </c>
      <c r="BD189">
        <f t="shared" si="34"/>
        <v>19.19222222222222</v>
      </c>
      <c r="BE189">
        <f t="shared" si="35"/>
        <v>15.380493351111109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0.89355499999999999</v>
      </c>
      <c r="H190" s="21">
        <v>6.7950999999999997</v>
      </c>
      <c r="I190" s="21">
        <v>-1.5329000000000001E-2</v>
      </c>
      <c r="J190" s="21">
        <v>180</v>
      </c>
      <c r="K190" s="21">
        <v>0.89263899999999996</v>
      </c>
      <c r="L190">
        <f t="shared" si="24"/>
        <v>18.924691358024692</v>
      </c>
      <c r="M190">
        <f t="shared" si="25"/>
        <v>16.910252586419752</v>
      </c>
      <c r="N190" s="9"/>
      <c r="O190" s="21">
        <v>0.806427</v>
      </c>
      <c r="P190" s="21">
        <v>10.6143</v>
      </c>
      <c r="Q190" s="21">
        <v>-1.5444899999999999E-2</v>
      </c>
      <c r="R190" s="21">
        <v>180</v>
      </c>
      <c r="S190" s="21">
        <v>0.80505400000000005</v>
      </c>
      <c r="T190">
        <f t="shared" si="26"/>
        <v>19.067777777777778</v>
      </c>
      <c r="U190">
        <f t="shared" si="27"/>
        <v>15.37677083</v>
      </c>
      <c r="X190" s="9"/>
      <c r="Y190" s="21">
        <v>0.89355499999999999</v>
      </c>
      <c r="Z190" s="21">
        <v>16.1738</v>
      </c>
      <c r="AA190" s="21">
        <v>-1.54053E-2</v>
      </c>
      <c r="AB190" s="21">
        <v>180</v>
      </c>
      <c r="AC190" s="21">
        <v>0.89416499999999999</v>
      </c>
      <c r="AD190">
        <f t="shared" si="28"/>
        <v>19.018888888888888</v>
      </c>
      <c r="AE190">
        <f t="shared" si="29"/>
        <v>16.994423261111109</v>
      </c>
      <c r="AF190" s="9"/>
      <c r="AG190" s="21">
        <v>0.806427</v>
      </c>
      <c r="AH190" s="21">
        <v>19.992999999999999</v>
      </c>
      <c r="AI190" s="21">
        <v>-1.5518199999999999E-2</v>
      </c>
      <c r="AJ190" s="21">
        <v>180</v>
      </c>
      <c r="AK190" s="21">
        <v>0.80535900000000005</v>
      </c>
      <c r="AL190">
        <f t="shared" si="30"/>
        <v>19.158271604938271</v>
      </c>
      <c r="AM190">
        <f t="shared" si="31"/>
        <v>15.449747495555556</v>
      </c>
      <c r="AP190" s="9"/>
      <c r="AQ190" s="21">
        <v>0.89355499999999999</v>
      </c>
      <c r="AR190" s="21">
        <v>25.5105</v>
      </c>
      <c r="AS190" s="21">
        <v>-1.5423600000000001E-2</v>
      </c>
      <c r="AT190" s="21">
        <v>180</v>
      </c>
      <c r="AU190" s="21">
        <v>0.89263899999999996</v>
      </c>
      <c r="AV190">
        <f t="shared" si="32"/>
        <v>19.041481481481483</v>
      </c>
      <c r="AW190">
        <f t="shared" si="33"/>
        <v>17.014610985185186</v>
      </c>
      <c r="AX190" s="9"/>
      <c r="AY190" s="21">
        <v>0.806427</v>
      </c>
      <c r="AZ190" s="21">
        <v>29.329699999999999</v>
      </c>
      <c r="BA190" s="21">
        <v>-1.5539600000000001E-2</v>
      </c>
      <c r="BB190" s="21">
        <v>180</v>
      </c>
      <c r="BC190" s="21">
        <v>0.80505400000000005</v>
      </c>
      <c r="BD190">
        <f t="shared" si="34"/>
        <v>19.18469135802469</v>
      </c>
      <c r="BE190">
        <f t="shared" si="35"/>
        <v>15.471053097777776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0.88851899999999995</v>
      </c>
      <c r="H191" s="21">
        <v>6.8051700000000004</v>
      </c>
      <c r="I191" s="21">
        <v>-1.53381E-2</v>
      </c>
      <c r="J191" s="21">
        <v>181</v>
      </c>
      <c r="K191" s="21">
        <v>0.88714599999999999</v>
      </c>
      <c r="L191">
        <f t="shared" si="24"/>
        <v>18.935925925925925</v>
      </c>
      <c r="M191">
        <f t="shared" si="25"/>
        <v>16.824929967777777</v>
      </c>
      <c r="N191" s="9"/>
      <c r="O191" s="21">
        <v>0.81146200000000002</v>
      </c>
      <c r="P191" s="21">
        <v>10.6244</v>
      </c>
      <c r="Q191" s="21">
        <v>-1.5438800000000001E-2</v>
      </c>
      <c r="R191" s="21">
        <v>181</v>
      </c>
      <c r="S191" s="21">
        <v>0.80963099999999999</v>
      </c>
      <c r="T191">
        <f t="shared" si="26"/>
        <v>19.060246913580247</v>
      </c>
      <c r="U191">
        <f t="shared" si="27"/>
        <v>15.466666080987656</v>
      </c>
      <c r="X191" s="9"/>
      <c r="Y191" s="21">
        <v>0.88851899999999995</v>
      </c>
      <c r="Z191" s="21">
        <v>16.183900000000001</v>
      </c>
      <c r="AA191" s="21">
        <v>-1.54114E-2</v>
      </c>
      <c r="AB191" s="21">
        <v>181</v>
      </c>
      <c r="AC191" s="21">
        <v>0.88867200000000002</v>
      </c>
      <c r="AD191">
        <f t="shared" si="28"/>
        <v>19.026419753086419</v>
      </c>
      <c r="AE191">
        <f t="shared" si="29"/>
        <v>16.905335452592592</v>
      </c>
      <c r="AF191" s="9"/>
      <c r="AG191" s="21">
        <v>0.81146200000000002</v>
      </c>
      <c r="AH191" s="21">
        <v>20.0031</v>
      </c>
      <c r="AI191" s="21">
        <v>-1.5512099999999999E-2</v>
      </c>
      <c r="AJ191" s="21">
        <v>181</v>
      </c>
      <c r="AK191" s="21">
        <v>0.81085200000000002</v>
      </c>
      <c r="AL191">
        <f t="shared" si="30"/>
        <v>19.150740740740741</v>
      </c>
      <c r="AM191">
        <f t="shared" si="31"/>
        <v>15.540098382962963</v>
      </c>
      <c r="AP191" s="9"/>
      <c r="AQ191" s="21">
        <v>0.88851899999999995</v>
      </c>
      <c r="AR191" s="21">
        <v>25.520600000000002</v>
      </c>
      <c r="AS191" s="21">
        <v>-1.5429699999999999E-2</v>
      </c>
      <c r="AT191" s="21">
        <v>181</v>
      </c>
      <c r="AU191" s="21">
        <v>0.88714599999999999</v>
      </c>
      <c r="AV191">
        <f t="shared" si="32"/>
        <v>19.04901234567901</v>
      </c>
      <c r="AW191">
        <f t="shared" si="33"/>
        <v>16.925409400370366</v>
      </c>
      <c r="AX191" s="9"/>
      <c r="AY191" s="21">
        <v>0.81146200000000002</v>
      </c>
      <c r="AZ191" s="21">
        <v>29.3398</v>
      </c>
      <c r="BA191" s="21">
        <v>-1.5533399999999999E-2</v>
      </c>
      <c r="BB191" s="21">
        <v>181</v>
      </c>
      <c r="BC191" s="21">
        <v>0.81024200000000002</v>
      </c>
      <c r="BD191">
        <f t="shared" si="34"/>
        <v>19.177037037037035</v>
      </c>
      <c r="BE191">
        <f t="shared" si="35"/>
        <v>15.561436828148146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0.88348400000000005</v>
      </c>
      <c r="H192" s="21">
        <v>6.8152400000000002</v>
      </c>
      <c r="I192" s="21">
        <v>-1.5344200000000001E-2</v>
      </c>
      <c r="J192" s="21">
        <v>182</v>
      </c>
      <c r="K192" s="21">
        <v>0.88195800000000002</v>
      </c>
      <c r="L192">
        <f t="shared" si="24"/>
        <v>18.943456790123456</v>
      </c>
      <c r="M192">
        <f t="shared" si="25"/>
        <v>16.736240978765434</v>
      </c>
      <c r="N192" s="9"/>
      <c r="O192" s="21">
        <v>0.81649799999999995</v>
      </c>
      <c r="P192" s="21">
        <v>10.634399999999999</v>
      </c>
      <c r="Q192" s="21">
        <v>-1.54358E-2</v>
      </c>
      <c r="R192" s="21">
        <v>182</v>
      </c>
      <c r="S192" s="21">
        <v>0.81542999999999999</v>
      </c>
      <c r="T192">
        <f t="shared" si="26"/>
        <v>19.056543209876541</v>
      </c>
      <c r="U192">
        <f t="shared" si="27"/>
        <v>15.559629417777774</v>
      </c>
      <c r="X192" s="9"/>
      <c r="Y192" s="21">
        <v>0.88348400000000005</v>
      </c>
      <c r="Z192" s="21">
        <v>16.193899999999999</v>
      </c>
      <c r="AA192" s="21">
        <v>-1.5417500000000001E-2</v>
      </c>
      <c r="AB192" s="21">
        <v>182</v>
      </c>
      <c r="AC192" s="21">
        <v>0.87341299999999999</v>
      </c>
      <c r="AD192">
        <f t="shared" si="28"/>
        <v>19.033950617283949</v>
      </c>
      <c r="AE192">
        <f t="shared" si="29"/>
        <v>16.816190827160494</v>
      </c>
      <c r="AF192" s="9"/>
      <c r="AG192" s="21">
        <v>0.81649799999999995</v>
      </c>
      <c r="AH192" s="21">
        <v>20.013100000000001</v>
      </c>
      <c r="AI192" s="21">
        <v>-1.5509E-2</v>
      </c>
      <c r="AJ192" s="21">
        <v>182</v>
      </c>
      <c r="AK192" s="21">
        <v>0.81542999999999999</v>
      </c>
      <c r="AL192">
        <f t="shared" si="30"/>
        <v>19.14691358024691</v>
      </c>
      <c r="AM192">
        <f t="shared" si="31"/>
        <v>15.63341664444444</v>
      </c>
      <c r="AP192" s="9"/>
      <c r="AQ192" s="21">
        <v>0.88348400000000005</v>
      </c>
      <c r="AR192" s="21">
        <v>25.5307</v>
      </c>
      <c r="AS192" s="21">
        <v>-1.54358E-2</v>
      </c>
      <c r="AT192" s="21">
        <v>182</v>
      </c>
      <c r="AU192" s="21">
        <v>0.88256800000000002</v>
      </c>
      <c r="AV192">
        <f t="shared" si="32"/>
        <v>19.056543209876541</v>
      </c>
      <c r="AW192">
        <f t="shared" si="33"/>
        <v>16.836151021234567</v>
      </c>
      <c r="AX192" s="9"/>
      <c r="AY192" s="21">
        <v>0.81649799999999995</v>
      </c>
      <c r="AZ192" s="21">
        <v>29.349900000000002</v>
      </c>
      <c r="BA192" s="21">
        <v>-1.55304E-2</v>
      </c>
      <c r="BB192" s="21">
        <v>182</v>
      </c>
      <c r="BC192" s="21">
        <v>0.81603999999999999</v>
      </c>
      <c r="BD192">
        <f t="shared" si="34"/>
        <v>19.173333333333332</v>
      </c>
      <c r="BE192">
        <f t="shared" si="35"/>
        <v>15.654988319999998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0.87844800000000001</v>
      </c>
      <c r="H193" s="21">
        <v>6.82531</v>
      </c>
      <c r="I193" s="21">
        <v>-1.53534E-2</v>
      </c>
      <c r="J193" s="21">
        <v>183</v>
      </c>
      <c r="K193" s="21">
        <v>0.87768599999999997</v>
      </c>
      <c r="L193">
        <f t="shared" si="24"/>
        <v>18.954814814814814</v>
      </c>
      <c r="M193">
        <f t="shared" si="25"/>
        <v>16.650819164444442</v>
      </c>
      <c r="N193" s="9"/>
      <c r="O193" s="21">
        <v>0.82153299999999996</v>
      </c>
      <c r="P193" s="21">
        <v>10.644500000000001</v>
      </c>
      <c r="Q193" s="21">
        <v>-1.5429699999999999E-2</v>
      </c>
      <c r="R193" s="21">
        <v>183</v>
      </c>
      <c r="S193" s="21">
        <v>0.82061799999999996</v>
      </c>
      <c r="T193">
        <f t="shared" si="26"/>
        <v>19.04901234567901</v>
      </c>
      <c r="U193">
        <f t="shared" si="27"/>
        <v>15.649392259382713</v>
      </c>
      <c r="X193" s="9"/>
      <c r="Y193" s="21">
        <v>0.87844800000000001</v>
      </c>
      <c r="Z193" s="21">
        <v>16.204000000000001</v>
      </c>
      <c r="AA193" s="21">
        <v>-1.5423600000000001E-2</v>
      </c>
      <c r="AB193" s="21">
        <v>183</v>
      </c>
      <c r="AC193" s="21">
        <v>0.87799099999999997</v>
      </c>
      <c r="AD193">
        <f t="shared" si="28"/>
        <v>19.041481481481483</v>
      </c>
      <c r="AE193">
        <f t="shared" si="29"/>
        <v>16.726951324444446</v>
      </c>
      <c r="AF193" s="9"/>
      <c r="AG193" s="21">
        <v>0.82153299999999996</v>
      </c>
      <c r="AH193" s="21">
        <v>20.023199999999999</v>
      </c>
      <c r="AI193" s="21">
        <v>-1.54999E-2</v>
      </c>
      <c r="AJ193" s="21">
        <v>183</v>
      </c>
      <c r="AK193" s="21">
        <v>0.82061799999999996</v>
      </c>
      <c r="AL193">
        <f t="shared" si="30"/>
        <v>19.13567901234568</v>
      </c>
      <c r="AM193">
        <f t="shared" si="31"/>
        <v>15.720591786049383</v>
      </c>
      <c r="AP193" s="9"/>
      <c r="AQ193" s="21">
        <v>0.87844800000000001</v>
      </c>
      <c r="AR193" s="21">
        <v>25.540700000000001</v>
      </c>
      <c r="AS193" s="21">
        <v>-1.54419E-2</v>
      </c>
      <c r="AT193" s="21">
        <v>183</v>
      </c>
      <c r="AU193" s="21">
        <v>0.87768599999999997</v>
      </c>
      <c r="AV193">
        <f t="shared" si="32"/>
        <v>19.064074074074075</v>
      </c>
      <c r="AW193">
        <f t="shared" si="33"/>
        <v>16.746797742222224</v>
      </c>
      <c r="AX193" s="9"/>
      <c r="AY193" s="21">
        <v>0.82153299999999996</v>
      </c>
      <c r="AZ193" s="21">
        <v>29.3599</v>
      </c>
      <c r="BA193" s="21">
        <v>-1.55243E-2</v>
      </c>
      <c r="BB193" s="21">
        <v>183</v>
      </c>
      <c r="BC193" s="21">
        <v>0.82031299999999996</v>
      </c>
      <c r="BD193">
        <f t="shared" si="34"/>
        <v>19.165802469135802</v>
      </c>
      <c r="BE193">
        <f t="shared" si="35"/>
        <v>15.745339199876542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0.87341299999999999</v>
      </c>
      <c r="H194" s="21">
        <v>6.8353799999999998</v>
      </c>
      <c r="I194" s="21">
        <v>-1.53595E-2</v>
      </c>
      <c r="J194" s="21">
        <v>184</v>
      </c>
      <c r="K194" s="21">
        <v>0.872803</v>
      </c>
      <c r="L194">
        <f t="shared" si="24"/>
        <v>18.962345679012344</v>
      </c>
      <c r="M194">
        <f t="shared" si="25"/>
        <v>16.561959226543209</v>
      </c>
      <c r="N194" s="9"/>
      <c r="O194" s="21">
        <v>0.826569</v>
      </c>
      <c r="P194" s="21">
        <v>10.6546</v>
      </c>
      <c r="Q194" s="21">
        <v>-1.54205E-2</v>
      </c>
      <c r="R194" s="21">
        <v>184</v>
      </c>
      <c r="S194" s="21">
        <v>0.82580600000000004</v>
      </c>
      <c r="T194">
        <f t="shared" si="26"/>
        <v>19.037654320987656</v>
      </c>
      <c r="U194">
        <f t="shared" si="27"/>
        <v>15.735934894444446</v>
      </c>
      <c r="X194" s="9"/>
      <c r="Y194" s="21">
        <v>0.87341299999999999</v>
      </c>
      <c r="Z194" s="21">
        <v>16.214099999999998</v>
      </c>
      <c r="AA194" s="21">
        <v>-1.54266E-2</v>
      </c>
      <c r="AB194" s="21">
        <v>184</v>
      </c>
      <c r="AC194" s="21">
        <v>0.872498</v>
      </c>
      <c r="AD194">
        <f t="shared" si="28"/>
        <v>19.045185185185186</v>
      </c>
      <c r="AE194">
        <f t="shared" si="29"/>
        <v>16.634312328148148</v>
      </c>
      <c r="AF194" s="9"/>
      <c r="AG194" s="21">
        <v>0.826569</v>
      </c>
      <c r="AH194" s="21">
        <v>20.033300000000001</v>
      </c>
      <c r="AI194" s="21">
        <v>-1.54968E-2</v>
      </c>
      <c r="AJ194" s="21">
        <v>184</v>
      </c>
      <c r="AK194" s="21">
        <v>0.82550000000000001</v>
      </c>
      <c r="AL194">
        <f t="shared" si="30"/>
        <v>19.131851851851852</v>
      </c>
      <c r="AM194">
        <f t="shared" si="31"/>
        <v>15.813795653333333</v>
      </c>
      <c r="AP194" s="9"/>
      <c r="AQ194" s="21">
        <v>0.87341299999999999</v>
      </c>
      <c r="AR194" s="21">
        <v>25.550799999999999</v>
      </c>
      <c r="AS194" s="21">
        <v>-1.5448E-2</v>
      </c>
      <c r="AT194" s="21">
        <v>184</v>
      </c>
      <c r="AU194" s="21">
        <v>0.873108</v>
      </c>
      <c r="AV194">
        <f t="shared" si="32"/>
        <v>19.071604938271605</v>
      </c>
      <c r="AW194">
        <f t="shared" si="33"/>
        <v>16.657387683950617</v>
      </c>
      <c r="AX194" s="9"/>
      <c r="AY194" s="21">
        <v>0.826569</v>
      </c>
      <c r="AZ194" s="21">
        <v>29.37</v>
      </c>
      <c r="BA194" s="21">
        <v>-1.5521200000000001E-2</v>
      </c>
      <c r="BB194" s="21">
        <v>184</v>
      </c>
      <c r="BC194" s="21">
        <v>0.82580600000000004</v>
      </c>
      <c r="BD194">
        <f t="shared" si="34"/>
        <v>19.161975308641974</v>
      </c>
      <c r="BE194">
        <f t="shared" si="35"/>
        <v>15.838694768888887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0.86837799999999998</v>
      </c>
      <c r="H195" s="21">
        <v>6.8454499999999996</v>
      </c>
      <c r="I195" s="21">
        <v>-1.5362499999999999E-2</v>
      </c>
      <c r="J195" s="21">
        <v>185</v>
      </c>
      <c r="K195" s="21">
        <v>0.86792000000000002</v>
      </c>
      <c r="L195">
        <f t="shared" si="24"/>
        <v>18.966049382716047</v>
      </c>
      <c r="M195">
        <f t="shared" si="25"/>
        <v>16.469700030864196</v>
      </c>
      <c r="N195" s="9"/>
      <c r="O195" s="21">
        <v>0.83160400000000001</v>
      </c>
      <c r="P195" s="21">
        <v>10.6646</v>
      </c>
      <c r="Q195" s="21">
        <v>-1.54144E-2</v>
      </c>
      <c r="R195" s="21">
        <v>185</v>
      </c>
      <c r="S195" s="21">
        <v>0.83038299999999998</v>
      </c>
      <c r="T195">
        <f t="shared" si="26"/>
        <v>19.030123456790122</v>
      </c>
      <c r="U195">
        <f t="shared" si="27"/>
        <v>15.825526787160493</v>
      </c>
      <c r="X195" s="9"/>
      <c r="Y195" s="21">
        <v>0.86837799999999998</v>
      </c>
      <c r="Z195" s="21">
        <v>16.2241</v>
      </c>
      <c r="AA195" s="21">
        <v>-1.5432700000000001E-2</v>
      </c>
      <c r="AB195" s="21">
        <v>185</v>
      </c>
      <c r="AC195" s="21">
        <v>0.86761500000000003</v>
      </c>
      <c r="AD195">
        <f t="shared" si="28"/>
        <v>19.052716049382713</v>
      </c>
      <c r="AE195">
        <f t="shared" si="29"/>
        <v>16.544959457530862</v>
      </c>
      <c r="AF195" s="9"/>
      <c r="AG195" s="21">
        <v>0.83160400000000001</v>
      </c>
      <c r="AH195" s="21">
        <v>20.043299999999999</v>
      </c>
      <c r="AI195" s="21">
        <v>-1.54907E-2</v>
      </c>
      <c r="AJ195" s="21">
        <v>185</v>
      </c>
      <c r="AK195" s="21">
        <v>0.83038299999999998</v>
      </c>
      <c r="AL195">
        <f t="shared" si="30"/>
        <v>19.124320987654318</v>
      </c>
      <c r="AM195">
        <f t="shared" si="31"/>
        <v>15.903861830617283</v>
      </c>
      <c r="AP195" s="9"/>
      <c r="AQ195" s="21">
        <v>0.86837799999999998</v>
      </c>
      <c r="AR195" s="21">
        <v>25.5609</v>
      </c>
      <c r="AS195" s="21">
        <v>-1.54541E-2</v>
      </c>
      <c r="AT195" s="21">
        <v>185</v>
      </c>
      <c r="AU195" s="21">
        <v>0.867004</v>
      </c>
      <c r="AV195">
        <f t="shared" si="32"/>
        <v>19.079135802469132</v>
      </c>
      <c r="AW195">
        <f t="shared" si="33"/>
        <v>16.56790178987654</v>
      </c>
      <c r="AX195" s="9"/>
      <c r="AY195" s="21">
        <v>0.83160400000000001</v>
      </c>
      <c r="AZ195" s="21">
        <v>29.380099999999999</v>
      </c>
      <c r="BA195" s="21">
        <v>-1.55151E-2</v>
      </c>
      <c r="BB195" s="21">
        <v>185</v>
      </c>
      <c r="BC195" s="21">
        <v>0.83038299999999998</v>
      </c>
      <c r="BD195">
        <f t="shared" si="34"/>
        <v>19.154444444444444</v>
      </c>
      <c r="BE195">
        <f t="shared" si="35"/>
        <v>15.928912617777778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0.86334200000000005</v>
      </c>
      <c r="H196" s="21">
        <v>6.8555299999999999</v>
      </c>
      <c r="I196" s="21">
        <v>-1.53656E-2</v>
      </c>
      <c r="J196" s="21">
        <v>186</v>
      </c>
      <c r="K196" s="21">
        <v>0.86181600000000003</v>
      </c>
      <c r="L196">
        <f t="shared" si="24"/>
        <v>18.969876543209878</v>
      </c>
      <c r="M196">
        <f t="shared" si="25"/>
        <v>16.377491154567902</v>
      </c>
      <c r="N196" s="9"/>
      <c r="O196" s="21">
        <v>0.83663900000000002</v>
      </c>
      <c r="P196" s="21">
        <v>10.6747</v>
      </c>
      <c r="Q196" s="21">
        <v>-1.54083E-2</v>
      </c>
      <c r="R196" s="21">
        <v>186</v>
      </c>
      <c r="S196" s="21">
        <v>0.83587599999999995</v>
      </c>
      <c r="T196">
        <f t="shared" si="26"/>
        <v>19.022592592592591</v>
      </c>
      <c r="U196">
        <f t="shared" si="27"/>
        <v>15.915042844074074</v>
      </c>
      <c r="X196" s="9"/>
      <c r="Y196" s="21">
        <v>0.86334200000000005</v>
      </c>
      <c r="Z196" s="21">
        <v>16.234200000000001</v>
      </c>
      <c r="AA196" s="21">
        <v>-1.5438800000000001E-2</v>
      </c>
      <c r="AB196" s="21">
        <v>186</v>
      </c>
      <c r="AC196" s="21">
        <v>0.86273200000000005</v>
      </c>
      <c r="AD196">
        <f t="shared" si="28"/>
        <v>19.060246913580247</v>
      </c>
      <c r="AE196">
        <f t="shared" si="29"/>
        <v>16.455511690864199</v>
      </c>
      <c r="AF196" s="9"/>
      <c r="AG196" s="21">
        <v>0.83663900000000002</v>
      </c>
      <c r="AH196" s="21">
        <v>20.0534</v>
      </c>
      <c r="AI196" s="21">
        <v>-1.5484599999999999E-2</v>
      </c>
      <c r="AJ196" s="21">
        <v>186</v>
      </c>
      <c r="AK196" s="21">
        <v>0.83526599999999995</v>
      </c>
      <c r="AL196">
        <f t="shared" si="30"/>
        <v>19.116790123456788</v>
      </c>
      <c r="AM196">
        <f t="shared" si="31"/>
        <v>15.993852172098764</v>
      </c>
      <c r="AP196" s="9"/>
      <c r="AQ196" s="21">
        <v>0.86334200000000005</v>
      </c>
      <c r="AR196" s="21">
        <v>25.570900000000002</v>
      </c>
      <c r="AS196" s="21">
        <v>-1.5457200000000001E-2</v>
      </c>
      <c r="AT196" s="21">
        <v>186</v>
      </c>
      <c r="AU196" s="21">
        <v>0.86212200000000005</v>
      </c>
      <c r="AV196">
        <f t="shared" si="32"/>
        <v>19.082962962962963</v>
      </c>
      <c r="AW196">
        <f t="shared" si="33"/>
        <v>16.475123410370372</v>
      </c>
      <c r="AX196" s="9"/>
      <c r="AY196" s="21">
        <v>0.83663900000000002</v>
      </c>
      <c r="AZ196" s="21">
        <v>29.3901</v>
      </c>
      <c r="BA196" s="21">
        <v>-1.5509E-2</v>
      </c>
      <c r="BB196" s="21">
        <v>186</v>
      </c>
      <c r="BC196" s="21">
        <v>0.83587599999999995</v>
      </c>
      <c r="BD196">
        <f t="shared" si="34"/>
        <v>19.14691358024691</v>
      </c>
      <c r="BE196">
        <f t="shared" si="35"/>
        <v>16.019054630864193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0.85830700000000004</v>
      </c>
      <c r="H197" s="21">
        <v>6.8655999999999997</v>
      </c>
      <c r="I197" s="21">
        <v>-1.53717E-2</v>
      </c>
      <c r="J197" s="21">
        <v>187</v>
      </c>
      <c r="K197" s="21">
        <v>0.85754399999999997</v>
      </c>
      <c r="L197">
        <f t="shared" si="24"/>
        <v>18.977407407407409</v>
      </c>
      <c r="M197">
        <f t="shared" si="25"/>
        <v>16.28844161962963</v>
      </c>
      <c r="N197" s="9"/>
      <c r="O197" s="21">
        <v>0.84167499999999995</v>
      </c>
      <c r="P197" s="21">
        <v>10.684799999999999</v>
      </c>
      <c r="Q197" s="21">
        <v>-1.54053E-2</v>
      </c>
      <c r="R197" s="21">
        <v>187</v>
      </c>
      <c r="S197" s="21">
        <v>0.84075900000000003</v>
      </c>
      <c r="T197">
        <f t="shared" si="26"/>
        <v>19.018888888888888</v>
      </c>
      <c r="U197">
        <f t="shared" si="27"/>
        <v>16.007723305555555</v>
      </c>
      <c r="X197" s="9"/>
      <c r="Y197" s="21">
        <v>0.85830700000000004</v>
      </c>
      <c r="Z197" s="21">
        <v>16.244299999999999</v>
      </c>
      <c r="AA197" s="21">
        <v>-1.5444899999999999E-2</v>
      </c>
      <c r="AB197" s="21">
        <v>187</v>
      </c>
      <c r="AC197" s="21">
        <v>0.85723899999999997</v>
      </c>
      <c r="AD197">
        <f t="shared" si="28"/>
        <v>19.067777777777778</v>
      </c>
      <c r="AE197">
        <f t="shared" si="29"/>
        <v>16.366007141111112</v>
      </c>
      <c r="AF197" s="9"/>
      <c r="AG197" s="21">
        <v>0.84167499999999995</v>
      </c>
      <c r="AH197" s="21">
        <v>20.063500000000001</v>
      </c>
      <c r="AI197" s="21">
        <v>-1.5478499999999999E-2</v>
      </c>
      <c r="AJ197" s="21">
        <v>187</v>
      </c>
      <c r="AK197" s="21">
        <v>0.84075900000000003</v>
      </c>
      <c r="AL197">
        <f t="shared" si="30"/>
        <v>19.109259259259257</v>
      </c>
      <c r="AM197">
        <f t="shared" si="31"/>
        <v>16.083785787037034</v>
      </c>
      <c r="AP197" s="9"/>
      <c r="AQ197" s="21">
        <v>0.85830700000000004</v>
      </c>
      <c r="AR197" s="21">
        <v>25.581</v>
      </c>
      <c r="AS197" s="21">
        <v>-1.5466300000000001E-2</v>
      </c>
      <c r="AT197" s="21">
        <v>187</v>
      </c>
      <c r="AU197" s="21">
        <v>0.85723899999999997</v>
      </c>
      <c r="AV197">
        <f t="shared" si="32"/>
        <v>19.094197530864196</v>
      </c>
      <c r="AW197">
        <f t="shared" si="33"/>
        <v>16.388683400123458</v>
      </c>
      <c r="AX197" s="9"/>
      <c r="AY197" s="21">
        <v>0.84167499999999995</v>
      </c>
      <c r="AZ197" s="21">
        <v>29.400200000000002</v>
      </c>
      <c r="BA197" s="21">
        <v>-1.55029E-2</v>
      </c>
      <c r="BB197" s="21">
        <v>187</v>
      </c>
      <c r="BC197" s="21">
        <v>0.84014900000000003</v>
      </c>
      <c r="BD197">
        <f t="shared" si="34"/>
        <v>19.139382716049383</v>
      </c>
      <c r="BE197">
        <f t="shared" si="35"/>
        <v>16.109139947530863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0.853271</v>
      </c>
      <c r="H198" s="21">
        <v>6.8756700000000004</v>
      </c>
      <c r="I198" s="21">
        <v>-1.5374799999999999E-2</v>
      </c>
      <c r="J198" s="21">
        <v>188</v>
      </c>
      <c r="K198" s="21">
        <v>0.852661</v>
      </c>
      <c r="L198">
        <f t="shared" si="24"/>
        <v>18.981234567901232</v>
      </c>
      <c r="M198">
        <f t="shared" si="25"/>
        <v>16.196137000987651</v>
      </c>
      <c r="N198" s="9"/>
      <c r="O198" s="21">
        <v>0.84670999999999996</v>
      </c>
      <c r="P198" s="21">
        <v>10.694900000000001</v>
      </c>
      <c r="Q198" s="21">
        <v>-1.53992E-2</v>
      </c>
      <c r="R198" s="21">
        <v>188</v>
      </c>
      <c r="S198" s="21">
        <v>0.845642</v>
      </c>
      <c r="T198">
        <f t="shared" si="26"/>
        <v>19.011358024691354</v>
      </c>
      <c r="U198">
        <f t="shared" si="27"/>
        <v>16.097106953086417</v>
      </c>
      <c r="X198" s="9"/>
      <c r="Y198" s="21">
        <v>0.853271</v>
      </c>
      <c r="Z198" s="21">
        <v>16.2544</v>
      </c>
      <c r="AA198" s="21">
        <v>-1.5450999999999999E-2</v>
      </c>
      <c r="AB198" s="21">
        <v>188</v>
      </c>
      <c r="AC198" s="21">
        <v>0.853271</v>
      </c>
      <c r="AD198">
        <f t="shared" si="28"/>
        <v>19.075308641975305</v>
      </c>
      <c r="AE198">
        <f t="shared" si="29"/>
        <v>16.276407680246908</v>
      </c>
      <c r="AF198" s="9"/>
      <c r="AG198" s="21">
        <v>0.84670999999999996</v>
      </c>
      <c r="AH198" s="21">
        <v>20.073599999999999</v>
      </c>
      <c r="AI198" s="21">
        <v>-1.5472400000000001E-2</v>
      </c>
      <c r="AJ198" s="21">
        <v>188</v>
      </c>
      <c r="AK198" s="21">
        <v>0.845947</v>
      </c>
      <c r="AL198">
        <f t="shared" si="30"/>
        <v>19.101728395061727</v>
      </c>
      <c r="AM198">
        <f t="shared" si="31"/>
        <v>16.173624449382714</v>
      </c>
      <c r="AP198" s="9"/>
      <c r="AQ198" s="21">
        <v>0.853271</v>
      </c>
      <c r="AR198" s="21">
        <v>25.591100000000001</v>
      </c>
      <c r="AS198" s="21">
        <v>-1.5472400000000001E-2</v>
      </c>
      <c r="AT198" s="21">
        <v>188</v>
      </c>
      <c r="AU198" s="21">
        <v>0.852051</v>
      </c>
      <c r="AV198">
        <f t="shared" si="32"/>
        <v>19.101728395061727</v>
      </c>
      <c r="AW198">
        <f t="shared" si="33"/>
        <v>16.298950889382716</v>
      </c>
      <c r="AX198" s="9"/>
      <c r="AY198" s="21">
        <v>0.84670999999999996</v>
      </c>
      <c r="AZ198" s="21">
        <v>29.410299999999999</v>
      </c>
      <c r="BA198" s="21">
        <v>-1.54968E-2</v>
      </c>
      <c r="BB198" s="21">
        <v>188</v>
      </c>
      <c r="BC198" s="21">
        <v>0.84686300000000003</v>
      </c>
      <c r="BD198">
        <f t="shared" si="34"/>
        <v>19.131851851851852</v>
      </c>
      <c r="BE198">
        <f t="shared" si="35"/>
        <v>16.19913028148148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0.84823599999999999</v>
      </c>
      <c r="H199" s="21">
        <v>6.8857400000000002</v>
      </c>
      <c r="I199" s="21">
        <v>-1.53778E-2</v>
      </c>
      <c r="J199" s="21">
        <v>189</v>
      </c>
      <c r="K199" s="21">
        <v>0.84747300000000003</v>
      </c>
      <c r="L199">
        <f t="shared" si="24"/>
        <v>18.984938271604936</v>
      </c>
      <c r="M199">
        <f t="shared" si="25"/>
        <v>16.103708099753085</v>
      </c>
      <c r="N199" s="9"/>
      <c r="O199" s="21">
        <v>0.851746</v>
      </c>
      <c r="P199" s="21">
        <v>10.7049</v>
      </c>
      <c r="Q199" s="21">
        <v>-1.53931E-2</v>
      </c>
      <c r="R199" s="21">
        <v>189</v>
      </c>
      <c r="S199" s="21">
        <v>0.85052499999999998</v>
      </c>
      <c r="T199">
        <f t="shared" si="26"/>
        <v>19.003827160493824</v>
      </c>
      <c r="U199">
        <f t="shared" si="27"/>
        <v>16.186433768641972</v>
      </c>
      <c r="X199" s="9"/>
      <c r="Y199" s="21">
        <v>0.84823599999999999</v>
      </c>
      <c r="Z199" s="21">
        <v>16.264399999999998</v>
      </c>
      <c r="AA199" s="21">
        <v>-1.5457200000000001E-2</v>
      </c>
      <c r="AB199" s="21">
        <v>189</v>
      </c>
      <c r="AC199" s="21">
        <v>0.84777800000000003</v>
      </c>
      <c r="AD199">
        <f t="shared" si="28"/>
        <v>19.082962962962963</v>
      </c>
      <c r="AE199">
        <f t="shared" si="29"/>
        <v>16.186856171851851</v>
      </c>
      <c r="AF199" s="9"/>
      <c r="AG199" s="21">
        <v>0.851746</v>
      </c>
      <c r="AH199" s="21">
        <v>20.083600000000001</v>
      </c>
      <c r="AI199" s="21">
        <v>-1.5466300000000001E-2</v>
      </c>
      <c r="AJ199" s="21">
        <v>189</v>
      </c>
      <c r="AK199" s="21">
        <v>0.851746</v>
      </c>
      <c r="AL199">
        <f t="shared" si="30"/>
        <v>19.094197530864196</v>
      </c>
      <c r="AM199">
        <f t="shared" si="31"/>
        <v>16.263406370123455</v>
      </c>
      <c r="AP199" s="9"/>
      <c r="AQ199" s="21">
        <v>0.84823599999999999</v>
      </c>
      <c r="AR199" s="21">
        <v>25.601199999999999</v>
      </c>
      <c r="AS199" s="21">
        <v>-1.54755E-2</v>
      </c>
      <c r="AT199" s="21">
        <v>189</v>
      </c>
      <c r="AU199" s="21">
        <v>0.84747300000000003</v>
      </c>
      <c r="AV199">
        <f t="shared" si="32"/>
        <v>19.105555555555554</v>
      </c>
      <c r="AW199">
        <f t="shared" si="33"/>
        <v>16.206020022222219</v>
      </c>
      <c r="AX199" s="9"/>
      <c r="AY199" s="21">
        <v>0.851746</v>
      </c>
      <c r="AZ199" s="21">
        <v>29.420400000000001</v>
      </c>
      <c r="BA199" s="21">
        <v>-1.54907E-2</v>
      </c>
      <c r="BB199" s="21">
        <v>189</v>
      </c>
      <c r="BC199" s="21">
        <v>0.85052499999999998</v>
      </c>
      <c r="BD199">
        <f t="shared" si="34"/>
        <v>19.124320987654318</v>
      </c>
      <c r="BE199">
        <f t="shared" si="35"/>
        <v>16.289063903950616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0.84320099999999998</v>
      </c>
      <c r="H200" s="21">
        <v>6.89581</v>
      </c>
      <c r="I200" s="21">
        <v>-1.5383900000000001E-2</v>
      </c>
      <c r="J200" s="21">
        <v>190</v>
      </c>
      <c r="K200" s="21">
        <v>0.84228499999999995</v>
      </c>
      <c r="L200">
        <f t="shared" si="24"/>
        <v>18.99246913580247</v>
      </c>
      <c r="M200">
        <f t="shared" si="25"/>
        <v>16.014468967777777</v>
      </c>
      <c r="N200" s="9"/>
      <c r="O200" s="21">
        <v>0.85678100000000001</v>
      </c>
      <c r="P200" s="21">
        <v>10.715</v>
      </c>
      <c r="Q200" s="21">
        <v>-1.5389999999999999E-2</v>
      </c>
      <c r="R200" s="21">
        <v>190</v>
      </c>
      <c r="S200" s="21">
        <v>0.85571299999999995</v>
      </c>
      <c r="T200">
        <f t="shared" si="26"/>
        <v>18.999999999999996</v>
      </c>
      <c r="U200">
        <f t="shared" si="27"/>
        <v>16.278838999999998</v>
      </c>
      <c r="X200" s="9"/>
      <c r="Y200" s="21">
        <v>0.84320099999999998</v>
      </c>
      <c r="Z200" s="21">
        <v>16.2745</v>
      </c>
      <c r="AA200" s="21">
        <v>-1.5463299999999999E-2</v>
      </c>
      <c r="AB200" s="21">
        <v>190</v>
      </c>
      <c r="AC200" s="21">
        <v>0.84320099999999998</v>
      </c>
      <c r="AD200">
        <f t="shared" si="28"/>
        <v>19.090493827160493</v>
      </c>
      <c r="AE200">
        <f t="shared" si="29"/>
        <v>16.097123485555556</v>
      </c>
      <c r="AF200" s="9"/>
      <c r="AG200" s="21">
        <v>0.85678100000000001</v>
      </c>
      <c r="AH200" s="21">
        <v>20.093699999999998</v>
      </c>
      <c r="AI200" s="21">
        <v>-1.54602E-2</v>
      </c>
      <c r="AJ200" s="21">
        <v>190</v>
      </c>
      <c r="AK200" s="21">
        <v>0.85632299999999995</v>
      </c>
      <c r="AL200">
        <f t="shared" si="30"/>
        <v>19.086666666666666</v>
      </c>
      <c r="AM200">
        <f t="shared" si="31"/>
        <v>16.353093353333332</v>
      </c>
      <c r="AP200" s="9"/>
      <c r="AQ200" s="21">
        <v>0.84320099999999998</v>
      </c>
      <c r="AR200" s="21">
        <v>25.6112</v>
      </c>
      <c r="AS200" s="21">
        <v>-1.54816E-2</v>
      </c>
      <c r="AT200" s="21">
        <v>190</v>
      </c>
      <c r="AU200" s="21">
        <v>0.84197999999999995</v>
      </c>
      <c r="AV200">
        <f t="shared" si="32"/>
        <v>19.113086419753085</v>
      </c>
      <c r="AW200">
        <f t="shared" si="33"/>
        <v>16.116173582222221</v>
      </c>
      <c r="AX200" s="9"/>
      <c r="AY200" s="21">
        <v>0.85678100000000001</v>
      </c>
      <c r="AZ200" s="21">
        <v>29.430399999999999</v>
      </c>
      <c r="BA200" s="21">
        <v>-1.54877E-2</v>
      </c>
      <c r="BB200" s="21">
        <v>190</v>
      </c>
      <c r="BC200" s="21">
        <v>0.85601799999999995</v>
      </c>
      <c r="BD200">
        <f t="shared" si="34"/>
        <v>19.120617283950615</v>
      </c>
      <c r="BE200">
        <f t="shared" si="35"/>
        <v>16.382181597160493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0.83816500000000005</v>
      </c>
      <c r="H201" s="21">
        <v>6.9058799999999998</v>
      </c>
      <c r="I201" s="21">
        <v>-1.5389999999999999E-2</v>
      </c>
      <c r="J201" s="21">
        <v>191</v>
      </c>
      <c r="K201" s="21">
        <v>0.83709699999999998</v>
      </c>
      <c r="L201">
        <f t="shared" si="24"/>
        <v>18.999999999999996</v>
      </c>
      <c r="M201">
        <f t="shared" si="25"/>
        <v>15.925134999999997</v>
      </c>
      <c r="N201" s="9"/>
      <c r="O201" s="21">
        <v>0.86181600000000003</v>
      </c>
      <c r="P201" s="21">
        <v>10.725099999999999</v>
      </c>
      <c r="Q201" s="21">
        <v>-1.5383900000000001E-2</v>
      </c>
      <c r="R201" s="21">
        <v>191</v>
      </c>
      <c r="S201" s="21">
        <v>0.86059600000000003</v>
      </c>
      <c r="T201">
        <f t="shared" si="26"/>
        <v>18.99246913580247</v>
      </c>
      <c r="U201">
        <f t="shared" si="27"/>
        <v>16.368013780740743</v>
      </c>
      <c r="X201" s="9"/>
      <c r="Y201" s="21">
        <v>0.83816500000000005</v>
      </c>
      <c r="Z201" s="21">
        <v>16.284600000000001</v>
      </c>
      <c r="AA201" s="21">
        <v>-1.5469399999999999E-2</v>
      </c>
      <c r="AB201" s="21">
        <v>191</v>
      </c>
      <c r="AC201" s="21">
        <v>0.83740199999999998</v>
      </c>
      <c r="AD201">
        <f t="shared" si="28"/>
        <v>19.09802469135802</v>
      </c>
      <c r="AE201">
        <f t="shared" si="29"/>
        <v>16.007295865432095</v>
      </c>
      <c r="AF201" s="9"/>
      <c r="AG201" s="21">
        <v>0.86181600000000003</v>
      </c>
      <c r="AH201" s="21">
        <v>20.1038</v>
      </c>
      <c r="AI201" s="21">
        <v>-1.5457200000000001E-2</v>
      </c>
      <c r="AJ201" s="21">
        <v>191</v>
      </c>
      <c r="AK201" s="21">
        <v>0.86090100000000003</v>
      </c>
      <c r="AL201">
        <f t="shared" si="30"/>
        <v>19.082962962962963</v>
      </c>
      <c r="AM201">
        <f t="shared" si="31"/>
        <v>16.446002808888888</v>
      </c>
      <c r="AP201" s="9"/>
      <c r="AQ201" s="21">
        <v>0.83816500000000005</v>
      </c>
      <c r="AR201" s="21">
        <v>25.621300000000002</v>
      </c>
      <c r="AS201" s="21">
        <v>-1.54877E-2</v>
      </c>
      <c r="AT201" s="21">
        <v>191</v>
      </c>
      <c r="AU201" s="21">
        <v>0.83679199999999998</v>
      </c>
      <c r="AV201">
        <f t="shared" si="32"/>
        <v>19.120617283950615</v>
      </c>
      <c r="AW201">
        <f t="shared" si="33"/>
        <v>16.026232185802467</v>
      </c>
      <c r="AX201" s="9"/>
      <c r="AY201" s="21">
        <v>0.86181600000000003</v>
      </c>
      <c r="AZ201" s="21">
        <v>29.4405</v>
      </c>
      <c r="BA201" s="21">
        <v>-1.54816E-2</v>
      </c>
      <c r="BB201" s="21">
        <v>191</v>
      </c>
      <c r="BC201" s="21">
        <v>0.86059600000000003</v>
      </c>
      <c r="BD201">
        <f t="shared" si="34"/>
        <v>19.113086419753085</v>
      </c>
      <c r="BE201">
        <f t="shared" si="35"/>
        <v>16.471963685925925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0.83313000000000004</v>
      </c>
      <c r="H202" s="21">
        <v>6.9159499999999996</v>
      </c>
      <c r="I202" s="21">
        <v>-1.5396099999999999E-2</v>
      </c>
      <c r="J202" s="21">
        <v>192</v>
      </c>
      <c r="K202" s="21">
        <v>0.83221400000000001</v>
      </c>
      <c r="L202">
        <f t="shared" si="24"/>
        <v>19.007530864197527</v>
      </c>
      <c r="M202">
        <f t="shared" si="25"/>
        <v>15.835744188888887</v>
      </c>
      <c r="N202" s="9"/>
      <c r="O202" s="21">
        <v>0.86685199999999996</v>
      </c>
      <c r="P202" s="21">
        <v>10.735099999999999</v>
      </c>
      <c r="Q202" s="21">
        <v>-1.53778E-2</v>
      </c>
      <c r="R202" s="21">
        <v>192</v>
      </c>
      <c r="S202" s="21">
        <v>0.86517299999999997</v>
      </c>
      <c r="T202">
        <f t="shared" si="26"/>
        <v>18.984938271604936</v>
      </c>
      <c r="U202">
        <f t="shared" si="27"/>
        <v>16.457131710617279</v>
      </c>
      <c r="X202" s="9"/>
      <c r="Y202" s="21">
        <v>0.83313000000000004</v>
      </c>
      <c r="Z202" s="21">
        <v>16.294599999999999</v>
      </c>
      <c r="AA202" s="21">
        <v>-1.54755E-2</v>
      </c>
      <c r="AB202" s="21">
        <v>192</v>
      </c>
      <c r="AC202" s="21">
        <v>0.83190900000000001</v>
      </c>
      <c r="AD202">
        <f t="shared" si="28"/>
        <v>19.105555555555554</v>
      </c>
      <c r="AE202">
        <f t="shared" si="29"/>
        <v>15.9174115</v>
      </c>
      <c r="AF202" s="9"/>
      <c r="AG202" s="21">
        <v>0.86685199999999996</v>
      </c>
      <c r="AH202" s="21">
        <v>20.113800000000001</v>
      </c>
      <c r="AI202" s="21">
        <v>-1.5450999999999999E-2</v>
      </c>
      <c r="AJ202" s="21">
        <v>192</v>
      </c>
      <c r="AK202" s="21">
        <v>0.866089</v>
      </c>
      <c r="AL202">
        <f t="shared" si="30"/>
        <v>19.075308641975305</v>
      </c>
      <c r="AM202">
        <f t="shared" si="31"/>
        <v>16.535469446913577</v>
      </c>
      <c r="AP202" s="9"/>
      <c r="AQ202" s="21">
        <v>0.83313000000000004</v>
      </c>
      <c r="AR202" s="21">
        <v>25.631399999999999</v>
      </c>
      <c r="AS202" s="21">
        <v>-1.54907E-2</v>
      </c>
      <c r="AT202" s="21">
        <v>192</v>
      </c>
      <c r="AU202" s="21">
        <v>0.83221400000000001</v>
      </c>
      <c r="AV202">
        <f t="shared" si="32"/>
        <v>19.124320987654318</v>
      </c>
      <c r="AW202">
        <f t="shared" si="33"/>
        <v>15.933045544444443</v>
      </c>
      <c r="AX202" s="9"/>
      <c r="AY202" s="21">
        <v>0.86685199999999996</v>
      </c>
      <c r="AZ202" s="21">
        <v>29.450600000000001</v>
      </c>
      <c r="BA202" s="21">
        <v>-1.54755E-2</v>
      </c>
      <c r="BB202" s="21">
        <v>192</v>
      </c>
      <c r="BC202" s="21">
        <v>0.866394</v>
      </c>
      <c r="BD202">
        <f t="shared" si="34"/>
        <v>19.105555555555554</v>
      </c>
      <c r="BE202">
        <f t="shared" si="35"/>
        <v>16.561689044444442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0.828094</v>
      </c>
      <c r="H203" s="21">
        <v>6.9260200000000003</v>
      </c>
      <c r="I203" s="21">
        <v>-1.54022E-2</v>
      </c>
      <c r="J203" s="21">
        <v>193</v>
      </c>
      <c r="K203" s="21">
        <v>0.82672100000000004</v>
      </c>
      <c r="L203">
        <f t="shared" si="24"/>
        <v>19.015061728395061</v>
      </c>
      <c r="M203">
        <f t="shared" si="25"/>
        <v>15.746258526913579</v>
      </c>
      <c r="N203" s="9"/>
      <c r="O203" s="21">
        <v>0.87188699999999997</v>
      </c>
      <c r="P203" s="21">
        <v>10.745200000000001</v>
      </c>
      <c r="Q203" s="21">
        <v>-1.53717E-2</v>
      </c>
      <c r="R203" s="21">
        <v>193</v>
      </c>
      <c r="S203" s="21">
        <v>0.87097199999999997</v>
      </c>
      <c r="T203">
        <f t="shared" si="26"/>
        <v>18.977407407407409</v>
      </c>
      <c r="U203">
        <f t="shared" si="27"/>
        <v>16.546154812222223</v>
      </c>
      <c r="X203" s="9"/>
      <c r="Y203" s="21">
        <v>0.828094</v>
      </c>
      <c r="Z203" s="21">
        <v>16.3047</v>
      </c>
      <c r="AA203" s="21">
        <v>-1.54816E-2</v>
      </c>
      <c r="AB203" s="21">
        <v>193</v>
      </c>
      <c r="AC203" s="21">
        <v>0.82794199999999996</v>
      </c>
      <c r="AD203">
        <f t="shared" si="28"/>
        <v>19.113086419753085</v>
      </c>
      <c r="AE203">
        <f t="shared" si="29"/>
        <v>15.827432185679012</v>
      </c>
      <c r="AF203" s="9"/>
      <c r="AG203" s="21">
        <v>0.87188699999999997</v>
      </c>
      <c r="AH203" s="21">
        <v>20.123899999999999</v>
      </c>
      <c r="AI203" s="21">
        <v>-1.5444899999999999E-2</v>
      </c>
      <c r="AJ203" s="21">
        <v>193</v>
      </c>
      <c r="AK203" s="21">
        <v>0.87066699999999997</v>
      </c>
      <c r="AL203">
        <f t="shared" si="30"/>
        <v>19.067777777777778</v>
      </c>
      <c r="AM203">
        <f t="shared" si="31"/>
        <v>16.624947563333333</v>
      </c>
      <c r="AP203" s="9"/>
      <c r="AQ203" s="21">
        <v>0.828094</v>
      </c>
      <c r="AR203" s="21">
        <v>25.641400000000001</v>
      </c>
      <c r="AS203" s="21">
        <v>-1.54999E-2</v>
      </c>
      <c r="AT203" s="21">
        <v>193</v>
      </c>
      <c r="AU203" s="21">
        <v>0.82672100000000004</v>
      </c>
      <c r="AV203">
        <f t="shared" si="32"/>
        <v>19.13567901234568</v>
      </c>
      <c r="AW203">
        <f t="shared" si="33"/>
        <v>15.846140976049384</v>
      </c>
      <c r="AX203" s="9"/>
      <c r="AY203" s="21">
        <v>0.87188699999999997</v>
      </c>
      <c r="AZ203" s="21">
        <v>29.460599999999999</v>
      </c>
      <c r="BA203" s="21">
        <v>-1.5469399999999999E-2</v>
      </c>
      <c r="BB203" s="21">
        <v>193</v>
      </c>
      <c r="BC203" s="21">
        <v>0.87036100000000005</v>
      </c>
      <c r="BD203">
        <f t="shared" si="34"/>
        <v>19.09802469135802</v>
      </c>
      <c r="BE203">
        <f t="shared" si="35"/>
        <v>16.65131945407407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0.82305899999999999</v>
      </c>
      <c r="H204" s="21">
        <v>6.9360900000000001</v>
      </c>
      <c r="I204" s="21">
        <v>-1.54083E-2</v>
      </c>
      <c r="J204" s="21">
        <v>194</v>
      </c>
      <c r="K204" s="21">
        <v>0.82214399999999999</v>
      </c>
      <c r="L204">
        <f t="shared" ref="L204:L267" si="36">-I204/$F$2*1000</f>
        <v>19.022592592592591</v>
      </c>
      <c r="M204">
        <f t="shared" ref="M204:M267" si="37">L204*G204</f>
        <v>15.656716036666666</v>
      </c>
      <c r="N204" s="9"/>
      <c r="O204" s="21">
        <v>0.87692300000000001</v>
      </c>
      <c r="P204" s="21">
        <v>10.7553</v>
      </c>
      <c r="Q204" s="21">
        <v>-1.53656E-2</v>
      </c>
      <c r="R204" s="21">
        <v>194</v>
      </c>
      <c r="S204" s="21">
        <v>0.87585400000000002</v>
      </c>
      <c r="T204">
        <f t="shared" ref="T204:T267" si="38">-Q204/$F$2*1000</f>
        <v>18.969876543209878</v>
      </c>
      <c r="U204">
        <f t="shared" ref="U204:U267" si="39">T204*O204</f>
        <v>16.635121047901237</v>
      </c>
      <c r="X204" s="9"/>
      <c r="Y204" s="21">
        <v>0.82305899999999999</v>
      </c>
      <c r="Z204" s="21">
        <v>16.314800000000002</v>
      </c>
      <c r="AA204" s="21">
        <v>-1.5484599999999999E-2</v>
      </c>
      <c r="AB204" s="21">
        <v>194</v>
      </c>
      <c r="AC204" s="21">
        <v>0.82153299999999996</v>
      </c>
      <c r="AD204">
        <f t="shared" ref="AD204:AD267" si="40">-AA204/$F$2*1000</f>
        <v>19.116790123456788</v>
      </c>
      <c r="AE204">
        <f t="shared" ref="AE204:AE267" si="41">AD204*Y204</f>
        <v>15.73424616222222</v>
      </c>
      <c r="AF204" s="9"/>
      <c r="AG204" s="21">
        <v>0.87692300000000001</v>
      </c>
      <c r="AH204" s="21">
        <v>20.134</v>
      </c>
      <c r="AI204" s="21">
        <v>-1.5438800000000001E-2</v>
      </c>
      <c r="AJ204" s="21">
        <v>194</v>
      </c>
      <c r="AK204" s="21">
        <v>0.87585400000000002</v>
      </c>
      <c r="AL204">
        <f t="shared" ref="AL204:AL267" si="42">-AI204/$F$2*1000</f>
        <v>19.060246913580247</v>
      </c>
      <c r="AM204">
        <f t="shared" ref="AM204:AM267" si="43">AL204*AG204</f>
        <v>16.714368904197531</v>
      </c>
      <c r="AP204" s="9"/>
      <c r="AQ204" s="21">
        <v>0.82305899999999999</v>
      </c>
      <c r="AR204" s="21">
        <v>25.651499999999999</v>
      </c>
      <c r="AS204" s="21">
        <v>-1.55029E-2</v>
      </c>
      <c r="AT204" s="21">
        <v>194</v>
      </c>
      <c r="AU204" s="21">
        <v>0.82214399999999999</v>
      </c>
      <c r="AV204">
        <f t="shared" ref="AV204:AV267" si="44">-AS204/$F$2*1000</f>
        <v>19.139382716049383</v>
      </c>
      <c r="AW204">
        <f t="shared" ref="AW204:AW267" si="45">AV204*AQ204</f>
        <v>15.752841198888889</v>
      </c>
      <c r="AX204" s="9"/>
      <c r="AY204" s="21">
        <v>0.87692300000000001</v>
      </c>
      <c r="AZ204" s="21">
        <v>29.470700000000001</v>
      </c>
      <c r="BA204" s="21">
        <v>-1.5463299999999999E-2</v>
      </c>
      <c r="BB204" s="21">
        <v>194</v>
      </c>
      <c r="BC204" s="21">
        <v>0.87554900000000002</v>
      </c>
      <c r="BD204">
        <f t="shared" ref="BD204:BD267" si="46">-BA204/$F$2*1000</f>
        <v>19.090493827160493</v>
      </c>
      <c r="BE204">
        <f t="shared" ref="BE204:BE267" si="47">BD204*AY204</f>
        <v>16.740893118395061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0.81802399999999997</v>
      </c>
      <c r="H205" s="21">
        <v>6.9461599999999999</v>
      </c>
      <c r="I205" s="21">
        <v>-1.54144E-2</v>
      </c>
      <c r="J205" s="21">
        <v>195</v>
      </c>
      <c r="K205" s="21">
        <v>0.81695600000000002</v>
      </c>
      <c r="L205">
        <f t="shared" si="36"/>
        <v>19.030123456790122</v>
      </c>
      <c r="M205">
        <f t="shared" si="37"/>
        <v>15.567097710617283</v>
      </c>
      <c r="N205" s="9"/>
      <c r="O205" s="21">
        <v>0.88195800000000002</v>
      </c>
      <c r="P205" s="21">
        <v>10.7654</v>
      </c>
      <c r="Q205" s="21">
        <v>-1.5362499999999999E-2</v>
      </c>
      <c r="R205" s="21">
        <v>195</v>
      </c>
      <c r="S205" s="21">
        <v>0.88104199999999999</v>
      </c>
      <c r="T205">
        <f t="shared" si="38"/>
        <v>18.966049382716047</v>
      </c>
      <c r="U205">
        <f t="shared" si="39"/>
        <v>16.72725898148148</v>
      </c>
      <c r="X205" s="9"/>
      <c r="Y205" s="21">
        <v>0.81802399999999997</v>
      </c>
      <c r="Z205" s="21">
        <v>16.3249</v>
      </c>
      <c r="AA205" s="21">
        <v>-1.54877E-2</v>
      </c>
      <c r="AB205" s="21">
        <v>195</v>
      </c>
      <c r="AC205" s="21">
        <v>0.81726100000000002</v>
      </c>
      <c r="AD205">
        <f t="shared" si="40"/>
        <v>19.120617283950615</v>
      </c>
      <c r="AE205">
        <f t="shared" si="41"/>
        <v>15.641123833086418</v>
      </c>
      <c r="AF205" s="9"/>
      <c r="AG205" s="21">
        <v>0.88195800000000002</v>
      </c>
      <c r="AH205" s="21">
        <v>20.144100000000002</v>
      </c>
      <c r="AI205" s="21">
        <v>-1.5432700000000001E-2</v>
      </c>
      <c r="AJ205" s="21">
        <v>195</v>
      </c>
      <c r="AK205" s="21">
        <v>0.88134800000000002</v>
      </c>
      <c r="AL205">
        <f t="shared" si="42"/>
        <v>19.052716049382713</v>
      </c>
      <c r="AM205">
        <f t="shared" si="43"/>
        <v>16.803695341481479</v>
      </c>
      <c r="AP205" s="9"/>
      <c r="AQ205" s="21">
        <v>0.81802399999999997</v>
      </c>
      <c r="AR205" s="21">
        <v>25.6616</v>
      </c>
      <c r="AS205" s="21">
        <v>-1.5512099999999999E-2</v>
      </c>
      <c r="AT205" s="21">
        <v>195</v>
      </c>
      <c r="AU205" s="21">
        <v>0.81695600000000002</v>
      </c>
      <c r="AV205">
        <f t="shared" si="44"/>
        <v>19.150740740740741</v>
      </c>
      <c r="AW205">
        <f t="shared" si="45"/>
        <v>15.665765543703703</v>
      </c>
      <c r="AX205" s="9"/>
      <c r="AY205" s="21">
        <v>0.88195800000000002</v>
      </c>
      <c r="AZ205" s="21">
        <v>29.480799999999999</v>
      </c>
      <c r="BA205" s="21">
        <v>-1.54602E-2</v>
      </c>
      <c r="BB205" s="21">
        <v>195</v>
      </c>
      <c r="BC205" s="21">
        <v>0.88043199999999999</v>
      </c>
      <c r="BD205">
        <f t="shared" si="46"/>
        <v>19.086666666666666</v>
      </c>
      <c r="BE205">
        <f t="shared" si="47"/>
        <v>16.833638359999998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0.81298800000000004</v>
      </c>
      <c r="H206" s="21">
        <v>6.9562400000000002</v>
      </c>
      <c r="I206" s="21">
        <v>-1.54205E-2</v>
      </c>
      <c r="J206" s="21">
        <v>196</v>
      </c>
      <c r="K206" s="21">
        <v>0.81176800000000005</v>
      </c>
      <c r="L206">
        <f t="shared" si="36"/>
        <v>19.037654320987656</v>
      </c>
      <c r="M206">
        <f t="shared" si="37"/>
        <v>15.477384511111113</v>
      </c>
      <c r="N206" s="9"/>
      <c r="O206" s="21">
        <v>0.88699300000000003</v>
      </c>
      <c r="P206" s="21">
        <v>10.775399999999999</v>
      </c>
      <c r="Q206" s="21">
        <v>-1.5356399999999999E-2</v>
      </c>
      <c r="R206" s="21">
        <v>196</v>
      </c>
      <c r="S206" s="21">
        <v>0.88622999999999996</v>
      </c>
      <c r="T206">
        <f t="shared" si="38"/>
        <v>18.958518518518517</v>
      </c>
      <c r="U206">
        <f t="shared" si="39"/>
        <v>16.816073216296296</v>
      </c>
      <c r="X206" s="9"/>
      <c r="Y206" s="21">
        <v>0.81298800000000004</v>
      </c>
      <c r="Z206" s="21">
        <v>16.334900000000001</v>
      </c>
      <c r="AA206" s="21">
        <v>-1.54968E-2</v>
      </c>
      <c r="AB206" s="21">
        <v>196</v>
      </c>
      <c r="AC206" s="21">
        <v>0.81146200000000002</v>
      </c>
      <c r="AD206">
        <f t="shared" si="40"/>
        <v>19.131851851851852</v>
      </c>
      <c r="AE206">
        <f t="shared" si="41"/>
        <v>15.553965973333334</v>
      </c>
      <c r="AF206" s="9"/>
      <c r="AG206" s="21">
        <v>0.88699300000000003</v>
      </c>
      <c r="AH206" s="21">
        <v>20.1541</v>
      </c>
      <c r="AI206" s="21">
        <v>-1.5429699999999999E-2</v>
      </c>
      <c r="AJ206" s="21">
        <v>196</v>
      </c>
      <c r="AK206" s="21">
        <v>0.88622999999999996</v>
      </c>
      <c r="AL206">
        <f t="shared" si="42"/>
        <v>19.04901234567901</v>
      </c>
      <c r="AM206">
        <f t="shared" si="43"/>
        <v>16.896340607530863</v>
      </c>
      <c r="AP206" s="9"/>
      <c r="AQ206" s="21">
        <v>0.81298800000000004</v>
      </c>
      <c r="AR206" s="21">
        <v>25.671700000000001</v>
      </c>
      <c r="AS206" s="21">
        <v>-1.55151E-2</v>
      </c>
      <c r="AT206" s="21">
        <v>196</v>
      </c>
      <c r="AU206" s="21">
        <v>0.81237800000000004</v>
      </c>
      <c r="AV206">
        <f t="shared" si="44"/>
        <v>19.154444444444444</v>
      </c>
      <c r="AW206">
        <f t="shared" si="45"/>
        <v>15.572333480000001</v>
      </c>
      <c r="AX206" s="9"/>
      <c r="AY206" s="21">
        <v>0.88699300000000003</v>
      </c>
      <c r="AZ206" s="21">
        <v>29.4908</v>
      </c>
      <c r="BA206" s="21">
        <v>-1.5450999999999999E-2</v>
      </c>
      <c r="BB206" s="21">
        <v>196</v>
      </c>
      <c r="BC206" s="21">
        <v>0.88561999999999996</v>
      </c>
      <c r="BD206">
        <f t="shared" si="46"/>
        <v>19.075308641975305</v>
      </c>
      <c r="BE206">
        <f t="shared" si="47"/>
        <v>16.919665238271602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0.80795300000000003</v>
      </c>
      <c r="H207" s="21">
        <v>6.96631</v>
      </c>
      <c r="I207" s="21">
        <v>-1.54266E-2</v>
      </c>
      <c r="J207" s="21">
        <v>197</v>
      </c>
      <c r="K207" s="21">
        <v>0.80657999999999996</v>
      </c>
      <c r="L207">
        <f t="shared" si="36"/>
        <v>19.045185185185186</v>
      </c>
      <c r="M207">
        <f t="shared" si="37"/>
        <v>15.387614505925928</v>
      </c>
      <c r="N207" s="9"/>
      <c r="O207" s="21">
        <v>0.89202899999999996</v>
      </c>
      <c r="P207" s="21">
        <v>10.785500000000001</v>
      </c>
      <c r="Q207" s="21">
        <v>-1.5347299999999999E-2</v>
      </c>
      <c r="R207" s="21">
        <v>197</v>
      </c>
      <c r="S207" s="21">
        <v>0.89080800000000004</v>
      </c>
      <c r="T207">
        <f t="shared" si="38"/>
        <v>18.947283950617283</v>
      </c>
      <c r="U207">
        <f t="shared" si="39"/>
        <v>16.901526755185184</v>
      </c>
      <c r="X207" s="9"/>
      <c r="Y207" s="21">
        <v>0.80795300000000003</v>
      </c>
      <c r="Z207" s="21">
        <v>16.344999999999999</v>
      </c>
      <c r="AA207" s="21">
        <v>-1.55029E-2</v>
      </c>
      <c r="AB207" s="21">
        <v>197</v>
      </c>
      <c r="AC207" s="21">
        <v>0.80688499999999996</v>
      </c>
      <c r="AD207">
        <f t="shared" si="40"/>
        <v>19.139382716049383</v>
      </c>
      <c r="AE207">
        <f t="shared" si="41"/>
        <v>15.463721683580248</v>
      </c>
      <c r="AF207" s="9"/>
      <c r="AG207" s="21">
        <v>0.89202899999999996</v>
      </c>
      <c r="AH207" s="21">
        <v>20.164200000000001</v>
      </c>
      <c r="AI207" s="21">
        <v>-1.5423600000000001E-2</v>
      </c>
      <c r="AJ207" s="21">
        <v>197</v>
      </c>
      <c r="AK207" s="21">
        <v>0.89141800000000004</v>
      </c>
      <c r="AL207">
        <f t="shared" si="42"/>
        <v>19.041481481481483</v>
      </c>
      <c r="AM207">
        <f t="shared" si="43"/>
        <v>16.985553684444444</v>
      </c>
      <c r="AP207" s="9"/>
      <c r="AQ207" s="21">
        <v>0.80795300000000003</v>
      </c>
      <c r="AR207" s="21">
        <v>25.681699999999999</v>
      </c>
      <c r="AS207" s="21">
        <v>-1.5521200000000001E-2</v>
      </c>
      <c r="AT207" s="21">
        <v>197</v>
      </c>
      <c r="AU207" s="21">
        <v>0.80657999999999996</v>
      </c>
      <c r="AV207">
        <f t="shared" si="44"/>
        <v>19.161975308641974</v>
      </c>
      <c r="AW207">
        <f t="shared" si="45"/>
        <v>15.481975436543209</v>
      </c>
      <c r="AX207" s="9"/>
      <c r="AY207" s="21">
        <v>0.89202899999999996</v>
      </c>
      <c r="AZ207" s="21">
        <v>29.500900000000001</v>
      </c>
      <c r="BA207" s="21">
        <v>-1.5444899999999999E-2</v>
      </c>
      <c r="BB207" s="21">
        <v>197</v>
      </c>
      <c r="BC207" s="21">
        <v>0.89141800000000004</v>
      </c>
      <c r="BD207">
        <f t="shared" si="46"/>
        <v>19.067777777777778</v>
      </c>
      <c r="BE207">
        <f t="shared" si="47"/>
        <v>17.009010743333331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0.80291699999999999</v>
      </c>
      <c r="H208" s="21">
        <v>6.9763799999999998</v>
      </c>
      <c r="I208" s="21">
        <v>-1.5432700000000001E-2</v>
      </c>
      <c r="J208" s="21">
        <v>198</v>
      </c>
      <c r="K208" s="21">
        <v>0.80139199999999999</v>
      </c>
      <c r="L208">
        <f t="shared" si="36"/>
        <v>19.052716049382713</v>
      </c>
      <c r="M208">
        <f t="shared" si="37"/>
        <v>15.297749612222219</v>
      </c>
      <c r="N208" s="9"/>
      <c r="O208" s="21">
        <v>0.89706399999999997</v>
      </c>
      <c r="P208" s="21">
        <v>10.7956</v>
      </c>
      <c r="Q208" s="21">
        <v>-1.5344200000000001E-2</v>
      </c>
      <c r="R208" s="21">
        <v>198</v>
      </c>
      <c r="S208" s="21">
        <v>0.89599600000000001</v>
      </c>
      <c r="T208">
        <f t="shared" si="38"/>
        <v>18.943456790123456</v>
      </c>
      <c r="U208">
        <f t="shared" si="39"/>
        <v>16.993493121975309</v>
      </c>
      <c r="X208" s="9"/>
      <c r="Y208" s="21">
        <v>0.80291699999999999</v>
      </c>
      <c r="Z208" s="21">
        <v>16.3551</v>
      </c>
      <c r="AA208" s="21">
        <v>-1.5509E-2</v>
      </c>
      <c r="AB208" s="21">
        <v>198</v>
      </c>
      <c r="AC208" s="21">
        <v>0.80169699999999999</v>
      </c>
      <c r="AD208">
        <f t="shared" si="40"/>
        <v>19.14691358024691</v>
      </c>
      <c r="AE208">
        <f t="shared" si="41"/>
        <v>15.373382411111107</v>
      </c>
      <c r="AF208" s="9"/>
      <c r="AG208" s="21">
        <v>0.89706399999999997</v>
      </c>
      <c r="AH208" s="21">
        <v>20.174299999999999</v>
      </c>
      <c r="AI208" s="21">
        <v>-1.5417500000000001E-2</v>
      </c>
      <c r="AJ208" s="21">
        <v>198</v>
      </c>
      <c r="AK208" s="21">
        <v>0.89599600000000001</v>
      </c>
      <c r="AL208">
        <f t="shared" si="42"/>
        <v>19.033950617283949</v>
      </c>
      <c r="AM208">
        <f t="shared" si="43"/>
        <v>17.074671876543206</v>
      </c>
      <c r="AP208" s="9"/>
      <c r="AQ208" s="21">
        <v>0.80291699999999999</v>
      </c>
      <c r="AR208" s="21">
        <v>25.691800000000001</v>
      </c>
      <c r="AS208" s="21">
        <v>-1.5527300000000001E-2</v>
      </c>
      <c r="AT208" s="21">
        <v>198</v>
      </c>
      <c r="AU208" s="21">
        <v>0.80200199999999999</v>
      </c>
      <c r="AV208">
        <f t="shared" si="44"/>
        <v>19.169506172839505</v>
      </c>
      <c r="AW208">
        <f t="shared" si="45"/>
        <v>15.391522387777776</v>
      </c>
      <c r="AX208" s="9"/>
      <c r="AY208" s="21">
        <v>0.89706399999999997</v>
      </c>
      <c r="AZ208" s="21">
        <v>29.510999999999999</v>
      </c>
      <c r="BA208" s="21">
        <v>-1.5438800000000001E-2</v>
      </c>
      <c r="BB208" s="21">
        <v>198</v>
      </c>
      <c r="BC208" s="21">
        <v>0.89569100000000001</v>
      </c>
      <c r="BD208">
        <f t="shared" si="46"/>
        <v>19.060246913580247</v>
      </c>
      <c r="BE208">
        <f t="shared" si="47"/>
        <v>17.098261337283951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0.79788199999999998</v>
      </c>
      <c r="H209" s="21">
        <v>6.9864499999999996</v>
      </c>
      <c r="I209" s="21">
        <v>-1.5438800000000001E-2</v>
      </c>
      <c r="J209" s="21">
        <v>199</v>
      </c>
      <c r="K209" s="21">
        <v>0.79711900000000002</v>
      </c>
      <c r="L209">
        <f t="shared" si="36"/>
        <v>19.060246913580247</v>
      </c>
      <c r="M209">
        <f t="shared" si="37"/>
        <v>15.207827927901235</v>
      </c>
      <c r="N209" s="9"/>
      <c r="O209" s="21">
        <v>0.90210000000000001</v>
      </c>
      <c r="P209" s="21">
        <v>10.8056</v>
      </c>
      <c r="Q209" s="21">
        <v>-1.53381E-2</v>
      </c>
      <c r="R209" s="21">
        <v>199</v>
      </c>
      <c r="S209" s="21">
        <v>0.90118399999999999</v>
      </c>
      <c r="T209">
        <f t="shared" si="38"/>
        <v>18.935925925925925</v>
      </c>
      <c r="U209">
        <f t="shared" si="39"/>
        <v>17.082098777777777</v>
      </c>
      <c r="X209" s="9"/>
      <c r="Y209" s="21">
        <v>0.79788199999999998</v>
      </c>
      <c r="Z209" s="21">
        <v>16.365100000000002</v>
      </c>
      <c r="AA209" s="21">
        <v>-1.55151E-2</v>
      </c>
      <c r="AB209" s="21">
        <v>199</v>
      </c>
      <c r="AC209" s="21">
        <v>0.79711900000000002</v>
      </c>
      <c r="AD209">
        <f t="shared" si="40"/>
        <v>19.154444444444444</v>
      </c>
      <c r="AE209">
        <f t="shared" si="41"/>
        <v>15.282986442222221</v>
      </c>
      <c r="AF209" s="9"/>
      <c r="AG209" s="21">
        <v>0.90210000000000001</v>
      </c>
      <c r="AH209" s="21">
        <v>20.1843</v>
      </c>
      <c r="AI209" s="21">
        <v>-1.54144E-2</v>
      </c>
      <c r="AJ209" s="21">
        <v>199</v>
      </c>
      <c r="AK209" s="21">
        <v>0.90057399999999999</v>
      </c>
      <c r="AL209">
        <f t="shared" si="42"/>
        <v>19.030123456790122</v>
      </c>
      <c r="AM209">
        <f t="shared" si="43"/>
        <v>17.167074370370369</v>
      </c>
      <c r="AP209" s="9"/>
      <c r="AQ209" s="21">
        <v>0.79788199999999998</v>
      </c>
      <c r="AR209" s="21">
        <v>25.701899999999998</v>
      </c>
      <c r="AS209" s="21">
        <v>-1.5533399999999999E-2</v>
      </c>
      <c r="AT209" s="21">
        <v>199</v>
      </c>
      <c r="AU209" s="21">
        <v>0.79711900000000002</v>
      </c>
      <c r="AV209">
        <f t="shared" si="44"/>
        <v>19.177037037037035</v>
      </c>
      <c r="AW209">
        <f t="shared" si="45"/>
        <v>15.301012665185183</v>
      </c>
      <c r="AX209" s="9"/>
      <c r="AY209" s="21">
        <v>0.90210000000000001</v>
      </c>
      <c r="AZ209" s="21">
        <v>29.521100000000001</v>
      </c>
      <c r="BA209" s="21">
        <v>-1.54358E-2</v>
      </c>
      <c r="BB209" s="21">
        <v>199</v>
      </c>
      <c r="BC209" s="21">
        <v>0.90148899999999998</v>
      </c>
      <c r="BD209">
        <f t="shared" si="46"/>
        <v>19.056543209876541</v>
      </c>
      <c r="BE209">
        <f t="shared" si="47"/>
        <v>17.190907629629628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0.79284699999999997</v>
      </c>
      <c r="H210" s="21">
        <v>6.9965200000000003</v>
      </c>
      <c r="I210" s="21">
        <v>-1.5444899999999999E-2</v>
      </c>
      <c r="J210" s="21">
        <v>200</v>
      </c>
      <c r="K210" s="21">
        <v>0.79193100000000005</v>
      </c>
      <c r="L210">
        <f t="shared" si="36"/>
        <v>19.067777777777778</v>
      </c>
      <c r="M210">
        <f t="shared" si="37"/>
        <v>15.117830407777777</v>
      </c>
      <c r="N210" s="9"/>
      <c r="O210" s="21">
        <v>0.90713500000000002</v>
      </c>
      <c r="P210" s="21">
        <v>10.8157</v>
      </c>
      <c r="Q210" s="21">
        <v>-1.5335100000000001E-2</v>
      </c>
      <c r="R210" s="21">
        <v>200</v>
      </c>
      <c r="S210" s="21">
        <v>0.90637199999999996</v>
      </c>
      <c r="T210">
        <f t="shared" si="38"/>
        <v>18.932222222222222</v>
      </c>
      <c r="U210">
        <f t="shared" si="39"/>
        <v>17.174081405555555</v>
      </c>
      <c r="X210" s="9"/>
      <c r="Y210" s="21">
        <v>0.79284699999999997</v>
      </c>
      <c r="Z210" s="21">
        <v>16.3752</v>
      </c>
      <c r="AA210" s="21">
        <v>-1.5521200000000001E-2</v>
      </c>
      <c r="AB210" s="21">
        <v>200</v>
      </c>
      <c r="AC210" s="21">
        <v>0.79162600000000005</v>
      </c>
      <c r="AD210">
        <f t="shared" si="40"/>
        <v>19.161975308641974</v>
      </c>
      <c r="AE210">
        <f t="shared" si="41"/>
        <v>15.192514637530863</v>
      </c>
      <c r="AF210" s="9"/>
      <c r="AG210" s="21">
        <v>0.90713500000000002</v>
      </c>
      <c r="AH210" s="21">
        <v>20.194400000000002</v>
      </c>
      <c r="AI210" s="21">
        <v>-1.54083E-2</v>
      </c>
      <c r="AJ210" s="21">
        <v>200</v>
      </c>
      <c r="AK210" s="21">
        <v>0.90637199999999996</v>
      </c>
      <c r="AL210">
        <f t="shared" si="42"/>
        <v>19.022592592592591</v>
      </c>
      <c r="AM210">
        <f t="shared" si="43"/>
        <v>17.25605953148148</v>
      </c>
      <c r="AP210" s="9"/>
      <c r="AQ210" s="21">
        <v>0.79284699999999997</v>
      </c>
      <c r="AR210" s="21">
        <v>25.7119</v>
      </c>
      <c r="AS210" s="21">
        <v>-1.5539600000000001E-2</v>
      </c>
      <c r="AT210" s="21">
        <v>200</v>
      </c>
      <c r="AU210" s="21">
        <v>0.79254199999999997</v>
      </c>
      <c r="AV210">
        <f t="shared" si="44"/>
        <v>19.18469135802469</v>
      </c>
      <c r="AW210">
        <f t="shared" si="45"/>
        <v>15.2105249891358</v>
      </c>
      <c r="AX210" s="9"/>
      <c r="AY210" s="21">
        <v>0.90713500000000002</v>
      </c>
      <c r="AZ210" s="21">
        <v>29.531099999999999</v>
      </c>
      <c r="BA210" s="21">
        <v>-1.5429699999999999E-2</v>
      </c>
      <c r="BB210" s="21">
        <v>200</v>
      </c>
      <c r="BC210" s="21">
        <v>0.90637199999999996</v>
      </c>
      <c r="BD210">
        <f t="shared" si="46"/>
        <v>19.04901234567901</v>
      </c>
      <c r="BE210">
        <f t="shared" si="47"/>
        <v>17.280025814197529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0.78781100000000004</v>
      </c>
      <c r="H211" s="21">
        <v>7.0065900000000001</v>
      </c>
      <c r="I211" s="21">
        <v>-1.5450999999999999E-2</v>
      </c>
      <c r="J211" s="21">
        <v>201</v>
      </c>
      <c r="K211" s="21">
        <v>0.78674299999999997</v>
      </c>
      <c r="L211">
        <f t="shared" si="36"/>
        <v>19.075308641975305</v>
      </c>
      <c r="M211">
        <f t="shared" si="37"/>
        <v>15.027737976543207</v>
      </c>
      <c r="N211" s="9"/>
      <c r="O211" s="21">
        <v>0.91217000000000004</v>
      </c>
      <c r="P211" s="21">
        <v>10.825799999999999</v>
      </c>
      <c r="Q211" s="21">
        <v>-1.5329000000000001E-2</v>
      </c>
      <c r="R211" s="21">
        <v>201</v>
      </c>
      <c r="S211" s="21">
        <v>0.91125500000000004</v>
      </c>
      <c r="T211">
        <f t="shared" si="38"/>
        <v>18.924691358024692</v>
      </c>
      <c r="U211">
        <f t="shared" si="39"/>
        <v>17.262535716049385</v>
      </c>
      <c r="X211" s="9"/>
      <c r="Y211" s="21">
        <v>0.78781100000000004</v>
      </c>
      <c r="Z211" s="21">
        <v>16.385300000000001</v>
      </c>
      <c r="AA211" s="21">
        <v>-1.5527300000000001E-2</v>
      </c>
      <c r="AB211" s="21">
        <v>201</v>
      </c>
      <c r="AC211" s="21">
        <v>0.78704799999999997</v>
      </c>
      <c r="AD211">
        <f t="shared" si="40"/>
        <v>19.169506172839505</v>
      </c>
      <c r="AE211">
        <f t="shared" si="41"/>
        <v>15.101947827530864</v>
      </c>
      <c r="AF211" s="9"/>
      <c r="AG211" s="21">
        <v>0.91217000000000004</v>
      </c>
      <c r="AH211" s="21">
        <v>20.204499999999999</v>
      </c>
      <c r="AI211" s="21">
        <v>-1.54053E-2</v>
      </c>
      <c r="AJ211" s="21">
        <v>201</v>
      </c>
      <c r="AK211" s="21">
        <v>0.91095000000000004</v>
      </c>
      <c r="AL211">
        <f t="shared" si="42"/>
        <v>19.018888888888888</v>
      </c>
      <c r="AM211">
        <f t="shared" si="43"/>
        <v>17.348459877777778</v>
      </c>
      <c r="AP211" s="9"/>
      <c r="AQ211" s="21">
        <v>0.78781100000000004</v>
      </c>
      <c r="AR211" s="21">
        <v>25.722000000000001</v>
      </c>
      <c r="AS211" s="21">
        <v>-1.5545700000000001E-2</v>
      </c>
      <c r="AT211" s="21">
        <v>201</v>
      </c>
      <c r="AU211" s="21">
        <v>0.78674299999999997</v>
      </c>
      <c r="AV211">
        <f t="shared" si="44"/>
        <v>19.19222222222222</v>
      </c>
      <c r="AW211">
        <f t="shared" si="45"/>
        <v>15.119843781111109</v>
      </c>
      <c r="AX211" s="9"/>
      <c r="AY211" s="21">
        <v>0.91217000000000004</v>
      </c>
      <c r="AZ211" s="21">
        <v>29.5412</v>
      </c>
      <c r="BA211" s="21">
        <v>-1.5423600000000001E-2</v>
      </c>
      <c r="BB211" s="21">
        <v>201</v>
      </c>
      <c r="BC211" s="21">
        <v>0.91156000000000004</v>
      </c>
      <c r="BD211">
        <f t="shared" si="46"/>
        <v>19.041481481481483</v>
      </c>
      <c r="BE211">
        <f t="shared" si="47"/>
        <v>17.369068162962964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0.78277600000000003</v>
      </c>
      <c r="H212" s="21">
        <v>7.0166599999999999</v>
      </c>
      <c r="I212" s="21">
        <v>-1.5457200000000001E-2</v>
      </c>
      <c r="J212" s="21">
        <v>202</v>
      </c>
      <c r="K212" s="21">
        <v>0.781555</v>
      </c>
      <c r="L212">
        <f t="shared" si="36"/>
        <v>19.082962962962963</v>
      </c>
      <c r="M212">
        <f t="shared" si="37"/>
        <v>14.937685416296297</v>
      </c>
      <c r="N212" s="9"/>
      <c r="O212" s="21">
        <v>0.91720599999999997</v>
      </c>
      <c r="P212" s="21">
        <v>10.835900000000001</v>
      </c>
      <c r="Q212" s="21">
        <v>-1.53259E-2</v>
      </c>
      <c r="R212" s="21">
        <v>202</v>
      </c>
      <c r="S212" s="21">
        <v>0.91613800000000001</v>
      </c>
      <c r="T212">
        <f t="shared" si="38"/>
        <v>18.920864197530861</v>
      </c>
      <c r="U212">
        <f t="shared" si="39"/>
        <v>17.354330167160491</v>
      </c>
      <c r="X212" s="9"/>
      <c r="Y212" s="21">
        <v>0.78277600000000003</v>
      </c>
      <c r="Z212" s="21">
        <v>16.395399999999999</v>
      </c>
      <c r="AA212" s="21">
        <v>-1.5533399999999999E-2</v>
      </c>
      <c r="AB212" s="21">
        <v>202</v>
      </c>
      <c r="AC212" s="21">
        <v>0.78216600000000003</v>
      </c>
      <c r="AD212">
        <f t="shared" si="40"/>
        <v>19.177037037037035</v>
      </c>
      <c r="AE212">
        <f t="shared" si="41"/>
        <v>15.011324343703702</v>
      </c>
      <c r="AF212" s="9"/>
      <c r="AG212" s="21">
        <v>0.91720599999999997</v>
      </c>
      <c r="AH212" s="21">
        <v>20.214500000000001</v>
      </c>
      <c r="AI212" s="21">
        <v>-1.53992E-2</v>
      </c>
      <c r="AJ212" s="21">
        <v>202</v>
      </c>
      <c r="AK212" s="21">
        <v>0.91583300000000001</v>
      </c>
      <c r="AL212">
        <f t="shared" si="42"/>
        <v>19.011358024691354</v>
      </c>
      <c r="AM212">
        <f t="shared" si="43"/>
        <v>17.437331648395059</v>
      </c>
      <c r="AP212" s="9"/>
      <c r="AQ212" s="21">
        <v>0.78277600000000003</v>
      </c>
      <c r="AR212" s="21">
        <v>25.732099999999999</v>
      </c>
      <c r="AS212" s="21">
        <v>-1.5551799999999999E-2</v>
      </c>
      <c r="AT212" s="21">
        <v>202</v>
      </c>
      <c r="AU212" s="21">
        <v>0.78277600000000003</v>
      </c>
      <c r="AV212">
        <f t="shared" si="44"/>
        <v>19.199753086419751</v>
      </c>
      <c r="AW212">
        <f t="shared" si="45"/>
        <v>15.029105921975308</v>
      </c>
      <c r="AX212" s="9"/>
      <c r="AY212" s="21">
        <v>0.91720599999999997</v>
      </c>
      <c r="AZ212" s="21">
        <v>29.551300000000001</v>
      </c>
      <c r="BA212" s="21">
        <v>-1.5417500000000001E-2</v>
      </c>
      <c r="BB212" s="21">
        <v>202</v>
      </c>
      <c r="BC212" s="21">
        <v>0.91674800000000001</v>
      </c>
      <c r="BD212">
        <f t="shared" si="46"/>
        <v>19.033950617283949</v>
      </c>
      <c r="BE212">
        <f t="shared" si="47"/>
        <v>17.458053709876541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0.77773999999999999</v>
      </c>
      <c r="H213" s="21">
        <v>7.0267299999999997</v>
      </c>
      <c r="I213" s="21">
        <v>-1.5463299999999999E-2</v>
      </c>
      <c r="J213" s="21">
        <v>203</v>
      </c>
      <c r="K213" s="21">
        <v>0.77636700000000003</v>
      </c>
      <c r="L213">
        <f t="shared" si="36"/>
        <v>19.090493827160493</v>
      </c>
      <c r="M213">
        <f t="shared" si="37"/>
        <v>14.847440669135802</v>
      </c>
      <c r="N213" s="9"/>
      <c r="O213" s="21">
        <v>0.92224099999999998</v>
      </c>
      <c r="P213" s="21">
        <v>10.8459</v>
      </c>
      <c r="Q213" s="21">
        <v>-1.53198E-2</v>
      </c>
      <c r="R213" s="21">
        <v>203</v>
      </c>
      <c r="S213" s="21">
        <v>0.92193599999999998</v>
      </c>
      <c r="T213">
        <f t="shared" si="38"/>
        <v>18.91333333333333</v>
      </c>
      <c r="U213">
        <f t="shared" si="39"/>
        <v>17.442651446666662</v>
      </c>
      <c r="X213" s="9"/>
      <c r="Y213" s="21">
        <v>0.77773999999999999</v>
      </c>
      <c r="Z213" s="21">
        <v>16.4054</v>
      </c>
      <c r="AA213" s="21">
        <v>-1.55365E-2</v>
      </c>
      <c r="AB213" s="21">
        <v>203</v>
      </c>
      <c r="AC213" s="21">
        <v>0.77667200000000003</v>
      </c>
      <c r="AD213">
        <f t="shared" si="40"/>
        <v>19.180864197530862</v>
      </c>
      <c r="AE213">
        <f t="shared" si="41"/>
        <v>14.917725320987653</v>
      </c>
      <c r="AF213" s="9"/>
      <c r="AG213" s="21">
        <v>0.92224099999999998</v>
      </c>
      <c r="AH213" s="21">
        <v>20.224599999999999</v>
      </c>
      <c r="AI213" s="21">
        <v>-1.5396099999999999E-2</v>
      </c>
      <c r="AJ213" s="21">
        <v>203</v>
      </c>
      <c r="AK213" s="21">
        <v>0.92132599999999998</v>
      </c>
      <c r="AL213">
        <f t="shared" si="42"/>
        <v>19.007530864197527</v>
      </c>
      <c r="AM213">
        <f t="shared" si="43"/>
        <v>17.529524271728391</v>
      </c>
      <c r="AP213" s="9"/>
      <c r="AQ213" s="21">
        <v>0.77773999999999999</v>
      </c>
      <c r="AR213" s="21">
        <v>25.7422</v>
      </c>
      <c r="AS213" s="21">
        <v>-1.55579E-2</v>
      </c>
      <c r="AT213" s="21">
        <v>203</v>
      </c>
      <c r="AU213" s="21">
        <v>0.77667200000000003</v>
      </c>
      <c r="AV213">
        <f t="shared" si="44"/>
        <v>19.207283950617281</v>
      </c>
      <c r="AW213">
        <f t="shared" si="45"/>
        <v>14.938273019753083</v>
      </c>
      <c r="AX213" s="9"/>
      <c r="AY213" s="21">
        <v>0.92224099999999998</v>
      </c>
      <c r="AZ213" s="21">
        <v>29.561299999999999</v>
      </c>
      <c r="BA213" s="21">
        <v>-1.54144E-2</v>
      </c>
      <c r="BB213" s="21">
        <v>203</v>
      </c>
      <c r="BC213" s="21">
        <v>0.92071499999999995</v>
      </c>
      <c r="BD213">
        <f t="shared" si="46"/>
        <v>19.030123456790122</v>
      </c>
      <c r="BE213">
        <f t="shared" si="47"/>
        <v>17.550360086913578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0.77270499999999998</v>
      </c>
      <c r="H214" s="21">
        <v>7.0368000000000004</v>
      </c>
      <c r="I214" s="21">
        <v>-1.5469399999999999E-2</v>
      </c>
      <c r="J214" s="21">
        <v>204</v>
      </c>
      <c r="K214" s="21">
        <v>0.77148399999999995</v>
      </c>
      <c r="L214">
        <f t="shared" si="36"/>
        <v>19.09802469135802</v>
      </c>
      <c r="M214">
        <f t="shared" si="37"/>
        <v>14.757139169135799</v>
      </c>
      <c r="N214" s="9"/>
      <c r="O214" s="21">
        <v>0.92727700000000002</v>
      </c>
      <c r="P214" s="21">
        <v>10.856</v>
      </c>
      <c r="Q214" s="21">
        <v>-1.53137E-2</v>
      </c>
      <c r="R214" s="21">
        <v>204</v>
      </c>
      <c r="S214" s="21">
        <v>0.92651399999999995</v>
      </c>
      <c r="T214">
        <f t="shared" si="38"/>
        <v>18.9058024691358</v>
      </c>
      <c r="U214">
        <f t="shared" si="39"/>
        <v>17.530915796172838</v>
      </c>
      <c r="X214" s="9"/>
      <c r="Y214" s="21">
        <v>0.77270499999999998</v>
      </c>
      <c r="Z214" s="21">
        <v>16.415500000000002</v>
      </c>
      <c r="AA214" s="21">
        <v>-1.55426E-2</v>
      </c>
      <c r="AB214" s="21">
        <v>204</v>
      </c>
      <c r="AC214" s="21">
        <v>0.77209499999999998</v>
      </c>
      <c r="AD214">
        <f t="shared" si="40"/>
        <v>19.188395061728393</v>
      </c>
      <c r="AE214">
        <f t="shared" si="41"/>
        <v>14.826968806172838</v>
      </c>
      <c r="AF214" s="9"/>
      <c r="AG214" s="21">
        <v>0.92727700000000002</v>
      </c>
      <c r="AH214" s="21">
        <v>20.2347</v>
      </c>
      <c r="AI214" s="21">
        <v>-1.5389999999999999E-2</v>
      </c>
      <c r="AJ214" s="21">
        <v>204</v>
      </c>
      <c r="AK214" s="21">
        <v>0.92620800000000003</v>
      </c>
      <c r="AL214">
        <f t="shared" si="42"/>
        <v>18.999999999999996</v>
      </c>
      <c r="AM214">
        <f t="shared" si="43"/>
        <v>17.618262999999995</v>
      </c>
      <c r="AP214" s="9"/>
      <c r="AQ214" s="21">
        <v>0.77270499999999998</v>
      </c>
      <c r="AR214" s="21">
        <v>25.752199999999998</v>
      </c>
      <c r="AS214" s="21">
        <v>-1.5564E-2</v>
      </c>
      <c r="AT214" s="21">
        <v>204</v>
      </c>
      <c r="AU214" s="21">
        <v>0.77148399999999995</v>
      </c>
      <c r="AV214">
        <f t="shared" si="44"/>
        <v>19.214814814814812</v>
      </c>
      <c r="AW214">
        <f t="shared" si="45"/>
        <v>14.847383481481479</v>
      </c>
      <c r="AX214" s="9"/>
      <c r="AY214" s="21">
        <v>0.92727700000000002</v>
      </c>
      <c r="AZ214" s="21">
        <v>29.571400000000001</v>
      </c>
      <c r="BA214" s="21">
        <v>-1.54083E-2</v>
      </c>
      <c r="BB214" s="21">
        <v>204</v>
      </c>
      <c r="BC214" s="21">
        <v>0.92590300000000003</v>
      </c>
      <c r="BD214">
        <f t="shared" si="46"/>
        <v>19.022592592592591</v>
      </c>
      <c r="BE214">
        <f t="shared" si="47"/>
        <v>17.639212591481481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0.76766999999999996</v>
      </c>
      <c r="H215" s="21">
        <v>7.0468700000000002</v>
      </c>
      <c r="I215" s="21">
        <v>-1.5472400000000001E-2</v>
      </c>
      <c r="J215" s="21">
        <v>205</v>
      </c>
      <c r="K215" s="21">
        <v>0.76629599999999998</v>
      </c>
      <c r="L215">
        <f t="shared" si="36"/>
        <v>19.101728395061727</v>
      </c>
      <c r="M215">
        <f t="shared" si="37"/>
        <v>14.663823837037036</v>
      </c>
      <c r="N215" s="9"/>
      <c r="O215" s="21">
        <v>0.93231200000000003</v>
      </c>
      <c r="P215" s="21">
        <v>10.866099999999999</v>
      </c>
      <c r="Q215" s="21">
        <v>-1.5307599999999999E-2</v>
      </c>
      <c r="R215" s="21">
        <v>205</v>
      </c>
      <c r="S215" s="21">
        <v>0.931396</v>
      </c>
      <c r="T215">
        <f t="shared" si="38"/>
        <v>18.89827160493827</v>
      </c>
      <c r="U215">
        <f t="shared" si="39"/>
        <v>17.619085396543209</v>
      </c>
      <c r="X215" s="9"/>
      <c r="Y215" s="21">
        <v>0.76766999999999996</v>
      </c>
      <c r="Z215" s="21">
        <v>16.425599999999999</v>
      </c>
      <c r="AA215" s="21">
        <v>-1.5545700000000001E-2</v>
      </c>
      <c r="AB215" s="21">
        <v>205</v>
      </c>
      <c r="AC215" s="21">
        <v>0.76599099999999998</v>
      </c>
      <c r="AD215">
        <f t="shared" si="40"/>
        <v>19.19222222222222</v>
      </c>
      <c r="AE215">
        <f t="shared" si="41"/>
        <v>14.733293233333331</v>
      </c>
      <c r="AF215" s="9"/>
      <c r="AG215" s="21">
        <v>0.93231200000000003</v>
      </c>
      <c r="AH215" s="21">
        <v>20.244800000000001</v>
      </c>
      <c r="AI215" s="21">
        <v>-1.5383900000000001E-2</v>
      </c>
      <c r="AJ215" s="21">
        <v>205</v>
      </c>
      <c r="AK215" s="21">
        <v>0.931396</v>
      </c>
      <c r="AL215">
        <f t="shared" si="42"/>
        <v>18.99246913580247</v>
      </c>
      <c r="AM215">
        <f t="shared" si="43"/>
        <v>17.706906884938274</v>
      </c>
      <c r="AP215" s="9"/>
      <c r="AQ215" s="21">
        <v>0.76766999999999996</v>
      </c>
      <c r="AR215" s="21">
        <v>25.7623</v>
      </c>
      <c r="AS215" s="21">
        <v>-1.55701E-2</v>
      </c>
      <c r="AT215" s="21">
        <v>205</v>
      </c>
      <c r="AU215" s="21">
        <v>0.76660200000000001</v>
      </c>
      <c r="AV215">
        <f t="shared" si="44"/>
        <v>19.222345679012346</v>
      </c>
      <c r="AW215">
        <f t="shared" si="45"/>
        <v>14.756418107407407</v>
      </c>
      <c r="AX215" s="9"/>
      <c r="AY215" s="21">
        <v>0.93231200000000003</v>
      </c>
      <c r="AZ215" s="21">
        <v>29.581499999999998</v>
      </c>
      <c r="BA215" s="21">
        <v>-1.54022E-2</v>
      </c>
      <c r="BB215" s="21">
        <v>205</v>
      </c>
      <c r="BC215" s="21">
        <v>0.931396</v>
      </c>
      <c r="BD215">
        <f t="shared" si="46"/>
        <v>19.015061728395061</v>
      </c>
      <c r="BE215">
        <f t="shared" si="47"/>
        <v>17.727970230123457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0.76263400000000003</v>
      </c>
      <c r="H216" s="21">
        <v>7.0569499999999996</v>
      </c>
      <c r="I216" s="21">
        <v>-1.5478499999999999E-2</v>
      </c>
      <c r="J216" s="21">
        <v>206</v>
      </c>
      <c r="K216" s="21">
        <v>0.76232900000000003</v>
      </c>
      <c r="L216">
        <f t="shared" si="36"/>
        <v>19.109259259259257</v>
      </c>
      <c r="M216">
        <f t="shared" si="37"/>
        <v>14.573370825925926</v>
      </c>
      <c r="N216" s="9"/>
      <c r="O216" s="21">
        <v>0.93734700000000004</v>
      </c>
      <c r="P216" s="21">
        <v>10.876099999999999</v>
      </c>
      <c r="Q216" s="21">
        <v>-1.5301500000000001E-2</v>
      </c>
      <c r="R216" s="21">
        <v>206</v>
      </c>
      <c r="S216" s="21">
        <v>0.93597399999999997</v>
      </c>
      <c r="T216">
        <f t="shared" si="38"/>
        <v>18.890740740740739</v>
      </c>
      <c r="U216">
        <f t="shared" si="39"/>
        <v>17.70717916111111</v>
      </c>
      <c r="X216" s="9"/>
      <c r="Y216" s="21">
        <v>0.76263400000000003</v>
      </c>
      <c r="Z216" s="21">
        <v>16.435600000000001</v>
      </c>
      <c r="AA216" s="21">
        <v>-1.5554800000000001E-2</v>
      </c>
      <c r="AB216" s="21">
        <v>206</v>
      </c>
      <c r="AC216" s="21">
        <v>0.76141400000000004</v>
      </c>
      <c r="AD216">
        <f t="shared" si="40"/>
        <v>19.203456790123457</v>
      </c>
      <c r="AE216">
        <f t="shared" si="41"/>
        <v>14.645209065679014</v>
      </c>
      <c r="AF216" s="9"/>
      <c r="AG216" s="21">
        <v>0.93734700000000004</v>
      </c>
      <c r="AH216" s="21">
        <v>20.254799999999999</v>
      </c>
      <c r="AI216" s="21">
        <v>-1.53778E-2</v>
      </c>
      <c r="AJ216" s="21">
        <v>206</v>
      </c>
      <c r="AK216" s="21">
        <v>0.93658399999999997</v>
      </c>
      <c r="AL216">
        <f t="shared" si="42"/>
        <v>18.984938271604936</v>
      </c>
      <c r="AM216">
        <f t="shared" si="43"/>
        <v>17.795474934074072</v>
      </c>
      <c r="AP216" s="9"/>
      <c r="AQ216" s="21">
        <v>0.76263400000000003</v>
      </c>
      <c r="AR216" s="21">
        <v>25.772400000000001</v>
      </c>
      <c r="AS216" s="21">
        <v>-1.5573099999999999E-2</v>
      </c>
      <c r="AT216" s="21">
        <v>206</v>
      </c>
      <c r="AU216" s="21">
        <v>0.76202400000000003</v>
      </c>
      <c r="AV216">
        <f t="shared" si="44"/>
        <v>19.226049382716049</v>
      </c>
      <c r="AW216">
        <f t="shared" si="45"/>
        <v>14.662438944938271</v>
      </c>
      <c r="AX216" s="9"/>
      <c r="AY216" s="21">
        <v>0.93734700000000004</v>
      </c>
      <c r="AZ216" s="21">
        <v>29.5916</v>
      </c>
      <c r="BA216" s="21">
        <v>-1.5396099999999999E-2</v>
      </c>
      <c r="BB216" s="21">
        <v>206</v>
      </c>
      <c r="BC216" s="21">
        <v>0.93658399999999997</v>
      </c>
      <c r="BD216">
        <f t="shared" si="46"/>
        <v>19.007530864197527</v>
      </c>
      <c r="BE216">
        <f t="shared" si="47"/>
        <v>17.81665203296296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0.75759900000000002</v>
      </c>
      <c r="H217" s="21">
        <v>7.0670200000000003</v>
      </c>
      <c r="I217" s="21">
        <v>-1.5484599999999999E-2</v>
      </c>
      <c r="J217" s="21">
        <v>207</v>
      </c>
      <c r="K217" s="21">
        <v>0.75714099999999995</v>
      </c>
      <c r="L217">
        <f t="shared" si="36"/>
        <v>19.116790123456788</v>
      </c>
      <c r="M217">
        <f t="shared" si="37"/>
        <v>14.48286108074074</v>
      </c>
      <c r="N217" s="9"/>
      <c r="O217" s="21">
        <v>0.94238299999999997</v>
      </c>
      <c r="P217" s="21">
        <v>10.886200000000001</v>
      </c>
      <c r="Q217" s="21">
        <v>-1.5295400000000001E-2</v>
      </c>
      <c r="R217" s="21">
        <v>207</v>
      </c>
      <c r="S217" s="21">
        <v>0.94207799999999997</v>
      </c>
      <c r="T217">
        <f t="shared" si="38"/>
        <v>18.883209876543212</v>
      </c>
      <c r="U217">
        <f t="shared" si="39"/>
        <v>17.795215973086421</v>
      </c>
      <c r="X217" s="9"/>
      <c r="Y217" s="21">
        <v>0.75759900000000002</v>
      </c>
      <c r="Z217" s="21">
        <v>16.445699999999999</v>
      </c>
      <c r="AA217" s="21">
        <v>-1.5560900000000001E-2</v>
      </c>
      <c r="AB217" s="21">
        <v>207</v>
      </c>
      <c r="AC217" s="21">
        <v>0.75683599999999995</v>
      </c>
      <c r="AD217">
        <f t="shared" si="40"/>
        <v>19.210987654320988</v>
      </c>
      <c r="AE217">
        <f t="shared" si="41"/>
        <v>14.554225035925926</v>
      </c>
      <c r="AF217" s="9"/>
      <c r="AG217" s="21">
        <v>0.94238299999999997</v>
      </c>
      <c r="AH217" s="21">
        <v>20.264900000000001</v>
      </c>
      <c r="AI217" s="21">
        <v>-1.53717E-2</v>
      </c>
      <c r="AJ217" s="21">
        <v>207</v>
      </c>
      <c r="AK217" s="21">
        <v>0.94177200000000005</v>
      </c>
      <c r="AL217">
        <f t="shared" si="42"/>
        <v>18.977407407407409</v>
      </c>
      <c r="AM217">
        <f t="shared" si="43"/>
        <v>17.883986124814815</v>
      </c>
      <c r="AP217" s="9"/>
      <c r="AQ217" s="21">
        <v>0.75759900000000002</v>
      </c>
      <c r="AR217" s="21">
        <v>25.782399999999999</v>
      </c>
      <c r="AS217" s="21">
        <v>-1.55792E-2</v>
      </c>
      <c r="AT217" s="21">
        <v>207</v>
      </c>
      <c r="AU217" s="21">
        <v>0.75744599999999995</v>
      </c>
      <c r="AV217">
        <f t="shared" si="44"/>
        <v>19.233580246913579</v>
      </c>
      <c r="AW217">
        <f t="shared" si="45"/>
        <v>14.571341161481481</v>
      </c>
      <c r="AX217" s="9"/>
      <c r="AY217" s="21">
        <v>0.94238299999999997</v>
      </c>
      <c r="AZ217" s="21">
        <v>29.601600000000001</v>
      </c>
      <c r="BA217" s="21">
        <v>-1.53931E-2</v>
      </c>
      <c r="BB217" s="21">
        <v>207</v>
      </c>
      <c r="BC217" s="21">
        <v>0.94146700000000005</v>
      </c>
      <c r="BD217">
        <f t="shared" si="46"/>
        <v>19.003827160493824</v>
      </c>
      <c r="BE217">
        <f t="shared" si="47"/>
        <v>17.908883650987651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0.75256299999999998</v>
      </c>
      <c r="H218" s="21">
        <v>7.0770900000000001</v>
      </c>
      <c r="I218" s="21">
        <v>-1.54877E-2</v>
      </c>
      <c r="J218" s="21">
        <v>208</v>
      </c>
      <c r="K218" s="21">
        <v>0.75195299999999998</v>
      </c>
      <c r="L218">
        <f t="shared" si="36"/>
        <v>19.120617283950615</v>
      </c>
      <c r="M218">
        <f t="shared" si="37"/>
        <v>14.389469105061726</v>
      </c>
      <c r="N218" s="9"/>
      <c r="O218" s="21">
        <v>0.94741799999999998</v>
      </c>
      <c r="P218" s="21">
        <v>10.8963</v>
      </c>
      <c r="Q218" s="21">
        <v>-1.5292399999999999E-2</v>
      </c>
      <c r="R218" s="21">
        <v>208</v>
      </c>
      <c r="S218" s="21">
        <v>0.94635000000000002</v>
      </c>
      <c r="T218">
        <f t="shared" si="38"/>
        <v>18.879506172839505</v>
      </c>
      <c r="U218">
        <f t="shared" si="39"/>
        <v>17.88678397925926</v>
      </c>
      <c r="X218" s="9"/>
      <c r="Y218" s="21">
        <v>0.75256299999999998</v>
      </c>
      <c r="Z218" s="21">
        <v>16.4558</v>
      </c>
      <c r="AA218" s="21">
        <v>-1.5566999999999999E-2</v>
      </c>
      <c r="AB218" s="21">
        <v>208</v>
      </c>
      <c r="AC218" s="21">
        <v>0.75103799999999998</v>
      </c>
      <c r="AD218">
        <f t="shared" si="40"/>
        <v>19.218518518518518</v>
      </c>
      <c r="AE218">
        <f t="shared" si="41"/>
        <v>14.463145951851851</v>
      </c>
      <c r="AF218" s="9"/>
      <c r="AG218" s="21">
        <v>0.94741799999999998</v>
      </c>
      <c r="AH218" s="21">
        <v>20.274999999999999</v>
      </c>
      <c r="AI218" s="21">
        <v>-1.53656E-2</v>
      </c>
      <c r="AJ218" s="21">
        <v>208</v>
      </c>
      <c r="AK218" s="21">
        <v>0.94665500000000002</v>
      </c>
      <c r="AL218">
        <f t="shared" si="42"/>
        <v>18.969876543209878</v>
      </c>
      <c r="AM218">
        <f t="shared" si="43"/>
        <v>17.972402494814816</v>
      </c>
      <c r="AP218" s="9"/>
      <c r="AQ218" s="21">
        <v>0.75256299999999998</v>
      </c>
      <c r="AR218" s="21">
        <v>25.7925</v>
      </c>
      <c r="AS218" s="21">
        <v>-1.55853E-2</v>
      </c>
      <c r="AT218" s="21">
        <v>208</v>
      </c>
      <c r="AU218" s="21">
        <v>0.75134299999999998</v>
      </c>
      <c r="AV218">
        <f t="shared" si="44"/>
        <v>19.24111111111111</v>
      </c>
      <c r="AW218">
        <f t="shared" si="45"/>
        <v>14.480148301111109</v>
      </c>
      <c r="AX218" s="9"/>
      <c r="AY218" s="21">
        <v>0.94741799999999998</v>
      </c>
      <c r="AZ218" s="21">
        <v>29.611699999999999</v>
      </c>
      <c r="BA218" s="21">
        <v>-1.5383900000000001E-2</v>
      </c>
      <c r="BB218" s="21">
        <v>208</v>
      </c>
      <c r="BC218" s="21">
        <v>0.94635000000000002</v>
      </c>
      <c r="BD218">
        <f t="shared" si="46"/>
        <v>18.99246913580247</v>
      </c>
      <c r="BE218">
        <f t="shared" si="47"/>
        <v>17.993807123703704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0.74752799999999997</v>
      </c>
      <c r="H219" s="21">
        <v>7.0871599999999999</v>
      </c>
      <c r="I219" s="21">
        <v>-1.54938E-2</v>
      </c>
      <c r="J219" s="21">
        <v>209</v>
      </c>
      <c r="K219" s="21">
        <v>0.74679600000000002</v>
      </c>
      <c r="L219">
        <f t="shared" si="36"/>
        <v>19.128148148148149</v>
      </c>
      <c r="M219">
        <f t="shared" si="37"/>
        <v>14.298826328888889</v>
      </c>
      <c r="N219" s="9"/>
      <c r="O219" s="21">
        <v>0.95245400000000002</v>
      </c>
      <c r="P219" s="21">
        <v>10.9063</v>
      </c>
      <c r="Q219" s="21">
        <v>-1.52893E-2</v>
      </c>
      <c r="R219" s="21">
        <v>209</v>
      </c>
      <c r="S219" s="21">
        <v>0.951233</v>
      </c>
      <c r="T219">
        <f t="shared" si="38"/>
        <v>18.875679012345678</v>
      </c>
      <c r="U219">
        <f t="shared" si="39"/>
        <v>17.978215978024689</v>
      </c>
      <c r="X219" s="9"/>
      <c r="Y219" s="21">
        <v>0.74752799999999997</v>
      </c>
      <c r="Z219" s="21">
        <v>16.465900000000001</v>
      </c>
      <c r="AA219" s="21">
        <v>-1.5573099999999999E-2</v>
      </c>
      <c r="AB219" s="21">
        <v>209</v>
      </c>
      <c r="AC219" s="21">
        <v>0.74658199999999997</v>
      </c>
      <c r="AD219">
        <f t="shared" si="40"/>
        <v>19.226049382716049</v>
      </c>
      <c r="AE219">
        <f t="shared" si="41"/>
        <v>14.372010242962961</v>
      </c>
      <c r="AF219" s="9"/>
      <c r="AG219" s="21">
        <v>0.95245400000000002</v>
      </c>
      <c r="AH219" s="21">
        <v>20.285</v>
      </c>
      <c r="AI219" s="21">
        <v>-1.53595E-2</v>
      </c>
      <c r="AJ219" s="21">
        <v>209</v>
      </c>
      <c r="AK219" s="21">
        <v>0.950928</v>
      </c>
      <c r="AL219">
        <f t="shared" si="42"/>
        <v>18.962345679012344</v>
      </c>
      <c r="AM219">
        <f t="shared" si="43"/>
        <v>18.060761991358024</v>
      </c>
      <c r="AP219" s="9"/>
      <c r="AQ219" s="21">
        <v>0.74752799999999997</v>
      </c>
      <c r="AR219" s="21">
        <v>25.802600000000002</v>
      </c>
      <c r="AS219" s="21">
        <v>-1.55914E-2</v>
      </c>
      <c r="AT219" s="21">
        <v>209</v>
      </c>
      <c r="AU219" s="21">
        <v>0.74670400000000003</v>
      </c>
      <c r="AV219">
        <f t="shared" si="44"/>
        <v>19.24864197530864</v>
      </c>
      <c r="AW219">
        <f t="shared" si="45"/>
        <v>14.388898838518516</v>
      </c>
      <c r="AX219" s="9"/>
      <c r="AY219" s="21">
        <v>0.95245400000000002</v>
      </c>
      <c r="AZ219" s="21">
        <v>29.6218</v>
      </c>
      <c r="BA219" s="21">
        <v>-1.53778E-2</v>
      </c>
      <c r="BB219" s="21">
        <v>209</v>
      </c>
      <c r="BC219" s="21">
        <v>0.95153799999999999</v>
      </c>
      <c r="BD219">
        <f t="shared" si="46"/>
        <v>18.984938271604936</v>
      </c>
      <c r="BE219">
        <f t="shared" si="47"/>
        <v>18.082280396543208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0.74249299999999996</v>
      </c>
      <c r="H220" s="21">
        <v>7.0972299999999997</v>
      </c>
      <c r="I220" s="21">
        <v>-1.55029E-2</v>
      </c>
      <c r="J220" s="21">
        <v>210</v>
      </c>
      <c r="K220" s="21">
        <v>0.74163800000000002</v>
      </c>
      <c r="L220">
        <f t="shared" si="36"/>
        <v>19.139382716049383</v>
      </c>
      <c r="M220">
        <f t="shared" si="37"/>
        <v>14.210857690987654</v>
      </c>
      <c r="N220" s="9"/>
      <c r="O220" s="21">
        <v>0.95748900000000003</v>
      </c>
      <c r="P220" s="21">
        <v>10.916399999999999</v>
      </c>
      <c r="Q220" s="21">
        <v>-1.52832E-2</v>
      </c>
      <c r="R220" s="21">
        <v>210</v>
      </c>
      <c r="S220" s="21">
        <v>0.95642099999999997</v>
      </c>
      <c r="T220">
        <f t="shared" si="38"/>
        <v>18.868148148148148</v>
      </c>
      <c r="U220">
        <f t="shared" si="39"/>
        <v>18.066044302222224</v>
      </c>
      <c r="X220" s="9"/>
      <c r="Y220" s="21">
        <v>0.74249299999999996</v>
      </c>
      <c r="Z220" s="21">
        <v>16.475899999999999</v>
      </c>
      <c r="AA220" s="21">
        <v>-1.55792E-2</v>
      </c>
      <c r="AB220" s="21">
        <v>210</v>
      </c>
      <c r="AC220" s="21">
        <v>0.740448</v>
      </c>
      <c r="AD220">
        <f t="shared" si="40"/>
        <v>19.233580246913579</v>
      </c>
      <c r="AE220">
        <f t="shared" si="41"/>
        <v>14.280798698271603</v>
      </c>
      <c r="AF220" s="9"/>
      <c r="AG220" s="21">
        <v>0.95748900000000003</v>
      </c>
      <c r="AH220" s="21">
        <v>20.295100000000001</v>
      </c>
      <c r="AI220" s="21">
        <v>-1.53534E-2</v>
      </c>
      <c r="AJ220" s="21">
        <v>210</v>
      </c>
      <c r="AK220" s="21">
        <v>0.95672599999999997</v>
      </c>
      <c r="AL220">
        <f t="shared" si="42"/>
        <v>18.954814814814814</v>
      </c>
      <c r="AM220">
        <f t="shared" si="43"/>
        <v>18.149026682222221</v>
      </c>
      <c r="AP220" s="9"/>
      <c r="AQ220" s="21">
        <v>0.74249299999999996</v>
      </c>
      <c r="AR220" s="21">
        <v>25.8127</v>
      </c>
      <c r="AS220" s="21">
        <v>-1.5594500000000001E-2</v>
      </c>
      <c r="AT220" s="21">
        <v>210</v>
      </c>
      <c r="AU220" s="21">
        <v>0.74163800000000002</v>
      </c>
      <c r="AV220">
        <f t="shared" si="44"/>
        <v>19.252469135802468</v>
      </c>
      <c r="AW220">
        <f t="shared" si="45"/>
        <v>14.294823566049381</v>
      </c>
      <c r="AX220" s="9"/>
      <c r="AY220" s="21">
        <v>0.95748900000000003</v>
      </c>
      <c r="AZ220" s="21">
        <v>29.631799999999998</v>
      </c>
      <c r="BA220" s="21">
        <v>-1.53717E-2</v>
      </c>
      <c r="BB220" s="21">
        <v>210</v>
      </c>
      <c r="BC220" s="21">
        <v>0.95642099999999997</v>
      </c>
      <c r="BD220">
        <f t="shared" si="46"/>
        <v>18.977407407407409</v>
      </c>
      <c r="BE220">
        <f t="shared" si="47"/>
        <v>18.170658841111113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0.73745700000000003</v>
      </c>
      <c r="H221" s="21">
        <v>7.1073000000000004</v>
      </c>
      <c r="I221" s="21">
        <v>-1.5509E-2</v>
      </c>
      <c r="J221" s="21">
        <v>211</v>
      </c>
      <c r="K221" s="21">
        <v>0.73678600000000005</v>
      </c>
      <c r="L221">
        <f t="shared" si="36"/>
        <v>19.14691358024691</v>
      </c>
      <c r="M221">
        <f t="shared" si="37"/>
        <v>14.120025448148146</v>
      </c>
      <c r="N221" s="9"/>
      <c r="O221" s="21">
        <v>0.96252400000000005</v>
      </c>
      <c r="P221" s="21">
        <v>10.926500000000001</v>
      </c>
      <c r="Q221" s="21">
        <v>-1.52771E-2</v>
      </c>
      <c r="R221" s="21">
        <v>211</v>
      </c>
      <c r="S221" s="21">
        <v>0.96069300000000002</v>
      </c>
      <c r="T221">
        <f t="shared" si="38"/>
        <v>18.860617283950617</v>
      </c>
      <c r="U221">
        <f t="shared" si="39"/>
        <v>18.153796790617285</v>
      </c>
      <c r="X221" s="9"/>
      <c r="Y221" s="21">
        <v>0.73745700000000003</v>
      </c>
      <c r="Z221" s="21">
        <v>16.486000000000001</v>
      </c>
      <c r="AA221" s="21">
        <v>-1.55853E-2</v>
      </c>
      <c r="AB221" s="21">
        <v>211</v>
      </c>
      <c r="AC221" s="21">
        <v>0.73669399999999996</v>
      </c>
      <c r="AD221">
        <f t="shared" si="40"/>
        <v>19.24111111111111</v>
      </c>
      <c r="AE221">
        <f t="shared" si="41"/>
        <v>14.189492076666665</v>
      </c>
      <c r="AF221" s="9"/>
      <c r="AG221" s="21">
        <v>0.96252400000000005</v>
      </c>
      <c r="AH221" s="21">
        <v>20.305199999999999</v>
      </c>
      <c r="AI221" s="21">
        <v>-1.5344200000000001E-2</v>
      </c>
      <c r="AJ221" s="21">
        <v>211</v>
      </c>
      <c r="AK221" s="21">
        <v>0.96191400000000005</v>
      </c>
      <c r="AL221">
        <f t="shared" si="42"/>
        <v>18.943456790123456</v>
      </c>
      <c r="AM221">
        <f t="shared" si="43"/>
        <v>18.233531803456788</v>
      </c>
      <c r="AP221" s="9"/>
      <c r="AQ221" s="21">
        <v>0.73745700000000003</v>
      </c>
      <c r="AR221" s="21">
        <v>25.822700000000001</v>
      </c>
      <c r="AS221" s="21">
        <v>-1.5600599999999999E-2</v>
      </c>
      <c r="AT221" s="21">
        <v>211</v>
      </c>
      <c r="AU221" s="21">
        <v>0.73675500000000005</v>
      </c>
      <c r="AV221">
        <f t="shared" si="44"/>
        <v>19.259999999999998</v>
      </c>
      <c r="AW221">
        <f t="shared" si="45"/>
        <v>14.203421819999999</v>
      </c>
      <c r="AX221" s="9"/>
      <c r="AY221" s="21">
        <v>0.96252400000000005</v>
      </c>
      <c r="AZ221" s="21">
        <v>29.6419</v>
      </c>
      <c r="BA221" s="21">
        <v>-1.5368700000000001E-2</v>
      </c>
      <c r="BB221" s="21">
        <v>211</v>
      </c>
      <c r="BC221" s="21">
        <v>0.96160900000000005</v>
      </c>
      <c r="BD221">
        <f t="shared" si="46"/>
        <v>18.973703703703706</v>
      </c>
      <c r="BE221">
        <f t="shared" si="47"/>
        <v>18.262645183703707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0.73242200000000002</v>
      </c>
      <c r="H222" s="21">
        <v>7.1173700000000002</v>
      </c>
      <c r="I222" s="21">
        <v>-1.5512099999999999E-2</v>
      </c>
      <c r="J222" s="21">
        <v>212</v>
      </c>
      <c r="K222" s="21">
        <v>0.73178100000000001</v>
      </c>
      <c r="L222">
        <f t="shared" si="36"/>
        <v>19.150740740740741</v>
      </c>
      <c r="M222">
        <f t="shared" si="37"/>
        <v>14.026423834814816</v>
      </c>
      <c r="N222" s="9"/>
      <c r="O222" s="21">
        <v>0.96755999999999998</v>
      </c>
      <c r="P222" s="21">
        <v>10.9366</v>
      </c>
      <c r="Q222" s="21">
        <v>-1.5271E-2</v>
      </c>
      <c r="R222" s="21">
        <v>212</v>
      </c>
      <c r="S222" s="21">
        <v>0.96618700000000002</v>
      </c>
      <c r="T222">
        <f t="shared" si="38"/>
        <v>18.853086419753083</v>
      </c>
      <c r="U222">
        <f t="shared" si="39"/>
        <v>18.241492296296293</v>
      </c>
      <c r="X222" s="9"/>
      <c r="Y222" s="21">
        <v>0.73242200000000002</v>
      </c>
      <c r="Z222" s="21">
        <v>16.496099999999998</v>
      </c>
      <c r="AA222" s="21">
        <v>-1.5588400000000001E-2</v>
      </c>
      <c r="AB222" s="21">
        <v>212</v>
      </c>
      <c r="AC222" s="21">
        <v>0.73162799999999995</v>
      </c>
      <c r="AD222">
        <f t="shared" si="40"/>
        <v>19.244938271604937</v>
      </c>
      <c r="AE222">
        <f t="shared" si="41"/>
        <v>14.095416178765431</v>
      </c>
      <c r="AF222" s="9"/>
      <c r="AG222" s="21">
        <v>0.96755999999999998</v>
      </c>
      <c r="AH222" s="21">
        <v>20.315300000000001</v>
      </c>
      <c r="AI222" s="21">
        <v>-1.53381E-2</v>
      </c>
      <c r="AJ222" s="21">
        <v>212</v>
      </c>
      <c r="AK222" s="21">
        <v>0.96618700000000002</v>
      </c>
      <c r="AL222">
        <f t="shared" si="42"/>
        <v>18.935925925925925</v>
      </c>
      <c r="AM222">
        <f t="shared" si="43"/>
        <v>18.321644488888889</v>
      </c>
      <c r="AP222" s="9"/>
      <c r="AQ222" s="21">
        <v>0.73242200000000002</v>
      </c>
      <c r="AR222" s="21">
        <v>25.832799999999999</v>
      </c>
      <c r="AS222" s="21">
        <v>-1.5606699999999999E-2</v>
      </c>
      <c r="AT222" s="21">
        <v>212</v>
      </c>
      <c r="AU222" s="21">
        <v>0.73175000000000001</v>
      </c>
      <c r="AV222">
        <f t="shared" si="44"/>
        <v>19.267530864197528</v>
      </c>
      <c r="AW222">
        <f t="shared" si="45"/>
        <v>14.111963490617283</v>
      </c>
      <c r="AX222" s="9"/>
      <c r="AY222" s="21">
        <v>0.96755999999999998</v>
      </c>
      <c r="AZ222" s="21">
        <v>29.652000000000001</v>
      </c>
      <c r="BA222" s="21">
        <v>-1.5362499999999999E-2</v>
      </c>
      <c r="BB222" s="21">
        <v>212</v>
      </c>
      <c r="BC222" s="21">
        <v>0.96649200000000002</v>
      </c>
      <c r="BD222">
        <f t="shared" si="46"/>
        <v>18.966049382716047</v>
      </c>
      <c r="BE222">
        <f t="shared" si="47"/>
        <v>18.350790740740738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0.72738599999999998</v>
      </c>
      <c r="H223" s="21">
        <v>7.12744</v>
      </c>
      <c r="I223" s="21">
        <v>-1.5518199999999999E-2</v>
      </c>
      <c r="J223" s="21">
        <v>213</v>
      </c>
      <c r="K223" s="21">
        <v>0.72665400000000002</v>
      </c>
      <c r="L223">
        <f t="shared" si="36"/>
        <v>19.158271604938271</v>
      </c>
      <c r="M223">
        <f t="shared" si="37"/>
        <v>13.935458549629629</v>
      </c>
      <c r="N223" s="9"/>
      <c r="O223" s="21">
        <v>0.97259499999999999</v>
      </c>
      <c r="P223" s="21">
        <v>10.9466</v>
      </c>
      <c r="Q223" s="21">
        <v>-1.52649E-2</v>
      </c>
      <c r="R223" s="21">
        <v>213</v>
      </c>
      <c r="S223" s="21">
        <v>0.97137499999999999</v>
      </c>
      <c r="T223">
        <f t="shared" si="38"/>
        <v>18.845555555555553</v>
      </c>
      <c r="U223">
        <f t="shared" si="39"/>
        <v>18.329093105555554</v>
      </c>
      <c r="X223" s="9"/>
      <c r="Y223" s="21">
        <v>0.72738599999999998</v>
      </c>
      <c r="Z223" s="21">
        <v>16.5061</v>
      </c>
      <c r="AA223" s="21">
        <v>-1.5594500000000001E-2</v>
      </c>
      <c r="AB223" s="21">
        <v>213</v>
      </c>
      <c r="AC223" s="21">
        <v>0.72683699999999996</v>
      </c>
      <c r="AD223">
        <f t="shared" si="40"/>
        <v>19.252469135802468</v>
      </c>
      <c r="AE223">
        <f t="shared" si="41"/>
        <v>14.003976514814813</v>
      </c>
      <c r="AF223" s="9"/>
      <c r="AG223" s="21">
        <v>0.97259499999999999</v>
      </c>
      <c r="AH223" s="21">
        <v>20.325299999999999</v>
      </c>
      <c r="AI223" s="21">
        <v>-1.5335100000000001E-2</v>
      </c>
      <c r="AJ223" s="21">
        <v>213</v>
      </c>
      <c r="AK223" s="21">
        <v>0.97137499999999999</v>
      </c>
      <c r="AL223">
        <f t="shared" si="42"/>
        <v>18.932222222222222</v>
      </c>
      <c r="AM223">
        <f t="shared" si="43"/>
        <v>18.413384672222222</v>
      </c>
      <c r="AP223" s="9"/>
      <c r="AQ223" s="21">
        <v>0.72738599999999998</v>
      </c>
      <c r="AR223" s="21">
        <v>25.8429</v>
      </c>
      <c r="AS223" s="21">
        <v>-1.5609700000000001E-2</v>
      </c>
      <c r="AT223" s="21">
        <v>213</v>
      </c>
      <c r="AU223" s="21">
        <v>0.72647099999999998</v>
      </c>
      <c r="AV223">
        <f t="shared" si="44"/>
        <v>19.271234567901235</v>
      </c>
      <c r="AW223">
        <f t="shared" si="45"/>
        <v>14.017626227407407</v>
      </c>
      <c r="AX223" s="9"/>
      <c r="AY223" s="21">
        <v>0.97259499999999999</v>
      </c>
      <c r="AZ223" s="21">
        <v>29.662099999999999</v>
      </c>
      <c r="BA223" s="21">
        <v>-1.5356399999999999E-2</v>
      </c>
      <c r="BB223" s="21">
        <v>213</v>
      </c>
      <c r="BC223" s="21">
        <v>0.97228999999999999</v>
      </c>
      <c r="BD223">
        <f t="shared" si="46"/>
        <v>18.958518518518517</v>
      </c>
      <c r="BE223">
        <f t="shared" si="47"/>
        <v>18.438960318518518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0.72235099999999997</v>
      </c>
      <c r="H224" s="21">
        <v>7.1375099999999998</v>
      </c>
      <c r="I224" s="21">
        <v>-1.55243E-2</v>
      </c>
      <c r="J224" s="21">
        <v>214</v>
      </c>
      <c r="K224" s="21">
        <v>0.72137499999999999</v>
      </c>
      <c r="L224">
        <f t="shared" si="36"/>
        <v>19.165802469135802</v>
      </c>
      <c r="M224">
        <f t="shared" si="37"/>
        <v>13.844436579382714</v>
      </c>
      <c r="N224" s="9"/>
      <c r="O224" s="21">
        <v>0.97763100000000003</v>
      </c>
      <c r="P224" s="21">
        <v>10.9567</v>
      </c>
      <c r="Q224" s="21">
        <v>-1.5255700000000001E-2</v>
      </c>
      <c r="R224" s="21">
        <v>214</v>
      </c>
      <c r="S224" s="21">
        <v>0.97717299999999996</v>
      </c>
      <c r="T224">
        <f t="shared" si="38"/>
        <v>18.834197530864198</v>
      </c>
      <c r="U224">
        <f t="shared" si="39"/>
        <v>18.412895366296297</v>
      </c>
      <c r="X224" s="9"/>
      <c r="Y224" s="21">
        <v>0.72235099999999997</v>
      </c>
      <c r="Z224" s="21">
        <v>16.516200000000001</v>
      </c>
      <c r="AA224" s="21">
        <v>-1.5600599999999999E-2</v>
      </c>
      <c r="AB224" s="21">
        <v>214</v>
      </c>
      <c r="AC224" s="21">
        <v>0.72164899999999998</v>
      </c>
      <c r="AD224">
        <f t="shared" si="40"/>
        <v>19.259999999999998</v>
      </c>
      <c r="AE224">
        <f t="shared" si="41"/>
        <v>13.912480259999997</v>
      </c>
      <c r="AF224" s="9"/>
      <c r="AG224" s="21">
        <v>0.97763100000000003</v>
      </c>
      <c r="AH224" s="21">
        <v>20.3354</v>
      </c>
      <c r="AI224" s="21">
        <v>-1.53259E-2</v>
      </c>
      <c r="AJ224" s="21">
        <v>214</v>
      </c>
      <c r="AK224" s="21">
        <v>0.97625700000000004</v>
      </c>
      <c r="AL224">
        <f t="shared" si="42"/>
        <v>18.920864197530861</v>
      </c>
      <c r="AM224">
        <f t="shared" si="43"/>
        <v>18.497623386296294</v>
      </c>
      <c r="AP224" s="9"/>
      <c r="AQ224" s="21">
        <v>0.72235099999999997</v>
      </c>
      <c r="AR224" s="21">
        <v>25.852900000000002</v>
      </c>
      <c r="AS224" s="21">
        <v>-1.56189E-2</v>
      </c>
      <c r="AT224" s="21">
        <v>214</v>
      </c>
      <c r="AU224" s="21">
        <v>0.72149700000000005</v>
      </c>
      <c r="AV224">
        <f t="shared" si="44"/>
        <v>19.282592592592589</v>
      </c>
      <c r="AW224">
        <f t="shared" si="45"/>
        <v>13.928800041851849</v>
      </c>
      <c r="AX224" s="9"/>
      <c r="AY224" s="21">
        <v>0.97763100000000003</v>
      </c>
      <c r="AZ224" s="21">
        <v>29.6721</v>
      </c>
      <c r="BA224" s="21">
        <v>-1.5350300000000001E-2</v>
      </c>
      <c r="BB224" s="21">
        <v>214</v>
      </c>
      <c r="BC224" s="21">
        <v>0.97625700000000004</v>
      </c>
      <c r="BD224">
        <f t="shared" si="46"/>
        <v>18.95098765432099</v>
      </c>
      <c r="BE224">
        <f t="shared" si="47"/>
        <v>18.527073011481484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0.71731599999999995</v>
      </c>
      <c r="H225" s="21">
        <v>7.1475799999999996</v>
      </c>
      <c r="I225" s="21">
        <v>-1.5533399999999999E-2</v>
      </c>
      <c r="J225" s="21">
        <v>215</v>
      </c>
      <c r="K225" s="21">
        <v>0.71679700000000002</v>
      </c>
      <c r="L225">
        <f t="shared" si="36"/>
        <v>19.177037037037035</v>
      </c>
      <c r="M225">
        <f t="shared" si="37"/>
        <v>13.755995499259257</v>
      </c>
      <c r="N225" s="9"/>
      <c r="O225" s="21">
        <v>0.98266600000000004</v>
      </c>
      <c r="P225" s="21">
        <v>10.966799999999999</v>
      </c>
      <c r="Q225" s="21">
        <v>-1.5252699999999999E-2</v>
      </c>
      <c r="R225" s="21">
        <v>215</v>
      </c>
      <c r="S225" s="21">
        <v>0.98144500000000001</v>
      </c>
      <c r="T225">
        <f t="shared" si="38"/>
        <v>18.830493827160492</v>
      </c>
      <c r="U225">
        <f t="shared" si="39"/>
        <v>18.504086047160492</v>
      </c>
      <c r="X225" s="9"/>
      <c r="Y225" s="21">
        <v>0.71731599999999995</v>
      </c>
      <c r="Z225" s="21">
        <v>16.526299999999999</v>
      </c>
      <c r="AA225" s="21">
        <v>-1.5606699999999999E-2</v>
      </c>
      <c r="AB225" s="21">
        <v>215</v>
      </c>
      <c r="AC225" s="21">
        <v>0.71636999999999995</v>
      </c>
      <c r="AD225">
        <f t="shared" si="40"/>
        <v>19.267530864197528</v>
      </c>
      <c r="AE225">
        <f t="shared" si="41"/>
        <v>13.820908169382713</v>
      </c>
      <c r="AF225" s="9"/>
      <c r="AG225" s="21">
        <v>0.98266600000000004</v>
      </c>
      <c r="AH225" s="21">
        <v>20.345500000000001</v>
      </c>
      <c r="AI225" s="21">
        <v>-1.53198E-2</v>
      </c>
      <c r="AJ225" s="21">
        <v>215</v>
      </c>
      <c r="AK225" s="21">
        <v>0.98175000000000001</v>
      </c>
      <c r="AL225">
        <f t="shared" si="42"/>
        <v>18.91333333333333</v>
      </c>
      <c r="AM225">
        <f t="shared" si="43"/>
        <v>18.58548961333333</v>
      </c>
      <c r="AP225" s="9"/>
      <c r="AQ225" s="21">
        <v>0.71731599999999995</v>
      </c>
      <c r="AR225" s="21">
        <v>25.863</v>
      </c>
      <c r="AS225" s="21">
        <v>-1.5625E-2</v>
      </c>
      <c r="AT225" s="21">
        <v>215</v>
      </c>
      <c r="AU225" s="21">
        <v>0.71670500000000004</v>
      </c>
      <c r="AV225">
        <f t="shared" si="44"/>
        <v>19.290123456790123</v>
      </c>
      <c r="AW225">
        <f t="shared" si="45"/>
        <v>13.837114197530862</v>
      </c>
      <c r="AX225" s="9"/>
      <c r="AY225" s="21">
        <v>0.98266600000000004</v>
      </c>
      <c r="AZ225" s="21">
        <v>29.682200000000002</v>
      </c>
      <c r="BA225" s="21">
        <v>-1.5347299999999999E-2</v>
      </c>
      <c r="BB225" s="21">
        <v>215</v>
      </c>
      <c r="BC225" s="21">
        <v>0.98236100000000004</v>
      </c>
      <c r="BD225">
        <f t="shared" si="46"/>
        <v>18.947283950617283</v>
      </c>
      <c r="BE225">
        <f t="shared" si="47"/>
        <v>18.618851730617283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0.71228000000000002</v>
      </c>
      <c r="H226" s="21">
        <v>7.1576599999999999</v>
      </c>
      <c r="I226" s="21">
        <v>-1.5539600000000001E-2</v>
      </c>
      <c r="J226" s="21">
        <v>216</v>
      </c>
      <c r="K226" s="21">
        <v>0.71154799999999996</v>
      </c>
      <c r="L226">
        <f t="shared" si="36"/>
        <v>19.18469135802469</v>
      </c>
      <c r="M226">
        <f t="shared" si="37"/>
        <v>13.664871960493826</v>
      </c>
      <c r="N226" s="9"/>
      <c r="O226" s="21">
        <v>0.98770100000000005</v>
      </c>
      <c r="P226" s="21">
        <v>10.976800000000001</v>
      </c>
      <c r="Q226" s="21">
        <v>-1.5246600000000001E-2</v>
      </c>
      <c r="R226" s="21">
        <v>216</v>
      </c>
      <c r="S226" s="21">
        <v>0.98632799999999998</v>
      </c>
      <c r="T226">
        <f t="shared" si="38"/>
        <v>18.822962962962961</v>
      </c>
      <c r="U226">
        <f t="shared" si="39"/>
        <v>18.591459341481482</v>
      </c>
      <c r="X226" s="9"/>
      <c r="Y226" s="21">
        <v>0.71228000000000002</v>
      </c>
      <c r="Z226" s="21">
        <v>16.5364</v>
      </c>
      <c r="AA226" s="21">
        <v>-1.56128E-2</v>
      </c>
      <c r="AB226" s="21">
        <v>216</v>
      </c>
      <c r="AC226" s="21">
        <v>0.71124299999999996</v>
      </c>
      <c r="AD226">
        <f t="shared" si="40"/>
        <v>19.275061728395059</v>
      </c>
      <c r="AE226">
        <f t="shared" si="41"/>
        <v>13.729240967901234</v>
      </c>
      <c r="AF226" s="9"/>
      <c r="AG226" s="21">
        <v>0.98770100000000005</v>
      </c>
      <c r="AH226" s="21">
        <v>20.355499999999999</v>
      </c>
      <c r="AI226" s="21">
        <v>-1.53137E-2</v>
      </c>
      <c r="AJ226" s="21">
        <v>216</v>
      </c>
      <c r="AK226" s="21">
        <v>0.98693799999999998</v>
      </c>
      <c r="AL226">
        <f t="shared" si="42"/>
        <v>18.9058024691358</v>
      </c>
      <c r="AM226">
        <f t="shared" si="43"/>
        <v>18.6732800045679</v>
      </c>
      <c r="AP226" s="9"/>
      <c r="AQ226" s="21">
        <v>0.71228000000000002</v>
      </c>
      <c r="AR226" s="21">
        <v>25.873100000000001</v>
      </c>
      <c r="AS226" s="21">
        <v>-1.5631099999999998E-2</v>
      </c>
      <c r="AT226" s="21">
        <v>216</v>
      </c>
      <c r="AU226" s="21">
        <v>0.71133400000000002</v>
      </c>
      <c r="AV226">
        <f t="shared" si="44"/>
        <v>19.29765432098765</v>
      </c>
      <c r="AW226">
        <f t="shared" si="45"/>
        <v>13.745333219753084</v>
      </c>
      <c r="AX226" s="9"/>
      <c r="AY226" s="21">
        <v>0.98770100000000005</v>
      </c>
      <c r="AZ226" s="21">
        <v>29.692299999999999</v>
      </c>
      <c r="BA226" s="21">
        <v>-1.5341199999999999E-2</v>
      </c>
      <c r="BB226" s="21">
        <v>216</v>
      </c>
      <c r="BC226" s="21">
        <v>0.98632799999999998</v>
      </c>
      <c r="BD226">
        <f t="shared" si="46"/>
        <v>18.939753086419749</v>
      </c>
      <c r="BE226">
        <f t="shared" si="47"/>
        <v>18.706813063209875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0.70724500000000001</v>
      </c>
      <c r="H227" s="21">
        <v>7.1677299999999997</v>
      </c>
      <c r="I227" s="21">
        <v>-1.5545700000000001E-2</v>
      </c>
      <c r="J227" s="21">
        <v>217</v>
      </c>
      <c r="K227" s="21">
        <v>0.70672599999999997</v>
      </c>
      <c r="L227">
        <f t="shared" si="36"/>
        <v>19.19222222222222</v>
      </c>
      <c r="M227">
        <f t="shared" si="37"/>
        <v>13.573603205555555</v>
      </c>
      <c r="N227" s="9"/>
      <c r="O227" s="21">
        <v>0.99273699999999998</v>
      </c>
      <c r="P227" s="21">
        <v>10.9869</v>
      </c>
      <c r="Q227" s="21">
        <v>-1.5240500000000001E-2</v>
      </c>
      <c r="R227" s="21">
        <v>217</v>
      </c>
      <c r="S227" s="21">
        <v>0.99151599999999995</v>
      </c>
      <c r="T227">
        <f t="shared" si="38"/>
        <v>18.815432098765431</v>
      </c>
      <c r="U227">
        <f t="shared" si="39"/>
        <v>18.678775615432098</v>
      </c>
      <c r="X227" s="9"/>
      <c r="Y227" s="21">
        <v>0.70724500000000001</v>
      </c>
      <c r="Z227" s="21">
        <v>16.546399999999998</v>
      </c>
      <c r="AA227" s="21">
        <v>-1.5621899999999999E-2</v>
      </c>
      <c r="AB227" s="21">
        <v>217</v>
      </c>
      <c r="AC227" s="21">
        <v>0.70651200000000003</v>
      </c>
      <c r="AD227">
        <f t="shared" si="40"/>
        <v>19.286296296296296</v>
      </c>
      <c r="AE227">
        <f t="shared" si="41"/>
        <v>13.640136624074074</v>
      </c>
      <c r="AF227" s="9"/>
      <c r="AG227" s="21">
        <v>0.99273699999999998</v>
      </c>
      <c r="AH227" s="21">
        <v>20.365600000000001</v>
      </c>
      <c r="AI227" s="21">
        <v>-1.5307599999999999E-2</v>
      </c>
      <c r="AJ227" s="21">
        <v>217</v>
      </c>
      <c r="AK227" s="21">
        <v>0.99182099999999995</v>
      </c>
      <c r="AL227">
        <f t="shared" si="42"/>
        <v>18.89827160493827</v>
      </c>
      <c r="AM227">
        <f t="shared" si="43"/>
        <v>18.761013458271602</v>
      </c>
      <c r="AP227" s="9"/>
      <c r="AQ227" s="21">
        <v>0.70724500000000001</v>
      </c>
      <c r="AR227" s="21">
        <v>25.883099999999999</v>
      </c>
      <c r="AS227" s="21">
        <v>-1.56372E-2</v>
      </c>
      <c r="AT227" s="21">
        <v>217</v>
      </c>
      <c r="AU227" s="21">
        <v>0.70654300000000003</v>
      </c>
      <c r="AV227">
        <f t="shared" si="44"/>
        <v>19.305185185185184</v>
      </c>
      <c r="AW227">
        <f t="shared" si="45"/>
        <v>13.653495696296297</v>
      </c>
      <c r="AX227" s="9"/>
      <c r="AY227" s="21">
        <v>0.99273699999999998</v>
      </c>
      <c r="AZ227" s="21">
        <v>29.702300000000001</v>
      </c>
      <c r="BA227" s="21">
        <v>-1.5335100000000001E-2</v>
      </c>
      <c r="BB227" s="21">
        <v>217</v>
      </c>
      <c r="BC227" s="21">
        <v>0.99151599999999995</v>
      </c>
      <c r="BD227">
        <f t="shared" si="46"/>
        <v>18.932222222222222</v>
      </c>
      <c r="BE227">
        <f t="shared" si="47"/>
        <v>18.794717492222222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0.70220899999999997</v>
      </c>
      <c r="H228" s="21">
        <v>7.1778000000000004</v>
      </c>
      <c r="I228" s="21">
        <v>-1.5551799999999999E-2</v>
      </c>
      <c r="J228" s="21">
        <v>218</v>
      </c>
      <c r="K228" s="21">
        <v>0.70162999999999998</v>
      </c>
      <c r="L228">
        <f t="shared" si="36"/>
        <v>19.199753086419751</v>
      </c>
      <c r="M228">
        <f t="shared" si="37"/>
        <v>13.482239415061727</v>
      </c>
      <c r="N228" s="9"/>
      <c r="O228" s="21">
        <v>0.99777199999999999</v>
      </c>
      <c r="P228" s="21">
        <v>10.997</v>
      </c>
      <c r="Q228" s="21">
        <v>-1.52374E-2</v>
      </c>
      <c r="R228" s="21">
        <v>218</v>
      </c>
      <c r="S228" s="21">
        <v>0.99639900000000003</v>
      </c>
      <c r="T228">
        <f t="shared" si="38"/>
        <v>18.811604938271604</v>
      </c>
      <c r="U228">
        <f t="shared" si="39"/>
        <v>18.769692682469135</v>
      </c>
      <c r="X228" s="9"/>
      <c r="Y228" s="21">
        <v>0.70220899999999997</v>
      </c>
      <c r="Z228" s="21">
        <v>16.5565</v>
      </c>
      <c r="AA228" s="21">
        <v>-1.5628099999999999E-2</v>
      </c>
      <c r="AB228" s="21">
        <v>218</v>
      </c>
      <c r="AC228" s="21">
        <v>0.701233</v>
      </c>
      <c r="AD228">
        <f t="shared" si="40"/>
        <v>19.293950617283947</v>
      </c>
      <c r="AE228">
        <f t="shared" si="41"/>
        <v>13.548385769012343</v>
      </c>
      <c r="AF228" s="9"/>
      <c r="AG228" s="21">
        <v>0.99777199999999999</v>
      </c>
      <c r="AH228" s="21">
        <v>20.375699999999998</v>
      </c>
      <c r="AI228" s="21">
        <v>-1.53046E-2</v>
      </c>
      <c r="AJ228" s="21">
        <v>218</v>
      </c>
      <c r="AK228" s="21">
        <v>0.99670400000000003</v>
      </c>
      <c r="AL228">
        <f t="shared" si="42"/>
        <v>18.894567901234566</v>
      </c>
      <c r="AM228">
        <f t="shared" si="43"/>
        <v>18.852470803950617</v>
      </c>
      <c r="AP228" s="9"/>
      <c r="AQ228" s="21">
        <v>0.70220899999999997</v>
      </c>
      <c r="AR228" s="21">
        <v>25.8932</v>
      </c>
      <c r="AS228" s="21">
        <v>-1.5643299999999999E-2</v>
      </c>
      <c r="AT228" s="21">
        <v>218</v>
      </c>
      <c r="AU228" s="21">
        <v>0.70162999999999998</v>
      </c>
      <c r="AV228">
        <f t="shared" si="44"/>
        <v>19.312716049382715</v>
      </c>
      <c r="AW228">
        <f t="shared" si="45"/>
        <v>13.561563024320986</v>
      </c>
      <c r="AX228" s="9"/>
      <c r="AY228" s="21">
        <v>0.99777199999999999</v>
      </c>
      <c r="AZ228" s="21">
        <v>29.712399999999999</v>
      </c>
      <c r="BA228" s="21">
        <v>-1.5329000000000001E-2</v>
      </c>
      <c r="BB228" s="21">
        <v>218</v>
      </c>
      <c r="BC228" s="21">
        <v>0.99639900000000003</v>
      </c>
      <c r="BD228">
        <f t="shared" si="46"/>
        <v>18.924691358024692</v>
      </c>
      <c r="BE228">
        <f t="shared" si="47"/>
        <v>18.882527145679013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0.69717399999999996</v>
      </c>
      <c r="H229" s="21">
        <v>7.1878700000000002</v>
      </c>
      <c r="I229" s="21">
        <v>-1.5554800000000001E-2</v>
      </c>
      <c r="J229" s="21">
        <v>219</v>
      </c>
      <c r="K229" s="21">
        <v>0.69625899999999996</v>
      </c>
      <c r="L229">
        <f t="shared" si="36"/>
        <v>19.203456790123457</v>
      </c>
      <c r="M229">
        <f t="shared" si="37"/>
        <v>13.388150784197531</v>
      </c>
      <c r="N229" s="9"/>
      <c r="O229" s="21">
        <v>1.00281</v>
      </c>
      <c r="P229" s="21">
        <v>11.007099999999999</v>
      </c>
      <c r="Q229" s="21">
        <v>-1.52313E-2</v>
      </c>
      <c r="R229" s="21">
        <v>219</v>
      </c>
      <c r="S229" s="21">
        <v>1.00159</v>
      </c>
      <c r="T229">
        <f t="shared" si="38"/>
        <v>18.804074074074073</v>
      </c>
      <c r="U229">
        <f t="shared" si="39"/>
        <v>18.856913522222222</v>
      </c>
      <c r="X229" s="9"/>
      <c r="Y229" s="21">
        <v>0.69717399999999996</v>
      </c>
      <c r="Z229" s="21">
        <v>16.566600000000001</v>
      </c>
      <c r="AA229" s="21">
        <v>-1.5631099999999998E-2</v>
      </c>
      <c r="AB229" s="21">
        <v>219</v>
      </c>
      <c r="AC229" s="21">
        <v>0.69635000000000002</v>
      </c>
      <c r="AD229">
        <f t="shared" si="40"/>
        <v>19.29765432098765</v>
      </c>
      <c r="AE229">
        <f t="shared" si="41"/>
        <v>13.453822853580244</v>
      </c>
      <c r="AF229" s="9"/>
      <c r="AG229" s="21">
        <v>1.00281</v>
      </c>
      <c r="AH229" s="21">
        <v>20.3858</v>
      </c>
      <c r="AI229" s="21">
        <v>-1.52985E-2</v>
      </c>
      <c r="AJ229" s="21">
        <v>219</v>
      </c>
      <c r="AK229" s="21">
        <v>1.00098</v>
      </c>
      <c r="AL229">
        <f t="shared" si="42"/>
        <v>18.887037037037036</v>
      </c>
      <c r="AM229">
        <f t="shared" si="43"/>
        <v>18.940109611111108</v>
      </c>
      <c r="AP229" s="9"/>
      <c r="AQ229" s="21">
        <v>0.69717399999999996</v>
      </c>
      <c r="AR229" s="21">
        <v>25.903300000000002</v>
      </c>
      <c r="AS229" s="21">
        <v>-1.5649400000000001E-2</v>
      </c>
      <c r="AT229" s="21">
        <v>219</v>
      </c>
      <c r="AU229" s="21">
        <v>0.696411</v>
      </c>
      <c r="AV229">
        <f t="shared" si="44"/>
        <v>19.320246913580245</v>
      </c>
      <c r="AW229">
        <f t="shared" si="45"/>
        <v>13.469573821728392</v>
      </c>
      <c r="AX229" s="9"/>
      <c r="AY229" s="21">
        <v>1.00281</v>
      </c>
      <c r="AZ229" s="21">
        <v>29.7225</v>
      </c>
      <c r="BA229" s="21">
        <v>-1.53259E-2</v>
      </c>
      <c r="BB229" s="21">
        <v>219</v>
      </c>
      <c r="BC229" s="21">
        <v>1.0012799999999999</v>
      </c>
      <c r="BD229">
        <f t="shared" si="46"/>
        <v>18.920864197530861</v>
      </c>
      <c r="BE229">
        <f t="shared" si="47"/>
        <v>18.974031825925923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0.69213899999999995</v>
      </c>
      <c r="H230" s="21">
        <v>7.19794</v>
      </c>
      <c r="I230" s="21">
        <v>-1.5560900000000001E-2</v>
      </c>
      <c r="J230" s="21">
        <v>220</v>
      </c>
      <c r="K230" s="21">
        <v>0.69162000000000001</v>
      </c>
      <c r="L230">
        <f t="shared" si="36"/>
        <v>19.210987654320988</v>
      </c>
      <c r="M230">
        <f t="shared" si="37"/>
        <v>13.296673784074073</v>
      </c>
      <c r="N230" s="9"/>
      <c r="O230" s="21">
        <v>1.0078400000000001</v>
      </c>
      <c r="P230" s="21">
        <v>11.017099999999999</v>
      </c>
      <c r="Q230" s="21">
        <v>-1.5225199999999999E-2</v>
      </c>
      <c r="R230" s="21">
        <v>220</v>
      </c>
      <c r="S230" s="21">
        <v>1.00647</v>
      </c>
      <c r="T230">
        <f t="shared" si="38"/>
        <v>18.796543209876543</v>
      </c>
      <c r="U230">
        <f t="shared" si="39"/>
        <v>18.943908108641978</v>
      </c>
      <c r="X230" s="9"/>
      <c r="Y230" s="21">
        <v>0.69213899999999995</v>
      </c>
      <c r="Z230" s="21">
        <v>16.576599999999999</v>
      </c>
      <c r="AA230" s="21">
        <v>-1.56372E-2</v>
      </c>
      <c r="AB230" s="21">
        <v>220</v>
      </c>
      <c r="AC230" s="21">
        <v>0.69152800000000003</v>
      </c>
      <c r="AD230">
        <f t="shared" si="40"/>
        <v>19.305185185185184</v>
      </c>
      <c r="AE230">
        <f t="shared" si="41"/>
        <v>13.361871568888887</v>
      </c>
      <c r="AF230" s="9"/>
      <c r="AG230" s="21">
        <v>1.0078400000000001</v>
      </c>
      <c r="AH230" s="21">
        <v>20.395800000000001</v>
      </c>
      <c r="AI230" s="21">
        <v>-1.5292399999999999E-2</v>
      </c>
      <c r="AJ230" s="21">
        <v>220</v>
      </c>
      <c r="AK230" s="21">
        <v>1.00708</v>
      </c>
      <c r="AL230">
        <f t="shared" si="42"/>
        <v>18.879506172839505</v>
      </c>
      <c r="AM230">
        <f t="shared" si="43"/>
        <v>19.027521501234567</v>
      </c>
      <c r="AP230" s="9"/>
      <c r="AQ230" s="21">
        <v>0.69213899999999995</v>
      </c>
      <c r="AR230" s="21">
        <v>25.913399999999999</v>
      </c>
      <c r="AS230" s="21">
        <v>-1.5658600000000002E-2</v>
      </c>
      <c r="AT230" s="21">
        <v>220</v>
      </c>
      <c r="AU230" s="21">
        <v>0.69097900000000001</v>
      </c>
      <c r="AV230">
        <f t="shared" si="44"/>
        <v>19.331604938271607</v>
      </c>
      <c r="AW230">
        <f t="shared" si="45"/>
        <v>13.380157710370371</v>
      </c>
      <c r="AX230" s="9"/>
      <c r="AY230" s="21">
        <v>1.0078400000000001</v>
      </c>
      <c r="AZ230" s="21">
        <v>29.732600000000001</v>
      </c>
      <c r="BA230" s="21">
        <v>-1.53198E-2</v>
      </c>
      <c r="BB230" s="21">
        <v>220</v>
      </c>
      <c r="BC230" s="21">
        <v>1.00708</v>
      </c>
      <c r="BD230">
        <f t="shared" si="46"/>
        <v>18.91333333333333</v>
      </c>
      <c r="BE230">
        <f t="shared" si="47"/>
        <v>19.061613866666665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0.68710300000000002</v>
      </c>
      <c r="H231" s="21">
        <v>7.2080099999999998</v>
      </c>
      <c r="I231" s="21">
        <v>-1.5566999999999999E-2</v>
      </c>
      <c r="J231" s="21">
        <v>221</v>
      </c>
      <c r="K231" s="21">
        <v>0.68643200000000004</v>
      </c>
      <c r="L231">
        <f t="shared" si="36"/>
        <v>19.218518518518518</v>
      </c>
      <c r="M231">
        <f t="shared" si="37"/>
        <v>13.20510172962963</v>
      </c>
      <c r="N231" s="9"/>
      <c r="O231" s="21">
        <v>1.01288</v>
      </c>
      <c r="P231" s="21">
        <v>11.027200000000001</v>
      </c>
      <c r="Q231" s="21">
        <v>-1.5219099999999999E-2</v>
      </c>
      <c r="R231" s="21">
        <v>221</v>
      </c>
      <c r="S231" s="21">
        <v>1.01196</v>
      </c>
      <c r="T231">
        <f t="shared" si="38"/>
        <v>18.789012345679012</v>
      </c>
      <c r="U231">
        <f t="shared" si="39"/>
        <v>19.031014824691358</v>
      </c>
      <c r="X231" s="9"/>
      <c r="Y231" s="21">
        <v>0.68710300000000002</v>
      </c>
      <c r="Z231" s="21">
        <v>16.5867</v>
      </c>
      <c r="AA231" s="21">
        <v>-1.5640299999999999E-2</v>
      </c>
      <c r="AB231" s="21">
        <v>221</v>
      </c>
      <c r="AC231" s="21">
        <v>0.68621799999999999</v>
      </c>
      <c r="AD231">
        <f t="shared" si="40"/>
        <v>19.309012345679012</v>
      </c>
      <c r="AE231">
        <f t="shared" si="41"/>
        <v>13.267280309753087</v>
      </c>
      <c r="AF231" s="9"/>
      <c r="AG231" s="21">
        <v>1.01288</v>
      </c>
      <c r="AH231" s="21">
        <v>20.405899999999999</v>
      </c>
      <c r="AI231" s="21">
        <v>-1.5286299999999999E-2</v>
      </c>
      <c r="AJ231" s="21">
        <v>221</v>
      </c>
      <c r="AK231" s="21">
        <v>1.01196</v>
      </c>
      <c r="AL231">
        <f t="shared" si="42"/>
        <v>18.871975308641971</v>
      </c>
      <c r="AM231">
        <f t="shared" si="43"/>
        <v>19.115046350617281</v>
      </c>
      <c r="AP231" s="9"/>
      <c r="AQ231" s="21">
        <v>0.68710300000000002</v>
      </c>
      <c r="AR231" s="21">
        <v>25.923400000000001</v>
      </c>
      <c r="AS231" s="21">
        <v>-1.56647E-2</v>
      </c>
      <c r="AT231" s="21">
        <v>221</v>
      </c>
      <c r="AU231" s="21">
        <v>0.68637099999999995</v>
      </c>
      <c r="AV231">
        <f t="shared" si="44"/>
        <v>19.339135802469134</v>
      </c>
      <c r="AW231">
        <f t="shared" si="45"/>
        <v>13.287978227283949</v>
      </c>
      <c r="AX231" s="9"/>
      <c r="AY231" s="21">
        <v>1.01288</v>
      </c>
      <c r="AZ231" s="21">
        <v>29.742599999999999</v>
      </c>
      <c r="BA231" s="21">
        <v>-1.53137E-2</v>
      </c>
      <c r="BB231" s="21">
        <v>221</v>
      </c>
      <c r="BC231" s="21">
        <v>1.01135</v>
      </c>
      <c r="BD231">
        <f t="shared" si="46"/>
        <v>18.9058024691358</v>
      </c>
      <c r="BE231">
        <f t="shared" si="47"/>
        <v>19.14930920493827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0.68206800000000001</v>
      </c>
      <c r="H232" s="21">
        <v>7.2180799999999996</v>
      </c>
      <c r="I232" s="21">
        <v>-1.5573099999999999E-2</v>
      </c>
      <c r="J232" s="21">
        <v>222</v>
      </c>
      <c r="K232" s="21">
        <v>0.68130500000000005</v>
      </c>
      <c r="L232">
        <f t="shared" si="36"/>
        <v>19.226049382716049</v>
      </c>
      <c r="M232">
        <f t="shared" si="37"/>
        <v>13.11347305037037</v>
      </c>
      <c r="N232" s="9"/>
      <c r="O232" s="21">
        <v>1.0179100000000001</v>
      </c>
      <c r="P232" s="21">
        <v>11.0373</v>
      </c>
      <c r="Q232" s="21">
        <v>-1.5213000000000001E-2</v>
      </c>
      <c r="R232" s="21">
        <v>222</v>
      </c>
      <c r="S232" s="21">
        <v>1.01654</v>
      </c>
      <c r="T232">
        <f t="shared" si="38"/>
        <v>18.781481481481482</v>
      </c>
      <c r="U232">
        <f t="shared" si="39"/>
        <v>19.117857814814815</v>
      </c>
      <c r="X232" s="9"/>
      <c r="Y232" s="21">
        <v>0.68206800000000001</v>
      </c>
      <c r="Z232" s="21">
        <v>16.596800000000002</v>
      </c>
      <c r="AA232" s="21">
        <v>-1.5649400000000001E-2</v>
      </c>
      <c r="AB232" s="21">
        <v>222</v>
      </c>
      <c r="AC232" s="21">
        <v>0.68115199999999998</v>
      </c>
      <c r="AD232">
        <f t="shared" si="40"/>
        <v>19.320246913580245</v>
      </c>
      <c r="AE232">
        <f t="shared" si="41"/>
        <v>13.177722171851851</v>
      </c>
      <c r="AF232" s="9"/>
      <c r="AG232" s="21">
        <v>1.0179100000000001</v>
      </c>
      <c r="AH232" s="21">
        <v>20.416</v>
      </c>
      <c r="AI232" s="21">
        <v>-1.5280200000000001E-2</v>
      </c>
      <c r="AJ232" s="21">
        <v>222</v>
      </c>
      <c r="AK232" s="21">
        <v>1.01685</v>
      </c>
      <c r="AL232">
        <f t="shared" si="42"/>
        <v>18.864444444444445</v>
      </c>
      <c r="AM232">
        <f t="shared" si="43"/>
        <v>19.202306644444445</v>
      </c>
      <c r="AP232" s="9"/>
      <c r="AQ232" s="21">
        <v>0.68206800000000001</v>
      </c>
      <c r="AR232" s="21">
        <v>25.933499999999999</v>
      </c>
      <c r="AS232" s="21">
        <v>-1.56677E-2</v>
      </c>
      <c r="AT232" s="21">
        <v>222</v>
      </c>
      <c r="AU232" s="21">
        <v>0.68130500000000005</v>
      </c>
      <c r="AV232">
        <f t="shared" si="44"/>
        <v>19.342839506172837</v>
      </c>
      <c r="AW232">
        <f t="shared" si="45"/>
        <v>13.193131856296295</v>
      </c>
      <c r="AX232" s="9"/>
      <c r="AY232" s="21">
        <v>1.0179100000000001</v>
      </c>
      <c r="AZ232" s="21">
        <v>29.752700000000001</v>
      </c>
      <c r="BA232" s="21">
        <v>-1.5307599999999999E-2</v>
      </c>
      <c r="BB232" s="21">
        <v>222</v>
      </c>
      <c r="BC232" s="21">
        <v>1.01654</v>
      </c>
      <c r="BD232">
        <f t="shared" si="46"/>
        <v>18.89827160493827</v>
      </c>
      <c r="BE232">
        <f t="shared" si="47"/>
        <v>19.236739649382717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0.67703199999999997</v>
      </c>
      <c r="H233" s="21">
        <v>7.2281500000000003</v>
      </c>
      <c r="I233" s="21">
        <v>-1.55792E-2</v>
      </c>
      <c r="J233" s="21">
        <v>223</v>
      </c>
      <c r="K233" s="21">
        <v>0.67614700000000005</v>
      </c>
      <c r="L233">
        <f t="shared" si="36"/>
        <v>19.233580246913579</v>
      </c>
      <c r="M233">
        <f t="shared" si="37"/>
        <v>13.021749301728393</v>
      </c>
      <c r="N233" s="9"/>
      <c r="O233" s="21">
        <v>1.02295</v>
      </c>
      <c r="P233" s="21">
        <v>11.0473</v>
      </c>
      <c r="Q233" s="21">
        <v>-1.5206900000000001E-2</v>
      </c>
      <c r="R233" s="21">
        <v>223</v>
      </c>
      <c r="S233" s="21">
        <v>1.02203</v>
      </c>
      <c r="T233">
        <f t="shared" si="38"/>
        <v>18.773950617283951</v>
      </c>
      <c r="U233">
        <f t="shared" si="39"/>
        <v>19.204812783950619</v>
      </c>
      <c r="X233" s="9"/>
      <c r="Y233" s="21">
        <v>0.67703199999999997</v>
      </c>
      <c r="Z233" s="21">
        <v>16.6068</v>
      </c>
      <c r="AA233" s="21">
        <v>-1.5655499999999999E-2</v>
      </c>
      <c r="AB233" s="21">
        <v>223</v>
      </c>
      <c r="AC233" s="21">
        <v>0.67623900000000003</v>
      </c>
      <c r="AD233">
        <f t="shared" si="40"/>
        <v>19.327777777777776</v>
      </c>
      <c r="AE233">
        <f t="shared" si="41"/>
        <v>13.085524044444442</v>
      </c>
      <c r="AF233" s="9"/>
      <c r="AG233" s="21">
        <v>1.02295</v>
      </c>
      <c r="AH233" s="21">
        <v>20.425999999999998</v>
      </c>
      <c r="AI233" s="21">
        <v>-1.5273999999999999E-2</v>
      </c>
      <c r="AJ233" s="21">
        <v>223</v>
      </c>
      <c r="AK233" s="21">
        <v>1.02142</v>
      </c>
      <c r="AL233">
        <f t="shared" si="42"/>
        <v>18.85679012345679</v>
      </c>
      <c r="AM233">
        <f t="shared" si="43"/>
        <v>19.289553456790124</v>
      </c>
      <c r="AP233" s="9"/>
      <c r="AQ233" s="21">
        <v>0.67703199999999997</v>
      </c>
      <c r="AR233" s="21">
        <v>25.9436</v>
      </c>
      <c r="AS233" s="21">
        <v>-1.5673800000000002E-2</v>
      </c>
      <c r="AT233" s="21">
        <v>223</v>
      </c>
      <c r="AU233" s="21">
        <v>0.67642199999999997</v>
      </c>
      <c r="AV233">
        <f t="shared" si="44"/>
        <v>19.350370370370371</v>
      </c>
      <c r="AW233">
        <f t="shared" si="45"/>
        <v>13.100819952592593</v>
      </c>
      <c r="AX233" s="9"/>
      <c r="AY233" s="21">
        <v>1.02295</v>
      </c>
      <c r="AZ233" s="21">
        <v>29.762799999999999</v>
      </c>
      <c r="BA233" s="21">
        <v>-1.5301500000000001E-2</v>
      </c>
      <c r="BB233" s="21">
        <v>223</v>
      </c>
      <c r="BC233" s="21">
        <v>1.02203</v>
      </c>
      <c r="BD233">
        <f t="shared" si="46"/>
        <v>18.890740740740739</v>
      </c>
      <c r="BE233">
        <f t="shared" si="47"/>
        <v>19.324283240740741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0.67199699999999996</v>
      </c>
      <c r="H234" s="21">
        <v>7.2382200000000001</v>
      </c>
      <c r="I234" s="21">
        <v>-1.55853E-2</v>
      </c>
      <c r="J234" s="21">
        <v>224</v>
      </c>
      <c r="K234" s="21">
        <v>0.67138699999999996</v>
      </c>
      <c r="L234">
        <f t="shared" si="36"/>
        <v>19.24111111111111</v>
      </c>
      <c r="M234">
        <f t="shared" si="37"/>
        <v>12.929968943333332</v>
      </c>
      <c r="N234" s="9"/>
      <c r="O234" s="21">
        <v>1.0279799999999999</v>
      </c>
      <c r="P234" s="21">
        <v>11.057399999999999</v>
      </c>
      <c r="Q234" s="21">
        <v>-1.52008E-2</v>
      </c>
      <c r="R234" s="21">
        <v>224</v>
      </c>
      <c r="S234" s="21">
        <v>1.0269200000000001</v>
      </c>
      <c r="T234">
        <f t="shared" si="38"/>
        <v>18.766419753086421</v>
      </c>
      <c r="U234">
        <f t="shared" si="39"/>
        <v>19.291504177777778</v>
      </c>
      <c r="X234" s="9"/>
      <c r="Y234" s="21">
        <v>0.67199699999999996</v>
      </c>
      <c r="Z234" s="21">
        <v>16.616900000000001</v>
      </c>
      <c r="AA234" s="21">
        <v>-1.5658600000000002E-2</v>
      </c>
      <c r="AB234" s="21">
        <v>224</v>
      </c>
      <c r="AC234" s="21">
        <v>0.671265</v>
      </c>
      <c r="AD234">
        <f t="shared" si="40"/>
        <v>19.331604938271607</v>
      </c>
      <c r="AE234">
        <f t="shared" si="41"/>
        <v>12.990780523703704</v>
      </c>
      <c r="AF234" s="9"/>
      <c r="AG234" s="21">
        <v>1.0279799999999999</v>
      </c>
      <c r="AH234" s="21">
        <v>20.4361</v>
      </c>
      <c r="AI234" s="21">
        <v>-1.5271E-2</v>
      </c>
      <c r="AJ234" s="21">
        <v>224</v>
      </c>
      <c r="AK234" s="21">
        <v>1.0269200000000001</v>
      </c>
      <c r="AL234">
        <f t="shared" si="42"/>
        <v>18.853086419753083</v>
      </c>
      <c r="AM234">
        <f t="shared" si="43"/>
        <v>19.380595777777774</v>
      </c>
      <c r="AP234" s="9"/>
      <c r="AQ234" s="21">
        <v>0.67199699999999996</v>
      </c>
      <c r="AR234" s="21">
        <v>25.953600000000002</v>
      </c>
      <c r="AS234" s="21">
        <v>-1.56799E-2</v>
      </c>
      <c r="AT234" s="21">
        <v>224</v>
      </c>
      <c r="AU234" s="21">
        <v>0.67138699999999996</v>
      </c>
      <c r="AV234">
        <f t="shared" si="44"/>
        <v>19.357901234567901</v>
      </c>
      <c r="AW234">
        <f t="shared" si="45"/>
        <v>13.008451555925925</v>
      </c>
      <c r="AX234" s="9"/>
      <c r="AY234" s="21">
        <v>1.0279799999999999</v>
      </c>
      <c r="AZ234" s="21">
        <v>29.7728</v>
      </c>
      <c r="BA234" s="21">
        <v>-1.5295400000000001E-2</v>
      </c>
      <c r="BB234" s="21">
        <v>224</v>
      </c>
      <c r="BC234" s="21">
        <v>1.0269200000000001</v>
      </c>
      <c r="BD234">
        <f t="shared" si="46"/>
        <v>18.883209876543212</v>
      </c>
      <c r="BE234">
        <f t="shared" si="47"/>
        <v>19.411562088888889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0.66696200000000005</v>
      </c>
      <c r="H235" s="21">
        <v>7.2482899999999999</v>
      </c>
      <c r="I235" s="21">
        <v>-1.55914E-2</v>
      </c>
      <c r="J235" s="21">
        <v>225</v>
      </c>
      <c r="K235" s="21">
        <v>0.666412</v>
      </c>
      <c r="L235">
        <f t="shared" si="36"/>
        <v>19.24864197530864</v>
      </c>
      <c r="M235">
        <f t="shared" si="37"/>
        <v>12.838112749135803</v>
      </c>
      <c r="N235" s="9"/>
      <c r="O235" s="21">
        <v>1.03302</v>
      </c>
      <c r="P235" s="21">
        <v>11.067500000000001</v>
      </c>
      <c r="Q235" s="21">
        <v>-1.51947E-2</v>
      </c>
      <c r="R235" s="21">
        <v>225</v>
      </c>
      <c r="S235" s="21">
        <v>1.0321</v>
      </c>
      <c r="T235">
        <f t="shared" si="38"/>
        <v>18.758888888888887</v>
      </c>
      <c r="U235">
        <f t="shared" si="39"/>
        <v>19.378307399999997</v>
      </c>
      <c r="X235" s="9"/>
      <c r="Y235" s="21">
        <v>0.66696200000000005</v>
      </c>
      <c r="Z235" s="21">
        <v>16.626999999999999</v>
      </c>
      <c r="AA235" s="21">
        <v>-1.56647E-2</v>
      </c>
      <c r="AB235" s="21">
        <v>225</v>
      </c>
      <c r="AC235" s="21">
        <v>0.66632100000000005</v>
      </c>
      <c r="AD235">
        <f t="shared" si="40"/>
        <v>19.339135802469134</v>
      </c>
      <c r="AE235">
        <f t="shared" si="41"/>
        <v>12.89846869308642</v>
      </c>
      <c r="AF235" s="9"/>
      <c r="AG235" s="21">
        <v>1.03302</v>
      </c>
      <c r="AH235" s="21">
        <v>20.446200000000001</v>
      </c>
      <c r="AI235" s="21">
        <v>-1.5267899999999999E-2</v>
      </c>
      <c r="AJ235" s="21">
        <v>225</v>
      </c>
      <c r="AK235" s="21">
        <v>1.0321</v>
      </c>
      <c r="AL235">
        <f t="shared" si="42"/>
        <v>18.849259259259256</v>
      </c>
      <c r="AM235">
        <f t="shared" si="43"/>
        <v>19.471661799999996</v>
      </c>
      <c r="AP235" s="9"/>
      <c r="AQ235" s="21">
        <v>0.66696200000000005</v>
      </c>
      <c r="AR235" s="21">
        <v>25.963699999999999</v>
      </c>
      <c r="AS235" s="21">
        <v>-1.5682999999999999E-2</v>
      </c>
      <c r="AT235" s="21">
        <v>225</v>
      </c>
      <c r="AU235" s="21">
        <v>0.66625999999999996</v>
      </c>
      <c r="AV235">
        <f t="shared" si="44"/>
        <v>19.361728395061725</v>
      </c>
      <c r="AW235">
        <f t="shared" si="45"/>
        <v>12.913537093827159</v>
      </c>
      <c r="AX235" s="9"/>
      <c r="AY235" s="21">
        <v>1.03302</v>
      </c>
      <c r="AZ235" s="21">
        <v>29.782900000000001</v>
      </c>
      <c r="BA235" s="21">
        <v>-1.5286299999999999E-2</v>
      </c>
      <c r="BB235" s="21">
        <v>225</v>
      </c>
      <c r="BC235" s="21">
        <v>1.0321</v>
      </c>
      <c r="BD235">
        <f t="shared" si="46"/>
        <v>18.871975308641971</v>
      </c>
      <c r="BE235">
        <f t="shared" si="47"/>
        <v>19.495127933333329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0.66192600000000001</v>
      </c>
      <c r="H236" s="21">
        <v>7.2583700000000002</v>
      </c>
      <c r="I236" s="21">
        <v>-1.5594500000000001E-2</v>
      </c>
      <c r="J236" s="21">
        <v>226</v>
      </c>
      <c r="K236" s="21">
        <v>0.66122400000000003</v>
      </c>
      <c r="L236">
        <f t="shared" si="36"/>
        <v>19.252469135802468</v>
      </c>
      <c r="M236">
        <f t="shared" si="37"/>
        <v>12.743709885185185</v>
      </c>
      <c r="N236" s="9"/>
      <c r="O236" s="21">
        <v>1.03806</v>
      </c>
      <c r="P236" s="21">
        <v>11.0776</v>
      </c>
      <c r="Q236" s="21">
        <v>-1.51886E-2</v>
      </c>
      <c r="R236" s="21">
        <v>226</v>
      </c>
      <c r="S236" s="21">
        <v>1.0369900000000001</v>
      </c>
      <c r="T236">
        <f t="shared" si="38"/>
        <v>18.751358024691356</v>
      </c>
      <c r="U236">
        <f t="shared" si="39"/>
        <v>19.465034711111109</v>
      </c>
      <c r="X236" s="9"/>
      <c r="Y236" s="21">
        <v>0.66192600000000001</v>
      </c>
      <c r="Z236" s="21">
        <v>16.6371</v>
      </c>
      <c r="AA236" s="21">
        <v>-1.5673800000000002E-2</v>
      </c>
      <c r="AB236" s="21">
        <v>226</v>
      </c>
      <c r="AC236" s="21">
        <v>0.66116299999999995</v>
      </c>
      <c r="AD236">
        <f t="shared" si="40"/>
        <v>19.350370370370371</v>
      </c>
      <c r="AE236">
        <f t="shared" si="41"/>
        <v>12.808513257777777</v>
      </c>
      <c r="AF236" s="9"/>
      <c r="AG236" s="21">
        <v>1.03806</v>
      </c>
      <c r="AH236" s="21">
        <v>20.456299999999999</v>
      </c>
      <c r="AI236" s="21">
        <v>-1.5261800000000001E-2</v>
      </c>
      <c r="AJ236" s="21">
        <v>226</v>
      </c>
      <c r="AK236" s="21">
        <v>1.0369900000000001</v>
      </c>
      <c r="AL236">
        <f t="shared" si="42"/>
        <v>18.841728395061729</v>
      </c>
      <c r="AM236">
        <f t="shared" si="43"/>
        <v>19.558844577777776</v>
      </c>
      <c r="AP236" s="9"/>
      <c r="AQ236" s="21">
        <v>0.66192600000000001</v>
      </c>
      <c r="AR236" s="21">
        <v>25.973800000000001</v>
      </c>
      <c r="AS236" s="21">
        <v>-1.56921E-2</v>
      </c>
      <c r="AT236" s="21">
        <v>226</v>
      </c>
      <c r="AU236" s="21">
        <v>0.66217000000000004</v>
      </c>
      <c r="AV236">
        <f t="shared" si="44"/>
        <v>19.372962962962962</v>
      </c>
      <c r="AW236">
        <f t="shared" si="45"/>
        <v>12.823467882222221</v>
      </c>
      <c r="AX236" s="9"/>
      <c r="AY236" s="21">
        <v>1.03806</v>
      </c>
      <c r="AZ236" s="21">
        <v>29.792999999999999</v>
      </c>
      <c r="BA236" s="21">
        <v>-1.52832E-2</v>
      </c>
      <c r="BB236" s="21">
        <v>226</v>
      </c>
      <c r="BC236" s="21">
        <v>1.03729</v>
      </c>
      <c r="BD236">
        <f t="shared" si="46"/>
        <v>18.868148148148148</v>
      </c>
      <c r="BE236">
        <f t="shared" si="47"/>
        <v>19.586269866666665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0.656891</v>
      </c>
      <c r="H237" s="21">
        <v>7.26844</v>
      </c>
      <c r="I237" s="21">
        <v>-1.5600599999999999E-2</v>
      </c>
      <c r="J237" s="21">
        <v>227</v>
      </c>
      <c r="K237" s="21">
        <v>0.65603599999999995</v>
      </c>
      <c r="L237">
        <f t="shared" si="36"/>
        <v>19.259999999999998</v>
      </c>
      <c r="M237">
        <f t="shared" si="37"/>
        <v>12.651720659999999</v>
      </c>
      <c r="N237" s="9"/>
      <c r="O237" s="21">
        <v>1.0430900000000001</v>
      </c>
      <c r="P237" s="21">
        <v>11.0876</v>
      </c>
      <c r="Q237" s="21">
        <v>-1.51825E-2</v>
      </c>
      <c r="R237" s="21">
        <v>227</v>
      </c>
      <c r="S237" s="21">
        <v>1.0418700000000001</v>
      </c>
      <c r="T237">
        <f t="shared" si="38"/>
        <v>18.743827160493826</v>
      </c>
      <c r="U237">
        <f t="shared" si="39"/>
        <v>19.551498672839507</v>
      </c>
      <c r="X237" s="9"/>
      <c r="Y237" s="21">
        <v>0.656891</v>
      </c>
      <c r="Z237" s="21">
        <v>16.647099999999998</v>
      </c>
      <c r="AA237" s="21">
        <v>-1.56799E-2</v>
      </c>
      <c r="AB237" s="21">
        <v>227</v>
      </c>
      <c r="AC237" s="21">
        <v>0.656219</v>
      </c>
      <c r="AD237">
        <f t="shared" si="40"/>
        <v>19.357901234567901</v>
      </c>
      <c r="AE237">
        <f t="shared" si="41"/>
        <v>12.716031099876544</v>
      </c>
      <c r="AF237" s="9"/>
      <c r="AG237" s="21">
        <v>1.0430900000000001</v>
      </c>
      <c r="AH237" s="21">
        <v>20.4663</v>
      </c>
      <c r="AI237" s="21">
        <v>-1.5255700000000001E-2</v>
      </c>
      <c r="AJ237" s="21">
        <v>227</v>
      </c>
      <c r="AK237" s="21">
        <v>1.0424800000000001</v>
      </c>
      <c r="AL237">
        <f t="shared" si="42"/>
        <v>18.834197530864198</v>
      </c>
      <c r="AM237">
        <f t="shared" si="43"/>
        <v>19.645763102469139</v>
      </c>
      <c r="AP237" s="9"/>
      <c r="AQ237" s="21">
        <v>0.656891</v>
      </c>
      <c r="AR237" s="21">
        <v>25.983899999999998</v>
      </c>
      <c r="AS237" s="21">
        <v>-1.5698199999999999E-2</v>
      </c>
      <c r="AT237" s="21">
        <v>227</v>
      </c>
      <c r="AU237" s="21">
        <v>0.65625</v>
      </c>
      <c r="AV237">
        <f t="shared" si="44"/>
        <v>19.380493827160493</v>
      </c>
      <c r="AW237">
        <f t="shared" si="45"/>
        <v>12.730871970617283</v>
      </c>
      <c r="AX237" s="9"/>
      <c r="AY237" s="21">
        <v>1.0430900000000001</v>
      </c>
      <c r="AZ237" s="21">
        <v>29.803000000000001</v>
      </c>
      <c r="BA237" s="21">
        <v>-1.52771E-2</v>
      </c>
      <c r="BB237" s="21">
        <v>227</v>
      </c>
      <c r="BC237" s="21">
        <v>1.0421800000000001</v>
      </c>
      <c r="BD237">
        <f t="shared" si="46"/>
        <v>18.860617283950617</v>
      </c>
      <c r="BE237">
        <f t="shared" si="47"/>
        <v>19.673321282716049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0.65185499999999996</v>
      </c>
      <c r="H238" s="21">
        <v>7.2785099999999998</v>
      </c>
      <c r="I238" s="21">
        <v>-1.5606699999999999E-2</v>
      </c>
      <c r="J238" s="21">
        <v>228</v>
      </c>
      <c r="K238" s="21">
        <v>0.65109300000000003</v>
      </c>
      <c r="L238">
        <f t="shared" si="36"/>
        <v>19.267530864197528</v>
      </c>
      <c r="M238">
        <f t="shared" si="37"/>
        <v>12.55963633148148</v>
      </c>
      <c r="N238" s="9"/>
      <c r="O238" s="21">
        <v>1.04813</v>
      </c>
      <c r="P238" s="21">
        <v>11.0977</v>
      </c>
      <c r="Q238" s="21">
        <v>-1.5179399999999999E-2</v>
      </c>
      <c r="R238" s="21">
        <v>228</v>
      </c>
      <c r="S238" s="21">
        <v>1.0467500000000001</v>
      </c>
      <c r="T238">
        <f t="shared" si="38"/>
        <v>18.739999999999995</v>
      </c>
      <c r="U238">
        <f t="shared" si="39"/>
        <v>19.641956199999996</v>
      </c>
      <c r="X238" s="9"/>
      <c r="Y238" s="21">
        <v>0.65185499999999996</v>
      </c>
      <c r="Z238" s="21">
        <v>16.6572</v>
      </c>
      <c r="AA238" s="21">
        <v>-1.5685999999999999E-2</v>
      </c>
      <c r="AB238" s="21">
        <v>228</v>
      </c>
      <c r="AC238" s="21">
        <v>0.65090899999999996</v>
      </c>
      <c r="AD238">
        <f t="shared" si="40"/>
        <v>19.365432098765428</v>
      </c>
      <c r="AE238">
        <f t="shared" si="41"/>
        <v>12.623453740740738</v>
      </c>
      <c r="AF238" s="9"/>
      <c r="AG238" s="21">
        <v>1.04813</v>
      </c>
      <c r="AH238" s="21">
        <v>20.476400000000002</v>
      </c>
      <c r="AI238" s="21">
        <v>-1.52496E-2</v>
      </c>
      <c r="AJ238" s="21">
        <v>228</v>
      </c>
      <c r="AK238" s="21">
        <v>1.0470600000000001</v>
      </c>
      <c r="AL238">
        <f t="shared" si="42"/>
        <v>18.826666666666664</v>
      </c>
      <c r="AM238">
        <f t="shared" si="43"/>
        <v>19.732794133333332</v>
      </c>
      <c r="AP238" s="9"/>
      <c r="AQ238" s="21">
        <v>0.65185499999999996</v>
      </c>
      <c r="AR238" s="21">
        <v>25.9939</v>
      </c>
      <c r="AS238" s="21">
        <v>-1.5701300000000001E-2</v>
      </c>
      <c r="AT238" s="21">
        <v>228</v>
      </c>
      <c r="AU238" s="21">
        <v>0.65100100000000005</v>
      </c>
      <c r="AV238">
        <f t="shared" si="44"/>
        <v>19.384320987654323</v>
      </c>
      <c r="AW238">
        <f t="shared" si="45"/>
        <v>12.635766557407408</v>
      </c>
      <c r="AX238" s="9"/>
      <c r="AY238" s="21">
        <v>1.04813</v>
      </c>
      <c r="AZ238" s="21">
        <v>29.813099999999999</v>
      </c>
      <c r="BA238" s="21">
        <v>-1.5273999999999999E-2</v>
      </c>
      <c r="BB238" s="21">
        <v>228</v>
      </c>
      <c r="BC238" s="21">
        <v>1.0470600000000001</v>
      </c>
      <c r="BD238">
        <f t="shared" si="46"/>
        <v>18.85679012345679</v>
      </c>
      <c r="BE238">
        <f t="shared" si="47"/>
        <v>19.764367432098766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0.64681999999999995</v>
      </c>
      <c r="H239" s="21">
        <v>7.2885799999999996</v>
      </c>
      <c r="I239" s="21">
        <v>-1.56128E-2</v>
      </c>
      <c r="J239" s="21">
        <v>229</v>
      </c>
      <c r="K239" s="21">
        <v>0.64590499999999995</v>
      </c>
      <c r="L239">
        <f t="shared" si="36"/>
        <v>19.275061728395059</v>
      </c>
      <c r="M239">
        <f t="shared" si="37"/>
        <v>12.467495427160491</v>
      </c>
      <c r="N239" s="9"/>
      <c r="O239" s="21">
        <v>1.0531600000000001</v>
      </c>
      <c r="P239" s="21">
        <v>11.107799999999999</v>
      </c>
      <c r="Q239" s="21">
        <v>-1.5170299999999999E-2</v>
      </c>
      <c r="R239" s="21">
        <v>229</v>
      </c>
      <c r="S239" s="21">
        <v>1.0519400000000001</v>
      </c>
      <c r="T239">
        <f t="shared" si="38"/>
        <v>18.728765432098765</v>
      </c>
      <c r="U239">
        <f t="shared" si="39"/>
        <v>19.724386602469139</v>
      </c>
      <c r="X239" s="9"/>
      <c r="Y239" s="21">
        <v>0.64681999999999995</v>
      </c>
      <c r="Z239" s="21">
        <v>16.667300000000001</v>
      </c>
      <c r="AA239" s="21">
        <v>-1.5689100000000001E-2</v>
      </c>
      <c r="AB239" s="21">
        <v>229</v>
      </c>
      <c r="AC239" s="21">
        <v>0.64636199999999999</v>
      </c>
      <c r="AD239">
        <f t="shared" si="40"/>
        <v>19.369259259259259</v>
      </c>
      <c r="AE239">
        <f t="shared" si="41"/>
        <v>12.528424274074073</v>
      </c>
      <c r="AF239" s="9"/>
      <c r="AG239" s="21">
        <v>1.0531600000000001</v>
      </c>
      <c r="AH239" s="21">
        <v>20.486499999999999</v>
      </c>
      <c r="AI239" s="21">
        <v>-1.5240500000000001E-2</v>
      </c>
      <c r="AJ239" s="21">
        <v>229</v>
      </c>
      <c r="AK239" s="21">
        <v>1.0519400000000001</v>
      </c>
      <c r="AL239">
        <f t="shared" si="42"/>
        <v>18.815432098765431</v>
      </c>
      <c r="AM239">
        <f t="shared" si="43"/>
        <v>19.815660469135803</v>
      </c>
      <c r="AP239" s="9"/>
      <c r="AQ239" s="21">
        <v>0.64681999999999995</v>
      </c>
      <c r="AR239" s="21">
        <v>26.004000000000001</v>
      </c>
      <c r="AS239" s="21">
        <v>-1.57074E-2</v>
      </c>
      <c r="AT239" s="21">
        <v>229</v>
      </c>
      <c r="AU239" s="21">
        <v>0.64599600000000001</v>
      </c>
      <c r="AV239">
        <f t="shared" si="44"/>
        <v>19.39185185185185</v>
      </c>
      <c r="AW239">
        <f t="shared" si="45"/>
        <v>12.543037614814812</v>
      </c>
      <c r="AX239" s="9"/>
      <c r="AY239" s="21">
        <v>1.0531600000000001</v>
      </c>
      <c r="AZ239" s="21">
        <v>29.8232</v>
      </c>
      <c r="BA239" s="21">
        <v>-1.5267899999999999E-2</v>
      </c>
      <c r="BB239" s="21">
        <v>229</v>
      </c>
      <c r="BC239" s="21">
        <v>1.0519400000000001</v>
      </c>
      <c r="BD239">
        <f t="shared" si="46"/>
        <v>18.849259259259256</v>
      </c>
      <c r="BE239">
        <f t="shared" si="47"/>
        <v>19.851285881481481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0.64178500000000005</v>
      </c>
      <c r="H240" s="21">
        <v>7.2986500000000003</v>
      </c>
      <c r="I240" s="21">
        <v>-1.56189E-2</v>
      </c>
      <c r="J240" s="21">
        <v>230</v>
      </c>
      <c r="K240" s="21">
        <v>0.64102199999999998</v>
      </c>
      <c r="L240">
        <f t="shared" si="36"/>
        <v>19.282592592592589</v>
      </c>
      <c r="M240">
        <f t="shared" si="37"/>
        <v>12.375278687037037</v>
      </c>
      <c r="N240" s="9"/>
      <c r="O240" s="21">
        <v>1.0582</v>
      </c>
      <c r="P240" s="21">
        <v>11.117800000000001</v>
      </c>
      <c r="Q240" s="21">
        <v>-1.5164199999999999E-2</v>
      </c>
      <c r="R240" s="21">
        <v>230</v>
      </c>
      <c r="S240" s="21">
        <v>1.0577399999999999</v>
      </c>
      <c r="T240">
        <f t="shared" si="38"/>
        <v>18.721234567901234</v>
      </c>
      <c r="U240">
        <f t="shared" si="39"/>
        <v>19.810810419753086</v>
      </c>
      <c r="X240" s="9"/>
      <c r="Y240" s="21">
        <v>0.64178500000000005</v>
      </c>
      <c r="Z240" s="21">
        <v>16.677299999999999</v>
      </c>
      <c r="AA240" s="21">
        <v>-1.5695199999999999E-2</v>
      </c>
      <c r="AB240" s="21">
        <v>230</v>
      </c>
      <c r="AC240" s="21">
        <v>0.640961</v>
      </c>
      <c r="AD240">
        <f t="shared" si="40"/>
        <v>19.376790123456789</v>
      </c>
      <c r="AE240">
        <f t="shared" si="41"/>
        <v>12.435733249382716</v>
      </c>
      <c r="AF240" s="9"/>
      <c r="AG240" s="21">
        <v>1.0582</v>
      </c>
      <c r="AH240" s="21">
        <v>20.496500000000001</v>
      </c>
      <c r="AI240" s="21">
        <v>-1.52374E-2</v>
      </c>
      <c r="AJ240" s="21">
        <v>230</v>
      </c>
      <c r="AK240" s="21">
        <v>1.0571299999999999</v>
      </c>
      <c r="AL240">
        <f t="shared" si="42"/>
        <v>18.811604938271604</v>
      </c>
      <c r="AM240">
        <f t="shared" si="43"/>
        <v>19.906440345679012</v>
      </c>
      <c r="AP240" s="9"/>
      <c r="AQ240" s="21">
        <v>0.64178500000000005</v>
      </c>
      <c r="AR240" s="21">
        <v>26.014099999999999</v>
      </c>
      <c r="AS240" s="21">
        <v>-1.5710399999999999E-2</v>
      </c>
      <c r="AT240" s="21">
        <v>230</v>
      </c>
      <c r="AU240" s="21">
        <v>0.64129599999999998</v>
      </c>
      <c r="AV240">
        <f t="shared" si="44"/>
        <v>19.395555555555553</v>
      </c>
      <c r="AW240">
        <f t="shared" si="45"/>
        <v>12.447776622222221</v>
      </c>
      <c r="AX240" s="9"/>
      <c r="AY240" s="21">
        <v>1.0582</v>
      </c>
      <c r="AZ240" s="21">
        <v>29.833300000000001</v>
      </c>
      <c r="BA240" s="21">
        <v>-1.52649E-2</v>
      </c>
      <c r="BB240" s="21">
        <v>230</v>
      </c>
      <c r="BC240" s="21">
        <v>1.0577399999999999</v>
      </c>
      <c r="BD240">
        <f t="shared" si="46"/>
        <v>18.845555555555553</v>
      </c>
      <c r="BE240">
        <f t="shared" si="47"/>
        <v>19.942366888888888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0.63674900000000001</v>
      </c>
      <c r="H241" s="21">
        <v>7.3087200000000001</v>
      </c>
      <c r="I241" s="21">
        <v>-1.5625E-2</v>
      </c>
      <c r="J241" s="21">
        <v>231</v>
      </c>
      <c r="K241" s="21">
        <v>0.63626099999999997</v>
      </c>
      <c r="L241">
        <f t="shared" si="36"/>
        <v>19.290123456790123</v>
      </c>
      <c r="M241">
        <f t="shared" si="37"/>
        <v>12.282966820987655</v>
      </c>
      <c r="N241" s="9"/>
      <c r="O241" s="21">
        <v>1.0632299999999999</v>
      </c>
      <c r="P241" s="21">
        <v>11.1279</v>
      </c>
      <c r="Q241" s="21">
        <v>-1.5158100000000001E-2</v>
      </c>
      <c r="R241" s="21">
        <v>231</v>
      </c>
      <c r="S241" s="21">
        <v>1.0620099999999999</v>
      </c>
      <c r="T241">
        <f t="shared" si="38"/>
        <v>18.713703703703704</v>
      </c>
      <c r="U241">
        <f t="shared" si="39"/>
        <v>19.896971188888887</v>
      </c>
      <c r="X241" s="9"/>
      <c r="Y241" s="21">
        <v>0.63674900000000001</v>
      </c>
      <c r="Z241" s="21">
        <v>16.6874</v>
      </c>
      <c r="AA241" s="21">
        <v>-1.5701300000000001E-2</v>
      </c>
      <c r="AB241" s="21">
        <v>231</v>
      </c>
      <c r="AC241" s="21">
        <v>0.63629199999999997</v>
      </c>
      <c r="AD241">
        <f t="shared" si="40"/>
        <v>19.384320987654323</v>
      </c>
      <c r="AE241">
        <f t="shared" si="41"/>
        <v>12.342947004567902</v>
      </c>
      <c r="AF241" s="9"/>
      <c r="AG241" s="21">
        <v>1.0632299999999999</v>
      </c>
      <c r="AH241" s="21">
        <v>20.506599999999999</v>
      </c>
      <c r="AI241" s="21">
        <v>-1.52313E-2</v>
      </c>
      <c r="AJ241" s="21">
        <v>231</v>
      </c>
      <c r="AK241" s="21">
        <v>1.0626199999999999</v>
      </c>
      <c r="AL241">
        <f t="shared" si="42"/>
        <v>18.804074074074073</v>
      </c>
      <c r="AM241">
        <f t="shared" si="43"/>
        <v>19.993055677777775</v>
      </c>
      <c r="AP241" s="9"/>
      <c r="AQ241" s="21">
        <v>0.63674900000000001</v>
      </c>
      <c r="AR241" s="21">
        <v>26.024100000000001</v>
      </c>
      <c r="AS241" s="21">
        <v>-1.5716600000000001E-2</v>
      </c>
      <c r="AT241" s="21">
        <v>231</v>
      </c>
      <c r="AU241" s="21">
        <v>0.63607800000000003</v>
      </c>
      <c r="AV241">
        <f t="shared" si="44"/>
        <v>19.403209876543212</v>
      </c>
      <c r="AW241">
        <f t="shared" si="45"/>
        <v>12.354974485679014</v>
      </c>
      <c r="AX241" s="9"/>
      <c r="AY241" s="21">
        <v>1.0632299999999999</v>
      </c>
      <c r="AZ241" s="21">
        <v>29.843299999999999</v>
      </c>
      <c r="BA241" s="21">
        <v>-1.5258799999999999E-2</v>
      </c>
      <c r="BB241" s="21">
        <v>231</v>
      </c>
      <c r="BC241" s="21">
        <v>1.0629299999999999</v>
      </c>
      <c r="BD241">
        <f t="shared" si="46"/>
        <v>18.838024691358022</v>
      </c>
      <c r="BE241">
        <f t="shared" si="47"/>
        <v>20.029152992592589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0.631714</v>
      </c>
      <c r="H242" s="21">
        <v>7.3187899999999999</v>
      </c>
      <c r="I242" s="21">
        <v>-1.5631099999999998E-2</v>
      </c>
      <c r="J242" s="21">
        <v>232</v>
      </c>
      <c r="K242" s="21">
        <v>0.63113399999999997</v>
      </c>
      <c r="L242">
        <f t="shared" si="36"/>
        <v>19.29765432098765</v>
      </c>
      <c r="M242">
        <f t="shared" si="37"/>
        <v>12.190598401728392</v>
      </c>
      <c r="N242" s="9"/>
      <c r="O242" s="21">
        <v>1.0682700000000001</v>
      </c>
      <c r="P242" s="21">
        <v>11.138</v>
      </c>
      <c r="Q242" s="21">
        <v>-1.5155E-2</v>
      </c>
      <c r="R242" s="21">
        <v>232</v>
      </c>
      <c r="S242" s="21">
        <v>1.0671999999999999</v>
      </c>
      <c r="T242">
        <f t="shared" si="38"/>
        <v>18.709876543209877</v>
      </c>
      <c r="U242">
        <f t="shared" si="39"/>
        <v>19.987199814814815</v>
      </c>
      <c r="X242" s="9"/>
      <c r="Y242" s="21">
        <v>0.631714</v>
      </c>
      <c r="Z242" s="21">
        <v>16.697500000000002</v>
      </c>
      <c r="AA242" s="21">
        <v>-1.57074E-2</v>
      </c>
      <c r="AB242" s="21">
        <v>232</v>
      </c>
      <c r="AC242" s="21">
        <v>0.63012699999999999</v>
      </c>
      <c r="AD242">
        <f t="shared" si="40"/>
        <v>19.39185185185185</v>
      </c>
      <c r="AE242">
        <f t="shared" si="41"/>
        <v>12.250104300740739</v>
      </c>
      <c r="AF242" s="9"/>
      <c r="AG242" s="21">
        <v>1.0682700000000001</v>
      </c>
      <c r="AH242" s="21">
        <v>20.5167</v>
      </c>
      <c r="AI242" s="21">
        <v>-1.5225199999999999E-2</v>
      </c>
      <c r="AJ242" s="21">
        <v>232</v>
      </c>
      <c r="AK242" s="21">
        <v>1.0674999999999999</v>
      </c>
      <c r="AL242">
        <f t="shared" si="42"/>
        <v>18.796543209876543</v>
      </c>
      <c r="AM242">
        <f t="shared" si="43"/>
        <v>20.079783214814814</v>
      </c>
      <c r="AP242" s="9"/>
      <c r="AQ242" s="21">
        <v>0.631714</v>
      </c>
      <c r="AR242" s="21">
        <v>26.034199999999998</v>
      </c>
      <c r="AS242" s="21">
        <v>-1.5722699999999999E-2</v>
      </c>
      <c r="AT242" s="21">
        <v>232</v>
      </c>
      <c r="AU242" s="21">
        <v>0.63088999999999995</v>
      </c>
      <c r="AV242">
        <f t="shared" si="44"/>
        <v>19.410740740740739</v>
      </c>
      <c r="AW242">
        <f t="shared" si="45"/>
        <v>12.262036676296296</v>
      </c>
      <c r="AX242" s="9"/>
      <c r="AY242" s="21">
        <v>1.0682700000000001</v>
      </c>
      <c r="AZ242" s="21">
        <v>29.853400000000001</v>
      </c>
      <c r="BA242" s="21">
        <v>-1.52496E-2</v>
      </c>
      <c r="BB242" s="21">
        <v>232</v>
      </c>
      <c r="BC242" s="21">
        <v>1.0668899999999999</v>
      </c>
      <c r="BD242">
        <f t="shared" si="46"/>
        <v>18.826666666666664</v>
      </c>
      <c r="BE242">
        <f t="shared" si="47"/>
        <v>20.111963199999998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0.62667799999999996</v>
      </c>
      <c r="H243" s="21">
        <v>7.3288599999999997</v>
      </c>
      <c r="I243" s="21">
        <v>-1.56372E-2</v>
      </c>
      <c r="J243" s="21">
        <v>233</v>
      </c>
      <c r="K243" s="21">
        <v>0.62597700000000001</v>
      </c>
      <c r="L243">
        <f t="shared" si="36"/>
        <v>19.305185185185184</v>
      </c>
      <c r="M243">
        <f t="shared" si="37"/>
        <v>12.09813484148148</v>
      </c>
      <c r="N243" s="9"/>
      <c r="O243" s="21">
        <v>1.0732999999999999</v>
      </c>
      <c r="P243" s="21">
        <v>11.148099999999999</v>
      </c>
      <c r="Q243" s="21">
        <v>-1.5152000000000001E-2</v>
      </c>
      <c r="R243" s="21">
        <v>233</v>
      </c>
      <c r="S243" s="21">
        <v>1.07239</v>
      </c>
      <c r="T243">
        <f t="shared" si="38"/>
        <v>18.706172839506173</v>
      </c>
      <c r="U243">
        <f t="shared" si="39"/>
        <v>20.077335308641974</v>
      </c>
      <c r="X243" s="9"/>
      <c r="Y243" s="21">
        <v>0.62667799999999996</v>
      </c>
      <c r="Z243" s="21">
        <v>16.707599999999999</v>
      </c>
      <c r="AA243" s="21">
        <v>-1.5713499999999998E-2</v>
      </c>
      <c r="AB243" s="21">
        <v>233</v>
      </c>
      <c r="AC243" s="21">
        <v>0.62591600000000003</v>
      </c>
      <c r="AD243">
        <f t="shared" si="40"/>
        <v>19.399382716049381</v>
      </c>
      <c r="AE243">
        <f t="shared" si="41"/>
        <v>12.157166361728393</v>
      </c>
      <c r="AF243" s="9"/>
      <c r="AG243" s="21">
        <v>1.0732999999999999</v>
      </c>
      <c r="AH243" s="21">
        <v>20.526700000000002</v>
      </c>
      <c r="AI243" s="21">
        <v>-1.52161E-2</v>
      </c>
      <c r="AJ243" s="21">
        <v>233</v>
      </c>
      <c r="AK243" s="21">
        <v>1.0720799999999999</v>
      </c>
      <c r="AL243">
        <f t="shared" si="42"/>
        <v>18.785308641975305</v>
      </c>
      <c r="AM243">
        <f t="shared" si="43"/>
        <v>20.162271765432095</v>
      </c>
      <c r="AP243" s="9"/>
      <c r="AQ243" s="21">
        <v>0.62667799999999996</v>
      </c>
      <c r="AR243" s="21">
        <v>26.0443</v>
      </c>
      <c r="AS243" s="21">
        <v>-1.5731800000000001E-2</v>
      </c>
      <c r="AT243" s="21">
        <v>233</v>
      </c>
      <c r="AU243" s="21">
        <v>0.625946</v>
      </c>
      <c r="AV243">
        <f t="shared" si="44"/>
        <v>19.421975308641976</v>
      </c>
      <c r="AW243">
        <f t="shared" si="45"/>
        <v>12.171324642469136</v>
      </c>
      <c r="AX243" s="9"/>
      <c r="AY243" s="21">
        <v>1.0732999999999999</v>
      </c>
      <c r="AZ243" s="21">
        <v>29.863499999999998</v>
      </c>
      <c r="BA243" s="21">
        <v>-1.52435E-2</v>
      </c>
      <c r="BB243" s="21">
        <v>233</v>
      </c>
      <c r="BC243" s="21">
        <v>1.0720799999999999</v>
      </c>
      <c r="BD243">
        <f t="shared" si="46"/>
        <v>18.819135802469134</v>
      </c>
      <c r="BE243">
        <f t="shared" si="47"/>
        <v>20.19857845679012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0.62164299999999995</v>
      </c>
      <c r="H244" s="21">
        <v>7.3389300000000004</v>
      </c>
      <c r="I244" s="21">
        <v>-1.5643299999999999E-2</v>
      </c>
      <c r="J244" s="21">
        <v>234</v>
      </c>
      <c r="K244" s="21">
        <v>0.62100200000000005</v>
      </c>
      <c r="L244">
        <f t="shared" si="36"/>
        <v>19.312716049382715</v>
      </c>
      <c r="M244">
        <f t="shared" si="37"/>
        <v>12.005614743086419</v>
      </c>
      <c r="N244" s="9"/>
      <c r="O244" s="21">
        <v>1.0783400000000001</v>
      </c>
      <c r="P244" s="21">
        <v>11.158099999999999</v>
      </c>
      <c r="Q244" s="21">
        <v>-1.51459E-2</v>
      </c>
      <c r="R244" s="21">
        <v>234</v>
      </c>
      <c r="S244" s="21">
        <v>1.0772699999999999</v>
      </c>
      <c r="T244">
        <f t="shared" si="38"/>
        <v>18.698641975308643</v>
      </c>
      <c r="U244">
        <f t="shared" si="39"/>
        <v>20.163493587654322</v>
      </c>
      <c r="X244" s="9"/>
      <c r="Y244" s="21">
        <v>0.62164299999999995</v>
      </c>
      <c r="Z244" s="21">
        <v>16.717600000000001</v>
      </c>
      <c r="AA244" s="21">
        <v>-1.57196E-2</v>
      </c>
      <c r="AB244" s="21">
        <v>234</v>
      </c>
      <c r="AC244" s="21">
        <v>0.62085000000000001</v>
      </c>
      <c r="AD244">
        <f t="shared" si="40"/>
        <v>19.406913580246911</v>
      </c>
      <c r="AE244">
        <f t="shared" si="41"/>
        <v>12.06417197876543</v>
      </c>
      <c r="AF244" s="9"/>
      <c r="AG244" s="21">
        <v>1.0783400000000001</v>
      </c>
      <c r="AH244" s="21">
        <v>20.536799999999999</v>
      </c>
      <c r="AI244" s="21">
        <v>-1.521E-2</v>
      </c>
      <c r="AJ244" s="21">
        <v>234</v>
      </c>
      <c r="AK244" s="21">
        <v>1.07666</v>
      </c>
      <c r="AL244">
        <f t="shared" si="42"/>
        <v>18.777777777777775</v>
      </c>
      <c r="AM244">
        <f t="shared" si="43"/>
        <v>20.248828888888887</v>
      </c>
      <c r="AP244" s="9"/>
      <c r="AQ244" s="21">
        <v>0.62164299999999995</v>
      </c>
      <c r="AR244" s="21">
        <v>26.054400000000001</v>
      </c>
      <c r="AS244" s="21">
        <v>-1.5737899999999999E-2</v>
      </c>
      <c r="AT244" s="21">
        <v>234</v>
      </c>
      <c r="AU244" s="21">
        <v>0.62075800000000003</v>
      </c>
      <c r="AV244">
        <f t="shared" si="44"/>
        <v>19.429506172839503</v>
      </c>
      <c r="AW244">
        <f t="shared" si="45"/>
        <v>12.078216505802466</v>
      </c>
      <c r="AX244" s="9"/>
      <c r="AY244" s="21">
        <v>1.0783400000000001</v>
      </c>
      <c r="AZ244" s="21">
        <v>29.8735</v>
      </c>
      <c r="BA244" s="21">
        <v>-1.5240500000000001E-2</v>
      </c>
      <c r="BB244" s="21">
        <v>234</v>
      </c>
      <c r="BC244" s="21">
        <v>1.0772699999999999</v>
      </c>
      <c r="BD244">
        <f t="shared" si="46"/>
        <v>18.815432098765431</v>
      </c>
      <c r="BE244">
        <f t="shared" si="47"/>
        <v>20.289433049382716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0.61660800000000004</v>
      </c>
      <c r="H245" s="21">
        <v>7.3490000000000002</v>
      </c>
      <c r="I245" s="21">
        <v>-1.5649400000000001E-2</v>
      </c>
      <c r="J245" s="21">
        <v>235</v>
      </c>
      <c r="K245" s="21">
        <v>0.61581399999999997</v>
      </c>
      <c r="L245">
        <f t="shared" si="36"/>
        <v>19.320246913580245</v>
      </c>
      <c r="M245">
        <f t="shared" si="37"/>
        <v>11.913018808888889</v>
      </c>
      <c r="N245" s="9"/>
      <c r="O245" s="21">
        <v>1.0833699999999999</v>
      </c>
      <c r="P245" s="21">
        <v>11.168200000000001</v>
      </c>
      <c r="Q245" s="21">
        <v>-1.51398E-2</v>
      </c>
      <c r="R245" s="21">
        <v>235</v>
      </c>
      <c r="S245" s="21">
        <v>1.0815399999999999</v>
      </c>
      <c r="T245">
        <f t="shared" si="38"/>
        <v>18.691111111111109</v>
      </c>
      <c r="U245">
        <f t="shared" si="39"/>
        <v>20.249389044444442</v>
      </c>
      <c r="X245" s="9"/>
      <c r="Y245" s="21">
        <v>0.61660800000000004</v>
      </c>
      <c r="Z245" s="21">
        <v>16.727699999999999</v>
      </c>
      <c r="AA245" s="21">
        <v>-1.5725699999999999E-2</v>
      </c>
      <c r="AB245" s="21">
        <v>235</v>
      </c>
      <c r="AC245" s="21">
        <v>0.61630200000000002</v>
      </c>
      <c r="AD245">
        <f t="shared" si="40"/>
        <v>19.414444444444442</v>
      </c>
      <c r="AE245">
        <f t="shared" si="41"/>
        <v>11.97110176</v>
      </c>
      <c r="AF245" s="9"/>
      <c r="AG245" s="21">
        <v>1.0833699999999999</v>
      </c>
      <c r="AH245" s="21">
        <v>20.546900000000001</v>
      </c>
      <c r="AI245" s="21">
        <v>-1.5206900000000001E-2</v>
      </c>
      <c r="AJ245" s="21">
        <v>235</v>
      </c>
      <c r="AK245" s="21">
        <v>1.08246</v>
      </c>
      <c r="AL245">
        <f t="shared" si="42"/>
        <v>18.773950617283951</v>
      </c>
      <c r="AM245">
        <f t="shared" si="43"/>
        <v>20.339134880246913</v>
      </c>
      <c r="AP245" s="9"/>
      <c r="AQ245" s="21">
        <v>0.61660800000000004</v>
      </c>
      <c r="AR245" s="21">
        <v>26.064399999999999</v>
      </c>
      <c r="AS245" s="21">
        <v>-1.5744000000000001E-2</v>
      </c>
      <c r="AT245" s="21">
        <v>235</v>
      </c>
      <c r="AU245" s="21">
        <v>0.61605799999999999</v>
      </c>
      <c r="AV245">
        <f t="shared" si="44"/>
        <v>19.437037037037037</v>
      </c>
      <c r="AW245">
        <f t="shared" si="45"/>
        <v>11.985032533333333</v>
      </c>
      <c r="AX245" s="9"/>
      <c r="AY245" s="21">
        <v>1.0833699999999999</v>
      </c>
      <c r="AZ245" s="21">
        <v>29.883600000000001</v>
      </c>
      <c r="BA245" s="21">
        <v>-1.52344E-2</v>
      </c>
      <c r="BB245" s="21">
        <v>235</v>
      </c>
      <c r="BC245" s="21">
        <v>1.08246</v>
      </c>
      <c r="BD245">
        <f t="shared" si="46"/>
        <v>18.8079012345679</v>
      </c>
      <c r="BE245">
        <f t="shared" si="47"/>
        <v>20.375915960493824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0.611572</v>
      </c>
      <c r="H246" s="21">
        <v>7.3590799999999996</v>
      </c>
      <c r="I246" s="21">
        <v>-1.56525E-2</v>
      </c>
      <c r="J246" s="21">
        <v>236</v>
      </c>
      <c r="K246" s="21">
        <v>0.61074799999999996</v>
      </c>
      <c r="L246">
        <f t="shared" si="36"/>
        <v>19.324074074074073</v>
      </c>
      <c r="M246">
        <f t="shared" si="37"/>
        <v>11.81806262962963</v>
      </c>
      <c r="N246" s="9"/>
      <c r="O246" s="21">
        <v>1.0884100000000001</v>
      </c>
      <c r="P246" s="21">
        <v>11.1783</v>
      </c>
      <c r="Q246" s="21">
        <v>-1.5130599999999999E-2</v>
      </c>
      <c r="R246" s="21">
        <v>236</v>
      </c>
      <c r="S246" s="21">
        <v>1.08734</v>
      </c>
      <c r="T246">
        <f t="shared" si="38"/>
        <v>18.679753086419751</v>
      </c>
      <c r="U246">
        <f t="shared" si="39"/>
        <v>20.331230056790123</v>
      </c>
      <c r="X246" s="9"/>
      <c r="Y246" s="21">
        <v>0.611572</v>
      </c>
      <c r="Z246" s="21">
        <v>16.7378</v>
      </c>
      <c r="AA246" s="21">
        <v>-1.57349E-2</v>
      </c>
      <c r="AB246" s="21">
        <v>236</v>
      </c>
      <c r="AC246" s="21">
        <v>0.61074799999999996</v>
      </c>
      <c r="AD246">
        <f t="shared" si="40"/>
        <v>19.425802469135803</v>
      </c>
      <c r="AE246">
        <f t="shared" si="41"/>
        <v>11.880276867654322</v>
      </c>
      <c r="AF246" s="9"/>
      <c r="AG246" s="21">
        <v>1.0884100000000001</v>
      </c>
      <c r="AH246" s="21">
        <v>20.556999999999999</v>
      </c>
      <c r="AI246" s="21">
        <v>-1.52008E-2</v>
      </c>
      <c r="AJ246" s="21">
        <v>236</v>
      </c>
      <c r="AK246" s="21">
        <v>1.08704</v>
      </c>
      <c r="AL246">
        <f t="shared" si="42"/>
        <v>18.766419753086421</v>
      </c>
      <c r="AM246">
        <f t="shared" si="43"/>
        <v>20.425558923456794</v>
      </c>
      <c r="AP246" s="9"/>
      <c r="AQ246" s="21">
        <v>0.611572</v>
      </c>
      <c r="AR246" s="21">
        <v>26.0745</v>
      </c>
      <c r="AS246" s="21">
        <v>-1.57471E-2</v>
      </c>
      <c r="AT246" s="21">
        <v>236</v>
      </c>
      <c r="AU246" s="21">
        <v>0.61022900000000002</v>
      </c>
      <c r="AV246">
        <f t="shared" si="44"/>
        <v>19.44086419753086</v>
      </c>
      <c r="AW246">
        <f t="shared" si="45"/>
        <v>11.889488199012343</v>
      </c>
      <c r="AX246" s="9"/>
      <c r="AY246" s="21">
        <v>1.0884100000000001</v>
      </c>
      <c r="AZ246" s="21">
        <v>29.893699999999999</v>
      </c>
      <c r="BA246" s="21">
        <v>-1.5225199999999999E-2</v>
      </c>
      <c r="BB246" s="21">
        <v>236</v>
      </c>
      <c r="BC246" s="21">
        <v>1.08673</v>
      </c>
      <c r="BD246">
        <f t="shared" si="46"/>
        <v>18.796543209876543</v>
      </c>
      <c r="BE246">
        <f t="shared" si="47"/>
        <v>20.458345595061729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0.60653699999999999</v>
      </c>
      <c r="H247" s="21">
        <v>7.3691500000000003</v>
      </c>
      <c r="I247" s="21">
        <v>-1.5658600000000002E-2</v>
      </c>
      <c r="J247" s="21">
        <v>237</v>
      </c>
      <c r="K247" s="21">
        <v>0.60589599999999999</v>
      </c>
      <c r="L247">
        <f t="shared" si="36"/>
        <v>19.331604938271607</v>
      </c>
      <c r="M247">
        <f t="shared" si="37"/>
        <v>11.725333664444445</v>
      </c>
      <c r="N247" s="9"/>
      <c r="O247" s="21">
        <v>1.09344</v>
      </c>
      <c r="P247" s="21">
        <v>11.1883</v>
      </c>
      <c r="Q247" s="21">
        <v>-1.51276E-2</v>
      </c>
      <c r="R247" s="21">
        <v>237</v>
      </c>
      <c r="S247" s="21">
        <v>1.09222</v>
      </c>
      <c r="T247">
        <f t="shared" si="38"/>
        <v>18.676049382716048</v>
      </c>
      <c r="U247">
        <f t="shared" si="39"/>
        <v>20.421139437037034</v>
      </c>
      <c r="X247" s="9"/>
      <c r="Y247" s="21">
        <v>0.60653699999999999</v>
      </c>
      <c r="Z247" s="21">
        <v>16.747800000000002</v>
      </c>
      <c r="AA247" s="21">
        <v>-1.5737899999999999E-2</v>
      </c>
      <c r="AB247" s="21">
        <v>237</v>
      </c>
      <c r="AC247" s="21">
        <v>0.60553000000000001</v>
      </c>
      <c r="AD247">
        <f t="shared" si="40"/>
        <v>19.429506172839503</v>
      </c>
      <c r="AE247">
        <f t="shared" si="41"/>
        <v>11.784714385555553</v>
      </c>
      <c r="AF247" s="9"/>
      <c r="AG247" s="21">
        <v>1.09344</v>
      </c>
      <c r="AH247" s="21">
        <v>20.567</v>
      </c>
      <c r="AI247" s="21">
        <v>-1.51947E-2</v>
      </c>
      <c r="AJ247" s="21">
        <v>237</v>
      </c>
      <c r="AK247" s="21">
        <v>1.09222</v>
      </c>
      <c r="AL247">
        <f t="shared" si="42"/>
        <v>18.758888888888887</v>
      </c>
      <c r="AM247">
        <f t="shared" si="43"/>
        <v>20.511719466666662</v>
      </c>
      <c r="AP247" s="9"/>
      <c r="AQ247" s="21">
        <v>0.60653699999999999</v>
      </c>
      <c r="AR247" s="21">
        <v>26.084599999999998</v>
      </c>
      <c r="AS247" s="21">
        <v>-1.5756200000000001E-2</v>
      </c>
      <c r="AT247" s="21">
        <v>237</v>
      </c>
      <c r="AU247" s="21">
        <v>0.60543800000000003</v>
      </c>
      <c r="AV247">
        <f t="shared" si="44"/>
        <v>19.452098765432101</v>
      </c>
      <c r="AW247">
        <f t="shared" si="45"/>
        <v>11.79841762888889</v>
      </c>
      <c r="AX247" s="9"/>
      <c r="AY247" s="21">
        <v>1.09344</v>
      </c>
      <c r="AZ247" s="21">
        <v>29.9038</v>
      </c>
      <c r="BA247" s="21">
        <v>-1.52222E-2</v>
      </c>
      <c r="BB247" s="21">
        <v>237</v>
      </c>
      <c r="BC247" s="21">
        <v>1.09222</v>
      </c>
      <c r="BD247">
        <f t="shared" si="46"/>
        <v>18.792839506172839</v>
      </c>
      <c r="BE247">
        <f t="shared" si="47"/>
        <v>20.54884242962963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0.60150099999999995</v>
      </c>
      <c r="H248" s="21">
        <v>7.3792200000000001</v>
      </c>
      <c r="I248" s="21">
        <v>-1.56647E-2</v>
      </c>
      <c r="J248" s="21">
        <v>238</v>
      </c>
      <c r="K248" s="21">
        <v>0.6008</v>
      </c>
      <c r="L248">
        <f t="shared" si="36"/>
        <v>19.339135802469134</v>
      </c>
      <c r="M248">
        <f t="shared" si="37"/>
        <v>11.632509524320986</v>
      </c>
      <c r="N248" s="9"/>
      <c r="O248" s="21">
        <v>1.0984799999999999</v>
      </c>
      <c r="P248" s="21">
        <v>11.198399999999999</v>
      </c>
      <c r="Q248" s="21">
        <v>-1.51215E-2</v>
      </c>
      <c r="R248" s="21">
        <v>238</v>
      </c>
      <c r="S248" s="21">
        <v>1.09772</v>
      </c>
      <c r="T248">
        <f t="shared" si="38"/>
        <v>18.668518518518518</v>
      </c>
      <c r="U248">
        <f t="shared" si="39"/>
        <v>20.506994222222218</v>
      </c>
      <c r="X248" s="9"/>
      <c r="Y248" s="21">
        <v>0.60150099999999995</v>
      </c>
      <c r="Z248" s="21">
        <v>16.757899999999999</v>
      </c>
      <c r="AA248" s="21">
        <v>-1.5744000000000001E-2</v>
      </c>
      <c r="AB248" s="21">
        <v>238</v>
      </c>
      <c r="AC248" s="21">
        <v>0.60165400000000002</v>
      </c>
      <c r="AD248">
        <f t="shared" si="40"/>
        <v>19.437037037037037</v>
      </c>
      <c r="AE248">
        <f t="shared" si="41"/>
        <v>11.691397214814813</v>
      </c>
      <c r="AF248" s="9"/>
      <c r="AG248" s="21">
        <v>1.0984799999999999</v>
      </c>
      <c r="AH248" s="21">
        <v>20.577100000000002</v>
      </c>
      <c r="AI248" s="21">
        <v>-1.51886E-2</v>
      </c>
      <c r="AJ248" s="21">
        <v>238</v>
      </c>
      <c r="AK248" s="21">
        <v>1.09741</v>
      </c>
      <c r="AL248">
        <f t="shared" si="42"/>
        <v>18.751358024691356</v>
      </c>
      <c r="AM248">
        <f t="shared" si="43"/>
        <v>20.597991762962959</v>
      </c>
      <c r="AP248" s="9"/>
      <c r="AQ248" s="21">
        <v>0.60150099999999995</v>
      </c>
      <c r="AR248" s="21">
        <v>26.0946</v>
      </c>
      <c r="AS248" s="21">
        <v>-1.57623E-2</v>
      </c>
      <c r="AT248" s="21">
        <v>238</v>
      </c>
      <c r="AU248" s="21">
        <v>0.60089099999999995</v>
      </c>
      <c r="AV248">
        <f t="shared" si="44"/>
        <v>19.459629629629628</v>
      </c>
      <c r="AW248">
        <f t="shared" si="45"/>
        <v>11.70498668185185</v>
      </c>
      <c r="AX248" s="9"/>
      <c r="AY248" s="21">
        <v>1.0984799999999999</v>
      </c>
      <c r="AZ248" s="21">
        <v>29.913799999999998</v>
      </c>
      <c r="BA248" s="21">
        <v>-1.52161E-2</v>
      </c>
      <c r="BB248" s="21">
        <v>238</v>
      </c>
      <c r="BC248" s="21">
        <v>1.09711</v>
      </c>
      <c r="BD248">
        <f t="shared" si="46"/>
        <v>18.785308641975305</v>
      </c>
      <c r="BE248">
        <f t="shared" si="47"/>
        <v>20.635285837037031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0.59646600000000005</v>
      </c>
      <c r="H249" s="21">
        <v>7.3892899999999999</v>
      </c>
      <c r="I249" s="21">
        <v>-1.5670799999999999E-2</v>
      </c>
      <c r="J249" s="21">
        <v>239</v>
      </c>
      <c r="K249" s="21">
        <v>0.59552000000000005</v>
      </c>
      <c r="L249">
        <f t="shared" si="36"/>
        <v>19.346666666666664</v>
      </c>
      <c r="M249">
        <f t="shared" si="37"/>
        <v>11.539628879999999</v>
      </c>
      <c r="N249" s="9"/>
      <c r="O249" s="21">
        <v>1.1035200000000001</v>
      </c>
      <c r="P249" s="21">
        <v>11.208500000000001</v>
      </c>
      <c r="Q249" s="21">
        <v>-1.5118400000000001E-2</v>
      </c>
      <c r="R249" s="21">
        <v>239</v>
      </c>
      <c r="S249" s="21">
        <v>1.1026</v>
      </c>
      <c r="T249">
        <f t="shared" si="38"/>
        <v>18.66469135802469</v>
      </c>
      <c r="U249">
        <f t="shared" si="39"/>
        <v>20.596860207407406</v>
      </c>
      <c r="X249" s="9"/>
      <c r="Y249" s="21">
        <v>0.59646600000000005</v>
      </c>
      <c r="Z249" s="21">
        <v>16.768000000000001</v>
      </c>
      <c r="AA249" s="21">
        <v>-1.57501E-2</v>
      </c>
      <c r="AB249" s="21">
        <v>239</v>
      </c>
      <c r="AC249" s="21">
        <v>0.59661900000000001</v>
      </c>
      <c r="AD249">
        <f t="shared" si="40"/>
        <v>19.444567901234567</v>
      </c>
      <c r="AE249">
        <f t="shared" si="41"/>
        <v>11.598023637777779</v>
      </c>
      <c r="AF249" s="9"/>
      <c r="AG249" s="21">
        <v>1.1035200000000001</v>
      </c>
      <c r="AH249" s="21">
        <v>20.587199999999999</v>
      </c>
      <c r="AI249" s="21">
        <v>-1.5185499999999999E-2</v>
      </c>
      <c r="AJ249" s="21">
        <v>239</v>
      </c>
      <c r="AK249" s="21">
        <v>1.1026</v>
      </c>
      <c r="AL249">
        <f t="shared" si="42"/>
        <v>18.747530864197529</v>
      </c>
      <c r="AM249">
        <f t="shared" si="43"/>
        <v>20.688275259259257</v>
      </c>
      <c r="AP249" s="9"/>
      <c r="AQ249" s="21">
        <v>0.59646600000000005</v>
      </c>
      <c r="AR249" s="21">
        <v>26.104700000000001</v>
      </c>
      <c r="AS249" s="21">
        <v>-1.5768399999999998E-2</v>
      </c>
      <c r="AT249" s="21">
        <v>239</v>
      </c>
      <c r="AU249" s="21">
        <v>0.595642</v>
      </c>
      <c r="AV249">
        <f t="shared" si="44"/>
        <v>19.467160493827159</v>
      </c>
      <c r="AW249">
        <f t="shared" si="45"/>
        <v>11.61149935111111</v>
      </c>
      <c r="AX249" s="9"/>
      <c r="AY249" s="21">
        <v>1.1035200000000001</v>
      </c>
      <c r="AZ249" s="21">
        <v>29.9239</v>
      </c>
      <c r="BA249" s="21">
        <v>-1.521E-2</v>
      </c>
      <c r="BB249" s="21">
        <v>239</v>
      </c>
      <c r="BC249" s="21">
        <v>1.1026</v>
      </c>
      <c r="BD249">
        <f t="shared" si="46"/>
        <v>18.777777777777775</v>
      </c>
      <c r="BE249">
        <f t="shared" si="47"/>
        <v>20.721653333333332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0.59143100000000004</v>
      </c>
      <c r="H250" s="21">
        <v>7.3993599999999997</v>
      </c>
      <c r="I250" s="21">
        <v>-1.5676900000000001E-2</v>
      </c>
      <c r="J250" s="21">
        <v>240</v>
      </c>
      <c r="K250" s="21">
        <v>0.59051500000000001</v>
      </c>
      <c r="L250">
        <f t="shared" si="36"/>
        <v>19.354197530864198</v>
      </c>
      <c r="M250">
        <f t="shared" si="37"/>
        <v>11.446672399876544</v>
      </c>
      <c r="N250" s="9"/>
      <c r="O250" s="21">
        <v>1.1085499999999999</v>
      </c>
      <c r="P250" s="21">
        <v>11.2186</v>
      </c>
      <c r="Q250" s="21">
        <v>-1.5109300000000001E-2</v>
      </c>
      <c r="R250" s="21">
        <v>240</v>
      </c>
      <c r="S250" s="21">
        <v>1.1077900000000001</v>
      </c>
      <c r="T250">
        <f t="shared" si="38"/>
        <v>18.653456790123457</v>
      </c>
      <c r="U250">
        <f t="shared" si="39"/>
        <v>20.678289524691358</v>
      </c>
      <c r="X250" s="9"/>
      <c r="Y250" s="21">
        <v>0.59143100000000004</v>
      </c>
      <c r="Z250" s="21">
        <v>16.778099999999998</v>
      </c>
      <c r="AA250" s="21">
        <v>-1.5756200000000001E-2</v>
      </c>
      <c r="AB250" s="21">
        <v>240</v>
      </c>
      <c r="AC250" s="21">
        <v>0.59140000000000004</v>
      </c>
      <c r="AD250">
        <f t="shared" si="40"/>
        <v>19.452098765432101</v>
      </c>
      <c r="AE250">
        <f t="shared" si="41"/>
        <v>11.504574224938274</v>
      </c>
      <c r="AF250" s="9"/>
      <c r="AG250" s="21">
        <v>1.1085499999999999</v>
      </c>
      <c r="AH250" s="21">
        <v>20.597200000000001</v>
      </c>
      <c r="AI250" s="21">
        <v>-1.5179399999999999E-2</v>
      </c>
      <c r="AJ250" s="21">
        <v>240</v>
      </c>
      <c r="AK250" s="21">
        <v>1.10748</v>
      </c>
      <c r="AL250">
        <f t="shared" si="42"/>
        <v>18.739999999999995</v>
      </c>
      <c r="AM250">
        <f t="shared" si="43"/>
        <v>20.774226999999993</v>
      </c>
      <c r="AP250" s="9"/>
      <c r="AQ250" s="21">
        <v>0.59143100000000004</v>
      </c>
      <c r="AR250" s="21">
        <v>26.114799999999999</v>
      </c>
      <c r="AS250" s="21">
        <v>-1.5771500000000001E-2</v>
      </c>
      <c r="AT250" s="21">
        <v>240</v>
      </c>
      <c r="AU250" s="21">
        <v>0.59066799999999997</v>
      </c>
      <c r="AV250">
        <f t="shared" si="44"/>
        <v>19.470987654320989</v>
      </c>
      <c r="AW250">
        <f t="shared" si="45"/>
        <v>11.515745699382718</v>
      </c>
      <c r="AX250" s="9"/>
      <c r="AY250" s="21">
        <v>1.1085499999999999</v>
      </c>
      <c r="AZ250" s="21">
        <v>29.934000000000001</v>
      </c>
      <c r="BA250" s="21">
        <v>-1.5206900000000001E-2</v>
      </c>
      <c r="BB250" s="21">
        <v>240</v>
      </c>
      <c r="BC250" s="21">
        <v>1.10748</v>
      </c>
      <c r="BD250">
        <f t="shared" si="46"/>
        <v>18.773950617283951</v>
      </c>
      <c r="BE250">
        <f t="shared" si="47"/>
        <v>20.811862956790122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0.586395</v>
      </c>
      <c r="H251" s="21">
        <v>7.4094300000000004</v>
      </c>
      <c r="I251" s="21">
        <v>-1.5682999999999999E-2</v>
      </c>
      <c r="J251" s="21">
        <v>241</v>
      </c>
      <c r="K251" s="21">
        <v>0.585785</v>
      </c>
      <c r="L251">
        <f t="shared" si="36"/>
        <v>19.361728395061725</v>
      </c>
      <c r="M251">
        <f t="shared" si="37"/>
        <v>11.353620722222221</v>
      </c>
      <c r="N251" s="9"/>
      <c r="O251" s="21">
        <v>1.1135900000000001</v>
      </c>
      <c r="P251" s="21">
        <v>11.2286</v>
      </c>
      <c r="Q251" s="21">
        <v>-1.51031E-2</v>
      </c>
      <c r="R251" s="21">
        <v>241</v>
      </c>
      <c r="S251" s="21">
        <v>1.1123700000000001</v>
      </c>
      <c r="T251">
        <f t="shared" si="38"/>
        <v>18.645802469135798</v>
      </c>
      <c r="U251">
        <f t="shared" si="39"/>
        <v>20.763779171604934</v>
      </c>
      <c r="X251" s="9"/>
      <c r="Y251" s="21">
        <v>0.586395</v>
      </c>
      <c r="Z251" s="21">
        <v>16.7881</v>
      </c>
      <c r="AA251" s="21">
        <v>-1.57623E-2</v>
      </c>
      <c r="AB251" s="21">
        <v>241</v>
      </c>
      <c r="AC251" s="21">
        <v>0.585785</v>
      </c>
      <c r="AD251">
        <f t="shared" si="40"/>
        <v>19.459629629629628</v>
      </c>
      <c r="AE251">
        <f t="shared" si="41"/>
        <v>11.411029516666666</v>
      </c>
      <c r="AF251" s="9"/>
      <c r="AG251" s="21">
        <v>1.1135900000000001</v>
      </c>
      <c r="AH251" s="21">
        <v>20.607299999999999</v>
      </c>
      <c r="AI251" s="21">
        <v>-1.5173300000000001E-2</v>
      </c>
      <c r="AJ251" s="21">
        <v>241</v>
      </c>
      <c r="AK251" s="21">
        <v>1.1123700000000001</v>
      </c>
      <c r="AL251">
        <f t="shared" si="42"/>
        <v>18.732469135802468</v>
      </c>
      <c r="AM251">
        <f t="shared" si="43"/>
        <v>20.860290304938271</v>
      </c>
      <c r="AP251" s="9"/>
      <c r="AQ251" s="21">
        <v>0.586395</v>
      </c>
      <c r="AR251" s="21">
        <v>26.1249</v>
      </c>
      <c r="AS251" s="21">
        <v>-1.5777599999999999E-2</v>
      </c>
      <c r="AT251" s="21">
        <v>241</v>
      </c>
      <c r="AU251" s="21">
        <v>0.585754</v>
      </c>
      <c r="AV251">
        <f t="shared" si="44"/>
        <v>19.478518518518516</v>
      </c>
      <c r="AW251">
        <f t="shared" si="45"/>
        <v>11.422105866666666</v>
      </c>
      <c r="AX251" s="9"/>
      <c r="AY251" s="21">
        <v>1.1135900000000001</v>
      </c>
      <c r="AZ251" s="21">
        <v>29.943999999999999</v>
      </c>
      <c r="BA251" s="21">
        <v>-1.5203899999999999E-2</v>
      </c>
      <c r="BB251" s="21">
        <v>241</v>
      </c>
      <c r="BC251" s="21">
        <v>1.1123700000000001</v>
      </c>
      <c r="BD251">
        <f t="shared" si="46"/>
        <v>18.770246913580245</v>
      </c>
      <c r="BE251">
        <f t="shared" si="47"/>
        <v>20.902359260493824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0.58135999999999999</v>
      </c>
      <c r="H252" s="21">
        <v>7.4195000000000002</v>
      </c>
      <c r="I252" s="21">
        <v>-1.5685999999999999E-2</v>
      </c>
      <c r="J252" s="21">
        <v>242</v>
      </c>
      <c r="K252" s="21">
        <v>0.580627</v>
      </c>
      <c r="L252">
        <f t="shared" si="36"/>
        <v>19.365432098765428</v>
      </c>
      <c r="M252">
        <f t="shared" si="37"/>
        <v>11.258287604938269</v>
      </c>
      <c r="N252" s="9"/>
      <c r="O252" s="21">
        <v>1.1186199999999999</v>
      </c>
      <c r="P252" s="21">
        <v>11.2387</v>
      </c>
      <c r="Q252" s="21">
        <v>-1.5096999999999999E-2</v>
      </c>
      <c r="R252" s="21">
        <v>242</v>
      </c>
      <c r="S252" s="21">
        <v>1.11755</v>
      </c>
      <c r="T252">
        <f t="shared" si="38"/>
        <v>18.638271604938272</v>
      </c>
      <c r="U252">
        <f t="shared" si="39"/>
        <v>20.849143382716047</v>
      </c>
      <c r="X252" s="9"/>
      <c r="Y252" s="21">
        <v>0.58135999999999999</v>
      </c>
      <c r="Z252" s="21">
        <v>16.798200000000001</v>
      </c>
      <c r="AA252" s="21">
        <v>-1.5768399999999998E-2</v>
      </c>
      <c r="AB252" s="21">
        <v>242</v>
      </c>
      <c r="AC252" s="21">
        <v>0.58102399999999998</v>
      </c>
      <c r="AD252">
        <f t="shared" si="40"/>
        <v>19.467160493827159</v>
      </c>
      <c r="AE252">
        <f t="shared" si="41"/>
        <v>11.317428424691357</v>
      </c>
      <c r="AF252" s="9"/>
      <c r="AG252" s="21">
        <v>1.1186199999999999</v>
      </c>
      <c r="AH252" s="21">
        <v>20.6174</v>
      </c>
      <c r="AI252" s="21">
        <v>-1.51672E-2</v>
      </c>
      <c r="AJ252" s="21">
        <v>242</v>
      </c>
      <c r="AK252" s="21">
        <v>1.11816</v>
      </c>
      <c r="AL252">
        <f t="shared" si="42"/>
        <v>18.724938271604938</v>
      </c>
      <c r="AM252">
        <f t="shared" si="43"/>
        <v>20.946090449382716</v>
      </c>
      <c r="AP252" s="9"/>
      <c r="AQ252" s="21">
        <v>0.58135999999999999</v>
      </c>
      <c r="AR252" s="21">
        <v>26.134899999999998</v>
      </c>
      <c r="AS252" s="21">
        <v>-1.5783700000000001E-2</v>
      </c>
      <c r="AT252" s="21">
        <v>242</v>
      </c>
      <c r="AU252" s="21">
        <v>0.58041399999999999</v>
      </c>
      <c r="AV252">
        <f t="shared" si="44"/>
        <v>19.486049382716047</v>
      </c>
      <c r="AW252">
        <f t="shared" si="45"/>
        <v>11.328409669135802</v>
      </c>
      <c r="AX252" s="9"/>
      <c r="AY252" s="21">
        <v>1.1186199999999999</v>
      </c>
      <c r="AZ252" s="21">
        <v>29.9541</v>
      </c>
      <c r="BA252" s="21">
        <v>-1.5197799999999999E-2</v>
      </c>
      <c r="BB252" s="21">
        <v>242</v>
      </c>
      <c r="BC252" s="21">
        <v>1.11755</v>
      </c>
      <c r="BD252">
        <f t="shared" si="46"/>
        <v>18.762716049382714</v>
      </c>
      <c r="BE252">
        <f t="shared" si="47"/>
        <v>20.98834942716049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0.57632399999999995</v>
      </c>
      <c r="H253" s="21">
        <v>7.42957</v>
      </c>
      <c r="I253" s="21">
        <v>-1.56921E-2</v>
      </c>
      <c r="J253" s="21">
        <v>243</v>
      </c>
      <c r="K253" s="21">
        <v>0.57559199999999999</v>
      </c>
      <c r="L253">
        <f t="shared" si="36"/>
        <v>19.372962962962962</v>
      </c>
      <c r="M253">
        <f t="shared" si="37"/>
        <v>11.165103506666664</v>
      </c>
      <c r="N253" s="9"/>
      <c r="O253" s="21">
        <v>1.1236600000000001</v>
      </c>
      <c r="P253" s="21">
        <v>11.248799999999999</v>
      </c>
      <c r="Q253" s="21">
        <v>-1.5094E-2</v>
      </c>
      <c r="R253" s="21">
        <v>243</v>
      </c>
      <c r="S253" s="21">
        <v>1.1221300000000001</v>
      </c>
      <c r="T253">
        <f t="shared" si="38"/>
        <v>18.634567901234568</v>
      </c>
      <c r="U253">
        <f t="shared" si="39"/>
        <v>20.938918567901236</v>
      </c>
      <c r="X253" s="9"/>
      <c r="Y253" s="21">
        <v>0.57632399999999995</v>
      </c>
      <c r="Z253" s="21">
        <v>16.808299999999999</v>
      </c>
      <c r="AA253" s="21">
        <v>-1.57745E-2</v>
      </c>
      <c r="AB253" s="21">
        <v>243</v>
      </c>
      <c r="AC253" s="21">
        <v>0.57498199999999999</v>
      </c>
      <c r="AD253">
        <f t="shared" si="40"/>
        <v>19.474691358024693</v>
      </c>
      <c r="AE253">
        <f t="shared" si="41"/>
        <v>11.223732022222222</v>
      </c>
      <c r="AF253" s="9"/>
      <c r="AG253" s="21">
        <v>1.1236600000000001</v>
      </c>
      <c r="AH253" s="21">
        <v>20.627500000000001</v>
      </c>
      <c r="AI253" s="21">
        <v>-1.51611E-2</v>
      </c>
      <c r="AJ253" s="21">
        <v>243</v>
      </c>
      <c r="AK253" s="21">
        <v>1.1227400000000001</v>
      </c>
      <c r="AL253">
        <f t="shared" si="42"/>
        <v>18.717407407407403</v>
      </c>
      <c r="AM253">
        <f t="shared" si="43"/>
        <v>21.032002007407407</v>
      </c>
      <c r="AP253" s="9"/>
      <c r="AQ253" s="21">
        <v>0.57632399999999995</v>
      </c>
      <c r="AR253" s="21">
        <v>26.145</v>
      </c>
      <c r="AS253" s="21">
        <v>-1.5786700000000001E-2</v>
      </c>
      <c r="AT253" s="21">
        <v>243</v>
      </c>
      <c r="AU253" s="21">
        <v>0.57543900000000003</v>
      </c>
      <c r="AV253">
        <f t="shared" si="44"/>
        <v>19.489753086419753</v>
      </c>
      <c r="AW253">
        <f t="shared" si="45"/>
        <v>11.232412457777777</v>
      </c>
      <c r="AX253" s="9"/>
      <c r="AY253" s="21">
        <v>1.1236600000000001</v>
      </c>
      <c r="AZ253" s="21">
        <v>29.964200000000002</v>
      </c>
      <c r="BA253" s="21">
        <v>-1.5191700000000001E-2</v>
      </c>
      <c r="BB253" s="21">
        <v>243</v>
      </c>
      <c r="BC253" s="21">
        <v>1.1224400000000001</v>
      </c>
      <c r="BD253">
        <f t="shared" si="46"/>
        <v>18.755185185185184</v>
      </c>
      <c r="BE253">
        <f t="shared" si="47"/>
        <v>21.074451385185185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0.57128900000000005</v>
      </c>
      <c r="H254" s="21">
        <v>7.4396399999999998</v>
      </c>
      <c r="I254" s="21">
        <v>-1.5698199999999999E-2</v>
      </c>
      <c r="J254" s="21">
        <v>244</v>
      </c>
      <c r="K254" s="21">
        <v>0.57061799999999996</v>
      </c>
      <c r="L254">
        <f t="shared" si="36"/>
        <v>19.380493827160493</v>
      </c>
      <c r="M254">
        <f t="shared" si="37"/>
        <v>11.071862938024692</v>
      </c>
      <c r="N254" s="9"/>
      <c r="O254" s="21">
        <v>1.12869</v>
      </c>
      <c r="P254" s="21">
        <v>11.258800000000001</v>
      </c>
      <c r="Q254" s="21">
        <v>-1.50879E-2</v>
      </c>
      <c r="R254" s="21">
        <v>244</v>
      </c>
      <c r="S254" s="21">
        <v>1.1276200000000001</v>
      </c>
      <c r="T254">
        <f t="shared" si="38"/>
        <v>18.627037037037034</v>
      </c>
      <c r="U254">
        <f t="shared" si="39"/>
        <v>21.024150433333329</v>
      </c>
      <c r="X254" s="9"/>
      <c r="Y254" s="21">
        <v>0.57128900000000005</v>
      </c>
      <c r="Z254" s="21">
        <v>16.818300000000001</v>
      </c>
      <c r="AA254" s="21">
        <v>-1.5780599999999999E-2</v>
      </c>
      <c r="AB254" s="21">
        <v>244</v>
      </c>
      <c r="AC254" s="21">
        <v>0.57037400000000005</v>
      </c>
      <c r="AD254">
        <f t="shared" si="40"/>
        <v>19.482222222222219</v>
      </c>
      <c r="AE254">
        <f t="shared" si="41"/>
        <v>11.129979251111111</v>
      </c>
      <c r="AF254" s="9"/>
      <c r="AG254" s="21">
        <v>1.12869</v>
      </c>
      <c r="AH254" s="21">
        <v>20.637499999999999</v>
      </c>
      <c r="AI254" s="21">
        <v>-1.5158100000000001E-2</v>
      </c>
      <c r="AJ254" s="21">
        <v>244</v>
      </c>
      <c r="AK254" s="21">
        <v>1.1273200000000001</v>
      </c>
      <c r="AL254">
        <f t="shared" si="42"/>
        <v>18.713703703703704</v>
      </c>
      <c r="AM254">
        <f t="shared" si="43"/>
        <v>21.121970233333332</v>
      </c>
      <c r="AP254" s="9"/>
      <c r="AQ254" s="21">
        <v>0.57128900000000005</v>
      </c>
      <c r="AR254" s="21">
        <v>26.155100000000001</v>
      </c>
      <c r="AS254" s="21">
        <v>-1.5792799999999999E-2</v>
      </c>
      <c r="AT254" s="21">
        <v>244</v>
      </c>
      <c r="AU254" s="21">
        <v>0.57058699999999996</v>
      </c>
      <c r="AV254">
        <f t="shared" si="44"/>
        <v>19.49728395061728</v>
      </c>
      <c r="AW254">
        <f t="shared" si="45"/>
        <v>11.138583850864196</v>
      </c>
      <c r="AX254" s="9"/>
      <c r="AY254" s="21">
        <v>1.12869</v>
      </c>
      <c r="AZ254" s="21">
        <v>29.974299999999999</v>
      </c>
      <c r="BA254" s="21">
        <v>-1.5185499999999999E-2</v>
      </c>
      <c r="BB254" s="21">
        <v>244</v>
      </c>
      <c r="BC254" s="21">
        <v>1.1276200000000001</v>
      </c>
      <c r="BD254">
        <f t="shared" si="46"/>
        <v>18.747530864197529</v>
      </c>
      <c r="BE254">
        <f t="shared" si="47"/>
        <v>21.16015061111111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0.56625400000000004</v>
      </c>
      <c r="H255" s="21">
        <v>7.4497099999999996</v>
      </c>
      <c r="I255" s="21">
        <v>-1.5704300000000001E-2</v>
      </c>
      <c r="J255" s="21">
        <v>245</v>
      </c>
      <c r="K255" s="21">
        <v>0.56561300000000003</v>
      </c>
      <c r="L255">
        <f t="shared" si="36"/>
        <v>19.388024691358023</v>
      </c>
      <c r="M255">
        <f t="shared" si="37"/>
        <v>10.978546533580246</v>
      </c>
      <c r="N255" s="9"/>
      <c r="O255" s="21">
        <v>1.1337299999999999</v>
      </c>
      <c r="P255" s="21">
        <v>11.2689</v>
      </c>
      <c r="Q255" s="21">
        <v>-1.5084800000000001E-2</v>
      </c>
      <c r="R255" s="21">
        <v>245</v>
      </c>
      <c r="S255" s="21">
        <v>1.1328100000000001</v>
      </c>
      <c r="T255">
        <f t="shared" si="38"/>
        <v>18.623209876543207</v>
      </c>
      <c r="U255">
        <f t="shared" si="39"/>
        <v>21.113691733333329</v>
      </c>
      <c r="X255" s="9"/>
      <c r="Y255" s="21">
        <v>0.56625400000000004</v>
      </c>
      <c r="Z255" s="21">
        <v>16.828399999999998</v>
      </c>
      <c r="AA255" s="21">
        <v>-1.57898E-2</v>
      </c>
      <c r="AB255" s="21">
        <v>245</v>
      </c>
      <c r="AC255" s="21">
        <v>0.56613199999999997</v>
      </c>
      <c r="AD255">
        <f t="shared" si="40"/>
        <v>19.493580246913581</v>
      </c>
      <c r="AE255">
        <f t="shared" si="41"/>
        <v>11.038317789135803</v>
      </c>
      <c r="AF255" s="9"/>
      <c r="AG255" s="21">
        <v>1.1337299999999999</v>
      </c>
      <c r="AH255" s="21">
        <v>20.647600000000001</v>
      </c>
      <c r="AI255" s="21">
        <v>-1.5152000000000001E-2</v>
      </c>
      <c r="AJ255" s="21">
        <v>245</v>
      </c>
      <c r="AK255" s="21">
        <v>1.1318999999999999</v>
      </c>
      <c r="AL255">
        <f t="shared" si="42"/>
        <v>18.706172839506173</v>
      </c>
      <c r="AM255">
        <f t="shared" si="43"/>
        <v>21.207749333333332</v>
      </c>
      <c r="AP255" s="9"/>
      <c r="AQ255" s="21">
        <v>0.56625400000000004</v>
      </c>
      <c r="AR255" s="21">
        <v>26.165099999999999</v>
      </c>
      <c r="AS255" s="21">
        <v>-1.5799000000000001E-2</v>
      </c>
      <c r="AT255" s="21">
        <v>245</v>
      </c>
      <c r="AU255" s="21">
        <v>0.56567400000000001</v>
      </c>
      <c r="AV255">
        <f t="shared" si="44"/>
        <v>19.504938271604939</v>
      </c>
      <c r="AW255">
        <f t="shared" si="45"/>
        <v>11.044749316049383</v>
      </c>
      <c r="AX255" s="9"/>
      <c r="AY255" s="21">
        <v>1.1337299999999999</v>
      </c>
      <c r="AZ255" s="21">
        <v>29.984300000000001</v>
      </c>
      <c r="BA255" s="21">
        <v>-1.5179399999999999E-2</v>
      </c>
      <c r="BB255" s="21">
        <v>245</v>
      </c>
      <c r="BC255" s="21">
        <v>1.1322000000000001</v>
      </c>
      <c r="BD255">
        <f t="shared" si="46"/>
        <v>18.739999999999995</v>
      </c>
      <c r="BE255">
        <f t="shared" si="47"/>
        <v>21.246100199999994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0.56121799999999999</v>
      </c>
      <c r="H256" s="21">
        <v>7.4597899999999999</v>
      </c>
      <c r="I256" s="21">
        <v>-1.5713499999999998E-2</v>
      </c>
      <c r="J256" s="21">
        <v>246</v>
      </c>
      <c r="K256" s="21">
        <v>0.56048600000000004</v>
      </c>
      <c r="L256">
        <f t="shared" si="36"/>
        <v>19.399382716049381</v>
      </c>
      <c r="M256">
        <f t="shared" si="37"/>
        <v>10.887282769135801</v>
      </c>
      <c r="N256" s="9"/>
      <c r="O256" s="21">
        <v>1.13876</v>
      </c>
      <c r="P256" s="21">
        <v>11.279</v>
      </c>
      <c r="Q256" s="21">
        <v>-1.5075699999999999E-2</v>
      </c>
      <c r="R256" s="21">
        <v>246</v>
      </c>
      <c r="S256" s="21">
        <v>1.1376999999999999</v>
      </c>
      <c r="T256">
        <f t="shared" si="38"/>
        <v>18.611975308641973</v>
      </c>
      <c r="U256">
        <f t="shared" si="39"/>
        <v>21.194573002469134</v>
      </c>
      <c r="X256" s="9"/>
      <c r="Y256" s="21">
        <v>0.56121799999999999</v>
      </c>
      <c r="Z256" s="21">
        <v>16.8385</v>
      </c>
      <c r="AA256" s="21">
        <v>-1.5792799999999999E-2</v>
      </c>
      <c r="AB256" s="21">
        <v>246</v>
      </c>
      <c r="AC256" s="21">
        <v>0.56033299999999997</v>
      </c>
      <c r="AD256">
        <f t="shared" si="40"/>
        <v>19.49728395061728</v>
      </c>
      <c r="AE256">
        <f t="shared" si="41"/>
        <v>10.942226704197529</v>
      </c>
      <c r="AF256" s="9"/>
      <c r="AG256" s="21">
        <v>1.13876</v>
      </c>
      <c r="AH256" s="21">
        <v>20.657699999999998</v>
      </c>
      <c r="AI256" s="21">
        <v>-1.51459E-2</v>
      </c>
      <c r="AJ256" s="21">
        <v>246</v>
      </c>
      <c r="AK256" s="21">
        <v>1.1376999999999999</v>
      </c>
      <c r="AL256">
        <f t="shared" si="42"/>
        <v>18.698641975308643</v>
      </c>
      <c r="AM256">
        <f t="shared" si="43"/>
        <v>21.293265535802469</v>
      </c>
      <c r="AP256" s="9"/>
      <c r="AQ256" s="21">
        <v>0.56121799999999999</v>
      </c>
      <c r="AR256" s="21">
        <v>26.1752</v>
      </c>
      <c r="AS256" s="21">
        <v>-1.5805099999999999E-2</v>
      </c>
      <c r="AT256" s="21">
        <v>246</v>
      </c>
      <c r="AU256" s="21">
        <v>0.56011999999999995</v>
      </c>
      <c r="AV256">
        <f t="shared" si="44"/>
        <v>19.512469135802469</v>
      </c>
      <c r="AW256">
        <f t="shared" si="45"/>
        <v>10.950748903456789</v>
      </c>
      <c r="AX256" s="9"/>
      <c r="AY256" s="21">
        <v>1.13876</v>
      </c>
      <c r="AZ256" s="21">
        <v>29.994399999999999</v>
      </c>
      <c r="BA256" s="21">
        <v>-1.5173300000000001E-2</v>
      </c>
      <c r="BB256" s="21">
        <v>246</v>
      </c>
      <c r="BC256" s="21">
        <v>1.1376999999999999</v>
      </c>
      <c r="BD256">
        <f t="shared" si="46"/>
        <v>18.732469135802468</v>
      </c>
      <c r="BE256">
        <f t="shared" si="47"/>
        <v>21.331786553086417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0.55618299999999998</v>
      </c>
      <c r="H257" s="21">
        <v>7.4698599999999997</v>
      </c>
      <c r="I257" s="21">
        <v>-1.57196E-2</v>
      </c>
      <c r="J257" s="21">
        <v>247</v>
      </c>
      <c r="K257" s="21">
        <v>0.55523699999999998</v>
      </c>
      <c r="L257">
        <f t="shared" si="36"/>
        <v>19.406913580246911</v>
      </c>
      <c r="M257">
        <f t="shared" si="37"/>
        <v>10.793795415802467</v>
      </c>
      <c r="N257" s="9"/>
      <c r="O257" s="21">
        <v>1.1437999999999999</v>
      </c>
      <c r="P257" s="21">
        <v>11.289</v>
      </c>
      <c r="Q257" s="21">
        <v>-1.50726E-2</v>
      </c>
      <c r="R257" s="21">
        <v>247</v>
      </c>
      <c r="S257" s="21">
        <v>1.1431899999999999</v>
      </c>
      <c r="T257">
        <f t="shared" si="38"/>
        <v>18.60814814814815</v>
      </c>
      <c r="U257">
        <f t="shared" si="39"/>
        <v>21.283999851851853</v>
      </c>
      <c r="X257" s="9"/>
      <c r="Y257" s="21">
        <v>0.55618299999999998</v>
      </c>
      <c r="Z257" s="21">
        <v>16.848600000000001</v>
      </c>
      <c r="AA257" s="21">
        <v>-1.5799000000000001E-2</v>
      </c>
      <c r="AB257" s="21">
        <v>247</v>
      </c>
      <c r="AC257" s="21">
        <v>0.55456499999999997</v>
      </c>
      <c r="AD257">
        <f t="shared" si="40"/>
        <v>19.504938271604939</v>
      </c>
      <c r="AE257">
        <f t="shared" si="41"/>
        <v>10.848315082716049</v>
      </c>
      <c r="AF257" s="9"/>
      <c r="AG257" s="21">
        <v>1.1437999999999999</v>
      </c>
      <c r="AH257" s="21">
        <v>20.6677</v>
      </c>
      <c r="AI257" s="21">
        <v>-1.51398E-2</v>
      </c>
      <c r="AJ257" s="21">
        <v>247</v>
      </c>
      <c r="AK257" s="21">
        <v>1.1419699999999999</v>
      </c>
      <c r="AL257">
        <f t="shared" si="42"/>
        <v>18.691111111111109</v>
      </c>
      <c r="AM257">
        <f t="shared" si="43"/>
        <v>21.378892888888885</v>
      </c>
      <c r="AP257" s="9"/>
      <c r="AQ257" s="21">
        <v>0.55618299999999998</v>
      </c>
      <c r="AR257" s="21">
        <v>26.185300000000002</v>
      </c>
      <c r="AS257" s="21">
        <v>-1.5811200000000001E-2</v>
      </c>
      <c r="AT257" s="21">
        <v>247</v>
      </c>
      <c r="AU257" s="21">
        <v>0.55508400000000002</v>
      </c>
      <c r="AV257">
        <f t="shared" si="44"/>
        <v>19.52</v>
      </c>
      <c r="AW257">
        <f t="shared" si="45"/>
        <v>10.85669216</v>
      </c>
      <c r="AX257" s="9"/>
      <c r="AY257" s="21">
        <v>1.1437999999999999</v>
      </c>
      <c r="AZ257" s="21">
        <v>30.0045</v>
      </c>
      <c r="BA257" s="21">
        <v>-1.5170299999999999E-2</v>
      </c>
      <c r="BB257" s="21">
        <v>247</v>
      </c>
      <c r="BC257" s="21">
        <v>1.1425799999999999</v>
      </c>
      <c r="BD257">
        <f t="shared" si="46"/>
        <v>18.728765432098765</v>
      </c>
      <c r="BE257">
        <f t="shared" si="47"/>
        <v>21.421961901234567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0.55114700000000005</v>
      </c>
      <c r="H258" s="21">
        <v>7.4799300000000004</v>
      </c>
      <c r="I258" s="21">
        <v>-1.5725699999999999E-2</v>
      </c>
      <c r="J258" s="21">
        <v>248</v>
      </c>
      <c r="K258" s="21">
        <v>0.55056799999999995</v>
      </c>
      <c r="L258">
        <f t="shared" si="36"/>
        <v>19.414444444444442</v>
      </c>
      <c r="M258">
        <f t="shared" si="37"/>
        <v>10.700212812222222</v>
      </c>
      <c r="N258" s="9"/>
      <c r="O258" s="21">
        <v>1.14883</v>
      </c>
      <c r="P258" s="21">
        <v>11.299099999999999</v>
      </c>
      <c r="Q258" s="21">
        <v>-1.50665E-2</v>
      </c>
      <c r="R258" s="21">
        <v>248</v>
      </c>
      <c r="S258" s="21">
        <v>1.1474599999999999</v>
      </c>
      <c r="T258">
        <f t="shared" si="38"/>
        <v>18.600617283950616</v>
      </c>
      <c r="U258">
        <f t="shared" si="39"/>
        <v>21.368947154320985</v>
      </c>
      <c r="X258" s="9"/>
      <c r="Y258" s="21">
        <v>0.55114700000000005</v>
      </c>
      <c r="Z258" s="21">
        <v>16.858599999999999</v>
      </c>
      <c r="AA258" s="21">
        <v>-1.5805099999999999E-2</v>
      </c>
      <c r="AB258" s="21">
        <v>248</v>
      </c>
      <c r="AC258" s="21">
        <v>0.55029300000000003</v>
      </c>
      <c r="AD258">
        <f t="shared" si="40"/>
        <v>19.512469135802469</v>
      </c>
      <c r="AE258">
        <f t="shared" si="41"/>
        <v>10.754238826790125</v>
      </c>
      <c r="AF258" s="9"/>
      <c r="AG258" s="21">
        <v>1.14883</v>
      </c>
      <c r="AH258" s="21">
        <v>20.677800000000001</v>
      </c>
      <c r="AI258" s="21">
        <v>-1.5136699999999999E-2</v>
      </c>
      <c r="AJ258" s="21">
        <v>248</v>
      </c>
      <c r="AK258" s="21">
        <v>1.14777</v>
      </c>
      <c r="AL258">
        <f t="shared" si="42"/>
        <v>18.687283950617282</v>
      </c>
      <c r="AM258">
        <f t="shared" si="43"/>
        <v>21.468512420987651</v>
      </c>
      <c r="AP258" s="9"/>
      <c r="AQ258" s="21">
        <v>0.55114700000000005</v>
      </c>
      <c r="AR258" s="21">
        <v>26.195399999999999</v>
      </c>
      <c r="AS258" s="21">
        <v>-1.5820299999999999E-2</v>
      </c>
      <c r="AT258" s="21">
        <v>248</v>
      </c>
      <c r="AU258" s="21">
        <v>0.55047599999999997</v>
      </c>
      <c r="AV258">
        <f t="shared" si="44"/>
        <v>19.53123456790123</v>
      </c>
      <c r="AW258">
        <f t="shared" si="45"/>
        <v>10.764581338395059</v>
      </c>
      <c r="AX258" s="9"/>
      <c r="AY258" s="21">
        <v>1.14883</v>
      </c>
      <c r="AZ258" s="21">
        <v>30.014500000000002</v>
      </c>
      <c r="BA258" s="21">
        <v>-1.5164199999999999E-2</v>
      </c>
      <c r="BB258" s="21">
        <v>248</v>
      </c>
      <c r="BC258" s="21">
        <v>1.1480699999999999</v>
      </c>
      <c r="BD258">
        <f t="shared" si="46"/>
        <v>18.721234567901234</v>
      </c>
      <c r="BE258">
        <f t="shared" si="47"/>
        <v>21.507515908641974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0.54611200000000004</v>
      </c>
      <c r="H259" s="21">
        <v>7.49</v>
      </c>
      <c r="I259" s="21">
        <v>-1.5731800000000001E-2</v>
      </c>
      <c r="J259" s="21">
        <v>249</v>
      </c>
      <c r="K259" s="21">
        <v>0.54550200000000004</v>
      </c>
      <c r="L259">
        <f t="shared" si="36"/>
        <v>19.421975308641976</v>
      </c>
      <c r="M259">
        <f t="shared" si="37"/>
        <v>10.606573779753088</v>
      </c>
      <c r="N259" s="9"/>
      <c r="O259" s="21">
        <v>1.15387</v>
      </c>
      <c r="P259" s="21">
        <v>11.309200000000001</v>
      </c>
      <c r="Q259" s="21">
        <v>-1.50604E-2</v>
      </c>
      <c r="R259" s="21">
        <v>249</v>
      </c>
      <c r="S259" s="21">
        <v>1.1523399999999999</v>
      </c>
      <c r="T259">
        <f t="shared" si="38"/>
        <v>18.593086419753085</v>
      </c>
      <c r="U259">
        <f t="shared" si="39"/>
        <v>21.45400462716049</v>
      </c>
      <c r="X259" s="9"/>
      <c r="Y259" s="21">
        <v>0.54611200000000004</v>
      </c>
      <c r="Z259" s="21">
        <v>16.8687</v>
      </c>
      <c r="AA259" s="21">
        <v>-1.5808099999999999E-2</v>
      </c>
      <c r="AB259" s="21">
        <v>249</v>
      </c>
      <c r="AC259" s="21">
        <v>0.54574599999999995</v>
      </c>
      <c r="AD259">
        <f t="shared" si="40"/>
        <v>19.516172839506172</v>
      </c>
      <c r="AE259">
        <f t="shared" si="41"/>
        <v>10.658016181728396</v>
      </c>
      <c r="AF259" s="9"/>
      <c r="AG259" s="21">
        <v>1.15387</v>
      </c>
      <c r="AH259" s="21">
        <v>20.687899999999999</v>
      </c>
      <c r="AI259" s="21">
        <v>-1.5130599999999999E-2</v>
      </c>
      <c r="AJ259" s="21">
        <v>249</v>
      </c>
      <c r="AK259" s="21">
        <v>1.1523399999999999</v>
      </c>
      <c r="AL259">
        <f t="shared" si="42"/>
        <v>18.679753086419751</v>
      </c>
      <c r="AM259">
        <f t="shared" si="43"/>
        <v>21.554006693827159</v>
      </c>
      <c r="AP259" s="9"/>
      <c r="AQ259" s="21">
        <v>0.54611200000000004</v>
      </c>
      <c r="AR259" s="21">
        <v>26.205400000000001</v>
      </c>
      <c r="AS259" s="21">
        <v>-1.5823400000000001E-2</v>
      </c>
      <c r="AT259" s="21">
        <v>249</v>
      </c>
      <c r="AU259" s="21">
        <v>0.545319</v>
      </c>
      <c r="AV259">
        <f t="shared" si="44"/>
        <v>19.535061728395064</v>
      </c>
      <c r="AW259">
        <f t="shared" si="45"/>
        <v>10.668331630617287</v>
      </c>
      <c r="AX259" s="9"/>
      <c r="AY259" s="21">
        <v>1.15387</v>
      </c>
      <c r="AZ259" s="21">
        <v>30.0246</v>
      </c>
      <c r="BA259" s="21">
        <v>-1.5158100000000001E-2</v>
      </c>
      <c r="BB259" s="21">
        <v>249</v>
      </c>
      <c r="BC259" s="21">
        <v>1.15326</v>
      </c>
      <c r="BD259">
        <f t="shared" si="46"/>
        <v>18.713703703703704</v>
      </c>
      <c r="BE259">
        <f t="shared" si="47"/>
        <v>21.593181292592593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0.54107700000000003</v>
      </c>
      <c r="H260" s="21">
        <v>7.50007</v>
      </c>
      <c r="I260" s="21">
        <v>-1.5737899999999999E-2</v>
      </c>
      <c r="J260" s="21">
        <v>250</v>
      </c>
      <c r="K260" s="21">
        <v>0.54040500000000002</v>
      </c>
      <c r="L260">
        <f t="shared" si="36"/>
        <v>19.429506172839503</v>
      </c>
      <c r="M260">
        <f t="shared" si="37"/>
        <v>10.51285891148148</v>
      </c>
      <c r="N260" s="9"/>
      <c r="O260" s="21">
        <v>1.1589100000000001</v>
      </c>
      <c r="P260" s="21">
        <v>11.3193</v>
      </c>
      <c r="Q260" s="21">
        <v>-1.50543E-2</v>
      </c>
      <c r="R260" s="21">
        <v>250</v>
      </c>
      <c r="S260" s="21">
        <v>1.15784</v>
      </c>
      <c r="T260">
        <f t="shared" si="38"/>
        <v>18.585555555555555</v>
      </c>
      <c r="U260">
        <f t="shared" si="39"/>
        <v>21.538986188888892</v>
      </c>
      <c r="X260" s="9"/>
      <c r="Y260" s="21">
        <v>0.54107700000000003</v>
      </c>
      <c r="Z260" s="21">
        <v>16.878799999999998</v>
      </c>
      <c r="AA260" s="21">
        <v>-1.5817299999999999E-2</v>
      </c>
      <c r="AB260" s="21">
        <v>250</v>
      </c>
      <c r="AC260" s="21">
        <v>0.53994799999999998</v>
      </c>
      <c r="AD260">
        <f t="shared" si="40"/>
        <v>19.527530864197526</v>
      </c>
      <c r="AE260">
        <f t="shared" si="41"/>
        <v>10.565897817407405</v>
      </c>
      <c r="AF260" s="9"/>
      <c r="AG260" s="21">
        <v>1.1589100000000001</v>
      </c>
      <c r="AH260" s="21">
        <v>20.698</v>
      </c>
      <c r="AI260" s="21">
        <v>-1.5124500000000001E-2</v>
      </c>
      <c r="AJ260" s="21">
        <v>250</v>
      </c>
      <c r="AK260" s="21">
        <v>1.15784</v>
      </c>
      <c r="AL260">
        <f t="shared" si="42"/>
        <v>18.672222222222221</v>
      </c>
      <c r="AM260">
        <f t="shared" si="43"/>
        <v>21.639425055555556</v>
      </c>
      <c r="AP260" s="9"/>
      <c r="AQ260" s="21">
        <v>0.54107700000000003</v>
      </c>
      <c r="AR260" s="21">
        <v>26.215499999999999</v>
      </c>
      <c r="AS260" s="21">
        <v>-1.58295E-2</v>
      </c>
      <c r="AT260" s="21">
        <v>250</v>
      </c>
      <c r="AU260" s="21">
        <v>0.54049700000000001</v>
      </c>
      <c r="AV260">
        <f t="shared" si="44"/>
        <v>19.542592592592591</v>
      </c>
      <c r="AW260">
        <f t="shared" si="45"/>
        <v>10.574047372222221</v>
      </c>
      <c r="AX260" s="9"/>
      <c r="AY260" s="21">
        <v>1.1589100000000001</v>
      </c>
      <c r="AZ260" s="21">
        <v>30.034700000000001</v>
      </c>
      <c r="BA260" s="21">
        <v>-1.5152000000000001E-2</v>
      </c>
      <c r="BB260" s="21">
        <v>250</v>
      </c>
      <c r="BC260" s="21">
        <v>1.1575299999999999</v>
      </c>
      <c r="BD260">
        <f t="shared" si="46"/>
        <v>18.706172839506173</v>
      </c>
      <c r="BE260">
        <f t="shared" si="47"/>
        <v>21.678770765432102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0.53604099999999999</v>
      </c>
      <c r="H261" s="21">
        <v>7.5101399999999998</v>
      </c>
      <c r="I261" s="21">
        <v>-1.5744000000000001E-2</v>
      </c>
      <c r="J261" s="21">
        <v>251</v>
      </c>
      <c r="K261" s="21">
        <v>0.53530900000000003</v>
      </c>
      <c r="L261">
        <f t="shared" si="36"/>
        <v>19.437037037037037</v>
      </c>
      <c r="M261">
        <f t="shared" si="37"/>
        <v>10.41904877037037</v>
      </c>
      <c r="N261" s="9"/>
      <c r="O261" s="21">
        <v>1.16394</v>
      </c>
      <c r="P261" s="21">
        <v>11.3293</v>
      </c>
      <c r="Q261" s="21">
        <v>-1.5048199999999999E-2</v>
      </c>
      <c r="R261" s="21">
        <v>251</v>
      </c>
      <c r="S261" s="21">
        <v>1.1630199999999999</v>
      </c>
      <c r="T261">
        <f t="shared" si="38"/>
        <v>18.578024691358021</v>
      </c>
      <c r="U261">
        <f t="shared" si="39"/>
        <v>21.623706059259256</v>
      </c>
      <c r="X261" s="9"/>
      <c r="Y261" s="21">
        <v>0.53604099999999999</v>
      </c>
      <c r="Z261" s="21">
        <v>16.8888</v>
      </c>
      <c r="AA261" s="21">
        <v>-1.5823400000000001E-2</v>
      </c>
      <c r="AB261" s="21">
        <v>251</v>
      </c>
      <c r="AC261" s="21">
        <v>0.53506500000000001</v>
      </c>
      <c r="AD261">
        <f t="shared" si="40"/>
        <v>19.535061728395064</v>
      </c>
      <c r="AE261">
        <f t="shared" si="41"/>
        <v>10.471594023950619</v>
      </c>
      <c r="AF261" s="9"/>
      <c r="AG261" s="21">
        <v>1.16394</v>
      </c>
      <c r="AH261" s="21">
        <v>20.707999999999998</v>
      </c>
      <c r="AI261" s="21">
        <v>-1.5115399999999999E-2</v>
      </c>
      <c r="AJ261" s="21">
        <v>251</v>
      </c>
      <c r="AK261" s="21">
        <v>1.1630199999999999</v>
      </c>
      <c r="AL261">
        <f t="shared" si="42"/>
        <v>18.660987654320987</v>
      </c>
      <c r="AM261">
        <f t="shared" si="43"/>
        <v>21.720269970370371</v>
      </c>
      <c r="AP261" s="9"/>
      <c r="AQ261" s="21">
        <v>0.53604099999999999</v>
      </c>
      <c r="AR261" s="21">
        <v>26.2256</v>
      </c>
      <c r="AS261" s="21">
        <v>-1.5838600000000001E-2</v>
      </c>
      <c r="AT261" s="21">
        <v>251</v>
      </c>
      <c r="AU261" s="21">
        <v>0.53555299999999995</v>
      </c>
      <c r="AV261">
        <f t="shared" si="44"/>
        <v>19.553827160493825</v>
      </c>
      <c r="AW261">
        <f t="shared" si="45"/>
        <v>10.48165306493827</v>
      </c>
      <c r="AX261" s="9"/>
      <c r="AY261" s="21">
        <v>1.16394</v>
      </c>
      <c r="AZ261" s="21">
        <v>30.044799999999999</v>
      </c>
      <c r="BA261" s="21">
        <v>-1.51459E-2</v>
      </c>
      <c r="BB261" s="21">
        <v>251</v>
      </c>
      <c r="BC261" s="21">
        <v>1.16272</v>
      </c>
      <c r="BD261">
        <f t="shared" si="46"/>
        <v>18.698641975308643</v>
      </c>
      <c r="BE261">
        <f t="shared" si="47"/>
        <v>21.76409734074074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0.53100599999999998</v>
      </c>
      <c r="H262" s="21">
        <v>7.5202099999999996</v>
      </c>
      <c r="I262" s="21">
        <v>-1.57501E-2</v>
      </c>
      <c r="J262" s="21">
        <v>252</v>
      </c>
      <c r="K262" s="21">
        <v>0.530304</v>
      </c>
      <c r="L262">
        <f t="shared" si="36"/>
        <v>19.444567901234567</v>
      </c>
      <c r="M262">
        <f t="shared" si="37"/>
        <v>10.325182222962962</v>
      </c>
      <c r="N262" s="9"/>
      <c r="O262" s="21">
        <v>1.1689799999999999</v>
      </c>
      <c r="P262" s="21">
        <v>11.339399999999999</v>
      </c>
      <c r="Q262" s="21">
        <v>-1.5042099999999999E-2</v>
      </c>
      <c r="R262" s="21">
        <v>252</v>
      </c>
      <c r="S262" s="21">
        <v>1.16791</v>
      </c>
      <c r="T262">
        <f t="shared" si="38"/>
        <v>18.570493827160494</v>
      </c>
      <c r="U262">
        <f t="shared" si="39"/>
        <v>21.708535874074073</v>
      </c>
      <c r="X262" s="9"/>
      <c r="Y262" s="21">
        <v>0.53100599999999998</v>
      </c>
      <c r="Z262" s="21">
        <v>16.898900000000001</v>
      </c>
      <c r="AA262" s="21">
        <v>-1.58295E-2</v>
      </c>
      <c r="AB262" s="21">
        <v>252</v>
      </c>
      <c r="AC262" s="21">
        <v>0.53073099999999995</v>
      </c>
      <c r="AD262">
        <f t="shared" si="40"/>
        <v>19.542592592592591</v>
      </c>
      <c r="AE262">
        <f t="shared" si="41"/>
        <v>10.377233922222221</v>
      </c>
      <c r="AF262" s="9"/>
      <c r="AG262" s="21">
        <v>1.1689799999999999</v>
      </c>
      <c r="AH262" s="21">
        <v>20.7181</v>
      </c>
      <c r="AI262" s="21">
        <v>-1.51123E-2</v>
      </c>
      <c r="AJ262" s="21">
        <v>252</v>
      </c>
      <c r="AK262" s="21">
        <v>1.1673</v>
      </c>
      <c r="AL262">
        <f t="shared" si="42"/>
        <v>18.65716049382716</v>
      </c>
      <c r="AM262">
        <f t="shared" si="43"/>
        <v>21.809847474074072</v>
      </c>
      <c r="AP262" s="9"/>
      <c r="AQ262" s="21">
        <v>0.53100599999999998</v>
      </c>
      <c r="AR262" s="21">
        <v>26.235600000000002</v>
      </c>
      <c r="AS262" s="21">
        <v>-1.58447E-2</v>
      </c>
      <c r="AT262" s="21">
        <v>252</v>
      </c>
      <c r="AU262" s="21">
        <v>0.53033399999999997</v>
      </c>
      <c r="AV262">
        <f t="shared" si="44"/>
        <v>19.561358024691359</v>
      </c>
      <c r="AW262">
        <f t="shared" si="45"/>
        <v>10.38719847925926</v>
      </c>
      <c r="AX262" s="9"/>
      <c r="AY262" s="21">
        <v>1.1689799999999999</v>
      </c>
      <c r="AZ262" s="21">
        <v>30.0548</v>
      </c>
      <c r="BA262" s="21">
        <v>-1.5136699999999999E-2</v>
      </c>
      <c r="BB262" s="21">
        <v>252</v>
      </c>
      <c r="BC262" s="21">
        <v>1.1676</v>
      </c>
      <c r="BD262">
        <f t="shared" si="46"/>
        <v>18.687283950617282</v>
      </c>
      <c r="BE262">
        <f t="shared" si="47"/>
        <v>21.845061192592588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0.52597000000000005</v>
      </c>
      <c r="H263" s="21">
        <v>7.5302800000000003</v>
      </c>
      <c r="I263" s="21">
        <v>-1.5756200000000001E-2</v>
      </c>
      <c r="J263" s="21">
        <v>253</v>
      </c>
      <c r="K263" s="21">
        <v>0.52529899999999996</v>
      </c>
      <c r="L263">
        <f t="shared" si="36"/>
        <v>19.452098765432101</v>
      </c>
      <c r="M263">
        <f t="shared" si="37"/>
        <v>10.231220387654323</v>
      </c>
      <c r="N263" s="9"/>
      <c r="O263" s="21">
        <v>1.17401</v>
      </c>
      <c r="P263" s="21">
        <v>11.349500000000001</v>
      </c>
      <c r="Q263" s="21">
        <v>-1.5036000000000001E-2</v>
      </c>
      <c r="R263" s="21">
        <v>253</v>
      </c>
      <c r="S263" s="21">
        <v>1.1731</v>
      </c>
      <c r="T263">
        <f t="shared" si="38"/>
        <v>18.562962962962963</v>
      </c>
      <c r="U263">
        <f t="shared" si="39"/>
        <v>21.793104148148149</v>
      </c>
      <c r="X263" s="9"/>
      <c r="Y263" s="21">
        <v>0.52597000000000005</v>
      </c>
      <c r="Z263" s="21">
        <v>16.908999999999999</v>
      </c>
      <c r="AA263" s="21">
        <v>-1.5835599999999998E-2</v>
      </c>
      <c r="AB263" s="21">
        <v>253</v>
      </c>
      <c r="AC263" s="21">
        <v>0.52343799999999996</v>
      </c>
      <c r="AD263">
        <f t="shared" si="40"/>
        <v>19.550123456790118</v>
      </c>
      <c r="AE263">
        <f t="shared" si="41"/>
        <v>10.282778434567899</v>
      </c>
      <c r="AF263" s="9"/>
      <c r="AG263" s="21">
        <v>1.17401</v>
      </c>
      <c r="AH263" s="21">
        <v>20.728200000000001</v>
      </c>
      <c r="AI263" s="21">
        <v>-1.51062E-2</v>
      </c>
      <c r="AJ263" s="21">
        <v>253</v>
      </c>
      <c r="AK263" s="21">
        <v>1.1734</v>
      </c>
      <c r="AL263">
        <f t="shared" si="42"/>
        <v>18.649629629629626</v>
      </c>
      <c r="AM263">
        <f t="shared" si="43"/>
        <v>21.894851681481477</v>
      </c>
      <c r="AP263" s="9"/>
      <c r="AQ263" s="21">
        <v>0.52597000000000005</v>
      </c>
      <c r="AR263" s="21">
        <v>26.245699999999999</v>
      </c>
      <c r="AS263" s="21">
        <v>-1.5850800000000002E-2</v>
      </c>
      <c r="AT263" s="21">
        <v>253</v>
      </c>
      <c r="AU263" s="21">
        <v>0.52490199999999998</v>
      </c>
      <c r="AV263">
        <f t="shared" si="44"/>
        <v>19.568888888888889</v>
      </c>
      <c r="AW263">
        <f t="shared" si="45"/>
        <v>10.29264848888889</v>
      </c>
      <c r="AX263" s="9"/>
      <c r="AY263" s="21">
        <v>1.17401</v>
      </c>
      <c r="AZ263" s="21">
        <v>30.064900000000002</v>
      </c>
      <c r="BA263" s="21">
        <v>-1.5130599999999999E-2</v>
      </c>
      <c r="BB263" s="21">
        <v>253</v>
      </c>
      <c r="BC263" s="21">
        <v>1.17218</v>
      </c>
      <c r="BD263">
        <f t="shared" si="46"/>
        <v>18.679753086419751</v>
      </c>
      <c r="BE263">
        <f t="shared" si="47"/>
        <v>21.93021692098765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0.52093500000000004</v>
      </c>
      <c r="H264" s="21">
        <v>7.5403500000000001</v>
      </c>
      <c r="I264" s="21">
        <v>-1.57593E-2</v>
      </c>
      <c r="J264" s="21">
        <v>254</v>
      </c>
      <c r="K264" s="21">
        <v>0.52017199999999997</v>
      </c>
      <c r="L264">
        <f t="shared" si="36"/>
        <v>19.455925925925925</v>
      </c>
      <c r="M264">
        <f t="shared" si="37"/>
        <v>10.135272772222223</v>
      </c>
      <c r="N264" s="9"/>
      <c r="O264" s="21">
        <v>1.1790499999999999</v>
      </c>
      <c r="P264" s="21">
        <v>11.359500000000001</v>
      </c>
      <c r="Q264" s="21">
        <v>-1.5029900000000001E-2</v>
      </c>
      <c r="R264" s="21">
        <v>254</v>
      </c>
      <c r="S264" s="21">
        <v>1.17828</v>
      </c>
      <c r="T264">
        <f t="shared" si="38"/>
        <v>18.555432098765429</v>
      </c>
      <c r="U264">
        <f t="shared" si="39"/>
        <v>21.877782216049379</v>
      </c>
      <c r="X264" s="9"/>
      <c r="Y264" s="21">
        <v>0.52093500000000004</v>
      </c>
      <c r="Z264" s="21">
        <v>16.919</v>
      </c>
      <c r="AA264" s="21">
        <v>-1.58447E-2</v>
      </c>
      <c r="AB264" s="21">
        <v>254</v>
      </c>
      <c r="AC264" s="21">
        <v>0.51995800000000003</v>
      </c>
      <c r="AD264">
        <f t="shared" si="40"/>
        <v>19.561358024691359</v>
      </c>
      <c r="AE264">
        <f t="shared" si="41"/>
        <v>10.190196042592593</v>
      </c>
      <c r="AF264" s="9"/>
      <c r="AG264" s="21">
        <v>1.1790499999999999</v>
      </c>
      <c r="AH264" s="21">
        <v>20.738199999999999</v>
      </c>
      <c r="AI264" s="21">
        <v>-1.51031E-2</v>
      </c>
      <c r="AJ264" s="21">
        <v>254</v>
      </c>
      <c r="AK264" s="21">
        <v>1.17828</v>
      </c>
      <c r="AL264">
        <f t="shared" si="42"/>
        <v>18.645802469135798</v>
      </c>
      <c r="AM264">
        <f t="shared" si="43"/>
        <v>21.984333401234561</v>
      </c>
      <c r="AP264" s="9"/>
      <c r="AQ264" s="21">
        <v>0.52093500000000004</v>
      </c>
      <c r="AR264" s="21">
        <v>26.255800000000001</v>
      </c>
      <c r="AS264" s="21">
        <v>-1.58569E-2</v>
      </c>
      <c r="AT264" s="21">
        <v>254</v>
      </c>
      <c r="AU264" s="21">
        <v>0.52011099999999999</v>
      </c>
      <c r="AV264">
        <f t="shared" si="44"/>
        <v>19.576419753086416</v>
      </c>
      <c r="AW264">
        <f t="shared" si="45"/>
        <v>10.198042224074072</v>
      </c>
      <c r="AX264" s="9"/>
      <c r="AY264" s="21">
        <v>1.1790499999999999</v>
      </c>
      <c r="AZ264" s="21">
        <v>30.074999999999999</v>
      </c>
      <c r="BA264" s="21">
        <v>-1.51215E-2</v>
      </c>
      <c r="BB264" s="21">
        <v>254</v>
      </c>
      <c r="BC264" s="21">
        <v>1.17798</v>
      </c>
      <c r="BD264">
        <f t="shared" si="46"/>
        <v>18.668518518518518</v>
      </c>
      <c r="BE264">
        <f t="shared" si="47"/>
        <v>22.011116759259256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0.51590000000000003</v>
      </c>
      <c r="H265" s="21">
        <v>7.5504199999999999</v>
      </c>
      <c r="I265" s="21">
        <v>-1.5765399999999999E-2</v>
      </c>
      <c r="J265" s="21">
        <v>255</v>
      </c>
      <c r="K265" s="21">
        <v>0.51504499999999998</v>
      </c>
      <c r="L265">
        <f t="shared" si="36"/>
        <v>19.463456790123452</v>
      </c>
      <c r="M265">
        <f t="shared" si="37"/>
        <v>10.041197358024689</v>
      </c>
      <c r="N265" s="9"/>
      <c r="O265" s="21">
        <v>1.18408</v>
      </c>
      <c r="P265" s="21">
        <v>11.3696</v>
      </c>
      <c r="Q265" s="21">
        <v>-1.50238E-2</v>
      </c>
      <c r="R265" s="21">
        <v>255</v>
      </c>
      <c r="S265" s="21">
        <v>1.1831700000000001</v>
      </c>
      <c r="T265">
        <f t="shared" si="38"/>
        <v>18.547901234567902</v>
      </c>
      <c r="U265">
        <f t="shared" si="39"/>
        <v>21.962198893827161</v>
      </c>
      <c r="X265" s="9"/>
      <c r="Y265" s="21">
        <v>0.51590000000000003</v>
      </c>
      <c r="Z265" s="21">
        <v>16.929099999999998</v>
      </c>
      <c r="AA265" s="21">
        <v>-1.5850800000000002E-2</v>
      </c>
      <c r="AB265" s="21">
        <v>255</v>
      </c>
      <c r="AC265" s="21">
        <v>0.51400800000000002</v>
      </c>
      <c r="AD265">
        <f t="shared" si="40"/>
        <v>19.568888888888889</v>
      </c>
      <c r="AE265">
        <f t="shared" si="41"/>
        <v>10.095589777777779</v>
      </c>
      <c r="AF265" s="9"/>
      <c r="AG265" s="21">
        <v>1.18408</v>
      </c>
      <c r="AH265" s="21">
        <v>20.7483</v>
      </c>
      <c r="AI265" s="21">
        <v>-1.5096999999999999E-2</v>
      </c>
      <c r="AJ265" s="21">
        <v>255</v>
      </c>
      <c r="AK265" s="21">
        <v>1.18347</v>
      </c>
      <c r="AL265">
        <f t="shared" si="42"/>
        <v>18.638271604938272</v>
      </c>
      <c r="AM265">
        <f t="shared" si="43"/>
        <v>22.069204641975308</v>
      </c>
      <c r="AP265" s="9"/>
      <c r="AQ265" s="21">
        <v>0.51590000000000003</v>
      </c>
      <c r="AR265" s="21">
        <v>26.265799999999999</v>
      </c>
      <c r="AS265" s="21">
        <v>-1.5862999999999999E-2</v>
      </c>
      <c r="AT265" s="21">
        <v>255</v>
      </c>
      <c r="AU265" s="21">
        <v>0.51522800000000002</v>
      </c>
      <c r="AV265">
        <f t="shared" si="44"/>
        <v>19.58395061728395</v>
      </c>
      <c r="AW265">
        <f t="shared" si="45"/>
        <v>10.10336012345679</v>
      </c>
      <c r="AX265" s="9"/>
      <c r="AY265" s="21">
        <v>1.18408</v>
      </c>
      <c r="AZ265" s="21">
        <v>30.085000000000001</v>
      </c>
      <c r="BA265" s="21">
        <v>-1.5118400000000001E-2</v>
      </c>
      <c r="BB265" s="21">
        <v>255</v>
      </c>
      <c r="BC265" s="21">
        <v>1.18286</v>
      </c>
      <c r="BD265">
        <f t="shared" si="46"/>
        <v>18.66469135802469</v>
      </c>
      <c r="BE265">
        <f t="shared" si="47"/>
        <v>22.100487743209875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0.51086399999999998</v>
      </c>
      <c r="H266" s="21">
        <v>7.5605000000000002</v>
      </c>
      <c r="I266" s="21">
        <v>-1.5771500000000001E-2</v>
      </c>
      <c r="J266" s="21">
        <v>256</v>
      </c>
      <c r="K266" s="21">
        <v>0.51000999999999996</v>
      </c>
      <c r="L266">
        <f t="shared" si="36"/>
        <v>19.470987654320989</v>
      </c>
      <c r="M266">
        <f t="shared" si="37"/>
        <v>9.9470266370370375</v>
      </c>
      <c r="N266" s="9"/>
      <c r="O266" s="21">
        <v>1.18912</v>
      </c>
      <c r="P266" s="21">
        <v>11.3797</v>
      </c>
      <c r="Q266" s="21">
        <v>-1.5020800000000001E-2</v>
      </c>
      <c r="R266" s="21">
        <v>256</v>
      </c>
      <c r="S266" s="21">
        <v>1.1880500000000001</v>
      </c>
      <c r="T266">
        <f t="shared" si="38"/>
        <v>18.544197530864199</v>
      </c>
      <c r="U266">
        <f t="shared" si="39"/>
        <v>22.051276167901236</v>
      </c>
      <c r="X266" s="9"/>
      <c r="Y266" s="21">
        <v>0.51086399999999998</v>
      </c>
      <c r="Z266" s="21">
        <v>16.9392</v>
      </c>
      <c r="AA266" s="21">
        <v>-1.58569E-2</v>
      </c>
      <c r="AB266" s="21">
        <v>256</v>
      </c>
      <c r="AC266" s="21">
        <v>0.51077300000000003</v>
      </c>
      <c r="AD266">
        <f t="shared" si="40"/>
        <v>19.576419753086416</v>
      </c>
      <c r="AE266">
        <f t="shared" si="41"/>
        <v>10.000888100740738</v>
      </c>
      <c r="AF266" s="9"/>
      <c r="AG266" s="21">
        <v>1.18912</v>
      </c>
      <c r="AH266" s="21">
        <v>20.758400000000002</v>
      </c>
      <c r="AI266" s="21">
        <v>-1.5090900000000001E-2</v>
      </c>
      <c r="AJ266" s="21">
        <v>256</v>
      </c>
      <c r="AK266" s="21">
        <v>1.1880500000000001</v>
      </c>
      <c r="AL266">
        <f t="shared" si="42"/>
        <v>18.630740740740741</v>
      </c>
      <c r="AM266">
        <f t="shared" si="43"/>
        <v>22.154186429629629</v>
      </c>
      <c r="AP266" s="9"/>
      <c r="AQ266" s="21">
        <v>0.51086399999999998</v>
      </c>
      <c r="AR266" s="21">
        <v>26.2759</v>
      </c>
      <c r="AS266" s="21">
        <v>-1.58722E-2</v>
      </c>
      <c r="AT266" s="21">
        <v>256</v>
      </c>
      <c r="AU266" s="21">
        <v>0.51074200000000003</v>
      </c>
      <c r="AV266">
        <f t="shared" si="44"/>
        <v>19.595308641975304</v>
      </c>
      <c r="AW266">
        <f t="shared" si="45"/>
        <v>10.010537754074072</v>
      </c>
      <c r="AX266" s="9"/>
      <c r="AY266" s="21">
        <v>1.18912</v>
      </c>
      <c r="AZ266" s="21">
        <v>30.095099999999999</v>
      </c>
      <c r="BA266" s="21">
        <v>-1.51123E-2</v>
      </c>
      <c r="BB266" s="21">
        <v>256</v>
      </c>
      <c r="BC266" s="21">
        <v>1.1880500000000001</v>
      </c>
      <c r="BD266">
        <f t="shared" si="46"/>
        <v>18.65716049382716</v>
      </c>
      <c r="BE266">
        <f t="shared" si="47"/>
        <v>22.185602686419752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0.50582899999999997</v>
      </c>
      <c r="H267" s="21">
        <v>7.57057</v>
      </c>
      <c r="I267" s="21">
        <v>-1.5777599999999999E-2</v>
      </c>
      <c r="J267" s="21">
        <v>257</v>
      </c>
      <c r="K267" s="21">
        <v>0.50503500000000001</v>
      </c>
      <c r="L267">
        <f t="shared" si="36"/>
        <v>19.478518518518516</v>
      </c>
      <c r="M267">
        <f t="shared" si="37"/>
        <v>9.8527995437037017</v>
      </c>
      <c r="N267" s="9"/>
      <c r="O267" s="21">
        <v>1.19415</v>
      </c>
      <c r="P267" s="21">
        <v>11.389799999999999</v>
      </c>
      <c r="Q267" s="21">
        <v>-1.5014599999999999E-2</v>
      </c>
      <c r="R267" s="21">
        <v>257</v>
      </c>
      <c r="S267" s="21">
        <v>1.1926300000000001</v>
      </c>
      <c r="T267">
        <f t="shared" si="38"/>
        <v>18.536543209876541</v>
      </c>
      <c r="U267">
        <f t="shared" si="39"/>
        <v>22.135413074074073</v>
      </c>
      <c r="X267" s="9"/>
      <c r="Y267" s="21">
        <v>0.50582899999999997</v>
      </c>
      <c r="Z267" s="21">
        <v>16.949300000000001</v>
      </c>
      <c r="AA267" s="21">
        <v>-1.5859999999999999E-2</v>
      </c>
      <c r="AB267" s="21">
        <v>257</v>
      </c>
      <c r="AC267" s="21">
        <v>0.50585899999999995</v>
      </c>
      <c r="AD267">
        <f t="shared" si="40"/>
        <v>19.580246913580247</v>
      </c>
      <c r="AE267">
        <f t="shared" si="41"/>
        <v>9.9042567160493817</v>
      </c>
      <c r="AF267" s="9"/>
      <c r="AG267" s="21">
        <v>1.19415</v>
      </c>
      <c r="AH267" s="21">
        <v>20.7685</v>
      </c>
      <c r="AI267" s="21">
        <v>-1.5084800000000001E-2</v>
      </c>
      <c r="AJ267" s="21">
        <v>257</v>
      </c>
      <c r="AK267" s="21">
        <v>1.19354</v>
      </c>
      <c r="AL267">
        <f t="shared" si="42"/>
        <v>18.623209876543207</v>
      </c>
      <c r="AM267">
        <f t="shared" si="43"/>
        <v>22.238906074074073</v>
      </c>
      <c r="AP267" s="9"/>
      <c r="AQ267" s="21">
        <v>0.50582899999999997</v>
      </c>
      <c r="AR267" s="21">
        <v>26.286000000000001</v>
      </c>
      <c r="AS267" s="21">
        <v>-1.5878300000000001E-2</v>
      </c>
      <c r="AT267" s="21">
        <v>257</v>
      </c>
      <c r="AU267" s="21">
        <v>0.50518799999999997</v>
      </c>
      <c r="AV267">
        <f t="shared" si="44"/>
        <v>19.602839506172842</v>
      </c>
      <c r="AW267">
        <f t="shared" si="45"/>
        <v>9.9156847045679015</v>
      </c>
      <c r="AX267" s="9"/>
      <c r="AY267" s="21">
        <v>1.19415</v>
      </c>
      <c r="AZ267" s="21">
        <v>30.1052</v>
      </c>
      <c r="BA267" s="21">
        <v>-1.51062E-2</v>
      </c>
      <c r="BB267" s="21">
        <v>257</v>
      </c>
      <c r="BC267" s="21">
        <v>1.1932400000000001</v>
      </c>
      <c r="BD267">
        <f t="shared" si="46"/>
        <v>18.649629629629626</v>
      </c>
      <c r="BE267">
        <f t="shared" si="47"/>
        <v>22.270455222222218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0.50079300000000004</v>
      </c>
      <c r="H268" s="21">
        <v>7.5806399999999998</v>
      </c>
      <c r="I268" s="21">
        <v>-1.5783700000000001E-2</v>
      </c>
      <c r="J268" s="21">
        <v>258</v>
      </c>
      <c r="K268" s="21">
        <v>0.50015299999999996</v>
      </c>
      <c r="L268">
        <f t="shared" ref="L268:L331" si="48">-I268/$F$2*1000</f>
        <v>19.486049382716047</v>
      </c>
      <c r="M268">
        <f t="shared" ref="M268:M331" si="49">L268*G268</f>
        <v>9.7584771285185177</v>
      </c>
      <c r="N268" s="9"/>
      <c r="O268" s="21">
        <v>1.19919</v>
      </c>
      <c r="P268" s="21">
        <v>11.399800000000001</v>
      </c>
      <c r="Q268" s="21">
        <v>-1.5008499999999999E-2</v>
      </c>
      <c r="R268" s="21">
        <v>258</v>
      </c>
      <c r="S268" s="21">
        <v>1.1984300000000001</v>
      </c>
      <c r="T268">
        <f t="shared" ref="T268:T331" si="50">-Q268/$F$2*1000</f>
        <v>18.529012345679011</v>
      </c>
      <c r="U268">
        <f t="shared" ref="U268:U331" si="51">T268*O268</f>
        <v>22.219806314814811</v>
      </c>
      <c r="X268" s="9"/>
      <c r="Y268" s="21">
        <v>0.50079300000000004</v>
      </c>
      <c r="Z268" s="21">
        <v>16.959299999999999</v>
      </c>
      <c r="AA268" s="21">
        <v>-1.5866100000000001E-2</v>
      </c>
      <c r="AB268" s="21">
        <v>258</v>
      </c>
      <c r="AC268" s="21">
        <v>0.50009199999999998</v>
      </c>
      <c r="AD268">
        <f t="shared" ref="AD268:AD331" si="52">-AA268/$F$2*1000</f>
        <v>19.587777777777777</v>
      </c>
      <c r="AE268">
        <f t="shared" ref="AE268:AE331" si="53">AD268*Y268</f>
        <v>9.8094219966666678</v>
      </c>
      <c r="AF268" s="9"/>
      <c r="AG268" s="21">
        <v>1.19919</v>
      </c>
      <c r="AH268" s="21">
        <v>20.778500000000001</v>
      </c>
      <c r="AI268" s="21">
        <v>-1.5075699999999999E-2</v>
      </c>
      <c r="AJ268" s="21">
        <v>258</v>
      </c>
      <c r="AK268" s="21">
        <v>1.1981200000000001</v>
      </c>
      <c r="AL268">
        <f t="shared" ref="AL268:AL331" si="54">-AI268/$F$2*1000</f>
        <v>18.611975308641973</v>
      </c>
      <c r="AM268">
        <f t="shared" ref="AM268:AM331" si="55">AL268*AG268</f>
        <v>22.319294670370368</v>
      </c>
      <c r="AP268" s="9"/>
      <c r="AQ268" s="21">
        <v>0.50079300000000004</v>
      </c>
      <c r="AR268" s="21">
        <v>26.296099999999999</v>
      </c>
      <c r="AS268" s="21">
        <v>-1.5881300000000001E-2</v>
      </c>
      <c r="AT268" s="21">
        <v>258</v>
      </c>
      <c r="AU268" s="21">
        <v>0.49978600000000001</v>
      </c>
      <c r="AV268">
        <f t="shared" ref="AV268:AV331" si="56">-AS268/$F$2*1000</f>
        <v>19.606543209876545</v>
      </c>
      <c r="AW268">
        <f t="shared" ref="AW268:AW331" si="57">AV268*AQ268</f>
        <v>9.8188195937037062</v>
      </c>
      <c r="AX268" s="9"/>
      <c r="AY268" s="21">
        <v>1.19919</v>
      </c>
      <c r="AZ268" s="21">
        <v>30.115200000000002</v>
      </c>
      <c r="BA268" s="21">
        <v>-1.51001E-2</v>
      </c>
      <c r="BB268" s="21">
        <v>258</v>
      </c>
      <c r="BC268" s="21">
        <v>1.19781</v>
      </c>
      <c r="BD268">
        <f t="shared" ref="BD268:BD331" si="58">-BA268/$F$2*1000</f>
        <v>18.642098765432099</v>
      </c>
      <c r="BE268">
        <f t="shared" ref="BE268:BE331" si="59">BD268*AY268</f>
        <v>22.355418418518518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0.49575799999999998</v>
      </c>
      <c r="H269" s="21">
        <v>7.5907099999999996</v>
      </c>
      <c r="I269" s="21">
        <v>-1.57898E-2</v>
      </c>
      <c r="J269" s="21">
        <v>259</v>
      </c>
      <c r="K269" s="21">
        <v>0.495087</v>
      </c>
      <c r="L269">
        <f t="shared" si="48"/>
        <v>19.493580246913581</v>
      </c>
      <c r="M269">
        <f t="shared" si="49"/>
        <v>9.6640983560493829</v>
      </c>
      <c r="N269" s="9"/>
      <c r="O269" s="21">
        <v>1.2042200000000001</v>
      </c>
      <c r="P269" s="21">
        <v>11.4099</v>
      </c>
      <c r="Q269" s="21">
        <v>-1.50055E-2</v>
      </c>
      <c r="R269" s="21">
        <v>259</v>
      </c>
      <c r="S269" s="21">
        <v>1.2027000000000001</v>
      </c>
      <c r="T269">
        <f t="shared" si="50"/>
        <v>18.525308641975307</v>
      </c>
      <c r="U269">
        <f t="shared" si="51"/>
        <v>22.308547172839507</v>
      </c>
      <c r="X269" s="9"/>
      <c r="Y269" s="21">
        <v>0.49575799999999998</v>
      </c>
      <c r="Z269" s="21">
        <v>16.9694</v>
      </c>
      <c r="AA269" s="21">
        <v>-1.58722E-2</v>
      </c>
      <c r="AB269" s="21">
        <v>259</v>
      </c>
      <c r="AC269" s="21">
        <v>0.495056</v>
      </c>
      <c r="AD269">
        <f t="shared" si="52"/>
        <v>19.595308641975304</v>
      </c>
      <c r="AE269">
        <f t="shared" si="53"/>
        <v>9.7145310217283924</v>
      </c>
      <c r="AF269" s="9"/>
      <c r="AG269" s="21">
        <v>1.2042200000000001</v>
      </c>
      <c r="AH269" s="21">
        <v>20.788599999999999</v>
      </c>
      <c r="AI269" s="21">
        <v>-1.5069600000000001E-2</v>
      </c>
      <c r="AJ269" s="21">
        <v>259</v>
      </c>
      <c r="AK269" s="21">
        <v>1.2027000000000001</v>
      </c>
      <c r="AL269">
        <f t="shared" si="54"/>
        <v>18.604444444444443</v>
      </c>
      <c r="AM269">
        <f t="shared" si="55"/>
        <v>22.403844088888889</v>
      </c>
      <c r="AP269" s="9"/>
      <c r="AQ269" s="21">
        <v>0.49575799999999998</v>
      </c>
      <c r="AR269" s="21">
        <v>26.306100000000001</v>
      </c>
      <c r="AS269" s="21">
        <v>-1.5887499999999999E-2</v>
      </c>
      <c r="AT269" s="21">
        <v>259</v>
      </c>
      <c r="AU269" s="21">
        <v>0.49502600000000002</v>
      </c>
      <c r="AV269">
        <f t="shared" si="56"/>
        <v>19.614197530864196</v>
      </c>
      <c r="AW269">
        <f t="shared" si="57"/>
        <v>9.7238953395061714</v>
      </c>
      <c r="AX269" s="9"/>
      <c r="AY269" s="21">
        <v>1.2042200000000001</v>
      </c>
      <c r="AZ269" s="21">
        <v>30.125299999999999</v>
      </c>
      <c r="BA269" s="21">
        <v>-1.5094E-2</v>
      </c>
      <c r="BB269" s="21">
        <v>259</v>
      </c>
      <c r="BC269" s="21">
        <v>1.2033100000000001</v>
      </c>
      <c r="BD269">
        <f t="shared" si="58"/>
        <v>18.634567901234568</v>
      </c>
      <c r="BE269">
        <f t="shared" si="59"/>
        <v>22.440119358024692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0.49072300000000002</v>
      </c>
      <c r="H270" s="21">
        <v>7.6007800000000003</v>
      </c>
      <c r="I270" s="21">
        <v>-1.5795900000000002E-2</v>
      </c>
      <c r="J270" s="21">
        <v>260</v>
      </c>
      <c r="K270" s="21">
        <v>0.48980699999999999</v>
      </c>
      <c r="L270">
        <f t="shared" si="48"/>
        <v>19.501111111111111</v>
      </c>
      <c r="M270">
        <f t="shared" si="49"/>
        <v>9.5696437477777785</v>
      </c>
      <c r="N270" s="9"/>
      <c r="O270" s="21">
        <v>1.20926</v>
      </c>
      <c r="P270" s="21">
        <v>11.42</v>
      </c>
      <c r="Q270" s="21">
        <v>-1.49994E-2</v>
      </c>
      <c r="R270" s="21">
        <v>260</v>
      </c>
      <c r="S270" s="21">
        <v>1.2081900000000001</v>
      </c>
      <c r="T270">
        <f t="shared" si="50"/>
        <v>18.517777777777777</v>
      </c>
      <c r="U270">
        <f t="shared" si="51"/>
        <v>22.392807955555554</v>
      </c>
      <c r="X270" s="9"/>
      <c r="Y270" s="21">
        <v>0.49072300000000002</v>
      </c>
      <c r="Z270" s="21">
        <v>16.979500000000002</v>
      </c>
      <c r="AA270" s="21">
        <v>-1.5878300000000001E-2</v>
      </c>
      <c r="AB270" s="21">
        <v>260</v>
      </c>
      <c r="AC270" s="21">
        <v>0.49017300000000003</v>
      </c>
      <c r="AD270">
        <f t="shared" si="52"/>
        <v>19.602839506172842</v>
      </c>
      <c r="AE270">
        <f t="shared" si="53"/>
        <v>9.6195642109876562</v>
      </c>
      <c r="AF270" s="9"/>
      <c r="AG270" s="21">
        <v>1.20926</v>
      </c>
      <c r="AH270" s="21">
        <v>20.7987</v>
      </c>
      <c r="AI270" s="21">
        <v>-1.5063500000000001E-2</v>
      </c>
      <c r="AJ270" s="21">
        <v>260</v>
      </c>
      <c r="AK270" s="21">
        <v>1.2078899999999999</v>
      </c>
      <c r="AL270">
        <f t="shared" si="54"/>
        <v>18.596913580246913</v>
      </c>
      <c r="AM270">
        <f t="shared" si="55"/>
        <v>22.488503716049383</v>
      </c>
      <c r="AP270" s="9"/>
      <c r="AQ270" s="21">
        <v>0.49072300000000002</v>
      </c>
      <c r="AR270" s="21">
        <v>26.316199999999998</v>
      </c>
      <c r="AS270" s="21">
        <v>-1.5893600000000001E-2</v>
      </c>
      <c r="AT270" s="21">
        <v>260</v>
      </c>
      <c r="AU270" s="21">
        <v>0.49005100000000001</v>
      </c>
      <c r="AV270">
        <f t="shared" si="56"/>
        <v>19.621728395061727</v>
      </c>
      <c r="AW270">
        <f t="shared" si="57"/>
        <v>9.6288334232098762</v>
      </c>
      <c r="AX270" s="9"/>
      <c r="AY270" s="21">
        <v>1.20926</v>
      </c>
      <c r="AZ270" s="21">
        <v>30.135400000000001</v>
      </c>
      <c r="BA270" s="21">
        <v>-1.50879E-2</v>
      </c>
      <c r="BB270" s="21">
        <v>260</v>
      </c>
      <c r="BC270" s="21">
        <v>1.2081900000000001</v>
      </c>
      <c r="BD270">
        <f t="shared" si="58"/>
        <v>18.627037037037034</v>
      </c>
      <c r="BE270">
        <f t="shared" si="59"/>
        <v>22.524930807407404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0.48568699999999998</v>
      </c>
      <c r="H271" s="21">
        <v>7.6108500000000001</v>
      </c>
      <c r="I271" s="21">
        <v>-1.5805099999999999E-2</v>
      </c>
      <c r="J271" s="21">
        <v>261</v>
      </c>
      <c r="K271" s="21">
        <v>0.484985</v>
      </c>
      <c r="L271">
        <f t="shared" si="48"/>
        <v>19.512469135802469</v>
      </c>
      <c r="M271">
        <f t="shared" si="49"/>
        <v>9.4769525971604942</v>
      </c>
      <c r="N271" s="9"/>
      <c r="O271" s="21">
        <v>1.2142900000000001</v>
      </c>
      <c r="P271" s="21">
        <v>11.43</v>
      </c>
      <c r="Q271" s="21">
        <v>-1.4993299999999999E-2</v>
      </c>
      <c r="R271" s="21">
        <v>261</v>
      </c>
      <c r="S271" s="21">
        <v>1.2130700000000001</v>
      </c>
      <c r="T271">
        <f t="shared" si="50"/>
        <v>18.510246913580243</v>
      </c>
      <c r="U271">
        <f t="shared" si="51"/>
        <v>22.476807724691355</v>
      </c>
      <c r="X271" s="9"/>
      <c r="Y271" s="21">
        <v>0.48568699999999998</v>
      </c>
      <c r="Z271" s="21">
        <v>16.9895</v>
      </c>
      <c r="AA271" s="21">
        <v>-1.58844E-2</v>
      </c>
      <c r="AB271" s="21">
        <v>261</v>
      </c>
      <c r="AC271" s="21">
        <v>0.48492400000000002</v>
      </c>
      <c r="AD271">
        <f t="shared" si="52"/>
        <v>19.610370370370369</v>
      </c>
      <c r="AE271">
        <f t="shared" si="53"/>
        <v>9.5245019540740721</v>
      </c>
      <c r="AF271" s="9"/>
      <c r="AG271" s="21">
        <v>1.2142900000000001</v>
      </c>
      <c r="AH271" s="21">
        <v>20.808700000000002</v>
      </c>
      <c r="AI271" s="21">
        <v>-1.50604E-2</v>
      </c>
      <c r="AJ271" s="21">
        <v>261</v>
      </c>
      <c r="AK271" s="21">
        <v>1.2127699999999999</v>
      </c>
      <c r="AL271">
        <f t="shared" si="54"/>
        <v>18.593086419753085</v>
      </c>
      <c r="AM271">
        <f t="shared" si="55"/>
        <v>22.577398908641975</v>
      </c>
      <c r="AP271" s="9"/>
      <c r="AQ271" s="21">
        <v>0.48568699999999998</v>
      </c>
      <c r="AR271" s="21">
        <v>26.3263</v>
      </c>
      <c r="AS271" s="21">
        <v>-1.58966E-2</v>
      </c>
      <c r="AT271" s="21">
        <v>261</v>
      </c>
      <c r="AU271" s="21">
        <v>0.48458899999999999</v>
      </c>
      <c r="AV271">
        <f t="shared" si="56"/>
        <v>19.625432098765433</v>
      </c>
      <c r="AW271">
        <f t="shared" si="57"/>
        <v>9.5318172397530869</v>
      </c>
      <c r="AX271" s="9"/>
      <c r="AY271" s="21">
        <v>1.2142900000000001</v>
      </c>
      <c r="AZ271" s="21">
        <v>30.145499999999998</v>
      </c>
      <c r="BA271" s="21">
        <v>-1.5081799999999999E-2</v>
      </c>
      <c r="BB271" s="21">
        <v>261</v>
      </c>
      <c r="BC271" s="21">
        <v>1.2130700000000001</v>
      </c>
      <c r="BD271">
        <f t="shared" si="58"/>
        <v>18.619506172839504</v>
      </c>
      <c r="BE271">
        <f t="shared" si="59"/>
        <v>22.609480150617284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0.48065200000000002</v>
      </c>
      <c r="H272" s="21">
        <v>7.6209199999999999</v>
      </c>
      <c r="I272" s="21">
        <v>-1.5811200000000001E-2</v>
      </c>
      <c r="J272" s="21">
        <v>262</v>
      </c>
      <c r="K272" s="21">
        <v>0.47998000000000002</v>
      </c>
      <c r="L272">
        <f t="shared" si="48"/>
        <v>19.52</v>
      </c>
      <c r="M272">
        <f t="shared" si="49"/>
        <v>9.3823270399999998</v>
      </c>
      <c r="N272" s="9"/>
      <c r="O272" s="21">
        <v>1.21933</v>
      </c>
      <c r="P272" s="21">
        <v>11.440099999999999</v>
      </c>
      <c r="Q272" s="21">
        <v>-1.4987199999999999E-2</v>
      </c>
      <c r="R272" s="21">
        <v>262</v>
      </c>
      <c r="S272" s="21">
        <v>1.2179599999999999</v>
      </c>
      <c r="T272">
        <f t="shared" si="50"/>
        <v>18.502716049382713</v>
      </c>
      <c r="U272">
        <f t="shared" si="51"/>
        <v>22.560916760493825</v>
      </c>
      <c r="X272" s="9"/>
      <c r="Y272" s="21">
        <v>0.48065200000000002</v>
      </c>
      <c r="Z272" s="21">
        <v>16.999600000000001</v>
      </c>
      <c r="AA272" s="21">
        <v>-1.5890499999999998E-2</v>
      </c>
      <c r="AB272" s="21">
        <v>262</v>
      </c>
      <c r="AC272" s="21">
        <v>0.47988900000000001</v>
      </c>
      <c r="AD272">
        <f t="shared" si="52"/>
        <v>19.617901234567896</v>
      </c>
      <c r="AE272">
        <f t="shared" si="53"/>
        <v>9.429383464197528</v>
      </c>
      <c r="AF272" s="9"/>
      <c r="AG272" s="21">
        <v>1.21933</v>
      </c>
      <c r="AH272" s="21">
        <v>20.8188</v>
      </c>
      <c r="AI272" s="21">
        <v>-1.50543E-2</v>
      </c>
      <c r="AJ272" s="21">
        <v>262</v>
      </c>
      <c r="AK272" s="21">
        <v>1.2182599999999999</v>
      </c>
      <c r="AL272">
        <f t="shared" si="54"/>
        <v>18.585555555555555</v>
      </c>
      <c r="AM272">
        <f t="shared" si="55"/>
        <v>22.661925455555554</v>
      </c>
      <c r="AP272" s="9"/>
      <c r="AQ272" s="21">
        <v>0.48065200000000002</v>
      </c>
      <c r="AR272" s="21">
        <v>26.336300000000001</v>
      </c>
      <c r="AS272" s="21">
        <v>-1.5905800000000001E-2</v>
      </c>
      <c r="AT272" s="21">
        <v>262</v>
      </c>
      <c r="AU272" s="21">
        <v>0.480103</v>
      </c>
      <c r="AV272">
        <f t="shared" si="56"/>
        <v>19.636790123456791</v>
      </c>
      <c r="AW272">
        <f t="shared" si="57"/>
        <v>9.438462446419754</v>
      </c>
      <c r="AX272" s="9"/>
      <c r="AY272" s="21">
        <v>1.21933</v>
      </c>
      <c r="AZ272" s="21">
        <v>30.1555</v>
      </c>
      <c r="BA272" s="21">
        <v>-1.5075699999999999E-2</v>
      </c>
      <c r="BB272" s="21">
        <v>262</v>
      </c>
      <c r="BC272" s="21">
        <v>1.2182599999999999</v>
      </c>
      <c r="BD272">
        <f t="shared" si="58"/>
        <v>18.611975308641973</v>
      </c>
      <c r="BE272">
        <f t="shared" si="59"/>
        <v>22.694139853086419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0.47561599999999998</v>
      </c>
      <c r="H273" s="21">
        <v>7.6309899999999997</v>
      </c>
      <c r="I273" s="21">
        <v>-1.5820299999999999E-2</v>
      </c>
      <c r="J273" s="21">
        <v>263</v>
      </c>
      <c r="K273" s="21">
        <v>0.47500599999999998</v>
      </c>
      <c r="L273">
        <f t="shared" si="48"/>
        <v>19.53123456790123</v>
      </c>
      <c r="M273">
        <f t="shared" si="49"/>
        <v>9.2893676602469117</v>
      </c>
      <c r="N273" s="9"/>
      <c r="O273" s="21">
        <v>1.22437</v>
      </c>
      <c r="P273" s="21">
        <v>11.450200000000001</v>
      </c>
      <c r="Q273" s="21">
        <v>-1.4981100000000001E-2</v>
      </c>
      <c r="R273" s="21">
        <v>263</v>
      </c>
      <c r="S273" s="21">
        <v>1.2234499999999999</v>
      </c>
      <c r="T273">
        <f t="shared" si="50"/>
        <v>18.495185185185186</v>
      </c>
      <c r="U273">
        <f t="shared" si="51"/>
        <v>22.644949885185184</v>
      </c>
      <c r="X273" s="9"/>
      <c r="Y273" s="21">
        <v>0.47561599999999998</v>
      </c>
      <c r="Z273" s="21">
        <v>17.009699999999999</v>
      </c>
      <c r="AA273" s="21">
        <v>-1.58966E-2</v>
      </c>
      <c r="AB273" s="21">
        <v>263</v>
      </c>
      <c r="AC273" s="21">
        <v>0.47494500000000001</v>
      </c>
      <c r="AD273">
        <f t="shared" si="52"/>
        <v>19.625432098765433</v>
      </c>
      <c r="AE273">
        <f t="shared" si="53"/>
        <v>9.3341695130864206</v>
      </c>
      <c r="AF273" s="9"/>
      <c r="AG273" s="21">
        <v>1.22437</v>
      </c>
      <c r="AH273" s="21">
        <v>20.828900000000001</v>
      </c>
      <c r="AI273" s="21">
        <v>-1.5048199999999999E-2</v>
      </c>
      <c r="AJ273" s="21">
        <v>263</v>
      </c>
      <c r="AK273" s="21">
        <v>1.2234499999999999</v>
      </c>
      <c r="AL273">
        <f t="shared" si="54"/>
        <v>18.578024691358021</v>
      </c>
      <c r="AM273">
        <f t="shared" si="55"/>
        <v>22.74637609135802</v>
      </c>
      <c r="AP273" s="9"/>
      <c r="AQ273" s="21">
        <v>0.47561599999999998</v>
      </c>
      <c r="AR273" s="21">
        <v>26.346399999999999</v>
      </c>
      <c r="AS273" s="21">
        <v>-1.5914899999999999E-2</v>
      </c>
      <c r="AT273" s="21">
        <v>263</v>
      </c>
      <c r="AU273" s="21">
        <v>0.47479199999999999</v>
      </c>
      <c r="AV273">
        <f t="shared" si="56"/>
        <v>19.648024691358025</v>
      </c>
      <c r="AW273">
        <f t="shared" si="57"/>
        <v>9.3449149116049384</v>
      </c>
      <c r="AX273" s="9"/>
      <c r="AY273" s="21">
        <v>1.22437</v>
      </c>
      <c r="AZ273" s="21">
        <v>30.165600000000001</v>
      </c>
      <c r="BA273" s="21">
        <v>-1.5069600000000001E-2</v>
      </c>
      <c r="BB273" s="21">
        <v>263</v>
      </c>
      <c r="BC273" s="21">
        <v>1.2237499999999999</v>
      </c>
      <c r="BD273">
        <f t="shared" si="58"/>
        <v>18.604444444444443</v>
      </c>
      <c r="BE273">
        <f t="shared" si="59"/>
        <v>22.77872364444444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0.47058100000000003</v>
      </c>
      <c r="H274" s="21">
        <v>7.6410600000000004</v>
      </c>
      <c r="I274" s="21">
        <v>-1.5826400000000001E-2</v>
      </c>
      <c r="J274" s="21">
        <v>264</v>
      </c>
      <c r="K274" s="21">
        <v>0.46994000000000002</v>
      </c>
      <c r="L274">
        <f t="shared" si="48"/>
        <v>19.538765432098767</v>
      </c>
      <c r="M274">
        <f t="shared" si="49"/>
        <v>9.194571775802471</v>
      </c>
      <c r="N274" s="9"/>
      <c r="O274" s="21">
        <v>1.2294</v>
      </c>
      <c r="P274" s="21">
        <v>11.4603</v>
      </c>
      <c r="Q274" s="21">
        <v>-1.4978E-2</v>
      </c>
      <c r="R274" s="21">
        <v>264</v>
      </c>
      <c r="S274" s="21">
        <v>1.2283299999999999</v>
      </c>
      <c r="T274">
        <f t="shared" si="50"/>
        <v>18.491358024691355</v>
      </c>
      <c r="U274">
        <f t="shared" si="51"/>
        <v>22.733275555555551</v>
      </c>
      <c r="X274" s="9"/>
      <c r="Y274" s="21">
        <v>0.47058100000000003</v>
      </c>
      <c r="Z274" s="21">
        <v>17.0198</v>
      </c>
      <c r="AA274" s="21">
        <v>-1.5902699999999999E-2</v>
      </c>
      <c r="AB274" s="21">
        <v>264</v>
      </c>
      <c r="AC274" s="21">
        <v>0.46994000000000002</v>
      </c>
      <c r="AD274">
        <f t="shared" si="52"/>
        <v>19.63296296296296</v>
      </c>
      <c r="AE274">
        <f t="shared" si="53"/>
        <v>9.2388993440740741</v>
      </c>
      <c r="AF274" s="9"/>
      <c r="AG274" s="21">
        <v>1.2294</v>
      </c>
      <c r="AH274" s="21">
        <v>20.838899999999999</v>
      </c>
      <c r="AI274" s="21">
        <v>-1.5042099999999999E-2</v>
      </c>
      <c r="AJ274" s="21">
        <v>264</v>
      </c>
      <c r="AK274" s="21">
        <v>1.2283299999999999</v>
      </c>
      <c r="AL274">
        <f t="shared" si="54"/>
        <v>18.570493827160494</v>
      </c>
      <c r="AM274">
        <f t="shared" si="55"/>
        <v>22.830565111111113</v>
      </c>
      <c r="AP274" s="9"/>
      <c r="AQ274" s="21">
        <v>0.47058100000000003</v>
      </c>
      <c r="AR274" s="21">
        <v>26.3565</v>
      </c>
      <c r="AS274" s="21">
        <v>-1.5921000000000001E-2</v>
      </c>
      <c r="AT274" s="21">
        <v>264</v>
      </c>
      <c r="AU274" s="21">
        <v>0.47036699999999998</v>
      </c>
      <c r="AV274">
        <f t="shared" si="56"/>
        <v>19.655555555555555</v>
      </c>
      <c r="AW274">
        <f t="shared" si="57"/>
        <v>9.249530988888889</v>
      </c>
      <c r="AX274" s="9"/>
      <c r="AY274" s="21">
        <v>1.2294</v>
      </c>
      <c r="AZ274" s="21">
        <v>30.175699999999999</v>
      </c>
      <c r="BA274" s="21">
        <v>-1.5063500000000001E-2</v>
      </c>
      <c r="BB274" s="21">
        <v>264</v>
      </c>
      <c r="BC274" s="21">
        <v>1.2289399999999999</v>
      </c>
      <c r="BD274">
        <f t="shared" si="58"/>
        <v>18.596913580246913</v>
      </c>
      <c r="BE274">
        <f t="shared" si="59"/>
        <v>22.863045555555555</v>
      </c>
    </row>
    <row r="275" spans="6:101" x14ac:dyDescent="0.25">
      <c r="F275" s="9"/>
      <c r="G275" s="21">
        <v>0.46554600000000002</v>
      </c>
      <c r="H275" s="21">
        <v>7.6511300000000002</v>
      </c>
      <c r="I275" s="21">
        <v>-1.5832499999999999E-2</v>
      </c>
      <c r="J275" s="21">
        <v>265</v>
      </c>
      <c r="K275" s="21">
        <v>0.46487400000000001</v>
      </c>
      <c r="L275">
        <f t="shared" si="48"/>
        <v>19.546296296296294</v>
      </c>
      <c r="M275">
        <f t="shared" si="49"/>
        <v>9.0997000555555552</v>
      </c>
      <c r="N275" s="9"/>
      <c r="O275" s="21">
        <v>1.23444</v>
      </c>
      <c r="P275" s="21">
        <v>11.4703</v>
      </c>
      <c r="Q275" s="21">
        <v>-1.49689E-2</v>
      </c>
      <c r="R275" s="21">
        <v>265</v>
      </c>
      <c r="S275" s="21">
        <v>1.23383</v>
      </c>
      <c r="T275">
        <f t="shared" si="50"/>
        <v>18.480123456790125</v>
      </c>
      <c r="U275">
        <f t="shared" si="51"/>
        <v>22.812603600000003</v>
      </c>
      <c r="X275" s="9"/>
      <c r="Y275" s="21">
        <v>0.46554600000000002</v>
      </c>
      <c r="Z275" s="21">
        <v>17.029800000000002</v>
      </c>
      <c r="AA275" s="21">
        <v>-1.59119E-2</v>
      </c>
      <c r="AB275" s="21">
        <v>265</v>
      </c>
      <c r="AC275" s="21">
        <v>0.46487400000000001</v>
      </c>
      <c r="AD275">
        <f t="shared" si="52"/>
        <v>19.644320987654318</v>
      </c>
      <c r="AE275">
        <f t="shared" si="53"/>
        <v>9.1453350585185174</v>
      </c>
      <c r="AF275" s="9"/>
      <c r="AG275" s="21">
        <v>1.23444</v>
      </c>
      <c r="AH275" s="21">
        <v>20.849</v>
      </c>
      <c r="AI275" s="21">
        <v>-1.5036000000000001E-2</v>
      </c>
      <c r="AJ275" s="21">
        <v>265</v>
      </c>
      <c r="AK275" s="21">
        <v>1.23322</v>
      </c>
      <c r="AL275">
        <f t="shared" si="54"/>
        <v>18.562962962962963</v>
      </c>
      <c r="AM275">
        <f t="shared" si="55"/>
        <v>22.914864000000001</v>
      </c>
      <c r="AP275" s="9"/>
      <c r="AQ275" s="21">
        <v>0.46554600000000002</v>
      </c>
      <c r="AR275" s="21">
        <v>26.366599999999998</v>
      </c>
      <c r="AS275" s="21">
        <v>-1.5930199999999999E-2</v>
      </c>
      <c r="AT275" s="21">
        <v>265</v>
      </c>
      <c r="AU275" s="21">
        <v>0.464752</v>
      </c>
      <c r="AV275">
        <f t="shared" si="56"/>
        <v>19.666913580246909</v>
      </c>
      <c r="AW275">
        <f t="shared" si="57"/>
        <v>9.1558529496296277</v>
      </c>
      <c r="AX275" s="9"/>
      <c r="AY275" s="21">
        <v>1.23444</v>
      </c>
      <c r="AZ275" s="21">
        <v>30.185700000000001</v>
      </c>
      <c r="BA275" s="21">
        <v>-1.50574E-2</v>
      </c>
      <c r="BB275" s="21">
        <v>265</v>
      </c>
      <c r="BC275" s="21">
        <v>1.2335199999999999</v>
      </c>
      <c r="BD275">
        <f t="shared" si="58"/>
        <v>18.589382716049382</v>
      </c>
      <c r="BE275">
        <f t="shared" si="59"/>
        <v>22.947477599999999</v>
      </c>
    </row>
    <row r="276" spans="6:101" x14ac:dyDescent="0.25">
      <c r="F276" s="9"/>
      <c r="G276" s="21">
        <v>0.46050999999999997</v>
      </c>
      <c r="H276" s="21">
        <v>7.6612099999999996</v>
      </c>
      <c r="I276" s="21">
        <v>-1.5838600000000001E-2</v>
      </c>
      <c r="J276" s="21">
        <v>266</v>
      </c>
      <c r="K276" s="21">
        <v>0.45989999999999998</v>
      </c>
      <c r="L276">
        <f t="shared" si="48"/>
        <v>19.553827160493825</v>
      </c>
      <c r="M276">
        <f t="shared" si="49"/>
        <v>9.0047329456790113</v>
      </c>
      <c r="N276" s="9"/>
      <c r="O276" s="21">
        <v>1.2394700000000001</v>
      </c>
      <c r="P276" s="21">
        <v>11.480399999999999</v>
      </c>
      <c r="Q276" s="21">
        <v>-1.49628E-2</v>
      </c>
      <c r="R276" s="21">
        <v>266</v>
      </c>
      <c r="S276" s="21">
        <v>1.2390099999999999</v>
      </c>
      <c r="T276">
        <f t="shared" si="50"/>
        <v>18.472592592592594</v>
      </c>
      <c r="U276">
        <f t="shared" si="51"/>
        <v>22.896224340740744</v>
      </c>
      <c r="X276" s="9"/>
      <c r="Y276" s="21">
        <v>0.46050999999999997</v>
      </c>
      <c r="Z276" s="21">
        <v>17.039899999999999</v>
      </c>
      <c r="AA276" s="21">
        <v>-1.5914899999999999E-2</v>
      </c>
      <c r="AB276" s="21">
        <v>266</v>
      </c>
      <c r="AC276" s="21">
        <v>0.459839</v>
      </c>
      <c r="AD276">
        <f t="shared" si="52"/>
        <v>19.648024691358025</v>
      </c>
      <c r="AE276">
        <f t="shared" si="53"/>
        <v>9.0481118506172837</v>
      </c>
      <c r="AF276" s="9"/>
      <c r="AG276" s="21">
        <v>1.2394700000000001</v>
      </c>
      <c r="AH276" s="21">
        <v>20.859100000000002</v>
      </c>
      <c r="AI276" s="21">
        <v>-1.5029900000000001E-2</v>
      </c>
      <c r="AJ276" s="21">
        <v>266</v>
      </c>
      <c r="AK276" s="21">
        <v>1.23871</v>
      </c>
      <c r="AL276">
        <f t="shared" si="54"/>
        <v>18.555432098765429</v>
      </c>
      <c r="AM276">
        <f t="shared" si="55"/>
        <v>22.99890142345679</v>
      </c>
      <c r="AP276" s="9"/>
      <c r="AQ276" s="21">
        <v>0.46050999999999997</v>
      </c>
      <c r="AR276" s="21">
        <v>26.3766</v>
      </c>
      <c r="AS276" s="21">
        <v>-1.59363E-2</v>
      </c>
      <c r="AT276" s="21">
        <v>266</v>
      </c>
      <c r="AU276" s="21">
        <v>0.45996100000000001</v>
      </c>
      <c r="AV276">
        <f t="shared" si="56"/>
        <v>19.674444444444443</v>
      </c>
      <c r="AW276">
        <f t="shared" si="57"/>
        <v>9.0602784111111099</v>
      </c>
      <c r="AX276" s="9"/>
      <c r="AY276" s="21">
        <v>1.2394700000000001</v>
      </c>
      <c r="AZ276" s="21">
        <v>30.195799999999998</v>
      </c>
      <c r="BA276" s="21">
        <v>-1.50513E-2</v>
      </c>
      <c r="BB276" s="21">
        <v>266</v>
      </c>
      <c r="BC276" s="21">
        <v>1.23871</v>
      </c>
      <c r="BD276">
        <f t="shared" si="58"/>
        <v>18.581851851851848</v>
      </c>
      <c r="BE276">
        <f t="shared" si="59"/>
        <v>23.031647914814812</v>
      </c>
    </row>
    <row r="277" spans="6:101" x14ac:dyDescent="0.25">
      <c r="F277" s="9"/>
      <c r="G277" s="21">
        <v>0.45547500000000002</v>
      </c>
      <c r="H277" s="21">
        <v>7.6712800000000003</v>
      </c>
      <c r="I277" s="21">
        <v>-1.58447E-2</v>
      </c>
      <c r="J277" s="21">
        <v>267</v>
      </c>
      <c r="K277" s="21">
        <v>0.45477299999999998</v>
      </c>
      <c r="L277">
        <f t="shared" si="48"/>
        <v>19.561358024691359</v>
      </c>
      <c r="M277">
        <f t="shared" si="49"/>
        <v>8.9097095462962965</v>
      </c>
      <c r="N277" s="9"/>
      <c r="O277" s="21">
        <v>1.24451</v>
      </c>
      <c r="P277" s="21">
        <v>11.490500000000001</v>
      </c>
      <c r="Q277" s="21">
        <v>-1.4959699999999999E-2</v>
      </c>
      <c r="R277" s="21">
        <v>267</v>
      </c>
      <c r="S277" s="21">
        <v>1.24359</v>
      </c>
      <c r="T277">
        <f t="shared" si="50"/>
        <v>18.468765432098763</v>
      </c>
      <c r="U277">
        <f t="shared" si="51"/>
        <v>22.984563267901233</v>
      </c>
      <c r="X277" s="9"/>
      <c r="Y277" s="21">
        <v>0.45547500000000002</v>
      </c>
      <c r="Z277" s="21">
        <v>17.05</v>
      </c>
      <c r="AA277" s="21">
        <v>-1.5921000000000001E-2</v>
      </c>
      <c r="AB277" s="21">
        <v>267</v>
      </c>
      <c r="AC277" s="21">
        <v>0.45486500000000002</v>
      </c>
      <c r="AD277">
        <f t="shared" si="52"/>
        <v>19.655555555555555</v>
      </c>
      <c r="AE277">
        <f t="shared" si="53"/>
        <v>8.9526141666666668</v>
      </c>
      <c r="AF277" s="9"/>
      <c r="AG277" s="21">
        <v>1.24451</v>
      </c>
      <c r="AH277" s="21">
        <v>20.869199999999999</v>
      </c>
      <c r="AI277" s="21">
        <v>-1.50238E-2</v>
      </c>
      <c r="AJ277" s="21">
        <v>267</v>
      </c>
      <c r="AK277" s="21">
        <v>1.24329</v>
      </c>
      <c r="AL277">
        <f t="shared" si="54"/>
        <v>18.547901234567902</v>
      </c>
      <c r="AM277">
        <f t="shared" si="55"/>
        <v>23.083048565432101</v>
      </c>
      <c r="AP277" s="9"/>
      <c r="AQ277" s="21">
        <v>0.45547500000000002</v>
      </c>
      <c r="AR277" s="21">
        <v>26.386700000000001</v>
      </c>
      <c r="AS277" s="21">
        <v>-1.5942399999999999E-2</v>
      </c>
      <c r="AT277" s="21">
        <v>267</v>
      </c>
      <c r="AU277" s="21">
        <v>0.45480300000000001</v>
      </c>
      <c r="AV277">
        <f t="shared" si="56"/>
        <v>19.681975308641974</v>
      </c>
      <c r="AW277">
        <f t="shared" si="57"/>
        <v>8.9646477037037027</v>
      </c>
      <c r="AX277" s="9"/>
      <c r="AY277" s="21">
        <v>1.24451</v>
      </c>
      <c r="AZ277" s="21">
        <v>30.2059</v>
      </c>
      <c r="BA277" s="21">
        <v>-1.5048199999999999E-2</v>
      </c>
      <c r="BB277" s="21">
        <v>267</v>
      </c>
      <c r="BC277" s="21">
        <v>1.24329</v>
      </c>
      <c r="BD277">
        <f t="shared" si="58"/>
        <v>18.578024691358021</v>
      </c>
      <c r="BE277">
        <f t="shared" si="59"/>
        <v>23.12053750864197</v>
      </c>
    </row>
    <row r="278" spans="6:101" x14ac:dyDescent="0.25">
      <c r="F278" s="9"/>
      <c r="G278" s="21">
        <v>0.45043899999999998</v>
      </c>
      <c r="H278" s="21">
        <v>7.6813500000000001</v>
      </c>
      <c r="I278" s="21">
        <v>-1.5850800000000002E-2</v>
      </c>
      <c r="J278" s="21">
        <v>268</v>
      </c>
      <c r="K278" s="21">
        <v>0.44967699999999999</v>
      </c>
      <c r="L278">
        <f t="shared" si="48"/>
        <v>19.568888888888889</v>
      </c>
      <c r="M278">
        <f t="shared" si="49"/>
        <v>8.8145907422222223</v>
      </c>
      <c r="N278" s="9"/>
      <c r="O278" s="21">
        <v>1.2495400000000001</v>
      </c>
      <c r="P278" s="21">
        <v>11.500500000000001</v>
      </c>
      <c r="Q278" s="21">
        <v>-1.49506E-2</v>
      </c>
      <c r="R278" s="21">
        <v>268</v>
      </c>
      <c r="S278" s="21">
        <v>1.24847</v>
      </c>
      <c r="T278">
        <f t="shared" si="50"/>
        <v>18.45753086419753</v>
      </c>
      <c r="U278">
        <f t="shared" si="51"/>
        <v>23.063423116049382</v>
      </c>
      <c r="X278" s="9"/>
      <c r="Y278" s="21">
        <v>0.45043899999999998</v>
      </c>
      <c r="Z278" s="21">
        <v>17.059999999999999</v>
      </c>
      <c r="AA278" s="21">
        <v>-1.59271E-2</v>
      </c>
      <c r="AB278" s="21">
        <v>268</v>
      </c>
      <c r="AC278" s="21">
        <v>0.44985999999999998</v>
      </c>
      <c r="AD278">
        <f t="shared" si="52"/>
        <v>19.663086419753085</v>
      </c>
      <c r="AE278">
        <f t="shared" si="53"/>
        <v>8.8570209838271605</v>
      </c>
      <c r="AF278" s="9"/>
      <c r="AG278" s="21">
        <v>1.2495400000000001</v>
      </c>
      <c r="AH278" s="21">
        <v>20.879200000000001</v>
      </c>
      <c r="AI278" s="21">
        <v>-1.50177E-2</v>
      </c>
      <c r="AJ278" s="21">
        <v>268</v>
      </c>
      <c r="AK278" s="21">
        <v>1.24817</v>
      </c>
      <c r="AL278">
        <f t="shared" si="54"/>
        <v>18.540370370370372</v>
      </c>
      <c r="AM278">
        <f t="shared" si="55"/>
        <v>23.166934392592598</v>
      </c>
      <c r="AP278" s="9"/>
      <c r="AQ278" s="21">
        <v>0.45043899999999998</v>
      </c>
      <c r="AR278" s="21">
        <v>26.396799999999999</v>
      </c>
      <c r="AS278" s="21">
        <v>-1.5948500000000001E-2</v>
      </c>
      <c r="AT278" s="21">
        <v>268</v>
      </c>
      <c r="AU278" s="21">
        <v>0.44973800000000003</v>
      </c>
      <c r="AV278">
        <f t="shared" si="56"/>
        <v>19.689506172839504</v>
      </c>
      <c r="AW278">
        <f t="shared" si="57"/>
        <v>8.8689214709876527</v>
      </c>
      <c r="AX278" s="9"/>
      <c r="AY278" s="21">
        <v>1.2495400000000001</v>
      </c>
      <c r="AZ278" s="21">
        <v>30.216000000000001</v>
      </c>
      <c r="BA278" s="21">
        <v>-1.5042099999999999E-2</v>
      </c>
      <c r="BB278" s="21">
        <v>268</v>
      </c>
      <c r="BC278" s="21">
        <v>1.24847</v>
      </c>
      <c r="BD278">
        <f t="shared" si="58"/>
        <v>18.570493827160494</v>
      </c>
      <c r="BE278">
        <f t="shared" si="59"/>
        <v>23.204574856790124</v>
      </c>
    </row>
    <row r="279" spans="6:101" x14ac:dyDescent="0.25">
      <c r="F279" s="9"/>
      <c r="G279" s="21">
        <v>0.44540400000000002</v>
      </c>
      <c r="H279" s="21">
        <v>7.6914199999999999</v>
      </c>
      <c r="I279" s="21">
        <v>-1.58569E-2</v>
      </c>
      <c r="J279" s="21">
        <v>269</v>
      </c>
      <c r="K279" s="21">
        <v>0.44479400000000002</v>
      </c>
      <c r="L279">
        <f t="shared" si="48"/>
        <v>19.576419753086416</v>
      </c>
      <c r="M279">
        <f t="shared" si="49"/>
        <v>8.7194156637037032</v>
      </c>
      <c r="N279" s="9"/>
      <c r="O279" s="21">
        <v>1.25458</v>
      </c>
      <c r="P279" s="21">
        <v>11.5106</v>
      </c>
      <c r="Q279" s="21">
        <v>-1.4944499999999999E-2</v>
      </c>
      <c r="R279" s="21">
        <v>269</v>
      </c>
      <c r="S279" s="21">
        <v>1.25366</v>
      </c>
      <c r="T279">
        <f t="shared" si="50"/>
        <v>18.45</v>
      </c>
      <c r="U279">
        <f t="shared" si="51"/>
        <v>23.147000999999999</v>
      </c>
      <c r="X279" s="9"/>
      <c r="Y279" s="21">
        <v>0.44540400000000002</v>
      </c>
      <c r="Z279" s="21">
        <v>17.0701</v>
      </c>
      <c r="AA279" s="21">
        <v>-1.5933200000000002E-2</v>
      </c>
      <c r="AB279" s="21">
        <v>269</v>
      </c>
      <c r="AC279" s="21">
        <v>0.44491599999999998</v>
      </c>
      <c r="AD279">
        <f t="shared" si="52"/>
        <v>19.670617283950619</v>
      </c>
      <c r="AE279">
        <f t="shared" si="53"/>
        <v>8.7613716207407428</v>
      </c>
      <c r="AF279" s="9"/>
      <c r="AG279" s="21">
        <v>1.25458</v>
      </c>
      <c r="AH279" s="21">
        <v>20.889299999999999</v>
      </c>
      <c r="AI279" s="21">
        <v>-1.50116E-2</v>
      </c>
      <c r="AJ279" s="21">
        <v>269</v>
      </c>
      <c r="AK279" s="21">
        <v>1.25366</v>
      </c>
      <c r="AL279">
        <f t="shared" si="54"/>
        <v>18.532839506172838</v>
      </c>
      <c r="AM279">
        <f t="shared" si="55"/>
        <v>23.250929787654318</v>
      </c>
      <c r="AP279" s="9"/>
      <c r="AQ279" s="21">
        <v>0.44540400000000002</v>
      </c>
      <c r="AR279" s="21">
        <v>26.4068</v>
      </c>
      <c r="AS279" s="21">
        <v>-1.5954599999999999E-2</v>
      </c>
      <c r="AT279" s="21">
        <v>269</v>
      </c>
      <c r="AU279" s="21">
        <v>0.44409199999999999</v>
      </c>
      <c r="AV279">
        <f t="shared" si="56"/>
        <v>19.697037037037035</v>
      </c>
      <c r="AW279">
        <f t="shared" si="57"/>
        <v>8.773139084444443</v>
      </c>
      <c r="AX279" s="9"/>
      <c r="AY279" s="21">
        <v>1.25458</v>
      </c>
      <c r="AZ279" s="21">
        <v>30.225999999999999</v>
      </c>
      <c r="BA279" s="21">
        <v>-1.5032999999999999E-2</v>
      </c>
      <c r="BB279" s="21">
        <v>269</v>
      </c>
      <c r="BC279" s="21">
        <v>1.25336</v>
      </c>
      <c r="BD279">
        <f t="shared" si="58"/>
        <v>18.559259259259257</v>
      </c>
      <c r="BE279">
        <f t="shared" si="59"/>
        <v>23.28407548148148</v>
      </c>
    </row>
    <row r="280" spans="6:101" x14ac:dyDescent="0.25">
      <c r="F280" s="9"/>
      <c r="G280" s="21">
        <v>0.44036900000000001</v>
      </c>
      <c r="H280" s="21">
        <v>7.7014899999999997</v>
      </c>
      <c r="I280" s="21">
        <v>-1.5862999999999999E-2</v>
      </c>
      <c r="J280" s="21">
        <v>270</v>
      </c>
      <c r="K280" s="21">
        <v>0.43963600000000003</v>
      </c>
      <c r="L280">
        <f t="shared" si="48"/>
        <v>19.58395061728395</v>
      </c>
      <c r="M280">
        <f t="shared" si="49"/>
        <v>8.6241647493827163</v>
      </c>
      <c r="N280" s="9"/>
      <c r="O280" s="21">
        <v>1.2596099999999999</v>
      </c>
      <c r="P280" s="21">
        <v>11.5207</v>
      </c>
      <c r="Q280" s="21">
        <v>-1.4938399999999999E-2</v>
      </c>
      <c r="R280" s="21">
        <v>270</v>
      </c>
      <c r="S280" s="21">
        <v>1.25946</v>
      </c>
      <c r="T280">
        <f t="shared" si="50"/>
        <v>18.442469135802465</v>
      </c>
      <c r="U280">
        <f t="shared" si="51"/>
        <v>23.230318548148141</v>
      </c>
      <c r="X280" s="9"/>
      <c r="Y280" s="21">
        <v>0.44036900000000001</v>
      </c>
      <c r="Z280" s="21">
        <v>17.080200000000001</v>
      </c>
      <c r="AA280" s="21">
        <v>-1.59393E-2</v>
      </c>
      <c r="AB280" s="21">
        <v>270</v>
      </c>
      <c r="AC280" s="21">
        <v>0.43957499999999999</v>
      </c>
      <c r="AD280">
        <f t="shared" si="52"/>
        <v>19.678148148148146</v>
      </c>
      <c r="AE280">
        <f t="shared" si="53"/>
        <v>8.6656464218518519</v>
      </c>
      <c r="AF280" s="9"/>
      <c r="AG280" s="21">
        <v>1.2596099999999999</v>
      </c>
      <c r="AH280" s="21">
        <v>20.8994</v>
      </c>
      <c r="AI280" s="21">
        <v>-1.5008499999999999E-2</v>
      </c>
      <c r="AJ280" s="21">
        <v>270</v>
      </c>
      <c r="AK280" s="21">
        <v>1.25885</v>
      </c>
      <c r="AL280">
        <f t="shared" si="54"/>
        <v>18.529012345679011</v>
      </c>
      <c r="AM280">
        <f t="shared" si="55"/>
        <v>23.339329240740735</v>
      </c>
      <c r="AP280" s="9"/>
      <c r="AQ280" s="21">
        <v>0.44036900000000001</v>
      </c>
      <c r="AR280" s="21">
        <v>26.416899999999998</v>
      </c>
      <c r="AS280" s="21">
        <v>-1.5960700000000001E-2</v>
      </c>
      <c r="AT280" s="21">
        <v>270</v>
      </c>
      <c r="AU280" s="21">
        <v>0.44012499999999999</v>
      </c>
      <c r="AV280">
        <f t="shared" si="56"/>
        <v>19.704567901234569</v>
      </c>
      <c r="AW280">
        <f t="shared" si="57"/>
        <v>8.6772808620987654</v>
      </c>
      <c r="AX280" s="9"/>
      <c r="AY280" s="21">
        <v>1.2596099999999999</v>
      </c>
      <c r="AZ280" s="21">
        <v>30.2361</v>
      </c>
      <c r="BA280" s="21">
        <v>-1.5026899999999999E-2</v>
      </c>
      <c r="BB280" s="21">
        <v>270</v>
      </c>
      <c r="BC280" s="21">
        <v>1.25854</v>
      </c>
      <c r="BD280">
        <f t="shared" si="58"/>
        <v>18.551728395061726</v>
      </c>
      <c r="BE280">
        <f t="shared" si="59"/>
        <v>23.3679426037037</v>
      </c>
    </row>
    <row r="281" spans="6:101" x14ac:dyDescent="0.25">
      <c r="F281" s="9"/>
      <c r="G281" s="21">
        <v>0.43533300000000003</v>
      </c>
      <c r="H281" s="21">
        <v>7.7115600000000004</v>
      </c>
      <c r="I281" s="21">
        <v>-1.5869100000000001E-2</v>
      </c>
      <c r="J281" s="21">
        <v>271</v>
      </c>
      <c r="K281" s="21">
        <v>0.43453999999999998</v>
      </c>
      <c r="L281">
        <f t="shared" si="48"/>
        <v>19.59148148148148</v>
      </c>
      <c r="M281">
        <f t="shared" si="49"/>
        <v>8.5288184077777771</v>
      </c>
      <c r="N281" s="9"/>
      <c r="O281" s="21">
        <v>1.2646500000000001</v>
      </c>
      <c r="P281" s="21">
        <v>11.530799999999999</v>
      </c>
      <c r="Q281" s="21">
        <v>-1.4932300000000001E-2</v>
      </c>
      <c r="R281" s="21">
        <v>271</v>
      </c>
      <c r="S281" s="21">
        <v>1.2640400000000001</v>
      </c>
      <c r="T281">
        <f t="shared" si="50"/>
        <v>18.434938271604938</v>
      </c>
      <c r="U281">
        <f t="shared" si="51"/>
        <v>23.313744685185185</v>
      </c>
      <c r="X281" s="9"/>
      <c r="Y281" s="21">
        <v>0.43533300000000003</v>
      </c>
      <c r="Z281" s="21">
        <v>17.090299999999999</v>
      </c>
      <c r="AA281" s="21">
        <v>-1.5945399999999998E-2</v>
      </c>
      <c r="AB281" s="21">
        <v>271</v>
      </c>
      <c r="AC281" s="21">
        <v>0.43450899999999998</v>
      </c>
      <c r="AD281">
        <f t="shared" si="52"/>
        <v>19.685679012345673</v>
      </c>
      <c r="AE281">
        <f t="shared" si="53"/>
        <v>8.5698257014814789</v>
      </c>
      <c r="AF281" s="9"/>
      <c r="AG281" s="21">
        <v>1.2646500000000001</v>
      </c>
      <c r="AH281" s="21">
        <v>20.909400000000002</v>
      </c>
      <c r="AI281" s="21">
        <v>-1.5002400000000001E-2</v>
      </c>
      <c r="AJ281" s="21">
        <v>271</v>
      </c>
      <c r="AK281" s="21">
        <v>1.26373</v>
      </c>
      <c r="AL281">
        <f t="shared" si="54"/>
        <v>18.521481481481484</v>
      </c>
      <c r="AM281">
        <f t="shared" si="55"/>
        <v>23.423191555555558</v>
      </c>
      <c r="AP281" s="9"/>
      <c r="AQ281" s="21">
        <v>0.43533300000000003</v>
      </c>
      <c r="AR281" s="21">
        <v>26.427</v>
      </c>
      <c r="AS281" s="21">
        <v>-1.5963700000000001E-2</v>
      </c>
      <c r="AT281" s="21">
        <v>271</v>
      </c>
      <c r="AU281" s="21">
        <v>0.43484499999999998</v>
      </c>
      <c r="AV281">
        <f t="shared" si="56"/>
        <v>19.708271604938272</v>
      </c>
      <c r="AW281">
        <f t="shared" si="57"/>
        <v>8.5796610025925926</v>
      </c>
      <c r="AX281" s="9"/>
      <c r="AY281" s="21">
        <v>1.2646500000000001</v>
      </c>
      <c r="AZ281" s="21">
        <v>30.246200000000002</v>
      </c>
      <c r="BA281" s="21">
        <v>-1.50238E-2</v>
      </c>
      <c r="BB281" s="21">
        <v>271</v>
      </c>
      <c r="BC281" s="21">
        <v>1.2640400000000001</v>
      </c>
      <c r="BD281">
        <f t="shared" si="58"/>
        <v>18.547901234567902</v>
      </c>
      <c r="BE281">
        <f t="shared" si="59"/>
        <v>23.456603296296297</v>
      </c>
    </row>
    <row r="282" spans="6:101" x14ac:dyDescent="0.25">
      <c r="F282" s="9"/>
      <c r="G282" s="21">
        <v>0.43029800000000001</v>
      </c>
      <c r="H282" s="21">
        <v>7.7216300000000002</v>
      </c>
      <c r="I282" s="21">
        <v>-1.5875199999999999E-2</v>
      </c>
      <c r="J282" s="21">
        <v>272</v>
      </c>
      <c r="K282" s="21">
        <v>0.42965700000000001</v>
      </c>
      <c r="L282">
        <f t="shared" si="48"/>
        <v>19.599012345679007</v>
      </c>
      <c r="M282">
        <f t="shared" si="49"/>
        <v>8.4334158143209859</v>
      </c>
      <c r="N282" s="9"/>
      <c r="O282" s="21">
        <v>1.2696799999999999</v>
      </c>
      <c r="P282" s="21">
        <v>11.540800000000001</v>
      </c>
      <c r="Q282" s="21">
        <v>-1.4926099999999999E-2</v>
      </c>
      <c r="R282" s="21">
        <v>272</v>
      </c>
      <c r="S282" s="21">
        <v>1.26831</v>
      </c>
      <c r="T282">
        <f t="shared" si="50"/>
        <v>18.427283950617284</v>
      </c>
      <c r="U282">
        <f t="shared" si="51"/>
        <v>23.396753886419752</v>
      </c>
      <c r="X282" s="9"/>
      <c r="Y282" s="21">
        <v>0.43029800000000001</v>
      </c>
      <c r="Z282" s="21">
        <v>17.100300000000001</v>
      </c>
      <c r="AA282" s="21">
        <v>-1.5948500000000001E-2</v>
      </c>
      <c r="AB282" s="21">
        <v>272</v>
      </c>
      <c r="AC282" s="21">
        <v>0.42974899999999999</v>
      </c>
      <c r="AD282">
        <f t="shared" si="52"/>
        <v>19.689506172839504</v>
      </c>
      <c r="AE282">
        <f t="shared" si="53"/>
        <v>8.472355127160494</v>
      </c>
      <c r="AF282" s="9"/>
      <c r="AG282" s="21">
        <v>1.2696799999999999</v>
      </c>
      <c r="AH282" s="21">
        <v>20.919499999999999</v>
      </c>
      <c r="AI282" s="21">
        <v>-1.4993299999999999E-2</v>
      </c>
      <c r="AJ282" s="21">
        <v>272</v>
      </c>
      <c r="AK282" s="21">
        <v>1.2692300000000001</v>
      </c>
      <c r="AL282">
        <f t="shared" si="54"/>
        <v>18.510246913580243</v>
      </c>
      <c r="AM282">
        <f t="shared" si="55"/>
        <v>23.50209030123456</v>
      </c>
      <c r="AP282" s="9"/>
      <c r="AQ282" s="21">
        <v>0.43029800000000001</v>
      </c>
      <c r="AR282" s="21">
        <v>26.437100000000001</v>
      </c>
      <c r="AS282" s="21">
        <v>-1.5969799999999999E-2</v>
      </c>
      <c r="AT282" s="21">
        <v>272</v>
      </c>
      <c r="AU282" s="21">
        <v>0.43005399999999999</v>
      </c>
      <c r="AV282">
        <f t="shared" si="56"/>
        <v>19.715802469135802</v>
      </c>
      <c r="AW282">
        <f t="shared" si="57"/>
        <v>8.4836703708641981</v>
      </c>
      <c r="AX282" s="9"/>
      <c r="AY282" s="21">
        <v>1.2696799999999999</v>
      </c>
      <c r="AZ282" s="21">
        <v>30.2562</v>
      </c>
      <c r="BA282" s="21">
        <v>-1.50177E-2</v>
      </c>
      <c r="BB282" s="21">
        <v>272</v>
      </c>
      <c r="BC282" s="21">
        <v>1.2692300000000001</v>
      </c>
      <c r="BD282">
        <f t="shared" si="58"/>
        <v>18.540370370370372</v>
      </c>
      <c r="BE282">
        <f t="shared" si="59"/>
        <v>23.540337451851851</v>
      </c>
    </row>
    <row r="283" spans="6:101" x14ac:dyDescent="0.25">
      <c r="F283" s="9"/>
      <c r="G283" s="21">
        <v>0.42526199999999997</v>
      </c>
      <c r="H283" s="21">
        <v>7.7317</v>
      </c>
      <c r="I283" s="21">
        <v>-1.5881300000000001E-2</v>
      </c>
      <c r="J283" s="21">
        <v>273</v>
      </c>
      <c r="K283" s="21">
        <v>0.42443799999999998</v>
      </c>
      <c r="L283">
        <f t="shared" si="48"/>
        <v>19.606543209876545</v>
      </c>
      <c r="M283">
        <f t="shared" si="49"/>
        <v>8.3379177785185181</v>
      </c>
      <c r="N283" s="9"/>
      <c r="O283" s="21">
        <v>1.2747200000000001</v>
      </c>
      <c r="P283" s="21">
        <v>11.5509</v>
      </c>
      <c r="Q283" s="21">
        <v>-1.4919999999999999E-2</v>
      </c>
      <c r="R283" s="21">
        <v>273</v>
      </c>
      <c r="S283" s="21">
        <v>1.2735000000000001</v>
      </c>
      <c r="T283">
        <f t="shared" si="50"/>
        <v>18.41975308641975</v>
      </c>
      <c r="U283">
        <f t="shared" si="51"/>
        <v>23.480027654320985</v>
      </c>
      <c r="X283" s="9"/>
      <c r="Y283" s="21">
        <v>0.42526199999999997</v>
      </c>
      <c r="Z283" s="21">
        <v>17.110399999999998</v>
      </c>
      <c r="AA283" s="21">
        <v>-1.5957599999999999E-2</v>
      </c>
      <c r="AB283" s="21">
        <v>273</v>
      </c>
      <c r="AC283" s="21">
        <v>0.424591</v>
      </c>
      <c r="AD283">
        <f t="shared" si="52"/>
        <v>19.700740740740738</v>
      </c>
      <c r="AE283">
        <f t="shared" si="53"/>
        <v>8.3779764088888875</v>
      </c>
      <c r="AF283" s="9"/>
      <c r="AG283" s="21">
        <v>1.2747200000000001</v>
      </c>
      <c r="AH283" s="21">
        <v>20.929600000000001</v>
      </c>
      <c r="AI283" s="21">
        <v>-1.4987199999999999E-2</v>
      </c>
      <c r="AJ283" s="21">
        <v>273</v>
      </c>
      <c r="AK283" s="21">
        <v>1.2741100000000001</v>
      </c>
      <c r="AL283">
        <f t="shared" si="54"/>
        <v>18.502716049382713</v>
      </c>
      <c r="AM283">
        <f t="shared" si="55"/>
        <v>23.585782202469133</v>
      </c>
      <c r="AP283" s="9"/>
      <c r="AQ283" s="21">
        <v>0.42526199999999997</v>
      </c>
      <c r="AR283" s="21">
        <v>26.447099999999999</v>
      </c>
      <c r="AS283" s="21">
        <v>-1.5976000000000001E-2</v>
      </c>
      <c r="AT283" s="21">
        <v>273</v>
      </c>
      <c r="AU283" s="21">
        <v>0.42416399999999999</v>
      </c>
      <c r="AV283">
        <f t="shared" si="56"/>
        <v>19.723456790123457</v>
      </c>
      <c r="AW283">
        <f t="shared" si="57"/>
        <v>8.3876366814814816</v>
      </c>
      <c r="AX283" s="9"/>
      <c r="AY283" s="21">
        <v>1.2747200000000001</v>
      </c>
      <c r="AZ283" s="21">
        <v>30.266300000000001</v>
      </c>
      <c r="BA283" s="21">
        <v>-1.50116E-2</v>
      </c>
      <c r="BB283" s="21">
        <v>273</v>
      </c>
      <c r="BC283" s="21">
        <v>1.2738</v>
      </c>
      <c r="BD283">
        <f t="shared" si="58"/>
        <v>18.532839506172838</v>
      </c>
      <c r="BE283">
        <f t="shared" si="59"/>
        <v>23.624181175308642</v>
      </c>
    </row>
    <row r="284" spans="6:101" x14ac:dyDescent="0.25">
      <c r="F284" s="9"/>
      <c r="G284" s="21">
        <v>0.42022700000000002</v>
      </c>
      <c r="H284" s="21">
        <v>7.7417699999999998</v>
      </c>
      <c r="I284" s="21">
        <v>-1.5887499999999999E-2</v>
      </c>
      <c r="J284" s="21">
        <v>274</v>
      </c>
      <c r="K284" s="21">
        <v>0.41934199999999999</v>
      </c>
      <c r="L284">
        <f t="shared" si="48"/>
        <v>19.614197530864196</v>
      </c>
      <c r="M284">
        <f t="shared" si="49"/>
        <v>8.2424153858024685</v>
      </c>
      <c r="N284" s="9"/>
      <c r="O284" s="21">
        <v>1.2797499999999999</v>
      </c>
      <c r="P284" s="21">
        <v>11.561</v>
      </c>
      <c r="Q284" s="21">
        <v>-1.4913900000000001E-2</v>
      </c>
      <c r="R284" s="21">
        <v>274</v>
      </c>
      <c r="S284" s="21">
        <v>1.2789900000000001</v>
      </c>
      <c r="T284">
        <f t="shared" si="50"/>
        <v>18.412222222222223</v>
      </c>
      <c r="U284">
        <f t="shared" si="51"/>
        <v>23.563041388888887</v>
      </c>
      <c r="X284" s="9"/>
      <c r="Y284" s="21">
        <v>0.42022700000000002</v>
      </c>
      <c r="Z284" s="21">
        <v>17.1205</v>
      </c>
      <c r="AA284" s="21">
        <v>-1.5963700000000001E-2</v>
      </c>
      <c r="AB284" s="21">
        <v>274</v>
      </c>
      <c r="AC284" s="21">
        <v>0.419464</v>
      </c>
      <c r="AD284">
        <f t="shared" si="52"/>
        <v>19.708271604938272</v>
      </c>
      <c r="AE284">
        <f t="shared" si="53"/>
        <v>8.2819478517283951</v>
      </c>
      <c r="AF284" s="9"/>
      <c r="AG284" s="21">
        <v>1.2797499999999999</v>
      </c>
      <c r="AH284" s="21">
        <v>20.939699999999998</v>
      </c>
      <c r="AI284" s="21">
        <v>-1.4981100000000001E-2</v>
      </c>
      <c r="AJ284" s="21">
        <v>274</v>
      </c>
      <c r="AK284" s="21">
        <v>1.2789900000000001</v>
      </c>
      <c r="AL284">
        <f t="shared" si="54"/>
        <v>18.495185185185186</v>
      </c>
      <c r="AM284">
        <f t="shared" si="55"/>
        <v>23.669213240740739</v>
      </c>
      <c r="AP284" s="9"/>
      <c r="AQ284" s="21">
        <v>0.42022700000000002</v>
      </c>
      <c r="AR284" s="21">
        <v>26.4572</v>
      </c>
      <c r="AS284" s="21">
        <v>-1.5982099999999999E-2</v>
      </c>
      <c r="AT284" s="21">
        <v>274</v>
      </c>
      <c r="AU284" s="21">
        <v>0.41970800000000003</v>
      </c>
      <c r="AV284">
        <f t="shared" si="56"/>
        <v>19.730987654320984</v>
      </c>
      <c r="AW284">
        <f t="shared" si="57"/>
        <v>8.2914937490123446</v>
      </c>
      <c r="AX284" s="9"/>
      <c r="AY284" s="21">
        <v>1.2797499999999999</v>
      </c>
      <c r="AZ284" s="21">
        <v>30.276399999999999</v>
      </c>
      <c r="BA284" s="21">
        <v>-1.50055E-2</v>
      </c>
      <c r="BB284" s="21">
        <v>274</v>
      </c>
      <c r="BC284" s="21">
        <v>1.2789900000000001</v>
      </c>
      <c r="BD284">
        <f t="shared" si="58"/>
        <v>18.525308641975307</v>
      </c>
      <c r="BE284">
        <f t="shared" si="59"/>
        <v>23.707763734567898</v>
      </c>
    </row>
    <row r="285" spans="6:101" x14ac:dyDescent="0.25">
      <c r="F285" s="9"/>
      <c r="G285" s="21">
        <v>0.41519200000000001</v>
      </c>
      <c r="H285" s="21">
        <v>7.7518399999999996</v>
      </c>
      <c r="I285" s="21">
        <v>-1.5893600000000001E-2</v>
      </c>
      <c r="J285" s="21">
        <v>275</v>
      </c>
      <c r="K285" s="21">
        <v>0.41461199999999998</v>
      </c>
      <c r="L285">
        <f t="shared" si="48"/>
        <v>19.621728395061727</v>
      </c>
      <c r="M285">
        <f t="shared" si="49"/>
        <v>8.1467846558024686</v>
      </c>
      <c r="N285" s="9"/>
      <c r="O285" s="21">
        <v>1.2847900000000001</v>
      </c>
      <c r="P285" s="21">
        <v>11.571</v>
      </c>
      <c r="Q285" s="21">
        <v>-1.4907800000000001E-2</v>
      </c>
      <c r="R285" s="21">
        <v>275</v>
      </c>
      <c r="S285" s="21">
        <v>1.2841800000000001</v>
      </c>
      <c r="T285">
        <f t="shared" si="50"/>
        <v>18.404691358024692</v>
      </c>
      <c r="U285">
        <f t="shared" si="51"/>
        <v>23.646163409876547</v>
      </c>
      <c r="X285" s="9"/>
      <c r="Y285" s="21">
        <v>0.41519200000000001</v>
      </c>
      <c r="Z285" s="21">
        <v>17.130500000000001</v>
      </c>
      <c r="AA285" s="21">
        <v>-1.5972900000000002E-2</v>
      </c>
      <c r="AB285" s="21">
        <v>275</v>
      </c>
      <c r="AC285" s="21">
        <v>0.41439799999999999</v>
      </c>
      <c r="AD285">
        <f t="shared" si="52"/>
        <v>19.719629629629633</v>
      </c>
      <c r="AE285">
        <f t="shared" si="53"/>
        <v>8.1874324651851875</v>
      </c>
      <c r="AF285" s="9"/>
      <c r="AG285" s="21">
        <v>1.2847900000000001</v>
      </c>
      <c r="AH285" s="21">
        <v>20.9497</v>
      </c>
      <c r="AI285" s="21">
        <v>-1.4975E-2</v>
      </c>
      <c r="AJ285" s="21">
        <v>275</v>
      </c>
      <c r="AK285" s="21">
        <v>1.2841800000000001</v>
      </c>
      <c r="AL285">
        <f t="shared" si="54"/>
        <v>18.487654320987652</v>
      </c>
      <c r="AM285">
        <f t="shared" si="55"/>
        <v>23.752753395061728</v>
      </c>
      <c r="AP285" s="9"/>
      <c r="AQ285" s="21">
        <v>0.41519200000000001</v>
      </c>
      <c r="AR285" s="21">
        <v>26.467300000000002</v>
      </c>
      <c r="AS285" s="21">
        <v>-1.5988200000000001E-2</v>
      </c>
      <c r="AT285" s="21">
        <v>275</v>
      </c>
      <c r="AU285" s="21">
        <v>0.41409299999999999</v>
      </c>
      <c r="AV285">
        <f t="shared" si="56"/>
        <v>19.738518518518521</v>
      </c>
      <c r="AW285">
        <f t="shared" si="57"/>
        <v>8.1952749807407415</v>
      </c>
      <c r="AX285" s="9"/>
      <c r="AY285" s="21">
        <v>1.2847900000000001</v>
      </c>
      <c r="AZ285" s="21">
        <v>30.2865</v>
      </c>
      <c r="BA285" s="21">
        <v>-1.5002400000000001E-2</v>
      </c>
      <c r="BB285" s="21">
        <v>275</v>
      </c>
      <c r="BC285" s="21">
        <v>1.2838700000000001</v>
      </c>
      <c r="BD285">
        <f t="shared" si="58"/>
        <v>18.521481481481484</v>
      </c>
      <c r="BE285">
        <f t="shared" si="59"/>
        <v>23.796214192592597</v>
      </c>
    </row>
    <row r="286" spans="6:101" x14ac:dyDescent="0.25">
      <c r="F286" s="9"/>
      <c r="G286" s="21">
        <v>0.41015600000000002</v>
      </c>
      <c r="H286" s="21">
        <v>7.7619199999999999</v>
      </c>
      <c r="I286" s="21">
        <v>-1.5902699999999999E-2</v>
      </c>
      <c r="J286" s="21">
        <v>276</v>
      </c>
      <c r="K286" s="21">
        <v>0.409576</v>
      </c>
      <c r="L286">
        <f t="shared" si="48"/>
        <v>19.63296296296296</v>
      </c>
      <c r="M286">
        <f t="shared" si="49"/>
        <v>8.0525775570370364</v>
      </c>
      <c r="N286" s="9"/>
      <c r="O286" s="21">
        <v>1.28983</v>
      </c>
      <c r="P286" s="21">
        <v>11.581099999999999</v>
      </c>
      <c r="Q286" s="21">
        <v>-1.49017E-2</v>
      </c>
      <c r="R286" s="21">
        <v>276</v>
      </c>
      <c r="S286" s="21">
        <v>1.2887599999999999</v>
      </c>
      <c r="T286">
        <f t="shared" si="50"/>
        <v>18.397160493827158</v>
      </c>
      <c r="U286">
        <f t="shared" si="51"/>
        <v>23.729209519753084</v>
      </c>
      <c r="X286" s="9"/>
      <c r="Y286" s="21">
        <v>0.41015600000000002</v>
      </c>
      <c r="Z286" s="21">
        <v>17.140599999999999</v>
      </c>
      <c r="AA286" s="21">
        <v>-1.5976000000000001E-2</v>
      </c>
      <c r="AB286" s="21">
        <v>276</v>
      </c>
      <c r="AC286" s="21">
        <v>0.409576</v>
      </c>
      <c r="AD286">
        <f t="shared" si="52"/>
        <v>19.723456790123457</v>
      </c>
      <c r="AE286">
        <f t="shared" si="53"/>
        <v>8.0896941432098775</v>
      </c>
      <c r="AF286" s="9"/>
      <c r="AG286" s="21">
        <v>1.28983</v>
      </c>
      <c r="AH286" s="21">
        <v>20.959800000000001</v>
      </c>
      <c r="AI286" s="21">
        <v>-1.49689E-2</v>
      </c>
      <c r="AJ286" s="21">
        <v>276</v>
      </c>
      <c r="AK286" s="21">
        <v>1.2893699999999999</v>
      </c>
      <c r="AL286">
        <f t="shared" si="54"/>
        <v>18.480123456790125</v>
      </c>
      <c r="AM286">
        <f t="shared" si="55"/>
        <v>23.836217638271606</v>
      </c>
      <c r="AP286" s="9"/>
      <c r="AQ286" s="21">
        <v>0.41015600000000002</v>
      </c>
      <c r="AR286" s="21">
        <v>26.4773</v>
      </c>
      <c r="AS286" s="21">
        <v>-1.5997299999999999E-2</v>
      </c>
      <c r="AT286" s="21">
        <v>276</v>
      </c>
      <c r="AU286" s="21">
        <v>0.40951500000000002</v>
      </c>
      <c r="AV286">
        <f t="shared" si="56"/>
        <v>19.749753086419751</v>
      </c>
      <c r="AW286">
        <f t="shared" si="57"/>
        <v>8.10047972691358</v>
      </c>
      <c r="AX286" s="9"/>
      <c r="AY286" s="21">
        <v>1.28983</v>
      </c>
      <c r="AZ286" s="21">
        <v>30.296500000000002</v>
      </c>
      <c r="BA286" s="21">
        <v>-1.4993299999999999E-2</v>
      </c>
      <c r="BB286" s="21">
        <v>276</v>
      </c>
      <c r="BC286" s="21">
        <v>1.2893699999999999</v>
      </c>
      <c r="BD286">
        <f t="shared" si="58"/>
        <v>18.510246913580243</v>
      </c>
      <c r="BE286">
        <f t="shared" si="59"/>
        <v>23.875071776543205</v>
      </c>
    </row>
    <row r="287" spans="6:101" x14ac:dyDescent="0.25">
      <c r="F287" s="9"/>
      <c r="G287" s="21">
        <v>0.40512100000000001</v>
      </c>
      <c r="H287" s="21">
        <v>7.7719899999999997</v>
      </c>
      <c r="I287" s="21">
        <v>-1.5905800000000001E-2</v>
      </c>
      <c r="J287" s="21">
        <v>277</v>
      </c>
      <c r="K287" s="21">
        <v>0.40463300000000002</v>
      </c>
      <c r="L287">
        <f t="shared" si="48"/>
        <v>19.636790123456791</v>
      </c>
      <c r="M287">
        <f t="shared" si="49"/>
        <v>7.9552760516049386</v>
      </c>
      <c r="N287" s="9"/>
      <c r="O287" s="21">
        <v>1.2948599999999999</v>
      </c>
      <c r="P287" s="21">
        <v>11.591200000000001</v>
      </c>
      <c r="Q287" s="21">
        <v>-1.4898700000000001E-2</v>
      </c>
      <c r="R287" s="21">
        <v>277</v>
      </c>
      <c r="S287" s="21">
        <v>1.2942499999999999</v>
      </c>
      <c r="T287">
        <f t="shared" si="50"/>
        <v>18.393456790123455</v>
      </c>
      <c r="U287">
        <f t="shared" si="51"/>
        <v>23.816951459259254</v>
      </c>
      <c r="X287" s="9"/>
      <c r="Y287" s="21">
        <v>0.40512100000000001</v>
      </c>
      <c r="Z287" s="21">
        <v>17.150700000000001</v>
      </c>
      <c r="AA287" s="21">
        <v>-1.5982099999999999E-2</v>
      </c>
      <c r="AB287" s="21">
        <v>277</v>
      </c>
      <c r="AC287" s="21">
        <v>0.404449</v>
      </c>
      <c r="AD287">
        <f t="shared" si="52"/>
        <v>19.730987654320984</v>
      </c>
      <c r="AE287">
        <f t="shared" si="53"/>
        <v>7.9934374495061711</v>
      </c>
      <c r="AF287" s="9"/>
      <c r="AG287" s="21">
        <v>1.2948599999999999</v>
      </c>
      <c r="AH287" s="21">
        <v>20.969899999999999</v>
      </c>
      <c r="AI287" s="21">
        <v>-1.49658E-2</v>
      </c>
      <c r="AJ287" s="21">
        <v>277</v>
      </c>
      <c r="AK287" s="21">
        <v>1.2942499999999999</v>
      </c>
      <c r="AL287">
        <f t="shared" si="54"/>
        <v>18.476296296296297</v>
      </c>
      <c r="AM287">
        <f t="shared" si="55"/>
        <v>23.924217022222223</v>
      </c>
      <c r="AP287" s="9"/>
      <c r="AQ287" s="21">
        <v>0.40512100000000001</v>
      </c>
      <c r="AR287" s="21">
        <v>26.487400000000001</v>
      </c>
      <c r="AS287" s="21">
        <v>-1.6003400000000001E-2</v>
      </c>
      <c r="AT287" s="21">
        <v>277</v>
      </c>
      <c r="AU287" s="21">
        <v>0.40450999999999998</v>
      </c>
      <c r="AV287">
        <f t="shared" si="56"/>
        <v>19.757283950617282</v>
      </c>
      <c r="AW287">
        <f t="shared" si="57"/>
        <v>8.0040906313580233</v>
      </c>
      <c r="AX287" s="9"/>
      <c r="AY287" s="21">
        <v>1.2948599999999999</v>
      </c>
      <c r="AZ287" s="21">
        <v>30.3066</v>
      </c>
      <c r="BA287" s="21">
        <v>-1.4987199999999999E-2</v>
      </c>
      <c r="BB287" s="21">
        <v>277</v>
      </c>
      <c r="BC287" s="21">
        <v>1.2939499999999999</v>
      </c>
      <c r="BD287">
        <f t="shared" si="58"/>
        <v>18.502716049382713</v>
      </c>
      <c r="BE287">
        <f t="shared" si="59"/>
        <v>23.958426903703696</v>
      </c>
    </row>
    <row r="288" spans="6:101" x14ac:dyDescent="0.25">
      <c r="F288" s="9"/>
      <c r="G288" s="21">
        <v>0.40008500000000002</v>
      </c>
      <c r="H288" s="21">
        <v>7.7820600000000004</v>
      </c>
      <c r="I288" s="21">
        <v>-1.5914899999999999E-2</v>
      </c>
      <c r="J288" s="21">
        <v>278</v>
      </c>
      <c r="K288" s="21">
        <v>0.39938400000000002</v>
      </c>
      <c r="L288">
        <f t="shared" si="48"/>
        <v>19.648024691358025</v>
      </c>
      <c r="M288">
        <f t="shared" si="49"/>
        <v>7.8608799586419753</v>
      </c>
      <c r="N288" s="9"/>
      <c r="O288" s="21">
        <v>1.2999000000000001</v>
      </c>
      <c r="P288" s="21">
        <v>11.6012</v>
      </c>
      <c r="Q288" s="21">
        <v>-1.4892600000000001E-2</v>
      </c>
      <c r="R288" s="21">
        <v>278</v>
      </c>
      <c r="S288" s="21">
        <v>1.2991299999999999</v>
      </c>
      <c r="T288">
        <f t="shared" si="50"/>
        <v>18.385925925925928</v>
      </c>
      <c r="U288">
        <f t="shared" si="51"/>
        <v>23.899865111111115</v>
      </c>
      <c r="X288" s="9"/>
      <c r="Y288" s="21">
        <v>0.40008500000000002</v>
      </c>
      <c r="Z288" s="21">
        <v>17.160799999999998</v>
      </c>
      <c r="AA288" s="21">
        <v>-1.5988200000000001E-2</v>
      </c>
      <c r="AB288" s="21">
        <v>278</v>
      </c>
      <c r="AC288" s="21">
        <v>0.39981100000000003</v>
      </c>
      <c r="AD288">
        <f t="shared" si="52"/>
        <v>19.738518518518521</v>
      </c>
      <c r="AE288">
        <f t="shared" si="53"/>
        <v>7.8970851814814829</v>
      </c>
      <c r="AF288" s="9"/>
      <c r="AG288" s="21">
        <v>1.2999000000000001</v>
      </c>
      <c r="AH288" s="21">
        <v>20.979900000000001</v>
      </c>
      <c r="AI288" s="21">
        <v>-1.49628E-2</v>
      </c>
      <c r="AJ288" s="21">
        <v>278</v>
      </c>
      <c r="AK288" s="21">
        <v>1.2988299999999999</v>
      </c>
      <c r="AL288">
        <f t="shared" si="54"/>
        <v>18.472592592592594</v>
      </c>
      <c r="AM288">
        <f t="shared" si="55"/>
        <v>24.012523111111115</v>
      </c>
      <c r="AP288" s="9"/>
      <c r="AQ288" s="21">
        <v>0.40008500000000002</v>
      </c>
      <c r="AR288" s="21">
        <v>26.497499999999999</v>
      </c>
      <c r="AS288" s="21">
        <v>-1.6009499999999999E-2</v>
      </c>
      <c r="AT288" s="21">
        <v>278</v>
      </c>
      <c r="AU288" s="21">
        <v>0.39932299999999998</v>
      </c>
      <c r="AV288">
        <f t="shared" si="56"/>
        <v>19.764814814814812</v>
      </c>
      <c r="AW288">
        <f t="shared" si="57"/>
        <v>7.9076059351851846</v>
      </c>
      <c r="AX288" s="9"/>
      <c r="AY288" s="21">
        <v>1.2999000000000001</v>
      </c>
      <c r="AZ288" s="21">
        <v>30.316700000000001</v>
      </c>
      <c r="BA288" s="21">
        <v>-1.4981100000000001E-2</v>
      </c>
      <c r="BB288" s="21">
        <v>278</v>
      </c>
      <c r="BC288" s="21">
        <v>1.2991299999999999</v>
      </c>
      <c r="BD288">
        <f t="shared" si="58"/>
        <v>18.495185185185186</v>
      </c>
      <c r="BE288">
        <f t="shared" si="59"/>
        <v>24.041891222222223</v>
      </c>
    </row>
    <row r="289" spans="6:57" x14ac:dyDescent="0.25">
      <c r="F289" s="9"/>
      <c r="G289" s="21">
        <v>0.39505000000000001</v>
      </c>
      <c r="H289" s="21">
        <v>7.7921300000000002</v>
      </c>
      <c r="I289" s="21">
        <v>-1.5921000000000001E-2</v>
      </c>
      <c r="J289" s="21">
        <v>279</v>
      </c>
      <c r="K289" s="21">
        <v>0.39456200000000002</v>
      </c>
      <c r="L289">
        <f t="shared" si="48"/>
        <v>19.655555555555555</v>
      </c>
      <c r="M289">
        <f t="shared" si="49"/>
        <v>7.7649272222222221</v>
      </c>
      <c r="N289" s="9"/>
      <c r="O289" s="21">
        <v>1.3049299999999999</v>
      </c>
      <c r="P289" s="21">
        <v>11.6113</v>
      </c>
      <c r="Q289" s="21">
        <v>-1.48895E-2</v>
      </c>
      <c r="R289" s="21">
        <v>279</v>
      </c>
      <c r="S289" s="21">
        <v>1.3043199999999999</v>
      </c>
      <c r="T289">
        <f t="shared" si="50"/>
        <v>18.382098765432101</v>
      </c>
      <c r="U289">
        <f t="shared" si="51"/>
        <v>23.987352141975311</v>
      </c>
      <c r="X289" s="9"/>
      <c r="Y289" s="21">
        <v>0.39505000000000001</v>
      </c>
      <c r="Z289" s="21">
        <v>17.1708</v>
      </c>
      <c r="AA289" s="21">
        <v>-1.5997299999999999E-2</v>
      </c>
      <c r="AB289" s="21">
        <v>279</v>
      </c>
      <c r="AC289" s="21">
        <v>0.39392100000000002</v>
      </c>
      <c r="AD289">
        <f t="shared" si="52"/>
        <v>19.749753086419751</v>
      </c>
      <c r="AE289">
        <f t="shared" si="53"/>
        <v>7.8021399567901231</v>
      </c>
      <c r="AF289" s="9"/>
      <c r="AG289" s="21">
        <v>1.3049299999999999</v>
      </c>
      <c r="AH289" s="21">
        <v>20.99</v>
      </c>
      <c r="AI289" s="21">
        <v>-1.49567E-2</v>
      </c>
      <c r="AJ289" s="21">
        <v>279</v>
      </c>
      <c r="AK289" s="21">
        <v>1.30463</v>
      </c>
      <c r="AL289">
        <f t="shared" si="54"/>
        <v>18.46506172839506</v>
      </c>
      <c r="AM289">
        <f t="shared" si="55"/>
        <v>24.095613001234565</v>
      </c>
      <c r="AP289" s="9"/>
      <c r="AQ289" s="21">
        <v>0.39505000000000001</v>
      </c>
      <c r="AR289" s="21">
        <v>26.5076</v>
      </c>
      <c r="AS289" s="21">
        <v>-1.60187E-2</v>
      </c>
      <c r="AT289" s="21">
        <v>279</v>
      </c>
      <c r="AU289" s="21">
        <v>0.39419599999999999</v>
      </c>
      <c r="AV289">
        <f t="shared" si="56"/>
        <v>19.77617283950617</v>
      </c>
      <c r="AW289">
        <f t="shared" si="57"/>
        <v>7.8125770802469132</v>
      </c>
      <c r="AX289" s="9"/>
      <c r="AY289" s="21">
        <v>1.3049299999999999</v>
      </c>
      <c r="AZ289" s="21">
        <v>30.326699999999999</v>
      </c>
      <c r="BA289" s="21">
        <v>-1.4975E-2</v>
      </c>
      <c r="BB289" s="21">
        <v>279</v>
      </c>
      <c r="BC289" s="21">
        <v>1.3043199999999999</v>
      </c>
      <c r="BD289">
        <f t="shared" si="58"/>
        <v>18.487654320987652</v>
      </c>
      <c r="BE289">
        <f t="shared" si="59"/>
        <v>24.125094753086415</v>
      </c>
    </row>
    <row r="290" spans="6:57" x14ac:dyDescent="0.25">
      <c r="F290" s="9"/>
      <c r="G290" s="21">
        <v>0.390015</v>
      </c>
      <c r="H290" s="21">
        <v>7.8022</v>
      </c>
      <c r="I290" s="21">
        <v>-1.59271E-2</v>
      </c>
      <c r="J290" s="21">
        <v>280</v>
      </c>
      <c r="K290" s="21">
        <v>0.38928200000000002</v>
      </c>
      <c r="L290">
        <f t="shared" si="48"/>
        <v>19.663086419753085</v>
      </c>
      <c r="M290">
        <f t="shared" si="49"/>
        <v>7.66889865</v>
      </c>
      <c r="N290" s="9"/>
      <c r="O290" s="21">
        <v>1.3099700000000001</v>
      </c>
      <c r="P290" s="21">
        <v>11.6214</v>
      </c>
      <c r="Q290" s="21">
        <v>-1.48834E-2</v>
      </c>
      <c r="R290" s="21">
        <v>280</v>
      </c>
      <c r="S290" s="21">
        <v>1.30951</v>
      </c>
      <c r="T290">
        <f t="shared" si="50"/>
        <v>18.374567901234567</v>
      </c>
      <c r="U290">
        <f t="shared" si="51"/>
        <v>24.070132713580247</v>
      </c>
      <c r="X290" s="9"/>
      <c r="Y290" s="21">
        <v>0.390015</v>
      </c>
      <c r="Z290" s="21">
        <v>17.180900000000001</v>
      </c>
      <c r="AA290" s="21">
        <v>-1.6000400000000001E-2</v>
      </c>
      <c r="AB290" s="21">
        <v>280</v>
      </c>
      <c r="AC290" s="21">
        <v>0.38946500000000001</v>
      </c>
      <c r="AD290">
        <f t="shared" si="52"/>
        <v>19.753580246913579</v>
      </c>
      <c r="AE290">
        <f t="shared" si="53"/>
        <v>7.7041925999999998</v>
      </c>
      <c r="AF290" s="9"/>
      <c r="AG290" s="21">
        <v>1.3099700000000001</v>
      </c>
      <c r="AH290" s="21">
        <v>21.0001</v>
      </c>
      <c r="AI290" s="21">
        <v>-1.49506E-2</v>
      </c>
      <c r="AJ290" s="21">
        <v>280</v>
      </c>
      <c r="AK290" s="21">
        <v>1.3091999999999999</v>
      </c>
      <c r="AL290">
        <f t="shared" si="54"/>
        <v>18.45753086419753</v>
      </c>
      <c r="AM290">
        <f t="shared" si="55"/>
        <v>24.178811706172841</v>
      </c>
      <c r="AP290" s="9"/>
      <c r="AQ290" s="21">
        <v>0.390015</v>
      </c>
      <c r="AR290" s="21">
        <v>26.517600000000002</v>
      </c>
      <c r="AS290" s="21">
        <v>-1.6024799999999999E-2</v>
      </c>
      <c r="AT290" s="21">
        <v>280</v>
      </c>
      <c r="AU290" s="21">
        <v>0.38912999999999998</v>
      </c>
      <c r="AV290">
        <f t="shared" si="56"/>
        <v>19.783703703703701</v>
      </c>
      <c r="AW290">
        <f t="shared" si="57"/>
        <v>7.7159411999999987</v>
      </c>
      <c r="AX290" s="9"/>
      <c r="AY290" s="21">
        <v>1.3099700000000001</v>
      </c>
      <c r="AZ290" s="21">
        <v>30.3368</v>
      </c>
      <c r="BA290" s="21">
        <v>-1.49689E-2</v>
      </c>
      <c r="BB290" s="21">
        <v>280</v>
      </c>
      <c r="BC290" s="21">
        <v>1.3091999999999999</v>
      </c>
      <c r="BD290">
        <f t="shared" si="58"/>
        <v>18.480123456790125</v>
      </c>
      <c r="BE290">
        <f t="shared" si="59"/>
        <v>24.208407324691361</v>
      </c>
    </row>
    <row r="291" spans="6:57" x14ac:dyDescent="0.25">
      <c r="F291" s="9"/>
      <c r="G291" s="21">
        <v>0.38497900000000002</v>
      </c>
      <c r="H291" s="21">
        <v>7.8122699999999998</v>
      </c>
      <c r="I291" s="21">
        <v>-1.59363E-2</v>
      </c>
      <c r="J291" s="21">
        <v>281</v>
      </c>
      <c r="K291" s="21">
        <v>0.38430799999999998</v>
      </c>
      <c r="L291">
        <f t="shared" si="48"/>
        <v>19.674444444444443</v>
      </c>
      <c r="M291">
        <f t="shared" si="49"/>
        <v>7.5742479477777778</v>
      </c>
      <c r="N291" s="9"/>
      <c r="O291" s="21">
        <v>1.3149999999999999</v>
      </c>
      <c r="P291" s="21">
        <v>11.631500000000001</v>
      </c>
      <c r="Q291" s="21">
        <v>-1.48773E-2</v>
      </c>
      <c r="R291" s="21">
        <v>281</v>
      </c>
      <c r="S291" s="21">
        <v>1.31409</v>
      </c>
      <c r="T291">
        <f t="shared" si="50"/>
        <v>18.367037037037036</v>
      </c>
      <c r="U291">
        <f t="shared" si="51"/>
        <v>24.152653703703702</v>
      </c>
      <c r="X291" s="9"/>
      <c r="Y291" s="21">
        <v>0.38497900000000002</v>
      </c>
      <c r="Z291" s="21">
        <v>17.190999999999999</v>
      </c>
      <c r="AA291" s="21">
        <v>-1.6009499999999999E-2</v>
      </c>
      <c r="AB291" s="21">
        <v>281</v>
      </c>
      <c r="AC291" s="21">
        <v>0.384216</v>
      </c>
      <c r="AD291">
        <f t="shared" si="52"/>
        <v>19.764814814814812</v>
      </c>
      <c r="AE291">
        <f t="shared" si="53"/>
        <v>7.6090386425925916</v>
      </c>
      <c r="AF291" s="9"/>
      <c r="AG291" s="21">
        <v>1.3149999999999999</v>
      </c>
      <c r="AH291" s="21">
        <v>21.010200000000001</v>
      </c>
      <c r="AI291" s="21">
        <v>-1.4941400000000001E-2</v>
      </c>
      <c r="AJ291" s="21">
        <v>281</v>
      </c>
      <c r="AK291" s="21">
        <v>1.31409</v>
      </c>
      <c r="AL291">
        <f t="shared" si="54"/>
        <v>18.446172839506172</v>
      </c>
      <c r="AM291">
        <f t="shared" si="55"/>
        <v>24.256717283950614</v>
      </c>
      <c r="AP291" s="9"/>
      <c r="AQ291" s="21">
        <v>0.38497900000000002</v>
      </c>
      <c r="AR291" s="21">
        <v>26.527699999999999</v>
      </c>
      <c r="AS291" s="21">
        <v>-1.60339E-2</v>
      </c>
      <c r="AT291" s="21">
        <v>281</v>
      </c>
      <c r="AU291" s="21">
        <v>0.38449100000000003</v>
      </c>
      <c r="AV291">
        <f t="shared" si="56"/>
        <v>19.794938271604938</v>
      </c>
      <c r="AW291">
        <f t="shared" si="57"/>
        <v>7.6206355408641979</v>
      </c>
      <c r="AX291" s="9"/>
      <c r="AY291" s="21">
        <v>1.3149999999999999</v>
      </c>
      <c r="AZ291" s="21">
        <v>30.346900000000002</v>
      </c>
      <c r="BA291" s="21">
        <v>-1.49628E-2</v>
      </c>
      <c r="BB291" s="21">
        <v>281</v>
      </c>
      <c r="BC291" s="21">
        <v>1.3147</v>
      </c>
      <c r="BD291">
        <f t="shared" si="58"/>
        <v>18.472592592592594</v>
      </c>
      <c r="BE291">
        <f t="shared" si="59"/>
        <v>24.291459259259259</v>
      </c>
    </row>
    <row r="292" spans="6:57" x14ac:dyDescent="0.25">
      <c r="F292" s="9"/>
      <c r="G292" s="21">
        <v>0.379944</v>
      </c>
      <c r="H292" s="21">
        <v>7.8223399999999996</v>
      </c>
      <c r="I292" s="21">
        <v>-1.5942399999999999E-2</v>
      </c>
      <c r="J292" s="21">
        <v>282</v>
      </c>
      <c r="K292" s="21">
        <v>0.37924200000000002</v>
      </c>
      <c r="L292">
        <f t="shared" si="48"/>
        <v>19.681975308641974</v>
      </c>
      <c r="M292">
        <f t="shared" si="49"/>
        <v>7.4780484266666658</v>
      </c>
      <c r="N292" s="9"/>
      <c r="O292" s="21">
        <v>1.3200400000000001</v>
      </c>
      <c r="P292" s="21">
        <v>11.641500000000001</v>
      </c>
      <c r="Q292" s="21">
        <v>-1.48682E-2</v>
      </c>
      <c r="R292" s="21">
        <v>282</v>
      </c>
      <c r="S292" s="21">
        <v>1.3186599999999999</v>
      </c>
      <c r="T292">
        <f t="shared" si="50"/>
        <v>18.355802469135799</v>
      </c>
      <c r="U292">
        <f t="shared" si="51"/>
        <v>24.230393491358022</v>
      </c>
      <c r="X292" s="9"/>
      <c r="Y292" s="21">
        <v>0.379944</v>
      </c>
      <c r="Z292" s="21">
        <v>17.201000000000001</v>
      </c>
      <c r="AA292" s="21">
        <v>-1.60187E-2</v>
      </c>
      <c r="AB292" s="21">
        <v>282</v>
      </c>
      <c r="AC292" s="21">
        <v>0.37933299999999998</v>
      </c>
      <c r="AD292">
        <f t="shared" si="52"/>
        <v>19.77617283950617</v>
      </c>
      <c r="AE292">
        <f t="shared" si="53"/>
        <v>7.5138382133333321</v>
      </c>
      <c r="AF292" s="9"/>
      <c r="AG292" s="21">
        <v>1.3200400000000001</v>
      </c>
      <c r="AH292" s="21">
        <v>21.020199999999999</v>
      </c>
      <c r="AI292" s="21">
        <v>-1.49353E-2</v>
      </c>
      <c r="AJ292" s="21">
        <v>282</v>
      </c>
      <c r="AK292" s="21">
        <v>1.3186599999999999</v>
      </c>
      <c r="AL292">
        <f t="shared" si="54"/>
        <v>18.438641975308641</v>
      </c>
      <c r="AM292">
        <f t="shared" si="55"/>
        <v>24.33974495308642</v>
      </c>
      <c r="AP292" s="9"/>
      <c r="AQ292" s="21">
        <v>0.379944</v>
      </c>
      <c r="AR292" s="21">
        <v>26.537800000000001</v>
      </c>
      <c r="AS292" s="21">
        <v>-1.6043100000000001E-2</v>
      </c>
      <c r="AT292" s="21">
        <v>282</v>
      </c>
      <c r="AU292" s="21">
        <v>0.378998</v>
      </c>
      <c r="AV292">
        <f t="shared" si="56"/>
        <v>19.806296296296299</v>
      </c>
      <c r="AW292">
        <f t="shared" si="57"/>
        <v>7.5252834400000008</v>
      </c>
      <c r="AX292" s="9"/>
      <c r="AY292" s="21">
        <v>1.3200400000000001</v>
      </c>
      <c r="AZ292" s="21">
        <v>30.356999999999999</v>
      </c>
      <c r="BA292" s="21">
        <v>-1.49567E-2</v>
      </c>
      <c r="BB292" s="21">
        <v>282</v>
      </c>
      <c r="BC292" s="21">
        <v>1.31958</v>
      </c>
      <c r="BD292">
        <f t="shared" si="58"/>
        <v>18.46506172839506</v>
      </c>
      <c r="BE292">
        <f t="shared" si="59"/>
        <v>24.374620083950617</v>
      </c>
    </row>
    <row r="293" spans="6:57" x14ac:dyDescent="0.25">
      <c r="F293" s="9"/>
      <c r="G293" s="21">
        <v>0.37490800000000002</v>
      </c>
      <c r="H293" s="21">
        <v>7.8324100000000003</v>
      </c>
      <c r="I293" s="21">
        <v>-1.5948500000000001E-2</v>
      </c>
      <c r="J293" s="21">
        <v>283</v>
      </c>
      <c r="K293" s="21">
        <v>0.374359</v>
      </c>
      <c r="L293">
        <f t="shared" si="48"/>
        <v>19.689506172839504</v>
      </c>
      <c r="M293">
        <f t="shared" si="49"/>
        <v>7.3817533802469129</v>
      </c>
      <c r="N293" s="9"/>
      <c r="O293" s="21">
        <v>1.32507</v>
      </c>
      <c r="P293" s="21">
        <v>11.6516</v>
      </c>
      <c r="Q293" s="21">
        <v>-1.48621E-2</v>
      </c>
      <c r="R293" s="21">
        <v>283</v>
      </c>
      <c r="S293" s="21">
        <v>1.32477</v>
      </c>
      <c r="T293">
        <f t="shared" si="50"/>
        <v>18.348271604938269</v>
      </c>
      <c r="U293">
        <f t="shared" si="51"/>
        <v>24.31274425555555</v>
      </c>
      <c r="X293" s="9"/>
      <c r="Y293" s="21">
        <v>0.37490800000000002</v>
      </c>
      <c r="Z293" s="21">
        <v>17.211099999999998</v>
      </c>
      <c r="AA293" s="21">
        <v>-1.6030900000000001E-2</v>
      </c>
      <c r="AB293" s="21">
        <v>283</v>
      </c>
      <c r="AC293" s="21">
        <v>0.37408400000000003</v>
      </c>
      <c r="AD293">
        <f t="shared" si="52"/>
        <v>19.791234567901235</v>
      </c>
      <c r="AE293">
        <f t="shared" si="53"/>
        <v>7.4198921693827167</v>
      </c>
      <c r="AF293" s="9"/>
      <c r="AG293" s="21">
        <v>1.32507</v>
      </c>
      <c r="AH293" s="21">
        <v>21.0303</v>
      </c>
      <c r="AI293" s="21">
        <v>-1.49292E-2</v>
      </c>
      <c r="AJ293" s="21">
        <v>283</v>
      </c>
      <c r="AK293" s="21">
        <v>1.32416</v>
      </c>
      <c r="AL293">
        <f t="shared" si="54"/>
        <v>18.431111111111111</v>
      </c>
      <c r="AM293">
        <f t="shared" si="55"/>
        <v>24.422512399999999</v>
      </c>
      <c r="AP293" s="9"/>
      <c r="AQ293" s="21">
        <v>0.37490800000000002</v>
      </c>
      <c r="AR293" s="21">
        <v>26.547799999999999</v>
      </c>
      <c r="AS293" s="21">
        <v>-1.6046100000000001E-2</v>
      </c>
      <c r="AT293" s="21">
        <v>283</v>
      </c>
      <c r="AU293" s="21">
        <v>0.37417600000000001</v>
      </c>
      <c r="AV293">
        <f t="shared" si="56"/>
        <v>19.810000000000002</v>
      </c>
      <c r="AW293">
        <f t="shared" si="57"/>
        <v>7.4269274800000016</v>
      </c>
      <c r="AX293" s="9"/>
      <c r="AY293" s="21">
        <v>1.32507</v>
      </c>
      <c r="AZ293" s="21">
        <v>30.367000000000001</v>
      </c>
      <c r="BA293" s="21">
        <v>-1.4953599999999999E-2</v>
      </c>
      <c r="BB293" s="21">
        <v>283</v>
      </c>
      <c r="BC293" s="21">
        <v>1.32416</v>
      </c>
      <c r="BD293">
        <f t="shared" si="58"/>
        <v>18.461234567901233</v>
      </c>
      <c r="BE293">
        <f t="shared" si="59"/>
        <v>24.462428088888885</v>
      </c>
    </row>
    <row r="294" spans="6:57" x14ac:dyDescent="0.25">
      <c r="F294" s="9"/>
      <c r="G294" s="21">
        <v>0.36987300000000001</v>
      </c>
      <c r="H294" s="21">
        <v>7.8424800000000001</v>
      </c>
      <c r="I294" s="21">
        <v>-1.5954599999999999E-2</v>
      </c>
      <c r="J294" s="21">
        <v>284</v>
      </c>
      <c r="K294" s="21">
        <v>0.36920199999999997</v>
      </c>
      <c r="L294">
        <f t="shared" si="48"/>
        <v>19.697037037037035</v>
      </c>
      <c r="M294">
        <f t="shared" si="49"/>
        <v>7.2854021799999993</v>
      </c>
      <c r="N294" s="9"/>
      <c r="O294" s="21">
        <v>1.3301099999999999</v>
      </c>
      <c r="P294" s="21">
        <v>11.6617</v>
      </c>
      <c r="Q294" s="21">
        <v>-1.4855999999999999E-2</v>
      </c>
      <c r="R294" s="21">
        <v>284</v>
      </c>
      <c r="S294" s="21">
        <v>1.32904</v>
      </c>
      <c r="T294">
        <f t="shared" si="50"/>
        <v>18.340740740740738</v>
      </c>
      <c r="U294">
        <f t="shared" si="51"/>
        <v>24.395202666666663</v>
      </c>
      <c r="X294" s="9"/>
      <c r="Y294" s="21">
        <v>0.36987300000000001</v>
      </c>
      <c r="Z294" s="21">
        <v>17.2212</v>
      </c>
      <c r="AA294" s="21">
        <v>-1.6036999999999999E-2</v>
      </c>
      <c r="AB294" s="21">
        <v>284</v>
      </c>
      <c r="AC294" s="21">
        <v>0.369141</v>
      </c>
      <c r="AD294">
        <f t="shared" si="52"/>
        <v>19.798765432098762</v>
      </c>
      <c r="AE294">
        <f t="shared" si="53"/>
        <v>7.3230287666666651</v>
      </c>
      <c r="AF294" s="9"/>
      <c r="AG294" s="21">
        <v>1.3301099999999999</v>
      </c>
      <c r="AH294" s="21">
        <v>21.040400000000002</v>
      </c>
      <c r="AI294" s="21">
        <v>-1.49231E-2</v>
      </c>
      <c r="AJ294" s="21">
        <v>284</v>
      </c>
      <c r="AK294" s="21">
        <v>1.32904</v>
      </c>
      <c r="AL294">
        <f t="shared" si="54"/>
        <v>18.423580246913577</v>
      </c>
      <c r="AM294">
        <f t="shared" si="55"/>
        <v>24.505388322222217</v>
      </c>
      <c r="AP294" s="9"/>
      <c r="AQ294" s="21">
        <v>0.36987300000000001</v>
      </c>
      <c r="AR294" s="21">
        <v>26.5579</v>
      </c>
      <c r="AS294" s="21">
        <v>-1.6052199999999999E-2</v>
      </c>
      <c r="AT294" s="21">
        <v>284</v>
      </c>
      <c r="AU294" s="21">
        <v>0.369141</v>
      </c>
      <c r="AV294">
        <f t="shared" si="56"/>
        <v>19.817530864197529</v>
      </c>
      <c r="AW294">
        <f t="shared" si="57"/>
        <v>7.3299695933333329</v>
      </c>
      <c r="AX294" s="9"/>
      <c r="AY294" s="21">
        <v>1.3301099999999999</v>
      </c>
      <c r="AZ294" s="21">
        <v>30.377099999999999</v>
      </c>
      <c r="BA294" s="21">
        <v>-1.4947500000000001E-2</v>
      </c>
      <c r="BB294" s="21">
        <v>284</v>
      </c>
      <c r="BC294" s="21">
        <v>1.32904</v>
      </c>
      <c r="BD294">
        <f t="shared" si="58"/>
        <v>18.453703703703706</v>
      </c>
      <c r="BE294">
        <f t="shared" si="59"/>
        <v>24.545455833333335</v>
      </c>
    </row>
    <row r="295" spans="6:57" x14ac:dyDescent="0.25">
      <c r="F295" s="9"/>
      <c r="G295" s="21">
        <v>0.364838</v>
      </c>
      <c r="H295" s="21">
        <v>7.8525499999999999</v>
      </c>
      <c r="I295" s="21">
        <v>-1.5960700000000001E-2</v>
      </c>
      <c r="J295" s="21">
        <v>285</v>
      </c>
      <c r="K295" s="21">
        <v>0.36410500000000001</v>
      </c>
      <c r="L295">
        <f t="shared" si="48"/>
        <v>19.704567901234569</v>
      </c>
      <c r="M295">
        <f t="shared" si="49"/>
        <v>7.1889751439506178</v>
      </c>
      <c r="N295" s="9"/>
      <c r="O295" s="21">
        <v>1.33514</v>
      </c>
      <c r="P295" s="21">
        <v>11.6717</v>
      </c>
      <c r="Q295" s="21">
        <v>-1.4849899999999999E-2</v>
      </c>
      <c r="R295" s="21">
        <v>285</v>
      </c>
      <c r="S295" s="21">
        <v>1.33392</v>
      </c>
      <c r="T295">
        <f t="shared" si="50"/>
        <v>18.333209876543208</v>
      </c>
      <c r="U295">
        <f t="shared" si="51"/>
        <v>24.4774018345679</v>
      </c>
      <c r="X295" s="9"/>
      <c r="Y295" s="21">
        <v>0.364838</v>
      </c>
      <c r="Z295" s="21">
        <v>17.231200000000001</v>
      </c>
      <c r="AA295" s="21">
        <v>-1.6043100000000001E-2</v>
      </c>
      <c r="AB295" s="21">
        <v>285</v>
      </c>
      <c r="AC295" s="21">
        <v>0.36422700000000002</v>
      </c>
      <c r="AD295">
        <f t="shared" si="52"/>
        <v>19.806296296296299</v>
      </c>
      <c r="AE295">
        <f t="shared" si="53"/>
        <v>7.2260895281481492</v>
      </c>
      <c r="AF295" s="9"/>
      <c r="AG295" s="21">
        <v>1.33514</v>
      </c>
      <c r="AH295" s="21">
        <v>21.0504</v>
      </c>
      <c r="AI295" s="21">
        <v>-1.4917E-2</v>
      </c>
      <c r="AJ295" s="21">
        <v>285</v>
      </c>
      <c r="AK295" s="21">
        <v>1.33423</v>
      </c>
      <c r="AL295">
        <f t="shared" si="54"/>
        <v>18.416049382716047</v>
      </c>
      <c r="AM295">
        <f t="shared" si="55"/>
        <v>24.588004172839501</v>
      </c>
      <c r="AP295" s="9"/>
      <c r="AQ295" s="21">
        <v>0.364838</v>
      </c>
      <c r="AR295" s="21">
        <v>26.568000000000001</v>
      </c>
      <c r="AS295" s="21">
        <v>-1.6058300000000001E-2</v>
      </c>
      <c r="AT295" s="21">
        <v>285</v>
      </c>
      <c r="AU295" s="21">
        <v>0.36404399999999998</v>
      </c>
      <c r="AV295">
        <f t="shared" si="56"/>
        <v>19.82506172839506</v>
      </c>
      <c r="AW295">
        <f t="shared" si="57"/>
        <v>7.2329358708641971</v>
      </c>
      <c r="AX295" s="9"/>
      <c r="AY295" s="21">
        <v>1.33514</v>
      </c>
      <c r="AZ295" s="21">
        <v>30.3872</v>
      </c>
      <c r="BA295" s="21">
        <v>-1.4941400000000001E-2</v>
      </c>
      <c r="BB295" s="21">
        <v>285</v>
      </c>
      <c r="BC295" s="21">
        <v>1.33362</v>
      </c>
      <c r="BD295">
        <f t="shared" si="58"/>
        <v>18.446172839506172</v>
      </c>
      <c r="BE295">
        <f t="shared" si="59"/>
        <v>24.628223204938269</v>
      </c>
    </row>
    <row r="296" spans="6:57" x14ac:dyDescent="0.25">
      <c r="F296" s="9"/>
      <c r="G296" s="21">
        <v>0.35980200000000001</v>
      </c>
      <c r="H296" s="21">
        <v>7.8626300000000002</v>
      </c>
      <c r="I296" s="21">
        <v>-1.59668E-2</v>
      </c>
      <c r="J296" s="21">
        <v>286</v>
      </c>
      <c r="K296" s="21">
        <v>0.35913099999999998</v>
      </c>
      <c r="L296">
        <f t="shared" si="48"/>
        <v>19.712098765432096</v>
      </c>
      <c r="M296">
        <f t="shared" si="49"/>
        <v>7.092452559999999</v>
      </c>
      <c r="N296" s="9"/>
      <c r="O296" s="21">
        <v>1.3401799999999999</v>
      </c>
      <c r="P296" s="21">
        <v>11.681800000000001</v>
      </c>
      <c r="Q296" s="21">
        <v>-1.4843800000000001E-2</v>
      </c>
      <c r="R296" s="21">
        <v>286</v>
      </c>
      <c r="S296" s="21">
        <v>1.3394200000000001</v>
      </c>
      <c r="T296">
        <f t="shared" si="50"/>
        <v>18.325679012345677</v>
      </c>
      <c r="U296">
        <f t="shared" si="51"/>
        <v>24.559708498765428</v>
      </c>
      <c r="X296" s="9"/>
      <c r="Y296" s="21">
        <v>0.35980200000000001</v>
      </c>
      <c r="Z296" s="21">
        <v>17.241299999999999</v>
      </c>
      <c r="AA296" s="21">
        <v>-1.60492E-2</v>
      </c>
      <c r="AB296" s="21">
        <v>286</v>
      </c>
      <c r="AC296" s="21">
        <v>0.35900900000000002</v>
      </c>
      <c r="AD296">
        <f t="shared" si="52"/>
        <v>19.813827160493826</v>
      </c>
      <c r="AE296">
        <f t="shared" si="53"/>
        <v>7.1290546399999997</v>
      </c>
      <c r="AF296" s="9"/>
      <c r="AG296" s="21">
        <v>1.3401799999999999</v>
      </c>
      <c r="AH296" s="21">
        <v>21.060500000000001</v>
      </c>
      <c r="AI296" s="21">
        <v>-1.49109E-2</v>
      </c>
      <c r="AJ296" s="21">
        <v>286</v>
      </c>
      <c r="AK296" s="21">
        <v>1.33911</v>
      </c>
      <c r="AL296">
        <f t="shared" si="54"/>
        <v>18.408518518518516</v>
      </c>
      <c r="AM296">
        <f t="shared" si="55"/>
        <v>24.670728348148142</v>
      </c>
      <c r="AP296" s="9"/>
      <c r="AQ296" s="21">
        <v>0.35980200000000001</v>
      </c>
      <c r="AR296" s="21">
        <v>26.577999999999999</v>
      </c>
      <c r="AS296" s="21">
        <v>-1.6064499999999999E-2</v>
      </c>
      <c r="AT296" s="21">
        <v>286</v>
      </c>
      <c r="AU296" s="21">
        <v>0.35897800000000002</v>
      </c>
      <c r="AV296">
        <f t="shared" si="56"/>
        <v>19.832716049382714</v>
      </c>
      <c r="AW296">
        <f t="shared" si="57"/>
        <v>7.1358508999999994</v>
      </c>
      <c r="AX296" s="9"/>
      <c r="AY296" s="21">
        <v>1.3401799999999999</v>
      </c>
      <c r="AZ296" s="21">
        <v>30.397200000000002</v>
      </c>
      <c r="BA296" s="21">
        <v>-1.49353E-2</v>
      </c>
      <c r="BB296" s="21">
        <v>286</v>
      </c>
      <c r="BC296" s="21">
        <v>1.3394200000000001</v>
      </c>
      <c r="BD296">
        <f t="shared" si="58"/>
        <v>18.438641975308641</v>
      </c>
      <c r="BE296">
        <f t="shared" si="59"/>
        <v>24.711099202469132</v>
      </c>
    </row>
    <row r="297" spans="6:57" x14ac:dyDescent="0.25">
      <c r="F297" s="9"/>
      <c r="G297" s="21">
        <v>0.354767</v>
      </c>
      <c r="H297" s="21">
        <v>7.8727</v>
      </c>
      <c r="I297" s="21">
        <v>-1.5972900000000002E-2</v>
      </c>
      <c r="J297" s="21">
        <v>287</v>
      </c>
      <c r="K297" s="21">
        <v>0.35421799999999998</v>
      </c>
      <c r="L297">
        <f t="shared" si="48"/>
        <v>19.719629629629633</v>
      </c>
      <c r="M297">
        <f t="shared" si="49"/>
        <v>6.9958738448148159</v>
      </c>
      <c r="N297" s="9"/>
      <c r="O297" s="21">
        <v>1.34521</v>
      </c>
      <c r="P297" s="21">
        <v>11.6919</v>
      </c>
      <c r="Q297" s="21">
        <v>-1.4837599999999999E-2</v>
      </c>
      <c r="R297" s="21">
        <v>287</v>
      </c>
      <c r="S297" s="21">
        <v>1.3436900000000001</v>
      </c>
      <c r="T297">
        <f t="shared" si="50"/>
        <v>18.318024691358023</v>
      </c>
      <c r="U297">
        <f t="shared" si="51"/>
        <v>24.641589995061725</v>
      </c>
      <c r="X297" s="9"/>
      <c r="Y297" s="21">
        <v>0.354767</v>
      </c>
      <c r="Z297" s="21">
        <v>17.2514</v>
      </c>
      <c r="AA297" s="21">
        <v>-1.6055300000000002E-2</v>
      </c>
      <c r="AB297" s="21">
        <v>287</v>
      </c>
      <c r="AC297" s="21">
        <v>0.35406500000000002</v>
      </c>
      <c r="AD297">
        <f t="shared" si="52"/>
        <v>19.821358024691357</v>
      </c>
      <c r="AE297">
        <f t="shared" si="53"/>
        <v>7.0319637223456786</v>
      </c>
      <c r="AF297" s="9"/>
      <c r="AG297" s="21">
        <v>1.34521</v>
      </c>
      <c r="AH297" s="21">
        <v>21.070599999999999</v>
      </c>
      <c r="AI297" s="21">
        <v>-1.4904799999999999E-2</v>
      </c>
      <c r="AJ297" s="21">
        <v>287</v>
      </c>
      <c r="AK297" s="21">
        <v>1.3446</v>
      </c>
      <c r="AL297">
        <f t="shared" si="54"/>
        <v>18.400987654320986</v>
      </c>
      <c r="AM297">
        <f t="shared" si="55"/>
        <v>24.753192602469134</v>
      </c>
      <c r="AP297" s="9"/>
      <c r="AQ297" s="21">
        <v>0.354767</v>
      </c>
      <c r="AR297" s="21">
        <v>26.588100000000001</v>
      </c>
      <c r="AS297" s="21">
        <v>-1.6070600000000001E-2</v>
      </c>
      <c r="AT297" s="21">
        <v>287</v>
      </c>
      <c r="AU297" s="21">
        <v>0.353821</v>
      </c>
      <c r="AV297">
        <f t="shared" si="56"/>
        <v>19.840246913580245</v>
      </c>
      <c r="AW297">
        <f t="shared" si="57"/>
        <v>7.038664876790123</v>
      </c>
      <c r="AX297" s="9"/>
      <c r="AY297" s="21">
        <v>1.34521</v>
      </c>
      <c r="AZ297" s="21">
        <v>30.407299999999999</v>
      </c>
      <c r="BA297" s="21">
        <v>-1.49292E-2</v>
      </c>
      <c r="BB297" s="21">
        <v>287</v>
      </c>
      <c r="BC297" s="21">
        <v>1.34399</v>
      </c>
      <c r="BD297">
        <f t="shared" si="58"/>
        <v>18.431111111111111</v>
      </c>
      <c r="BE297">
        <f t="shared" si="59"/>
        <v>24.793714977777778</v>
      </c>
    </row>
    <row r="298" spans="6:57" x14ac:dyDescent="0.25">
      <c r="F298" s="9"/>
      <c r="G298" s="21">
        <v>0.34973100000000001</v>
      </c>
      <c r="H298" s="21">
        <v>7.8827699999999998</v>
      </c>
      <c r="I298" s="21">
        <v>-1.5976000000000001E-2</v>
      </c>
      <c r="J298" s="21">
        <v>288</v>
      </c>
      <c r="K298" s="21">
        <v>0.34918199999999999</v>
      </c>
      <c r="L298">
        <f t="shared" si="48"/>
        <v>19.723456790123457</v>
      </c>
      <c r="M298">
        <f t="shared" si="49"/>
        <v>6.897904266666667</v>
      </c>
      <c r="N298" s="9"/>
      <c r="O298" s="21">
        <v>1.35025</v>
      </c>
      <c r="P298" s="21">
        <v>11.702</v>
      </c>
      <c r="Q298" s="21">
        <v>-1.4831499999999999E-2</v>
      </c>
      <c r="R298" s="21">
        <v>288</v>
      </c>
      <c r="S298" s="21">
        <v>1.34979</v>
      </c>
      <c r="T298">
        <f t="shared" si="50"/>
        <v>18.310493827160489</v>
      </c>
      <c r="U298">
        <f t="shared" si="51"/>
        <v>24.723744290123449</v>
      </c>
      <c r="X298" s="9"/>
      <c r="Y298" s="21">
        <v>0.34973100000000001</v>
      </c>
      <c r="Z298" s="21">
        <v>17.261500000000002</v>
      </c>
      <c r="AA298" s="21">
        <v>-1.6064499999999999E-2</v>
      </c>
      <c r="AB298" s="21">
        <v>288</v>
      </c>
      <c r="AC298" s="21">
        <v>0.34893800000000003</v>
      </c>
      <c r="AD298">
        <f t="shared" si="52"/>
        <v>19.832716049382714</v>
      </c>
      <c r="AE298">
        <f t="shared" si="53"/>
        <v>6.9361156166666662</v>
      </c>
      <c r="AF298" s="9"/>
      <c r="AG298" s="21">
        <v>1.35025</v>
      </c>
      <c r="AH298" s="21">
        <v>21.0807</v>
      </c>
      <c r="AI298" s="21">
        <v>-1.49017E-2</v>
      </c>
      <c r="AJ298" s="21">
        <v>288</v>
      </c>
      <c r="AK298" s="21">
        <v>1.3488800000000001</v>
      </c>
      <c r="AL298">
        <f t="shared" si="54"/>
        <v>18.397160493827158</v>
      </c>
      <c r="AM298">
        <f t="shared" si="55"/>
        <v>24.840765956790118</v>
      </c>
      <c r="AP298" s="9"/>
      <c r="AQ298" s="21">
        <v>0.34973100000000001</v>
      </c>
      <c r="AR298" s="21">
        <v>26.598199999999999</v>
      </c>
      <c r="AS298" s="21">
        <v>-1.6076699999999999E-2</v>
      </c>
      <c r="AT298" s="21">
        <v>288</v>
      </c>
      <c r="AU298" s="21">
        <v>0.34817500000000001</v>
      </c>
      <c r="AV298">
        <f t="shared" si="56"/>
        <v>19.847777777777775</v>
      </c>
      <c r="AW298">
        <f t="shared" si="57"/>
        <v>6.941383169999999</v>
      </c>
      <c r="AX298" s="9"/>
      <c r="AY298" s="21">
        <v>1.35025</v>
      </c>
      <c r="AZ298" s="21">
        <v>30.417400000000001</v>
      </c>
      <c r="BA298" s="21">
        <v>-1.49231E-2</v>
      </c>
      <c r="BB298" s="21">
        <v>288</v>
      </c>
      <c r="BC298" s="21">
        <v>1.34918</v>
      </c>
      <c r="BD298">
        <f t="shared" si="58"/>
        <v>18.423580246913577</v>
      </c>
      <c r="BE298">
        <f t="shared" si="59"/>
        <v>24.876439228395057</v>
      </c>
    </row>
    <row r="299" spans="6:57" x14ac:dyDescent="0.25">
      <c r="F299" s="9"/>
      <c r="G299" s="21">
        <v>0.344696</v>
      </c>
      <c r="H299" s="21">
        <v>7.8928399999999996</v>
      </c>
      <c r="I299" s="21">
        <v>-1.5985099999999999E-2</v>
      </c>
      <c r="J299" s="21">
        <v>289</v>
      </c>
      <c r="K299" s="21">
        <v>0.34402500000000003</v>
      </c>
      <c r="L299">
        <f t="shared" si="48"/>
        <v>19.734691358024687</v>
      </c>
      <c r="M299">
        <f t="shared" si="49"/>
        <v>6.8024691723456776</v>
      </c>
      <c r="N299" s="9"/>
      <c r="O299" s="21">
        <v>1.3552900000000001</v>
      </c>
      <c r="P299" s="21">
        <v>11.712</v>
      </c>
      <c r="Q299" s="21">
        <v>-1.4825400000000001E-2</v>
      </c>
      <c r="R299" s="21">
        <v>289</v>
      </c>
      <c r="S299" s="21">
        <v>1.3546800000000001</v>
      </c>
      <c r="T299">
        <f t="shared" si="50"/>
        <v>18.302962962962962</v>
      </c>
      <c r="U299">
        <f t="shared" si="51"/>
        <v>24.805822674074076</v>
      </c>
      <c r="X299" s="9"/>
      <c r="Y299" s="21">
        <v>0.344696</v>
      </c>
      <c r="Z299" s="21">
        <v>17.2715</v>
      </c>
      <c r="AA299" s="21">
        <v>-1.6070600000000001E-2</v>
      </c>
      <c r="AB299" s="21">
        <v>289</v>
      </c>
      <c r="AC299" s="21">
        <v>0.344055</v>
      </c>
      <c r="AD299">
        <f t="shared" si="52"/>
        <v>19.840246913580245</v>
      </c>
      <c r="AE299">
        <f t="shared" si="53"/>
        <v>6.8388537501234561</v>
      </c>
      <c r="AF299" s="9"/>
      <c r="AG299" s="21">
        <v>1.3552900000000001</v>
      </c>
      <c r="AH299" s="21">
        <v>21.090699999999998</v>
      </c>
      <c r="AI299" s="21">
        <v>-1.4892600000000001E-2</v>
      </c>
      <c r="AJ299" s="21">
        <v>289</v>
      </c>
      <c r="AK299" s="21">
        <v>1.3537600000000001</v>
      </c>
      <c r="AL299">
        <f t="shared" si="54"/>
        <v>18.385925925925928</v>
      </c>
      <c r="AM299">
        <f t="shared" si="55"/>
        <v>24.918261548148152</v>
      </c>
      <c r="AP299" s="9"/>
      <c r="AQ299" s="21">
        <v>0.344696</v>
      </c>
      <c r="AR299" s="21">
        <v>26.6083</v>
      </c>
      <c r="AS299" s="21">
        <v>-1.6082800000000001E-2</v>
      </c>
      <c r="AT299" s="21">
        <v>289</v>
      </c>
      <c r="AU299" s="21">
        <v>0.34362799999999999</v>
      </c>
      <c r="AV299">
        <f t="shared" si="56"/>
        <v>19.855308641975309</v>
      </c>
      <c r="AW299">
        <f t="shared" si="57"/>
        <v>6.844045467654321</v>
      </c>
      <c r="AX299" s="9"/>
      <c r="AY299" s="21">
        <v>1.3552900000000001</v>
      </c>
      <c r="AZ299" s="21">
        <v>30.427499999999998</v>
      </c>
      <c r="BA299" s="21">
        <v>-1.4913900000000001E-2</v>
      </c>
      <c r="BB299" s="21">
        <v>289</v>
      </c>
      <c r="BC299" s="21">
        <v>1.35406</v>
      </c>
      <c r="BD299">
        <f t="shared" si="58"/>
        <v>18.412222222222223</v>
      </c>
      <c r="BE299">
        <f t="shared" si="59"/>
        <v>24.953900655555557</v>
      </c>
    </row>
    <row r="300" spans="6:57" x14ac:dyDescent="0.25">
      <c r="F300" s="9"/>
      <c r="G300" s="21">
        <v>0.33966099999999999</v>
      </c>
      <c r="H300" s="21">
        <v>7.9029100000000003</v>
      </c>
      <c r="I300" s="21">
        <v>-1.5991200000000001E-2</v>
      </c>
      <c r="J300" s="21">
        <v>290</v>
      </c>
      <c r="K300" s="21">
        <v>0.33905000000000002</v>
      </c>
      <c r="L300">
        <f t="shared" si="48"/>
        <v>19.742222222222221</v>
      </c>
      <c r="M300">
        <f t="shared" si="49"/>
        <v>6.7056629422222214</v>
      </c>
      <c r="N300" s="9"/>
      <c r="O300" s="21">
        <v>1.36032</v>
      </c>
      <c r="P300" s="21">
        <v>11.722099999999999</v>
      </c>
      <c r="Q300" s="21">
        <v>-1.4819300000000001E-2</v>
      </c>
      <c r="R300" s="21">
        <v>290</v>
      </c>
      <c r="S300" s="21">
        <v>1.3589500000000001</v>
      </c>
      <c r="T300">
        <f t="shared" si="50"/>
        <v>18.295432098765431</v>
      </c>
      <c r="U300">
        <f t="shared" si="51"/>
        <v>24.88764219259259</v>
      </c>
      <c r="X300" s="9"/>
      <c r="Y300" s="21">
        <v>0.33966099999999999</v>
      </c>
      <c r="Z300" s="21">
        <v>17.281600000000001</v>
      </c>
      <c r="AA300" s="21">
        <v>-1.6076699999999999E-2</v>
      </c>
      <c r="AB300" s="21">
        <v>290</v>
      </c>
      <c r="AC300" s="21">
        <v>0.33901999999999999</v>
      </c>
      <c r="AD300">
        <f t="shared" si="52"/>
        <v>19.847777777777775</v>
      </c>
      <c r="AE300">
        <f t="shared" si="53"/>
        <v>6.7415160477777771</v>
      </c>
      <c r="AF300" s="9"/>
      <c r="AG300" s="21">
        <v>1.36032</v>
      </c>
      <c r="AH300" s="21">
        <v>21.1008</v>
      </c>
      <c r="AI300" s="21">
        <v>-1.48865E-2</v>
      </c>
      <c r="AJ300" s="21">
        <v>290</v>
      </c>
      <c r="AK300" s="21">
        <v>1.3595600000000001</v>
      </c>
      <c r="AL300">
        <f t="shared" si="54"/>
        <v>18.378395061728394</v>
      </c>
      <c r="AM300">
        <f t="shared" si="55"/>
        <v>25.000498370370369</v>
      </c>
      <c r="AP300" s="9"/>
      <c r="AQ300" s="21">
        <v>0.33966099999999999</v>
      </c>
      <c r="AR300" s="21">
        <v>26.618300000000001</v>
      </c>
      <c r="AS300" s="21">
        <v>-1.6091899999999999E-2</v>
      </c>
      <c r="AT300" s="21">
        <v>290</v>
      </c>
      <c r="AU300" s="21">
        <v>0.33895900000000001</v>
      </c>
      <c r="AV300">
        <f t="shared" si="56"/>
        <v>19.866543209876539</v>
      </c>
      <c r="AW300">
        <f t="shared" si="57"/>
        <v>6.7478899332098754</v>
      </c>
      <c r="AX300" s="9"/>
      <c r="AY300" s="21">
        <v>1.36032</v>
      </c>
      <c r="AZ300" s="21">
        <v>30.4375</v>
      </c>
      <c r="BA300" s="21">
        <v>-1.4904799999999999E-2</v>
      </c>
      <c r="BB300" s="21">
        <v>290</v>
      </c>
      <c r="BC300" s="21">
        <v>1.3592500000000001</v>
      </c>
      <c r="BD300">
        <f t="shared" si="58"/>
        <v>18.400987654320986</v>
      </c>
      <c r="BE300">
        <f t="shared" si="59"/>
        <v>25.031231525925921</v>
      </c>
    </row>
    <row r="301" spans="6:57" x14ac:dyDescent="0.25">
      <c r="F301" s="9"/>
      <c r="G301" s="21">
        <v>0.33462500000000001</v>
      </c>
      <c r="H301" s="21">
        <v>7.9129800000000001</v>
      </c>
      <c r="I301" s="21">
        <v>-1.6000400000000001E-2</v>
      </c>
      <c r="J301" s="21">
        <v>291</v>
      </c>
      <c r="K301" s="21">
        <v>0.33395399999999997</v>
      </c>
      <c r="L301">
        <f t="shared" si="48"/>
        <v>19.753580246913579</v>
      </c>
      <c r="M301">
        <f t="shared" si="49"/>
        <v>6.6100417901234563</v>
      </c>
      <c r="N301" s="9"/>
      <c r="O301" s="21">
        <v>1.3653599999999999</v>
      </c>
      <c r="P301" s="21">
        <v>11.732200000000001</v>
      </c>
      <c r="Q301" s="21">
        <v>-1.48132E-2</v>
      </c>
      <c r="R301" s="21">
        <v>291</v>
      </c>
      <c r="S301" s="21">
        <v>1.3650500000000001</v>
      </c>
      <c r="T301">
        <f t="shared" si="50"/>
        <v>18.287901234567901</v>
      </c>
      <c r="U301">
        <f t="shared" si="51"/>
        <v>24.969568829629626</v>
      </c>
      <c r="X301" s="9"/>
      <c r="Y301" s="21">
        <v>0.33462500000000001</v>
      </c>
      <c r="Z301" s="21">
        <v>17.291699999999999</v>
      </c>
      <c r="AA301" s="21">
        <v>-1.6082800000000001E-2</v>
      </c>
      <c r="AB301" s="21">
        <v>291</v>
      </c>
      <c r="AC301" s="21">
        <v>0.333038</v>
      </c>
      <c r="AD301">
        <f t="shared" si="52"/>
        <v>19.855308641975309</v>
      </c>
      <c r="AE301">
        <f t="shared" si="53"/>
        <v>6.6440826543209877</v>
      </c>
      <c r="AF301" s="9"/>
      <c r="AG301" s="21">
        <v>1.3653599999999999</v>
      </c>
      <c r="AH301" s="21">
        <v>21.110900000000001</v>
      </c>
      <c r="AI301" s="21">
        <v>-1.48773E-2</v>
      </c>
      <c r="AJ301" s="21">
        <v>291</v>
      </c>
      <c r="AK301" s="21">
        <v>1.3641399999999999</v>
      </c>
      <c r="AL301">
        <f t="shared" si="54"/>
        <v>18.367037037037036</v>
      </c>
      <c r="AM301">
        <f t="shared" si="55"/>
        <v>25.077617688888886</v>
      </c>
      <c r="AP301" s="9"/>
      <c r="AQ301" s="21">
        <v>0.33462500000000001</v>
      </c>
      <c r="AR301" s="21">
        <v>26.628399999999999</v>
      </c>
      <c r="AS301" s="21">
        <v>-1.6098000000000001E-2</v>
      </c>
      <c r="AT301" s="21">
        <v>291</v>
      </c>
      <c r="AU301" s="21">
        <v>0.33456399999999997</v>
      </c>
      <c r="AV301">
        <f t="shared" si="56"/>
        <v>19.874074074074077</v>
      </c>
      <c r="AW301">
        <f t="shared" si="57"/>
        <v>6.6503620370370378</v>
      </c>
      <c r="AX301" s="9"/>
      <c r="AY301" s="21">
        <v>1.3653599999999999</v>
      </c>
      <c r="AZ301" s="21">
        <v>30.447600000000001</v>
      </c>
      <c r="BA301" s="21">
        <v>-1.4898700000000001E-2</v>
      </c>
      <c r="BB301" s="21">
        <v>291</v>
      </c>
      <c r="BC301" s="21">
        <v>1.3647499999999999</v>
      </c>
      <c r="BD301">
        <f t="shared" si="58"/>
        <v>18.393456790123455</v>
      </c>
      <c r="BE301">
        <f t="shared" si="59"/>
        <v>25.113690162962961</v>
      </c>
    </row>
    <row r="302" spans="6:57" x14ac:dyDescent="0.25">
      <c r="F302" s="9"/>
      <c r="G302" s="21">
        <v>0.32958999999999999</v>
      </c>
      <c r="H302" s="21">
        <v>7.9230499999999999</v>
      </c>
      <c r="I302" s="21">
        <v>-1.60065E-2</v>
      </c>
      <c r="J302" s="21">
        <v>292</v>
      </c>
      <c r="K302" s="21">
        <v>0.32888800000000001</v>
      </c>
      <c r="L302">
        <f t="shared" si="48"/>
        <v>19.761111111111113</v>
      </c>
      <c r="M302">
        <f t="shared" si="49"/>
        <v>6.5130646111111119</v>
      </c>
      <c r="N302" s="9"/>
      <c r="O302" s="21">
        <v>1.37039</v>
      </c>
      <c r="P302" s="21">
        <v>11.7422</v>
      </c>
      <c r="Q302" s="21">
        <v>-1.48071E-2</v>
      </c>
      <c r="R302" s="21">
        <v>292</v>
      </c>
      <c r="S302" s="21">
        <v>1.3699300000000001</v>
      </c>
      <c r="T302">
        <f t="shared" si="50"/>
        <v>18.28037037037037</v>
      </c>
      <c r="U302">
        <f t="shared" si="51"/>
        <v>25.051236751851853</v>
      </c>
      <c r="X302" s="9"/>
      <c r="Y302" s="21">
        <v>0.32958999999999999</v>
      </c>
      <c r="Z302" s="21">
        <v>17.3017</v>
      </c>
      <c r="AA302" s="21">
        <v>-1.60889E-2</v>
      </c>
      <c r="AB302" s="21">
        <v>292</v>
      </c>
      <c r="AC302" s="21">
        <v>0.32867400000000002</v>
      </c>
      <c r="AD302">
        <f t="shared" si="52"/>
        <v>19.862839506172836</v>
      </c>
      <c r="AE302">
        <f t="shared" si="53"/>
        <v>6.5465932728395053</v>
      </c>
      <c r="AF302" s="9"/>
      <c r="AG302" s="21">
        <v>1.37039</v>
      </c>
      <c r="AH302" s="21">
        <v>21.120899999999999</v>
      </c>
      <c r="AI302" s="21">
        <v>-1.48743E-2</v>
      </c>
      <c r="AJ302" s="21">
        <v>292</v>
      </c>
      <c r="AK302" s="21">
        <v>1.3693200000000001</v>
      </c>
      <c r="AL302">
        <f t="shared" si="54"/>
        <v>18.363333333333333</v>
      </c>
      <c r="AM302">
        <f t="shared" si="55"/>
        <v>25.164928366666665</v>
      </c>
      <c r="AP302" s="9"/>
      <c r="AQ302" s="21">
        <v>0.32958999999999999</v>
      </c>
      <c r="AR302" s="21">
        <v>26.638500000000001</v>
      </c>
      <c r="AS302" s="21">
        <v>-1.61041E-2</v>
      </c>
      <c r="AT302" s="21">
        <v>292</v>
      </c>
      <c r="AU302" s="21">
        <v>0.32904099999999997</v>
      </c>
      <c r="AV302">
        <f t="shared" si="56"/>
        <v>19.881604938271604</v>
      </c>
      <c r="AW302">
        <f t="shared" si="57"/>
        <v>6.5527781716049374</v>
      </c>
      <c r="AX302" s="9"/>
      <c r="AY302" s="21">
        <v>1.37039</v>
      </c>
      <c r="AZ302" s="21">
        <v>30.457699999999999</v>
      </c>
      <c r="BA302" s="21">
        <v>-1.48956E-2</v>
      </c>
      <c r="BB302" s="21">
        <v>292</v>
      </c>
      <c r="BC302" s="21">
        <v>1.3699300000000001</v>
      </c>
      <c r="BD302">
        <f t="shared" si="58"/>
        <v>18.389629629629628</v>
      </c>
      <c r="BE302">
        <f t="shared" si="59"/>
        <v>25.200964548148146</v>
      </c>
    </row>
    <row r="303" spans="6:57" x14ac:dyDescent="0.25">
      <c r="F303" s="9"/>
      <c r="G303" s="21">
        <v>0.32455400000000001</v>
      </c>
      <c r="H303" s="21">
        <v>7.9331199999999997</v>
      </c>
      <c r="I303" s="21">
        <v>-1.6012599999999998E-2</v>
      </c>
      <c r="J303" s="21">
        <v>293</v>
      </c>
      <c r="K303" s="21">
        <v>0.32400499999999999</v>
      </c>
      <c r="L303">
        <f t="shared" si="48"/>
        <v>19.76864197530864</v>
      </c>
      <c r="M303">
        <f t="shared" si="49"/>
        <v>6.4159918276543202</v>
      </c>
      <c r="N303" s="9"/>
      <c r="O303" s="21">
        <v>1.3754299999999999</v>
      </c>
      <c r="P303" s="21">
        <v>11.7523</v>
      </c>
      <c r="Q303" s="21">
        <v>-1.4801E-2</v>
      </c>
      <c r="R303" s="21">
        <v>293</v>
      </c>
      <c r="S303" s="21">
        <v>1.3751199999999999</v>
      </c>
      <c r="T303">
        <f t="shared" si="50"/>
        <v>18.27283950617284</v>
      </c>
      <c r="U303">
        <f t="shared" si="51"/>
        <v>25.133011641975308</v>
      </c>
      <c r="X303" s="9"/>
      <c r="Y303" s="21">
        <v>0.32455400000000001</v>
      </c>
      <c r="Z303" s="21">
        <v>17.311800000000002</v>
      </c>
      <c r="AA303" s="21">
        <v>-1.6091899999999999E-2</v>
      </c>
      <c r="AB303" s="21">
        <v>293</v>
      </c>
      <c r="AC303" s="21">
        <v>0.32400499999999999</v>
      </c>
      <c r="AD303">
        <f t="shared" si="52"/>
        <v>19.866543209876539</v>
      </c>
      <c r="AE303">
        <f t="shared" si="53"/>
        <v>6.4477660649382704</v>
      </c>
      <c r="AF303" s="9"/>
      <c r="AG303" s="21">
        <v>1.3754299999999999</v>
      </c>
      <c r="AH303" s="21">
        <v>21.131</v>
      </c>
      <c r="AI303" s="21">
        <v>-1.4865099999999999E-2</v>
      </c>
      <c r="AJ303" s="21">
        <v>293</v>
      </c>
      <c r="AK303" s="21">
        <v>1.3748199999999999</v>
      </c>
      <c r="AL303">
        <f t="shared" si="54"/>
        <v>18.351975308641972</v>
      </c>
      <c r="AM303">
        <f t="shared" si="55"/>
        <v>25.241857398765426</v>
      </c>
      <c r="AP303" s="9"/>
      <c r="AQ303" s="21">
        <v>0.32455400000000001</v>
      </c>
      <c r="AR303" s="21">
        <v>26.648499999999999</v>
      </c>
      <c r="AS303" s="21">
        <v>-1.6110200000000002E-2</v>
      </c>
      <c r="AT303" s="21">
        <v>293</v>
      </c>
      <c r="AU303" s="21">
        <v>0.32440200000000002</v>
      </c>
      <c r="AV303">
        <f t="shared" si="56"/>
        <v>19.889135802469134</v>
      </c>
      <c r="AW303">
        <f t="shared" si="57"/>
        <v>6.4550985812345676</v>
      </c>
      <c r="AX303" s="9"/>
      <c r="AY303" s="21">
        <v>1.3754299999999999</v>
      </c>
      <c r="AZ303" s="21">
        <v>30.467700000000001</v>
      </c>
      <c r="BA303" s="21">
        <v>-1.48895E-2</v>
      </c>
      <c r="BB303" s="21">
        <v>293</v>
      </c>
      <c r="BC303" s="21">
        <v>1.3742099999999999</v>
      </c>
      <c r="BD303">
        <f t="shared" si="58"/>
        <v>18.382098765432101</v>
      </c>
      <c r="BE303">
        <f t="shared" si="59"/>
        <v>25.283290104938274</v>
      </c>
    </row>
    <row r="304" spans="6:57" x14ac:dyDescent="0.25">
      <c r="F304" s="9"/>
      <c r="G304" s="21">
        <v>0.319519</v>
      </c>
      <c r="H304" s="21">
        <v>7.9431900000000004</v>
      </c>
      <c r="I304" s="21">
        <v>-1.60187E-2</v>
      </c>
      <c r="J304" s="21">
        <v>294</v>
      </c>
      <c r="K304" s="21">
        <v>0.31875599999999998</v>
      </c>
      <c r="L304">
        <f t="shared" si="48"/>
        <v>19.77617283950617</v>
      </c>
      <c r="M304">
        <f t="shared" si="49"/>
        <v>6.3188629695061715</v>
      </c>
      <c r="N304" s="9"/>
      <c r="O304" s="21">
        <v>1.38046</v>
      </c>
      <c r="P304" s="21">
        <v>11.7624</v>
      </c>
      <c r="Q304" s="21">
        <v>-1.4798E-2</v>
      </c>
      <c r="R304" s="21">
        <v>294</v>
      </c>
      <c r="S304" s="21">
        <v>1.3803099999999999</v>
      </c>
      <c r="T304">
        <f t="shared" si="50"/>
        <v>18.269135802469137</v>
      </c>
      <c r="U304">
        <f t="shared" si="51"/>
        <v>25.219811209876546</v>
      </c>
      <c r="X304" s="9"/>
      <c r="Y304" s="21">
        <v>0.319519</v>
      </c>
      <c r="Z304" s="21">
        <v>17.321899999999999</v>
      </c>
      <c r="AA304" s="21">
        <v>-1.61011E-2</v>
      </c>
      <c r="AB304" s="21">
        <v>294</v>
      </c>
      <c r="AC304" s="21">
        <v>0.31875599999999998</v>
      </c>
      <c r="AD304">
        <f t="shared" si="52"/>
        <v>19.877901234567901</v>
      </c>
      <c r="AE304">
        <f t="shared" si="53"/>
        <v>6.3513671245679006</v>
      </c>
      <c r="AF304" s="9"/>
      <c r="AG304" s="21">
        <v>1.38046</v>
      </c>
      <c r="AH304" s="21">
        <v>21.141100000000002</v>
      </c>
      <c r="AI304" s="21">
        <v>-1.48621E-2</v>
      </c>
      <c r="AJ304" s="21">
        <v>294</v>
      </c>
      <c r="AK304" s="21">
        <v>1.3793899999999999</v>
      </c>
      <c r="AL304">
        <f t="shared" si="54"/>
        <v>18.348271604938269</v>
      </c>
      <c r="AM304">
        <f t="shared" si="55"/>
        <v>25.329055019753081</v>
      </c>
      <c r="AP304" s="9"/>
      <c r="AQ304" s="21">
        <v>0.319519</v>
      </c>
      <c r="AR304" s="21">
        <v>26.6586</v>
      </c>
      <c r="AS304" s="21">
        <v>-1.6119399999999999E-2</v>
      </c>
      <c r="AT304" s="21">
        <v>294</v>
      </c>
      <c r="AU304" s="21">
        <v>0.31912200000000002</v>
      </c>
      <c r="AV304">
        <f t="shared" si="56"/>
        <v>19.900493827160492</v>
      </c>
      <c r="AW304">
        <f t="shared" si="57"/>
        <v>6.3585858871604932</v>
      </c>
      <c r="AX304" s="9"/>
      <c r="AY304" s="21">
        <v>1.38046</v>
      </c>
      <c r="AZ304" s="21">
        <v>30.477799999999998</v>
      </c>
      <c r="BA304" s="21">
        <v>-1.48834E-2</v>
      </c>
      <c r="BB304" s="21">
        <v>294</v>
      </c>
      <c r="BC304" s="21">
        <v>1.3793899999999999</v>
      </c>
      <c r="BD304">
        <f t="shared" si="58"/>
        <v>18.374567901234567</v>
      </c>
      <c r="BE304">
        <f t="shared" si="59"/>
        <v>25.36535600493827</v>
      </c>
    </row>
    <row r="305" spans="6:57" x14ac:dyDescent="0.25">
      <c r="F305" s="9"/>
      <c r="G305" s="21">
        <v>0.31448399999999999</v>
      </c>
      <c r="H305" s="21">
        <v>7.9532600000000002</v>
      </c>
      <c r="I305" s="21">
        <v>-1.6027799999999998E-2</v>
      </c>
      <c r="J305" s="21">
        <v>295</v>
      </c>
      <c r="K305" s="21">
        <v>0.31356800000000001</v>
      </c>
      <c r="L305">
        <f t="shared" si="48"/>
        <v>19.787407407407404</v>
      </c>
      <c r="M305">
        <f t="shared" si="49"/>
        <v>6.2228230311111101</v>
      </c>
      <c r="N305" s="9"/>
      <c r="O305" s="21">
        <v>1.3855</v>
      </c>
      <c r="P305" s="21">
        <v>11.772500000000001</v>
      </c>
      <c r="Q305" s="21">
        <v>-1.47919E-2</v>
      </c>
      <c r="R305" s="21">
        <v>295</v>
      </c>
      <c r="S305" s="21">
        <v>1.38428</v>
      </c>
      <c r="T305">
        <f t="shared" si="50"/>
        <v>18.261604938271603</v>
      </c>
      <c r="U305">
        <f t="shared" si="51"/>
        <v>25.301453641975304</v>
      </c>
      <c r="X305" s="9"/>
      <c r="Y305" s="21">
        <v>0.31448399999999999</v>
      </c>
      <c r="Z305" s="21">
        <v>17.332000000000001</v>
      </c>
      <c r="AA305" s="21">
        <v>-1.6107199999999999E-2</v>
      </c>
      <c r="AB305" s="21">
        <v>295</v>
      </c>
      <c r="AC305" s="21">
        <v>0.31384299999999998</v>
      </c>
      <c r="AD305">
        <f t="shared" si="52"/>
        <v>19.885432098765428</v>
      </c>
      <c r="AE305">
        <f t="shared" si="53"/>
        <v>6.2536502281481461</v>
      </c>
      <c r="AF305" s="9"/>
      <c r="AG305" s="21">
        <v>1.3855</v>
      </c>
      <c r="AH305" s="21">
        <v>21.151199999999999</v>
      </c>
      <c r="AI305" s="21">
        <v>-1.4859000000000001E-2</v>
      </c>
      <c r="AJ305" s="21">
        <v>295</v>
      </c>
      <c r="AK305" s="21">
        <v>1.3845799999999999</v>
      </c>
      <c r="AL305">
        <f t="shared" si="54"/>
        <v>18.344444444444445</v>
      </c>
      <c r="AM305">
        <f t="shared" si="55"/>
        <v>25.416227777777777</v>
      </c>
      <c r="AP305" s="9"/>
      <c r="AQ305" s="21">
        <v>0.31448399999999999</v>
      </c>
      <c r="AR305" s="21">
        <v>26.668700000000001</v>
      </c>
      <c r="AS305" s="21">
        <v>-1.6125500000000001E-2</v>
      </c>
      <c r="AT305" s="21">
        <v>295</v>
      </c>
      <c r="AU305" s="21">
        <v>0.31399500000000002</v>
      </c>
      <c r="AV305">
        <f t="shared" si="56"/>
        <v>19.908024691358026</v>
      </c>
      <c r="AW305">
        <f t="shared" si="57"/>
        <v>6.2607552370370376</v>
      </c>
      <c r="AX305" s="9"/>
      <c r="AY305" s="21">
        <v>1.3855</v>
      </c>
      <c r="AZ305" s="21">
        <v>30.4879</v>
      </c>
      <c r="BA305" s="21">
        <v>-1.48773E-2</v>
      </c>
      <c r="BB305" s="21">
        <v>295</v>
      </c>
      <c r="BC305" s="21">
        <v>1.38489</v>
      </c>
      <c r="BD305">
        <f t="shared" si="58"/>
        <v>18.367037037037036</v>
      </c>
      <c r="BE305">
        <f t="shared" si="59"/>
        <v>25.447529814814814</v>
      </c>
    </row>
    <row r="306" spans="6:57" x14ac:dyDescent="0.25">
      <c r="F306" s="9"/>
      <c r="G306" s="21">
        <v>0.309448</v>
      </c>
      <c r="H306" s="21">
        <v>7.9633399999999996</v>
      </c>
      <c r="I306" s="21">
        <v>-1.60339E-2</v>
      </c>
      <c r="J306" s="21">
        <v>296</v>
      </c>
      <c r="K306" s="21">
        <v>0.30877700000000002</v>
      </c>
      <c r="L306">
        <f t="shared" si="48"/>
        <v>19.794938271604938</v>
      </c>
      <c r="M306">
        <f t="shared" si="49"/>
        <v>6.1255040582716047</v>
      </c>
      <c r="N306" s="9"/>
      <c r="O306" s="21">
        <v>1.39053</v>
      </c>
      <c r="P306" s="21">
        <v>11.782500000000001</v>
      </c>
      <c r="Q306" s="21">
        <v>-1.47858E-2</v>
      </c>
      <c r="R306" s="21">
        <v>296</v>
      </c>
      <c r="S306" s="21">
        <v>1.3897699999999999</v>
      </c>
      <c r="T306">
        <f t="shared" si="50"/>
        <v>18.254074074074072</v>
      </c>
      <c r="U306">
        <f t="shared" si="51"/>
        <v>25.382837622222219</v>
      </c>
      <c r="X306" s="9"/>
      <c r="Y306" s="21">
        <v>0.309448</v>
      </c>
      <c r="Z306" s="21">
        <v>17.341999999999999</v>
      </c>
      <c r="AA306" s="21">
        <v>-1.6113300000000001E-2</v>
      </c>
      <c r="AB306" s="21">
        <v>296</v>
      </c>
      <c r="AC306" s="21">
        <v>0.30868499999999999</v>
      </c>
      <c r="AD306">
        <f t="shared" si="52"/>
        <v>19.892962962962962</v>
      </c>
      <c r="AE306">
        <f t="shared" si="53"/>
        <v>6.1558376029629622</v>
      </c>
      <c r="AF306" s="9"/>
      <c r="AG306" s="21">
        <v>1.39053</v>
      </c>
      <c r="AH306" s="21">
        <v>21.161200000000001</v>
      </c>
      <c r="AI306" s="21">
        <v>-1.48529E-2</v>
      </c>
      <c r="AJ306" s="21">
        <v>296</v>
      </c>
      <c r="AK306" s="21">
        <v>1.38947</v>
      </c>
      <c r="AL306">
        <f t="shared" si="54"/>
        <v>18.336913580246915</v>
      </c>
      <c r="AM306">
        <f t="shared" si="55"/>
        <v>25.498028440740743</v>
      </c>
      <c r="AP306" s="9"/>
      <c r="AQ306" s="21">
        <v>0.309448</v>
      </c>
      <c r="AR306" s="21">
        <v>26.678799999999999</v>
      </c>
      <c r="AS306" s="21">
        <v>-1.6131599999999999E-2</v>
      </c>
      <c r="AT306" s="21">
        <v>296</v>
      </c>
      <c r="AU306" s="21">
        <v>0.308807</v>
      </c>
      <c r="AV306">
        <f t="shared" si="56"/>
        <v>19.915555555555553</v>
      </c>
      <c r="AW306">
        <f t="shared" si="57"/>
        <v>6.1628288355555547</v>
      </c>
      <c r="AX306" s="9"/>
      <c r="AY306" s="21">
        <v>1.39053</v>
      </c>
      <c r="AZ306" s="21">
        <v>30.497900000000001</v>
      </c>
      <c r="BA306" s="21">
        <v>-1.4871199999999999E-2</v>
      </c>
      <c r="BB306" s="21">
        <v>296</v>
      </c>
      <c r="BC306" s="21">
        <v>1.38947</v>
      </c>
      <c r="BD306">
        <f t="shared" si="58"/>
        <v>18.359506172839506</v>
      </c>
      <c r="BE306">
        <f t="shared" si="59"/>
        <v>25.529444118518519</v>
      </c>
    </row>
    <row r="307" spans="6:57" x14ac:dyDescent="0.25">
      <c r="F307" s="9"/>
      <c r="G307" s="21">
        <v>0.30441299999999999</v>
      </c>
      <c r="H307" s="21">
        <v>7.9734100000000003</v>
      </c>
      <c r="I307" s="21">
        <v>-1.6043100000000001E-2</v>
      </c>
      <c r="J307" s="21">
        <v>297</v>
      </c>
      <c r="K307" s="21">
        <v>0.30380200000000002</v>
      </c>
      <c r="L307">
        <f t="shared" si="48"/>
        <v>19.806296296296299</v>
      </c>
      <c r="M307">
        <f t="shared" si="49"/>
        <v>6.0292940744444454</v>
      </c>
      <c r="N307" s="9"/>
      <c r="O307" s="21">
        <v>1.39557</v>
      </c>
      <c r="P307" s="21">
        <v>11.7926</v>
      </c>
      <c r="Q307" s="21">
        <v>-1.47797E-2</v>
      </c>
      <c r="R307" s="21">
        <v>297</v>
      </c>
      <c r="S307" s="21">
        <v>1.3946499999999999</v>
      </c>
      <c r="T307">
        <f t="shared" si="50"/>
        <v>18.246543209876542</v>
      </c>
      <c r="U307">
        <f t="shared" si="51"/>
        <v>25.464328307407406</v>
      </c>
      <c r="X307" s="9"/>
      <c r="Y307" s="21">
        <v>0.30441299999999999</v>
      </c>
      <c r="Z307" s="21">
        <v>17.3521</v>
      </c>
      <c r="AA307" s="21">
        <v>-1.6119399999999999E-2</v>
      </c>
      <c r="AB307" s="21">
        <v>297</v>
      </c>
      <c r="AC307" s="21">
        <v>0.30343599999999998</v>
      </c>
      <c r="AD307">
        <f t="shared" si="52"/>
        <v>19.900493827160492</v>
      </c>
      <c r="AE307">
        <f t="shared" si="53"/>
        <v>6.0579690274074069</v>
      </c>
      <c r="AF307" s="9"/>
      <c r="AG307" s="21">
        <v>1.39557</v>
      </c>
      <c r="AH307" s="21">
        <v>21.171299999999999</v>
      </c>
      <c r="AI307" s="21">
        <v>-1.4843800000000001E-2</v>
      </c>
      <c r="AJ307" s="21">
        <v>297</v>
      </c>
      <c r="AK307" s="21">
        <v>1.39435</v>
      </c>
      <c r="AL307">
        <f t="shared" si="54"/>
        <v>18.325679012345677</v>
      </c>
      <c r="AM307">
        <f t="shared" si="55"/>
        <v>25.574767859259257</v>
      </c>
      <c r="AP307" s="9"/>
      <c r="AQ307" s="21">
        <v>0.30441299999999999</v>
      </c>
      <c r="AR307" s="21">
        <v>26.688800000000001</v>
      </c>
      <c r="AS307" s="21">
        <v>-1.6137700000000001E-2</v>
      </c>
      <c r="AT307" s="21">
        <v>297</v>
      </c>
      <c r="AU307" s="21">
        <v>0.30364999999999998</v>
      </c>
      <c r="AV307">
        <f t="shared" si="56"/>
        <v>19.923086419753087</v>
      </c>
      <c r="AW307">
        <f t="shared" si="57"/>
        <v>6.0648465062962966</v>
      </c>
      <c r="AX307" s="9"/>
      <c r="AY307" s="21">
        <v>1.39557</v>
      </c>
      <c r="AZ307" s="21">
        <v>30.507999999999999</v>
      </c>
      <c r="BA307" s="21">
        <v>-1.4865099999999999E-2</v>
      </c>
      <c r="BB307" s="21">
        <v>297</v>
      </c>
      <c r="BC307" s="21">
        <v>1.39496</v>
      </c>
      <c r="BD307">
        <f t="shared" si="58"/>
        <v>18.351975308641972</v>
      </c>
      <c r="BE307">
        <f t="shared" si="59"/>
        <v>25.611466181481475</v>
      </c>
    </row>
    <row r="308" spans="6:57" x14ac:dyDescent="0.25">
      <c r="F308" s="9"/>
      <c r="G308" s="21">
        <v>0.299377</v>
      </c>
      <c r="H308" s="21">
        <v>7.9834800000000001</v>
      </c>
      <c r="I308" s="21">
        <v>-1.60492E-2</v>
      </c>
      <c r="J308" s="21">
        <v>298</v>
      </c>
      <c r="K308" s="21">
        <v>0.29864499999999999</v>
      </c>
      <c r="L308">
        <f t="shared" si="48"/>
        <v>19.813827160493826</v>
      </c>
      <c r="M308">
        <f t="shared" si="49"/>
        <v>5.9318041338271605</v>
      </c>
      <c r="N308" s="9"/>
      <c r="O308" s="21">
        <v>1.4006000000000001</v>
      </c>
      <c r="P308" s="21">
        <v>11.8027</v>
      </c>
      <c r="Q308" s="21">
        <v>-1.47736E-2</v>
      </c>
      <c r="R308" s="21">
        <v>298</v>
      </c>
      <c r="S308" s="21">
        <v>1.39923</v>
      </c>
      <c r="T308">
        <f t="shared" si="50"/>
        <v>18.239012345679011</v>
      </c>
      <c r="U308">
        <f t="shared" si="51"/>
        <v>25.545560691358023</v>
      </c>
      <c r="X308" s="9"/>
      <c r="Y308" s="21">
        <v>0.299377</v>
      </c>
      <c r="Z308" s="21">
        <v>17.362200000000001</v>
      </c>
      <c r="AA308" s="21">
        <v>-1.6125500000000001E-2</v>
      </c>
      <c r="AB308" s="21">
        <v>298</v>
      </c>
      <c r="AC308" s="21">
        <v>0.29888900000000002</v>
      </c>
      <c r="AD308">
        <f t="shared" si="52"/>
        <v>19.908024691358026</v>
      </c>
      <c r="AE308">
        <f t="shared" si="53"/>
        <v>5.9600047080246918</v>
      </c>
      <c r="AF308" s="9"/>
      <c r="AG308" s="21">
        <v>1.4006000000000001</v>
      </c>
      <c r="AH308" s="21">
        <v>21.1814</v>
      </c>
      <c r="AI308" s="21">
        <v>-1.4837599999999999E-2</v>
      </c>
      <c r="AJ308" s="21">
        <v>298</v>
      </c>
      <c r="AK308" s="21">
        <v>1.39954</v>
      </c>
      <c r="AL308">
        <f t="shared" si="54"/>
        <v>18.318024691358023</v>
      </c>
      <c r="AM308">
        <f t="shared" si="55"/>
        <v>25.656225382716048</v>
      </c>
      <c r="AP308" s="9"/>
      <c r="AQ308" s="21">
        <v>0.299377</v>
      </c>
      <c r="AR308" s="21">
        <v>26.698899999999998</v>
      </c>
      <c r="AS308" s="21">
        <v>-1.6146899999999999E-2</v>
      </c>
      <c r="AT308" s="21">
        <v>298</v>
      </c>
      <c r="AU308" s="21">
        <v>0.29852299999999998</v>
      </c>
      <c r="AV308">
        <f t="shared" si="56"/>
        <v>19.934444444444441</v>
      </c>
      <c r="AW308">
        <f t="shared" si="57"/>
        <v>5.9679141744444433</v>
      </c>
      <c r="AX308" s="9"/>
      <c r="AY308" s="21">
        <v>1.4006000000000001</v>
      </c>
      <c r="AZ308" s="21">
        <v>30.5181</v>
      </c>
      <c r="BA308" s="21">
        <v>-1.4855999999999999E-2</v>
      </c>
      <c r="BB308" s="21">
        <v>298</v>
      </c>
      <c r="BC308" s="21">
        <v>1.39984</v>
      </c>
      <c r="BD308">
        <f t="shared" si="58"/>
        <v>18.340740740740738</v>
      </c>
      <c r="BE308">
        <f t="shared" si="59"/>
        <v>25.688041481481481</v>
      </c>
    </row>
    <row r="309" spans="6:57" x14ac:dyDescent="0.25">
      <c r="F309" s="9"/>
      <c r="G309" s="21">
        <v>0.29434199999999999</v>
      </c>
      <c r="H309" s="21">
        <v>7.9935499999999999</v>
      </c>
      <c r="I309" s="21">
        <v>-1.6055300000000002E-2</v>
      </c>
      <c r="J309" s="21">
        <v>299</v>
      </c>
      <c r="K309" s="21">
        <v>0.29370099999999999</v>
      </c>
      <c r="L309">
        <f t="shared" si="48"/>
        <v>19.821358024691357</v>
      </c>
      <c r="M309">
        <f t="shared" si="49"/>
        <v>5.8342581637037032</v>
      </c>
      <c r="N309" s="9"/>
      <c r="O309" s="21">
        <v>1.40564</v>
      </c>
      <c r="P309" s="21">
        <v>11.8127</v>
      </c>
      <c r="Q309" s="21">
        <v>-1.4767499999999999E-2</v>
      </c>
      <c r="R309" s="21">
        <v>299</v>
      </c>
      <c r="S309" s="21">
        <v>1.40442</v>
      </c>
      <c r="T309">
        <f t="shared" si="50"/>
        <v>18.231481481481481</v>
      </c>
      <c r="U309">
        <f t="shared" si="51"/>
        <v>25.62689962962963</v>
      </c>
      <c r="X309" s="9"/>
      <c r="Y309" s="21">
        <v>0.29434199999999999</v>
      </c>
      <c r="Z309" s="21">
        <v>17.372199999999999</v>
      </c>
      <c r="AA309" s="21">
        <v>-1.61285E-2</v>
      </c>
      <c r="AB309" s="21">
        <v>299</v>
      </c>
      <c r="AC309" s="21">
        <v>0.29156500000000002</v>
      </c>
      <c r="AD309">
        <f t="shared" si="52"/>
        <v>19.911728395061726</v>
      </c>
      <c r="AE309">
        <f t="shared" si="53"/>
        <v>5.860857959259258</v>
      </c>
      <c r="AF309" s="9"/>
      <c r="AG309" s="21">
        <v>1.40564</v>
      </c>
      <c r="AH309" s="21">
        <v>21.191400000000002</v>
      </c>
      <c r="AI309" s="21">
        <v>-1.48285E-2</v>
      </c>
      <c r="AJ309" s="21">
        <v>299</v>
      </c>
      <c r="AK309" s="21">
        <v>1.40472</v>
      </c>
      <c r="AL309">
        <f t="shared" si="54"/>
        <v>18.306790123456789</v>
      </c>
      <c r="AM309">
        <f t="shared" si="55"/>
        <v>25.732756469135801</v>
      </c>
      <c r="AP309" s="9"/>
      <c r="AQ309" s="21">
        <v>0.29434199999999999</v>
      </c>
      <c r="AR309" s="21">
        <v>26.709</v>
      </c>
      <c r="AS309" s="21">
        <v>-1.6153000000000001E-2</v>
      </c>
      <c r="AT309" s="21">
        <v>299</v>
      </c>
      <c r="AU309" s="21">
        <v>0.29360999999999998</v>
      </c>
      <c r="AV309">
        <f t="shared" si="56"/>
        <v>19.941975308641975</v>
      </c>
      <c r="AW309">
        <f t="shared" si="57"/>
        <v>5.8697608962962962</v>
      </c>
      <c r="AX309" s="9"/>
      <c r="AY309" s="21">
        <v>1.40564</v>
      </c>
      <c r="AZ309" s="21">
        <v>30.528199999999998</v>
      </c>
      <c r="BA309" s="21">
        <v>-1.4849899999999999E-2</v>
      </c>
      <c r="BB309" s="21">
        <v>299</v>
      </c>
      <c r="BC309" s="21">
        <v>1.40503</v>
      </c>
      <c r="BD309">
        <f t="shared" si="58"/>
        <v>18.333209876543208</v>
      </c>
      <c r="BE309">
        <f t="shared" si="59"/>
        <v>25.769893130864194</v>
      </c>
    </row>
    <row r="310" spans="6:57" x14ac:dyDescent="0.25">
      <c r="F310" s="9"/>
      <c r="G310" s="21">
        <v>0.28930699999999998</v>
      </c>
      <c r="H310" s="21">
        <v>8.0036199999999997</v>
      </c>
      <c r="I310" s="21">
        <v>-1.60614E-2</v>
      </c>
      <c r="J310" s="21">
        <v>300</v>
      </c>
      <c r="K310" s="21">
        <v>0.28903200000000001</v>
      </c>
      <c r="L310">
        <f t="shared" si="48"/>
        <v>19.828888888888891</v>
      </c>
      <c r="M310">
        <f t="shared" si="49"/>
        <v>5.7366363577777779</v>
      </c>
      <c r="N310" s="9"/>
      <c r="O310" s="21">
        <v>1.4106799999999999</v>
      </c>
      <c r="P310" s="21">
        <v>11.822800000000001</v>
      </c>
      <c r="Q310" s="21">
        <v>-1.47583E-2</v>
      </c>
      <c r="R310" s="21">
        <v>300</v>
      </c>
      <c r="S310" s="21">
        <v>1.41022</v>
      </c>
      <c r="T310">
        <f t="shared" si="50"/>
        <v>18.22012345679012</v>
      </c>
      <c r="U310">
        <f t="shared" si="51"/>
        <v>25.702763758024684</v>
      </c>
      <c r="X310" s="9"/>
      <c r="Y310" s="21">
        <v>0.28930699999999998</v>
      </c>
      <c r="Z310" s="21">
        <v>17.382300000000001</v>
      </c>
      <c r="AA310" s="21">
        <v>-1.6134599999999999E-2</v>
      </c>
      <c r="AB310" s="21">
        <v>300</v>
      </c>
      <c r="AC310" s="21">
        <v>0.28875699999999999</v>
      </c>
      <c r="AD310">
        <f t="shared" si="52"/>
        <v>19.91925925925926</v>
      </c>
      <c r="AE310">
        <f t="shared" si="53"/>
        <v>5.7627811385185179</v>
      </c>
      <c r="AF310" s="9"/>
      <c r="AG310" s="21">
        <v>1.4106799999999999</v>
      </c>
      <c r="AH310" s="21">
        <v>21.201499999999999</v>
      </c>
      <c r="AI310" s="21">
        <v>-1.4822399999999999E-2</v>
      </c>
      <c r="AJ310" s="21">
        <v>300</v>
      </c>
      <c r="AK310" s="21">
        <v>1.41052</v>
      </c>
      <c r="AL310">
        <f t="shared" si="54"/>
        <v>18.299259259259259</v>
      </c>
      <c r="AM310">
        <f t="shared" si="55"/>
        <v>25.814399051851851</v>
      </c>
      <c r="AP310" s="9"/>
      <c r="AQ310" s="21">
        <v>0.28930699999999998</v>
      </c>
      <c r="AR310" s="21">
        <v>26.719000000000001</v>
      </c>
      <c r="AS310" s="21">
        <v>-1.6159099999999999E-2</v>
      </c>
      <c r="AT310" s="21">
        <v>300</v>
      </c>
      <c r="AU310" s="21">
        <v>0.288574</v>
      </c>
      <c r="AV310">
        <f t="shared" si="56"/>
        <v>19.949506172839506</v>
      </c>
      <c r="AW310">
        <f t="shared" si="57"/>
        <v>5.7715317823456784</v>
      </c>
      <c r="AX310" s="9"/>
      <c r="AY310" s="21">
        <v>1.4106799999999999</v>
      </c>
      <c r="AZ310" s="21">
        <v>30.5382</v>
      </c>
      <c r="BA310" s="21">
        <v>-1.48407E-2</v>
      </c>
      <c r="BB310" s="21">
        <v>300</v>
      </c>
      <c r="BC310" s="21">
        <v>1.40961</v>
      </c>
      <c r="BD310">
        <f t="shared" si="58"/>
        <v>18.32185185185185</v>
      </c>
      <c r="BE310">
        <f t="shared" si="59"/>
        <v>25.846269970370365</v>
      </c>
    </row>
    <row r="311" spans="6:57" x14ac:dyDescent="0.25">
      <c r="F311" s="9"/>
      <c r="G311" s="21">
        <v>0.284271</v>
      </c>
      <c r="H311" s="21">
        <v>8.0136900000000004</v>
      </c>
      <c r="I311" s="21">
        <v>-1.6067499999999998E-2</v>
      </c>
      <c r="J311" s="21">
        <v>301</v>
      </c>
      <c r="K311" s="21">
        <v>0.28369100000000003</v>
      </c>
      <c r="L311">
        <f t="shared" si="48"/>
        <v>19.836419753086417</v>
      </c>
      <c r="M311">
        <f t="shared" si="49"/>
        <v>5.638918879629629</v>
      </c>
      <c r="N311" s="9"/>
      <c r="O311" s="21">
        <v>1.41571</v>
      </c>
      <c r="P311" s="21">
        <v>11.8329</v>
      </c>
      <c r="Q311" s="21">
        <v>-1.47552E-2</v>
      </c>
      <c r="R311" s="21">
        <v>301</v>
      </c>
      <c r="S311" s="21">
        <v>1.4151</v>
      </c>
      <c r="T311">
        <f t="shared" si="50"/>
        <v>18.216296296296292</v>
      </c>
      <c r="U311">
        <f t="shared" si="51"/>
        <v>25.788992829629624</v>
      </c>
      <c r="X311" s="9"/>
      <c r="Y311" s="21">
        <v>0.284271</v>
      </c>
      <c r="Z311" s="21">
        <v>17.392399999999999</v>
      </c>
      <c r="AA311" s="21">
        <v>-1.6140700000000001E-2</v>
      </c>
      <c r="AB311" s="21">
        <v>301</v>
      </c>
      <c r="AC311" s="21">
        <v>0.28414899999999998</v>
      </c>
      <c r="AD311">
        <f t="shared" si="52"/>
        <v>19.92679012345679</v>
      </c>
      <c r="AE311">
        <f t="shared" si="53"/>
        <v>5.6646085551851852</v>
      </c>
      <c r="AF311" s="9"/>
      <c r="AG311" s="21">
        <v>1.41571</v>
      </c>
      <c r="AH311" s="21">
        <v>21.211600000000001</v>
      </c>
      <c r="AI311" s="21">
        <v>-1.48132E-2</v>
      </c>
      <c r="AJ311" s="21">
        <v>301</v>
      </c>
      <c r="AK311" s="21">
        <v>1.4151</v>
      </c>
      <c r="AL311">
        <f t="shared" si="54"/>
        <v>18.287901234567901</v>
      </c>
      <c r="AM311">
        <f t="shared" si="55"/>
        <v>25.890364656790123</v>
      </c>
      <c r="AP311" s="9"/>
      <c r="AQ311" s="21">
        <v>0.284271</v>
      </c>
      <c r="AR311" s="21">
        <v>26.729099999999999</v>
      </c>
      <c r="AS311" s="21">
        <v>-1.6165200000000001E-2</v>
      </c>
      <c r="AT311" s="21">
        <v>301</v>
      </c>
      <c r="AU311" s="21">
        <v>0.28341699999999997</v>
      </c>
      <c r="AV311">
        <f t="shared" si="56"/>
        <v>19.957037037037036</v>
      </c>
      <c r="AW311">
        <f t="shared" si="57"/>
        <v>5.6732068755555556</v>
      </c>
      <c r="AX311" s="9"/>
      <c r="AY311" s="21">
        <v>1.41571</v>
      </c>
      <c r="AZ311" s="21">
        <v>30.548300000000001</v>
      </c>
      <c r="BA311" s="21">
        <v>-1.4837599999999999E-2</v>
      </c>
      <c r="BB311" s="21">
        <v>301</v>
      </c>
      <c r="BC311" s="21">
        <v>1.41449</v>
      </c>
      <c r="BD311">
        <f t="shared" si="58"/>
        <v>18.318024691358023</v>
      </c>
      <c r="BE311">
        <f t="shared" si="59"/>
        <v>25.933010735802466</v>
      </c>
    </row>
    <row r="312" spans="6:57" x14ac:dyDescent="0.25">
      <c r="F312" s="9"/>
      <c r="G312" s="21">
        <v>0.27923599999999998</v>
      </c>
      <c r="H312" s="21">
        <v>8.0237599999999993</v>
      </c>
      <c r="I312" s="21">
        <v>-1.6076699999999999E-2</v>
      </c>
      <c r="J312" s="21">
        <v>302</v>
      </c>
      <c r="K312" s="21">
        <v>0.27859499999999998</v>
      </c>
      <c r="L312">
        <f t="shared" si="48"/>
        <v>19.847777777777775</v>
      </c>
      <c r="M312">
        <f t="shared" si="49"/>
        <v>5.5422140755555542</v>
      </c>
      <c r="N312" s="9"/>
      <c r="O312" s="21">
        <v>1.42075</v>
      </c>
      <c r="P312" s="21">
        <v>11.843</v>
      </c>
      <c r="Q312" s="21">
        <v>-1.4749099999999999E-2</v>
      </c>
      <c r="R312" s="21">
        <v>302</v>
      </c>
      <c r="S312" s="21">
        <v>1.4196800000000001</v>
      </c>
      <c r="T312">
        <f t="shared" si="50"/>
        <v>18.208765432098765</v>
      </c>
      <c r="U312">
        <f t="shared" si="51"/>
        <v>25.870103487654319</v>
      </c>
      <c r="X312" s="9"/>
      <c r="Y312" s="21">
        <v>0.27923599999999998</v>
      </c>
      <c r="Z312" s="21">
        <v>17.4025</v>
      </c>
      <c r="AA312" s="21">
        <v>-1.6149899999999998E-2</v>
      </c>
      <c r="AB312" s="21">
        <v>302</v>
      </c>
      <c r="AC312" s="21">
        <v>0.27902199999999999</v>
      </c>
      <c r="AD312">
        <f t="shared" si="52"/>
        <v>19.938148148148144</v>
      </c>
      <c r="AE312">
        <f t="shared" si="53"/>
        <v>5.5674487362962948</v>
      </c>
      <c r="AF312" s="9"/>
      <c r="AG312" s="21">
        <v>1.42075</v>
      </c>
      <c r="AH312" s="21">
        <v>21.221599999999999</v>
      </c>
      <c r="AI312" s="21">
        <v>-1.48071E-2</v>
      </c>
      <c r="AJ312" s="21">
        <v>302</v>
      </c>
      <c r="AK312" s="21">
        <v>1.41998</v>
      </c>
      <c r="AL312">
        <f t="shared" si="54"/>
        <v>18.28037037037037</v>
      </c>
      <c r="AM312">
        <f t="shared" si="55"/>
        <v>25.971836203703702</v>
      </c>
      <c r="AP312" s="9"/>
      <c r="AQ312" s="21">
        <v>0.27923599999999998</v>
      </c>
      <c r="AR312" s="21">
        <v>26.7392</v>
      </c>
      <c r="AS312" s="21">
        <v>-1.61713E-2</v>
      </c>
      <c r="AT312" s="21">
        <v>302</v>
      </c>
      <c r="AU312" s="21">
        <v>0.27847300000000003</v>
      </c>
      <c r="AV312">
        <f t="shared" si="56"/>
        <v>19.964567901234567</v>
      </c>
      <c r="AW312">
        <f t="shared" si="57"/>
        <v>5.5748260824691354</v>
      </c>
      <c r="AX312" s="9"/>
      <c r="AY312" s="21">
        <v>1.42075</v>
      </c>
      <c r="AZ312" s="21">
        <v>30.558399999999999</v>
      </c>
      <c r="BA312" s="21">
        <v>-1.48285E-2</v>
      </c>
      <c r="BB312" s="21">
        <v>302</v>
      </c>
      <c r="BC312" s="21">
        <v>1.4202900000000001</v>
      </c>
      <c r="BD312">
        <f t="shared" si="58"/>
        <v>18.306790123456789</v>
      </c>
      <c r="BE312">
        <f t="shared" si="59"/>
        <v>26.009372067901232</v>
      </c>
    </row>
    <row r="313" spans="6:57" x14ac:dyDescent="0.25">
      <c r="F313" s="9"/>
      <c r="G313" s="21">
        <v>0.2742</v>
      </c>
      <c r="H313" s="21">
        <v>8.03383</v>
      </c>
      <c r="I313" s="21">
        <v>-1.6079699999999999E-2</v>
      </c>
      <c r="J313" s="21">
        <v>303</v>
      </c>
      <c r="K313" s="21">
        <v>0.27368199999999998</v>
      </c>
      <c r="L313">
        <f t="shared" si="48"/>
        <v>19.851481481481482</v>
      </c>
      <c r="M313">
        <f t="shared" si="49"/>
        <v>5.443276222222222</v>
      </c>
      <c r="N313" s="9"/>
      <c r="O313" s="21">
        <v>1.42578</v>
      </c>
      <c r="P313" s="21">
        <v>11.853</v>
      </c>
      <c r="Q313" s="21">
        <v>-1.4742999999999999E-2</v>
      </c>
      <c r="R313" s="21">
        <v>303</v>
      </c>
      <c r="S313" s="21">
        <v>1.42456</v>
      </c>
      <c r="T313">
        <f t="shared" si="50"/>
        <v>18.201234567901235</v>
      </c>
      <c r="U313">
        <f t="shared" si="51"/>
        <v>25.950956222222224</v>
      </c>
      <c r="X313" s="9"/>
      <c r="Y313" s="21">
        <v>0.2742</v>
      </c>
      <c r="Z313" s="21">
        <v>17.412500000000001</v>
      </c>
      <c r="AA313" s="21">
        <v>-1.6156E-2</v>
      </c>
      <c r="AB313" s="21">
        <v>303</v>
      </c>
      <c r="AC313" s="21">
        <v>0.27349899999999999</v>
      </c>
      <c r="AD313">
        <f t="shared" si="52"/>
        <v>19.945679012345678</v>
      </c>
      <c r="AE313">
        <f t="shared" si="53"/>
        <v>5.4691051851851853</v>
      </c>
      <c r="AF313" s="9"/>
      <c r="AG313" s="21">
        <v>1.42578</v>
      </c>
      <c r="AH313" s="21">
        <v>21.2317</v>
      </c>
      <c r="AI313" s="21">
        <v>-1.4804100000000001E-2</v>
      </c>
      <c r="AJ313" s="21">
        <v>303</v>
      </c>
      <c r="AK313" s="21">
        <v>1.42456</v>
      </c>
      <c r="AL313">
        <f t="shared" si="54"/>
        <v>18.276666666666667</v>
      </c>
      <c r="AM313">
        <f t="shared" si="55"/>
        <v>26.058505800000002</v>
      </c>
      <c r="AP313" s="9"/>
      <c r="AQ313" s="21">
        <v>0.2742</v>
      </c>
      <c r="AR313" s="21">
        <v>26.749300000000002</v>
      </c>
      <c r="AS313" s="21">
        <v>-1.6180400000000001E-2</v>
      </c>
      <c r="AT313" s="21">
        <v>303</v>
      </c>
      <c r="AU313" s="21">
        <v>0.27230799999999999</v>
      </c>
      <c r="AV313">
        <f t="shared" si="56"/>
        <v>19.975802469135804</v>
      </c>
      <c r="AW313">
        <f t="shared" si="57"/>
        <v>5.4773650370370373</v>
      </c>
      <c r="AX313" s="9"/>
      <c r="AY313" s="21">
        <v>1.42578</v>
      </c>
      <c r="AZ313" s="21">
        <v>30.5684</v>
      </c>
      <c r="BA313" s="21">
        <v>-1.4822399999999999E-2</v>
      </c>
      <c r="BB313" s="21">
        <v>303</v>
      </c>
      <c r="BC313" s="21">
        <v>1.4248700000000001</v>
      </c>
      <c r="BD313">
        <f t="shared" si="58"/>
        <v>18.299259259259259</v>
      </c>
      <c r="BE313">
        <f t="shared" si="59"/>
        <v>26.090717866666665</v>
      </c>
    </row>
    <row r="314" spans="6:57" x14ac:dyDescent="0.25">
      <c r="F314" s="9"/>
      <c r="G314" s="21">
        <v>0.26916499999999999</v>
      </c>
      <c r="H314" s="21">
        <v>8.0439000000000007</v>
      </c>
      <c r="I314" s="21">
        <v>-1.60889E-2</v>
      </c>
      <c r="J314" s="21">
        <v>304</v>
      </c>
      <c r="K314" s="21">
        <v>0.26852399999999998</v>
      </c>
      <c r="L314">
        <f t="shared" si="48"/>
        <v>19.862839506172836</v>
      </c>
      <c r="M314">
        <f t="shared" si="49"/>
        <v>5.3463811956790108</v>
      </c>
      <c r="N314" s="9"/>
      <c r="O314" s="21">
        <v>1.43082</v>
      </c>
      <c r="P314" s="21">
        <v>11.863099999999999</v>
      </c>
      <c r="Q314" s="21">
        <v>-1.4736900000000001E-2</v>
      </c>
      <c r="R314" s="21">
        <v>304</v>
      </c>
      <c r="S314" s="21">
        <v>1.4297500000000001</v>
      </c>
      <c r="T314">
        <f t="shared" si="50"/>
        <v>18.193703703703704</v>
      </c>
      <c r="U314">
        <f t="shared" si="51"/>
        <v>26.031915133333335</v>
      </c>
      <c r="X314" s="9"/>
      <c r="Y314" s="21">
        <v>0.26916499999999999</v>
      </c>
      <c r="Z314" s="21">
        <v>17.422599999999999</v>
      </c>
      <c r="AA314" s="21">
        <v>-1.6162099999999999E-2</v>
      </c>
      <c r="AB314" s="21">
        <v>304</v>
      </c>
      <c r="AC314" s="21">
        <v>0.26968399999999998</v>
      </c>
      <c r="AD314">
        <f t="shared" si="52"/>
        <v>19.953209876543205</v>
      </c>
      <c r="AE314">
        <f t="shared" si="53"/>
        <v>5.3707057364197519</v>
      </c>
      <c r="AF314" s="9"/>
      <c r="AG314" s="21">
        <v>1.43082</v>
      </c>
      <c r="AH314" s="21">
        <v>21.241800000000001</v>
      </c>
      <c r="AI314" s="21">
        <v>-1.4798E-2</v>
      </c>
      <c r="AJ314" s="21">
        <v>304</v>
      </c>
      <c r="AK314" s="21">
        <v>1.43005</v>
      </c>
      <c r="AL314">
        <f t="shared" si="54"/>
        <v>18.269135802469137</v>
      </c>
      <c r="AM314">
        <f t="shared" si="55"/>
        <v>26.139844888888891</v>
      </c>
      <c r="AP314" s="9"/>
      <c r="AQ314" s="21">
        <v>0.26916499999999999</v>
      </c>
      <c r="AR314" s="21">
        <v>26.7593</v>
      </c>
      <c r="AS314" s="21">
        <v>-1.6186499999999999E-2</v>
      </c>
      <c r="AT314" s="21">
        <v>304</v>
      </c>
      <c r="AU314" s="21">
        <v>0.26858500000000002</v>
      </c>
      <c r="AV314">
        <f t="shared" si="56"/>
        <v>19.983333333333331</v>
      </c>
      <c r="AW314">
        <f t="shared" si="57"/>
        <v>5.3788139166666653</v>
      </c>
      <c r="AX314" s="9"/>
      <c r="AY314" s="21">
        <v>1.43082</v>
      </c>
      <c r="AZ314" s="21">
        <v>30.578499999999998</v>
      </c>
      <c r="BA314" s="21">
        <v>-1.4819300000000001E-2</v>
      </c>
      <c r="BB314" s="21">
        <v>304</v>
      </c>
      <c r="BC314" s="21">
        <v>1.42944</v>
      </c>
      <c r="BD314">
        <f t="shared" si="58"/>
        <v>18.295432098765431</v>
      </c>
      <c r="BE314">
        <f t="shared" si="59"/>
        <v>26.177470155555554</v>
      </c>
    </row>
    <row r="315" spans="6:57" x14ac:dyDescent="0.25">
      <c r="F315" s="9"/>
      <c r="G315" s="21">
        <v>0.26412999999999998</v>
      </c>
      <c r="H315" s="21">
        <v>8.0539699999999996</v>
      </c>
      <c r="I315" s="21">
        <v>-1.6095000000000002E-2</v>
      </c>
      <c r="J315" s="21">
        <v>305</v>
      </c>
      <c r="K315" s="21">
        <v>0.26367200000000002</v>
      </c>
      <c r="L315">
        <f t="shared" si="48"/>
        <v>19.87037037037037</v>
      </c>
      <c r="M315">
        <f t="shared" si="49"/>
        <v>5.2483609259259252</v>
      </c>
      <c r="N315" s="9"/>
      <c r="O315" s="21">
        <v>1.4358500000000001</v>
      </c>
      <c r="P315" s="21">
        <v>11.873200000000001</v>
      </c>
      <c r="Q315" s="21">
        <v>-1.4727799999999999E-2</v>
      </c>
      <c r="R315" s="21">
        <v>305</v>
      </c>
      <c r="S315" s="21">
        <v>1.4346300000000001</v>
      </c>
      <c r="T315">
        <f t="shared" si="50"/>
        <v>18.182469135802467</v>
      </c>
      <c r="U315">
        <f t="shared" si="51"/>
        <v>26.107298308641973</v>
      </c>
      <c r="X315" s="9"/>
      <c r="Y315" s="21">
        <v>0.26412999999999998</v>
      </c>
      <c r="Z315" s="21">
        <v>17.432700000000001</v>
      </c>
      <c r="AA315" s="21">
        <v>-1.6168200000000001E-2</v>
      </c>
      <c r="AB315" s="21">
        <v>305</v>
      </c>
      <c r="AC315" s="21">
        <v>0.263519</v>
      </c>
      <c r="AD315">
        <f t="shared" si="52"/>
        <v>19.960740740740739</v>
      </c>
      <c r="AE315">
        <f t="shared" si="53"/>
        <v>5.2722304518518506</v>
      </c>
      <c r="AF315" s="9"/>
      <c r="AG315" s="21">
        <v>1.4358500000000001</v>
      </c>
      <c r="AH315" s="21">
        <v>21.251899999999999</v>
      </c>
      <c r="AI315" s="21">
        <v>-1.47949E-2</v>
      </c>
      <c r="AJ315" s="21">
        <v>305</v>
      </c>
      <c r="AK315" s="21">
        <v>1.4352400000000001</v>
      </c>
      <c r="AL315">
        <f t="shared" si="54"/>
        <v>18.265308641975306</v>
      </c>
      <c r="AM315">
        <f t="shared" si="55"/>
        <v>26.226243413580246</v>
      </c>
      <c r="AP315" s="9"/>
      <c r="AQ315" s="21">
        <v>0.26412999999999998</v>
      </c>
      <c r="AR315" s="21">
        <v>26.769400000000001</v>
      </c>
      <c r="AS315" s="21">
        <v>-1.61957E-2</v>
      </c>
      <c r="AT315" s="21">
        <v>305</v>
      </c>
      <c r="AU315" s="21">
        <v>0.26309199999999999</v>
      </c>
      <c r="AV315">
        <f t="shared" si="56"/>
        <v>19.994691358024692</v>
      </c>
      <c r="AW315">
        <f t="shared" si="57"/>
        <v>5.2811978283950616</v>
      </c>
      <c r="AX315" s="9"/>
      <c r="AY315" s="21">
        <v>1.4358500000000001</v>
      </c>
      <c r="AZ315" s="21">
        <v>30.5886</v>
      </c>
      <c r="BA315" s="21">
        <v>-1.48132E-2</v>
      </c>
      <c r="BB315" s="21">
        <v>305</v>
      </c>
      <c r="BC315" s="21">
        <v>1.4352400000000001</v>
      </c>
      <c r="BD315">
        <f t="shared" si="58"/>
        <v>18.287901234567901</v>
      </c>
      <c r="BE315">
        <f t="shared" si="59"/>
        <v>26.258682987654321</v>
      </c>
    </row>
    <row r="316" spans="6:57" x14ac:dyDescent="0.25">
      <c r="F316" s="9"/>
      <c r="G316" s="21">
        <v>0.25909399999999999</v>
      </c>
      <c r="H316" s="21">
        <v>8.0640499999999999</v>
      </c>
      <c r="I316" s="21">
        <v>-1.61011E-2</v>
      </c>
      <c r="J316" s="21">
        <v>306</v>
      </c>
      <c r="K316" s="21">
        <v>0.258575</v>
      </c>
      <c r="L316">
        <f t="shared" si="48"/>
        <v>19.877901234567901</v>
      </c>
      <c r="M316">
        <f t="shared" si="49"/>
        <v>5.1502449424691354</v>
      </c>
      <c r="N316" s="9"/>
      <c r="O316" s="21">
        <v>1.44089</v>
      </c>
      <c r="P316" s="21">
        <v>11.8832</v>
      </c>
      <c r="Q316" s="21">
        <v>-1.4721700000000001E-2</v>
      </c>
      <c r="R316" s="21">
        <v>306</v>
      </c>
      <c r="S316" s="21">
        <v>1.4398200000000001</v>
      </c>
      <c r="T316">
        <f t="shared" si="50"/>
        <v>18.174938271604937</v>
      </c>
      <c r="U316">
        <f t="shared" si="51"/>
        <v>26.188086806172837</v>
      </c>
      <c r="X316" s="9"/>
      <c r="Y316" s="21">
        <v>0.25909399999999999</v>
      </c>
      <c r="Z316" s="21">
        <v>17.442699999999999</v>
      </c>
      <c r="AA316" s="21">
        <v>-1.6177400000000002E-2</v>
      </c>
      <c r="AB316" s="21">
        <v>306</v>
      </c>
      <c r="AC316" s="21">
        <v>0.25854500000000002</v>
      </c>
      <c r="AD316">
        <f t="shared" si="52"/>
        <v>19.972098765432101</v>
      </c>
      <c r="AE316">
        <f t="shared" si="53"/>
        <v>5.1746509575308641</v>
      </c>
      <c r="AF316" s="9"/>
      <c r="AG316" s="21">
        <v>1.44089</v>
      </c>
      <c r="AH316" s="21">
        <v>21.261900000000001</v>
      </c>
      <c r="AI316" s="21">
        <v>-1.47858E-2</v>
      </c>
      <c r="AJ316" s="21">
        <v>306</v>
      </c>
      <c r="AK316" s="21">
        <v>1.4398200000000001</v>
      </c>
      <c r="AL316">
        <f t="shared" si="54"/>
        <v>18.254074074074072</v>
      </c>
      <c r="AM316">
        <f t="shared" si="55"/>
        <v>26.302112792592592</v>
      </c>
      <c r="AP316" s="9"/>
      <c r="AQ316" s="21">
        <v>0.25909399999999999</v>
      </c>
      <c r="AR316" s="21">
        <v>26.779499999999999</v>
      </c>
      <c r="AS316" s="21">
        <v>-1.6201799999999999E-2</v>
      </c>
      <c r="AT316" s="21">
        <v>306</v>
      </c>
      <c r="AU316" s="21">
        <v>0.25842300000000001</v>
      </c>
      <c r="AV316">
        <f t="shared" si="56"/>
        <v>20.002222222222219</v>
      </c>
      <c r="AW316">
        <f t="shared" si="57"/>
        <v>5.1824557644444438</v>
      </c>
      <c r="AX316" s="9"/>
      <c r="AY316" s="21">
        <v>1.44089</v>
      </c>
      <c r="AZ316" s="21">
        <v>30.598700000000001</v>
      </c>
      <c r="BA316" s="21">
        <v>-1.48071E-2</v>
      </c>
      <c r="BB316" s="21">
        <v>306</v>
      </c>
      <c r="BC316" s="21">
        <v>1.4401200000000001</v>
      </c>
      <c r="BD316">
        <f t="shared" si="58"/>
        <v>18.28037037037037</v>
      </c>
      <c r="BE316">
        <f t="shared" si="59"/>
        <v>26.340002862962962</v>
      </c>
    </row>
    <row r="317" spans="6:57" x14ac:dyDescent="0.25">
      <c r="F317" s="9"/>
      <c r="G317" s="21">
        <v>0.25405899999999998</v>
      </c>
      <c r="H317" s="21">
        <v>8.0741200000000006</v>
      </c>
      <c r="I317" s="21">
        <v>-1.6107199999999999E-2</v>
      </c>
      <c r="J317" s="21">
        <v>307</v>
      </c>
      <c r="K317" s="21">
        <v>0.25329600000000002</v>
      </c>
      <c r="L317">
        <f t="shared" si="48"/>
        <v>19.885432098765428</v>
      </c>
      <c r="M317">
        <f t="shared" si="49"/>
        <v>5.0520729935802455</v>
      </c>
      <c r="N317" s="9"/>
      <c r="O317" s="21">
        <v>1.4459200000000001</v>
      </c>
      <c r="P317" s="21">
        <v>11.8933</v>
      </c>
      <c r="Q317" s="21">
        <v>-1.4715600000000001E-2</v>
      </c>
      <c r="R317" s="21">
        <v>307</v>
      </c>
      <c r="S317" s="21">
        <v>1.4447000000000001</v>
      </c>
      <c r="T317">
        <f t="shared" si="50"/>
        <v>18.167407407407406</v>
      </c>
      <c r="U317">
        <f t="shared" si="51"/>
        <v>26.26861771851852</v>
      </c>
      <c r="X317" s="9"/>
      <c r="Y317" s="21">
        <v>0.25405899999999998</v>
      </c>
      <c r="Z317" s="21">
        <v>17.4528</v>
      </c>
      <c r="AA317" s="21">
        <v>-1.6186499999999999E-2</v>
      </c>
      <c r="AB317" s="21">
        <v>307</v>
      </c>
      <c r="AC317" s="21">
        <v>0.253662</v>
      </c>
      <c r="AD317">
        <f t="shared" si="52"/>
        <v>19.983333333333331</v>
      </c>
      <c r="AE317">
        <f t="shared" si="53"/>
        <v>5.0769456833333324</v>
      </c>
      <c r="AF317" s="9"/>
      <c r="AG317" s="21">
        <v>1.4459200000000001</v>
      </c>
      <c r="AH317" s="21">
        <v>21.271999999999998</v>
      </c>
      <c r="AI317" s="21">
        <v>-1.47797E-2</v>
      </c>
      <c r="AJ317" s="21">
        <v>307</v>
      </c>
      <c r="AK317" s="21">
        <v>1.4450099999999999</v>
      </c>
      <c r="AL317">
        <f t="shared" si="54"/>
        <v>18.246543209876542</v>
      </c>
      <c r="AM317">
        <f t="shared" si="55"/>
        <v>26.383041758024692</v>
      </c>
      <c r="AP317" s="9"/>
      <c r="AQ317" s="21">
        <v>0.25405899999999998</v>
      </c>
      <c r="AR317" s="21">
        <v>26.7895</v>
      </c>
      <c r="AS317" s="21">
        <v>-1.62109E-2</v>
      </c>
      <c r="AT317" s="21">
        <v>307</v>
      </c>
      <c r="AU317" s="21">
        <v>0.25323499999999999</v>
      </c>
      <c r="AV317">
        <f t="shared" si="56"/>
        <v>20.013456790123456</v>
      </c>
      <c r="AW317">
        <f t="shared" si="57"/>
        <v>5.0845988186419744</v>
      </c>
      <c r="AX317" s="9"/>
      <c r="AY317" s="21">
        <v>1.4459200000000001</v>
      </c>
      <c r="AZ317" s="21">
        <v>30.608699999999999</v>
      </c>
      <c r="BA317" s="21">
        <v>-1.4801E-2</v>
      </c>
      <c r="BB317" s="21">
        <v>307</v>
      </c>
      <c r="BC317" s="21">
        <v>1.4453100000000001</v>
      </c>
      <c r="BD317">
        <f t="shared" si="58"/>
        <v>18.27283950617284</v>
      </c>
      <c r="BE317">
        <f t="shared" si="59"/>
        <v>26.421064098765434</v>
      </c>
    </row>
    <row r="318" spans="6:57" x14ac:dyDescent="0.25">
      <c r="F318" s="9"/>
      <c r="G318" s="21">
        <v>0.24902299999999999</v>
      </c>
      <c r="H318" s="21">
        <v>8.0841899999999995</v>
      </c>
      <c r="I318" s="21">
        <v>-1.6113300000000001E-2</v>
      </c>
      <c r="J318" s="21">
        <v>308</v>
      </c>
      <c r="K318" s="21">
        <v>0.24838299999999999</v>
      </c>
      <c r="L318">
        <f t="shared" si="48"/>
        <v>19.892962962962962</v>
      </c>
      <c r="M318">
        <f t="shared" si="49"/>
        <v>4.9538053159259254</v>
      </c>
      <c r="N318" s="9"/>
      <c r="O318" s="21">
        <v>1.45096</v>
      </c>
      <c r="P318" s="21">
        <v>11.9034</v>
      </c>
      <c r="Q318" s="21">
        <v>-1.47064E-2</v>
      </c>
      <c r="R318" s="21">
        <v>308</v>
      </c>
      <c r="S318" s="21">
        <v>1.4498899999999999</v>
      </c>
      <c r="T318">
        <f t="shared" si="50"/>
        <v>18.156049382716049</v>
      </c>
      <c r="U318">
        <f t="shared" si="51"/>
        <v>26.343701412345677</v>
      </c>
      <c r="X318" s="9"/>
      <c r="Y318" s="21">
        <v>0.24902299999999999</v>
      </c>
      <c r="Z318" s="21">
        <v>17.462900000000001</v>
      </c>
      <c r="AA318" s="21">
        <v>-1.61957E-2</v>
      </c>
      <c r="AB318" s="21">
        <v>308</v>
      </c>
      <c r="AC318" s="21">
        <v>0.24871799999999999</v>
      </c>
      <c r="AD318">
        <f t="shared" si="52"/>
        <v>19.994691358024692</v>
      </c>
      <c r="AE318">
        <f t="shared" si="53"/>
        <v>4.9791380260493829</v>
      </c>
      <c r="AF318" s="9"/>
      <c r="AG318" s="21">
        <v>1.45096</v>
      </c>
      <c r="AH318" s="21">
        <v>21.2821</v>
      </c>
      <c r="AI318" s="21">
        <v>-1.47736E-2</v>
      </c>
      <c r="AJ318" s="21">
        <v>308</v>
      </c>
      <c r="AK318" s="21">
        <v>1.4501999999999999</v>
      </c>
      <c r="AL318">
        <f t="shared" si="54"/>
        <v>18.239012345679011</v>
      </c>
      <c r="AM318">
        <f t="shared" si="55"/>
        <v>26.46407735308642</v>
      </c>
      <c r="AP318" s="9"/>
      <c r="AQ318" s="21">
        <v>0.24902299999999999</v>
      </c>
      <c r="AR318" s="21">
        <v>26.799600000000002</v>
      </c>
      <c r="AS318" s="21">
        <v>-1.6220100000000001E-2</v>
      </c>
      <c r="AT318" s="21">
        <v>308</v>
      </c>
      <c r="AU318" s="21">
        <v>0.24884000000000001</v>
      </c>
      <c r="AV318">
        <f t="shared" si="56"/>
        <v>20.024814814814814</v>
      </c>
      <c r="AW318">
        <f t="shared" si="57"/>
        <v>4.9866394596296297</v>
      </c>
      <c r="AX318" s="9"/>
      <c r="AY318" s="21">
        <v>1.45096</v>
      </c>
      <c r="AZ318" s="21">
        <v>30.6188</v>
      </c>
      <c r="BA318" s="21">
        <v>-1.47949E-2</v>
      </c>
      <c r="BB318" s="21">
        <v>308</v>
      </c>
      <c r="BC318" s="21">
        <v>1.4498899999999999</v>
      </c>
      <c r="BD318">
        <f t="shared" si="58"/>
        <v>18.265308641975306</v>
      </c>
      <c r="BE318">
        <f t="shared" si="59"/>
        <v>26.502232227160491</v>
      </c>
    </row>
    <row r="319" spans="6:57" x14ac:dyDescent="0.25">
      <c r="F319" s="9"/>
      <c r="G319" s="21">
        <v>0.24398800000000001</v>
      </c>
      <c r="H319" s="21">
        <v>8.0942600000000002</v>
      </c>
      <c r="I319" s="21">
        <v>-1.6122399999999999E-2</v>
      </c>
      <c r="J319" s="21">
        <v>309</v>
      </c>
      <c r="K319" s="21">
        <v>0.24346899999999999</v>
      </c>
      <c r="L319">
        <f t="shared" si="48"/>
        <v>19.904197530864195</v>
      </c>
      <c r="M319">
        <f t="shared" si="49"/>
        <v>4.8563853471604936</v>
      </c>
      <c r="N319" s="9"/>
      <c r="O319" s="21">
        <v>1.4559899999999999</v>
      </c>
      <c r="P319" s="21">
        <v>11.913399999999999</v>
      </c>
      <c r="Q319" s="21">
        <v>-1.4700299999999999E-2</v>
      </c>
      <c r="R319" s="21">
        <v>309</v>
      </c>
      <c r="S319" s="21">
        <v>1.4544699999999999</v>
      </c>
      <c r="T319">
        <f t="shared" si="50"/>
        <v>18.148518518518514</v>
      </c>
      <c r="U319">
        <f t="shared" si="51"/>
        <v>26.424061477777769</v>
      </c>
      <c r="X319" s="9"/>
      <c r="Y319" s="21">
        <v>0.24398800000000001</v>
      </c>
      <c r="Z319" s="21">
        <v>17.472999999999999</v>
      </c>
      <c r="AA319" s="21">
        <v>-1.6201799999999999E-2</v>
      </c>
      <c r="AB319" s="21">
        <v>309</v>
      </c>
      <c r="AC319" s="21">
        <v>0.24292</v>
      </c>
      <c r="AD319">
        <f t="shared" si="52"/>
        <v>20.002222222222219</v>
      </c>
      <c r="AE319">
        <f t="shared" si="53"/>
        <v>4.8803021955555552</v>
      </c>
      <c r="AF319" s="9"/>
      <c r="AG319" s="21">
        <v>1.4559899999999999</v>
      </c>
      <c r="AH319" s="21">
        <v>21.292100000000001</v>
      </c>
      <c r="AI319" s="21">
        <v>-1.4767499999999999E-2</v>
      </c>
      <c r="AJ319" s="21">
        <v>309</v>
      </c>
      <c r="AK319" s="21">
        <v>1.4547699999999999</v>
      </c>
      <c r="AL319">
        <f t="shared" si="54"/>
        <v>18.231481481481481</v>
      </c>
      <c r="AM319">
        <f t="shared" si="55"/>
        <v>26.544854722222219</v>
      </c>
      <c r="AP319" s="9"/>
      <c r="AQ319" s="21">
        <v>0.24398800000000001</v>
      </c>
      <c r="AR319" s="21">
        <v>26.809699999999999</v>
      </c>
      <c r="AS319" s="21">
        <v>-1.6223100000000001E-2</v>
      </c>
      <c r="AT319" s="21">
        <v>309</v>
      </c>
      <c r="AU319" s="21">
        <v>0.24307300000000001</v>
      </c>
      <c r="AV319">
        <f t="shared" si="56"/>
        <v>20.028518518518517</v>
      </c>
      <c r="AW319">
        <f t="shared" si="57"/>
        <v>4.8867181762962959</v>
      </c>
      <c r="AX319" s="9"/>
      <c r="AY319" s="21">
        <v>1.4559899999999999</v>
      </c>
      <c r="AZ319" s="21">
        <v>30.628900000000002</v>
      </c>
      <c r="BA319" s="21">
        <v>-1.47888E-2</v>
      </c>
      <c r="BB319" s="21">
        <v>309</v>
      </c>
      <c r="BC319" s="21">
        <v>1.4550799999999999</v>
      </c>
      <c r="BD319">
        <f t="shared" si="58"/>
        <v>18.257777777777775</v>
      </c>
      <c r="BE319">
        <f t="shared" si="59"/>
        <v>26.583141866666661</v>
      </c>
    </row>
    <row r="320" spans="6:57" x14ac:dyDescent="0.25">
      <c r="F320" s="9"/>
      <c r="G320" s="21">
        <v>0.238953</v>
      </c>
      <c r="H320" s="21">
        <v>8.1043299999999991</v>
      </c>
      <c r="I320" s="21">
        <v>-1.61285E-2</v>
      </c>
      <c r="J320" s="21">
        <v>310</v>
      </c>
      <c r="K320" s="21">
        <v>0.23852499999999999</v>
      </c>
      <c r="L320">
        <f t="shared" si="48"/>
        <v>19.911728395061726</v>
      </c>
      <c r="M320">
        <f t="shared" si="49"/>
        <v>4.7579672351851849</v>
      </c>
      <c r="N320" s="9"/>
      <c r="O320" s="21">
        <v>1.4610300000000001</v>
      </c>
      <c r="P320" s="21">
        <v>11.923500000000001</v>
      </c>
      <c r="Q320" s="21">
        <v>-1.46912E-2</v>
      </c>
      <c r="R320" s="21">
        <v>310</v>
      </c>
      <c r="S320" s="21">
        <v>1.4605699999999999</v>
      </c>
      <c r="T320">
        <f t="shared" si="50"/>
        <v>18.137283950617284</v>
      </c>
      <c r="U320">
        <f t="shared" si="51"/>
        <v>26.499115970370372</v>
      </c>
      <c r="X320" s="9"/>
      <c r="Y320" s="21">
        <v>0.238953</v>
      </c>
      <c r="Z320" s="21">
        <v>17.483000000000001</v>
      </c>
      <c r="AA320" s="21">
        <v>-1.6207900000000001E-2</v>
      </c>
      <c r="AB320" s="21">
        <v>310</v>
      </c>
      <c r="AC320" s="21">
        <v>0.23828099999999999</v>
      </c>
      <c r="AD320">
        <f t="shared" si="52"/>
        <v>20.009753086419753</v>
      </c>
      <c r="AE320">
        <f t="shared" si="53"/>
        <v>4.7813905292592596</v>
      </c>
      <c r="AF320" s="9"/>
      <c r="AG320" s="21">
        <v>1.4610300000000001</v>
      </c>
      <c r="AH320" s="21">
        <v>21.302199999999999</v>
      </c>
      <c r="AI320" s="21">
        <v>-1.47583E-2</v>
      </c>
      <c r="AJ320" s="21">
        <v>310</v>
      </c>
      <c r="AK320" s="21">
        <v>1.4599599999999999</v>
      </c>
      <c r="AL320">
        <f t="shared" si="54"/>
        <v>18.22012345679012</v>
      </c>
      <c r="AM320">
        <f t="shared" si="55"/>
        <v>26.620146974074068</v>
      </c>
      <c r="AP320" s="9"/>
      <c r="AQ320" s="21">
        <v>0.238953</v>
      </c>
      <c r="AR320" s="21">
        <v>26.819800000000001</v>
      </c>
      <c r="AS320" s="21">
        <v>-1.6229199999999999E-2</v>
      </c>
      <c r="AT320" s="21">
        <v>310</v>
      </c>
      <c r="AU320" s="21">
        <v>0.23819000000000001</v>
      </c>
      <c r="AV320">
        <f t="shared" si="56"/>
        <v>20.036049382716048</v>
      </c>
      <c r="AW320">
        <f t="shared" si="57"/>
        <v>4.7876741081481473</v>
      </c>
      <c r="AX320" s="9"/>
      <c r="AY320" s="21">
        <v>1.4610300000000001</v>
      </c>
      <c r="AZ320" s="21">
        <v>30.6389</v>
      </c>
      <c r="BA320" s="21">
        <v>-1.4782699999999999E-2</v>
      </c>
      <c r="BB320" s="21">
        <v>310</v>
      </c>
      <c r="BC320" s="21">
        <v>1.4599599999999999</v>
      </c>
      <c r="BD320">
        <f t="shared" si="58"/>
        <v>18.250246913580245</v>
      </c>
      <c r="BE320">
        <f t="shared" si="59"/>
        <v>26.664158248148148</v>
      </c>
    </row>
    <row r="321" spans="6:57" x14ac:dyDescent="0.25">
      <c r="F321" s="9"/>
      <c r="G321" s="21">
        <v>0.23391700000000001</v>
      </c>
      <c r="H321" s="21">
        <v>8.1143999999999998</v>
      </c>
      <c r="I321" s="21">
        <v>-1.6134599999999999E-2</v>
      </c>
      <c r="J321" s="21">
        <v>311</v>
      </c>
      <c r="K321" s="21">
        <v>0.23324600000000001</v>
      </c>
      <c r="L321">
        <f t="shared" si="48"/>
        <v>19.91925925925926</v>
      </c>
      <c r="M321">
        <f t="shared" si="49"/>
        <v>4.6594533681481485</v>
      </c>
      <c r="N321" s="9"/>
      <c r="O321" s="21">
        <v>1.4660599999999999</v>
      </c>
      <c r="P321" s="21">
        <v>11.9336</v>
      </c>
      <c r="Q321" s="21">
        <v>-1.46851E-2</v>
      </c>
      <c r="R321" s="21">
        <v>311</v>
      </c>
      <c r="S321" s="21">
        <v>1.46515</v>
      </c>
      <c r="T321">
        <f t="shared" si="50"/>
        <v>18.12975308641975</v>
      </c>
      <c r="U321">
        <f t="shared" si="51"/>
        <v>26.579305809876537</v>
      </c>
      <c r="X321" s="9"/>
      <c r="Y321" s="21">
        <v>0.23391700000000001</v>
      </c>
      <c r="Z321" s="21">
        <v>17.493099999999998</v>
      </c>
      <c r="AA321" s="21">
        <v>-1.6216999999999999E-2</v>
      </c>
      <c r="AB321" s="21">
        <v>311</v>
      </c>
      <c r="AC321" s="21">
        <v>0.23303199999999999</v>
      </c>
      <c r="AD321">
        <f t="shared" si="52"/>
        <v>20.020987654320983</v>
      </c>
      <c r="AE321">
        <f t="shared" si="53"/>
        <v>4.6832493691358019</v>
      </c>
      <c r="AF321" s="9"/>
      <c r="AG321" s="21">
        <v>1.4660599999999999</v>
      </c>
      <c r="AH321" s="21">
        <v>21.3123</v>
      </c>
      <c r="AI321" s="21">
        <v>-1.47522E-2</v>
      </c>
      <c r="AJ321" s="21">
        <v>311</v>
      </c>
      <c r="AK321" s="21">
        <v>1.46515</v>
      </c>
      <c r="AL321">
        <f t="shared" si="54"/>
        <v>18.212592592592593</v>
      </c>
      <c r="AM321">
        <f t="shared" si="55"/>
        <v>26.700753496296294</v>
      </c>
      <c r="AP321" s="9"/>
      <c r="AQ321" s="21">
        <v>0.23391700000000001</v>
      </c>
      <c r="AR321" s="21">
        <v>26.829799999999999</v>
      </c>
      <c r="AS321" s="21">
        <v>-1.6241499999999999E-2</v>
      </c>
      <c r="AT321" s="21">
        <v>311</v>
      </c>
      <c r="AU321" s="21">
        <v>0.23364299999999999</v>
      </c>
      <c r="AV321">
        <f t="shared" si="56"/>
        <v>20.051234567901229</v>
      </c>
      <c r="AW321">
        <f t="shared" si="57"/>
        <v>4.6903246364197519</v>
      </c>
      <c r="AX321" s="9"/>
      <c r="AY321" s="21">
        <v>1.4660599999999999</v>
      </c>
      <c r="AZ321" s="21">
        <v>30.649000000000001</v>
      </c>
      <c r="BA321" s="21">
        <v>-1.47736E-2</v>
      </c>
      <c r="BB321" s="21">
        <v>311</v>
      </c>
      <c r="BC321" s="21">
        <v>1.46515</v>
      </c>
      <c r="BD321">
        <f t="shared" si="58"/>
        <v>18.239012345679011</v>
      </c>
      <c r="BE321">
        <f t="shared" si="59"/>
        <v>26.73948643950617</v>
      </c>
    </row>
    <row r="322" spans="6:57" x14ac:dyDescent="0.25">
      <c r="F322" s="9"/>
      <c r="G322" s="21">
        <v>0.228882</v>
      </c>
      <c r="H322" s="21">
        <v>8.1244700000000005</v>
      </c>
      <c r="I322" s="21">
        <v>-1.6140700000000001E-2</v>
      </c>
      <c r="J322" s="21">
        <v>312</v>
      </c>
      <c r="K322" s="21">
        <v>0.22842399999999999</v>
      </c>
      <c r="L322">
        <f t="shared" si="48"/>
        <v>19.92679012345679</v>
      </c>
      <c r="M322">
        <f t="shared" si="49"/>
        <v>4.5608835770370373</v>
      </c>
      <c r="N322" s="9"/>
      <c r="O322" s="21">
        <v>1.4711000000000001</v>
      </c>
      <c r="P322" s="21">
        <v>11.9437</v>
      </c>
      <c r="Q322" s="21">
        <v>-1.4678999999999999E-2</v>
      </c>
      <c r="R322" s="21">
        <v>312</v>
      </c>
      <c r="S322" s="21">
        <v>1.47034</v>
      </c>
      <c r="T322">
        <f t="shared" si="50"/>
        <v>18.12222222222222</v>
      </c>
      <c r="U322">
        <f t="shared" si="51"/>
        <v>26.659601111111108</v>
      </c>
      <c r="X322" s="9"/>
      <c r="Y322" s="21">
        <v>0.228882</v>
      </c>
      <c r="Z322" s="21">
        <v>17.5032</v>
      </c>
      <c r="AA322" s="21">
        <v>-1.6223100000000001E-2</v>
      </c>
      <c r="AB322" s="21">
        <v>312</v>
      </c>
      <c r="AC322" s="21">
        <v>0.227936</v>
      </c>
      <c r="AD322">
        <f t="shared" si="52"/>
        <v>20.028518518518517</v>
      </c>
      <c r="AE322">
        <f t="shared" si="53"/>
        <v>4.5841673755555554</v>
      </c>
      <c r="AF322" s="9"/>
      <c r="AG322" s="21">
        <v>1.4711000000000001</v>
      </c>
      <c r="AH322" s="21">
        <v>21.322399999999998</v>
      </c>
      <c r="AI322" s="21">
        <v>-1.4742999999999999E-2</v>
      </c>
      <c r="AJ322" s="21">
        <v>312</v>
      </c>
      <c r="AK322" s="21">
        <v>1.4700299999999999</v>
      </c>
      <c r="AL322">
        <f t="shared" si="54"/>
        <v>18.201234567901235</v>
      </c>
      <c r="AM322">
        <f t="shared" si="55"/>
        <v>26.775836172839508</v>
      </c>
      <c r="AP322" s="9"/>
      <c r="AQ322" s="21">
        <v>0.228882</v>
      </c>
      <c r="AR322" s="21">
        <v>26.8399</v>
      </c>
      <c r="AS322" s="21">
        <v>-1.6247600000000001E-2</v>
      </c>
      <c r="AT322" s="21">
        <v>312</v>
      </c>
      <c r="AU322" s="21">
        <v>0.228302</v>
      </c>
      <c r="AV322">
        <f t="shared" si="56"/>
        <v>20.058765432098767</v>
      </c>
      <c r="AW322">
        <f t="shared" si="57"/>
        <v>4.5910903496296296</v>
      </c>
      <c r="AX322" s="9"/>
      <c r="AY322" s="21">
        <v>1.4711000000000001</v>
      </c>
      <c r="AZ322" s="21">
        <v>30.659099999999999</v>
      </c>
      <c r="BA322" s="21">
        <v>-1.4767499999999999E-2</v>
      </c>
      <c r="BB322" s="21">
        <v>312</v>
      </c>
      <c r="BC322" s="21">
        <v>1.47034</v>
      </c>
      <c r="BD322">
        <f t="shared" si="58"/>
        <v>18.231481481481481</v>
      </c>
      <c r="BE322">
        <f t="shared" si="59"/>
        <v>26.82033240740741</v>
      </c>
    </row>
    <row r="323" spans="6:57" x14ac:dyDescent="0.25">
      <c r="F323" s="9"/>
      <c r="G323" s="21">
        <v>0.22384599999999999</v>
      </c>
      <c r="H323" s="21">
        <v>8.1345399999999994</v>
      </c>
      <c r="I323" s="21">
        <v>-1.6146899999999999E-2</v>
      </c>
      <c r="J323" s="21">
        <v>313</v>
      </c>
      <c r="K323" s="21">
        <v>0.22314500000000001</v>
      </c>
      <c r="L323">
        <f t="shared" si="48"/>
        <v>19.934444444444441</v>
      </c>
      <c r="M323">
        <f t="shared" si="49"/>
        <v>4.4622456511111102</v>
      </c>
      <c r="N323" s="9"/>
      <c r="O323" s="21">
        <v>1.47614</v>
      </c>
      <c r="P323" s="21">
        <v>11.9537</v>
      </c>
      <c r="Q323" s="21">
        <v>-1.46759E-2</v>
      </c>
      <c r="R323" s="21">
        <v>313</v>
      </c>
      <c r="S323" s="21">
        <v>1.4755199999999999</v>
      </c>
      <c r="T323">
        <f t="shared" si="50"/>
        <v>18.118395061728396</v>
      </c>
      <c r="U323">
        <f t="shared" si="51"/>
        <v>26.745287686419754</v>
      </c>
      <c r="X323" s="9"/>
      <c r="Y323" s="21">
        <v>0.22384599999999999</v>
      </c>
      <c r="Z323" s="21">
        <v>17.513200000000001</v>
      </c>
      <c r="AA323" s="21">
        <v>-1.6232300000000002E-2</v>
      </c>
      <c r="AB323" s="21">
        <v>313</v>
      </c>
      <c r="AC323" s="21">
        <v>0.22348000000000001</v>
      </c>
      <c r="AD323">
        <f t="shared" si="52"/>
        <v>20.039876543209878</v>
      </c>
      <c r="AE323">
        <f t="shared" si="53"/>
        <v>4.4858462046913585</v>
      </c>
      <c r="AF323" s="9"/>
      <c r="AG323" s="21">
        <v>1.47614</v>
      </c>
      <c r="AH323" s="21">
        <v>21.3324</v>
      </c>
      <c r="AI323" s="21">
        <v>-1.474E-2</v>
      </c>
      <c r="AJ323" s="21">
        <v>313</v>
      </c>
      <c r="AK323" s="21">
        <v>1.4749099999999999</v>
      </c>
      <c r="AL323">
        <f t="shared" si="54"/>
        <v>18.197530864197528</v>
      </c>
      <c r="AM323">
        <f t="shared" si="55"/>
        <v>26.86210320987654</v>
      </c>
      <c r="AP323" s="9"/>
      <c r="AQ323" s="21">
        <v>0.22384599999999999</v>
      </c>
      <c r="AR323" s="21">
        <v>26.85</v>
      </c>
      <c r="AS323" s="21">
        <v>-1.6253699999999999E-2</v>
      </c>
      <c r="AT323" s="21">
        <v>313</v>
      </c>
      <c r="AU323" s="21">
        <v>0.223358</v>
      </c>
      <c r="AV323">
        <f t="shared" si="56"/>
        <v>20.066296296296294</v>
      </c>
      <c r="AW323">
        <f t="shared" si="57"/>
        <v>4.49176016074074</v>
      </c>
      <c r="AX323" s="9"/>
      <c r="AY323" s="21">
        <v>1.47614</v>
      </c>
      <c r="AZ323" s="21">
        <v>30.6692</v>
      </c>
      <c r="BA323" s="21">
        <v>-1.4761399999999999E-2</v>
      </c>
      <c r="BB323" s="21">
        <v>313</v>
      </c>
      <c r="BC323" s="21">
        <v>1.4755199999999999</v>
      </c>
      <c r="BD323">
        <f t="shared" si="58"/>
        <v>18.22395061728395</v>
      </c>
      <c r="BE323">
        <f t="shared" si="59"/>
        <v>26.901102464197532</v>
      </c>
    </row>
    <row r="324" spans="6:57" x14ac:dyDescent="0.25">
      <c r="F324" s="9"/>
      <c r="G324" s="21">
        <v>0.21881100000000001</v>
      </c>
      <c r="H324" s="21">
        <v>8.1446100000000001</v>
      </c>
      <c r="I324" s="21">
        <v>-1.6153000000000001E-2</v>
      </c>
      <c r="J324" s="21">
        <v>314</v>
      </c>
      <c r="K324" s="21">
        <v>0.21838399999999999</v>
      </c>
      <c r="L324">
        <f t="shared" si="48"/>
        <v>19.941975308641975</v>
      </c>
      <c r="M324">
        <f t="shared" si="49"/>
        <v>4.3635235592592592</v>
      </c>
      <c r="N324" s="9"/>
      <c r="O324" s="21">
        <v>1.4811700000000001</v>
      </c>
      <c r="P324" s="21">
        <v>11.963800000000001</v>
      </c>
      <c r="Q324" s="21">
        <v>-1.46698E-2</v>
      </c>
      <c r="R324" s="21">
        <v>314</v>
      </c>
      <c r="S324" s="21">
        <v>1.48041</v>
      </c>
      <c r="T324">
        <f t="shared" si="50"/>
        <v>18.110864197530866</v>
      </c>
      <c r="U324">
        <f t="shared" si="51"/>
        <v>26.825268723456794</v>
      </c>
      <c r="X324" s="9"/>
      <c r="Y324" s="21">
        <v>0.21881100000000001</v>
      </c>
      <c r="Z324" s="21">
        <v>17.523299999999999</v>
      </c>
      <c r="AA324" s="21">
        <v>-1.6235400000000001E-2</v>
      </c>
      <c r="AB324" s="21">
        <v>314</v>
      </c>
      <c r="AC324" s="21">
        <v>0.21881100000000001</v>
      </c>
      <c r="AD324">
        <f t="shared" si="52"/>
        <v>20.043703703703702</v>
      </c>
      <c r="AE324">
        <f t="shared" si="53"/>
        <v>4.3857828511111112</v>
      </c>
      <c r="AF324" s="9"/>
      <c r="AG324" s="21">
        <v>1.4811700000000001</v>
      </c>
      <c r="AH324" s="21">
        <v>21.342500000000001</v>
      </c>
      <c r="AI324" s="21">
        <v>-1.47308E-2</v>
      </c>
      <c r="AJ324" s="21">
        <v>314</v>
      </c>
      <c r="AK324" s="21">
        <v>1.48041</v>
      </c>
      <c r="AL324">
        <f t="shared" si="54"/>
        <v>18.186172839506174</v>
      </c>
      <c r="AM324">
        <f t="shared" si="55"/>
        <v>26.936813624691361</v>
      </c>
      <c r="AP324" s="9"/>
      <c r="AQ324" s="21">
        <v>0.21881100000000001</v>
      </c>
      <c r="AR324" s="21">
        <v>26.86</v>
      </c>
      <c r="AS324" s="21">
        <v>-1.6259800000000001E-2</v>
      </c>
      <c r="AT324" s="21">
        <v>314</v>
      </c>
      <c r="AU324" s="21">
        <v>0.21862799999999999</v>
      </c>
      <c r="AV324">
        <f t="shared" si="56"/>
        <v>20.073827160493828</v>
      </c>
      <c r="AW324">
        <f t="shared" si="57"/>
        <v>4.3923741948148152</v>
      </c>
      <c r="AX324" s="9"/>
      <c r="AY324" s="21">
        <v>1.4811700000000001</v>
      </c>
      <c r="AZ324" s="21">
        <v>30.679200000000002</v>
      </c>
      <c r="BA324" s="21">
        <v>-1.47552E-2</v>
      </c>
      <c r="BB324" s="21">
        <v>314</v>
      </c>
      <c r="BC324" s="21">
        <v>1.4801</v>
      </c>
      <c r="BD324">
        <f t="shared" si="58"/>
        <v>18.216296296296292</v>
      </c>
      <c r="BE324">
        <f t="shared" si="59"/>
        <v>26.981431585185181</v>
      </c>
    </row>
    <row r="325" spans="6:57" x14ac:dyDescent="0.25">
      <c r="F325" s="9"/>
      <c r="G325" s="21">
        <v>0.21377599999999999</v>
      </c>
      <c r="H325" s="21">
        <v>8.1546800000000008</v>
      </c>
      <c r="I325" s="21">
        <v>-1.6162099999999999E-2</v>
      </c>
      <c r="J325" s="21">
        <v>315</v>
      </c>
      <c r="K325" s="21">
        <v>0.21304300000000001</v>
      </c>
      <c r="L325">
        <f t="shared" si="48"/>
        <v>19.953209876543205</v>
      </c>
      <c r="M325">
        <f t="shared" si="49"/>
        <v>4.2655173945679001</v>
      </c>
      <c r="N325" s="9"/>
      <c r="O325" s="21">
        <v>1.48621</v>
      </c>
      <c r="P325" s="21">
        <v>11.9739</v>
      </c>
      <c r="Q325" s="21">
        <v>-1.4660599999999999E-2</v>
      </c>
      <c r="R325" s="21">
        <v>315</v>
      </c>
      <c r="S325" s="21">
        <v>1.48529</v>
      </c>
      <c r="T325">
        <f t="shared" si="50"/>
        <v>18.099506172839504</v>
      </c>
      <c r="U325">
        <f t="shared" si="51"/>
        <v>26.899667069135802</v>
      </c>
      <c r="X325" s="9"/>
      <c r="Y325" s="21">
        <v>0.21377599999999999</v>
      </c>
      <c r="Z325" s="21">
        <v>17.5334</v>
      </c>
      <c r="AA325" s="21">
        <v>-1.6244499999999999E-2</v>
      </c>
      <c r="AB325" s="21">
        <v>315</v>
      </c>
      <c r="AC325" s="21">
        <v>0.213287</v>
      </c>
      <c r="AD325">
        <f t="shared" si="52"/>
        <v>20.054938271604936</v>
      </c>
      <c r="AE325">
        <f t="shared" si="53"/>
        <v>4.2872644839506169</v>
      </c>
      <c r="AF325" s="9"/>
      <c r="AG325" s="21">
        <v>1.48621</v>
      </c>
      <c r="AH325" s="21">
        <v>21.352599999999999</v>
      </c>
      <c r="AI325" s="21">
        <v>-1.47247E-2</v>
      </c>
      <c r="AJ325" s="21">
        <v>315</v>
      </c>
      <c r="AK325" s="21">
        <v>1.48499</v>
      </c>
      <c r="AL325">
        <f t="shared" si="54"/>
        <v>18.178641975308643</v>
      </c>
      <c r="AM325">
        <f t="shared" si="55"/>
        <v>27.01727949012346</v>
      </c>
      <c r="AP325" s="9"/>
      <c r="AQ325" s="21">
        <v>0.21377599999999999</v>
      </c>
      <c r="AR325" s="21">
        <v>26.870100000000001</v>
      </c>
      <c r="AS325" s="21">
        <v>-1.62659E-2</v>
      </c>
      <c r="AT325" s="21">
        <v>315</v>
      </c>
      <c r="AU325" s="21">
        <v>0.21334800000000001</v>
      </c>
      <c r="AV325">
        <f t="shared" si="56"/>
        <v>20.081358024691358</v>
      </c>
      <c r="AW325">
        <f t="shared" si="57"/>
        <v>4.2929123930864197</v>
      </c>
      <c r="AX325" s="9"/>
      <c r="AY325" s="21">
        <v>1.48621</v>
      </c>
      <c r="AZ325" s="21">
        <v>30.689299999999999</v>
      </c>
      <c r="BA325" s="21">
        <v>-1.47461E-2</v>
      </c>
      <c r="BB325" s="21">
        <v>315</v>
      </c>
      <c r="BC325" s="21">
        <v>1.48499</v>
      </c>
      <c r="BD325">
        <f t="shared" si="58"/>
        <v>18.205061728395062</v>
      </c>
      <c r="BE325">
        <f t="shared" si="59"/>
        <v>27.056544791358025</v>
      </c>
    </row>
    <row r="326" spans="6:57" x14ac:dyDescent="0.25">
      <c r="F326" s="9"/>
      <c r="G326" s="21">
        <v>0.20874000000000001</v>
      </c>
      <c r="H326" s="21">
        <v>8.1647599999999994</v>
      </c>
      <c r="I326" s="21">
        <v>-1.6168200000000001E-2</v>
      </c>
      <c r="J326" s="21">
        <v>316</v>
      </c>
      <c r="K326" s="21">
        <v>0.20825199999999999</v>
      </c>
      <c r="L326">
        <f t="shared" si="48"/>
        <v>19.960740740740739</v>
      </c>
      <c r="M326">
        <f t="shared" si="49"/>
        <v>4.166605022222222</v>
      </c>
      <c r="N326" s="9"/>
      <c r="O326" s="21">
        <v>1.4912399999999999</v>
      </c>
      <c r="P326" s="21">
        <v>11.9839</v>
      </c>
      <c r="Q326" s="21">
        <v>-1.4654500000000001E-2</v>
      </c>
      <c r="R326" s="21">
        <v>316</v>
      </c>
      <c r="S326" s="21">
        <v>1.49048</v>
      </c>
      <c r="T326">
        <f t="shared" si="50"/>
        <v>18.091975308641977</v>
      </c>
      <c r="U326">
        <f t="shared" si="51"/>
        <v>26.979477259259262</v>
      </c>
      <c r="X326" s="9"/>
      <c r="Y326" s="21">
        <v>0.20874000000000001</v>
      </c>
      <c r="Z326" s="21">
        <v>17.543500000000002</v>
      </c>
      <c r="AA326" s="21">
        <v>-1.62506E-2</v>
      </c>
      <c r="AB326" s="21">
        <v>316</v>
      </c>
      <c r="AC326" s="21">
        <v>0.208313</v>
      </c>
      <c r="AD326">
        <f t="shared" si="52"/>
        <v>20.06246913580247</v>
      </c>
      <c r="AE326">
        <f t="shared" si="53"/>
        <v>4.1878398074074079</v>
      </c>
      <c r="AF326" s="9"/>
      <c r="AG326" s="21">
        <v>1.4912399999999999</v>
      </c>
      <c r="AH326" s="21">
        <v>21.3626</v>
      </c>
      <c r="AI326" s="21">
        <v>-1.4715600000000001E-2</v>
      </c>
      <c r="AJ326" s="21">
        <v>316</v>
      </c>
      <c r="AK326" s="21">
        <v>1.49048</v>
      </c>
      <c r="AL326">
        <f t="shared" si="54"/>
        <v>18.167407407407406</v>
      </c>
      <c r="AM326">
        <f t="shared" si="55"/>
        <v>27.091964622222218</v>
      </c>
      <c r="AP326" s="9"/>
      <c r="AQ326" s="21">
        <v>0.20874000000000001</v>
      </c>
      <c r="AR326" s="21">
        <v>26.880199999999999</v>
      </c>
      <c r="AS326" s="21">
        <v>-1.6271999999999998E-2</v>
      </c>
      <c r="AT326" s="21">
        <v>316</v>
      </c>
      <c r="AU326" s="21">
        <v>0.208069</v>
      </c>
      <c r="AV326">
        <f t="shared" si="56"/>
        <v>20.088888888888885</v>
      </c>
      <c r="AW326">
        <f t="shared" si="57"/>
        <v>4.1933546666666661</v>
      </c>
      <c r="AX326" s="9"/>
      <c r="AY326" s="21">
        <v>1.4912399999999999</v>
      </c>
      <c r="AZ326" s="21">
        <v>30.699400000000001</v>
      </c>
      <c r="BA326" s="21">
        <v>-1.4736900000000001E-2</v>
      </c>
      <c r="BB326" s="21">
        <v>316</v>
      </c>
      <c r="BC326" s="21">
        <v>1.49078</v>
      </c>
      <c r="BD326">
        <f t="shared" si="58"/>
        <v>18.193703703703704</v>
      </c>
      <c r="BE326">
        <f t="shared" si="59"/>
        <v>27.131178711111112</v>
      </c>
    </row>
    <row r="327" spans="6:57" x14ac:dyDescent="0.25">
      <c r="F327" s="9"/>
      <c r="G327" s="21">
        <v>0.203705</v>
      </c>
      <c r="H327" s="21">
        <v>8.17483</v>
      </c>
      <c r="I327" s="21">
        <v>-1.6174299999999999E-2</v>
      </c>
      <c r="J327" s="21">
        <v>317</v>
      </c>
      <c r="K327" s="21">
        <v>0.20297200000000001</v>
      </c>
      <c r="L327">
        <f t="shared" si="48"/>
        <v>19.96827160493827</v>
      </c>
      <c r="M327">
        <f t="shared" si="49"/>
        <v>4.0676367672839504</v>
      </c>
      <c r="N327" s="9"/>
      <c r="O327" s="21">
        <v>1.4962800000000001</v>
      </c>
      <c r="P327" s="21">
        <v>11.994</v>
      </c>
      <c r="Q327" s="21">
        <v>-1.4645399999999999E-2</v>
      </c>
      <c r="R327" s="21">
        <v>317</v>
      </c>
      <c r="S327" s="21">
        <v>1.49536</v>
      </c>
      <c r="T327">
        <f t="shared" si="50"/>
        <v>18.080740740740737</v>
      </c>
      <c r="U327">
        <f t="shared" si="51"/>
        <v>27.053850755555551</v>
      </c>
      <c r="X327" s="9"/>
      <c r="Y327" s="21">
        <v>0.203705</v>
      </c>
      <c r="Z327" s="21">
        <v>17.5535</v>
      </c>
      <c r="AA327" s="21">
        <v>-1.6256699999999999E-2</v>
      </c>
      <c r="AB327" s="21">
        <v>317</v>
      </c>
      <c r="AC327" s="21">
        <v>0.20300299999999999</v>
      </c>
      <c r="AD327">
        <f t="shared" si="52"/>
        <v>20.069999999999997</v>
      </c>
      <c r="AE327">
        <f t="shared" si="53"/>
        <v>4.0883593499999993</v>
      </c>
      <c r="AF327" s="9"/>
      <c r="AG327" s="21">
        <v>1.4962800000000001</v>
      </c>
      <c r="AH327" s="21">
        <v>21.372699999999998</v>
      </c>
      <c r="AI327" s="21">
        <v>-1.47064E-2</v>
      </c>
      <c r="AJ327" s="21">
        <v>317</v>
      </c>
      <c r="AK327" s="21">
        <v>1.49597</v>
      </c>
      <c r="AL327">
        <f t="shared" si="54"/>
        <v>18.156049382716049</v>
      </c>
      <c r="AM327">
        <f t="shared" si="55"/>
        <v>27.166533570370369</v>
      </c>
      <c r="AP327" s="9"/>
      <c r="AQ327" s="21">
        <v>0.203705</v>
      </c>
      <c r="AR327" s="21">
        <v>26.8902</v>
      </c>
      <c r="AS327" s="21">
        <v>-1.62781E-2</v>
      </c>
      <c r="AT327" s="21">
        <v>317</v>
      </c>
      <c r="AU327" s="21">
        <v>0.203094</v>
      </c>
      <c r="AV327">
        <f t="shared" si="56"/>
        <v>20.096419753086419</v>
      </c>
      <c r="AW327">
        <f t="shared" si="57"/>
        <v>4.093741185802469</v>
      </c>
      <c r="AX327" s="9"/>
      <c r="AY327" s="21">
        <v>1.4962800000000001</v>
      </c>
      <c r="AZ327" s="21">
        <v>30.709399999999999</v>
      </c>
      <c r="BA327" s="21">
        <v>-1.47308E-2</v>
      </c>
      <c r="BB327" s="21">
        <v>317</v>
      </c>
      <c r="BC327" s="21">
        <v>1.49536</v>
      </c>
      <c r="BD327">
        <f t="shared" si="58"/>
        <v>18.186172839506174</v>
      </c>
      <c r="BE327">
        <f t="shared" si="59"/>
        <v>27.2116066962963</v>
      </c>
    </row>
    <row r="328" spans="6:57" x14ac:dyDescent="0.25">
      <c r="F328" s="9"/>
      <c r="G328" s="21">
        <v>0.19866900000000001</v>
      </c>
      <c r="H328" s="21">
        <v>8.1849000000000007</v>
      </c>
      <c r="I328" s="21">
        <v>-1.61835E-2</v>
      </c>
      <c r="J328" s="21">
        <v>318</v>
      </c>
      <c r="K328" s="21">
        <v>0.19805900000000001</v>
      </c>
      <c r="L328">
        <f t="shared" si="48"/>
        <v>19.979629629629628</v>
      </c>
      <c r="M328">
        <f t="shared" si="49"/>
        <v>3.9693330388888888</v>
      </c>
      <c r="N328" s="9"/>
      <c r="O328" s="21">
        <v>1.5013099999999999</v>
      </c>
      <c r="P328" s="21">
        <v>12.004099999999999</v>
      </c>
      <c r="Q328" s="21">
        <v>-1.4639299999999999E-2</v>
      </c>
      <c r="R328" s="21">
        <v>318</v>
      </c>
      <c r="S328" s="21">
        <v>1.5005500000000001</v>
      </c>
      <c r="T328">
        <f t="shared" si="50"/>
        <v>18.07320987654321</v>
      </c>
      <c r="U328">
        <f t="shared" si="51"/>
        <v>27.133490719753084</v>
      </c>
      <c r="X328" s="9"/>
      <c r="Y328" s="21">
        <v>0.19866900000000001</v>
      </c>
      <c r="Z328" s="21">
        <v>17.563600000000001</v>
      </c>
      <c r="AA328" s="21">
        <v>-1.6262800000000001E-2</v>
      </c>
      <c r="AB328" s="21">
        <v>318</v>
      </c>
      <c r="AC328" s="21">
        <v>0.198212</v>
      </c>
      <c r="AD328">
        <f t="shared" si="52"/>
        <v>20.077530864197531</v>
      </c>
      <c r="AE328">
        <f t="shared" si="53"/>
        <v>3.9887829792592595</v>
      </c>
      <c r="AF328" s="9"/>
      <c r="AG328" s="21">
        <v>1.5013099999999999</v>
      </c>
      <c r="AH328" s="21">
        <v>21.3828</v>
      </c>
      <c r="AI328" s="21">
        <v>-1.4700299999999999E-2</v>
      </c>
      <c r="AJ328" s="21">
        <v>318</v>
      </c>
      <c r="AK328" s="21">
        <v>1.50024</v>
      </c>
      <c r="AL328">
        <f t="shared" si="54"/>
        <v>18.148518518518514</v>
      </c>
      <c r="AM328">
        <f t="shared" si="55"/>
        <v>27.246552337037031</v>
      </c>
      <c r="AP328" s="9"/>
      <c r="AQ328" s="21">
        <v>0.19866900000000001</v>
      </c>
      <c r="AR328" s="21">
        <v>26.900300000000001</v>
      </c>
      <c r="AS328" s="21">
        <v>-1.6287200000000002E-2</v>
      </c>
      <c r="AT328" s="21">
        <v>318</v>
      </c>
      <c r="AU328" s="21">
        <v>0.19815099999999999</v>
      </c>
      <c r="AV328">
        <f t="shared" si="56"/>
        <v>20.107654320987656</v>
      </c>
      <c r="AW328">
        <f t="shared" si="57"/>
        <v>3.9947675762962969</v>
      </c>
      <c r="AX328" s="9"/>
      <c r="AY328" s="21">
        <v>1.5013099999999999</v>
      </c>
      <c r="AZ328" s="21">
        <v>30.7195</v>
      </c>
      <c r="BA328" s="21">
        <v>-1.4721700000000001E-2</v>
      </c>
      <c r="BB328" s="21">
        <v>318</v>
      </c>
      <c r="BC328" s="21">
        <v>1.5005500000000001</v>
      </c>
      <c r="BD328">
        <f t="shared" si="58"/>
        <v>18.174938271604937</v>
      </c>
      <c r="BE328">
        <f t="shared" si="59"/>
        <v>27.286216576543207</v>
      </c>
    </row>
    <row r="329" spans="6:57" x14ac:dyDescent="0.25">
      <c r="F329" s="9"/>
      <c r="G329" s="21">
        <v>0.193634</v>
      </c>
      <c r="H329" s="21">
        <v>8.1949699999999996</v>
      </c>
      <c r="I329" s="21">
        <v>-1.6189599999999998E-2</v>
      </c>
      <c r="J329" s="21">
        <v>319</v>
      </c>
      <c r="K329" s="21">
        <v>0.19314600000000001</v>
      </c>
      <c r="L329">
        <f t="shared" si="48"/>
        <v>19.987160493827158</v>
      </c>
      <c r="M329">
        <f t="shared" si="49"/>
        <v>3.8701938350617278</v>
      </c>
      <c r="N329" s="9"/>
      <c r="O329" s="21">
        <v>1.5063500000000001</v>
      </c>
      <c r="P329" s="21">
        <v>12.014200000000001</v>
      </c>
      <c r="Q329" s="21">
        <v>-1.46301E-2</v>
      </c>
      <c r="R329" s="21">
        <v>319</v>
      </c>
      <c r="S329" s="21">
        <v>1.50543</v>
      </c>
      <c r="T329">
        <f t="shared" si="50"/>
        <v>18.061851851851848</v>
      </c>
      <c r="U329">
        <f t="shared" si="51"/>
        <v>27.207470537037032</v>
      </c>
      <c r="X329" s="9"/>
      <c r="Y329" s="21">
        <v>0.193634</v>
      </c>
      <c r="Z329" s="21">
        <v>17.573699999999999</v>
      </c>
      <c r="AA329" s="21">
        <v>-1.6268899999999999E-2</v>
      </c>
      <c r="AB329" s="21">
        <v>319</v>
      </c>
      <c r="AC329" s="21">
        <v>0.19308500000000001</v>
      </c>
      <c r="AD329">
        <f t="shared" si="52"/>
        <v>20.085061728395061</v>
      </c>
      <c r="AE329">
        <f t="shared" si="53"/>
        <v>3.8891508427160493</v>
      </c>
      <c r="AF329" s="9"/>
      <c r="AG329" s="21">
        <v>1.5063500000000001</v>
      </c>
      <c r="AH329" s="21">
        <v>21.392900000000001</v>
      </c>
      <c r="AI329" s="21">
        <v>-1.46912E-2</v>
      </c>
      <c r="AJ329" s="21">
        <v>319</v>
      </c>
      <c r="AK329" s="21">
        <v>1.50543</v>
      </c>
      <c r="AL329">
        <f t="shared" si="54"/>
        <v>18.137283950617284</v>
      </c>
      <c r="AM329">
        <f t="shared" si="55"/>
        <v>27.321097679012347</v>
      </c>
      <c r="AP329" s="9"/>
      <c r="AQ329" s="21">
        <v>0.193634</v>
      </c>
      <c r="AR329" s="21">
        <v>26.910399999999999</v>
      </c>
      <c r="AS329" s="21">
        <v>-1.62933E-2</v>
      </c>
      <c r="AT329" s="21">
        <v>319</v>
      </c>
      <c r="AU329" s="21">
        <v>0.192963</v>
      </c>
      <c r="AV329">
        <f t="shared" si="56"/>
        <v>20.115185185185183</v>
      </c>
      <c r="AW329">
        <f t="shared" si="57"/>
        <v>3.8949837681481476</v>
      </c>
      <c r="AX329" s="9"/>
      <c r="AY329" s="21">
        <v>1.5063500000000001</v>
      </c>
      <c r="AZ329" s="21">
        <v>30.729600000000001</v>
      </c>
      <c r="BA329" s="21">
        <v>-1.47125E-2</v>
      </c>
      <c r="BB329" s="21">
        <v>319</v>
      </c>
      <c r="BC329" s="21">
        <v>1.5051300000000001</v>
      </c>
      <c r="BD329">
        <f t="shared" si="58"/>
        <v>18.163580246913579</v>
      </c>
      <c r="BE329">
        <f t="shared" si="59"/>
        <v>27.36070910493827</v>
      </c>
    </row>
    <row r="330" spans="6:57" x14ac:dyDescent="0.25">
      <c r="F330" s="9"/>
      <c r="G330" s="21">
        <v>0.18859899999999999</v>
      </c>
      <c r="H330" s="21">
        <v>8.2050400000000003</v>
      </c>
      <c r="I330" s="21">
        <v>-1.61957E-2</v>
      </c>
      <c r="J330" s="21">
        <v>320</v>
      </c>
      <c r="K330" s="21">
        <v>0.18808</v>
      </c>
      <c r="L330">
        <f t="shared" si="48"/>
        <v>19.994691358024692</v>
      </c>
      <c r="M330">
        <f t="shared" si="49"/>
        <v>3.7709787954320988</v>
      </c>
      <c r="N330" s="9"/>
      <c r="O330" s="21">
        <v>1.5113799999999999</v>
      </c>
      <c r="P330" s="21">
        <v>12.0242</v>
      </c>
      <c r="Q330" s="21">
        <v>-1.4621E-2</v>
      </c>
      <c r="R330" s="21">
        <v>320</v>
      </c>
      <c r="S330" s="21">
        <v>1.5106200000000001</v>
      </c>
      <c r="T330">
        <f t="shared" si="50"/>
        <v>18.050617283950618</v>
      </c>
      <c r="U330">
        <f t="shared" si="51"/>
        <v>27.281341950617286</v>
      </c>
      <c r="X330" s="9"/>
      <c r="Y330" s="21">
        <v>0.18859899999999999</v>
      </c>
      <c r="Z330" s="21">
        <v>17.5837</v>
      </c>
      <c r="AA330" s="21">
        <v>-1.6275000000000001E-2</v>
      </c>
      <c r="AB330" s="21">
        <v>320</v>
      </c>
      <c r="AC330" s="21">
        <v>0.18768299999999999</v>
      </c>
      <c r="AD330">
        <f t="shared" si="52"/>
        <v>20.092592592592592</v>
      </c>
      <c r="AE330">
        <f t="shared" si="53"/>
        <v>3.7894428703703698</v>
      </c>
      <c r="AF330" s="9"/>
      <c r="AG330" s="21">
        <v>1.5113799999999999</v>
      </c>
      <c r="AH330" s="21">
        <v>21.402899999999999</v>
      </c>
      <c r="AI330" s="21">
        <v>-1.4682000000000001E-2</v>
      </c>
      <c r="AJ330" s="21">
        <v>320</v>
      </c>
      <c r="AK330" s="21">
        <v>1.5097</v>
      </c>
      <c r="AL330">
        <f t="shared" si="54"/>
        <v>18.125925925925923</v>
      </c>
      <c r="AM330">
        <f t="shared" si="55"/>
        <v>27.395161925925919</v>
      </c>
      <c r="AP330" s="9"/>
      <c r="AQ330" s="21">
        <v>0.18859899999999999</v>
      </c>
      <c r="AR330" s="21">
        <v>26.920500000000001</v>
      </c>
      <c r="AS330" s="21">
        <v>-1.6302500000000001E-2</v>
      </c>
      <c r="AT330" s="21">
        <v>320</v>
      </c>
      <c r="AU330" s="21">
        <v>0.18756100000000001</v>
      </c>
      <c r="AV330">
        <f t="shared" si="56"/>
        <v>20.126543209876544</v>
      </c>
      <c r="AW330">
        <f t="shared" si="57"/>
        <v>3.7958459228395061</v>
      </c>
      <c r="AX330" s="9"/>
      <c r="AY330" s="21">
        <v>1.5113799999999999</v>
      </c>
      <c r="AZ330" s="21">
        <v>30.739699999999999</v>
      </c>
      <c r="BA330" s="21">
        <v>-1.47034E-2</v>
      </c>
      <c r="BB330" s="21">
        <v>320</v>
      </c>
      <c r="BC330" s="21">
        <v>1.5097</v>
      </c>
      <c r="BD330">
        <f t="shared" si="58"/>
        <v>18.152345679012342</v>
      </c>
      <c r="BE330">
        <f t="shared" si="59"/>
        <v>27.435092212345673</v>
      </c>
    </row>
    <row r="331" spans="6:57" x14ac:dyDescent="0.25">
      <c r="F331" s="9"/>
      <c r="G331" s="21">
        <v>0.183563</v>
      </c>
      <c r="H331" s="21">
        <v>8.2151099999999992</v>
      </c>
      <c r="I331" s="21">
        <v>-1.6201799999999999E-2</v>
      </c>
      <c r="J331" s="21">
        <v>321</v>
      </c>
      <c r="K331" s="21">
        <v>0.183472</v>
      </c>
      <c r="L331">
        <f t="shared" si="48"/>
        <v>20.002222222222219</v>
      </c>
      <c r="M331">
        <f t="shared" si="49"/>
        <v>3.6716679177777771</v>
      </c>
      <c r="N331" s="9"/>
      <c r="O331" s="21">
        <v>1.5164200000000001</v>
      </c>
      <c r="P331" s="21">
        <v>12.0343</v>
      </c>
      <c r="Q331" s="21">
        <v>-1.4611799999999999E-2</v>
      </c>
      <c r="R331" s="21">
        <v>321</v>
      </c>
      <c r="S331" s="21">
        <v>1.5155000000000001</v>
      </c>
      <c r="T331">
        <f t="shared" si="50"/>
        <v>18.039259259259257</v>
      </c>
      <c r="U331">
        <f t="shared" si="51"/>
        <v>27.355093525925923</v>
      </c>
      <c r="X331" s="9"/>
      <c r="Y331" s="21">
        <v>0.183563</v>
      </c>
      <c r="Z331" s="21">
        <v>17.593800000000002</v>
      </c>
      <c r="AA331" s="21">
        <v>-1.6284199999999999E-2</v>
      </c>
      <c r="AB331" s="21">
        <v>321</v>
      </c>
      <c r="AC331" s="21">
        <v>0.18310499999999999</v>
      </c>
      <c r="AD331">
        <f t="shared" si="52"/>
        <v>20.103950617283949</v>
      </c>
      <c r="AE331">
        <f t="shared" si="53"/>
        <v>3.6903414871604938</v>
      </c>
      <c r="AF331" s="9"/>
      <c r="AG331" s="21">
        <v>1.5164200000000001</v>
      </c>
      <c r="AH331" s="21">
        <v>21.413</v>
      </c>
      <c r="AI331" s="21">
        <v>-1.46759E-2</v>
      </c>
      <c r="AJ331" s="21">
        <v>321</v>
      </c>
      <c r="AK331" s="21">
        <v>1.5155000000000001</v>
      </c>
      <c r="AL331">
        <f t="shared" si="54"/>
        <v>18.118395061728396</v>
      </c>
      <c r="AM331">
        <f t="shared" si="55"/>
        <v>27.475096639506177</v>
      </c>
      <c r="AP331" s="9"/>
      <c r="AQ331" s="21">
        <v>0.183563</v>
      </c>
      <c r="AR331" s="21">
        <v>26.930499999999999</v>
      </c>
      <c r="AS331" s="21">
        <v>-1.6308599999999999E-2</v>
      </c>
      <c r="AT331" s="21">
        <v>321</v>
      </c>
      <c r="AU331" s="21">
        <v>0.18301400000000001</v>
      </c>
      <c r="AV331">
        <f t="shared" si="56"/>
        <v>20.134074074074071</v>
      </c>
      <c r="AW331">
        <f t="shared" si="57"/>
        <v>3.6958710392592589</v>
      </c>
      <c r="AX331" s="9"/>
      <c r="AY331" s="21">
        <v>1.5164200000000001</v>
      </c>
      <c r="AZ331" s="21">
        <v>30.749700000000001</v>
      </c>
      <c r="BA331" s="21">
        <v>-1.4694199999999999E-2</v>
      </c>
      <c r="BB331" s="21">
        <v>321</v>
      </c>
      <c r="BC331" s="21">
        <v>1.5158100000000001</v>
      </c>
      <c r="BD331">
        <f t="shared" si="58"/>
        <v>18.140987654320988</v>
      </c>
      <c r="BE331">
        <f t="shared" si="59"/>
        <v>27.509356498765435</v>
      </c>
    </row>
    <row r="332" spans="6:57" x14ac:dyDescent="0.25">
      <c r="F332" s="9"/>
      <c r="G332" s="21">
        <v>0.17852799999999999</v>
      </c>
      <c r="H332" s="21">
        <v>8.2251799999999999</v>
      </c>
      <c r="I332" s="21">
        <v>-1.62109E-2</v>
      </c>
      <c r="J332" s="21">
        <v>322</v>
      </c>
      <c r="K332" s="21">
        <v>0.17785599999999999</v>
      </c>
      <c r="L332">
        <f t="shared" ref="L332:L388" si="60">-I332/$F$2*1000</f>
        <v>20.013456790123456</v>
      </c>
      <c r="M332">
        <f t="shared" ref="M332:M388" si="61">L332*G332</f>
        <v>3.5729624138271601</v>
      </c>
      <c r="N332" s="9"/>
      <c r="O332" s="21">
        <v>1.52145</v>
      </c>
      <c r="P332" s="21">
        <v>12.0444</v>
      </c>
      <c r="Q332" s="21">
        <v>-1.46027E-2</v>
      </c>
      <c r="R332" s="21">
        <v>322</v>
      </c>
      <c r="S332" s="21">
        <v>1.5206900000000001</v>
      </c>
      <c r="T332">
        <f t="shared" ref="T332:T388" si="62">-Q332/$F$2*1000</f>
        <v>18.028024691358024</v>
      </c>
      <c r="U332">
        <f t="shared" ref="U332:U388" si="63">T332*O332</f>
        <v>27.428738166666665</v>
      </c>
      <c r="X332" s="9"/>
      <c r="Y332" s="21">
        <v>0.17852799999999999</v>
      </c>
      <c r="Z332" s="21">
        <v>17.603899999999999</v>
      </c>
      <c r="AA332" s="21">
        <v>-1.6290300000000001E-2</v>
      </c>
      <c r="AB332" s="21">
        <v>322</v>
      </c>
      <c r="AC332" s="21">
        <v>0.177948</v>
      </c>
      <c r="AD332">
        <f t="shared" ref="AD332:AD388" si="64">-AA332/$F$2*1000</f>
        <v>20.11148148148148</v>
      </c>
      <c r="AE332">
        <f t="shared" ref="AE332:AE388" si="65">AD332*Y332</f>
        <v>3.5904625659259257</v>
      </c>
      <c r="AF332" s="9"/>
      <c r="AG332" s="21">
        <v>1.52145</v>
      </c>
      <c r="AH332" s="21">
        <v>21.423100000000002</v>
      </c>
      <c r="AI332" s="21">
        <v>-1.46667E-2</v>
      </c>
      <c r="AJ332" s="21">
        <v>322</v>
      </c>
      <c r="AK332" s="21">
        <v>1.5206900000000001</v>
      </c>
      <c r="AL332">
        <f t="shared" ref="AL332:AL388" si="66">-AI332/$F$2*1000</f>
        <v>18.107037037037035</v>
      </c>
      <c r="AM332">
        <f t="shared" ref="AM332:AM388" si="67">AL332*AG332</f>
        <v>27.548951499999998</v>
      </c>
      <c r="AP332" s="9"/>
      <c r="AQ332" s="21">
        <v>0.17852799999999999</v>
      </c>
      <c r="AR332" s="21">
        <v>26.9406</v>
      </c>
      <c r="AS332" s="21">
        <v>-1.6314700000000001E-2</v>
      </c>
      <c r="AT332" s="21">
        <v>322</v>
      </c>
      <c r="AU332" s="21">
        <v>0.17782600000000001</v>
      </c>
      <c r="AV332">
        <f t="shared" ref="AV332:AV388" si="68">-AS332/$F$2*1000</f>
        <v>20.141604938271605</v>
      </c>
      <c r="AW332">
        <f t="shared" ref="AW332:AW388" si="69">AV332*AQ332</f>
        <v>3.5958404464197531</v>
      </c>
      <c r="AX332" s="9"/>
      <c r="AY332" s="21">
        <v>1.52145</v>
      </c>
      <c r="AZ332" s="21">
        <v>30.759799999999998</v>
      </c>
      <c r="BA332" s="21">
        <v>-1.46851E-2</v>
      </c>
      <c r="BB332" s="21">
        <v>322</v>
      </c>
      <c r="BC332" s="21">
        <v>1.5206900000000001</v>
      </c>
      <c r="BD332">
        <f t="shared" ref="BD332:BD388" si="70">-BA332/$F$2*1000</f>
        <v>18.12975308641975</v>
      </c>
      <c r="BE332">
        <f t="shared" ref="BE332:BE388" si="71">BD332*AY332</f>
        <v>27.58351283333333</v>
      </c>
    </row>
    <row r="333" spans="6:57" x14ac:dyDescent="0.25">
      <c r="F333" s="9"/>
      <c r="G333" s="21">
        <v>0.17349200000000001</v>
      </c>
      <c r="H333" s="21">
        <v>8.2352500000000006</v>
      </c>
      <c r="I333" s="21">
        <v>-1.6220100000000001E-2</v>
      </c>
      <c r="J333" s="21">
        <v>323</v>
      </c>
      <c r="K333" s="21">
        <v>0.172821</v>
      </c>
      <c r="L333">
        <f t="shared" si="60"/>
        <v>20.024814814814814</v>
      </c>
      <c r="M333">
        <f t="shared" si="61"/>
        <v>3.4741451718518519</v>
      </c>
      <c r="N333" s="9"/>
      <c r="O333" s="21">
        <v>1.5264899999999999</v>
      </c>
      <c r="P333" s="21">
        <v>12.054399999999999</v>
      </c>
      <c r="Q333" s="21">
        <v>-1.45966E-2</v>
      </c>
      <c r="R333" s="21">
        <v>323</v>
      </c>
      <c r="S333" s="21">
        <v>1.5252699999999999</v>
      </c>
      <c r="T333">
        <f t="shared" si="62"/>
        <v>18.020493827160493</v>
      </c>
      <c r="U333">
        <f t="shared" si="63"/>
        <v>27.508103622222219</v>
      </c>
      <c r="X333" s="9"/>
      <c r="Y333" s="21">
        <v>0.17349200000000001</v>
      </c>
      <c r="Z333" s="21">
        <v>17.613900000000001</v>
      </c>
      <c r="AA333" s="21">
        <v>-1.6299399999999999E-2</v>
      </c>
      <c r="AB333" s="21">
        <v>323</v>
      </c>
      <c r="AC333" s="21">
        <v>0.17269899999999999</v>
      </c>
      <c r="AD333">
        <f t="shared" si="64"/>
        <v>20.122716049382714</v>
      </c>
      <c r="AE333">
        <f t="shared" si="65"/>
        <v>3.4911302528395058</v>
      </c>
      <c r="AF333" s="9"/>
      <c r="AG333" s="21">
        <v>1.5264899999999999</v>
      </c>
      <c r="AH333" s="21">
        <v>21.4331</v>
      </c>
      <c r="AI333" s="21">
        <v>-1.46576E-2</v>
      </c>
      <c r="AJ333" s="21">
        <v>323</v>
      </c>
      <c r="AK333" s="21">
        <v>1.5249600000000001</v>
      </c>
      <c r="AL333">
        <f t="shared" si="66"/>
        <v>18.095802469135801</v>
      </c>
      <c r="AM333">
        <f t="shared" si="67"/>
        <v>27.623061511111107</v>
      </c>
      <c r="AP333" s="9"/>
      <c r="AQ333" s="21">
        <v>0.17349200000000001</v>
      </c>
      <c r="AR333" s="21">
        <v>26.950700000000001</v>
      </c>
      <c r="AS333" s="21">
        <v>-1.6323899999999999E-2</v>
      </c>
      <c r="AT333" s="21">
        <v>323</v>
      </c>
      <c r="AU333" s="21">
        <v>0.17321800000000001</v>
      </c>
      <c r="AV333">
        <f t="shared" si="68"/>
        <v>20.15296296296296</v>
      </c>
      <c r="AW333">
        <f t="shared" si="69"/>
        <v>3.49637785037037</v>
      </c>
      <c r="AX333" s="9"/>
      <c r="AY333" s="21">
        <v>1.5264899999999999</v>
      </c>
      <c r="AZ333" s="21">
        <v>30.7699</v>
      </c>
      <c r="BA333" s="21">
        <v>-1.4672899999999999E-2</v>
      </c>
      <c r="BB333" s="21">
        <v>323</v>
      </c>
      <c r="BC333" s="21">
        <v>1.5255700000000001</v>
      </c>
      <c r="BD333">
        <f t="shared" si="70"/>
        <v>18.11469135802469</v>
      </c>
      <c r="BE333">
        <f t="shared" si="71"/>
        <v>27.651895211111107</v>
      </c>
    </row>
    <row r="334" spans="6:57" x14ac:dyDescent="0.25">
      <c r="F334" s="9"/>
      <c r="G334" s="21">
        <v>0.168457</v>
      </c>
      <c r="H334" s="21">
        <v>8.2453199999999995</v>
      </c>
      <c r="I334" s="21">
        <v>-1.6229199999999999E-2</v>
      </c>
      <c r="J334" s="21">
        <v>324</v>
      </c>
      <c r="K334" s="21">
        <v>0.167938</v>
      </c>
      <c r="L334">
        <f t="shared" si="60"/>
        <v>20.036049382716048</v>
      </c>
      <c r="M334">
        <f t="shared" si="61"/>
        <v>3.3752127708641972</v>
      </c>
      <c r="N334" s="9"/>
      <c r="O334" s="21">
        <v>1.53152</v>
      </c>
      <c r="P334" s="21">
        <v>12.064500000000001</v>
      </c>
      <c r="Q334" s="21">
        <v>-1.4584400000000001E-2</v>
      </c>
      <c r="R334" s="21">
        <v>324</v>
      </c>
      <c r="S334" s="21">
        <v>1.5310699999999999</v>
      </c>
      <c r="T334">
        <f t="shared" si="62"/>
        <v>18.005432098765432</v>
      </c>
      <c r="U334">
        <f t="shared" si="63"/>
        <v>27.575679367901234</v>
      </c>
      <c r="X334" s="9"/>
      <c r="Y334" s="21">
        <v>0.168457</v>
      </c>
      <c r="Z334" s="21">
        <v>17.623999999999999</v>
      </c>
      <c r="AA334" s="21">
        <v>-1.6305500000000001E-2</v>
      </c>
      <c r="AB334" s="21">
        <v>324</v>
      </c>
      <c r="AC334" s="21">
        <v>0.16803000000000001</v>
      </c>
      <c r="AD334">
        <f t="shared" si="64"/>
        <v>20.130246913580248</v>
      </c>
      <c r="AE334">
        <f t="shared" si="65"/>
        <v>3.3910810043209878</v>
      </c>
      <c r="AF334" s="9"/>
      <c r="AG334" s="21">
        <v>1.53152</v>
      </c>
      <c r="AH334" s="21">
        <v>21.443200000000001</v>
      </c>
      <c r="AI334" s="21">
        <v>-1.4645399999999999E-2</v>
      </c>
      <c r="AJ334" s="21">
        <v>324</v>
      </c>
      <c r="AK334" s="21">
        <v>1.5307599999999999</v>
      </c>
      <c r="AL334">
        <f t="shared" si="66"/>
        <v>18.080740740740737</v>
      </c>
      <c r="AM334">
        <f t="shared" si="67"/>
        <v>27.691016059259255</v>
      </c>
      <c r="AP334" s="9"/>
      <c r="AQ334" s="21">
        <v>0.168457</v>
      </c>
      <c r="AR334" s="21">
        <v>26.960699999999999</v>
      </c>
      <c r="AS334" s="21">
        <v>-1.6330000000000001E-2</v>
      </c>
      <c r="AT334" s="21">
        <v>324</v>
      </c>
      <c r="AU334" s="21">
        <v>0.167603</v>
      </c>
      <c r="AV334">
        <f t="shared" si="68"/>
        <v>20.160493827160494</v>
      </c>
      <c r="AW334">
        <f t="shared" si="69"/>
        <v>3.3961763086419752</v>
      </c>
      <c r="AX334" s="9"/>
      <c r="AY334" s="21">
        <v>1.53152</v>
      </c>
      <c r="AZ334" s="21">
        <v>30.779900000000001</v>
      </c>
      <c r="BA334" s="21">
        <v>-1.4660599999999999E-2</v>
      </c>
      <c r="BB334" s="21">
        <v>324</v>
      </c>
      <c r="BC334" s="21">
        <v>1.5304599999999999</v>
      </c>
      <c r="BD334">
        <f t="shared" si="70"/>
        <v>18.099506172839504</v>
      </c>
      <c r="BE334">
        <f t="shared" si="71"/>
        <v>27.719755693827157</v>
      </c>
    </row>
    <row r="335" spans="6:57" x14ac:dyDescent="0.25">
      <c r="F335" s="9"/>
      <c r="G335" s="21">
        <v>0.16342200000000001</v>
      </c>
      <c r="H335" s="21">
        <v>8.2553900000000002</v>
      </c>
      <c r="I335" s="21">
        <v>-1.6235400000000001E-2</v>
      </c>
      <c r="J335" s="21">
        <v>325</v>
      </c>
      <c r="K335" s="21">
        <v>0.16278100000000001</v>
      </c>
      <c r="L335">
        <f t="shared" si="60"/>
        <v>20.043703703703702</v>
      </c>
      <c r="M335">
        <f t="shared" si="61"/>
        <v>3.2755821466666668</v>
      </c>
      <c r="N335" s="9"/>
      <c r="O335" s="21">
        <v>1.5365599999999999</v>
      </c>
      <c r="P335" s="21">
        <v>12.0746</v>
      </c>
      <c r="Q335" s="21">
        <v>-1.4572099999999999E-2</v>
      </c>
      <c r="R335" s="21">
        <v>325</v>
      </c>
      <c r="S335" s="21">
        <v>1.5356399999999999</v>
      </c>
      <c r="T335">
        <f t="shared" si="62"/>
        <v>17.990246913580243</v>
      </c>
      <c r="U335">
        <f t="shared" si="63"/>
        <v>27.643093797530856</v>
      </c>
      <c r="X335" s="9"/>
      <c r="Y335" s="21">
        <v>0.16342200000000001</v>
      </c>
      <c r="Z335" s="21">
        <v>17.6341</v>
      </c>
      <c r="AA335" s="21">
        <v>-1.6314700000000001E-2</v>
      </c>
      <c r="AB335" s="21">
        <v>325</v>
      </c>
      <c r="AC335" s="21">
        <v>0.16256699999999999</v>
      </c>
      <c r="AD335">
        <f t="shared" si="64"/>
        <v>20.141604938271605</v>
      </c>
      <c r="AE335">
        <f t="shared" si="65"/>
        <v>3.2915813622222223</v>
      </c>
      <c r="AF335" s="9"/>
      <c r="AG335" s="21">
        <v>1.5365599999999999</v>
      </c>
      <c r="AH335" s="21">
        <v>21.453299999999999</v>
      </c>
      <c r="AI335" s="21">
        <v>-1.46301E-2</v>
      </c>
      <c r="AJ335" s="21">
        <v>325</v>
      </c>
      <c r="AK335" s="21">
        <v>1.5353399999999999</v>
      </c>
      <c r="AL335">
        <f t="shared" si="66"/>
        <v>18.061851851851848</v>
      </c>
      <c r="AM335">
        <f t="shared" si="67"/>
        <v>27.753119081481476</v>
      </c>
      <c r="AP335" s="9"/>
      <c r="AQ335" s="21">
        <v>0.16342200000000001</v>
      </c>
      <c r="AR335" s="21">
        <v>26.970800000000001</v>
      </c>
      <c r="AS335" s="21">
        <v>-1.6336099999999999E-2</v>
      </c>
      <c r="AT335" s="21">
        <v>325</v>
      </c>
      <c r="AU335" s="21">
        <v>0.16278100000000001</v>
      </c>
      <c r="AV335">
        <f t="shared" si="68"/>
        <v>20.168024691358024</v>
      </c>
      <c r="AW335">
        <f t="shared" si="69"/>
        <v>3.2958989311111111</v>
      </c>
      <c r="AX335" s="9"/>
      <c r="AY335" s="21">
        <v>1.5365599999999999</v>
      </c>
      <c r="AZ335" s="21">
        <v>30.79</v>
      </c>
      <c r="BA335" s="21">
        <v>-1.4648400000000001E-2</v>
      </c>
      <c r="BB335" s="21">
        <v>325</v>
      </c>
      <c r="BC335" s="21">
        <v>1.5353399999999999</v>
      </c>
      <c r="BD335">
        <f t="shared" si="70"/>
        <v>18.084444444444443</v>
      </c>
      <c r="BE335">
        <f t="shared" si="71"/>
        <v>27.787833955555552</v>
      </c>
    </row>
    <row r="336" spans="6:57" x14ac:dyDescent="0.25">
      <c r="F336" s="9"/>
      <c r="G336" s="21">
        <v>0.158386</v>
      </c>
      <c r="H336" s="21">
        <v>8.2654700000000005</v>
      </c>
      <c r="I336" s="21">
        <v>-1.6244499999999999E-2</v>
      </c>
      <c r="J336" s="21">
        <v>326</v>
      </c>
      <c r="K336" s="21">
        <v>0.158081</v>
      </c>
      <c r="L336">
        <f t="shared" si="60"/>
        <v>20.054938271604936</v>
      </c>
      <c r="M336">
        <f t="shared" si="61"/>
        <v>3.1764214530864194</v>
      </c>
      <c r="N336" s="9"/>
      <c r="O336" s="21">
        <v>1.5416000000000001</v>
      </c>
      <c r="P336" s="21">
        <v>12.0847</v>
      </c>
      <c r="Q336" s="21">
        <v>-1.4559900000000001E-2</v>
      </c>
      <c r="R336" s="21">
        <v>326</v>
      </c>
      <c r="S336" s="21">
        <v>1.5408299999999999</v>
      </c>
      <c r="T336">
        <f t="shared" si="62"/>
        <v>17.975185185185186</v>
      </c>
      <c r="U336">
        <f t="shared" si="63"/>
        <v>27.710545481481486</v>
      </c>
      <c r="X336" s="9"/>
      <c r="Y336" s="21">
        <v>0.158386</v>
      </c>
      <c r="Z336" s="21">
        <v>17.644200000000001</v>
      </c>
      <c r="AA336" s="21">
        <v>-1.63208E-2</v>
      </c>
      <c r="AB336" s="21">
        <v>326</v>
      </c>
      <c r="AC336" s="21">
        <v>0.157776</v>
      </c>
      <c r="AD336">
        <f t="shared" si="64"/>
        <v>20.149135802469136</v>
      </c>
      <c r="AE336">
        <f t="shared" si="65"/>
        <v>3.1913410232098767</v>
      </c>
      <c r="AF336" s="9"/>
      <c r="AG336" s="21">
        <v>1.5416000000000001</v>
      </c>
      <c r="AH336" s="21">
        <v>21.4634</v>
      </c>
      <c r="AI336" s="21">
        <v>-1.46179E-2</v>
      </c>
      <c r="AJ336" s="21">
        <v>326</v>
      </c>
      <c r="AK336" s="21">
        <v>1.54053</v>
      </c>
      <c r="AL336">
        <f t="shared" si="66"/>
        <v>18.046790123456791</v>
      </c>
      <c r="AM336">
        <f t="shared" si="67"/>
        <v>27.82093165432099</v>
      </c>
      <c r="AP336" s="9"/>
      <c r="AQ336" s="21">
        <v>0.158386</v>
      </c>
      <c r="AR336" s="21">
        <v>26.980899999999998</v>
      </c>
      <c r="AS336" s="21">
        <v>-1.6342200000000001E-2</v>
      </c>
      <c r="AT336" s="21">
        <v>326</v>
      </c>
      <c r="AU336" s="21">
        <v>0.158966</v>
      </c>
      <c r="AV336">
        <f t="shared" si="68"/>
        <v>20.175555555555555</v>
      </c>
      <c r="AW336">
        <f t="shared" si="69"/>
        <v>3.1955255422222222</v>
      </c>
      <c r="AX336" s="9"/>
      <c r="AY336" s="21">
        <v>1.5416000000000001</v>
      </c>
      <c r="AZ336" s="21">
        <v>30.8001</v>
      </c>
      <c r="BA336" s="21">
        <v>-1.4633200000000001E-2</v>
      </c>
      <c r="BB336" s="21">
        <v>326</v>
      </c>
      <c r="BC336" s="21">
        <v>1.5408299999999999</v>
      </c>
      <c r="BD336">
        <f t="shared" si="70"/>
        <v>18.065679012345679</v>
      </c>
      <c r="BE336">
        <f t="shared" si="71"/>
        <v>27.850050765432101</v>
      </c>
    </row>
    <row r="337" spans="6:57" x14ac:dyDescent="0.25">
      <c r="F337" s="9"/>
      <c r="G337" s="21">
        <v>0.15335099999999999</v>
      </c>
      <c r="H337" s="21">
        <v>8.2755399999999995</v>
      </c>
      <c r="I337" s="21">
        <v>-1.6253699999999999E-2</v>
      </c>
      <c r="J337" s="21">
        <v>327</v>
      </c>
      <c r="K337" s="21">
        <v>0.152832</v>
      </c>
      <c r="L337">
        <f t="shared" si="60"/>
        <v>20.066296296296294</v>
      </c>
      <c r="M337">
        <f t="shared" si="61"/>
        <v>3.0771866033333328</v>
      </c>
      <c r="N337" s="9"/>
      <c r="O337" s="21">
        <v>1.5466299999999999</v>
      </c>
      <c r="P337" s="21">
        <v>12.0947</v>
      </c>
      <c r="Q337" s="21">
        <v>-1.4544700000000001E-2</v>
      </c>
      <c r="R337" s="21">
        <v>327</v>
      </c>
      <c r="S337" s="21">
        <v>1.54633</v>
      </c>
      <c r="T337">
        <f t="shared" si="62"/>
        <v>17.956419753086422</v>
      </c>
      <c r="U337">
        <f t="shared" si="63"/>
        <v>27.771937482716051</v>
      </c>
      <c r="X337" s="9"/>
      <c r="Y337" s="21">
        <v>0.15335099999999999</v>
      </c>
      <c r="Z337" s="21">
        <v>17.654199999999999</v>
      </c>
      <c r="AA337" s="21">
        <v>-1.6330000000000001E-2</v>
      </c>
      <c r="AB337" s="21">
        <v>327</v>
      </c>
      <c r="AC337" s="21">
        <v>0.152618</v>
      </c>
      <c r="AD337">
        <f t="shared" si="64"/>
        <v>20.160493827160494</v>
      </c>
      <c r="AE337">
        <f t="shared" si="65"/>
        <v>3.0916318888888887</v>
      </c>
      <c r="AF337" s="9"/>
      <c r="AG337" s="21">
        <v>1.5466299999999999</v>
      </c>
      <c r="AH337" s="21">
        <v>21.473400000000002</v>
      </c>
      <c r="AI337" s="21">
        <v>-1.46027E-2</v>
      </c>
      <c r="AJ337" s="21">
        <v>327</v>
      </c>
      <c r="AK337" s="21">
        <v>1.5460199999999999</v>
      </c>
      <c r="AL337">
        <f t="shared" si="66"/>
        <v>18.028024691358024</v>
      </c>
      <c r="AM337">
        <f t="shared" si="67"/>
        <v>27.882683828395059</v>
      </c>
      <c r="AP337" s="9"/>
      <c r="AQ337" s="21">
        <v>0.15335099999999999</v>
      </c>
      <c r="AR337" s="21">
        <v>26.991</v>
      </c>
      <c r="AS337" s="21">
        <v>-1.6351299999999999E-2</v>
      </c>
      <c r="AT337" s="21">
        <v>327</v>
      </c>
      <c r="AU337" s="21">
        <v>0.15273999999999999</v>
      </c>
      <c r="AV337">
        <f t="shared" si="68"/>
        <v>20.186790123456785</v>
      </c>
      <c r="AW337">
        <f t="shared" si="69"/>
        <v>3.0956644522222212</v>
      </c>
      <c r="AX337" s="9"/>
      <c r="AY337" s="21">
        <v>1.5466299999999999</v>
      </c>
      <c r="AZ337" s="21">
        <v>30.810099999999998</v>
      </c>
      <c r="BA337" s="21">
        <v>-1.46179E-2</v>
      </c>
      <c r="BB337" s="21">
        <v>327</v>
      </c>
      <c r="BC337" s="21">
        <v>1.5460199999999999</v>
      </c>
      <c r="BD337">
        <f t="shared" si="70"/>
        <v>18.046790123456791</v>
      </c>
      <c r="BE337">
        <f t="shared" si="71"/>
        <v>27.911707008641976</v>
      </c>
    </row>
    <row r="338" spans="6:57" x14ac:dyDescent="0.25">
      <c r="F338" s="9"/>
      <c r="G338" s="21">
        <v>0.148315</v>
      </c>
      <c r="H338" s="21">
        <v>8.2856100000000001</v>
      </c>
      <c r="I338" s="21">
        <v>-1.6256699999999999E-2</v>
      </c>
      <c r="J338" s="21">
        <v>328</v>
      </c>
      <c r="K338" s="21">
        <v>0.14791899999999999</v>
      </c>
      <c r="L338">
        <f t="shared" si="60"/>
        <v>20.069999999999997</v>
      </c>
      <c r="M338">
        <f t="shared" si="61"/>
        <v>2.9766820499999995</v>
      </c>
      <c r="N338" s="9"/>
      <c r="O338" s="21">
        <v>1.5516700000000001</v>
      </c>
      <c r="P338" s="21">
        <v>12.104799999999999</v>
      </c>
      <c r="Q338" s="21">
        <v>-1.45325E-2</v>
      </c>
      <c r="R338" s="21">
        <v>328</v>
      </c>
      <c r="S338" s="21">
        <v>1.5506</v>
      </c>
      <c r="T338">
        <f t="shared" si="62"/>
        <v>17.941358024691358</v>
      </c>
      <c r="U338">
        <f t="shared" si="63"/>
        <v>27.83906700617284</v>
      </c>
      <c r="X338" s="9"/>
      <c r="Y338" s="21">
        <v>0.148315</v>
      </c>
      <c r="Z338" s="21">
        <v>17.664300000000001</v>
      </c>
      <c r="AA338" s="21">
        <v>-1.6333E-2</v>
      </c>
      <c r="AB338" s="21">
        <v>328</v>
      </c>
      <c r="AC338" s="21">
        <v>0.14749100000000001</v>
      </c>
      <c r="AD338">
        <f t="shared" si="64"/>
        <v>20.164197530864197</v>
      </c>
      <c r="AE338">
        <f t="shared" si="65"/>
        <v>2.9906529567901234</v>
      </c>
      <c r="AF338" s="9"/>
      <c r="AG338" s="21">
        <v>1.5516700000000001</v>
      </c>
      <c r="AH338" s="21">
        <v>21.483499999999999</v>
      </c>
      <c r="AI338" s="21">
        <v>-1.45874E-2</v>
      </c>
      <c r="AJ338" s="21">
        <v>328</v>
      </c>
      <c r="AK338" s="21">
        <v>1.55121</v>
      </c>
      <c r="AL338">
        <f t="shared" si="66"/>
        <v>18.009135802469135</v>
      </c>
      <c r="AM338">
        <f t="shared" si="67"/>
        <v>27.944235750617285</v>
      </c>
      <c r="AP338" s="9"/>
      <c r="AQ338" s="21">
        <v>0.148315</v>
      </c>
      <c r="AR338" s="21">
        <v>27.001000000000001</v>
      </c>
      <c r="AS338" s="21">
        <v>-1.63605E-2</v>
      </c>
      <c r="AT338" s="21">
        <v>328</v>
      </c>
      <c r="AU338" s="21">
        <v>0.14773600000000001</v>
      </c>
      <c r="AV338">
        <f t="shared" si="68"/>
        <v>20.198148148148146</v>
      </c>
      <c r="AW338">
        <f t="shared" si="69"/>
        <v>2.9956883425925924</v>
      </c>
      <c r="AX338" s="9"/>
      <c r="AY338" s="21">
        <v>1.5516700000000001</v>
      </c>
      <c r="AZ338" s="21">
        <v>30.8202</v>
      </c>
      <c r="BA338" s="21">
        <v>-1.4599600000000001E-2</v>
      </c>
      <c r="BB338" s="21">
        <v>328</v>
      </c>
      <c r="BC338" s="21">
        <v>1.55121</v>
      </c>
      <c r="BD338">
        <f t="shared" si="70"/>
        <v>18.0241975308642</v>
      </c>
      <c r="BE338">
        <f t="shared" si="71"/>
        <v>27.967606582716055</v>
      </c>
    </row>
    <row r="339" spans="6:57" x14ac:dyDescent="0.25">
      <c r="F339" s="9"/>
      <c r="G339" s="21">
        <v>0.14327999999999999</v>
      </c>
      <c r="H339" s="21">
        <v>8.2956800000000008</v>
      </c>
      <c r="I339" s="21">
        <v>-1.62659E-2</v>
      </c>
      <c r="J339" s="21">
        <v>329</v>
      </c>
      <c r="K339" s="21">
        <v>0.14269999999999999</v>
      </c>
      <c r="L339">
        <f t="shared" si="60"/>
        <v>20.081358024691358</v>
      </c>
      <c r="M339">
        <f t="shared" si="61"/>
        <v>2.8772569777777774</v>
      </c>
      <c r="N339" s="9"/>
      <c r="O339" s="21">
        <v>1.5567</v>
      </c>
      <c r="P339" s="21">
        <v>12.1149</v>
      </c>
      <c r="Q339" s="21">
        <v>-1.45142E-2</v>
      </c>
      <c r="R339" s="21">
        <v>329</v>
      </c>
      <c r="S339" s="21">
        <v>1.55579</v>
      </c>
      <c r="T339">
        <f t="shared" si="62"/>
        <v>17.918765432098763</v>
      </c>
      <c r="U339">
        <f t="shared" si="63"/>
        <v>27.894142148148145</v>
      </c>
      <c r="X339" s="9"/>
      <c r="Y339" s="21">
        <v>0.14327999999999999</v>
      </c>
      <c r="Z339" s="21">
        <v>17.674399999999999</v>
      </c>
      <c r="AA339" s="21">
        <v>-1.6339099999999999E-2</v>
      </c>
      <c r="AB339" s="21">
        <v>329</v>
      </c>
      <c r="AC339" s="21">
        <v>0.14230300000000001</v>
      </c>
      <c r="AD339">
        <f t="shared" si="64"/>
        <v>20.171728395061727</v>
      </c>
      <c r="AE339">
        <f t="shared" si="65"/>
        <v>2.8902052444444442</v>
      </c>
      <c r="AF339" s="9"/>
      <c r="AG339" s="21">
        <v>1.5567</v>
      </c>
      <c r="AH339" s="21">
        <v>21.493600000000001</v>
      </c>
      <c r="AI339" s="21">
        <v>-1.4572099999999999E-2</v>
      </c>
      <c r="AJ339" s="21">
        <v>329</v>
      </c>
      <c r="AK339" s="21">
        <v>1.55609</v>
      </c>
      <c r="AL339">
        <f t="shared" si="66"/>
        <v>17.990246913580243</v>
      </c>
      <c r="AM339">
        <f t="shared" si="67"/>
        <v>28.005417370370363</v>
      </c>
      <c r="AP339" s="9"/>
      <c r="AQ339" s="21">
        <v>0.14327999999999999</v>
      </c>
      <c r="AR339" s="21">
        <v>27.011099999999999</v>
      </c>
      <c r="AS339" s="21">
        <v>-1.6366599999999999E-2</v>
      </c>
      <c r="AT339" s="21">
        <v>329</v>
      </c>
      <c r="AU339" s="21">
        <v>0.14260900000000001</v>
      </c>
      <c r="AV339">
        <f t="shared" si="68"/>
        <v>20.205679012345676</v>
      </c>
      <c r="AW339">
        <f t="shared" si="69"/>
        <v>2.8950696888888885</v>
      </c>
      <c r="AX339" s="9"/>
      <c r="AY339" s="21">
        <v>1.5567</v>
      </c>
      <c r="AZ339" s="21">
        <v>30.830300000000001</v>
      </c>
      <c r="BA339" s="21">
        <v>-1.45813E-2</v>
      </c>
      <c r="BB339" s="21">
        <v>329</v>
      </c>
      <c r="BC339" s="21">
        <v>1.55518</v>
      </c>
      <c r="BD339">
        <f t="shared" si="70"/>
        <v>18.001604938271605</v>
      </c>
      <c r="BE339">
        <f t="shared" si="71"/>
        <v>28.023098407407407</v>
      </c>
    </row>
    <row r="340" spans="6:57" x14ac:dyDescent="0.25">
      <c r="F340" s="9"/>
      <c r="G340" s="21">
        <v>0.13824500000000001</v>
      </c>
      <c r="H340" s="21">
        <v>8.3057499999999997</v>
      </c>
      <c r="I340" s="21">
        <v>-1.6275000000000001E-2</v>
      </c>
      <c r="J340" s="21">
        <v>330</v>
      </c>
      <c r="K340" s="21">
        <v>0.13745099999999999</v>
      </c>
      <c r="L340">
        <f t="shared" si="60"/>
        <v>20.092592592592592</v>
      </c>
      <c r="M340">
        <f t="shared" si="61"/>
        <v>2.7777004629629629</v>
      </c>
      <c r="N340" s="9"/>
      <c r="O340" s="21">
        <v>1.5617399999999999</v>
      </c>
      <c r="P340" s="21">
        <v>12.1249</v>
      </c>
      <c r="Q340" s="21">
        <v>-1.44989E-2</v>
      </c>
      <c r="R340" s="21">
        <v>330</v>
      </c>
      <c r="S340" s="21">
        <v>1.56097</v>
      </c>
      <c r="T340">
        <f t="shared" si="62"/>
        <v>17.899876543209874</v>
      </c>
      <c r="U340">
        <f t="shared" si="63"/>
        <v>27.954953192592587</v>
      </c>
      <c r="X340" s="9"/>
      <c r="Y340" s="21">
        <v>0.13824500000000001</v>
      </c>
      <c r="Z340" s="21">
        <v>17.6844</v>
      </c>
      <c r="AA340" s="21">
        <v>-1.63483E-2</v>
      </c>
      <c r="AB340" s="21">
        <v>330</v>
      </c>
      <c r="AC340" s="21">
        <v>0.137604</v>
      </c>
      <c r="AD340">
        <f t="shared" si="64"/>
        <v>20.183086419753085</v>
      </c>
      <c r="AE340">
        <f t="shared" si="65"/>
        <v>2.7902107820987654</v>
      </c>
      <c r="AF340" s="9"/>
      <c r="AG340" s="21">
        <v>1.5617399999999999</v>
      </c>
      <c r="AH340" s="21">
        <v>21.503599999999999</v>
      </c>
      <c r="AI340" s="21">
        <v>-1.4550799999999999E-2</v>
      </c>
      <c r="AJ340" s="21">
        <v>330</v>
      </c>
      <c r="AK340" s="21">
        <v>1.56128</v>
      </c>
      <c r="AL340">
        <f t="shared" si="66"/>
        <v>17.963950617283949</v>
      </c>
      <c r="AM340">
        <f t="shared" si="67"/>
        <v>28.055020237037034</v>
      </c>
      <c r="AP340" s="9"/>
      <c r="AQ340" s="21">
        <v>0.13824500000000001</v>
      </c>
      <c r="AR340" s="21">
        <v>27.0212</v>
      </c>
      <c r="AS340" s="21">
        <v>-1.63727E-2</v>
      </c>
      <c r="AT340" s="21">
        <v>330</v>
      </c>
      <c r="AU340" s="21">
        <v>0.137512</v>
      </c>
      <c r="AV340">
        <f t="shared" si="68"/>
        <v>20.21320987654321</v>
      </c>
      <c r="AW340">
        <f t="shared" si="69"/>
        <v>2.7943751993827162</v>
      </c>
      <c r="AX340" s="9"/>
      <c r="AY340" s="21">
        <v>1.5617399999999999</v>
      </c>
      <c r="AZ340" s="21">
        <v>30.840399999999999</v>
      </c>
      <c r="BA340" s="21">
        <v>-1.4563E-2</v>
      </c>
      <c r="BB340" s="21">
        <v>330</v>
      </c>
      <c r="BC340" s="21">
        <v>1.56097</v>
      </c>
      <c r="BD340">
        <f t="shared" si="70"/>
        <v>17.979012345679013</v>
      </c>
      <c r="BE340">
        <f t="shared" si="71"/>
        <v>28.07854274074074</v>
      </c>
    </row>
    <row r="341" spans="6:57" x14ac:dyDescent="0.25">
      <c r="F341" s="9"/>
      <c r="G341" s="21">
        <v>0.13320899999999999</v>
      </c>
      <c r="H341" s="21">
        <v>8.3158200000000004</v>
      </c>
      <c r="I341" s="21">
        <v>-1.62811E-2</v>
      </c>
      <c r="J341" s="21">
        <v>331</v>
      </c>
      <c r="K341" s="21">
        <v>0.13192699999999999</v>
      </c>
      <c r="L341">
        <f t="shared" si="60"/>
        <v>20.100123456790122</v>
      </c>
      <c r="M341">
        <f t="shared" si="61"/>
        <v>2.6775173455555552</v>
      </c>
      <c r="N341" s="9"/>
      <c r="O341" s="21">
        <v>1.56677</v>
      </c>
      <c r="P341" s="21">
        <v>12.135</v>
      </c>
      <c r="Q341" s="21">
        <v>-1.44806E-2</v>
      </c>
      <c r="R341" s="21">
        <v>331</v>
      </c>
      <c r="S341" s="21">
        <v>1.56525</v>
      </c>
      <c r="T341">
        <f t="shared" si="62"/>
        <v>17.877283950617283</v>
      </c>
      <c r="U341">
        <f t="shared" si="63"/>
        <v>28.00959217530864</v>
      </c>
      <c r="X341" s="9"/>
      <c r="Y341" s="21">
        <v>0.13320899999999999</v>
      </c>
      <c r="Z341" s="21">
        <v>17.694500000000001</v>
      </c>
      <c r="AA341" s="21">
        <v>-1.63605E-2</v>
      </c>
      <c r="AB341" s="21">
        <v>331</v>
      </c>
      <c r="AC341" s="21">
        <v>0.13266</v>
      </c>
      <c r="AD341">
        <f t="shared" si="64"/>
        <v>20.198148148148146</v>
      </c>
      <c r="AE341">
        <f t="shared" si="65"/>
        <v>2.690575116666666</v>
      </c>
      <c r="AF341" s="9"/>
      <c r="AG341" s="21">
        <v>1.56677</v>
      </c>
      <c r="AH341" s="21">
        <v>21.5137</v>
      </c>
      <c r="AI341" s="21">
        <v>-1.45325E-2</v>
      </c>
      <c r="AJ341" s="21">
        <v>331</v>
      </c>
      <c r="AK341" s="21">
        <v>1.56586</v>
      </c>
      <c r="AL341">
        <f t="shared" si="66"/>
        <v>17.941358024691358</v>
      </c>
      <c r="AM341">
        <f t="shared" si="67"/>
        <v>28.109981512345676</v>
      </c>
      <c r="AP341" s="9"/>
      <c r="AQ341" s="21">
        <v>0.13320899999999999</v>
      </c>
      <c r="AR341" s="21">
        <v>27.031199999999998</v>
      </c>
      <c r="AS341" s="21">
        <v>-1.6378799999999999E-2</v>
      </c>
      <c r="AT341" s="21">
        <v>331</v>
      </c>
      <c r="AU341" s="21">
        <v>0.13275100000000001</v>
      </c>
      <c r="AV341">
        <f t="shared" si="68"/>
        <v>20.220740740740737</v>
      </c>
      <c r="AW341">
        <f t="shared" si="69"/>
        <v>2.6935846533333327</v>
      </c>
      <c r="AX341" s="9"/>
      <c r="AY341" s="21">
        <v>1.56677</v>
      </c>
      <c r="AZ341" s="21">
        <v>30.8504</v>
      </c>
      <c r="BA341" s="21">
        <v>-1.4544700000000001E-2</v>
      </c>
      <c r="BB341" s="21">
        <v>331</v>
      </c>
      <c r="BC341" s="21">
        <v>1.56555</v>
      </c>
      <c r="BD341">
        <f t="shared" si="70"/>
        <v>17.956419753086422</v>
      </c>
      <c r="BE341">
        <f t="shared" si="71"/>
        <v>28.133579776543215</v>
      </c>
    </row>
    <row r="342" spans="6:57" x14ac:dyDescent="0.25">
      <c r="F342" s="9"/>
      <c r="G342" s="21">
        <v>0.12817400000000001</v>
      </c>
      <c r="H342" s="21">
        <v>8.3258899999999993</v>
      </c>
      <c r="I342" s="21">
        <v>-1.6287200000000002E-2</v>
      </c>
      <c r="J342" s="21">
        <v>332</v>
      </c>
      <c r="K342" s="21">
        <v>0.127197</v>
      </c>
      <c r="L342">
        <f t="shared" si="60"/>
        <v>20.107654320987656</v>
      </c>
      <c r="M342">
        <f t="shared" si="61"/>
        <v>2.5772784849382719</v>
      </c>
      <c r="N342" s="9"/>
      <c r="O342" s="21">
        <v>1.5718099999999999</v>
      </c>
      <c r="P342" s="21">
        <v>12.145099999999999</v>
      </c>
      <c r="Q342" s="21">
        <v>-1.44592E-2</v>
      </c>
      <c r="R342" s="21">
        <v>332</v>
      </c>
      <c r="S342" s="21">
        <v>1.57104</v>
      </c>
      <c r="T342">
        <f t="shared" si="62"/>
        <v>17.850864197530864</v>
      </c>
      <c r="U342">
        <f t="shared" si="63"/>
        <v>28.058166854320987</v>
      </c>
      <c r="X342" s="9"/>
      <c r="Y342" s="21">
        <v>0.12817400000000001</v>
      </c>
      <c r="Z342" s="21">
        <v>17.704599999999999</v>
      </c>
      <c r="AA342" s="21">
        <v>-1.63635E-2</v>
      </c>
      <c r="AB342" s="21">
        <v>332</v>
      </c>
      <c r="AC342" s="21">
        <v>0.12756300000000001</v>
      </c>
      <c r="AD342">
        <f t="shared" si="64"/>
        <v>20.201851851851849</v>
      </c>
      <c r="AE342">
        <f t="shared" si="65"/>
        <v>2.589352159259259</v>
      </c>
      <c r="AF342" s="9"/>
      <c r="AG342" s="21">
        <v>1.5718099999999999</v>
      </c>
      <c r="AH342" s="21">
        <v>21.523800000000001</v>
      </c>
      <c r="AI342" s="21">
        <v>-1.4511100000000001E-2</v>
      </c>
      <c r="AJ342" s="21">
        <v>332</v>
      </c>
      <c r="AK342" s="21">
        <v>1.57135</v>
      </c>
      <c r="AL342">
        <f t="shared" si="66"/>
        <v>17.914938271604939</v>
      </c>
      <c r="AM342">
        <f t="shared" si="67"/>
        <v>28.158879124691357</v>
      </c>
      <c r="AP342" s="9"/>
      <c r="AQ342" s="21">
        <v>0.12817400000000001</v>
      </c>
      <c r="AR342" s="21">
        <v>27.0413</v>
      </c>
      <c r="AS342" s="21">
        <v>-1.6384900000000001E-2</v>
      </c>
      <c r="AT342" s="21">
        <v>332</v>
      </c>
      <c r="AU342" s="21">
        <v>0.12737999999999999</v>
      </c>
      <c r="AV342">
        <f t="shared" si="68"/>
        <v>20.228271604938271</v>
      </c>
      <c r="AW342">
        <f t="shared" si="69"/>
        <v>2.5927384846913584</v>
      </c>
      <c r="AX342" s="9"/>
      <c r="AY342" s="21">
        <v>1.5718099999999999</v>
      </c>
      <c r="AZ342" s="21">
        <v>30.860499999999998</v>
      </c>
      <c r="BA342" s="21">
        <v>-1.4523299999999999E-2</v>
      </c>
      <c r="BB342" s="21">
        <v>332</v>
      </c>
      <c r="BC342" s="21">
        <v>1.57074</v>
      </c>
      <c r="BD342">
        <f t="shared" si="70"/>
        <v>17.93</v>
      </c>
      <c r="BE342">
        <f t="shared" si="71"/>
        <v>28.182553299999999</v>
      </c>
    </row>
    <row r="343" spans="6:57" x14ac:dyDescent="0.25">
      <c r="F343" s="9"/>
      <c r="G343" s="21">
        <v>0.123138</v>
      </c>
      <c r="H343" s="21">
        <v>8.33596</v>
      </c>
      <c r="I343" s="21">
        <v>-1.62933E-2</v>
      </c>
      <c r="J343" s="21">
        <v>333</v>
      </c>
      <c r="K343" s="21">
        <v>0.12265</v>
      </c>
      <c r="L343">
        <f t="shared" si="60"/>
        <v>20.115185185185183</v>
      </c>
      <c r="M343">
        <f t="shared" si="61"/>
        <v>2.476943673333333</v>
      </c>
      <c r="N343" s="9"/>
      <c r="O343" s="21">
        <v>1.57684</v>
      </c>
      <c r="P343" s="21">
        <v>12.155200000000001</v>
      </c>
      <c r="Q343" s="21">
        <v>-1.44379E-2</v>
      </c>
      <c r="R343" s="21">
        <v>333</v>
      </c>
      <c r="S343" s="21">
        <v>1.5753200000000001</v>
      </c>
      <c r="T343">
        <f t="shared" si="62"/>
        <v>17.824567901234566</v>
      </c>
      <c r="U343">
        <f t="shared" si="63"/>
        <v>28.106491649382715</v>
      </c>
      <c r="X343" s="9"/>
      <c r="Y343" s="21">
        <v>0.123138</v>
      </c>
      <c r="Z343" s="21">
        <v>17.714700000000001</v>
      </c>
      <c r="AA343" s="21">
        <v>-1.63727E-2</v>
      </c>
      <c r="AB343" s="21">
        <v>333</v>
      </c>
      <c r="AC343" s="21">
        <v>0.122589</v>
      </c>
      <c r="AD343">
        <f t="shared" si="64"/>
        <v>20.21320987654321</v>
      </c>
      <c r="AE343">
        <f t="shared" si="65"/>
        <v>2.489014237777778</v>
      </c>
      <c r="AF343" s="9"/>
      <c r="AG343" s="21">
        <v>1.57684</v>
      </c>
      <c r="AH343" s="21">
        <v>21.533799999999999</v>
      </c>
      <c r="AI343" s="21">
        <v>-1.44867E-2</v>
      </c>
      <c r="AJ343" s="21">
        <v>333</v>
      </c>
      <c r="AK343" s="21">
        <v>1.5759300000000001</v>
      </c>
      <c r="AL343">
        <f t="shared" si="66"/>
        <v>17.884814814814817</v>
      </c>
      <c r="AM343">
        <f t="shared" si="67"/>
        <v>28.201491392592597</v>
      </c>
      <c r="AP343" s="9"/>
      <c r="AQ343" s="21">
        <v>0.123138</v>
      </c>
      <c r="AR343" s="21">
        <v>27.051400000000001</v>
      </c>
      <c r="AS343" s="21">
        <v>-1.6390999999999999E-2</v>
      </c>
      <c r="AT343" s="21">
        <v>333</v>
      </c>
      <c r="AU343" s="21">
        <v>0.12265</v>
      </c>
      <c r="AV343">
        <f t="shared" si="68"/>
        <v>20.235802469135802</v>
      </c>
      <c r="AW343">
        <f t="shared" si="69"/>
        <v>2.4917962444444441</v>
      </c>
      <c r="AX343" s="9"/>
      <c r="AY343" s="21">
        <v>1.57684</v>
      </c>
      <c r="AZ343" s="21">
        <v>30.8706</v>
      </c>
      <c r="BA343" s="21">
        <v>-1.44989E-2</v>
      </c>
      <c r="BB343" s="21">
        <v>333</v>
      </c>
      <c r="BC343" s="21">
        <v>1.5765400000000001</v>
      </c>
      <c r="BD343">
        <f t="shared" si="70"/>
        <v>17.899876543209874</v>
      </c>
      <c r="BE343">
        <f t="shared" si="71"/>
        <v>28.225241328395057</v>
      </c>
    </row>
    <row r="344" spans="6:57" x14ac:dyDescent="0.25">
      <c r="F344" s="9"/>
      <c r="G344" s="21">
        <v>0.118103</v>
      </c>
      <c r="H344" s="21">
        <v>8.3460300000000007</v>
      </c>
      <c r="I344" s="21">
        <v>-1.6305500000000001E-2</v>
      </c>
      <c r="J344" s="21">
        <v>334</v>
      </c>
      <c r="K344" s="21">
        <v>0.117798</v>
      </c>
      <c r="L344">
        <f t="shared" si="60"/>
        <v>20.130246913580248</v>
      </c>
      <c r="M344">
        <f t="shared" si="61"/>
        <v>2.377442551234568</v>
      </c>
      <c r="N344" s="9"/>
      <c r="O344" s="21">
        <v>1.58188</v>
      </c>
      <c r="P344" s="21">
        <v>12.1652</v>
      </c>
      <c r="Q344" s="21">
        <v>-1.4413499999999999E-2</v>
      </c>
      <c r="R344" s="21">
        <v>334</v>
      </c>
      <c r="S344" s="21">
        <v>1.5805100000000001</v>
      </c>
      <c r="T344">
        <f t="shared" si="62"/>
        <v>17.794444444444444</v>
      </c>
      <c r="U344">
        <f t="shared" si="63"/>
        <v>28.148675777777775</v>
      </c>
      <c r="X344" s="9"/>
      <c r="Y344" s="21">
        <v>0.118103</v>
      </c>
      <c r="Z344" s="21">
        <v>17.724699999999999</v>
      </c>
      <c r="AA344" s="21">
        <v>-1.6381799999999998E-2</v>
      </c>
      <c r="AB344" s="21">
        <v>334</v>
      </c>
      <c r="AC344" s="21">
        <v>0.117676</v>
      </c>
      <c r="AD344">
        <f t="shared" si="64"/>
        <v>20.22444444444444</v>
      </c>
      <c r="AE344">
        <f t="shared" si="65"/>
        <v>2.3885675622222218</v>
      </c>
      <c r="AF344" s="9"/>
      <c r="AG344" s="21">
        <v>1.58188</v>
      </c>
      <c r="AH344" s="21">
        <v>21.543900000000001</v>
      </c>
      <c r="AI344" s="21">
        <v>-1.4462300000000001E-2</v>
      </c>
      <c r="AJ344" s="21">
        <v>334</v>
      </c>
      <c r="AK344" s="21">
        <v>1.5805100000000001</v>
      </c>
      <c r="AL344">
        <f t="shared" si="66"/>
        <v>17.854691358024692</v>
      </c>
      <c r="AM344">
        <f t="shared" si="67"/>
        <v>28.243979165432098</v>
      </c>
      <c r="AP344" s="9"/>
      <c r="AQ344" s="21">
        <v>0.118103</v>
      </c>
      <c r="AR344" s="21">
        <v>27.061499999999999</v>
      </c>
      <c r="AS344" s="21">
        <v>-1.6397100000000001E-2</v>
      </c>
      <c r="AT344" s="21">
        <v>334</v>
      </c>
      <c r="AU344" s="21">
        <v>0.11743199999999999</v>
      </c>
      <c r="AV344">
        <f t="shared" si="68"/>
        <v>20.243333333333332</v>
      </c>
      <c r="AW344">
        <f t="shared" si="69"/>
        <v>2.3907983966666664</v>
      </c>
      <c r="AX344" s="9"/>
      <c r="AY344" s="21">
        <v>1.58188</v>
      </c>
      <c r="AZ344" s="21">
        <v>30.880600000000001</v>
      </c>
      <c r="BA344" s="21">
        <v>-1.4471400000000001E-2</v>
      </c>
      <c r="BB344" s="21">
        <v>334</v>
      </c>
      <c r="BC344" s="21">
        <v>1.5805100000000001</v>
      </c>
      <c r="BD344">
        <f t="shared" si="70"/>
        <v>17.865925925925925</v>
      </c>
      <c r="BE344">
        <f t="shared" si="71"/>
        <v>28.261750903703703</v>
      </c>
    </row>
    <row r="345" spans="6:57" x14ac:dyDescent="0.25">
      <c r="F345" s="9"/>
      <c r="G345" s="21">
        <v>0.113068</v>
      </c>
      <c r="H345" s="21">
        <v>8.3560999999999996</v>
      </c>
      <c r="I345" s="21">
        <v>-1.6311599999999999E-2</v>
      </c>
      <c r="J345" s="21">
        <v>335</v>
      </c>
      <c r="K345" s="21">
        <v>0.112274</v>
      </c>
      <c r="L345">
        <f t="shared" si="60"/>
        <v>20.137777777777774</v>
      </c>
      <c r="M345">
        <f t="shared" si="61"/>
        <v>2.2769382577777773</v>
      </c>
      <c r="N345" s="9"/>
      <c r="O345" s="21">
        <v>1.58691</v>
      </c>
      <c r="P345" s="21">
        <v>12.1753</v>
      </c>
      <c r="Q345" s="21">
        <v>-1.4389000000000001E-2</v>
      </c>
      <c r="R345" s="21">
        <v>335</v>
      </c>
      <c r="S345" s="21">
        <v>1.58569</v>
      </c>
      <c r="T345">
        <f t="shared" si="62"/>
        <v>17.764197530864198</v>
      </c>
      <c r="U345">
        <f t="shared" si="63"/>
        <v>28.190182703703705</v>
      </c>
      <c r="X345" s="9"/>
      <c r="Y345" s="21">
        <v>0.113068</v>
      </c>
      <c r="Z345" s="21">
        <v>17.7348</v>
      </c>
      <c r="AA345" s="21">
        <v>-1.63879E-2</v>
      </c>
      <c r="AB345" s="21">
        <v>335</v>
      </c>
      <c r="AC345" s="21">
        <v>0.112335</v>
      </c>
      <c r="AD345">
        <f t="shared" si="64"/>
        <v>20.231975308641974</v>
      </c>
      <c r="AE345">
        <f t="shared" si="65"/>
        <v>2.287588984197531</v>
      </c>
      <c r="AF345" s="9"/>
      <c r="AG345" s="21">
        <v>1.58691</v>
      </c>
      <c r="AH345" s="21">
        <v>21.553999999999998</v>
      </c>
      <c r="AI345" s="21">
        <v>-1.4434799999999999E-2</v>
      </c>
      <c r="AJ345" s="21">
        <v>335</v>
      </c>
      <c r="AK345" s="21">
        <v>1.5860000000000001</v>
      </c>
      <c r="AL345">
        <f t="shared" si="66"/>
        <v>17.820740740740739</v>
      </c>
      <c r="AM345">
        <f t="shared" si="67"/>
        <v>28.279911688888888</v>
      </c>
      <c r="AP345" s="9"/>
      <c r="AQ345" s="21">
        <v>0.113068</v>
      </c>
      <c r="AR345" s="21">
        <v>27.0715</v>
      </c>
      <c r="AS345" s="21">
        <v>-1.64032E-2</v>
      </c>
      <c r="AT345" s="21">
        <v>335</v>
      </c>
      <c r="AU345" s="21">
        <v>0.11251800000000001</v>
      </c>
      <c r="AV345">
        <f t="shared" si="68"/>
        <v>20.250864197530863</v>
      </c>
      <c r="AW345">
        <f t="shared" si="69"/>
        <v>2.2897247130864198</v>
      </c>
      <c r="AX345" s="9"/>
      <c r="AY345" s="21">
        <v>1.58691</v>
      </c>
      <c r="AZ345" s="21">
        <v>30.890699999999999</v>
      </c>
      <c r="BA345" s="21">
        <v>-1.44409E-2</v>
      </c>
      <c r="BB345" s="21">
        <v>335</v>
      </c>
      <c r="BC345" s="21">
        <v>1.5863</v>
      </c>
      <c r="BD345">
        <f t="shared" si="70"/>
        <v>17.828271604938269</v>
      </c>
      <c r="BE345">
        <f t="shared" si="71"/>
        <v>28.291862492592589</v>
      </c>
    </row>
    <row r="346" spans="6:57" x14ac:dyDescent="0.25">
      <c r="F346" s="9"/>
      <c r="G346" s="21">
        <v>0.108032</v>
      </c>
      <c r="H346" s="21">
        <v>8.3661799999999999</v>
      </c>
      <c r="I346" s="21">
        <v>-1.6317700000000001E-2</v>
      </c>
      <c r="J346" s="21">
        <v>336</v>
      </c>
      <c r="K346" s="21">
        <v>0.107178</v>
      </c>
      <c r="L346">
        <f t="shared" si="60"/>
        <v>20.145308641975308</v>
      </c>
      <c r="M346">
        <f t="shared" si="61"/>
        <v>2.1763379832098764</v>
      </c>
      <c r="N346" s="9"/>
      <c r="O346" s="21">
        <v>1.59195</v>
      </c>
      <c r="P346" s="21">
        <v>12.1854</v>
      </c>
      <c r="Q346" s="21">
        <v>-1.43585E-2</v>
      </c>
      <c r="R346" s="21">
        <v>336</v>
      </c>
      <c r="S346" s="21">
        <v>1.5902700000000001</v>
      </c>
      <c r="T346">
        <f t="shared" si="62"/>
        <v>17.726543209876542</v>
      </c>
      <c r="U346">
        <f t="shared" si="63"/>
        <v>28.219770462962963</v>
      </c>
      <c r="X346" s="9"/>
      <c r="Y346" s="21">
        <v>0.108032</v>
      </c>
      <c r="Z346" s="21">
        <v>17.744900000000001</v>
      </c>
      <c r="AA346" s="21">
        <v>-1.6393999999999999E-2</v>
      </c>
      <c r="AB346" s="21">
        <v>336</v>
      </c>
      <c r="AC346" s="21">
        <v>0.10745200000000001</v>
      </c>
      <c r="AD346">
        <f t="shared" si="64"/>
        <v>20.239506172839505</v>
      </c>
      <c r="AE346">
        <f t="shared" si="65"/>
        <v>2.1865143308641977</v>
      </c>
      <c r="AF346" s="9"/>
      <c r="AG346" s="21">
        <v>1.59195</v>
      </c>
      <c r="AH346" s="21">
        <v>21.5641</v>
      </c>
      <c r="AI346" s="21">
        <v>-1.44073E-2</v>
      </c>
      <c r="AJ346" s="21">
        <v>336</v>
      </c>
      <c r="AK346" s="21">
        <v>1.5905800000000001</v>
      </c>
      <c r="AL346">
        <f t="shared" si="66"/>
        <v>17.78679012345679</v>
      </c>
      <c r="AM346">
        <f t="shared" si="67"/>
        <v>28.315680537037036</v>
      </c>
      <c r="AP346" s="9"/>
      <c r="AQ346" s="21">
        <v>0.108032</v>
      </c>
      <c r="AR346" s="21">
        <v>27.081600000000002</v>
      </c>
      <c r="AS346" s="21">
        <v>-1.6409300000000002E-2</v>
      </c>
      <c r="AT346" s="21">
        <v>336</v>
      </c>
      <c r="AU346" s="21">
        <v>0.107513</v>
      </c>
      <c r="AV346">
        <f t="shared" si="68"/>
        <v>20.258395061728397</v>
      </c>
      <c r="AW346">
        <f t="shared" si="69"/>
        <v>2.1885549353086424</v>
      </c>
      <c r="AX346" s="9"/>
      <c r="AY346" s="21">
        <v>1.59195</v>
      </c>
      <c r="AZ346" s="21">
        <v>30.9008</v>
      </c>
      <c r="BA346" s="21">
        <v>-1.44104E-2</v>
      </c>
      <c r="BB346" s="21">
        <v>336</v>
      </c>
      <c r="BC346" s="21">
        <v>1.5911900000000001</v>
      </c>
      <c r="BD346">
        <f t="shared" si="70"/>
        <v>17.790617283950617</v>
      </c>
      <c r="BE346">
        <f t="shared" si="71"/>
        <v>28.321773185185183</v>
      </c>
    </row>
    <row r="347" spans="6:57" x14ac:dyDescent="0.25">
      <c r="F347" s="9"/>
      <c r="G347" s="21">
        <v>0.10299700000000001</v>
      </c>
      <c r="H347" s="21">
        <v>8.3762500000000006</v>
      </c>
      <c r="I347" s="21">
        <v>-1.6326899999999998E-2</v>
      </c>
      <c r="J347" s="21">
        <v>337</v>
      </c>
      <c r="K347" s="21">
        <v>0.10241699999999999</v>
      </c>
      <c r="L347">
        <f t="shared" si="60"/>
        <v>20.156666666666663</v>
      </c>
      <c r="M347">
        <f t="shared" si="61"/>
        <v>2.0760761966666665</v>
      </c>
      <c r="N347" s="9"/>
      <c r="O347" s="21">
        <v>1.5969800000000001</v>
      </c>
      <c r="P347" s="21">
        <v>12.195399999999999</v>
      </c>
      <c r="Q347" s="21">
        <v>-1.4328E-2</v>
      </c>
      <c r="R347" s="21">
        <v>337</v>
      </c>
      <c r="S347" s="21">
        <v>1.5957600000000001</v>
      </c>
      <c r="T347">
        <f t="shared" si="62"/>
        <v>17.68888888888889</v>
      </c>
      <c r="U347">
        <f t="shared" si="63"/>
        <v>28.248801777777782</v>
      </c>
      <c r="X347" s="9"/>
      <c r="Y347" s="21">
        <v>0.10299700000000001</v>
      </c>
      <c r="Z347" s="21">
        <v>17.754899999999999</v>
      </c>
      <c r="AA347" s="21">
        <v>-1.6400100000000001E-2</v>
      </c>
      <c r="AB347" s="21">
        <v>337</v>
      </c>
      <c r="AC347" s="21">
        <v>0.102356</v>
      </c>
      <c r="AD347">
        <f t="shared" si="64"/>
        <v>20.247037037037035</v>
      </c>
      <c r="AE347">
        <f t="shared" si="65"/>
        <v>2.0853840737037035</v>
      </c>
      <c r="AF347" s="9"/>
      <c r="AG347" s="21">
        <v>1.5969800000000001</v>
      </c>
      <c r="AH347" s="21">
        <v>21.574100000000001</v>
      </c>
      <c r="AI347" s="21">
        <v>-1.43707E-2</v>
      </c>
      <c r="AJ347" s="21">
        <v>337</v>
      </c>
      <c r="AK347" s="21">
        <v>1.5960700000000001</v>
      </c>
      <c r="AL347">
        <f t="shared" si="66"/>
        <v>17.741604938271603</v>
      </c>
      <c r="AM347">
        <f t="shared" si="67"/>
        <v>28.332988254320988</v>
      </c>
      <c r="AP347" s="9"/>
      <c r="AQ347" s="21">
        <v>0.10299700000000001</v>
      </c>
      <c r="AR347" s="21">
        <v>27.091699999999999</v>
      </c>
      <c r="AS347" s="21">
        <v>-1.6418499999999999E-2</v>
      </c>
      <c r="AT347" s="21">
        <v>337</v>
      </c>
      <c r="AU347" s="21">
        <v>0.102661</v>
      </c>
      <c r="AV347">
        <f t="shared" si="68"/>
        <v>20.269753086419751</v>
      </c>
      <c r="AW347">
        <f t="shared" si="69"/>
        <v>2.087723758641975</v>
      </c>
      <c r="AX347" s="9"/>
      <c r="AY347" s="21">
        <v>1.5969800000000001</v>
      </c>
      <c r="AZ347" s="21">
        <v>30.910900000000002</v>
      </c>
      <c r="BA347" s="21">
        <v>-1.4373800000000001E-2</v>
      </c>
      <c r="BB347" s="21">
        <v>337</v>
      </c>
      <c r="BC347" s="21">
        <v>1.5957600000000001</v>
      </c>
      <c r="BD347">
        <f t="shared" si="70"/>
        <v>17.745432098765431</v>
      </c>
      <c r="BE347">
        <f t="shared" si="71"/>
        <v>28.33910015308642</v>
      </c>
    </row>
    <row r="348" spans="6:57" x14ac:dyDescent="0.25">
      <c r="F348" s="9"/>
      <c r="G348" s="21">
        <v>9.7961400000000004E-2</v>
      </c>
      <c r="H348" s="21">
        <v>8.3863199999999996</v>
      </c>
      <c r="I348" s="21">
        <v>-1.6333E-2</v>
      </c>
      <c r="J348" s="21">
        <v>338</v>
      </c>
      <c r="K348" s="21">
        <v>9.7473099999999993E-2</v>
      </c>
      <c r="L348">
        <f t="shared" si="60"/>
        <v>20.164197530864197</v>
      </c>
      <c r="M348">
        <f t="shared" si="61"/>
        <v>1.97531302</v>
      </c>
      <c r="N348" s="9"/>
      <c r="O348" s="21">
        <v>1.60202</v>
      </c>
      <c r="P348" s="21">
        <v>12.205500000000001</v>
      </c>
      <c r="Q348" s="21">
        <v>-1.4294400000000001E-2</v>
      </c>
      <c r="R348" s="21">
        <v>338</v>
      </c>
      <c r="S348" s="21">
        <v>1.6012599999999999</v>
      </c>
      <c r="T348">
        <f t="shared" si="62"/>
        <v>17.647407407407407</v>
      </c>
      <c r="U348">
        <f t="shared" si="63"/>
        <v>28.271499614814815</v>
      </c>
      <c r="X348" s="9"/>
      <c r="Y348" s="21">
        <v>9.7961400000000004E-2</v>
      </c>
      <c r="Z348" s="21">
        <v>17.765000000000001</v>
      </c>
      <c r="AA348" s="21">
        <v>-1.6406299999999999E-2</v>
      </c>
      <c r="AB348" s="21">
        <v>338</v>
      </c>
      <c r="AC348" s="21">
        <v>9.7198499999999993E-2</v>
      </c>
      <c r="AD348">
        <f t="shared" si="64"/>
        <v>20.254691358024687</v>
      </c>
      <c r="AE348">
        <f t="shared" si="65"/>
        <v>1.9841779219999995</v>
      </c>
      <c r="AF348" s="9"/>
      <c r="AG348" s="21">
        <v>1.60202</v>
      </c>
      <c r="AH348" s="21">
        <v>21.584199999999999</v>
      </c>
      <c r="AI348" s="21">
        <v>-1.4334100000000001E-2</v>
      </c>
      <c r="AJ348" s="21">
        <v>338</v>
      </c>
      <c r="AK348" s="21">
        <v>1.6009500000000001</v>
      </c>
      <c r="AL348">
        <f t="shared" si="66"/>
        <v>17.69641975308642</v>
      </c>
      <c r="AM348">
        <f t="shared" si="67"/>
        <v>28.350018372839507</v>
      </c>
      <c r="AP348" s="9"/>
      <c r="AQ348" s="21">
        <v>9.7961400000000004E-2</v>
      </c>
      <c r="AR348" s="21">
        <v>27.101700000000001</v>
      </c>
      <c r="AS348" s="21">
        <v>-1.6424600000000001E-2</v>
      </c>
      <c r="AT348" s="21">
        <v>338</v>
      </c>
      <c r="AU348" s="21">
        <v>9.7839400000000007E-2</v>
      </c>
      <c r="AV348">
        <f t="shared" si="68"/>
        <v>20.277283950617282</v>
      </c>
      <c r="AW348">
        <f t="shared" si="69"/>
        <v>1.9863911239999998</v>
      </c>
      <c r="AX348" s="9"/>
      <c r="AY348" s="21">
        <v>1.60202</v>
      </c>
      <c r="AZ348" s="21">
        <v>30.9209</v>
      </c>
      <c r="BA348" s="21">
        <v>-1.43372E-2</v>
      </c>
      <c r="BB348" s="21">
        <v>338</v>
      </c>
      <c r="BC348" s="21">
        <v>1.6015600000000001</v>
      </c>
      <c r="BD348">
        <f t="shared" si="70"/>
        <v>17.700246913580244</v>
      </c>
      <c r="BE348">
        <f t="shared" si="71"/>
        <v>28.356149560493822</v>
      </c>
    </row>
    <row r="349" spans="6:57" x14ac:dyDescent="0.25">
      <c r="F349" s="9"/>
      <c r="G349" s="21">
        <v>9.2925999999999995E-2</v>
      </c>
      <c r="H349" s="21">
        <v>8.3963900000000002</v>
      </c>
      <c r="I349" s="21">
        <v>-1.6339099999999999E-2</v>
      </c>
      <c r="J349" s="21">
        <v>339</v>
      </c>
      <c r="K349" s="21">
        <v>9.2193600000000001E-2</v>
      </c>
      <c r="L349">
        <f t="shared" si="60"/>
        <v>20.171728395061727</v>
      </c>
      <c r="M349">
        <f t="shared" si="61"/>
        <v>1.8744780328395059</v>
      </c>
      <c r="N349" s="9"/>
      <c r="O349" s="21">
        <v>1.6070599999999999</v>
      </c>
      <c r="P349" s="21">
        <v>12.2156</v>
      </c>
      <c r="Q349" s="21">
        <v>-1.4257799999999999E-2</v>
      </c>
      <c r="R349" s="21">
        <v>339</v>
      </c>
      <c r="S349" s="21">
        <v>1.6061399999999999</v>
      </c>
      <c r="T349">
        <f t="shared" si="62"/>
        <v>17.60222222222222</v>
      </c>
      <c r="U349">
        <f t="shared" si="63"/>
        <v>28.28782724444444</v>
      </c>
      <c r="X349" s="9"/>
      <c r="Y349" s="21">
        <v>9.2925999999999995E-2</v>
      </c>
      <c r="Z349" s="21">
        <v>17.775099999999998</v>
      </c>
      <c r="AA349" s="21">
        <v>-1.64154E-2</v>
      </c>
      <c r="AB349" s="21">
        <v>339</v>
      </c>
      <c r="AC349" s="21">
        <v>9.2346200000000003E-2</v>
      </c>
      <c r="AD349">
        <f t="shared" si="64"/>
        <v>20.265925925925924</v>
      </c>
      <c r="AE349">
        <f t="shared" si="65"/>
        <v>1.8832314325925923</v>
      </c>
      <c r="AF349" s="9"/>
      <c r="AG349" s="21">
        <v>1.6070599999999999</v>
      </c>
      <c r="AH349" s="21">
        <v>21.5943</v>
      </c>
      <c r="AI349" s="21">
        <v>-1.4297499999999999E-2</v>
      </c>
      <c r="AJ349" s="21">
        <v>339</v>
      </c>
      <c r="AK349" s="21">
        <v>1.6061399999999999</v>
      </c>
      <c r="AL349">
        <f t="shared" si="66"/>
        <v>17.651234567901231</v>
      </c>
      <c r="AM349">
        <f t="shared" si="67"/>
        <v>28.366593024691351</v>
      </c>
      <c r="AP349" s="9"/>
      <c r="AQ349" s="21">
        <v>9.2925999999999995E-2</v>
      </c>
      <c r="AR349" s="21">
        <v>27.111799999999999</v>
      </c>
      <c r="AS349" s="21">
        <v>-1.6433699999999999E-2</v>
      </c>
      <c r="AT349" s="21">
        <v>339</v>
      </c>
      <c r="AU349" s="21">
        <v>9.2529299999999995E-2</v>
      </c>
      <c r="AV349">
        <f t="shared" si="68"/>
        <v>20.288518518518515</v>
      </c>
      <c r="AW349">
        <f t="shared" si="69"/>
        <v>1.8853308718518513</v>
      </c>
      <c r="AX349" s="9"/>
      <c r="AY349" s="21">
        <v>1.6070599999999999</v>
      </c>
      <c r="AZ349" s="21">
        <v>30.931000000000001</v>
      </c>
      <c r="BA349" s="21">
        <v>-1.4297499999999999E-2</v>
      </c>
      <c r="BB349" s="21">
        <v>339</v>
      </c>
      <c r="BC349" s="21">
        <v>1.6064499999999999</v>
      </c>
      <c r="BD349">
        <f t="shared" si="70"/>
        <v>17.651234567901231</v>
      </c>
      <c r="BE349">
        <f t="shared" si="71"/>
        <v>28.366593024691351</v>
      </c>
    </row>
    <row r="350" spans="6:57" x14ac:dyDescent="0.25">
      <c r="F350" s="9"/>
      <c r="G350" s="21">
        <v>8.7890599999999999E-2</v>
      </c>
      <c r="H350" s="21">
        <v>8.4064599999999992</v>
      </c>
      <c r="I350" s="21">
        <v>-1.63483E-2</v>
      </c>
      <c r="J350" s="21">
        <v>340</v>
      </c>
      <c r="K350" s="21">
        <v>8.7432899999999994E-2</v>
      </c>
      <c r="L350">
        <f t="shared" si="60"/>
        <v>20.183086419753085</v>
      </c>
      <c r="M350">
        <f t="shared" si="61"/>
        <v>1.7739035752839505</v>
      </c>
      <c r="N350" s="9"/>
      <c r="O350" s="21">
        <v>1.61209</v>
      </c>
      <c r="P350" s="21">
        <v>12.2257</v>
      </c>
      <c r="Q350" s="21">
        <v>-1.4218099999999999E-2</v>
      </c>
      <c r="R350" s="21">
        <v>340</v>
      </c>
      <c r="S350" s="21">
        <v>1.6110199999999999</v>
      </c>
      <c r="T350">
        <f t="shared" si="62"/>
        <v>17.553209876543207</v>
      </c>
      <c r="U350">
        <f t="shared" si="63"/>
        <v>28.29735410987654</v>
      </c>
      <c r="X350" s="9"/>
      <c r="Y350" s="21">
        <v>8.7890599999999999E-2</v>
      </c>
      <c r="Z350" s="21">
        <v>17.7852</v>
      </c>
      <c r="AA350" s="21">
        <v>-1.6424600000000001E-2</v>
      </c>
      <c r="AB350" s="21">
        <v>340</v>
      </c>
      <c r="AC350" s="21">
        <v>8.7463399999999997E-2</v>
      </c>
      <c r="AD350">
        <f t="shared" si="64"/>
        <v>20.277283950617282</v>
      </c>
      <c r="AE350">
        <f t="shared" si="65"/>
        <v>1.7821826527901232</v>
      </c>
      <c r="AF350" s="9"/>
      <c r="AG350" s="21">
        <v>1.61209</v>
      </c>
      <c r="AH350" s="21">
        <v>21.604299999999999</v>
      </c>
      <c r="AI350" s="21">
        <v>-1.42548E-2</v>
      </c>
      <c r="AJ350" s="21">
        <v>340</v>
      </c>
      <c r="AK350" s="21">
        <v>1.6113299999999999</v>
      </c>
      <c r="AL350">
        <f t="shared" si="66"/>
        <v>17.598518518518517</v>
      </c>
      <c r="AM350">
        <f t="shared" si="67"/>
        <v>28.370395718518516</v>
      </c>
      <c r="AP350" s="9"/>
      <c r="AQ350" s="21">
        <v>8.7890599999999999E-2</v>
      </c>
      <c r="AR350" s="21">
        <v>27.1219</v>
      </c>
      <c r="AS350" s="21">
        <v>-1.64429E-2</v>
      </c>
      <c r="AT350" s="21">
        <v>340</v>
      </c>
      <c r="AU350" s="21">
        <v>8.7371799999999999E-2</v>
      </c>
      <c r="AV350">
        <f t="shared" si="68"/>
        <v>20.299876543209873</v>
      </c>
      <c r="AW350">
        <f t="shared" si="69"/>
        <v>1.7841683293086417</v>
      </c>
      <c r="AX350" s="9"/>
      <c r="AY350" s="21">
        <v>1.61209</v>
      </c>
      <c r="AZ350" s="21">
        <v>30.941099999999999</v>
      </c>
      <c r="BA350" s="21">
        <v>-1.4251700000000001E-2</v>
      </c>
      <c r="BB350" s="21">
        <v>340</v>
      </c>
      <c r="BC350" s="21">
        <v>1.6110199999999999</v>
      </c>
      <c r="BD350">
        <f t="shared" si="70"/>
        <v>17.594691358024694</v>
      </c>
      <c r="BE350">
        <f t="shared" si="71"/>
        <v>28.36422599135803</v>
      </c>
    </row>
    <row r="351" spans="6:57" x14ac:dyDescent="0.25">
      <c r="F351" s="9"/>
      <c r="G351" s="21">
        <v>8.2855200000000004E-2</v>
      </c>
      <c r="H351" s="21">
        <v>8.4165299999999998</v>
      </c>
      <c r="I351" s="21">
        <v>-1.6354400000000002E-2</v>
      </c>
      <c r="J351" s="21">
        <v>341</v>
      </c>
      <c r="K351" s="21">
        <v>8.2336400000000004E-2</v>
      </c>
      <c r="L351">
        <f t="shared" si="60"/>
        <v>20.190617283950619</v>
      </c>
      <c r="M351">
        <f t="shared" si="61"/>
        <v>1.6728976331851855</v>
      </c>
      <c r="N351" s="9"/>
      <c r="O351" s="21">
        <v>1.61713</v>
      </c>
      <c r="P351" s="21">
        <v>12.2357</v>
      </c>
      <c r="Q351" s="21">
        <v>-1.41724E-2</v>
      </c>
      <c r="R351" s="21">
        <v>341</v>
      </c>
      <c r="S351" s="21">
        <v>1.6162099999999999</v>
      </c>
      <c r="T351">
        <f t="shared" si="62"/>
        <v>17.496790123456787</v>
      </c>
      <c r="U351">
        <f t="shared" si="63"/>
        <v>28.294584212345672</v>
      </c>
      <c r="X351" s="9"/>
      <c r="Y351" s="21">
        <v>8.2855200000000004E-2</v>
      </c>
      <c r="Z351" s="21">
        <v>17.795200000000001</v>
      </c>
      <c r="AA351" s="21">
        <v>-1.6430699999999999E-2</v>
      </c>
      <c r="AB351" s="21">
        <v>341</v>
      </c>
      <c r="AC351" s="21">
        <v>8.2275399999999999E-2</v>
      </c>
      <c r="AD351">
        <f t="shared" si="64"/>
        <v>20.284814814814816</v>
      </c>
      <c r="AE351">
        <f t="shared" si="65"/>
        <v>1.6807023884444445</v>
      </c>
      <c r="AF351" s="9"/>
      <c r="AG351" s="21">
        <v>1.61713</v>
      </c>
      <c r="AH351" s="21">
        <v>21.6144</v>
      </c>
      <c r="AI351" s="21">
        <v>-1.4208999999999999E-2</v>
      </c>
      <c r="AJ351" s="21">
        <v>341</v>
      </c>
      <c r="AK351" s="21">
        <v>1.61591</v>
      </c>
      <c r="AL351">
        <f t="shared" si="66"/>
        <v>17.541975308641973</v>
      </c>
      <c r="AM351">
        <f t="shared" si="67"/>
        <v>28.367654530864193</v>
      </c>
      <c r="AP351" s="9"/>
      <c r="AQ351" s="21">
        <v>8.2855200000000004E-2</v>
      </c>
      <c r="AR351" s="21">
        <v>27.132000000000001</v>
      </c>
      <c r="AS351" s="21">
        <v>-1.6452000000000001E-2</v>
      </c>
      <c r="AT351" s="21">
        <v>341</v>
      </c>
      <c r="AU351" s="21">
        <v>8.2366900000000007E-2</v>
      </c>
      <c r="AV351">
        <f t="shared" si="68"/>
        <v>20.311111111111114</v>
      </c>
      <c r="AW351">
        <f t="shared" si="69"/>
        <v>1.6828811733333335</v>
      </c>
      <c r="AX351" s="9"/>
      <c r="AY351" s="21">
        <v>1.61713</v>
      </c>
      <c r="AZ351" s="21">
        <v>30.9511</v>
      </c>
      <c r="BA351" s="21">
        <v>-1.4202899999999999E-2</v>
      </c>
      <c r="BB351" s="21">
        <v>341</v>
      </c>
      <c r="BC351" s="21">
        <v>1.61591</v>
      </c>
      <c r="BD351">
        <f t="shared" si="70"/>
        <v>17.534444444444443</v>
      </c>
      <c r="BE351">
        <f t="shared" si="71"/>
        <v>28.355476144444442</v>
      </c>
    </row>
    <row r="352" spans="6:57" x14ac:dyDescent="0.25">
      <c r="F352" s="9"/>
      <c r="G352" s="21">
        <v>7.7819799999999995E-2</v>
      </c>
      <c r="H352" s="21">
        <v>8.4266000000000005</v>
      </c>
      <c r="I352" s="21">
        <v>-1.63635E-2</v>
      </c>
      <c r="J352" s="21">
        <v>342</v>
      </c>
      <c r="K352" s="21">
        <v>7.7178999999999998E-2</v>
      </c>
      <c r="L352">
        <f t="shared" si="60"/>
        <v>20.201851851851849</v>
      </c>
      <c r="M352">
        <f t="shared" si="61"/>
        <v>1.5721040707407403</v>
      </c>
      <c r="N352" s="9"/>
      <c r="O352" s="21">
        <v>1.62216</v>
      </c>
      <c r="P352" s="21">
        <v>12.245799999999999</v>
      </c>
      <c r="Q352" s="21">
        <v>-1.41266E-2</v>
      </c>
      <c r="R352" s="21">
        <v>342</v>
      </c>
      <c r="S352" s="21">
        <v>1.62079</v>
      </c>
      <c r="T352">
        <f t="shared" si="62"/>
        <v>17.440246913580246</v>
      </c>
      <c r="U352">
        <f t="shared" si="63"/>
        <v>28.290870933333334</v>
      </c>
      <c r="X352" s="9"/>
      <c r="Y352" s="21">
        <v>7.7819799999999995E-2</v>
      </c>
      <c r="Z352" s="21">
        <v>17.805299999999999</v>
      </c>
      <c r="AA352" s="21">
        <v>-1.6436800000000001E-2</v>
      </c>
      <c r="AB352" s="21">
        <v>342</v>
      </c>
      <c r="AC352" s="21">
        <v>7.7453599999999997E-2</v>
      </c>
      <c r="AD352">
        <f t="shared" si="64"/>
        <v>20.292345679012346</v>
      </c>
      <c r="AE352">
        <f t="shared" si="65"/>
        <v>1.5791462822716049</v>
      </c>
      <c r="AF352" s="9"/>
      <c r="AG352" s="21">
        <v>1.62216</v>
      </c>
      <c r="AH352" s="21">
        <v>21.624500000000001</v>
      </c>
      <c r="AI352" s="21">
        <v>-1.41602E-2</v>
      </c>
      <c r="AJ352" s="21">
        <v>342</v>
      </c>
      <c r="AK352" s="21">
        <v>1.62079</v>
      </c>
      <c r="AL352">
        <f t="shared" si="66"/>
        <v>17.481728395061729</v>
      </c>
      <c r="AM352">
        <f t="shared" si="67"/>
        <v>28.358160533333336</v>
      </c>
      <c r="AP352" s="9"/>
      <c r="AQ352" s="21">
        <v>7.7819799999999995E-2</v>
      </c>
      <c r="AR352" s="21">
        <v>27.141999999999999</v>
      </c>
      <c r="AS352" s="21">
        <v>-1.64551E-2</v>
      </c>
      <c r="AT352" s="21">
        <v>342</v>
      </c>
      <c r="AU352" s="21">
        <v>7.7362100000000003E-2</v>
      </c>
      <c r="AV352">
        <f t="shared" si="68"/>
        <v>20.314938271604937</v>
      </c>
      <c r="AW352">
        <f t="shared" si="69"/>
        <v>1.5809044333086417</v>
      </c>
      <c r="AX352" s="9"/>
      <c r="AY352" s="21">
        <v>1.62216</v>
      </c>
      <c r="AZ352" s="21">
        <v>30.961200000000002</v>
      </c>
      <c r="BA352" s="21">
        <v>-1.4151E-2</v>
      </c>
      <c r="BB352" s="21">
        <v>342</v>
      </c>
      <c r="BC352" s="21">
        <v>1.6216999999999999</v>
      </c>
      <c r="BD352">
        <f t="shared" si="70"/>
        <v>17.470370370370368</v>
      </c>
      <c r="BE352">
        <f t="shared" si="71"/>
        <v>28.339735999999998</v>
      </c>
    </row>
    <row r="353" spans="6:57" x14ac:dyDescent="0.25">
      <c r="F353" s="9"/>
      <c r="G353" s="21">
        <v>7.2784399999999999E-2</v>
      </c>
      <c r="H353" s="21">
        <v>8.4366699999999994</v>
      </c>
      <c r="I353" s="21">
        <v>-1.6369600000000002E-2</v>
      </c>
      <c r="J353" s="21">
        <v>343</v>
      </c>
      <c r="K353" s="21">
        <v>7.2326699999999994E-2</v>
      </c>
      <c r="L353">
        <f t="shared" si="60"/>
        <v>20.209382716049383</v>
      </c>
      <c r="M353">
        <f t="shared" si="61"/>
        <v>1.4709277953580246</v>
      </c>
      <c r="N353" s="9"/>
      <c r="O353" s="21">
        <v>1.6272</v>
      </c>
      <c r="P353" s="21">
        <v>12.2559</v>
      </c>
      <c r="Q353" s="21">
        <v>-1.4074700000000001E-2</v>
      </c>
      <c r="R353" s="21">
        <v>343</v>
      </c>
      <c r="S353" s="21">
        <v>1.6262799999999999</v>
      </c>
      <c r="T353">
        <f t="shared" si="62"/>
        <v>17.376172839506172</v>
      </c>
      <c r="U353">
        <f t="shared" si="63"/>
        <v>28.274508444444443</v>
      </c>
      <c r="X353" s="9"/>
      <c r="Y353" s="21">
        <v>7.2784399999999999E-2</v>
      </c>
      <c r="Z353" s="21">
        <v>17.8154</v>
      </c>
      <c r="AA353" s="21">
        <v>-1.6445899999999999E-2</v>
      </c>
      <c r="AB353" s="21">
        <v>343</v>
      </c>
      <c r="AC353" s="21">
        <v>7.2265599999999999E-2</v>
      </c>
      <c r="AD353">
        <f t="shared" si="64"/>
        <v>20.30358024691358</v>
      </c>
      <c r="AE353">
        <f t="shared" si="65"/>
        <v>1.4777839061234568</v>
      </c>
      <c r="AF353" s="9"/>
      <c r="AG353" s="21">
        <v>1.6272</v>
      </c>
      <c r="AH353" s="21">
        <v>21.634599999999999</v>
      </c>
      <c r="AI353" s="21">
        <v>-1.4108300000000001E-2</v>
      </c>
      <c r="AJ353" s="21">
        <v>343</v>
      </c>
      <c r="AK353" s="21">
        <v>1.62598</v>
      </c>
      <c r="AL353">
        <f t="shared" si="66"/>
        <v>17.417654320987655</v>
      </c>
      <c r="AM353">
        <f t="shared" si="67"/>
        <v>28.342007111111112</v>
      </c>
      <c r="AP353" s="9"/>
      <c r="AQ353" s="21">
        <v>7.2784399999999999E-2</v>
      </c>
      <c r="AR353" s="21">
        <v>27.152100000000001</v>
      </c>
      <c r="AS353" s="21">
        <v>-1.6464199999999998E-2</v>
      </c>
      <c r="AT353" s="21">
        <v>343</v>
      </c>
      <c r="AU353" s="21">
        <v>7.1990999999999999E-2</v>
      </c>
      <c r="AV353">
        <f t="shared" si="68"/>
        <v>20.326172839506171</v>
      </c>
      <c r="AW353">
        <f t="shared" si="69"/>
        <v>1.479428294419753</v>
      </c>
      <c r="AX353" s="9"/>
      <c r="AY353" s="21">
        <v>1.6272</v>
      </c>
      <c r="AZ353" s="21">
        <v>30.971299999999999</v>
      </c>
      <c r="BA353" s="21">
        <v>-1.40961E-2</v>
      </c>
      <c r="BB353" s="21">
        <v>343</v>
      </c>
      <c r="BC353" s="21">
        <v>1.6262799999999999</v>
      </c>
      <c r="BD353">
        <f t="shared" si="70"/>
        <v>17.40259259259259</v>
      </c>
      <c r="BE353">
        <f t="shared" si="71"/>
        <v>28.317498666666662</v>
      </c>
    </row>
    <row r="354" spans="6:57" x14ac:dyDescent="0.25">
      <c r="F354" s="9"/>
      <c r="G354" s="21">
        <v>6.7749000000000004E-2</v>
      </c>
      <c r="H354" s="21">
        <v>8.4467400000000001</v>
      </c>
      <c r="I354" s="21">
        <v>-1.6378799999999999E-2</v>
      </c>
      <c r="J354" s="21">
        <v>344</v>
      </c>
      <c r="K354" s="21">
        <v>6.7230200000000004E-2</v>
      </c>
      <c r="L354">
        <f t="shared" si="60"/>
        <v>20.220740740740737</v>
      </c>
      <c r="M354">
        <f t="shared" si="61"/>
        <v>1.3699349644444443</v>
      </c>
      <c r="N354" s="9"/>
      <c r="O354" s="21">
        <v>1.6322300000000001</v>
      </c>
      <c r="P354" s="21">
        <v>12.2659</v>
      </c>
      <c r="Q354" s="21">
        <v>-1.4019800000000001E-2</v>
      </c>
      <c r="R354" s="21">
        <v>344</v>
      </c>
      <c r="S354" s="21">
        <v>1.63147</v>
      </c>
      <c r="T354">
        <f t="shared" si="62"/>
        <v>17.308395061728394</v>
      </c>
      <c r="U354">
        <f t="shared" si="63"/>
        <v>28.251281671604939</v>
      </c>
      <c r="X354" s="9"/>
      <c r="Y354" s="21">
        <v>6.7749000000000004E-2</v>
      </c>
      <c r="Z354" s="21">
        <v>17.825399999999998</v>
      </c>
      <c r="AA354" s="21">
        <v>-1.6452000000000001E-2</v>
      </c>
      <c r="AB354" s="21">
        <v>344</v>
      </c>
      <c r="AC354" s="21">
        <v>6.7291299999999998E-2</v>
      </c>
      <c r="AD354">
        <f t="shared" si="64"/>
        <v>20.311111111111114</v>
      </c>
      <c r="AE354">
        <f t="shared" si="65"/>
        <v>1.376057466666667</v>
      </c>
      <c r="AF354" s="9"/>
      <c r="AG354" s="21">
        <v>1.6322300000000001</v>
      </c>
      <c r="AH354" s="21">
        <v>21.644600000000001</v>
      </c>
      <c r="AI354" s="21">
        <v>-1.40503E-2</v>
      </c>
      <c r="AJ354" s="21">
        <v>344</v>
      </c>
      <c r="AK354" s="21">
        <v>1.63086</v>
      </c>
      <c r="AL354">
        <f t="shared" si="66"/>
        <v>17.34604938271605</v>
      </c>
      <c r="AM354">
        <f t="shared" si="67"/>
        <v>28.312742183950618</v>
      </c>
      <c r="AP354" s="9"/>
      <c r="AQ354" s="21">
        <v>6.7749000000000004E-2</v>
      </c>
      <c r="AR354" s="21">
        <v>27.162199999999999</v>
      </c>
      <c r="AS354" s="21">
        <v>-1.64703E-2</v>
      </c>
      <c r="AT354" s="21">
        <v>344</v>
      </c>
      <c r="AU354" s="21">
        <v>6.7260700000000007E-2</v>
      </c>
      <c r="AV354">
        <f t="shared" si="68"/>
        <v>20.333703703703701</v>
      </c>
      <c r="AW354">
        <f t="shared" si="69"/>
        <v>1.3775880922222221</v>
      </c>
      <c r="AX354" s="9"/>
      <c r="AY354" s="21">
        <v>1.6322300000000001</v>
      </c>
      <c r="AZ354" s="21">
        <v>30.981400000000001</v>
      </c>
      <c r="BA354" s="21">
        <v>-1.4035000000000001E-2</v>
      </c>
      <c r="BB354" s="21">
        <v>344</v>
      </c>
      <c r="BC354" s="21">
        <v>1.63147</v>
      </c>
      <c r="BD354">
        <f t="shared" si="70"/>
        <v>17.327160493827162</v>
      </c>
      <c r="BE354">
        <f t="shared" si="71"/>
        <v>28.281911172839511</v>
      </c>
    </row>
    <row r="355" spans="6:57" x14ac:dyDescent="0.25">
      <c r="F355" s="9"/>
      <c r="G355" s="21">
        <v>6.2713599999999994E-2</v>
      </c>
      <c r="H355" s="21">
        <v>8.4568100000000008</v>
      </c>
      <c r="I355" s="21">
        <v>-1.6384900000000001E-2</v>
      </c>
      <c r="J355" s="21">
        <v>345</v>
      </c>
      <c r="K355" s="21">
        <v>6.23779E-2</v>
      </c>
      <c r="L355">
        <f t="shared" si="60"/>
        <v>20.228271604938271</v>
      </c>
      <c r="M355">
        <f t="shared" si="61"/>
        <v>1.2685877341234566</v>
      </c>
      <c r="N355" s="9"/>
      <c r="O355" s="21">
        <v>1.63727</v>
      </c>
      <c r="P355" s="21">
        <v>12.276</v>
      </c>
      <c r="Q355" s="21">
        <v>-1.39618E-2</v>
      </c>
      <c r="R355" s="21">
        <v>345</v>
      </c>
      <c r="S355" s="21">
        <v>1.63605</v>
      </c>
      <c r="T355">
        <f t="shared" si="62"/>
        <v>17.236790123456789</v>
      </c>
      <c r="U355">
        <f t="shared" si="63"/>
        <v>28.221279365432096</v>
      </c>
      <c r="X355" s="9"/>
      <c r="Y355" s="21">
        <v>6.2713599999999994E-2</v>
      </c>
      <c r="Z355" s="21">
        <v>17.8355</v>
      </c>
      <c r="AA355" s="21">
        <v>-1.6461199999999999E-2</v>
      </c>
      <c r="AB355" s="21">
        <v>345</v>
      </c>
      <c r="AC355" s="21">
        <v>6.1889600000000003E-2</v>
      </c>
      <c r="AD355">
        <f t="shared" si="64"/>
        <v>20.322469135802464</v>
      </c>
      <c r="AE355">
        <f t="shared" si="65"/>
        <v>1.2744952003950614</v>
      </c>
      <c r="AF355" s="9"/>
      <c r="AG355" s="21">
        <v>1.63727</v>
      </c>
      <c r="AH355" s="21">
        <v>21.654699999999998</v>
      </c>
      <c r="AI355" s="21">
        <v>-1.3986200000000001E-2</v>
      </c>
      <c r="AJ355" s="21">
        <v>345</v>
      </c>
      <c r="AK355" s="21">
        <v>1.63635</v>
      </c>
      <c r="AL355">
        <f t="shared" si="66"/>
        <v>17.266913580246914</v>
      </c>
      <c r="AM355">
        <f t="shared" si="67"/>
        <v>28.270599597530865</v>
      </c>
      <c r="AP355" s="9"/>
      <c r="AQ355" s="21">
        <v>6.2713599999999994E-2</v>
      </c>
      <c r="AR355" s="21">
        <v>27.1722</v>
      </c>
      <c r="AS355" s="21">
        <v>-1.6473399999999999E-2</v>
      </c>
      <c r="AT355" s="21">
        <v>345</v>
      </c>
      <c r="AU355" s="21">
        <v>6.2286399999999999E-2</v>
      </c>
      <c r="AV355">
        <f t="shared" si="68"/>
        <v>20.337530864197529</v>
      </c>
      <c r="AW355">
        <f t="shared" si="69"/>
        <v>1.275439775604938</v>
      </c>
      <c r="AX355" s="9"/>
      <c r="AY355" s="21">
        <v>1.63727</v>
      </c>
      <c r="AZ355" s="21">
        <v>30.991399999999999</v>
      </c>
      <c r="BA355" s="21">
        <v>-1.39679E-2</v>
      </c>
      <c r="BB355" s="21">
        <v>345</v>
      </c>
      <c r="BC355" s="21">
        <v>1.63605</v>
      </c>
      <c r="BD355">
        <f t="shared" si="70"/>
        <v>17.244320987654319</v>
      </c>
      <c r="BE355">
        <f t="shared" si="71"/>
        <v>28.233609423456787</v>
      </c>
    </row>
    <row r="356" spans="6:57" x14ac:dyDescent="0.25">
      <c r="F356" s="9"/>
      <c r="G356" s="21">
        <v>5.7678199999999999E-2</v>
      </c>
      <c r="H356" s="21">
        <v>8.4668899999999994</v>
      </c>
      <c r="I356" s="21">
        <v>-1.6390999999999999E-2</v>
      </c>
      <c r="J356" s="21">
        <v>346</v>
      </c>
      <c r="K356" s="21">
        <v>5.7159399999999999E-2</v>
      </c>
      <c r="L356">
        <f t="shared" si="60"/>
        <v>20.235802469135802</v>
      </c>
      <c r="M356">
        <f t="shared" si="61"/>
        <v>1.1671646619753087</v>
      </c>
      <c r="N356" s="9"/>
      <c r="O356" s="21">
        <v>1.6423000000000001</v>
      </c>
      <c r="P356" s="21">
        <v>12.286099999999999</v>
      </c>
      <c r="Q356" s="21">
        <v>-1.3894699999999999E-2</v>
      </c>
      <c r="R356" s="21">
        <v>346</v>
      </c>
      <c r="S356" s="21">
        <v>1.64154</v>
      </c>
      <c r="T356">
        <f t="shared" si="62"/>
        <v>17.153950617283947</v>
      </c>
      <c r="U356">
        <f t="shared" si="63"/>
        <v>28.171933098765429</v>
      </c>
      <c r="X356" s="9"/>
      <c r="Y356" s="21">
        <v>5.7678199999999999E-2</v>
      </c>
      <c r="Z356" s="21">
        <v>17.845600000000001</v>
      </c>
      <c r="AA356" s="21">
        <v>-1.6467300000000001E-2</v>
      </c>
      <c r="AB356" s="21">
        <v>346</v>
      </c>
      <c r="AC356" s="21">
        <v>5.6976300000000001E-2</v>
      </c>
      <c r="AD356">
        <f t="shared" si="64"/>
        <v>20.330000000000002</v>
      </c>
      <c r="AE356">
        <f t="shared" si="65"/>
        <v>1.1725978060000002</v>
      </c>
      <c r="AF356" s="9"/>
      <c r="AG356" s="21">
        <v>1.6423000000000001</v>
      </c>
      <c r="AH356" s="21">
        <v>21.6648</v>
      </c>
      <c r="AI356" s="21">
        <v>-1.3913E-2</v>
      </c>
      <c r="AJ356" s="21">
        <v>346</v>
      </c>
      <c r="AK356" s="21">
        <v>1.64154</v>
      </c>
      <c r="AL356">
        <f t="shared" si="66"/>
        <v>17.176543209876542</v>
      </c>
      <c r="AM356">
        <f t="shared" si="67"/>
        <v>28.209036913580245</v>
      </c>
      <c r="AP356" s="9"/>
      <c r="AQ356" s="21">
        <v>5.7678199999999999E-2</v>
      </c>
      <c r="AR356" s="21">
        <v>27.182300000000001</v>
      </c>
      <c r="AS356" s="21">
        <v>-1.6479500000000001E-2</v>
      </c>
      <c r="AT356" s="21">
        <v>346</v>
      </c>
      <c r="AU356" s="21">
        <v>5.7067899999999998E-2</v>
      </c>
      <c r="AV356">
        <f t="shared" si="68"/>
        <v>20.345061728395059</v>
      </c>
      <c r="AW356">
        <f t="shared" si="69"/>
        <v>1.1734665393827159</v>
      </c>
      <c r="AX356" s="9"/>
      <c r="AY356" s="21">
        <v>1.6423000000000001</v>
      </c>
      <c r="AZ356" s="21">
        <v>31.0015</v>
      </c>
      <c r="BA356" s="21">
        <v>-1.3897700000000001E-2</v>
      </c>
      <c r="BB356" s="21">
        <v>346</v>
      </c>
      <c r="BC356" s="21">
        <v>1.64124</v>
      </c>
      <c r="BD356">
        <f t="shared" si="70"/>
        <v>17.157654320987653</v>
      </c>
      <c r="BE356">
        <f t="shared" si="71"/>
        <v>28.178015691358024</v>
      </c>
    </row>
    <row r="357" spans="6:57" x14ac:dyDescent="0.25">
      <c r="F357" s="9"/>
      <c r="G357" s="21">
        <v>5.2642799999999997E-2</v>
      </c>
      <c r="H357" s="21">
        <v>8.4769600000000001</v>
      </c>
      <c r="I357" s="21">
        <v>-1.6397100000000001E-2</v>
      </c>
      <c r="J357" s="21">
        <v>347</v>
      </c>
      <c r="K357" s="21">
        <v>5.1849399999999997E-2</v>
      </c>
      <c r="L357">
        <f t="shared" si="60"/>
        <v>20.243333333333332</v>
      </c>
      <c r="M357">
        <f t="shared" si="61"/>
        <v>1.0656657479999998</v>
      </c>
      <c r="N357" s="9"/>
      <c r="O357" s="21">
        <v>1.64734</v>
      </c>
      <c r="P357" s="21">
        <v>12.296099999999999</v>
      </c>
      <c r="Q357" s="21">
        <v>-1.38275E-2</v>
      </c>
      <c r="R357" s="21">
        <v>347</v>
      </c>
      <c r="S357" s="21">
        <v>1.64673</v>
      </c>
      <c r="T357">
        <f t="shared" si="62"/>
        <v>17.070987654320987</v>
      </c>
      <c r="U357">
        <f t="shared" si="63"/>
        <v>28.121720802469135</v>
      </c>
      <c r="X357" s="9"/>
      <c r="Y357" s="21">
        <v>5.2642799999999997E-2</v>
      </c>
      <c r="Z357" s="21">
        <v>17.855699999999999</v>
      </c>
      <c r="AA357" s="21">
        <v>-1.6473399999999999E-2</v>
      </c>
      <c r="AB357" s="21">
        <v>347</v>
      </c>
      <c r="AC357" s="21">
        <v>5.2276599999999999E-2</v>
      </c>
      <c r="AD357">
        <f t="shared" si="64"/>
        <v>20.337530864197529</v>
      </c>
      <c r="AE357">
        <f t="shared" si="65"/>
        <v>1.0706245697777776</v>
      </c>
      <c r="AF357" s="9"/>
      <c r="AG357" s="21">
        <v>1.64734</v>
      </c>
      <c r="AH357" s="21">
        <v>21.674800000000001</v>
      </c>
      <c r="AI357" s="21">
        <v>-1.38397E-2</v>
      </c>
      <c r="AJ357" s="21">
        <v>347</v>
      </c>
      <c r="AK357" s="21">
        <v>1.64612</v>
      </c>
      <c r="AL357">
        <f t="shared" si="66"/>
        <v>17.086049382716048</v>
      </c>
      <c r="AM357">
        <f t="shared" si="67"/>
        <v>28.146532590123456</v>
      </c>
      <c r="AP357" s="9"/>
      <c r="AQ357" s="21">
        <v>5.2642799999999997E-2</v>
      </c>
      <c r="AR357" s="21">
        <v>27.192399999999999</v>
      </c>
      <c r="AS357" s="21">
        <v>-1.6488599999999999E-2</v>
      </c>
      <c r="AT357" s="21">
        <v>347</v>
      </c>
      <c r="AU357" s="21">
        <v>5.2337599999999998E-2</v>
      </c>
      <c r="AV357">
        <f t="shared" si="68"/>
        <v>20.356296296296293</v>
      </c>
      <c r="AW357">
        <f t="shared" si="69"/>
        <v>1.0716124346666664</v>
      </c>
      <c r="AX357" s="9"/>
      <c r="AY357" s="21">
        <v>1.64734</v>
      </c>
      <c r="AZ357" s="21">
        <v>31.011600000000001</v>
      </c>
      <c r="BA357" s="21">
        <v>-1.38184E-2</v>
      </c>
      <c r="BB357" s="21">
        <v>347</v>
      </c>
      <c r="BC357" s="21">
        <v>1.64673</v>
      </c>
      <c r="BD357">
        <f t="shared" si="70"/>
        <v>17.05975308641975</v>
      </c>
      <c r="BE357">
        <f t="shared" si="71"/>
        <v>28.103213649382713</v>
      </c>
    </row>
    <row r="358" spans="6:57" x14ac:dyDescent="0.25">
      <c r="F358" s="9"/>
      <c r="G358" s="21">
        <v>4.7607400000000001E-2</v>
      </c>
      <c r="H358" s="21">
        <v>8.4870300000000007</v>
      </c>
      <c r="I358" s="21">
        <v>-1.6406299999999999E-2</v>
      </c>
      <c r="J358" s="21">
        <v>348</v>
      </c>
      <c r="K358" s="21">
        <v>4.7616600000000002E-2</v>
      </c>
      <c r="L358">
        <f t="shared" si="60"/>
        <v>20.254691358024687</v>
      </c>
      <c r="M358">
        <f t="shared" si="61"/>
        <v>0.96427319335802453</v>
      </c>
      <c r="N358" s="9"/>
      <c r="O358" s="21">
        <v>1.6523699999999999</v>
      </c>
      <c r="P358" s="21">
        <v>12.3062</v>
      </c>
      <c r="Q358" s="21">
        <v>-1.37482E-2</v>
      </c>
      <c r="R358" s="21">
        <v>348</v>
      </c>
      <c r="S358" s="21">
        <v>1.65161</v>
      </c>
      <c r="T358">
        <f t="shared" si="62"/>
        <v>16.973086419753084</v>
      </c>
      <c r="U358">
        <f t="shared" si="63"/>
        <v>28.0458188074074</v>
      </c>
      <c r="X358" s="9"/>
      <c r="Y358" s="21">
        <v>4.7607400000000001E-2</v>
      </c>
      <c r="Z358" s="21">
        <v>17.8657</v>
      </c>
      <c r="AA358" s="21">
        <v>-1.6482500000000001E-2</v>
      </c>
      <c r="AB358" s="21">
        <v>348</v>
      </c>
      <c r="AC358" s="21">
        <v>4.7405999999999997E-2</v>
      </c>
      <c r="AD358">
        <f t="shared" si="64"/>
        <v>20.348765432098766</v>
      </c>
      <c r="AE358">
        <f t="shared" si="65"/>
        <v>0.96875181543209876</v>
      </c>
      <c r="AF358" s="9"/>
      <c r="AG358" s="21">
        <v>1.6523699999999999</v>
      </c>
      <c r="AH358" s="21">
        <v>21.684899999999999</v>
      </c>
      <c r="AI358" s="21">
        <v>-1.37573E-2</v>
      </c>
      <c r="AJ358" s="21">
        <v>348</v>
      </c>
      <c r="AK358" s="21">
        <v>1.65161</v>
      </c>
      <c r="AL358">
        <f t="shared" si="66"/>
        <v>16.984320987654321</v>
      </c>
      <c r="AM358">
        <f t="shared" si="67"/>
        <v>28.064382470370369</v>
      </c>
      <c r="AP358" s="9"/>
      <c r="AQ358" s="21">
        <v>4.7607400000000001E-2</v>
      </c>
      <c r="AR358" s="21">
        <v>27.202500000000001</v>
      </c>
      <c r="AS358" s="21">
        <v>-1.64948E-2</v>
      </c>
      <c r="AT358" s="21">
        <v>348</v>
      </c>
      <c r="AU358" s="21">
        <v>4.7543299999999997E-2</v>
      </c>
      <c r="AV358">
        <f t="shared" si="68"/>
        <v>20.363950617283948</v>
      </c>
      <c r="AW358">
        <f t="shared" si="69"/>
        <v>0.96947474261728384</v>
      </c>
      <c r="AX358" s="9"/>
      <c r="AY358" s="21">
        <v>1.6523699999999999</v>
      </c>
      <c r="AZ358" s="21">
        <v>31.021599999999999</v>
      </c>
      <c r="BA358" s="21">
        <v>-1.3732899999999999E-2</v>
      </c>
      <c r="BB358" s="21">
        <v>348</v>
      </c>
      <c r="BC358" s="21">
        <v>1.651</v>
      </c>
      <c r="BD358">
        <f t="shared" si="70"/>
        <v>16.954197530864196</v>
      </c>
      <c r="BE358">
        <f t="shared" si="71"/>
        <v>28.014607374074071</v>
      </c>
    </row>
    <row r="359" spans="6:57" x14ac:dyDescent="0.25">
      <c r="F359" s="9"/>
      <c r="G359" s="21">
        <v>4.2571999999999999E-2</v>
      </c>
      <c r="H359" s="21">
        <v>8.4970999999999997</v>
      </c>
      <c r="I359" s="21">
        <v>-1.6409300000000002E-2</v>
      </c>
      <c r="J359" s="21">
        <v>349</v>
      </c>
      <c r="K359" s="21">
        <v>4.2678800000000003E-2</v>
      </c>
      <c r="L359">
        <f t="shared" si="60"/>
        <v>20.258395061728397</v>
      </c>
      <c r="M359">
        <f t="shared" si="61"/>
        <v>0.86244039456790134</v>
      </c>
      <c r="N359" s="9"/>
      <c r="O359" s="21">
        <v>1.65741</v>
      </c>
      <c r="P359" s="21">
        <v>12.3163</v>
      </c>
      <c r="Q359" s="21">
        <v>-1.36688E-2</v>
      </c>
      <c r="R359" s="21">
        <v>349</v>
      </c>
      <c r="S359" s="21">
        <v>1.65649</v>
      </c>
      <c r="T359">
        <f t="shared" si="62"/>
        <v>16.87506172839506</v>
      </c>
      <c r="U359">
        <f t="shared" si="63"/>
        <v>27.968896059259258</v>
      </c>
      <c r="X359" s="9"/>
      <c r="Y359" s="21">
        <v>4.2571999999999999E-2</v>
      </c>
      <c r="Z359" s="21">
        <v>17.875800000000002</v>
      </c>
      <c r="AA359" s="21">
        <v>-1.6488599999999999E-2</v>
      </c>
      <c r="AB359" s="21">
        <v>349</v>
      </c>
      <c r="AC359" s="21">
        <v>4.2511E-2</v>
      </c>
      <c r="AD359">
        <f t="shared" si="64"/>
        <v>20.356296296296293</v>
      </c>
      <c r="AE359">
        <f t="shared" si="65"/>
        <v>0.86660824592592578</v>
      </c>
      <c r="AF359" s="9"/>
      <c r="AG359" s="21">
        <v>1.65741</v>
      </c>
      <c r="AH359" s="21">
        <v>21.695</v>
      </c>
      <c r="AI359" s="21">
        <v>-1.3665800000000001E-2</v>
      </c>
      <c r="AJ359" s="21">
        <v>349</v>
      </c>
      <c r="AK359" s="21">
        <v>1.65649</v>
      </c>
      <c r="AL359">
        <f t="shared" si="66"/>
        <v>16.871358024691357</v>
      </c>
      <c r="AM359">
        <f t="shared" si="67"/>
        <v>27.962757503703703</v>
      </c>
      <c r="AP359" s="9"/>
      <c r="AQ359" s="21">
        <v>4.2571999999999999E-2</v>
      </c>
      <c r="AR359" s="21">
        <v>27.212499999999999</v>
      </c>
      <c r="AS359" s="21">
        <v>-1.6500899999999999E-2</v>
      </c>
      <c r="AT359" s="21">
        <v>349</v>
      </c>
      <c r="AU359" s="21">
        <v>4.24835E-2</v>
      </c>
      <c r="AV359">
        <f t="shared" si="68"/>
        <v>20.371481481481482</v>
      </c>
      <c r="AW359">
        <f t="shared" si="69"/>
        <v>0.86725470962962958</v>
      </c>
      <c r="AX359" s="9"/>
      <c r="AY359" s="21">
        <v>1.65741</v>
      </c>
      <c r="AZ359" s="21">
        <v>31.031700000000001</v>
      </c>
      <c r="BA359" s="21">
        <v>-1.3638300000000001E-2</v>
      </c>
      <c r="BB359" s="21">
        <v>349</v>
      </c>
      <c r="BC359" s="21">
        <v>1.6568000000000001</v>
      </c>
      <c r="BD359">
        <f t="shared" si="70"/>
        <v>16.837407407407408</v>
      </c>
      <c r="BE359">
        <f t="shared" si="71"/>
        <v>27.906487411111112</v>
      </c>
    </row>
    <row r="360" spans="6:57" x14ac:dyDescent="0.25">
      <c r="F360" s="9"/>
      <c r="G360" s="21">
        <v>3.7536600000000003E-2</v>
      </c>
      <c r="H360" s="21">
        <v>8.5071700000000003</v>
      </c>
      <c r="I360" s="21">
        <v>-1.6418499999999999E-2</v>
      </c>
      <c r="J360" s="21">
        <v>350</v>
      </c>
      <c r="K360" s="21">
        <v>3.74969E-2</v>
      </c>
      <c r="L360">
        <f t="shared" si="60"/>
        <v>20.269753086419751</v>
      </c>
      <c r="M360">
        <f t="shared" si="61"/>
        <v>0.76085761370370364</v>
      </c>
      <c r="N360" s="9"/>
      <c r="O360" s="21">
        <v>1.66245</v>
      </c>
      <c r="P360" s="21">
        <v>12.3264</v>
      </c>
      <c r="Q360" s="21">
        <v>-1.35742E-2</v>
      </c>
      <c r="R360" s="21">
        <v>350</v>
      </c>
      <c r="S360" s="21">
        <v>1.66168</v>
      </c>
      <c r="T360">
        <f t="shared" si="62"/>
        <v>16.758271604938273</v>
      </c>
      <c r="U360">
        <f t="shared" si="63"/>
        <v>27.85978862962963</v>
      </c>
      <c r="X360" s="9"/>
      <c r="Y360" s="21">
        <v>3.7536600000000003E-2</v>
      </c>
      <c r="Z360" s="21">
        <v>17.885899999999999</v>
      </c>
      <c r="AA360" s="21">
        <v>-1.64948E-2</v>
      </c>
      <c r="AB360" s="21">
        <v>350</v>
      </c>
      <c r="AC360" s="21">
        <v>3.7478600000000001E-2</v>
      </c>
      <c r="AD360">
        <f t="shared" si="64"/>
        <v>20.363950617283948</v>
      </c>
      <c r="AE360">
        <f t="shared" si="65"/>
        <v>0.76439346874074066</v>
      </c>
      <c r="AF360" s="9"/>
      <c r="AG360" s="21">
        <v>1.66245</v>
      </c>
      <c r="AH360" s="21">
        <v>21.705100000000002</v>
      </c>
      <c r="AI360" s="21">
        <v>-1.35712E-2</v>
      </c>
      <c r="AJ360" s="21">
        <v>350</v>
      </c>
      <c r="AK360" s="21">
        <v>1.66168</v>
      </c>
      <c r="AL360">
        <f t="shared" si="66"/>
        <v>16.754567901234566</v>
      </c>
      <c r="AM360">
        <f t="shared" si="67"/>
        <v>27.853631407407402</v>
      </c>
      <c r="AP360" s="9"/>
      <c r="AQ360" s="21">
        <v>3.7536600000000003E-2</v>
      </c>
      <c r="AR360" s="21">
        <v>27.2226</v>
      </c>
      <c r="AS360" s="21">
        <v>-1.651E-2</v>
      </c>
      <c r="AT360" s="21">
        <v>350</v>
      </c>
      <c r="AU360" s="21">
        <v>3.6917100000000001E-2</v>
      </c>
      <c r="AV360">
        <f t="shared" si="68"/>
        <v>20.382716049382715</v>
      </c>
      <c r="AW360">
        <f t="shared" si="69"/>
        <v>0.76509785925925933</v>
      </c>
      <c r="AX360" s="9"/>
      <c r="AY360" s="21">
        <v>1.66245</v>
      </c>
      <c r="AZ360" s="21">
        <v>31.041799999999999</v>
      </c>
      <c r="BA360" s="21">
        <v>-1.35376E-2</v>
      </c>
      <c r="BB360" s="21">
        <v>350</v>
      </c>
      <c r="BC360" s="21">
        <v>1.6613800000000001</v>
      </c>
      <c r="BD360">
        <f t="shared" si="70"/>
        <v>16.713086419753086</v>
      </c>
      <c r="BE360">
        <f t="shared" si="71"/>
        <v>27.784670518518517</v>
      </c>
    </row>
    <row r="361" spans="6:57" x14ac:dyDescent="0.25">
      <c r="F361" s="9"/>
      <c r="G361" s="21">
        <v>3.2501200000000001E-2</v>
      </c>
      <c r="H361" s="21">
        <v>8.5172399999999993</v>
      </c>
      <c r="I361" s="21">
        <v>-1.6427600000000001E-2</v>
      </c>
      <c r="J361" s="21">
        <v>351</v>
      </c>
      <c r="K361" s="21">
        <v>3.2415800000000002E-2</v>
      </c>
      <c r="L361">
        <f t="shared" si="60"/>
        <v>20.280987654320988</v>
      </c>
      <c r="M361">
        <f t="shared" si="61"/>
        <v>0.65915643595061735</v>
      </c>
      <c r="N361" s="9"/>
      <c r="O361" s="21">
        <v>1.6674800000000001</v>
      </c>
      <c r="P361" s="21">
        <v>12.336399999999999</v>
      </c>
      <c r="Q361" s="21">
        <v>-1.34705E-2</v>
      </c>
      <c r="R361" s="21">
        <v>351</v>
      </c>
      <c r="S361" s="21">
        <v>1.66656</v>
      </c>
      <c r="T361">
        <f t="shared" si="62"/>
        <v>16.630246913580244</v>
      </c>
      <c r="U361">
        <f t="shared" si="63"/>
        <v>27.730604123456786</v>
      </c>
      <c r="X361" s="9"/>
      <c r="Y361" s="21">
        <v>3.2501200000000001E-2</v>
      </c>
      <c r="Z361" s="21">
        <v>17.895900000000001</v>
      </c>
      <c r="AA361" s="21">
        <v>-1.6503899999999998E-2</v>
      </c>
      <c r="AB361" s="21">
        <v>351</v>
      </c>
      <c r="AC361" s="21">
        <v>3.24493E-2</v>
      </c>
      <c r="AD361">
        <f t="shared" si="64"/>
        <v>20.375185185185181</v>
      </c>
      <c r="AE361">
        <f t="shared" si="65"/>
        <v>0.66221796874074068</v>
      </c>
      <c r="AF361" s="9"/>
      <c r="AG361" s="21">
        <v>1.6674800000000001</v>
      </c>
      <c r="AH361" s="21">
        <v>21.7151</v>
      </c>
      <c r="AI361" s="21">
        <v>-1.34644E-2</v>
      </c>
      <c r="AJ361" s="21">
        <v>351</v>
      </c>
      <c r="AK361" s="21">
        <v>1.6668700000000001</v>
      </c>
      <c r="AL361">
        <f t="shared" si="66"/>
        <v>16.622716049382717</v>
      </c>
      <c r="AM361">
        <f t="shared" si="67"/>
        <v>27.718046558024696</v>
      </c>
      <c r="AP361" s="9"/>
      <c r="AQ361" s="21">
        <v>3.2501200000000001E-2</v>
      </c>
      <c r="AR361" s="21">
        <v>27.232700000000001</v>
      </c>
      <c r="AS361" s="21">
        <v>-1.6522200000000001E-2</v>
      </c>
      <c r="AT361" s="21">
        <v>351</v>
      </c>
      <c r="AU361" s="21">
        <v>3.2482900000000002E-2</v>
      </c>
      <c r="AV361">
        <f t="shared" si="68"/>
        <v>20.39777777777778</v>
      </c>
      <c r="AW361">
        <f t="shared" si="69"/>
        <v>0.66295225511111122</v>
      </c>
      <c r="AX361" s="9"/>
      <c r="AY361" s="21">
        <v>1.6674800000000001</v>
      </c>
      <c r="AZ361" s="21">
        <v>31.0519</v>
      </c>
      <c r="BA361" s="21">
        <v>-1.3421600000000001E-2</v>
      </c>
      <c r="BB361" s="21">
        <v>351</v>
      </c>
      <c r="BC361" s="21">
        <v>1.6662600000000001</v>
      </c>
      <c r="BD361">
        <f t="shared" si="70"/>
        <v>16.569876543209876</v>
      </c>
      <c r="BE361">
        <f t="shared" si="71"/>
        <v>27.629937738271604</v>
      </c>
    </row>
    <row r="362" spans="6:57" x14ac:dyDescent="0.25">
      <c r="F362" s="9"/>
      <c r="G362" s="21">
        <v>2.7465799999999999E-2</v>
      </c>
      <c r="H362" s="21">
        <v>8.5273099999999999</v>
      </c>
      <c r="I362" s="21">
        <v>-1.6436800000000001E-2</v>
      </c>
      <c r="J362" s="21">
        <v>352</v>
      </c>
      <c r="K362" s="21">
        <v>2.7359000000000001E-2</v>
      </c>
      <c r="L362">
        <f t="shared" si="60"/>
        <v>20.292345679012346</v>
      </c>
      <c r="M362">
        <f t="shared" si="61"/>
        <v>0.55734550795061721</v>
      </c>
      <c r="N362" s="9"/>
      <c r="O362" s="21">
        <v>1.67252</v>
      </c>
      <c r="P362" s="21">
        <v>12.346500000000001</v>
      </c>
      <c r="Q362" s="21">
        <v>-1.33636E-2</v>
      </c>
      <c r="R362" s="21">
        <v>352</v>
      </c>
      <c r="S362" s="21">
        <v>1.6717500000000001</v>
      </c>
      <c r="T362">
        <f t="shared" si="62"/>
        <v>16.498271604938271</v>
      </c>
      <c r="U362">
        <f t="shared" si="63"/>
        <v>27.593689224691357</v>
      </c>
      <c r="X362" s="9"/>
      <c r="Y362" s="21">
        <v>2.7465799999999999E-2</v>
      </c>
      <c r="Z362" s="21">
        <v>17.905999999999999</v>
      </c>
      <c r="AA362" s="21">
        <v>-1.651E-2</v>
      </c>
      <c r="AB362" s="21">
        <v>352</v>
      </c>
      <c r="AC362" s="21">
        <v>2.74445E-2</v>
      </c>
      <c r="AD362">
        <f t="shared" si="64"/>
        <v>20.382716049382715</v>
      </c>
      <c r="AE362">
        <f t="shared" si="65"/>
        <v>0.55982760246913577</v>
      </c>
      <c r="AF362" s="9"/>
      <c r="AG362" s="21">
        <v>1.67252</v>
      </c>
      <c r="AH362" s="21">
        <v>21.725200000000001</v>
      </c>
      <c r="AI362" s="21">
        <v>-1.3351399999999999E-2</v>
      </c>
      <c r="AJ362" s="21">
        <v>352</v>
      </c>
      <c r="AK362" s="21">
        <v>1.6714500000000001</v>
      </c>
      <c r="AL362">
        <f t="shared" si="66"/>
        <v>16.483209876543206</v>
      </c>
      <c r="AM362">
        <f t="shared" si="67"/>
        <v>27.568498182716045</v>
      </c>
      <c r="AP362" s="9"/>
      <c r="AQ362" s="21">
        <v>2.7465799999999999E-2</v>
      </c>
      <c r="AR362" s="21">
        <v>27.242699999999999</v>
      </c>
      <c r="AS362" s="21">
        <v>-1.6531400000000002E-2</v>
      </c>
      <c r="AT362" s="21">
        <v>352</v>
      </c>
      <c r="AU362" s="21">
        <v>2.7304100000000001E-2</v>
      </c>
      <c r="AV362">
        <f t="shared" si="68"/>
        <v>20.409135802469137</v>
      </c>
      <c r="AW362">
        <f t="shared" si="69"/>
        <v>0.56055324212345681</v>
      </c>
      <c r="AX362" s="9"/>
      <c r="AY362" s="21">
        <v>1.67252</v>
      </c>
      <c r="AZ362" s="21">
        <v>31.061900000000001</v>
      </c>
      <c r="BA362" s="21">
        <v>-1.32996E-2</v>
      </c>
      <c r="BB362" s="21">
        <v>352</v>
      </c>
      <c r="BC362" s="21">
        <v>1.6714500000000001</v>
      </c>
      <c r="BD362">
        <f t="shared" si="70"/>
        <v>16.41925925925926</v>
      </c>
      <c r="BE362">
        <f t="shared" si="71"/>
        <v>27.461539496296297</v>
      </c>
    </row>
    <row r="363" spans="6:57" x14ac:dyDescent="0.25">
      <c r="F363" s="9"/>
      <c r="G363" s="21">
        <v>2.24304E-2</v>
      </c>
      <c r="H363" s="21">
        <v>8.5373800000000006</v>
      </c>
      <c r="I363" s="21">
        <v>-1.6445899999999999E-2</v>
      </c>
      <c r="J363" s="21">
        <v>353</v>
      </c>
      <c r="K363" s="21">
        <v>2.21832E-2</v>
      </c>
      <c r="L363">
        <f t="shared" si="60"/>
        <v>20.30358024691358</v>
      </c>
      <c r="M363">
        <f t="shared" si="61"/>
        <v>0.45541742637037036</v>
      </c>
      <c r="N363" s="9"/>
      <c r="O363" s="21">
        <v>1.6775500000000001</v>
      </c>
      <c r="P363" s="21">
        <v>12.3566</v>
      </c>
      <c r="Q363" s="21">
        <v>-1.32446E-2</v>
      </c>
      <c r="R363" s="21">
        <v>353</v>
      </c>
      <c r="S363" s="21">
        <v>1.6766399999999999</v>
      </c>
      <c r="T363">
        <f t="shared" si="62"/>
        <v>16.351358024691358</v>
      </c>
      <c r="U363">
        <f t="shared" si="63"/>
        <v>27.430220654320987</v>
      </c>
      <c r="X363" s="9"/>
      <c r="Y363" s="21">
        <v>2.24304E-2</v>
      </c>
      <c r="Z363" s="21">
        <v>17.9161</v>
      </c>
      <c r="AA363" s="21">
        <v>-1.6519200000000001E-2</v>
      </c>
      <c r="AB363" s="21">
        <v>353</v>
      </c>
      <c r="AC363" s="21">
        <v>2.2299200000000002E-2</v>
      </c>
      <c r="AD363">
        <f t="shared" si="64"/>
        <v>20.394074074074076</v>
      </c>
      <c r="AE363">
        <f t="shared" si="65"/>
        <v>0.45744723911111118</v>
      </c>
      <c r="AF363" s="9"/>
      <c r="AG363" s="21">
        <v>1.6775500000000001</v>
      </c>
      <c r="AH363" s="21">
        <v>21.735299999999999</v>
      </c>
      <c r="AI363" s="21">
        <v>-1.32233E-2</v>
      </c>
      <c r="AJ363" s="21">
        <v>353</v>
      </c>
      <c r="AK363" s="21">
        <v>1.6766399999999999</v>
      </c>
      <c r="AL363">
        <f t="shared" si="66"/>
        <v>16.32506172839506</v>
      </c>
      <c r="AM363">
        <f t="shared" si="67"/>
        <v>27.386107302469135</v>
      </c>
      <c r="AP363" s="9"/>
      <c r="AQ363" s="21">
        <v>2.24304E-2</v>
      </c>
      <c r="AR363" s="21">
        <v>27.252800000000001</v>
      </c>
      <c r="AS363" s="21">
        <v>-1.65375E-2</v>
      </c>
      <c r="AT363" s="21">
        <v>353</v>
      </c>
      <c r="AU363" s="21">
        <v>2.2082500000000001E-2</v>
      </c>
      <c r="AV363">
        <f t="shared" si="68"/>
        <v>20.416666666666668</v>
      </c>
      <c r="AW363">
        <f t="shared" si="69"/>
        <v>0.45795400000000003</v>
      </c>
      <c r="AX363" s="9"/>
      <c r="AY363" s="21">
        <v>1.6775500000000001</v>
      </c>
      <c r="AZ363" s="21">
        <v>31.071999999999999</v>
      </c>
      <c r="BA363" s="21">
        <v>-1.31653E-2</v>
      </c>
      <c r="BB363" s="21">
        <v>353</v>
      </c>
      <c r="BC363" s="21">
        <v>1.6769400000000001</v>
      </c>
      <c r="BD363">
        <f t="shared" si="70"/>
        <v>16.253456790123455</v>
      </c>
      <c r="BE363">
        <f t="shared" si="71"/>
        <v>27.265986438271604</v>
      </c>
    </row>
    <row r="364" spans="6:57" x14ac:dyDescent="0.25">
      <c r="F364" s="9"/>
      <c r="G364" s="21">
        <v>1.7395000000000001E-2</v>
      </c>
      <c r="H364" s="21">
        <v>8.5474499999999995</v>
      </c>
      <c r="I364" s="21">
        <v>-1.6452000000000001E-2</v>
      </c>
      <c r="J364" s="21">
        <v>354</v>
      </c>
      <c r="K364" s="21">
        <v>1.7080700000000001E-2</v>
      </c>
      <c r="L364">
        <f t="shared" si="60"/>
        <v>20.311111111111114</v>
      </c>
      <c r="M364">
        <f t="shared" si="61"/>
        <v>0.35331177777777784</v>
      </c>
      <c r="N364" s="9"/>
      <c r="O364" s="21">
        <v>1.68259</v>
      </c>
      <c r="P364" s="21">
        <v>12.3666</v>
      </c>
      <c r="Q364" s="21">
        <v>-1.3107300000000001E-2</v>
      </c>
      <c r="R364" s="21">
        <v>354</v>
      </c>
      <c r="S364" s="21">
        <v>1.6818200000000001</v>
      </c>
      <c r="T364">
        <f t="shared" si="62"/>
        <v>16.181851851851849</v>
      </c>
      <c r="U364">
        <f t="shared" si="63"/>
        <v>27.227422107407403</v>
      </c>
      <c r="X364" s="9"/>
      <c r="Y364" s="21">
        <v>1.7395000000000001E-2</v>
      </c>
      <c r="Z364" s="21">
        <v>17.926100000000002</v>
      </c>
      <c r="AA364" s="21">
        <v>-1.6528299999999999E-2</v>
      </c>
      <c r="AB364" s="21">
        <v>354</v>
      </c>
      <c r="AC364" s="21">
        <v>1.7416399999999999E-2</v>
      </c>
      <c r="AD364">
        <f t="shared" si="64"/>
        <v>20.405308641975306</v>
      </c>
      <c r="AE364">
        <f t="shared" si="65"/>
        <v>0.35495034382716045</v>
      </c>
      <c r="AF364" s="9"/>
      <c r="AG364" s="21">
        <v>1.68259</v>
      </c>
      <c r="AH364" s="21">
        <v>21.7453</v>
      </c>
      <c r="AI364" s="21">
        <v>-1.30768E-2</v>
      </c>
      <c r="AJ364" s="21">
        <v>354</v>
      </c>
      <c r="AK364" s="21">
        <v>1.6815199999999999</v>
      </c>
      <c r="AL364">
        <f t="shared" si="66"/>
        <v>16.144197530864194</v>
      </c>
      <c r="AM364">
        <f t="shared" si="67"/>
        <v>27.164065323456786</v>
      </c>
      <c r="AP364" s="9"/>
      <c r="AQ364" s="21">
        <v>1.7395000000000001E-2</v>
      </c>
      <c r="AR364" s="21">
        <v>27.262899999999998</v>
      </c>
      <c r="AS364" s="21">
        <v>-1.6543599999999999E-2</v>
      </c>
      <c r="AT364" s="21">
        <v>354</v>
      </c>
      <c r="AU364" s="21">
        <v>1.7746000000000001E-2</v>
      </c>
      <c r="AV364">
        <f t="shared" si="68"/>
        <v>20.424197530864195</v>
      </c>
      <c r="AW364">
        <f t="shared" si="69"/>
        <v>0.35527891604938266</v>
      </c>
      <c r="AX364" s="9"/>
      <c r="AY364" s="21">
        <v>1.68259</v>
      </c>
      <c r="AZ364" s="21">
        <v>31.082100000000001</v>
      </c>
      <c r="BA364" s="21">
        <v>-1.3021899999999999E-2</v>
      </c>
      <c r="BB364" s="21">
        <v>354</v>
      </c>
      <c r="BC364" s="21">
        <v>1.6818200000000001</v>
      </c>
      <c r="BD364">
        <f t="shared" si="70"/>
        <v>16.076419753086416</v>
      </c>
      <c r="BE364">
        <f t="shared" si="71"/>
        <v>27.050023112345674</v>
      </c>
    </row>
    <row r="365" spans="6:57" x14ac:dyDescent="0.25">
      <c r="F365" s="9"/>
      <c r="G365" s="21">
        <v>1.23596E-2</v>
      </c>
      <c r="H365" s="21">
        <v>8.5575200000000002</v>
      </c>
      <c r="I365" s="21">
        <v>-1.6461199999999999E-2</v>
      </c>
      <c r="J365" s="21">
        <v>355</v>
      </c>
      <c r="K365" s="21">
        <v>1.22437E-2</v>
      </c>
      <c r="L365">
        <f t="shared" si="60"/>
        <v>20.322469135802464</v>
      </c>
      <c r="M365">
        <f t="shared" si="61"/>
        <v>0.25117758953086416</v>
      </c>
      <c r="N365" s="9"/>
      <c r="O365" s="21">
        <v>1.6876199999999999</v>
      </c>
      <c r="P365" s="21">
        <v>12.3767</v>
      </c>
      <c r="Q365" s="21">
        <v>-1.29608E-2</v>
      </c>
      <c r="R365" s="21">
        <v>355</v>
      </c>
      <c r="S365" s="21">
        <v>1.6867099999999999</v>
      </c>
      <c r="T365">
        <f t="shared" si="62"/>
        <v>16.000987654320987</v>
      </c>
      <c r="U365">
        <f t="shared" si="63"/>
        <v>27.003586785185181</v>
      </c>
      <c r="X365" s="9"/>
      <c r="Y365" s="21">
        <v>1.23596E-2</v>
      </c>
      <c r="Z365" s="21">
        <v>17.936199999999999</v>
      </c>
      <c r="AA365" s="21">
        <v>-1.6534400000000001E-2</v>
      </c>
      <c r="AB365" s="21">
        <v>355</v>
      </c>
      <c r="AC365" s="21">
        <v>1.20667E-2</v>
      </c>
      <c r="AD365">
        <f t="shared" si="64"/>
        <v>20.412839506172837</v>
      </c>
      <c r="AE365">
        <f t="shared" si="65"/>
        <v>0.25229453116049377</v>
      </c>
      <c r="AF365" s="9"/>
      <c r="AG365" s="21">
        <v>1.6876199999999999</v>
      </c>
      <c r="AH365" s="21">
        <v>21.755400000000002</v>
      </c>
      <c r="AI365" s="21">
        <v>-1.29181E-2</v>
      </c>
      <c r="AJ365" s="21">
        <v>355</v>
      </c>
      <c r="AK365" s="21">
        <v>1.6863999999999999</v>
      </c>
      <c r="AL365">
        <f t="shared" si="66"/>
        <v>15.94827160493827</v>
      </c>
      <c r="AM365">
        <f t="shared" si="67"/>
        <v>26.914622125925924</v>
      </c>
      <c r="AP365" s="9"/>
      <c r="AQ365" s="21">
        <v>1.23596E-2</v>
      </c>
      <c r="AR365" s="21">
        <v>27.2729</v>
      </c>
      <c r="AS365" s="21">
        <v>-1.6549700000000001E-2</v>
      </c>
      <c r="AT365" s="21">
        <v>355</v>
      </c>
      <c r="AU365" s="21">
        <v>1.2301599999999999E-2</v>
      </c>
      <c r="AV365">
        <f t="shared" si="68"/>
        <v>20.431728395061725</v>
      </c>
      <c r="AW365">
        <f t="shared" si="69"/>
        <v>0.25252799027160489</v>
      </c>
      <c r="AX365" s="9"/>
      <c r="AY365" s="21">
        <v>1.6876199999999999</v>
      </c>
      <c r="AZ365" s="21">
        <v>31.092099999999999</v>
      </c>
      <c r="BA365" s="21">
        <v>-1.28571E-2</v>
      </c>
      <c r="BB365" s="21">
        <v>355</v>
      </c>
      <c r="BC365" s="21">
        <v>1.6867099999999999</v>
      </c>
      <c r="BD365">
        <f t="shared" si="70"/>
        <v>15.87296296296296</v>
      </c>
      <c r="BE365">
        <f t="shared" si="71"/>
        <v>26.78752975555555</v>
      </c>
    </row>
    <row r="366" spans="6:57" x14ac:dyDescent="0.25">
      <c r="F366" s="9"/>
      <c r="G366" s="21">
        <v>7.3242200000000002E-3</v>
      </c>
      <c r="H366" s="21">
        <v>8.5676000000000005</v>
      </c>
      <c r="I366" s="21">
        <v>-1.6467300000000001E-2</v>
      </c>
      <c r="J366" s="21">
        <v>356</v>
      </c>
      <c r="K366" s="21">
        <v>7.2113000000000003E-3</v>
      </c>
      <c r="L366">
        <f t="shared" si="60"/>
        <v>20.330000000000002</v>
      </c>
      <c r="M366">
        <f t="shared" si="61"/>
        <v>0.14890139260000002</v>
      </c>
      <c r="N366" s="9"/>
      <c r="O366" s="21">
        <v>1.6926600000000001</v>
      </c>
      <c r="P366" s="21">
        <v>12.386799999999999</v>
      </c>
      <c r="Q366" s="21">
        <v>-1.2793000000000001E-2</v>
      </c>
      <c r="R366" s="21">
        <v>356</v>
      </c>
      <c r="S366" s="21">
        <v>1.6915899999999999</v>
      </c>
      <c r="T366">
        <f t="shared" si="62"/>
        <v>15.793827160493827</v>
      </c>
      <c r="U366">
        <f t="shared" si="63"/>
        <v>26.733579481481481</v>
      </c>
      <c r="X366" s="9"/>
      <c r="Y366" s="21">
        <v>7.3242200000000002E-3</v>
      </c>
      <c r="Z366" s="21">
        <v>17.946300000000001</v>
      </c>
      <c r="AA366" s="21">
        <v>-1.65405E-2</v>
      </c>
      <c r="AB366" s="21">
        <v>356</v>
      </c>
      <c r="AC366" s="21">
        <v>7.0495599999999999E-3</v>
      </c>
      <c r="AD366">
        <f t="shared" si="64"/>
        <v>20.420370370370371</v>
      </c>
      <c r="AE366">
        <f t="shared" si="65"/>
        <v>0.14956328507407407</v>
      </c>
      <c r="AF366" s="9"/>
      <c r="AG366" s="21">
        <v>1.6926600000000001</v>
      </c>
      <c r="AH366" s="21">
        <v>21.765499999999999</v>
      </c>
      <c r="AI366" s="21">
        <v>-1.27411E-2</v>
      </c>
      <c r="AJ366" s="21">
        <v>356</v>
      </c>
      <c r="AK366" s="21">
        <v>1.6918899999999999</v>
      </c>
      <c r="AL366">
        <f t="shared" si="66"/>
        <v>15.729753086419752</v>
      </c>
      <c r="AM366">
        <f t="shared" si="67"/>
        <v>26.625123859259258</v>
      </c>
      <c r="AP366" s="9"/>
      <c r="AQ366" s="21">
        <v>7.3242200000000002E-3</v>
      </c>
      <c r="AR366" s="21">
        <v>27.283000000000001</v>
      </c>
      <c r="AS366" s="21">
        <v>-1.6558799999999999E-2</v>
      </c>
      <c r="AT366" s="21">
        <v>356</v>
      </c>
      <c r="AU366" s="21">
        <v>7.2998000000000004E-3</v>
      </c>
      <c r="AV366">
        <f t="shared" si="68"/>
        <v>20.442962962962962</v>
      </c>
      <c r="AW366">
        <f t="shared" si="69"/>
        <v>0.1497287581925926</v>
      </c>
      <c r="AX366" s="9"/>
      <c r="AY366" s="21">
        <v>1.6926600000000001</v>
      </c>
      <c r="AZ366" s="21">
        <v>31.1022</v>
      </c>
      <c r="BA366" s="21">
        <v>-1.2677000000000001E-2</v>
      </c>
      <c r="BB366" s="21">
        <v>356</v>
      </c>
      <c r="BC366" s="21">
        <v>1.6918899999999999</v>
      </c>
      <c r="BD366">
        <f t="shared" si="70"/>
        <v>15.650617283950618</v>
      </c>
      <c r="BE366">
        <f t="shared" si="71"/>
        <v>26.491173851851855</v>
      </c>
    </row>
    <row r="367" spans="6:57" x14ac:dyDescent="0.25">
      <c r="F367" s="9"/>
      <c r="G367" s="21">
        <v>2.28882E-3</v>
      </c>
      <c r="H367" s="21">
        <v>8.5776699999999995</v>
      </c>
      <c r="I367" s="21">
        <v>-1.6473399999999999E-2</v>
      </c>
      <c r="J367" s="21">
        <v>357</v>
      </c>
      <c r="K367" s="21">
        <v>2.31934E-3</v>
      </c>
      <c r="L367">
        <f t="shared" si="60"/>
        <v>20.337530864197529</v>
      </c>
      <c r="M367">
        <f t="shared" si="61"/>
        <v>4.6548947392592591E-2</v>
      </c>
      <c r="N367" s="9"/>
      <c r="O367" s="21">
        <v>1.6976899999999999</v>
      </c>
      <c r="P367" s="21">
        <v>12.3969</v>
      </c>
      <c r="Q367" s="21">
        <v>-1.2616E-2</v>
      </c>
      <c r="R367" s="21">
        <v>357</v>
      </c>
      <c r="S367" s="21">
        <v>1.6970799999999999</v>
      </c>
      <c r="T367">
        <f t="shared" si="62"/>
        <v>15.575308641975308</v>
      </c>
      <c r="U367">
        <f t="shared" si="63"/>
        <v>26.442045728395058</v>
      </c>
      <c r="X367" s="9"/>
      <c r="Y367" s="21">
        <v>2.28882E-3</v>
      </c>
      <c r="Z367" s="21">
        <v>17.956399999999999</v>
      </c>
      <c r="AA367" s="21">
        <v>-1.6546600000000002E-2</v>
      </c>
      <c r="AB367" s="21">
        <v>357</v>
      </c>
      <c r="AC367" s="21">
        <v>2.1026600000000001E-3</v>
      </c>
      <c r="AD367">
        <f t="shared" si="64"/>
        <v>20.427901234567901</v>
      </c>
      <c r="AE367">
        <f t="shared" si="65"/>
        <v>4.6755788903703702E-2</v>
      </c>
      <c r="AF367" s="9"/>
      <c r="AG367" s="21">
        <v>1.6976899999999999</v>
      </c>
      <c r="AH367" s="21">
        <v>21.775600000000001</v>
      </c>
      <c r="AI367" s="21">
        <v>-1.2554900000000001E-2</v>
      </c>
      <c r="AJ367" s="21">
        <v>357</v>
      </c>
      <c r="AK367" s="21">
        <v>1.6970799999999999</v>
      </c>
      <c r="AL367">
        <f t="shared" si="66"/>
        <v>15.499876543209876</v>
      </c>
      <c r="AM367">
        <f t="shared" si="67"/>
        <v>26.313985408641972</v>
      </c>
      <c r="AP367" s="9"/>
      <c r="AQ367" s="21">
        <v>2.28882E-3</v>
      </c>
      <c r="AR367" s="21">
        <v>27.293099999999999</v>
      </c>
      <c r="AS367" s="21">
        <v>-1.6561900000000001E-2</v>
      </c>
      <c r="AT367" s="21">
        <v>357</v>
      </c>
      <c r="AU367" s="21">
        <v>1.86462E-3</v>
      </c>
      <c r="AV367">
        <f t="shared" si="68"/>
        <v>20.44679012345679</v>
      </c>
      <c r="AW367">
        <f t="shared" si="69"/>
        <v>4.6799022170370366E-2</v>
      </c>
      <c r="AX367" s="9"/>
      <c r="AY367" s="21">
        <v>1.6976899999999999</v>
      </c>
      <c r="AZ367" s="21">
        <v>31.112300000000001</v>
      </c>
      <c r="BA367" s="21">
        <v>-1.2463399999999999E-2</v>
      </c>
      <c r="BB367" s="21">
        <v>357</v>
      </c>
      <c r="BC367" s="21">
        <v>1.69617</v>
      </c>
      <c r="BD367">
        <f t="shared" si="70"/>
        <v>15.386913580246912</v>
      </c>
      <c r="BE367">
        <f t="shared" si="71"/>
        <v>26.122209316049378</v>
      </c>
    </row>
    <row r="368" spans="6:57" x14ac:dyDescent="0.25">
      <c r="F368" s="9"/>
      <c r="G368" s="21">
        <v>-2.7465800000000002E-3</v>
      </c>
      <c r="H368" s="21">
        <v>8.5877400000000002</v>
      </c>
      <c r="I368" s="21">
        <v>-1.6482500000000001E-2</v>
      </c>
      <c r="J368" s="21">
        <v>358</v>
      </c>
      <c r="K368" s="21">
        <v>-2.7923599999999998E-3</v>
      </c>
      <c r="L368">
        <f t="shared" si="60"/>
        <v>20.348765432098766</v>
      </c>
      <c r="M368">
        <f t="shared" si="61"/>
        <v>-5.5889512160493836E-2</v>
      </c>
      <c r="N368" s="9"/>
      <c r="O368" s="21">
        <v>1.7027300000000001</v>
      </c>
      <c r="P368" s="21">
        <v>12.4069</v>
      </c>
      <c r="Q368" s="21">
        <v>-1.24207E-2</v>
      </c>
      <c r="R368" s="21">
        <v>358</v>
      </c>
      <c r="S368" s="21">
        <v>1.70197</v>
      </c>
      <c r="T368">
        <f t="shared" si="62"/>
        <v>15.334197530864195</v>
      </c>
      <c r="U368">
        <f t="shared" si="63"/>
        <v>26.109998161728392</v>
      </c>
      <c r="X368" s="9"/>
      <c r="Y368" s="21">
        <v>-2.7465800000000002E-3</v>
      </c>
      <c r="Z368" s="21">
        <v>17.9664</v>
      </c>
      <c r="AA368" s="21">
        <v>-1.65527E-2</v>
      </c>
      <c r="AB368" s="21">
        <v>358</v>
      </c>
      <c r="AC368" s="21">
        <v>-2.89917E-3</v>
      </c>
      <c r="AD368">
        <f t="shared" si="64"/>
        <v>20.435432098765428</v>
      </c>
      <c r="AE368">
        <f t="shared" si="65"/>
        <v>-5.6127549093827153E-2</v>
      </c>
      <c r="AF368" s="9"/>
      <c r="AG368" s="21">
        <v>1.7027300000000001</v>
      </c>
      <c r="AH368" s="21">
        <v>21.785599999999999</v>
      </c>
      <c r="AI368" s="21">
        <v>-1.2335199999999999E-2</v>
      </c>
      <c r="AJ368" s="21">
        <v>358</v>
      </c>
      <c r="AK368" s="21">
        <v>1.70105</v>
      </c>
      <c r="AL368">
        <f t="shared" si="66"/>
        <v>15.228641975308641</v>
      </c>
      <c r="AM368">
        <f t="shared" si="67"/>
        <v>25.930265550617282</v>
      </c>
      <c r="AP368" s="9"/>
      <c r="AQ368" s="21">
        <v>-2.7465800000000002E-3</v>
      </c>
      <c r="AR368" s="21">
        <v>27.3032</v>
      </c>
      <c r="AS368" s="21">
        <v>-1.6574100000000001E-2</v>
      </c>
      <c r="AT368" s="21">
        <v>358</v>
      </c>
      <c r="AU368" s="21">
        <v>-2.97241E-3</v>
      </c>
      <c r="AV368">
        <f t="shared" si="68"/>
        <v>20.461851851851854</v>
      </c>
      <c r="AW368">
        <f t="shared" si="69"/>
        <v>-5.6200113059259267E-2</v>
      </c>
      <c r="AX368" s="9"/>
      <c r="AY368" s="21">
        <v>1.7027300000000001</v>
      </c>
      <c r="AZ368" s="21">
        <v>31.122299999999999</v>
      </c>
      <c r="BA368" s="21">
        <v>-1.22437E-2</v>
      </c>
      <c r="BB368" s="21">
        <v>358</v>
      </c>
      <c r="BC368" s="21">
        <v>1.70166</v>
      </c>
      <c r="BD368">
        <f t="shared" si="70"/>
        <v>15.115679012345678</v>
      </c>
      <c r="BE368">
        <f t="shared" si="71"/>
        <v>25.737920124691357</v>
      </c>
    </row>
    <row r="369" spans="6:57" x14ac:dyDescent="0.25">
      <c r="F369" s="9"/>
      <c r="G369" s="21">
        <v>-7.78198E-3</v>
      </c>
      <c r="H369" s="21">
        <v>8.5978100000000008</v>
      </c>
      <c r="I369" s="21">
        <v>-1.6488599999999999E-2</v>
      </c>
      <c r="J369" s="21">
        <v>359</v>
      </c>
      <c r="K369" s="21">
        <v>-7.9864500000000008E-3</v>
      </c>
      <c r="L369">
        <f t="shared" si="60"/>
        <v>20.356296296296293</v>
      </c>
      <c r="M369">
        <f t="shared" si="61"/>
        <v>-0.15841229065185183</v>
      </c>
      <c r="N369" s="9"/>
      <c r="O369" s="21">
        <v>1.7077599999999999</v>
      </c>
      <c r="P369" s="21">
        <v>12.417</v>
      </c>
      <c r="Q369" s="21">
        <v>-1.2204E-2</v>
      </c>
      <c r="R369" s="21">
        <v>359</v>
      </c>
      <c r="S369" s="21">
        <v>1.70685</v>
      </c>
      <c r="T369">
        <f t="shared" si="62"/>
        <v>15.066666666666666</v>
      </c>
      <c r="U369">
        <f t="shared" si="63"/>
        <v>25.730250666666667</v>
      </c>
      <c r="X369" s="9"/>
      <c r="Y369" s="21">
        <v>-7.78198E-3</v>
      </c>
      <c r="Z369" s="21">
        <v>17.976500000000001</v>
      </c>
      <c r="AA369" s="21">
        <v>-1.6561900000000001E-2</v>
      </c>
      <c r="AB369" s="21">
        <v>359</v>
      </c>
      <c r="AC369" s="21">
        <v>-7.8399699999999999E-3</v>
      </c>
      <c r="AD369">
        <f t="shared" si="64"/>
        <v>20.44679012345679</v>
      </c>
      <c r="AE369">
        <f t="shared" si="65"/>
        <v>-0.15911651180493827</v>
      </c>
      <c r="AF369" s="9"/>
      <c r="AG369" s="21">
        <v>1.7077599999999999</v>
      </c>
      <c r="AH369" s="21">
        <v>21.7957</v>
      </c>
      <c r="AI369" s="21">
        <v>-1.2097200000000001E-2</v>
      </c>
      <c r="AJ369" s="21">
        <v>359</v>
      </c>
      <c r="AK369" s="21">
        <v>1.7065399999999999</v>
      </c>
      <c r="AL369">
        <f t="shared" si="66"/>
        <v>14.934814814814814</v>
      </c>
      <c r="AM369">
        <f t="shared" si="67"/>
        <v>25.505079348148147</v>
      </c>
      <c r="AP369" s="9"/>
      <c r="AQ369" s="21">
        <v>-7.78198E-3</v>
      </c>
      <c r="AR369" s="21">
        <v>27.313199999999998</v>
      </c>
      <c r="AS369" s="21">
        <v>-1.65802E-2</v>
      </c>
      <c r="AT369" s="21">
        <v>359</v>
      </c>
      <c r="AU369" s="21">
        <v>-8.1146199999999995E-3</v>
      </c>
      <c r="AV369">
        <f t="shared" si="68"/>
        <v>20.469382716049381</v>
      </c>
      <c r="AW369">
        <f t="shared" si="69"/>
        <v>-0.15929232690864195</v>
      </c>
      <c r="AX369" s="9"/>
      <c r="AY369" s="21">
        <v>1.7077599999999999</v>
      </c>
      <c r="AZ369" s="21">
        <v>31.132400000000001</v>
      </c>
      <c r="BA369" s="21">
        <v>-1.1987299999999999E-2</v>
      </c>
      <c r="BB369" s="21">
        <v>359</v>
      </c>
      <c r="BC369" s="21">
        <v>1.7071499999999999</v>
      </c>
      <c r="BD369">
        <f t="shared" si="70"/>
        <v>14.799135802469134</v>
      </c>
      <c r="BE369">
        <f t="shared" si="71"/>
        <v>25.273372158024689</v>
      </c>
    </row>
    <row r="370" spans="6:57" x14ac:dyDescent="0.25">
      <c r="F370" s="9"/>
      <c r="G370" s="21">
        <v>-1.28174E-2</v>
      </c>
      <c r="H370" s="21">
        <v>8.6078799999999998</v>
      </c>
      <c r="I370" s="21">
        <v>-1.6500899999999999E-2</v>
      </c>
      <c r="J370" s="21">
        <v>360</v>
      </c>
      <c r="K370" s="21">
        <v>-1.2982199999999999E-2</v>
      </c>
      <c r="L370">
        <f t="shared" si="60"/>
        <v>20.371481481481482</v>
      </c>
      <c r="M370">
        <f t="shared" si="61"/>
        <v>-0.26110942674074072</v>
      </c>
      <c r="N370" s="9"/>
      <c r="O370" s="21">
        <v>1.7128000000000001</v>
      </c>
      <c r="P370" s="21">
        <v>12.427099999999999</v>
      </c>
      <c r="Q370" s="21">
        <v>-1.19598E-2</v>
      </c>
      <c r="R370" s="21">
        <v>360</v>
      </c>
      <c r="S370" s="21">
        <v>1.71143</v>
      </c>
      <c r="T370">
        <f t="shared" si="62"/>
        <v>14.765185185185183</v>
      </c>
      <c r="U370">
        <f t="shared" si="63"/>
        <v>25.289809185185185</v>
      </c>
      <c r="X370" s="9"/>
      <c r="Y370" s="21">
        <v>-1.28174E-2</v>
      </c>
      <c r="Z370" s="21">
        <v>17.986599999999999</v>
      </c>
      <c r="AA370" s="21">
        <v>-1.6570999999999999E-2</v>
      </c>
      <c r="AB370" s="21">
        <v>360</v>
      </c>
      <c r="AC370" s="21">
        <v>-1.27808E-2</v>
      </c>
      <c r="AD370">
        <f t="shared" si="64"/>
        <v>20.45802469135802</v>
      </c>
      <c r="AE370">
        <f t="shared" si="65"/>
        <v>-0.2622186856790123</v>
      </c>
      <c r="AF370" s="9"/>
      <c r="AG370" s="21">
        <v>1.7128000000000001</v>
      </c>
      <c r="AH370" s="21">
        <v>21.805800000000001</v>
      </c>
      <c r="AI370" s="21">
        <v>-1.18225E-2</v>
      </c>
      <c r="AJ370" s="21">
        <v>360</v>
      </c>
      <c r="AK370" s="21">
        <v>1.71173</v>
      </c>
      <c r="AL370">
        <f t="shared" si="66"/>
        <v>14.595679012345677</v>
      </c>
      <c r="AM370">
        <f t="shared" si="67"/>
        <v>24.999479012345677</v>
      </c>
      <c r="AP370" s="9"/>
      <c r="AQ370" s="21">
        <v>-1.28174E-2</v>
      </c>
      <c r="AR370" s="21">
        <v>27.3233</v>
      </c>
      <c r="AS370" s="21">
        <v>-1.6589400000000001E-2</v>
      </c>
      <c r="AT370" s="21">
        <v>360</v>
      </c>
      <c r="AU370" s="21">
        <v>-1.30554E-2</v>
      </c>
      <c r="AV370">
        <f t="shared" si="68"/>
        <v>20.480740740740739</v>
      </c>
      <c r="AW370">
        <f t="shared" si="69"/>
        <v>-0.26250984637037034</v>
      </c>
      <c r="AX370" s="9"/>
      <c r="AY370" s="21">
        <v>1.7128000000000001</v>
      </c>
      <c r="AZ370" s="21">
        <v>31.142499999999998</v>
      </c>
      <c r="BA370" s="21">
        <v>-1.17126E-2</v>
      </c>
      <c r="BB370" s="21">
        <v>360</v>
      </c>
      <c r="BC370" s="21">
        <v>1.71173</v>
      </c>
      <c r="BD370">
        <f t="shared" si="70"/>
        <v>14.459999999999999</v>
      </c>
      <c r="BE370">
        <f t="shared" si="71"/>
        <v>24.767088000000001</v>
      </c>
    </row>
    <row r="371" spans="6:57" x14ac:dyDescent="0.25">
      <c r="F371" s="9"/>
      <c r="G371" s="21">
        <v>-1.7852799999999999E-2</v>
      </c>
      <c r="H371" s="21">
        <v>8.6179500000000004</v>
      </c>
      <c r="I371" s="21">
        <v>-1.6507000000000001E-2</v>
      </c>
      <c r="J371" s="21">
        <v>361</v>
      </c>
      <c r="K371" s="21">
        <v>-1.8206799999999999E-2</v>
      </c>
      <c r="L371">
        <f t="shared" si="60"/>
        <v>20.379012345679012</v>
      </c>
      <c r="M371">
        <f t="shared" si="61"/>
        <v>-0.36382243160493821</v>
      </c>
      <c r="N371" s="9"/>
      <c r="O371" s="21">
        <v>1.71783</v>
      </c>
      <c r="P371" s="21">
        <v>12.437099999999999</v>
      </c>
      <c r="Q371" s="21">
        <v>-1.16852E-2</v>
      </c>
      <c r="R371" s="21">
        <v>361</v>
      </c>
      <c r="S371" s="21">
        <v>1.71753</v>
      </c>
      <c r="T371">
        <f t="shared" si="62"/>
        <v>14.426172839506172</v>
      </c>
      <c r="U371">
        <f t="shared" si="63"/>
        <v>24.781712488888889</v>
      </c>
      <c r="X371" s="9"/>
      <c r="Y371" s="21">
        <v>-1.7852799999999999E-2</v>
      </c>
      <c r="Z371" s="21">
        <v>17.996600000000001</v>
      </c>
      <c r="AA371" s="21">
        <v>-1.6577100000000001E-2</v>
      </c>
      <c r="AB371" s="21">
        <v>361</v>
      </c>
      <c r="AC371" s="21">
        <v>-1.8179299999999999E-2</v>
      </c>
      <c r="AD371">
        <f t="shared" si="64"/>
        <v>20.465555555555557</v>
      </c>
      <c r="AE371">
        <f t="shared" si="65"/>
        <v>-0.36536747022222221</v>
      </c>
      <c r="AF371" s="9"/>
      <c r="AG371" s="21">
        <v>1.71783</v>
      </c>
      <c r="AH371" s="21">
        <v>21.815799999999999</v>
      </c>
      <c r="AI371" s="21">
        <v>-1.1517299999999999E-2</v>
      </c>
      <c r="AJ371" s="21">
        <v>361</v>
      </c>
      <c r="AK371" s="21">
        <v>1.71692</v>
      </c>
      <c r="AL371">
        <f t="shared" si="66"/>
        <v>14.218888888888888</v>
      </c>
      <c r="AM371">
        <f t="shared" si="67"/>
        <v>24.425633899999998</v>
      </c>
      <c r="AP371" s="9"/>
      <c r="AQ371" s="21">
        <v>-1.7852799999999999E-2</v>
      </c>
      <c r="AR371" s="21">
        <v>27.333400000000001</v>
      </c>
      <c r="AS371" s="21">
        <v>-1.6598499999999999E-2</v>
      </c>
      <c r="AT371" s="21">
        <v>361</v>
      </c>
      <c r="AU371" s="21">
        <v>-1.81061E-2</v>
      </c>
      <c r="AV371">
        <f t="shared" si="68"/>
        <v>20.491975308641972</v>
      </c>
      <c r="AW371">
        <f t="shared" si="69"/>
        <v>-0.36583913679012336</v>
      </c>
      <c r="AX371" s="9"/>
      <c r="AY371" s="21">
        <v>1.71783</v>
      </c>
      <c r="AZ371" s="21">
        <v>31.1526</v>
      </c>
      <c r="BA371" s="21">
        <v>-1.13831E-2</v>
      </c>
      <c r="BB371" s="21">
        <v>361</v>
      </c>
      <c r="BC371" s="21">
        <v>1.71661</v>
      </c>
      <c r="BD371">
        <f t="shared" si="70"/>
        <v>14.053209876543209</v>
      </c>
      <c r="BE371">
        <f t="shared" si="71"/>
        <v>24.141025522222218</v>
      </c>
    </row>
    <row r="372" spans="6:57" x14ac:dyDescent="0.25">
      <c r="F372" s="9"/>
      <c r="G372" s="21">
        <v>-2.2888200000000001E-2</v>
      </c>
      <c r="H372" s="21">
        <v>8.6280199999999994</v>
      </c>
      <c r="I372" s="21">
        <v>-1.651E-2</v>
      </c>
      <c r="J372" s="21">
        <v>362</v>
      </c>
      <c r="K372" s="21">
        <v>-2.32727E-2</v>
      </c>
      <c r="L372">
        <f t="shared" si="60"/>
        <v>20.382716049382715</v>
      </c>
      <c r="M372">
        <f t="shared" si="61"/>
        <v>-0.46652368148148149</v>
      </c>
      <c r="N372" s="9"/>
      <c r="O372" s="21">
        <v>1.7228699999999999</v>
      </c>
      <c r="P372" s="21">
        <v>12.4472</v>
      </c>
      <c r="Q372" s="21">
        <v>-1.1377E-2</v>
      </c>
      <c r="R372" s="21">
        <v>362</v>
      </c>
      <c r="S372" s="21">
        <v>1.7218</v>
      </c>
      <c r="T372">
        <f t="shared" si="62"/>
        <v>14.045679012345678</v>
      </c>
      <c r="U372">
        <f t="shared" si="63"/>
        <v>24.198878999999998</v>
      </c>
      <c r="X372" s="9"/>
      <c r="Y372" s="21">
        <v>-2.2888200000000001E-2</v>
      </c>
      <c r="Z372" s="21">
        <v>18.006699999999999</v>
      </c>
      <c r="AA372" s="21">
        <v>-1.6586299999999998E-2</v>
      </c>
      <c r="AB372" s="21">
        <v>362</v>
      </c>
      <c r="AC372" s="21">
        <v>-2.3239099999999999E-2</v>
      </c>
      <c r="AD372">
        <f t="shared" si="64"/>
        <v>20.476913580246908</v>
      </c>
      <c r="AE372">
        <f t="shared" si="65"/>
        <v>-0.46867969340740728</v>
      </c>
      <c r="AF372" s="9"/>
      <c r="AG372" s="21">
        <v>1.7228699999999999</v>
      </c>
      <c r="AH372" s="21">
        <v>21.825900000000001</v>
      </c>
      <c r="AI372" s="21">
        <v>-1.11542E-2</v>
      </c>
      <c r="AJ372" s="21">
        <v>362</v>
      </c>
      <c r="AK372" s="21">
        <v>1.72211</v>
      </c>
      <c r="AL372">
        <f t="shared" si="66"/>
        <v>13.770617283950616</v>
      </c>
      <c r="AM372">
        <f t="shared" si="67"/>
        <v>23.724983399999996</v>
      </c>
      <c r="AP372" s="9"/>
      <c r="AQ372" s="21">
        <v>-2.2888200000000001E-2</v>
      </c>
      <c r="AR372" s="21">
        <v>27.343399999999999</v>
      </c>
      <c r="AS372" s="21">
        <v>-1.6604600000000001E-2</v>
      </c>
      <c r="AT372" s="21">
        <v>362</v>
      </c>
      <c r="AU372" s="21">
        <v>-2.2897299999999999E-2</v>
      </c>
      <c r="AV372">
        <f t="shared" si="68"/>
        <v>20.499506172839506</v>
      </c>
      <c r="AW372">
        <f t="shared" si="69"/>
        <v>-0.4691967971851852</v>
      </c>
      <c r="AX372" s="9"/>
      <c r="AY372" s="21">
        <v>1.7228699999999999</v>
      </c>
      <c r="AZ372" s="21">
        <v>31.162600000000001</v>
      </c>
      <c r="BA372" s="21">
        <v>-1.1013800000000001E-2</v>
      </c>
      <c r="BB372" s="21">
        <v>362</v>
      </c>
      <c r="BC372" s="21">
        <v>1.72211</v>
      </c>
      <c r="BD372">
        <f t="shared" si="70"/>
        <v>13.597283950617285</v>
      </c>
      <c r="BE372">
        <f t="shared" si="71"/>
        <v>23.426352600000001</v>
      </c>
    </row>
    <row r="373" spans="6:57" x14ac:dyDescent="0.25">
      <c r="F373" s="9"/>
      <c r="G373" s="21">
        <v>-2.79236E-2</v>
      </c>
      <c r="H373" s="21">
        <v>8.63809</v>
      </c>
      <c r="I373" s="21">
        <v>-1.6519200000000001E-2</v>
      </c>
      <c r="J373" s="21">
        <v>363</v>
      </c>
      <c r="K373" s="21">
        <v>-2.81525E-2</v>
      </c>
      <c r="L373">
        <f t="shared" si="60"/>
        <v>20.394074074074076</v>
      </c>
      <c r="M373">
        <f t="shared" si="61"/>
        <v>-0.56947596681481483</v>
      </c>
      <c r="N373" s="9"/>
      <c r="O373" s="21">
        <v>1.7279100000000001</v>
      </c>
      <c r="P373" s="21">
        <v>12.4573</v>
      </c>
      <c r="Q373" s="21">
        <v>-1.1019899999999999E-2</v>
      </c>
      <c r="R373" s="21">
        <v>363</v>
      </c>
      <c r="S373" s="21">
        <v>1.72699</v>
      </c>
      <c r="T373">
        <f t="shared" si="62"/>
        <v>13.604814814814812</v>
      </c>
      <c r="U373">
        <f t="shared" si="63"/>
        <v>23.507895566666662</v>
      </c>
      <c r="X373" s="9"/>
      <c r="Y373" s="21">
        <v>-2.79236E-2</v>
      </c>
      <c r="Z373" s="21">
        <v>18.0168</v>
      </c>
      <c r="AA373" s="21">
        <v>-1.65924E-2</v>
      </c>
      <c r="AB373" s="21">
        <v>363</v>
      </c>
      <c r="AC373" s="21">
        <v>-2.7835100000000002E-2</v>
      </c>
      <c r="AD373">
        <f t="shared" si="64"/>
        <v>20.484444444444446</v>
      </c>
      <c r="AE373">
        <f t="shared" si="65"/>
        <v>-0.57199943288888888</v>
      </c>
      <c r="AF373" s="9"/>
      <c r="AG373" s="21">
        <v>1.7279100000000001</v>
      </c>
      <c r="AH373" s="21">
        <v>21.835999999999999</v>
      </c>
      <c r="AI373" s="21">
        <v>-1.07452E-2</v>
      </c>
      <c r="AJ373" s="21">
        <v>363</v>
      </c>
      <c r="AK373" s="21">
        <v>1.72699</v>
      </c>
      <c r="AL373">
        <f t="shared" si="66"/>
        <v>13.265679012345677</v>
      </c>
      <c r="AM373">
        <f t="shared" si="67"/>
        <v>22.921899422222218</v>
      </c>
      <c r="AP373" s="9"/>
      <c r="AQ373" s="21">
        <v>-2.79236E-2</v>
      </c>
      <c r="AR373" s="21">
        <v>27.3535</v>
      </c>
      <c r="AS373" s="21">
        <v>-1.6610699999999999E-2</v>
      </c>
      <c r="AT373" s="21">
        <v>363</v>
      </c>
      <c r="AU373" s="21">
        <v>-2.8213499999999999E-2</v>
      </c>
      <c r="AV373">
        <f t="shared" si="68"/>
        <v>20.507037037037037</v>
      </c>
      <c r="AW373">
        <f t="shared" si="69"/>
        <v>-0.57263029940740739</v>
      </c>
      <c r="AX373" s="9"/>
      <c r="AY373" s="21">
        <v>1.7279100000000001</v>
      </c>
      <c r="AZ373" s="21">
        <v>31.172699999999999</v>
      </c>
      <c r="BA373" s="21">
        <v>-1.0553E-2</v>
      </c>
      <c r="BB373" s="21">
        <v>363</v>
      </c>
      <c r="BC373" s="21">
        <v>1.7276</v>
      </c>
      <c r="BD373">
        <f t="shared" si="70"/>
        <v>13.028395061728395</v>
      </c>
      <c r="BE373">
        <f t="shared" si="71"/>
        <v>22.511894111111111</v>
      </c>
    </row>
    <row r="374" spans="6:57" x14ac:dyDescent="0.25">
      <c r="F374" s="9"/>
      <c r="G374" s="21">
        <v>-3.2959000000000002E-2</v>
      </c>
      <c r="H374" s="21">
        <v>8.6481600000000007</v>
      </c>
      <c r="I374" s="21">
        <v>-1.6528299999999999E-2</v>
      </c>
      <c r="J374" s="21">
        <v>364</v>
      </c>
      <c r="K374" s="21">
        <v>-3.3584599999999999E-2</v>
      </c>
      <c r="L374">
        <f t="shared" si="60"/>
        <v>20.405308641975306</v>
      </c>
      <c r="M374">
        <f t="shared" si="61"/>
        <v>-0.67253856753086416</v>
      </c>
      <c r="N374" s="9"/>
      <c r="O374" s="21">
        <v>1.7329399999999999</v>
      </c>
      <c r="P374" s="21">
        <v>12.4674</v>
      </c>
      <c r="Q374" s="21">
        <v>-1.06018E-2</v>
      </c>
      <c r="R374" s="21">
        <v>364</v>
      </c>
      <c r="S374" s="21">
        <v>1.73248</v>
      </c>
      <c r="T374">
        <f t="shared" si="62"/>
        <v>13.088641975308642</v>
      </c>
      <c r="U374">
        <f t="shared" si="63"/>
        <v>22.681831224691358</v>
      </c>
      <c r="X374" s="9"/>
      <c r="Y374" s="21">
        <v>-3.2959000000000002E-2</v>
      </c>
      <c r="Z374" s="21">
        <v>18.026900000000001</v>
      </c>
      <c r="AA374" s="21">
        <v>-1.6598499999999999E-2</v>
      </c>
      <c r="AB374" s="21">
        <v>364</v>
      </c>
      <c r="AC374" s="21">
        <v>-3.3099400000000001E-2</v>
      </c>
      <c r="AD374">
        <f t="shared" si="64"/>
        <v>20.491975308641972</v>
      </c>
      <c r="AE374">
        <f t="shared" si="65"/>
        <v>-0.67539501419753079</v>
      </c>
      <c r="AF374" s="9"/>
      <c r="AG374" s="21">
        <v>1.7329399999999999</v>
      </c>
      <c r="AH374" s="21">
        <v>21.846</v>
      </c>
      <c r="AI374" s="21">
        <v>-1.02509E-2</v>
      </c>
      <c r="AJ374" s="21">
        <v>364</v>
      </c>
      <c r="AK374" s="21">
        <v>1.7321800000000001</v>
      </c>
      <c r="AL374">
        <f t="shared" si="66"/>
        <v>12.655432098765431</v>
      </c>
      <c r="AM374">
        <f t="shared" si="67"/>
        <v>21.931104501234564</v>
      </c>
      <c r="AP374" s="9"/>
      <c r="AQ374" s="21">
        <v>-3.2959000000000002E-2</v>
      </c>
      <c r="AR374" s="21">
        <v>27.363600000000002</v>
      </c>
      <c r="AS374" s="21">
        <v>-1.66199E-2</v>
      </c>
      <c r="AT374" s="21">
        <v>364</v>
      </c>
      <c r="AU374" s="21">
        <v>-3.3087199999999997E-2</v>
      </c>
      <c r="AV374">
        <f t="shared" si="68"/>
        <v>20.518395061728395</v>
      </c>
      <c r="AW374">
        <f t="shared" si="69"/>
        <v>-0.67626578283950622</v>
      </c>
      <c r="AX374" s="9"/>
      <c r="AY374" s="21">
        <v>1.7329399999999999</v>
      </c>
      <c r="AZ374" s="21">
        <v>31.1828</v>
      </c>
      <c r="BA374" s="21">
        <v>-1.00403E-2</v>
      </c>
      <c r="BB374" s="21">
        <v>364</v>
      </c>
      <c r="BC374" s="21">
        <v>1.73248</v>
      </c>
      <c r="BD374">
        <f t="shared" si="70"/>
        <v>12.395432098765431</v>
      </c>
      <c r="BE374">
        <f t="shared" si="71"/>
        <v>21.480540101234563</v>
      </c>
    </row>
    <row r="375" spans="6:57" x14ac:dyDescent="0.25">
      <c r="F375" s="9"/>
      <c r="G375" s="21">
        <v>-3.7994399999999998E-2</v>
      </c>
      <c r="H375" s="21">
        <v>8.6582299999999996</v>
      </c>
      <c r="I375" s="21">
        <v>-1.65405E-2</v>
      </c>
      <c r="J375" s="21">
        <v>365</v>
      </c>
      <c r="K375" s="21">
        <v>-3.8452100000000003E-2</v>
      </c>
      <c r="L375">
        <f t="shared" si="60"/>
        <v>20.420370370370371</v>
      </c>
      <c r="M375">
        <f t="shared" si="61"/>
        <v>-0.77585971999999992</v>
      </c>
      <c r="N375" s="9"/>
      <c r="O375" s="21">
        <v>1.7379800000000001</v>
      </c>
      <c r="P375" s="21">
        <v>12.477399999999999</v>
      </c>
      <c r="Q375" s="21">
        <v>-1.0119599999999999E-2</v>
      </c>
      <c r="R375" s="21">
        <v>365</v>
      </c>
      <c r="S375" s="21">
        <v>1.7373700000000001</v>
      </c>
      <c r="T375">
        <f t="shared" si="62"/>
        <v>12.493333333333332</v>
      </c>
      <c r="U375">
        <f t="shared" si="63"/>
        <v>21.713163466666664</v>
      </c>
      <c r="X375" s="9"/>
      <c r="Y375" s="21">
        <v>-3.7994399999999998E-2</v>
      </c>
      <c r="Z375" s="21">
        <v>18.036899999999999</v>
      </c>
      <c r="AA375" s="21">
        <v>-1.66077E-2</v>
      </c>
      <c r="AB375" s="21">
        <v>365</v>
      </c>
      <c r="AC375" s="21">
        <v>-3.8119500000000001E-2</v>
      </c>
      <c r="AD375">
        <f t="shared" si="64"/>
        <v>20.50333333333333</v>
      </c>
      <c r="AE375">
        <f t="shared" si="65"/>
        <v>-0.77901184799999978</v>
      </c>
      <c r="AF375" s="9"/>
      <c r="AG375" s="21">
        <v>1.7379800000000001</v>
      </c>
      <c r="AH375" s="21">
        <v>21.856100000000001</v>
      </c>
      <c r="AI375" s="21">
        <v>-9.68018E-3</v>
      </c>
      <c r="AJ375" s="21">
        <v>365</v>
      </c>
      <c r="AK375" s="21">
        <v>1.73706</v>
      </c>
      <c r="AL375">
        <f t="shared" si="66"/>
        <v>11.950839506172839</v>
      </c>
      <c r="AM375">
        <f t="shared" si="67"/>
        <v>20.77032004493827</v>
      </c>
      <c r="AP375" s="9"/>
      <c r="AQ375" s="21">
        <v>-3.7994399999999998E-2</v>
      </c>
      <c r="AR375" s="21">
        <v>27.373699999999999</v>
      </c>
      <c r="AS375" s="21">
        <v>-1.6629000000000001E-2</v>
      </c>
      <c r="AT375" s="21">
        <v>365</v>
      </c>
      <c r="AU375" s="21">
        <v>-3.8165299999999999E-2</v>
      </c>
      <c r="AV375">
        <f t="shared" si="68"/>
        <v>20.529629629629632</v>
      </c>
      <c r="AW375">
        <f t="shared" si="69"/>
        <v>-0.78001096000000003</v>
      </c>
      <c r="AX375" s="9"/>
      <c r="AY375" s="21">
        <v>1.7379800000000001</v>
      </c>
      <c r="AZ375" s="21">
        <v>31.192799999999998</v>
      </c>
      <c r="BA375" s="21">
        <v>-9.4268800000000003E-3</v>
      </c>
      <c r="BB375" s="21">
        <v>365</v>
      </c>
      <c r="BC375" s="21">
        <v>1.73645</v>
      </c>
      <c r="BD375">
        <f t="shared" si="70"/>
        <v>11.638123456790124</v>
      </c>
      <c r="BE375">
        <f t="shared" si="71"/>
        <v>20.2268258054321</v>
      </c>
    </row>
    <row r="376" spans="6:57" x14ac:dyDescent="0.25">
      <c r="F376" s="9"/>
      <c r="G376" s="21">
        <v>-4.30298E-2</v>
      </c>
      <c r="H376" s="21">
        <v>8.66831</v>
      </c>
      <c r="I376" s="21">
        <v>-1.6546600000000002E-2</v>
      </c>
      <c r="J376" s="21">
        <v>366</v>
      </c>
      <c r="K376" s="21">
        <v>-4.3527200000000002E-2</v>
      </c>
      <c r="L376">
        <f t="shared" si="60"/>
        <v>20.427901234567901</v>
      </c>
      <c r="M376">
        <f t="shared" si="61"/>
        <v>-0.87900850454320989</v>
      </c>
      <c r="N376" s="9"/>
      <c r="O376" s="21">
        <v>1.7430099999999999</v>
      </c>
      <c r="P376" s="21">
        <v>12.487500000000001</v>
      </c>
      <c r="Q376" s="21">
        <v>-9.5123299999999994E-3</v>
      </c>
      <c r="R376" s="21">
        <v>366</v>
      </c>
      <c r="S376" s="21">
        <v>1.7416400000000001</v>
      </c>
      <c r="T376">
        <f t="shared" si="62"/>
        <v>11.743617283950616</v>
      </c>
      <c r="U376">
        <f t="shared" si="63"/>
        <v>20.469242362098765</v>
      </c>
      <c r="X376" s="9"/>
      <c r="Y376" s="21">
        <v>-4.30298E-2</v>
      </c>
      <c r="Z376" s="21">
        <v>18.047000000000001</v>
      </c>
      <c r="AA376" s="21">
        <v>-1.6616800000000001E-2</v>
      </c>
      <c r="AB376" s="21">
        <v>366</v>
      </c>
      <c r="AC376" s="21">
        <v>-4.3277000000000003E-2</v>
      </c>
      <c r="AD376">
        <f t="shared" si="64"/>
        <v>20.514567901234567</v>
      </c>
      <c r="AE376">
        <f t="shared" si="65"/>
        <v>-0.88273775387654319</v>
      </c>
      <c r="AF376" s="9"/>
      <c r="AG376" s="21">
        <v>1.7430099999999999</v>
      </c>
      <c r="AH376" s="21">
        <v>21.866199999999999</v>
      </c>
      <c r="AI376" s="21">
        <v>-9.0209999999999995E-3</v>
      </c>
      <c r="AJ376" s="21">
        <v>366</v>
      </c>
      <c r="AK376" s="21">
        <v>1.7416400000000001</v>
      </c>
      <c r="AL376">
        <f t="shared" si="66"/>
        <v>11.137037037037036</v>
      </c>
      <c r="AM376">
        <f t="shared" si="67"/>
        <v>19.411966925925924</v>
      </c>
      <c r="AP376" s="9"/>
      <c r="AQ376" s="21">
        <v>-4.30298E-2</v>
      </c>
      <c r="AR376" s="21">
        <v>27.383700000000001</v>
      </c>
      <c r="AS376" s="21">
        <v>-1.66351E-2</v>
      </c>
      <c r="AT376" s="21">
        <v>366</v>
      </c>
      <c r="AU376" s="21">
        <v>-4.3295300000000002E-2</v>
      </c>
      <c r="AV376">
        <f t="shared" si="68"/>
        <v>20.537160493827159</v>
      </c>
      <c r="AW376">
        <f t="shared" si="69"/>
        <v>-0.88370990861728382</v>
      </c>
      <c r="AX376" s="9"/>
      <c r="AY376" s="21">
        <v>1.7430099999999999</v>
      </c>
      <c r="AZ376" s="21">
        <v>31.2029</v>
      </c>
      <c r="BA376" s="21">
        <v>-8.7158200000000009E-3</v>
      </c>
      <c r="BB376" s="21">
        <v>366</v>
      </c>
      <c r="BC376" s="21">
        <v>1.74194</v>
      </c>
      <c r="BD376">
        <f t="shared" si="70"/>
        <v>10.760271604938271</v>
      </c>
      <c r="BE376">
        <f t="shared" si="71"/>
        <v>18.755261010123455</v>
      </c>
    </row>
    <row r="377" spans="6:57" x14ac:dyDescent="0.25">
      <c r="F377" s="9"/>
      <c r="G377" s="21">
        <v>-4.8065200000000002E-2</v>
      </c>
      <c r="H377" s="21">
        <v>8.6783800000000006</v>
      </c>
      <c r="I377" s="21">
        <v>-1.6558799999999999E-2</v>
      </c>
      <c r="J377" s="21">
        <v>367</v>
      </c>
      <c r="K377" s="21">
        <v>-4.8397799999999998E-2</v>
      </c>
      <c r="L377">
        <f t="shared" si="60"/>
        <v>20.442962962962962</v>
      </c>
      <c r="M377">
        <f t="shared" si="61"/>
        <v>-0.98259510340740741</v>
      </c>
      <c r="N377" s="9"/>
      <c r="O377" s="21">
        <v>1.7480500000000001</v>
      </c>
      <c r="P377" s="21">
        <v>12.4976</v>
      </c>
      <c r="Q377" s="21">
        <v>-8.7768599999999992E-3</v>
      </c>
      <c r="R377" s="21">
        <v>367</v>
      </c>
      <c r="S377" s="21">
        <v>1.7471300000000001</v>
      </c>
      <c r="T377">
        <f t="shared" si="62"/>
        <v>10.835629629629628</v>
      </c>
      <c r="U377">
        <f t="shared" si="63"/>
        <v>18.941222374074073</v>
      </c>
      <c r="X377" s="9"/>
      <c r="Y377" s="21">
        <v>-4.8065200000000002E-2</v>
      </c>
      <c r="Z377" s="21">
        <v>18.057099999999998</v>
      </c>
      <c r="AA377" s="21">
        <v>-1.6622899999999999E-2</v>
      </c>
      <c r="AB377" s="21">
        <v>367</v>
      </c>
      <c r="AC377" s="21">
        <v>-4.8437500000000001E-2</v>
      </c>
      <c r="AD377">
        <f t="shared" si="64"/>
        <v>20.522098765432094</v>
      </c>
      <c r="AE377">
        <f t="shared" si="65"/>
        <v>-0.98639878158024674</v>
      </c>
      <c r="AF377" s="9"/>
      <c r="AG377" s="21">
        <v>1.7480500000000001</v>
      </c>
      <c r="AH377" s="21">
        <v>21.876300000000001</v>
      </c>
      <c r="AI377" s="21">
        <v>-8.1939700000000001E-3</v>
      </c>
      <c r="AJ377" s="21">
        <v>367</v>
      </c>
      <c r="AK377" s="21">
        <v>1.7468300000000001</v>
      </c>
      <c r="AL377">
        <f t="shared" si="66"/>
        <v>10.116012345679012</v>
      </c>
      <c r="AM377">
        <f t="shared" si="67"/>
        <v>17.683295380864198</v>
      </c>
      <c r="AP377" s="9"/>
      <c r="AQ377" s="21">
        <v>-4.8065200000000002E-2</v>
      </c>
      <c r="AR377" s="21">
        <v>27.393799999999999</v>
      </c>
      <c r="AS377" s="21">
        <v>-1.6644300000000001E-2</v>
      </c>
      <c r="AT377" s="21">
        <v>367</v>
      </c>
      <c r="AU377" s="21">
        <v>-4.8443600000000003E-2</v>
      </c>
      <c r="AV377">
        <f t="shared" si="68"/>
        <v>20.548518518518517</v>
      </c>
      <c r="AW377">
        <f t="shared" si="69"/>
        <v>-0.9876686522962963</v>
      </c>
      <c r="AX377" s="9"/>
      <c r="AY377" s="21">
        <v>1.7480500000000001</v>
      </c>
      <c r="AZ377" s="21">
        <v>31.213000000000001</v>
      </c>
      <c r="BA377" s="21">
        <v>-7.7941900000000003E-3</v>
      </c>
      <c r="BB377" s="21">
        <v>367</v>
      </c>
      <c r="BC377" s="21">
        <v>1.7471300000000001</v>
      </c>
      <c r="BD377">
        <f t="shared" si="70"/>
        <v>9.6224567901234561</v>
      </c>
      <c r="BE377">
        <f t="shared" si="71"/>
        <v>16.820535591975307</v>
      </c>
    </row>
    <row r="378" spans="6:57" x14ac:dyDescent="0.25">
      <c r="F378" s="9"/>
      <c r="G378" s="21">
        <v>-5.3100599999999998E-2</v>
      </c>
      <c r="H378" s="21">
        <v>8.6884499999999996</v>
      </c>
      <c r="I378" s="21">
        <v>-1.6567999999999999E-2</v>
      </c>
      <c r="J378" s="21">
        <v>368</v>
      </c>
      <c r="K378" s="21">
        <v>-5.3466800000000002E-2</v>
      </c>
      <c r="L378">
        <f t="shared" si="60"/>
        <v>20.454320987654317</v>
      </c>
      <c r="M378">
        <f t="shared" si="61"/>
        <v>-1.0861367170370368</v>
      </c>
      <c r="N378" s="9"/>
      <c r="O378" s="21">
        <v>1.75308</v>
      </c>
      <c r="P378" s="21">
        <v>12.5076</v>
      </c>
      <c r="Q378" s="21">
        <v>-7.8704799999999991E-3</v>
      </c>
      <c r="R378" s="21">
        <v>368</v>
      </c>
      <c r="S378" s="21">
        <v>1.7517100000000001</v>
      </c>
      <c r="T378">
        <f t="shared" si="62"/>
        <v>9.7166419753086402</v>
      </c>
      <c r="U378">
        <f t="shared" si="63"/>
        <v>17.03405071407407</v>
      </c>
      <c r="X378" s="9"/>
      <c r="Y378" s="21">
        <v>-5.3100599999999998E-2</v>
      </c>
      <c r="Z378" s="21">
        <v>18.0671</v>
      </c>
      <c r="AA378" s="21">
        <v>-1.66321E-2</v>
      </c>
      <c r="AB378" s="21">
        <v>368</v>
      </c>
      <c r="AC378" s="21">
        <v>-5.3405800000000003E-2</v>
      </c>
      <c r="AD378">
        <f t="shared" si="64"/>
        <v>20.533456790123456</v>
      </c>
      <c r="AE378">
        <f t="shared" si="65"/>
        <v>-1.0903388756296295</v>
      </c>
      <c r="AF378" s="9"/>
      <c r="AG378" s="21">
        <v>1.75308</v>
      </c>
      <c r="AH378" s="21">
        <v>21.886299999999999</v>
      </c>
      <c r="AI378" s="21">
        <v>-7.1105999999999999E-3</v>
      </c>
      <c r="AJ378" s="21">
        <v>368</v>
      </c>
      <c r="AK378" s="21">
        <v>1.7517100000000001</v>
      </c>
      <c r="AL378">
        <f t="shared" si="66"/>
        <v>8.7785185185185171</v>
      </c>
      <c r="AM378">
        <f t="shared" si="67"/>
        <v>15.389445244444442</v>
      </c>
      <c r="AP378" s="9"/>
      <c r="AQ378" s="21">
        <v>-5.3100599999999998E-2</v>
      </c>
      <c r="AR378" s="21">
        <v>27.4039</v>
      </c>
      <c r="AS378" s="21">
        <v>-1.6653399999999999E-2</v>
      </c>
      <c r="AT378" s="21">
        <v>368</v>
      </c>
      <c r="AU378" s="21">
        <v>-5.3497299999999998E-2</v>
      </c>
      <c r="AV378">
        <f t="shared" si="68"/>
        <v>20.55975308641975</v>
      </c>
      <c r="AW378">
        <f t="shared" si="69"/>
        <v>-1.0917352247407406</v>
      </c>
      <c r="AX378" s="9"/>
      <c r="AY378" s="21">
        <v>1.75308</v>
      </c>
      <c r="AZ378" s="21">
        <v>31.223099999999999</v>
      </c>
      <c r="BA378" s="21">
        <v>-6.5216099999999997E-3</v>
      </c>
      <c r="BB378" s="21">
        <v>368</v>
      </c>
      <c r="BC378" s="21">
        <v>1.7529300000000001</v>
      </c>
      <c r="BD378">
        <f t="shared" si="70"/>
        <v>8.0513703703703694</v>
      </c>
      <c r="BE378">
        <f t="shared" si="71"/>
        <v>14.114696368888888</v>
      </c>
    </row>
    <row r="379" spans="6:57" x14ac:dyDescent="0.25">
      <c r="F379" s="9"/>
      <c r="G379" s="21">
        <v>-5.8136E-2</v>
      </c>
      <c r="H379" s="21">
        <v>8.6985200000000003</v>
      </c>
      <c r="I379" s="21">
        <v>-1.6577100000000001E-2</v>
      </c>
      <c r="J379" s="21">
        <v>369</v>
      </c>
      <c r="K379" s="21">
        <v>-5.87769E-2</v>
      </c>
      <c r="L379">
        <f t="shared" si="60"/>
        <v>20.465555555555557</v>
      </c>
      <c r="M379">
        <f t="shared" si="61"/>
        <v>-1.189785537777778</v>
      </c>
      <c r="N379" s="9"/>
      <c r="O379" s="21">
        <v>1.7581199999999999</v>
      </c>
      <c r="P379" s="21">
        <v>12.5177</v>
      </c>
      <c r="Q379" s="21">
        <v>-6.70471E-3</v>
      </c>
      <c r="R379" s="21">
        <v>369</v>
      </c>
      <c r="S379" s="21">
        <v>1.7572000000000001</v>
      </c>
      <c r="T379">
        <f t="shared" si="62"/>
        <v>8.2774197530864182</v>
      </c>
      <c r="U379">
        <f t="shared" si="63"/>
        <v>14.552697216296293</v>
      </c>
      <c r="X379" s="9"/>
      <c r="Y379" s="21">
        <v>-5.8136E-2</v>
      </c>
      <c r="Z379" s="21">
        <v>18.077200000000001</v>
      </c>
      <c r="AA379" s="21">
        <v>-1.6641199999999998E-2</v>
      </c>
      <c r="AB379" s="21">
        <v>369</v>
      </c>
      <c r="AC379" s="21">
        <v>-5.84106E-2</v>
      </c>
      <c r="AD379">
        <f t="shared" si="64"/>
        <v>20.544691358024686</v>
      </c>
      <c r="AE379">
        <f t="shared" si="65"/>
        <v>-1.1943861767901232</v>
      </c>
      <c r="AF379" s="9"/>
      <c r="AG379" s="21">
        <v>1.7581199999999999</v>
      </c>
      <c r="AH379" s="21">
        <v>21.8964</v>
      </c>
      <c r="AI379" s="21">
        <v>-5.5023199999999998E-3</v>
      </c>
      <c r="AJ379" s="21">
        <v>369</v>
      </c>
      <c r="AK379" s="21">
        <v>1.7581199999999999</v>
      </c>
      <c r="AL379">
        <f t="shared" si="66"/>
        <v>6.7929876543209868</v>
      </c>
      <c r="AM379">
        <f t="shared" si="67"/>
        <v>11.942887454814812</v>
      </c>
      <c r="AP379" s="9"/>
      <c r="AQ379" s="21">
        <v>-5.8136E-2</v>
      </c>
      <c r="AR379" s="21">
        <v>27.413900000000002</v>
      </c>
      <c r="AS379" s="21">
        <v>-1.6659500000000001E-2</v>
      </c>
      <c r="AT379" s="21">
        <v>369</v>
      </c>
      <c r="AU379" s="21">
        <v>-5.8868400000000001E-2</v>
      </c>
      <c r="AV379">
        <f t="shared" si="68"/>
        <v>20.567283950617284</v>
      </c>
      <c r="AW379">
        <f t="shared" si="69"/>
        <v>-1.1956996197530865</v>
      </c>
      <c r="AX379" s="9"/>
      <c r="AY379" s="21">
        <v>1.7581199999999999</v>
      </c>
      <c r="AZ379" s="21">
        <v>31.2331</v>
      </c>
      <c r="BA379" s="21">
        <v>-4.7143599999999999E-3</v>
      </c>
      <c r="BB379" s="21">
        <v>369</v>
      </c>
      <c r="BC379" s="21">
        <v>1.7568999999999999</v>
      </c>
      <c r="BD379">
        <f t="shared" si="70"/>
        <v>5.8201975308641973</v>
      </c>
      <c r="BE379">
        <f t="shared" si="71"/>
        <v>10.232605682962962</v>
      </c>
    </row>
    <row r="380" spans="6:57" x14ac:dyDescent="0.25">
      <c r="F380" s="9"/>
      <c r="G380" s="21">
        <v>-6.3171400000000003E-2</v>
      </c>
      <c r="H380" s="21">
        <v>8.7085899999999992</v>
      </c>
      <c r="I380" s="21">
        <v>-1.6583299999999999E-2</v>
      </c>
      <c r="J380" s="21">
        <v>370</v>
      </c>
      <c r="K380" s="21">
        <v>-6.3903799999999997E-2</v>
      </c>
      <c r="L380">
        <f t="shared" si="60"/>
        <v>20.473209876543208</v>
      </c>
      <c r="M380">
        <f t="shared" si="61"/>
        <v>-1.2933213303950617</v>
      </c>
      <c r="N380" s="9"/>
      <c r="O380" s="21">
        <v>1.76315</v>
      </c>
      <c r="P380" s="21">
        <v>12.527799999999999</v>
      </c>
      <c r="Q380" s="21">
        <v>-5.0048799999999997E-3</v>
      </c>
      <c r="R380" s="21">
        <v>370</v>
      </c>
      <c r="S380" s="21">
        <v>1.7623899999999999</v>
      </c>
      <c r="T380">
        <f t="shared" si="62"/>
        <v>6.1788641975308636</v>
      </c>
      <c r="U380">
        <f t="shared" si="63"/>
        <v>10.894264409876541</v>
      </c>
      <c r="X380" s="9"/>
      <c r="Y380" s="21">
        <v>-6.3171400000000003E-2</v>
      </c>
      <c r="Z380" s="21">
        <v>18.087299999999999</v>
      </c>
      <c r="AA380" s="21">
        <v>-1.66473E-2</v>
      </c>
      <c r="AB380" s="21">
        <v>370</v>
      </c>
      <c r="AC380" s="21">
        <v>-6.3781699999999997E-2</v>
      </c>
      <c r="AD380">
        <f t="shared" si="64"/>
        <v>20.552222222222223</v>
      </c>
      <c r="AE380">
        <f t="shared" si="65"/>
        <v>-1.2983126508888889</v>
      </c>
      <c r="AF380" s="9"/>
      <c r="AG380" s="21">
        <v>1.76315</v>
      </c>
      <c r="AH380" s="21">
        <v>21.906500000000001</v>
      </c>
      <c r="AI380" s="21">
        <v>-3.3383200000000001E-3</v>
      </c>
      <c r="AJ380" s="21">
        <v>370</v>
      </c>
      <c r="AK380" s="21">
        <v>1.7629999999999999</v>
      </c>
      <c r="AL380">
        <f t="shared" si="66"/>
        <v>4.121382716049383</v>
      </c>
      <c r="AM380">
        <f t="shared" si="67"/>
        <v>7.26661593580247</v>
      </c>
      <c r="AP380" s="9"/>
      <c r="AQ380" s="21">
        <v>-6.3171400000000003E-2</v>
      </c>
      <c r="AR380" s="21">
        <v>27.423999999999999</v>
      </c>
      <c r="AS380" s="21">
        <v>-1.6668700000000002E-2</v>
      </c>
      <c r="AT380" s="21">
        <v>370</v>
      </c>
      <c r="AU380" s="21">
        <v>-6.34155E-2</v>
      </c>
      <c r="AV380">
        <f t="shared" si="68"/>
        <v>20.578641975308642</v>
      </c>
      <c r="AW380">
        <f t="shared" si="69"/>
        <v>-1.2999816236790125</v>
      </c>
      <c r="AX380" s="9"/>
      <c r="AY380" s="21">
        <v>1.76315</v>
      </c>
      <c r="AZ380" s="21">
        <v>31.243200000000002</v>
      </c>
      <c r="BA380" s="21">
        <v>-2.24976E-3</v>
      </c>
      <c r="BB380" s="21">
        <v>370</v>
      </c>
      <c r="BC380" s="21">
        <v>1.7629999999999999</v>
      </c>
      <c r="BD380">
        <f t="shared" si="70"/>
        <v>2.7774814814814812</v>
      </c>
      <c r="BE380">
        <f t="shared" si="71"/>
        <v>4.8971164740740738</v>
      </c>
    </row>
    <row r="381" spans="6:57" x14ac:dyDescent="0.25">
      <c r="F381" s="9"/>
      <c r="G381" s="21">
        <v>-6.8206799999999998E-2</v>
      </c>
      <c r="H381" s="21">
        <v>8.7186599999999999</v>
      </c>
      <c r="I381" s="21">
        <v>-1.6589400000000001E-2</v>
      </c>
      <c r="J381" s="21">
        <v>371</v>
      </c>
      <c r="K381" s="21">
        <v>-6.8939200000000006E-2</v>
      </c>
      <c r="L381">
        <f t="shared" si="60"/>
        <v>20.480740740740739</v>
      </c>
      <c r="M381">
        <f t="shared" si="61"/>
        <v>-1.3969257875555554</v>
      </c>
      <c r="N381" s="9"/>
      <c r="O381" s="21">
        <v>1.7681899999999999</v>
      </c>
      <c r="P381" s="21">
        <v>12.5379</v>
      </c>
      <c r="Q381" s="21">
        <v>-2.3965499999999999E-3</v>
      </c>
      <c r="R381" s="21">
        <v>371</v>
      </c>
      <c r="S381" s="21">
        <v>1.7675799999999999</v>
      </c>
      <c r="T381">
        <f t="shared" si="62"/>
        <v>2.9587037037037036</v>
      </c>
      <c r="U381">
        <f t="shared" si="63"/>
        <v>5.2315503018518514</v>
      </c>
      <c r="X381" s="9"/>
      <c r="Y381" s="21">
        <v>-6.8206799999999998E-2</v>
      </c>
      <c r="Z381" s="21">
        <v>18.0974</v>
      </c>
      <c r="AA381" s="21">
        <v>-1.6656500000000001E-2</v>
      </c>
      <c r="AB381" s="21">
        <v>371</v>
      </c>
      <c r="AC381" s="21">
        <v>-6.8664600000000006E-2</v>
      </c>
      <c r="AD381">
        <f t="shared" si="64"/>
        <v>20.563580246913581</v>
      </c>
      <c r="AE381">
        <f t="shared" si="65"/>
        <v>-1.4025760051851852</v>
      </c>
      <c r="AF381" s="9"/>
      <c r="AG381" s="21">
        <v>1.7681899999999999</v>
      </c>
      <c r="AH381" s="21">
        <v>21.916499999999999</v>
      </c>
      <c r="AI381" s="21">
        <v>-3.7091099999999997E-4</v>
      </c>
      <c r="AJ381" s="21">
        <v>371</v>
      </c>
      <c r="AK381" s="21">
        <v>1.7678799999999999</v>
      </c>
      <c r="AL381">
        <f t="shared" si="66"/>
        <v>0.45791481481481477</v>
      </c>
      <c r="AM381">
        <f t="shared" si="67"/>
        <v>0.8096803964074073</v>
      </c>
      <c r="AP381" s="9"/>
      <c r="AQ381" s="21">
        <v>-6.8206799999999998E-2</v>
      </c>
      <c r="AR381" s="21">
        <v>27.434100000000001</v>
      </c>
      <c r="AS381" s="21">
        <v>-1.66748E-2</v>
      </c>
      <c r="AT381" s="21">
        <v>371</v>
      </c>
      <c r="AU381" s="21">
        <v>-6.8786600000000003E-2</v>
      </c>
      <c r="AV381">
        <f t="shared" si="68"/>
        <v>20.586172839506172</v>
      </c>
      <c r="AW381">
        <f t="shared" si="69"/>
        <v>-1.4041169736296295</v>
      </c>
      <c r="AX381" s="9"/>
      <c r="AY381" s="21">
        <v>1.7681899999999999</v>
      </c>
      <c r="AZ381" s="21">
        <v>31.253299999999999</v>
      </c>
      <c r="BA381" s="21">
        <v>1.42487E-3</v>
      </c>
      <c r="BB381" s="21">
        <v>371</v>
      </c>
      <c r="BC381" s="21">
        <v>1.7672699999999999</v>
      </c>
      <c r="BD381">
        <f t="shared" si="70"/>
        <v>-1.7590987654320984</v>
      </c>
      <c r="BE381">
        <f t="shared" si="71"/>
        <v>-3.1104208460493821</v>
      </c>
    </row>
    <row r="382" spans="6:57" x14ac:dyDescent="0.25">
      <c r="F382" s="9"/>
      <c r="G382" s="21">
        <v>-7.3242199999999993E-2</v>
      </c>
      <c r="H382" s="21">
        <v>8.7287300000000005</v>
      </c>
      <c r="I382" s="21">
        <v>-1.6598499999999999E-2</v>
      </c>
      <c r="J382" s="21">
        <v>372</v>
      </c>
      <c r="K382" s="21">
        <v>-7.3669399999999996E-2</v>
      </c>
      <c r="L382">
        <f t="shared" si="60"/>
        <v>20.491975308641972</v>
      </c>
      <c r="M382">
        <f t="shared" si="61"/>
        <v>-1.5008773539506168</v>
      </c>
      <c r="N382" s="9"/>
      <c r="O382" s="21">
        <v>1.77322</v>
      </c>
      <c r="P382" s="21">
        <v>12.5479</v>
      </c>
      <c r="Q382" s="21">
        <v>1.6970799999999999E-3</v>
      </c>
      <c r="R382" s="21">
        <v>372</v>
      </c>
      <c r="S382" s="21">
        <v>1.7724599999999999</v>
      </c>
      <c r="T382">
        <f t="shared" si="62"/>
        <v>-2.09516049382716</v>
      </c>
      <c r="U382">
        <f t="shared" si="63"/>
        <v>-3.7151804908641965</v>
      </c>
      <c r="X382" s="9"/>
      <c r="Y382" s="21">
        <v>-7.3242199999999993E-2</v>
      </c>
      <c r="Z382" s="21">
        <v>18.107399999999998</v>
      </c>
      <c r="AA382" s="21">
        <v>-1.66626E-2</v>
      </c>
      <c r="AB382" s="21">
        <v>372</v>
      </c>
      <c r="AC382" s="21">
        <v>-7.3791499999999996E-2</v>
      </c>
      <c r="AD382">
        <f t="shared" si="64"/>
        <v>20.571111111111108</v>
      </c>
      <c r="AE382">
        <f t="shared" si="65"/>
        <v>-1.5066734342222219</v>
      </c>
      <c r="AF382" s="9"/>
      <c r="AG382" s="21">
        <v>1.77322</v>
      </c>
      <c r="AH382" s="21">
        <v>21.926600000000001</v>
      </c>
      <c r="AI382" s="21">
        <v>4.7491499999999997E-3</v>
      </c>
      <c r="AJ382" s="21">
        <v>372</v>
      </c>
      <c r="AK382" s="21">
        <v>1.7718499999999999</v>
      </c>
      <c r="AL382">
        <f t="shared" si="66"/>
        <v>-5.8631481481481478</v>
      </c>
      <c r="AM382">
        <f t="shared" si="67"/>
        <v>-10.396651559259258</v>
      </c>
      <c r="AP382" s="9"/>
      <c r="AQ382" s="21">
        <v>-7.3242199999999993E-2</v>
      </c>
      <c r="AR382" s="21">
        <v>27.444199999999999</v>
      </c>
      <c r="AS382" s="21">
        <v>-1.6684000000000001E-2</v>
      </c>
      <c r="AT382" s="21">
        <v>372</v>
      </c>
      <c r="AU382" s="21">
        <v>-7.3944099999999999E-2</v>
      </c>
      <c r="AV382">
        <f t="shared" si="68"/>
        <v>20.597530864197534</v>
      </c>
      <c r="AW382">
        <f t="shared" si="69"/>
        <v>-1.5086084750617286</v>
      </c>
      <c r="AX382" s="9"/>
      <c r="AY382" s="21">
        <v>1.77322</v>
      </c>
      <c r="AZ382" s="21">
        <v>31.263300000000001</v>
      </c>
      <c r="BA382" s="21">
        <v>7.6812699999999996E-3</v>
      </c>
      <c r="BB382" s="21">
        <v>372</v>
      </c>
      <c r="BC382" s="21">
        <v>1.77216</v>
      </c>
      <c r="BD382">
        <f t="shared" si="70"/>
        <v>-9.4830493827160485</v>
      </c>
      <c r="BE382">
        <f t="shared" si="71"/>
        <v>-16.815532826419751</v>
      </c>
    </row>
    <row r="383" spans="6:57" x14ac:dyDescent="0.25">
      <c r="F383" s="9"/>
      <c r="G383" s="21">
        <v>-7.8277600000000003E-2</v>
      </c>
      <c r="H383" s="21">
        <v>8.7387999999999995</v>
      </c>
      <c r="I383" s="21">
        <v>-1.66077E-2</v>
      </c>
      <c r="J383" s="21">
        <v>373</v>
      </c>
      <c r="K383" s="21">
        <v>-7.9101599999999994E-2</v>
      </c>
      <c r="L383">
        <f t="shared" si="60"/>
        <v>20.50333333333333</v>
      </c>
      <c r="M383">
        <f t="shared" si="61"/>
        <v>-1.6049517253333332</v>
      </c>
      <c r="N383" s="9"/>
      <c r="O383" s="21">
        <v>1.77826</v>
      </c>
      <c r="P383" s="21">
        <v>12.558</v>
      </c>
      <c r="Q383" s="21">
        <v>8.5937500000000007E-3</v>
      </c>
      <c r="R383" s="21">
        <v>373</v>
      </c>
      <c r="S383" s="21">
        <v>1.77704</v>
      </c>
      <c r="T383">
        <f t="shared" si="62"/>
        <v>-10.609567901234568</v>
      </c>
      <c r="U383">
        <f t="shared" si="63"/>
        <v>-18.866570216049382</v>
      </c>
      <c r="X383" s="9"/>
      <c r="Y383" s="21">
        <v>-7.8277600000000003E-2</v>
      </c>
      <c r="Z383" s="21">
        <v>18.1175</v>
      </c>
      <c r="AA383" s="21">
        <v>-1.6671800000000001E-2</v>
      </c>
      <c r="AB383" s="21">
        <v>373</v>
      </c>
      <c r="AC383" s="21">
        <v>-7.8796400000000003E-2</v>
      </c>
      <c r="AD383">
        <f t="shared" si="64"/>
        <v>20.582469135802469</v>
      </c>
      <c r="AE383">
        <f t="shared" si="65"/>
        <v>-1.6111462860246915</v>
      </c>
      <c r="AF383" s="9"/>
      <c r="AG383" s="21">
        <v>1.77826</v>
      </c>
      <c r="AH383" s="21">
        <v>21.936699999999998</v>
      </c>
      <c r="AI383" s="21">
        <v>1.22772E-2</v>
      </c>
      <c r="AJ383" s="21">
        <v>373</v>
      </c>
      <c r="AK383" s="21">
        <v>1.7767299999999999</v>
      </c>
      <c r="AL383">
        <f t="shared" si="66"/>
        <v>-15.157037037037037</v>
      </c>
      <c r="AM383">
        <f t="shared" si="67"/>
        <v>-26.95315268148148</v>
      </c>
      <c r="AP383" s="9"/>
      <c r="AQ383" s="21">
        <v>-7.8277600000000003E-2</v>
      </c>
      <c r="AR383" s="21">
        <v>27.4542</v>
      </c>
      <c r="AS383" s="21">
        <v>-1.6690099999999999E-2</v>
      </c>
      <c r="AT383" s="21">
        <v>373</v>
      </c>
      <c r="AU383" s="21">
        <v>-7.85217E-2</v>
      </c>
      <c r="AV383">
        <f t="shared" si="68"/>
        <v>20.605061728395061</v>
      </c>
      <c r="AW383">
        <f t="shared" si="69"/>
        <v>-1.6129147799506172</v>
      </c>
      <c r="AX383" s="9"/>
      <c r="AY383" s="21">
        <v>1.77826</v>
      </c>
      <c r="AZ383" s="21">
        <v>31.273399999999999</v>
      </c>
      <c r="BA383" s="21">
        <v>1.5777599999999999E-2</v>
      </c>
      <c r="BB383" s="21">
        <v>373</v>
      </c>
      <c r="BC383" s="21">
        <v>1.7767299999999999</v>
      </c>
      <c r="BD383">
        <f t="shared" si="70"/>
        <v>-19.478518518518516</v>
      </c>
      <c r="BE383">
        <f t="shared" si="71"/>
        <v>-34.637870340740733</v>
      </c>
    </row>
    <row r="384" spans="6:57" x14ac:dyDescent="0.25">
      <c r="F384" s="9"/>
      <c r="G384" s="21">
        <v>-8.3312999999999998E-2</v>
      </c>
      <c r="H384" s="21">
        <v>8.7488700000000001</v>
      </c>
      <c r="I384" s="21">
        <v>-1.6625999999999998E-2</v>
      </c>
      <c r="J384" s="21">
        <v>374</v>
      </c>
      <c r="K384" s="21">
        <v>-7.5683600000000004E-2</v>
      </c>
      <c r="L384">
        <f t="shared" si="60"/>
        <v>20.525925925925922</v>
      </c>
      <c r="M384">
        <f t="shared" si="61"/>
        <v>-1.7100764666666664</v>
      </c>
      <c r="N384" s="9"/>
      <c r="O384" s="21">
        <v>1.78329</v>
      </c>
      <c r="P384" s="21">
        <v>12.568099999999999</v>
      </c>
      <c r="Q384" s="21">
        <v>1.76697E-2</v>
      </c>
      <c r="R384" s="21">
        <v>374</v>
      </c>
      <c r="S384" s="21">
        <v>1.7819199999999999</v>
      </c>
      <c r="T384">
        <f t="shared" si="62"/>
        <v>-21.81444444444444</v>
      </c>
      <c r="U384">
        <f t="shared" si="63"/>
        <v>-38.901480633333328</v>
      </c>
      <c r="X384" s="9"/>
      <c r="Y384" s="21">
        <v>-8.3312999999999998E-2</v>
      </c>
      <c r="Z384" s="21">
        <v>18.127600000000001</v>
      </c>
      <c r="AA384" s="21">
        <v>-1.6680899999999999E-2</v>
      </c>
      <c r="AB384" s="21">
        <v>374</v>
      </c>
      <c r="AC384" s="21">
        <v>-8.3831799999999998E-2</v>
      </c>
      <c r="AD384">
        <f t="shared" si="64"/>
        <v>20.593703703703699</v>
      </c>
      <c r="AE384">
        <f t="shared" si="65"/>
        <v>-1.7157232366666664</v>
      </c>
      <c r="AF384" s="9"/>
      <c r="AG384" s="21">
        <v>1.78329</v>
      </c>
      <c r="AH384" s="21">
        <v>21.9468</v>
      </c>
      <c r="AI384" s="21">
        <v>2.1218899999999999E-2</v>
      </c>
      <c r="AJ384" s="21">
        <v>374</v>
      </c>
      <c r="AK384" s="21">
        <v>1.7813099999999999</v>
      </c>
      <c r="AL384">
        <f t="shared" si="66"/>
        <v>-26.196172839506168</v>
      </c>
      <c r="AM384">
        <f t="shared" si="67"/>
        <v>-46.715373062962954</v>
      </c>
      <c r="AP384" s="9"/>
      <c r="AQ384" s="21">
        <v>-8.3312999999999998E-2</v>
      </c>
      <c r="AR384" s="21">
        <v>27.464300000000001</v>
      </c>
      <c r="AS384" s="21">
        <v>-1.6696200000000001E-2</v>
      </c>
      <c r="AT384" s="21">
        <v>374</v>
      </c>
      <c r="AU384" s="21">
        <v>-8.3709699999999998E-2</v>
      </c>
      <c r="AV384">
        <f t="shared" si="68"/>
        <v>20.612592592592591</v>
      </c>
      <c r="AW384">
        <f t="shared" si="69"/>
        <v>-1.7172969266666664</v>
      </c>
      <c r="AX384" s="9"/>
      <c r="AY384" s="21">
        <v>1.78329</v>
      </c>
      <c r="AZ384" s="21">
        <v>31.2835</v>
      </c>
      <c r="BA384" s="21">
        <v>2.5552399999999999E-2</v>
      </c>
      <c r="BB384" s="21">
        <v>374</v>
      </c>
      <c r="BC384" s="21">
        <v>1.78162</v>
      </c>
      <c r="BD384">
        <f t="shared" si="70"/>
        <v>-31.54617283950617</v>
      </c>
      <c r="BE384">
        <f t="shared" si="71"/>
        <v>-56.255974562962962</v>
      </c>
    </row>
    <row r="385" spans="6:57" x14ac:dyDescent="0.25">
      <c r="F385" s="9"/>
      <c r="G385" s="21">
        <v>-8.8348399999999994E-2</v>
      </c>
      <c r="H385" s="21">
        <v>8.7589400000000008</v>
      </c>
      <c r="I385" s="21">
        <v>-1.6638199999999999E-2</v>
      </c>
      <c r="J385" s="21">
        <v>375</v>
      </c>
      <c r="K385" s="21">
        <v>-0.14071700000000001</v>
      </c>
      <c r="L385">
        <f t="shared" si="60"/>
        <v>20.540987654320986</v>
      </c>
      <c r="M385">
        <f t="shared" si="61"/>
        <v>-1.8147633936790122</v>
      </c>
      <c r="N385" s="9"/>
      <c r="O385" s="21">
        <v>1.78833</v>
      </c>
      <c r="P385" s="21">
        <v>12.578099999999999</v>
      </c>
      <c r="Q385" s="21">
        <v>2.8646899999999999E-2</v>
      </c>
      <c r="R385" s="21">
        <v>375</v>
      </c>
      <c r="S385" s="21">
        <v>1.7874099999999999</v>
      </c>
      <c r="T385">
        <f t="shared" si="62"/>
        <v>-35.366543209876539</v>
      </c>
      <c r="U385">
        <f t="shared" si="63"/>
        <v>-63.24705021851851</v>
      </c>
      <c r="X385" s="9"/>
      <c r="Y385" s="21">
        <v>-8.8348399999999994E-2</v>
      </c>
      <c r="Z385" s="21">
        <v>18.137599999999999</v>
      </c>
      <c r="AA385" s="21">
        <v>-1.6687E-2</v>
      </c>
      <c r="AB385" s="21">
        <v>375</v>
      </c>
      <c r="AC385" s="21">
        <v>-8.8867199999999993E-2</v>
      </c>
      <c r="AD385">
        <f t="shared" si="64"/>
        <v>20.601234567901233</v>
      </c>
      <c r="AE385">
        <f t="shared" si="65"/>
        <v>-1.8200861120987653</v>
      </c>
      <c r="AF385" s="9"/>
      <c r="AG385" s="21">
        <v>1.78833</v>
      </c>
      <c r="AH385" s="21">
        <v>21.956800000000001</v>
      </c>
      <c r="AI385" s="21">
        <v>3.1811499999999999E-2</v>
      </c>
      <c r="AJ385" s="21">
        <v>375</v>
      </c>
      <c r="AK385" s="21">
        <v>1.7865</v>
      </c>
      <c r="AL385">
        <f t="shared" si="66"/>
        <v>-39.273456790123454</v>
      </c>
      <c r="AM385">
        <f t="shared" si="67"/>
        <v>-70.233900981481469</v>
      </c>
      <c r="AP385" s="9"/>
      <c r="AQ385" s="21">
        <v>-8.8348399999999994E-2</v>
      </c>
      <c r="AR385" s="21">
        <v>27.474399999999999</v>
      </c>
      <c r="AS385" s="21">
        <v>-1.6705299999999999E-2</v>
      </c>
      <c r="AT385" s="21">
        <v>375</v>
      </c>
      <c r="AU385" s="21">
        <v>-8.8867199999999993E-2</v>
      </c>
      <c r="AV385">
        <f t="shared" si="68"/>
        <v>20.623827160493825</v>
      </c>
      <c r="AW385">
        <f t="shared" si="69"/>
        <v>-1.8220821315061726</v>
      </c>
      <c r="AX385" s="9"/>
      <c r="AY385" s="21">
        <v>1.78833</v>
      </c>
      <c r="AZ385" s="21">
        <v>31.293600000000001</v>
      </c>
      <c r="BA385" s="21">
        <v>3.7985199999999997E-2</v>
      </c>
      <c r="BB385" s="21">
        <v>375</v>
      </c>
      <c r="BC385" s="21">
        <v>1.78711</v>
      </c>
      <c r="BD385">
        <f t="shared" si="70"/>
        <v>-46.895308641975305</v>
      </c>
      <c r="BE385">
        <f t="shared" si="71"/>
        <v>-83.864287303703691</v>
      </c>
    </row>
    <row r="386" spans="6:57" x14ac:dyDescent="0.25">
      <c r="F386" s="9"/>
      <c r="G386" s="21">
        <v>-9.3383800000000003E-2</v>
      </c>
      <c r="H386" s="21">
        <v>8.7690199999999994</v>
      </c>
      <c r="I386" s="21">
        <v>-1.6625999999999998E-2</v>
      </c>
      <c r="J386" s="21">
        <v>376</v>
      </c>
      <c r="K386" s="21">
        <v>-9.3841599999999997E-2</v>
      </c>
      <c r="L386">
        <f t="shared" si="60"/>
        <v>20.525925925925922</v>
      </c>
      <c r="M386">
        <f t="shared" si="61"/>
        <v>-1.916788961481481</v>
      </c>
      <c r="N386" s="9"/>
      <c r="O386" s="21">
        <v>1.7933699999999999</v>
      </c>
      <c r="P386" s="21">
        <v>12.588200000000001</v>
      </c>
      <c r="Q386" s="21">
        <v>4.0768400000000003E-2</v>
      </c>
      <c r="R386" s="21">
        <v>376</v>
      </c>
      <c r="S386" s="21">
        <v>1.79199</v>
      </c>
      <c r="T386">
        <f t="shared" si="62"/>
        <v>-50.331358024691362</v>
      </c>
      <c r="U386">
        <f t="shared" si="63"/>
        <v>-90.262747540740747</v>
      </c>
      <c r="X386" s="9"/>
      <c r="Y386" s="21">
        <v>-9.3383800000000003E-2</v>
      </c>
      <c r="Z386" s="21">
        <v>18.1477</v>
      </c>
      <c r="AA386" s="21">
        <v>-1.6696200000000001E-2</v>
      </c>
      <c r="AB386" s="21">
        <v>376</v>
      </c>
      <c r="AC386" s="21">
        <v>-9.4055200000000005E-2</v>
      </c>
      <c r="AD386">
        <f t="shared" si="64"/>
        <v>20.612592592592591</v>
      </c>
      <c r="AE386">
        <f t="shared" si="65"/>
        <v>-1.924882224148148</v>
      </c>
      <c r="AF386" s="9"/>
      <c r="AG386" s="21">
        <v>1.7933699999999999</v>
      </c>
      <c r="AH386" s="21">
        <v>21.966899999999999</v>
      </c>
      <c r="AI386" s="21">
        <v>4.3423499999999997E-2</v>
      </c>
      <c r="AJ386" s="21">
        <v>376</v>
      </c>
      <c r="AK386" s="21">
        <v>1.79169</v>
      </c>
      <c r="AL386">
        <f t="shared" si="66"/>
        <v>-53.609259259259254</v>
      </c>
      <c r="AM386">
        <f t="shared" si="67"/>
        <v>-96.141237277777762</v>
      </c>
      <c r="AP386" s="9"/>
      <c r="AQ386" s="21">
        <v>-9.3383800000000003E-2</v>
      </c>
      <c r="AR386" s="21">
        <v>27.484400000000001</v>
      </c>
      <c r="AS386" s="21">
        <v>-1.67145E-2</v>
      </c>
      <c r="AT386" s="21">
        <v>376</v>
      </c>
      <c r="AU386" s="21">
        <v>-9.42688E-2</v>
      </c>
      <c r="AV386">
        <f t="shared" si="68"/>
        <v>20.635185185185183</v>
      </c>
      <c r="AW386">
        <f t="shared" si="69"/>
        <v>-1.9269920062962962</v>
      </c>
      <c r="AX386" s="9"/>
      <c r="AY386" s="21">
        <v>1.7933699999999999</v>
      </c>
      <c r="AZ386" s="21">
        <v>31.303599999999999</v>
      </c>
      <c r="BA386" s="21">
        <v>4.8635900000000003E-2</v>
      </c>
      <c r="BB386" s="21">
        <v>376</v>
      </c>
      <c r="BC386" s="21">
        <v>1.79169</v>
      </c>
      <c r="BD386">
        <f t="shared" si="70"/>
        <v>-60.044320987654316</v>
      </c>
      <c r="BE386">
        <f t="shared" si="71"/>
        <v>-107.68168392962961</v>
      </c>
    </row>
    <row r="387" spans="6:57" x14ac:dyDescent="0.25">
      <c r="F387" s="9"/>
      <c r="G387" s="21">
        <v>-9.8419199999999998E-2</v>
      </c>
      <c r="H387" s="21">
        <v>8.7790900000000001</v>
      </c>
      <c r="I387" s="21">
        <v>-1.6653399999999999E-2</v>
      </c>
      <c r="J387" s="21">
        <v>377</v>
      </c>
      <c r="K387" s="21">
        <v>-9.8907499999999995E-2</v>
      </c>
      <c r="L387">
        <f t="shared" si="60"/>
        <v>20.55975308641975</v>
      </c>
      <c r="M387">
        <f t="shared" si="61"/>
        <v>-2.0234744509629627</v>
      </c>
      <c r="N387" s="9"/>
      <c r="O387" s="21">
        <v>1.7984</v>
      </c>
      <c r="P387" s="21">
        <v>12.5983</v>
      </c>
      <c r="Q387" s="21">
        <v>4.7085599999999998E-2</v>
      </c>
      <c r="R387" s="21">
        <v>377</v>
      </c>
      <c r="S387" s="21">
        <v>1.79718</v>
      </c>
      <c r="T387">
        <f t="shared" si="62"/>
        <v>-58.130370370370365</v>
      </c>
      <c r="U387">
        <f t="shared" si="63"/>
        <v>-104.54165807407406</v>
      </c>
      <c r="X387" s="9"/>
      <c r="Y387" s="21">
        <v>-9.8419199999999998E-2</v>
      </c>
      <c r="Z387" s="21">
        <v>18.157800000000002</v>
      </c>
      <c r="AA387" s="21">
        <v>-1.67023E-2</v>
      </c>
      <c r="AB387" s="21">
        <v>377</v>
      </c>
      <c r="AC387" s="21">
        <v>-9.9151600000000006E-2</v>
      </c>
      <c r="AD387">
        <f t="shared" si="64"/>
        <v>20.620123456790122</v>
      </c>
      <c r="AE387">
        <f t="shared" si="65"/>
        <v>-2.0294160545185185</v>
      </c>
      <c r="AF387" s="9"/>
      <c r="AG387" s="21">
        <v>1.7984</v>
      </c>
      <c r="AH387" s="21">
        <v>21.977</v>
      </c>
      <c r="AI387" s="21">
        <v>5.5917399999999999E-2</v>
      </c>
      <c r="AJ387" s="21">
        <v>377</v>
      </c>
      <c r="AK387" s="21">
        <v>1.79596</v>
      </c>
      <c r="AL387">
        <f t="shared" si="66"/>
        <v>-69.033827160493814</v>
      </c>
      <c r="AM387">
        <f t="shared" si="67"/>
        <v>-124.15043476543208</v>
      </c>
      <c r="AP387" s="9"/>
      <c r="AQ387" s="21">
        <v>-9.8419199999999998E-2</v>
      </c>
      <c r="AR387" s="21">
        <v>27.494499999999999</v>
      </c>
      <c r="AS387" s="21">
        <v>-1.6723600000000002E-2</v>
      </c>
      <c r="AT387" s="21">
        <v>377</v>
      </c>
      <c r="AU387" s="21">
        <v>-9.8877000000000007E-2</v>
      </c>
      <c r="AV387">
        <f t="shared" si="68"/>
        <v>20.64641975308642</v>
      </c>
      <c r="AW387">
        <f t="shared" si="69"/>
        <v>-2.0320041149629628</v>
      </c>
      <c r="AX387" s="9"/>
      <c r="AY387" s="21">
        <v>1.7984</v>
      </c>
      <c r="AZ387" s="21">
        <v>31.313700000000001</v>
      </c>
      <c r="BA387" s="21">
        <v>6.1303700000000003E-2</v>
      </c>
      <c r="BB387" s="21">
        <v>377</v>
      </c>
      <c r="BC387" s="21">
        <v>1.79657</v>
      </c>
      <c r="BD387">
        <f t="shared" si="70"/>
        <v>-75.683580246913579</v>
      </c>
      <c r="BE387">
        <f t="shared" si="71"/>
        <v>-136.10935071604939</v>
      </c>
    </row>
    <row r="388" spans="6:57" x14ac:dyDescent="0.25">
      <c r="F388" s="9"/>
      <c r="G388" s="21">
        <v>-0.10345500000000001</v>
      </c>
      <c r="H388" s="21">
        <v>8.7891600000000007</v>
      </c>
      <c r="I388" s="21">
        <v>-1.6671800000000001E-2</v>
      </c>
      <c r="J388" s="21">
        <v>378</v>
      </c>
      <c r="K388" s="21">
        <v>-0.10378999999999999</v>
      </c>
      <c r="L388">
        <f t="shared" si="60"/>
        <v>20.582469135802469</v>
      </c>
      <c r="M388">
        <f t="shared" si="61"/>
        <v>-2.1293593444444445</v>
      </c>
      <c r="N388" s="9"/>
      <c r="O388" s="21">
        <v>1.8034399999999999</v>
      </c>
      <c r="P388" s="21">
        <v>12.6083</v>
      </c>
      <c r="Q388" s="21">
        <v>6.9573999999999997E-2</v>
      </c>
      <c r="R388" s="21">
        <v>378</v>
      </c>
      <c r="S388" s="21">
        <v>1.80054</v>
      </c>
      <c r="T388">
        <f t="shared" si="62"/>
        <v>-85.893827160493814</v>
      </c>
      <c r="U388">
        <f t="shared" si="63"/>
        <v>-154.90436365432095</v>
      </c>
      <c r="X388" s="9"/>
      <c r="Y388" s="21">
        <v>-0.10345500000000001</v>
      </c>
      <c r="Z388" s="21">
        <v>18.167899999999999</v>
      </c>
      <c r="AA388" s="21">
        <v>-1.6708400000000002E-2</v>
      </c>
      <c r="AB388" s="21">
        <v>378</v>
      </c>
      <c r="AC388" s="21">
        <v>-0.10376000000000001</v>
      </c>
      <c r="AD388">
        <f t="shared" si="64"/>
        <v>20.627654320987656</v>
      </c>
      <c r="AE388">
        <f t="shared" si="65"/>
        <v>-2.1340339777777779</v>
      </c>
      <c r="AF388" s="9"/>
      <c r="AG388" s="21">
        <v>1.8034399999999999</v>
      </c>
      <c r="AH388" s="21">
        <v>21.986999999999998</v>
      </c>
      <c r="AI388" s="21">
        <v>0.1</v>
      </c>
      <c r="AJ388" s="21">
        <v>378</v>
      </c>
      <c r="AK388" s="21">
        <v>8.0932599999999993E-2</v>
      </c>
      <c r="AL388">
        <f t="shared" si="66"/>
        <v>-123.45679012345678</v>
      </c>
      <c r="AM388">
        <f t="shared" si="67"/>
        <v>-222.64691358024689</v>
      </c>
      <c r="AP388" s="9"/>
      <c r="AQ388" s="21">
        <v>-0.10345500000000001</v>
      </c>
      <c r="AR388" s="21">
        <v>27.5046</v>
      </c>
      <c r="AS388" s="21">
        <v>-1.6732799999999999E-2</v>
      </c>
      <c r="AT388" s="21">
        <v>378</v>
      </c>
      <c r="AU388" s="21">
        <v>-0.103882</v>
      </c>
      <c r="AV388">
        <f t="shared" si="68"/>
        <v>20.657777777777774</v>
      </c>
      <c r="AW388">
        <f t="shared" si="69"/>
        <v>-2.1371503999999999</v>
      </c>
      <c r="AX388" s="9"/>
      <c r="AY388" s="21">
        <v>1.8034399999999999</v>
      </c>
      <c r="AZ388" s="21">
        <v>31.323799999999999</v>
      </c>
      <c r="BA388" s="21">
        <v>0.125336</v>
      </c>
      <c r="BB388" s="21">
        <v>378</v>
      </c>
      <c r="BC388" s="21">
        <v>7.8796400000000003E-2</v>
      </c>
      <c r="BD388">
        <f t="shared" si="70"/>
        <v>-154.73580246913579</v>
      </c>
      <c r="BE388">
        <f t="shared" si="71"/>
        <v>-279.05673560493824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1:L3"/>
  <sheetViews>
    <sheetView workbookViewId="0">
      <selection activeCell="A4" sqref="A4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20230104T210000</v>
      </c>
      <c r="B3">
        <f ca="1">INDEX(INDIRECT(A3&amp;"!A11"):INDIRECT(A3&amp;"!A21"),MATCH(E3,INDIRECT(A3&amp;"!D11"):INDIRECT(A3&amp;"!D21"),0))</f>
        <v>1.7743872326030834</v>
      </c>
      <c r="C3">
        <f ca="1">INDEX(INDIRECT(A3&amp;"!B11"):INDIRECT(A3&amp;"!B21"),MATCH(E3,INDIRECT(A3&amp;"!D11"):INDIRECT(A3&amp;"!D21"),0))</f>
        <v>20.431067045263902</v>
      </c>
      <c r="D3">
        <f ca="1">INDEX(INDIRECT(A3&amp;"!C11"):INDIRECT(A3&amp;"!C21"),MATCH(E3,INDIRECT(A3&amp;"!D11"):INDIRECT(A3&amp;"!D21"),0))</f>
        <v>0.78482759719191475</v>
      </c>
      <c r="E3">
        <f t="shared" ref="E3" ca="1" si="0">MAX(INDIRECT(A3&amp; "!D11"),INDIRECT(A3 &amp; "!D13"),INDIRECT(A3 &amp; "!D15"),INDIRECT(A3 &amp; "!D17"),INDIRECT(A3 &amp; "!D19"),INDIRECT(A3 &amp; "!D21"))</f>
        <v>28.45206018888889</v>
      </c>
      <c r="G3">
        <f ca="1">INDEX(INDIRECT(A3&amp;"!A12"):INDIRECT(A3&amp;"!A22"),MATCH(J3,INDIRECT(A3&amp;"!D12"):INDIRECT(A3&amp;"!D22"),0))</f>
        <v>1.7681675974856548</v>
      </c>
      <c r="H3">
        <f ca="1">INDEX(INDIRECT(A3&amp;"!B12"):INDIRECT(A3&amp;"!B22"),MATCH(J3,INDIRECT(A3&amp;"!D12"):INDIRECT(A3&amp;"!D22"),0))</f>
        <v>20.43657287919747</v>
      </c>
      <c r="I3">
        <f ca="1">INDEX(INDIRECT(A3&amp;"!C12"):INDIRECT(A3&amp;"!C22"),MATCH(J3,INDIRECT(A3&amp;"!D12"):INDIRECT(A3&amp;"!D22"),0))</f>
        <v>0.78511612563772315</v>
      </c>
      <c r="J3">
        <f t="shared" ref="J3" ca="1" si="1">MAX(INDIRECT(A3&amp; "!D12"),INDIRECT(A3 &amp; "!D14"),INDIRECT(A3 &amp; "!D16"),INDIRECT(A3 &amp; "!D18"),INDIRECT(A3 &amp; "!D20"),,INDIRECT(A3 &amp; "!D22"))</f>
        <v>28.370395718518516</v>
      </c>
      <c r="L3">
        <f ca="1">INDEX(INDIRECT(A3&amp;"!E11"):INDIRECT(A3&amp;"!E21"),MATCH(E3,INDIRECT(A3&amp;"!D11"):INDIRECT(A3&amp;"!D21"),0))</f>
        <v>0.28702480533295571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NEW</vt:lpstr>
      <vt:lpstr>20230104T210000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Alkane</cp:lastModifiedBy>
  <dcterms:created xsi:type="dcterms:W3CDTF">2022-01-08T07:24:35Z</dcterms:created>
  <dcterms:modified xsi:type="dcterms:W3CDTF">2023-01-04T14:05:24Z</dcterms:modified>
</cp:coreProperties>
</file>